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hidePivotFieldList="1"/>
  <mc:AlternateContent xmlns:mc="http://schemas.openxmlformats.org/markup-compatibility/2006">
    <mc:Choice Requires="x15">
      <x15ac:absPath xmlns:x15ac="http://schemas.microsoft.com/office/spreadsheetml/2010/11/ac" url="https://d.docs.live.net/2283e114cb0fd226/Documents/Office/Yunify.ai/Tech/"/>
    </mc:Choice>
  </mc:AlternateContent>
  <xr:revisionPtr revIDLastSave="0" documentId="8_{B86F03F0-7D1E-4B8C-AA61-2E40C24BA13F}" xr6:coauthVersionLast="47" xr6:coauthVersionMax="47" xr10:uidLastSave="{00000000-0000-0000-0000-000000000000}"/>
  <bookViews>
    <workbookView xWindow="-108" yWindow="-108" windowWidth="23256" windowHeight="12456" tabRatio="518" xr2:uid="{00000000-000D-0000-FFFF-FFFF00000000}"/>
  </bookViews>
  <sheets>
    <sheet name="Tracker" sheetId="1" r:id="rId1"/>
    <sheet name="consolidated list by rishi" sheetId="6" r:id="rId2"/>
    <sheet name="16th Jan Client Feedback" sheetId="5" r:id="rId3"/>
    <sheet name="6 Points" sheetId="3" r:id="rId4"/>
    <sheet name="Internal Findings" sheetId="7" r:id="rId5"/>
    <sheet name="Sheet1" sheetId="8" r:id="rId6"/>
  </sheets>
  <definedNames>
    <definedName name="_xlnm._FilterDatabase" localSheetId="2" hidden="1">'16th Jan Client Feedback'!$A$1:$E$1</definedName>
    <definedName name="_xlnm._FilterDatabase" localSheetId="1" hidden="1">'consolidated list by rishi'!$A$1:$F$1</definedName>
    <definedName name="_xlnm._FilterDatabase" localSheetId="0" hidden="1">Tracker!$A$1:$U$1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74" i="1" l="1" a="1"/>
  <c r="M274" i="1"/>
  <c r="M273" i="1" a="1"/>
  <c r="M273" i="1"/>
  <c r="M272" i="1" a="1"/>
  <c r="M272" i="1"/>
  <c r="M271" i="1" a="1"/>
  <c r="M271" i="1"/>
  <c r="M270" i="1" a="1"/>
  <c r="M270" i="1"/>
  <c r="M269" i="1" a="1"/>
  <c r="M269" i="1"/>
  <c r="M268" i="1" a="1"/>
  <c r="M268" i="1"/>
  <c r="M267" i="1" a="1"/>
  <c r="M267" i="1"/>
  <c r="M266" i="1" a="1"/>
  <c r="M266" i="1"/>
  <c r="M265" i="1" a="1"/>
  <c r="M265" i="1"/>
  <c r="M264" i="1" a="1"/>
  <c r="M264" i="1"/>
  <c r="M263" i="1" a="1"/>
  <c r="M263" i="1"/>
  <c r="M262" i="1" a="1"/>
  <c r="M262" i="1"/>
  <c r="M261" i="1" a="1"/>
  <c r="M261" i="1"/>
  <c r="M260" i="1" a="1"/>
  <c r="M260" i="1"/>
  <c r="M259" i="1" a="1"/>
  <c r="M259" i="1"/>
  <c r="M258" i="1" a="1"/>
  <c r="M258" i="1"/>
  <c r="M257" i="1" a="1"/>
  <c r="M257" i="1"/>
  <c r="M256" i="1" a="1"/>
  <c r="M256" i="1"/>
  <c r="M255" i="1" a="1"/>
  <c r="M255" i="1"/>
  <c r="M254" i="1" a="1"/>
  <c r="M254" i="1"/>
  <c r="M253" i="1" a="1"/>
  <c r="M253" i="1"/>
  <c r="M252" i="1" a="1"/>
  <c r="M252" i="1"/>
  <c r="M251" i="1" a="1"/>
  <c r="M251" i="1"/>
  <c r="M250" i="1" a="1"/>
  <c r="M250" i="1"/>
  <c r="M249" i="1" a="1"/>
  <c r="M249" i="1"/>
  <c r="M248" i="1" a="1"/>
  <c r="M248" i="1"/>
  <c r="M247" i="1" a="1"/>
  <c r="M247" i="1"/>
  <c r="M246" i="1" a="1"/>
  <c r="M246" i="1"/>
  <c r="M245" i="1" a="1"/>
  <c r="M245" i="1"/>
  <c r="M244" i="1" a="1"/>
  <c r="M244" i="1"/>
  <c r="M243" i="1" a="1"/>
  <c r="M243" i="1"/>
  <c r="M242" i="1" a="1"/>
  <c r="M242" i="1"/>
  <c r="M241" i="1" a="1"/>
  <c r="M241" i="1"/>
  <c r="M240" i="1" a="1"/>
  <c r="M240" i="1"/>
  <c r="M239" i="1" a="1"/>
  <c r="M239" i="1"/>
  <c r="M238" i="1" a="1"/>
  <c r="M238" i="1"/>
  <c r="M237" i="1" a="1"/>
  <c r="M237" i="1"/>
  <c r="M236" i="1" a="1"/>
  <c r="M236" i="1"/>
  <c r="M235" i="1" a="1"/>
  <c r="M235" i="1"/>
  <c r="M234" i="1" a="1"/>
  <c r="M234" i="1"/>
  <c r="M233" i="1" a="1"/>
  <c r="M233" i="1"/>
  <c r="M232" i="1" a="1"/>
  <c r="M232" i="1"/>
  <c r="M231" i="1" a="1"/>
  <c r="M231" i="1"/>
  <c r="M230" i="1" a="1"/>
  <c r="M230" i="1"/>
  <c r="M229" i="1" a="1"/>
  <c r="M229" i="1"/>
  <c r="M228" i="1" a="1"/>
  <c r="M228" i="1"/>
  <c r="M227" i="1" a="1"/>
  <c r="M227" i="1"/>
  <c r="M226" i="1" a="1"/>
  <c r="M226" i="1"/>
  <c r="M225" i="1" a="1"/>
  <c r="M225" i="1"/>
  <c r="M224" i="1" a="1"/>
  <c r="M224" i="1"/>
  <c r="M223" i="1" a="1"/>
  <c r="M223" i="1"/>
  <c r="M222" i="1" a="1"/>
  <c r="M222" i="1"/>
  <c r="M221" i="1" a="1"/>
  <c r="M221" i="1"/>
  <c r="M220" i="1" a="1"/>
  <c r="M220" i="1"/>
  <c r="M219" i="1" a="1"/>
  <c r="M219" i="1"/>
  <c r="M218" i="1" a="1"/>
  <c r="M218" i="1"/>
  <c r="M217" i="1" a="1"/>
  <c r="M217" i="1"/>
  <c r="M216" i="1" a="1"/>
  <c r="M216" i="1"/>
  <c r="M215" i="1" a="1"/>
  <c r="M215" i="1"/>
  <c r="M214" i="1" a="1"/>
  <c r="M214" i="1"/>
  <c r="M213" i="1" a="1"/>
  <c r="M213" i="1"/>
  <c r="M212" i="1" a="1"/>
  <c r="M212" i="1"/>
  <c r="M211" i="1" a="1"/>
  <c r="M211" i="1"/>
  <c r="M210" i="1" a="1"/>
  <c r="M210" i="1"/>
  <c r="M209" i="1" a="1"/>
  <c r="M209" i="1"/>
  <c r="M208" i="1" a="1"/>
  <c r="M208" i="1"/>
  <c r="M207" i="1" a="1"/>
  <c r="M207" i="1"/>
  <c r="M206" i="1" a="1"/>
  <c r="M206" i="1"/>
  <c r="M205" i="1" a="1"/>
  <c r="M205" i="1"/>
  <c r="M204" i="1" a="1"/>
  <c r="M204" i="1"/>
  <c r="M203" i="1" a="1"/>
  <c r="M203" i="1"/>
  <c r="M202" i="1" a="1"/>
  <c r="M202" i="1"/>
  <c r="M201" i="1" a="1"/>
  <c r="M201" i="1"/>
  <c r="M200" i="1" a="1"/>
  <c r="M200" i="1"/>
  <c r="M199" i="1" a="1"/>
  <c r="M199" i="1"/>
  <c r="M198" i="1" a="1"/>
  <c r="M198" i="1"/>
  <c r="M197" i="1" a="1"/>
  <c r="M197" i="1"/>
  <c r="M196" i="1" a="1"/>
  <c r="M196" i="1"/>
  <c r="M195" i="1" a="1"/>
  <c r="M195" i="1"/>
  <c r="M194" i="1" a="1"/>
  <c r="M194" i="1"/>
  <c r="M193" i="1" a="1"/>
  <c r="M193" i="1"/>
  <c r="M192" i="1" a="1"/>
  <c r="M192" i="1"/>
  <c r="M191" i="1" a="1"/>
  <c r="M191" i="1"/>
  <c r="M190" i="1" a="1"/>
  <c r="M190" i="1"/>
  <c r="M189" i="1" a="1"/>
  <c r="M189" i="1"/>
  <c r="M188" i="1" a="1"/>
  <c r="M188" i="1"/>
  <c r="M187" i="1" a="1"/>
  <c r="M187" i="1"/>
  <c r="M186" i="1" a="1"/>
  <c r="M186" i="1"/>
  <c r="M185" i="1" a="1"/>
  <c r="M185" i="1"/>
  <c r="M184" i="1" a="1"/>
  <c r="M184" i="1"/>
  <c r="M183" i="1" a="1"/>
  <c r="M183" i="1"/>
  <c r="M182" i="1" a="1"/>
  <c r="M182" i="1"/>
  <c r="M181" i="1" a="1"/>
  <c r="M181" i="1"/>
  <c r="M180" i="1" a="1"/>
  <c r="M180" i="1"/>
  <c r="M179" i="1" a="1"/>
  <c r="M179" i="1"/>
  <c r="M178" i="1" a="1"/>
  <c r="M178" i="1"/>
  <c r="M177" i="1" a="1"/>
  <c r="M177" i="1"/>
  <c r="M176" i="1" a="1"/>
  <c r="M176" i="1"/>
  <c r="M175" i="1" a="1"/>
  <c r="M175" i="1"/>
  <c r="M174" i="1" a="1"/>
  <c r="M174" i="1"/>
  <c r="M173" i="1" a="1"/>
  <c r="M173" i="1"/>
  <c r="M172" i="1" a="1"/>
  <c r="M172" i="1"/>
  <c r="M171" i="1" a="1"/>
  <c r="M171" i="1"/>
  <c r="M170" i="1" a="1"/>
  <c r="M170" i="1"/>
  <c r="M169" i="1" a="1"/>
  <c r="M169" i="1"/>
  <c r="M168" i="1" a="1"/>
  <c r="M168" i="1"/>
  <c r="M167" i="1" a="1"/>
  <c r="M167" i="1"/>
  <c r="M166" i="1" a="1"/>
  <c r="M166" i="1"/>
  <c r="M165" i="1" a="1"/>
  <c r="M165" i="1"/>
  <c r="M164" i="1" a="1"/>
  <c r="M164" i="1"/>
  <c r="M163" i="1" a="1"/>
  <c r="M163" i="1"/>
  <c r="M162" i="1" a="1"/>
  <c r="M162" i="1"/>
  <c r="M161" i="1" a="1"/>
  <c r="M161" i="1"/>
  <c r="M160" i="1" a="1"/>
  <c r="M160" i="1"/>
  <c r="M159" i="1" a="1"/>
  <c r="M159" i="1"/>
  <c r="M158" i="1" a="1"/>
  <c r="M158" i="1"/>
  <c r="M157" i="1" a="1"/>
  <c r="M157" i="1"/>
  <c r="M156" i="1" a="1"/>
  <c r="M156" i="1"/>
  <c r="M155" i="1" a="1"/>
  <c r="M155" i="1"/>
  <c r="M154" i="1" a="1"/>
  <c r="M154" i="1"/>
  <c r="M153" i="1" a="1"/>
  <c r="M153" i="1"/>
  <c r="M152" i="1" a="1"/>
  <c r="M152" i="1"/>
  <c r="M151" i="1" a="1"/>
  <c r="M151" i="1"/>
  <c r="M150" i="1" a="1"/>
  <c r="M150" i="1"/>
  <c r="M149" i="1" a="1"/>
  <c r="M149" i="1"/>
  <c r="M148" i="1" a="1"/>
  <c r="M148" i="1"/>
  <c r="M147" i="1" a="1"/>
  <c r="M147" i="1"/>
  <c r="M146" i="1" a="1"/>
  <c r="M146" i="1"/>
  <c r="M145" i="1" a="1"/>
  <c r="M145" i="1"/>
  <c r="M144" i="1" a="1"/>
  <c r="M144" i="1"/>
  <c r="M143" i="1" a="1"/>
  <c r="M143" i="1"/>
  <c r="M142" i="1" a="1"/>
  <c r="M142" i="1"/>
  <c r="M141" i="1" a="1"/>
  <c r="M141" i="1"/>
  <c r="M140" i="1" a="1"/>
  <c r="M140" i="1"/>
  <c r="M139" i="1" a="1"/>
  <c r="M139" i="1"/>
  <c r="M138" i="1" a="1"/>
  <c r="M138" i="1"/>
  <c r="M137" i="1" a="1"/>
  <c r="M137" i="1"/>
  <c r="M136" i="1" a="1"/>
  <c r="M136" i="1"/>
  <c r="M135" i="1" a="1"/>
  <c r="M135" i="1"/>
  <c r="M134" i="1" a="1"/>
  <c r="M134" i="1"/>
  <c r="M133" i="1" a="1"/>
  <c r="M133" i="1"/>
  <c r="M132" i="1" a="1"/>
  <c r="M132" i="1"/>
  <c r="M131" i="1" a="1"/>
  <c r="M131" i="1"/>
  <c r="M130" i="1" a="1"/>
  <c r="M130" i="1"/>
  <c r="M129" i="1" a="1"/>
  <c r="M129" i="1"/>
  <c r="M128" i="1" a="1"/>
  <c r="M128" i="1"/>
  <c r="M127" i="1" a="1"/>
  <c r="M127" i="1"/>
  <c r="M126" i="1" a="1"/>
  <c r="M126" i="1"/>
  <c r="M125" i="1" a="1"/>
  <c r="M125" i="1"/>
  <c r="M124" i="1" a="1"/>
  <c r="M124" i="1"/>
  <c r="M123" i="1" a="1"/>
  <c r="M123" i="1"/>
  <c r="M122" i="1" a="1"/>
  <c r="M122" i="1"/>
  <c r="M121" i="1" a="1"/>
  <c r="M121" i="1"/>
  <c r="M120" i="1" a="1"/>
  <c r="M120" i="1"/>
  <c r="M119" i="1" a="1"/>
  <c r="M119" i="1"/>
  <c r="M118" i="1" a="1"/>
  <c r="M118" i="1"/>
  <c r="M117" i="1" a="1"/>
  <c r="M117" i="1"/>
  <c r="M116" i="1" a="1"/>
  <c r="M116" i="1"/>
  <c r="M115" i="1" a="1"/>
  <c r="M115" i="1"/>
  <c r="M114" i="1" a="1"/>
  <c r="M114" i="1"/>
  <c r="M113" i="1" a="1"/>
  <c r="M113" i="1"/>
  <c r="M112" i="1" a="1"/>
  <c r="M112" i="1"/>
  <c r="M111" i="1" a="1"/>
  <c r="M111" i="1"/>
  <c r="M110" i="1" a="1"/>
  <c r="M110" i="1"/>
  <c r="M109" i="1" a="1"/>
  <c r="M109" i="1"/>
  <c r="M108" i="1" a="1"/>
  <c r="M108" i="1"/>
  <c r="M107" i="1" a="1"/>
  <c r="M107" i="1"/>
  <c r="M106" i="1" a="1"/>
  <c r="M106" i="1"/>
  <c r="M105" i="1" a="1"/>
  <c r="M105" i="1"/>
  <c r="M104" i="1" a="1"/>
  <c r="M104" i="1"/>
  <c r="M103" i="1" a="1"/>
  <c r="M103" i="1"/>
  <c r="M102" i="1" a="1"/>
  <c r="M102" i="1"/>
  <c r="M101" i="1" a="1"/>
  <c r="M101" i="1"/>
  <c r="M100" i="1" a="1"/>
  <c r="M100" i="1"/>
  <c r="M99" i="1" a="1"/>
  <c r="M99" i="1"/>
  <c r="M98" i="1" a="1"/>
  <c r="M98" i="1"/>
  <c r="M97" i="1" a="1"/>
  <c r="M97" i="1"/>
  <c r="M96" i="1" a="1"/>
  <c r="M96" i="1"/>
  <c r="M95" i="1" a="1"/>
  <c r="M95" i="1"/>
  <c r="M94" i="1" a="1"/>
  <c r="M94" i="1"/>
  <c r="M93" i="1" a="1"/>
  <c r="M93" i="1"/>
  <c r="M92" i="1" a="1"/>
  <c r="M92" i="1"/>
  <c r="M91" i="1" a="1"/>
  <c r="M91" i="1"/>
  <c r="M90" i="1" a="1"/>
  <c r="M90" i="1"/>
  <c r="M89" i="1" a="1"/>
  <c r="M89" i="1"/>
  <c r="M88" i="1" a="1"/>
  <c r="M88" i="1"/>
  <c r="M87" i="1" a="1"/>
  <c r="M87" i="1"/>
  <c r="M86" i="1" a="1"/>
  <c r="M86" i="1"/>
  <c r="M85" i="1" a="1"/>
  <c r="M85" i="1"/>
  <c r="M84" i="1" a="1"/>
  <c r="M84" i="1"/>
  <c r="M70" i="1" a="1"/>
  <c r="M70" i="1"/>
  <c r="M83" i="1" a="1"/>
  <c r="M83" i="1"/>
  <c r="M82" i="1" a="1"/>
  <c r="M82" i="1"/>
  <c r="M81" i="1" a="1"/>
  <c r="M81" i="1"/>
  <c r="M80" i="1" a="1"/>
  <c r="M80" i="1"/>
  <c r="M79" i="1" a="1"/>
  <c r="M79" i="1"/>
  <c r="M78" i="1" a="1"/>
  <c r="M78" i="1"/>
  <c r="M77" i="1" a="1"/>
  <c r="M77" i="1"/>
  <c r="M76" i="1" a="1"/>
  <c r="M76" i="1"/>
  <c r="M75" i="1" a="1"/>
  <c r="M75" i="1"/>
  <c r="M74" i="1" a="1"/>
  <c r="M74" i="1"/>
  <c r="M73" i="1" a="1"/>
  <c r="M73" i="1"/>
  <c r="M72" i="1" a="1"/>
  <c r="M72" i="1"/>
  <c r="M71" i="1" a="1"/>
  <c r="M71" i="1"/>
  <c r="M69" i="1" a="1"/>
  <c r="M69" i="1"/>
  <c r="M68" i="1" a="1"/>
  <c r="M68" i="1"/>
  <c r="M67" i="1" a="1"/>
  <c r="M67" i="1"/>
  <c r="M66" i="1" a="1"/>
  <c r="M66" i="1"/>
  <c r="M65" i="1" a="1"/>
  <c r="M65" i="1"/>
  <c r="M64" i="1" a="1"/>
  <c r="M64" i="1"/>
  <c r="M63" i="1" a="1"/>
  <c r="M63" i="1"/>
  <c r="M62" i="1" a="1"/>
  <c r="M62" i="1"/>
  <c r="M61" i="1" a="1"/>
  <c r="M61" i="1"/>
  <c r="M60" i="1" a="1"/>
  <c r="M60" i="1"/>
  <c r="M59" i="1" a="1"/>
  <c r="M59" i="1"/>
  <c r="M58" i="1" a="1"/>
  <c r="M58" i="1"/>
  <c r="M57" i="1" a="1"/>
  <c r="M57" i="1"/>
  <c r="M56" i="1" a="1"/>
  <c r="M56" i="1"/>
  <c r="M55" i="1" a="1"/>
  <c r="M55" i="1"/>
  <c r="M54" i="1" a="1"/>
  <c r="M54" i="1"/>
  <c r="M53" i="1" a="1"/>
  <c r="M53" i="1"/>
  <c r="M52" i="1" a="1"/>
  <c r="M52" i="1"/>
  <c r="M51" i="1" a="1"/>
  <c r="M51" i="1"/>
  <c r="M50" i="1" a="1"/>
  <c r="M50" i="1"/>
  <c r="M49" i="1" a="1"/>
  <c r="M49" i="1"/>
  <c r="M48" i="1" a="1"/>
  <c r="M48" i="1"/>
  <c r="M47" i="1" a="1"/>
  <c r="M47" i="1"/>
  <c r="M46" i="1" a="1"/>
  <c r="M46" i="1"/>
  <c r="M45" i="1" a="1"/>
  <c r="M45" i="1"/>
  <c r="M44" i="1" a="1"/>
  <c r="M44" i="1"/>
  <c r="M43" i="1" a="1"/>
  <c r="M43" i="1"/>
  <c r="M42" i="1" a="1"/>
  <c r="M42" i="1"/>
  <c r="M41" i="1" a="1"/>
  <c r="M41" i="1"/>
  <c r="M40" i="1" a="1"/>
  <c r="M40" i="1"/>
  <c r="M39" i="1" a="1"/>
  <c r="M39" i="1"/>
  <c r="M38" i="1" a="1"/>
  <c r="M38" i="1"/>
  <c r="M37" i="1" a="1"/>
  <c r="M37" i="1"/>
  <c r="M36" i="1" a="1"/>
  <c r="M36" i="1"/>
  <c r="M35" i="1" a="1"/>
  <c r="M35" i="1"/>
  <c r="M34" i="1" a="1"/>
  <c r="M34" i="1"/>
  <c r="M33" i="1" a="1"/>
  <c r="M33" i="1"/>
  <c r="M32" i="1" a="1"/>
  <c r="M32" i="1"/>
  <c r="M31" i="1" a="1"/>
  <c r="M31" i="1"/>
  <c r="M30" i="1" a="1"/>
  <c r="M30" i="1"/>
  <c r="M29" i="1" a="1"/>
  <c r="M29" i="1"/>
  <c r="M28" i="1" a="1"/>
  <c r="M28" i="1"/>
  <c r="M27" i="1" a="1"/>
  <c r="M27" i="1"/>
  <c r="M26" i="1" a="1"/>
  <c r="M26" i="1"/>
  <c r="M25" i="1" a="1"/>
  <c r="M25" i="1"/>
  <c r="M24" i="1" a="1"/>
  <c r="M24" i="1"/>
  <c r="M23" i="1" a="1"/>
  <c r="M23" i="1"/>
  <c r="M22" i="1" a="1"/>
  <c r="M22" i="1"/>
  <c r="M21" i="1" a="1"/>
  <c r="M21" i="1"/>
  <c r="M20" i="1" a="1"/>
  <c r="M20" i="1"/>
  <c r="M19" i="1" a="1"/>
  <c r="M19" i="1"/>
  <c r="M18" i="1" a="1"/>
  <c r="M18" i="1"/>
  <c r="M17" i="1" a="1"/>
  <c r="M17" i="1"/>
  <c r="M16" i="1" a="1"/>
  <c r="M16" i="1"/>
  <c r="M15" i="1" a="1"/>
  <c r="M15" i="1"/>
  <c r="M14" i="1" a="1"/>
  <c r="M14" i="1"/>
  <c r="M13" i="1" a="1"/>
  <c r="M13" i="1"/>
  <c r="M12" i="1" a="1"/>
  <c r="M12" i="1"/>
  <c r="M11" i="1" a="1"/>
  <c r="M11" i="1"/>
  <c r="M10" i="1" a="1"/>
  <c r="M10" i="1"/>
  <c r="M9" i="1" a="1"/>
  <c r="M9" i="1"/>
  <c r="M8" i="1" a="1"/>
  <c r="M8" i="1"/>
  <c r="M7" i="1" a="1"/>
  <c r="M7" i="1"/>
  <c r="M6" i="1" a="1"/>
  <c r="M6" i="1"/>
  <c r="M5" i="1" a="1"/>
  <c r="M5" i="1"/>
  <c r="M4" i="1" a="1"/>
  <c r="M4" i="1"/>
  <c r="M3" i="1" a="1"/>
  <c r="M3" i="1"/>
  <c r="M2" i="1" a="1"/>
  <c r="M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tc={38E25F5D-A6EC-4C7D-A527-9FD52158F040}</author>
    <author>tc={163F66F2-39D1-4F3C-80DF-00A5AC807C22}</author>
    <author>tc={C3594E4A-E5D2-48B0-B356-2DFDAA5430BB}</author>
    <author>tc={4A31A911-2566-4572-B18B-B23010FE907C}</author>
    <author>tc={2C43604F-1F60-4F34-A379-F1FE819E6E3F}</author>
    <author>tc={31DE45F9-2690-4849-B7A2-A3FE4546961D}</author>
    <author>tc={3CAEAD4E-DCEE-4C73-BBE8-0D7DEBA570BE}</author>
    <author>tc={631C1F3D-5A0D-42D8-95E5-FEFF2D70F31A}</author>
    <author>tc={F3387825-C86D-47CD-B051-351330217D03}</author>
    <author>tc={3157439B-FD12-4BC6-99B3-F641FA37609C}</author>
    <author>tc={9F4F7EE7-00AC-4E7D-9A2C-21BC1DD9049E}</author>
    <author>tc={C44F9441-3BEC-4176-BCE5-D7D6B40DC117}</author>
    <author>tc={CA829FFF-285D-4D58-BB50-41FE1DBE0FF0}</author>
    <author>tc={B496ED95-4F09-4F82-BEBF-4FEAA3FC469A}</author>
  </authors>
  <commentList>
    <comment ref="R10" authorId="0" shapeId="0" xr:uid="{38E25F5D-A6EC-4C7D-A527-9FD52158F040}">
      <text>
        <t>[Threaded comment]
Your version of Excel allows you to read this threaded comment; however, any edits to it will get removed if the file is opened in a newer version of Excel. Learn more: https://go.microsoft.com/fwlink/?linkid=870924
Comment:
    Going to original message integration will take some time , we will complete it later.</t>
      </text>
    </comment>
    <comment ref="S10" authorId="1" shapeId="0" xr:uid="{163F66F2-39D1-4F3C-80DF-00A5AC807C22}">
      <text>
        <t>[Threaded comment]
Your version of Excel allows you to read this threaded comment; however, any edits to it will get removed if the file is opened in a newer version of Excel. Learn more: https://go.microsoft.com/fwlink/?linkid=870924
Comment:
    Going to original message integration will take some time , we will complete it later.</t>
      </text>
    </comment>
    <comment ref="T10" authorId="2" shapeId="0" xr:uid="{C3594E4A-E5D2-48B0-B356-2DFDAA5430BB}">
      <text>
        <t>[Threaded comment]
Your version of Excel allows you to read this threaded comment; however, any edits to it will get removed if the file is opened in a newer version of Excel. Learn more: https://go.microsoft.com/fwlink/?linkid=870924
Comment:
    Going to original message integration will take some time , we will complete it later.</t>
      </text>
    </comment>
    <comment ref="R14" authorId="3" shapeId="0" xr:uid="{4A31A911-2566-4572-B18B-B23010FE907C}">
      <text>
        <t>[Threaded comment]
Your version of Excel allows you to read this threaded comment; however, any edits to it will get removed if the file is opened in a newer version of Excel. Learn more: https://go.microsoft.com/fwlink/?linkid=870924
Comment:
    Going to original message integration will take some time , we will complete it later.</t>
      </text>
    </comment>
    <comment ref="S14" authorId="4" shapeId="0" xr:uid="{2C43604F-1F60-4F34-A379-F1FE819E6E3F}">
      <text>
        <t>[Threaded comment]
Your version of Excel allows you to read this threaded comment; however, any edits to it will get removed if the file is opened in a newer version of Excel. Learn more: https://go.microsoft.com/fwlink/?linkid=870924
Comment:
    Going to original message integration will take some time , we will complete it later.</t>
      </text>
    </comment>
    <comment ref="T14" authorId="5" shapeId="0" xr:uid="{31DE45F9-2690-4849-B7A2-A3FE4546961D}">
      <text>
        <t>[Threaded comment]
Your version of Excel allows you to read this threaded comment; however, any edits to it will get removed if the file is opened in a newer version of Excel. Learn more: https://go.microsoft.com/fwlink/?linkid=870924
Comment:
    Going to original message integration will take some time , we will complete it later.</t>
      </text>
    </comment>
    <comment ref="R15" authorId="6" shapeId="0" xr:uid="{3CAEAD4E-DCEE-4C73-BBE8-0D7DEBA570BE}">
      <text>
        <t>[Threaded comment]
Your version of Excel allows you to read this threaded comment; however, any edits to it will get removed if the file is opened in a newer version of Excel. Learn more: https://go.microsoft.com/fwlink/?linkid=870924
Comment:
    Going to original message integration will take some time , we will complete it later.</t>
      </text>
    </comment>
    <comment ref="S15" authorId="7" shapeId="0" xr:uid="{631C1F3D-5A0D-42D8-95E5-FEFF2D70F31A}">
      <text>
        <t>[Threaded comment]
Your version of Excel allows you to read this threaded comment; however, any edits to it will get removed if the file is opened in a newer version of Excel. Learn more: https://go.microsoft.com/fwlink/?linkid=870924
Comment:
    Going to original message integration will take some time , we will complete it later.</t>
      </text>
    </comment>
    <comment ref="T15" authorId="8" shapeId="0" xr:uid="{F3387825-C86D-47CD-B051-351330217D03}">
      <text>
        <t>[Threaded comment]
Your version of Excel allows you to read this threaded comment; however, any edits to it will get removed if the file is opened in a newer version of Excel. Learn more: https://go.microsoft.com/fwlink/?linkid=870924
Comment:
    Going to original message integration will take some time , we will complete it later.</t>
      </text>
    </comment>
    <comment ref="R16" authorId="9" shapeId="0" xr:uid="{3157439B-FD12-4BC6-99B3-F641FA37609C}">
      <text>
        <t>[Threaded comment]
Your version of Excel allows you to read this threaded comment; however, any edits to it will get removed if the file is opened in a newer version of Excel. Learn more: https://go.microsoft.com/fwlink/?linkid=870924
Comment:
    Going to original message integration will take some time , we will complete it later.</t>
      </text>
    </comment>
    <comment ref="T16" authorId="10" shapeId="0" xr:uid="{9F4F7EE7-00AC-4E7D-9A2C-21BC1DD9049E}">
      <text>
        <t>[Threaded comment]
Your version of Excel allows you to read this threaded comment; however, any edits to it will get removed if the file is opened in a newer version of Excel. Learn more: https://go.microsoft.com/fwlink/?linkid=870924
Comment:
    Going to original message integration will take some time , we will complete it later.</t>
      </text>
    </comment>
    <comment ref="R51" authorId="11" shapeId="0" xr:uid="{C44F9441-3BEC-4176-BCE5-D7D6B40DC117}">
      <text>
        <t>[Threaded comment]
Your version of Excel allows you to read this threaded comment; however, any edits to it will get removed if the file is opened in a newer version of Excel. Learn more: https://go.microsoft.com/fwlink/?linkid=870924
Comment:
    Going to original message integration will take some time , we will complete it later.</t>
      </text>
    </comment>
    <comment ref="T51" authorId="12" shapeId="0" xr:uid="{CA829FFF-285D-4D58-BB50-41FE1DBE0FF0}">
      <text>
        <t>[Threaded comment]
Your version of Excel allows you to read this threaded comment; however, any edits to it will get removed if the file is opened in a newer version of Excel. Learn more: https://go.microsoft.com/fwlink/?linkid=870924
Comment:
    Going to original message integration will take some time , we will complete it later.</t>
      </text>
    </comment>
    <comment ref="S56" authorId="13" shapeId="0" xr:uid="{B496ED95-4F09-4F82-BEBF-4FEAA3FC469A}">
      <text>
        <t>[Threaded comment]
Your version of Excel allows you to read this threaded comment; however, any edits to it will get removed if the file is opened in a newer version of Excel. Learn more: https://go.microsoft.com/fwlink/?linkid=870924
Comment:
    Going to original message integration will take some time , we will complete it later.</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<sst xmlns="http://schemas.openxmlformats.org/spreadsheetml/2006/main" count="4036" uniqueCount="647">
  <si>
    <t>l</t>
  </si>
  <si>
    <t>Date</t>
  </si>
  <si>
    <t>WorkBook Name</t>
  </si>
  <si>
    <t>Sheet Name</t>
  </si>
  <si>
    <t>Phase</t>
  </si>
  <si>
    <t>Platform</t>
  </si>
  <si>
    <t xml:space="preserve">Feedback/Functionality </t>
  </si>
  <si>
    <t>UAT</t>
  </si>
  <si>
    <t>Android  Status</t>
  </si>
  <si>
    <t>IOS Status</t>
  </si>
  <si>
    <t>WebApp Status</t>
  </si>
  <si>
    <t>Admin Status</t>
  </si>
  <si>
    <t>Final Status</t>
  </si>
  <si>
    <t>Severity/Priority</t>
  </si>
  <si>
    <t>Assigned name</t>
  </si>
  <si>
    <t>QA Remark</t>
  </si>
  <si>
    <t>Revised_Priority</t>
  </si>
  <si>
    <t>Dev Comment</t>
  </si>
  <si>
    <t>QA Comment</t>
  </si>
  <si>
    <t>Dev Comment(27-02-26)</t>
  </si>
  <si>
    <t>QA Comment  27-02-26</t>
  </si>
  <si>
    <t>HyLyt-Phase-2 &amp; Phase-3 Feature List Tracker &amp; Timeline-12-12-2025</t>
  </si>
  <si>
    <t>Phase-1 Features</t>
  </si>
  <si>
    <t>Phase 1</t>
  </si>
  <si>
    <t>Android/IOS/WebApp</t>
  </si>
  <si>
    <t>Application PIN</t>
  </si>
  <si>
    <t>Fail</t>
  </si>
  <si>
    <t>Pass</t>
  </si>
  <si>
    <t>N/A</t>
  </si>
  <si>
    <t>Medium</t>
  </si>
  <si>
    <t>Even in case of personal user who cannot have a pin enforced up on when skips the pin at the time of sign up gets on the create your pin screen when tries to login and cannot skip or login without creating the pin. Some other bugs related to application pin are reported in the internal bug sheet and are being worked up on.</t>
  </si>
  <si>
    <t xml:space="preserve"> Done</t>
  </si>
  <si>
    <t>Done</t>
  </si>
  <si>
    <t>Option to have hidden/ locked folders and groups</t>
  </si>
  <si>
    <t>-</t>
  </si>
  <si>
    <t>Trash - View all the deleted notes, files and chats</t>
  </si>
  <si>
    <t>The trash section UI in case of android needs to be fixed (tabs appear on the left leaving quite some empty space on the right). In case of webapp, trash section remains empty even when there is deleted content. Features like Restore option, proper listing UI, auto delete after 60 days and intimation before deletion are yet to be developed.</t>
  </si>
  <si>
    <t>Pin Notes</t>
  </si>
  <si>
    <t>Low</t>
  </si>
  <si>
    <t>Pinning a note doesn't take it to the top of the listing order neither in android nor in webapp. If a pinned note is dragged and dropped down in the list, it doesn't get unpinned automatically</t>
  </si>
  <si>
    <t>All content can be edited any number of times</t>
  </si>
  <si>
    <t>Cross link with multiple tags and manage files, content and chats</t>
  </si>
  <si>
    <t>Folders to manage content and chats</t>
  </si>
  <si>
    <t>In the WebApp, user is unable to open any folder by clicking on it, hence unable to manage the content inside it.</t>
  </si>
  <si>
    <t>Interconnect different content with tags</t>
  </si>
  <si>
    <t>Audio/Video Attachments</t>
  </si>
  <si>
    <t>In the Webapp &amp; IOS, user remains unable to attach audio/video or any sort of attachments.</t>
  </si>
  <si>
    <t>Search button to Search folders and Groups</t>
  </si>
  <si>
    <t>Option to reply to a message as a calendar or reminder event</t>
  </si>
  <si>
    <t>Option to share your schedule</t>
  </si>
  <si>
    <t>In case of webapp, the user remains unable to view the schedule of the particiapants. In case of android, "Hylyt" appears instead of "yuniTALK" in case in each user's schedule and if more than 1 meeting is within the same timeframe, only 1 of them gets shown in the schedule. Some minor UI fixes are also required.</t>
  </si>
  <si>
    <t>Chat functionality</t>
  </si>
  <si>
    <t xml:space="preserve">unable to add aatachment , file , image , video </t>
  </si>
  <si>
    <t>File Sharing</t>
  </si>
  <si>
    <t>In the Webapp &amp; IOS user remains unable to upload and share any files</t>
  </si>
  <si>
    <t>Reply to Content</t>
  </si>
  <si>
    <r>
      <rPr>
        <sz val="11"/>
        <color rgb="FF000000"/>
        <rFont val="Aptos Narrow"/>
        <scheme val="minor"/>
      </rPr>
      <t>In the webapp, user remains unable to reply to any message/content.</t>
    </r>
    <r>
      <rPr>
        <sz val="11"/>
        <color rgb="FFFF0000"/>
        <rFont val="Aptos Narrow"/>
        <scheme val="minor"/>
      </rPr>
      <t xml:space="preserve"> In case of android, after user replies to a message/content, clicking on the reply doesn't lead to the original message's location</t>
    </r>
    <r>
      <rPr>
        <sz val="11"/>
        <color rgb="FF000000"/>
        <rFont val="Aptos Narrow"/>
        <scheme val="minor"/>
      </rPr>
      <t xml:space="preserve">. In case user replies to content, the content thumbnail doesn't get shown in the reply after getting sent. </t>
    </r>
  </si>
  <si>
    <t>Move to folder</t>
  </si>
  <si>
    <t>Copy to Folder</t>
  </si>
  <si>
    <t>Audio / video conferencing</t>
  </si>
  <si>
    <t>Conferencing</t>
  </si>
  <si>
    <t>Remotely delete content, Chats, Files from an user who leaves - Knowledge transfer</t>
  </si>
  <si>
    <t>Restrict people from sharing what you send them</t>
  </si>
  <si>
    <t>In the Webapp, user still gets the option to share a restricted content.</t>
  </si>
  <si>
    <t>Restrict sharing of specific shared content</t>
  </si>
  <si>
    <t>Biometric Fingerprint/Face lock</t>
  </si>
  <si>
    <t>The app doesn't check if the phone has finger print or face lock feature available or not, neither does it have an option for the user himself to enable or disable for these option to be available to use. Also, in case of webapp, hide &amp; lock pin always show both options even though finger print and face lock is not possible in case of webapp.</t>
  </si>
  <si>
    <t>Calendar entries integrate with phone calendar</t>
  </si>
  <si>
    <t>Shared Calendars</t>
  </si>
  <si>
    <t>Mark as complete and Incomplete</t>
  </si>
  <si>
    <t>Multi select options - Mark as Read and Unread</t>
  </si>
  <si>
    <t>Mark as read or unread is not developed for multi select. Also, other options like - Delete, Copy to Folder, Move to Folder, Copy to Profile are missing in case of multi select</t>
  </si>
  <si>
    <t>Schedule reminders/ calendar events in other users device</t>
  </si>
  <si>
    <t>See all your reminders/ calendar events in a new innovative look (personal/</t>
  </si>
  <si>
    <t>Notifications</t>
  </si>
  <si>
    <t>Follow up reminders and Calendars</t>
  </si>
  <si>
    <t>As per the user story, user should be able to create a follow up reminder or a follow up event for already existing tasks &amp; events. But currently the follow up functionality is developed such that user gets an option to add follow up to the event which just sends an email to the participants.</t>
  </si>
  <si>
    <t>Start and Stop button for Calendar and reminder</t>
  </si>
  <si>
    <t xml:space="preserve">Shared calendars - Accept and Reject option and Participants list </t>
  </si>
  <si>
    <t>Single line chat for ease and speed</t>
  </si>
  <si>
    <t>All</t>
  </si>
  <si>
    <t>End to End Data encryption</t>
  </si>
  <si>
    <t>High</t>
  </si>
  <si>
    <t>Nitin/Harshdeep</t>
  </si>
  <si>
    <t>End to End Encryption is not yet implemented</t>
  </si>
  <si>
    <t>Will be completed after phase3 development</t>
  </si>
  <si>
    <t>Folder/Group PIN/ Fingerprint/Face lock</t>
  </si>
  <si>
    <t>Multiple sections for each business, personal</t>
  </si>
  <si>
    <t>Option to choose which users can post in a group</t>
  </si>
  <si>
    <t>As of now, the chat section doesn't load any chats/chat listing as soon as a group was created from the admin panel. Due to this blocker, the point cannot be cleared.</t>
  </si>
  <si>
    <t>Option to disable external social share</t>
  </si>
  <si>
    <t>Option to enforce app pin to users</t>
  </si>
  <si>
    <t>Option to have hidden and locked groups</t>
  </si>
  <si>
    <t>Option to restrict viewing details of users in any group</t>
  </si>
  <si>
    <t>As of now, the chat section doesn't load any chats/chatlisting as soon as a group was created from the admin panel. Due to this blocker, the point cannot be cleared. Also, admin doesn't have the option to set this right at the time of group creation. He only gets this option in case of editing an already existing group.</t>
  </si>
  <si>
    <t>Screen shot restrictions</t>
  </si>
  <si>
    <t>WebApp doesn't prevent users from taking any screenshots &amp; also in IOS doest prevent user to take screenshot</t>
  </si>
  <si>
    <t>Restriction on Users to Create group</t>
  </si>
  <si>
    <t>Enterprise users are now getting the option to create group instead of an alert "Only admins can create groups" like earlier.</t>
  </si>
  <si>
    <t>All content is available offline/ Online</t>
  </si>
  <si>
    <t>Offline/Online feature is not yet developed in any section of the app.</t>
  </si>
  <si>
    <t>Will do it later</t>
  </si>
  <si>
    <t>Bulk upload of users rather than individual</t>
  </si>
  <si>
    <t>Content/ Files and chats view across folders, based on search and filter</t>
  </si>
  <si>
    <t>Personal/ Enterprise and Public space</t>
  </si>
  <si>
    <t>Real time notification by Admin to users. ( Selective users / All users )</t>
  </si>
  <si>
    <t>Save text and tags with images/ other files</t>
  </si>
  <si>
    <t>In the webapp and ios , Images/media is unable to get uploaded currently</t>
  </si>
  <si>
    <t>Support for templates (Create your own also)</t>
  </si>
  <si>
    <t>View all content in one Tab</t>
  </si>
  <si>
    <t>Virtual Folders</t>
  </si>
  <si>
    <t>Currently virtual folders only get created based on the tag filter criteria and not the remaining criteria. Also, after creation, the folders cannot be edited or deleted.</t>
  </si>
  <si>
    <t>Reopen(will be done  on 28 - jan)</t>
  </si>
  <si>
    <t>Pop-up for easy save</t>
  </si>
  <si>
    <t>The One Click Save feature still has some pending bugs that are being worked up on.</t>
  </si>
  <si>
    <t>Text and all file formats can be saved &amp; managed on one platform</t>
  </si>
  <si>
    <t>In case of webapp, user unable to upload or add any file format in one to one or group chat. In case of android, user unable to view word/ powerpoint or other microsoft office suite file other than excel.</t>
  </si>
  <si>
    <t>Still in the webapp and android , user unable to upload or add any file format in one to one or group chat. In case of android, user unable to view word/ powerpoint or other microsoft office suite file other than excel.</t>
  </si>
  <si>
    <t>Drag &amp; drop interface</t>
  </si>
  <si>
    <t>The drag and drop doesn't save the changed the list sequence in All Content Section. The user faces difficulty dropping the content at the very end of the list in case of webapp.</t>
  </si>
  <si>
    <t>Have multiple chat windows with the same person or group</t>
  </si>
  <si>
    <t>Basic/core thread functionality has been tested and found working. In detail testing may have bugs that are reported in the internal sheet</t>
  </si>
  <si>
    <t>New group member gets access of all the content from the start</t>
  </si>
  <si>
    <t>Share content across all social media and apps without leaving</t>
  </si>
  <si>
    <t>In case of webapp, the social share for any content is not working.</t>
  </si>
  <si>
    <t>Support for private groups and 1:1 direct</t>
  </si>
  <si>
    <t>Threads or sub chats - interconnected chats on any group or chat window</t>
  </si>
  <si>
    <t>Unread section to manage all your incoming messages efficiently</t>
  </si>
  <si>
    <t>Copy to Profile</t>
  </si>
  <si>
    <t>Option to decide content size - Memory saving</t>
  </si>
  <si>
    <t>The user stories mention a point where the user chooses the desired size to optimize memory usage. Application compresses and saves the entry accordingly. This point was never developed and handed over for testing.</t>
  </si>
  <si>
    <t>Will be completed after phase3 development(Offline-Online)</t>
  </si>
  <si>
    <t>Report Abuse</t>
  </si>
  <si>
    <t>Search all text/ file formats/ chats in one go</t>
  </si>
  <si>
    <t>As per the Hylyt 2.0 sheet - this point says -  Allow users to search for all types of content, including text, file formats, and chats, in a single search query. But the search results do not include various files of different format in the results as of now.</t>
  </si>
  <si>
    <t>Data encrypted on mobile too</t>
  </si>
  <si>
    <t>Currently any file downloaded through the chat gets stored in an encrypted format within 20-30 folder layers but this point talks about any content/file stored in the mobile which includes files storage as a result of attachment retention period. As this is not yet developed, cannot pass this point.</t>
  </si>
  <si>
    <t>Pending</t>
  </si>
  <si>
    <t>No need to leave screen to save the content</t>
  </si>
  <si>
    <t>This point is also about One Click Save feature and that still has some pending bugs that are being worked up on.</t>
  </si>
  <si>
    <t>Edit and version control</t>
  </si>
  <si>
    <t>Edit and version control is missing in case of reminder and events.</t>
  </si>
  <si>
    <t>One Click Save on any app, any screen on your mobile devices</t>
  </si>
  <si>
    <t xml:space="preserve">Super Admin Panel </t>
  </si>
  <si>
    <t>Point related to master console reported in internal defect sheet</t>
  </si>
  <si>
    <t>Groups created by Admin only</t>
  </si>
  <si>
    <t>As of now, the enterprise users are able to create a group themselves too instead of only by the enterprise admins.</t>
  </si>
  <si>
    <t>Pull back text, files, chat content at any time from an user or group</t>
  </si>
  <si>
    <t>Host data on the users server</t>
  </si>
  <si>
    <t>Harsdeep/kushagra</t>
  </si>
  <si>
    <t>This point is yet to be developed and hence has not come to the testing.</t>
  </si>
  <si>
    <t>Kushagra will look into this</t>
  </si>
  <si>
    <t>In Progress(Monday)</t>
  </si>
  <si>
    <t>Enterprise can transfer content from one user to another remotely instantly – Knowledge treansfer</t>
  </si>
  <si>
    <t>Role based multi-Level Admin panel</t>
  </si>
  <si>
    <t>Role based Rights</t>
  </si>
  <si>
    <t>Option to have ghost users to watch over the group chat</t>
  </si>
  <si>
    <t>Selective Broadcast option for admin</t>
  </si>
  <si>
    <t>Browser Version access</t>
  </si>
  <si>
    <t>Download contact by super admin</t>
  </si>
  <si>
    <t>Downloaded sheet dont have te extact contact</t>
  </si>
  <si>
    <t>Pause/ Inactivate any group temporarily</t>
  </si>
  <si>
    <t>Create your own communities</t>
  </si>
  <si>
    <t>In one of the older discussion calls with Ram, it was communicated that this feature is nothing but the broadcast feature which is working fine in both android &amp; WebApp</t>
  </si>
  <si>
    <t>Files received not viewable in media/download folder</t>
  </si>
  <si>
    <t>Received files are unable to get downloaded in the webapp therefore unable to test whether they are accessible or not in the download folder.</t>
  </si>
  <si>
    <t>Still not working</t>
  </si>
  <si>
    <t>Group Quota - Admin can decide the limit of</t>
  </si>
  <si>
    <t>Private text chat (hidden and PIN locked) possible both 121 and group</t>
  </si>
  <si>
    <t>Multi-device access simultaneously with real time data sync</t>
  </si>
  <si>
    <t>White labelling to show the User Company’s name and logo</t>
  </si>
  <si>
    <t>Nitin</t>
  </si>
  <si>
    <t>White labeling functionality is not persent in the production build</t>
  </si>
  <si>
    <t>In Progress</t>
  </si>
  <si>
    <t>Dashboard for Summary and Data visualization</t>
  </si>
  <si>
    <t>In the WebApp, the activity bar graph has currently been removed because the plug-in used to build it was not being supported.</t>
  </si>
  <si>
    <t>Share instantly to HyLyt groups from any app, any screen on your mobile</t>
  </si>
  <si>
    <t>This is about One Click Save feature which still has some pending bugs that are being worked up on.</t>
  </si>
  <si>
    <t>Chat group - 4 kinds of permissions</t>
  </si>
  <si>
    <t>New Phase-2</t>
  </si>
  <si>
    <t>Phase 2</t>
  </si>
  <si>
    <t>Content backed up to cloud instantly</t>
  </si>
  <si>
    <t>Merge content from different sources saved at different times</t>
  </si>
  <si>
    <t>Bugs related to merge content have been logged in the internal bug sheet, such as participants of all the selected content do not get fetched in the newly merged content.</t>
  </si>
  <si>
    <t>Two-way audio &amp; video</t>
  </si>
  <si>
    <t>In the chat section still audio / video not working</t>
  </si>
  <si>
    <t>This is a part of R&amp;D. (Will confirm the final update on 28-01-26)</t>
  </si>
  <si>
    <t>Free version is not supported for this feature</t>
  </si>
  <si>
    <t>Print your chat,notes, and other contents (121 and group) or create a PDF</t>
  </si>
  <si>
    <t>The user ermains unable to print reminders. Other issues related to print have been shared and logged in the internal bug sheet</t>
  </si>
  <si>
    <t>In the webapp, none of the folders are opening up to manage their content when clicking on them</t>
  </si>
  <si>
    <t>Content management and messaging integration</t>
  </si>
  <si>
    <t>Desktop &amp; mobile messaging</t>
  </si>
  <si>
    <t xml:space="preserve">Send messages with predefined tags (structured) to users: </t>
  </si>
  <si>
    <t>As of now, user cannot pre tag a message before sending it</t>
  </si>
  <si>
    <t xml:space="preserve">Scan and digitize business cards: </t>
  </si>
  <si>
    <t xml:space="preserve">In case of WebApp, the scan and digitize business card functionality is not working </t>
  </si>
  <si>
    <t xml:space="preserve">Scan: </t>
  </si>
  <si>
    <t xml:space="preserve">In case of WebApp, the scan functionality is not working </t>
  </si>
  <si>
    <t>Share content without attachment button</t>
  </si>
  <si>
    <t>User doesn't get the option to choose whether to print the reminder/chat or video conference with or without attachment. Other bugs are reported in the internal sheet</t>
  </si>
  <si>
    <t>Locked and Restricted Button</t>
  </si>
  <si>
    <t>In case of webapp, the lock and restrict conditions are only being met.</t>
  </si>
  <si>
    <t>Simulation of users profile by Super Admin</t>
  </si>
  <si>
    <t>Import and Export of Excel sheet</t>
  </si>
  <si>
    <t>In case of Webapp, the download sample file and upload excel file functionality doesn't work in case of import. Also, the export button doesn't export the selected content. In case of android, error 404 appears when user tries to import a reminder file.</t>
  </si>
  <si>
    <t xml:space="preserve">Change Reminders Name to Task </t>
  </si>
  <si>
    <t>User able to create task from reminder and vice-versa</t>
  </si>
  <si>
    <t xml:space="preserve"> Reminders and Calendars creating option for Individual or for all in the groups </t>
  </si>
  <si>
    <t>User gets the option to create event for individual or for groups but the option to create reminder for any other user other that himself or any other groups has not yet been developed.</t>
  </si>
  <si>
    <t>Chat - sender can pull back content at anytime - if sender has edit/ delete rights</t>
  </si>
  <si>
    <t>In the webapp, user clicks on delete for me or delete for everyone but the chat message doesn't get deleted.</t>
  </si>
  <si>
    <t xml:space="preserve">Create and Send voice notes or Voice Message in Chats and other areas </t>
  </si>
  <si>
    <t>In case of webapp, note/reminder/chat/event, when user clicks on audio recording button, screen goes blank. In case of android, the user remain unable to record and attach audio while creating any event and in the folder section user remains unable to play the recorded audio after uploading</t>
  </si>
  <si>
    <t>17- 09-25</t>
  </si>
  <si>
    <t>Feedback points-(Phase-2) - Feedback 1</t>
  </si>
  <si>
    <t>As of now multi-selection of messages is not implemented in the chat. This needs to be top priority for phase 2 </t>
  </si>
  <si>
    <t>Forwad options missing in case multi selection of chat messages. In case of webapp, the already present multi select options do not work - Delete, mark as favourite, add tags and pin/unpin</t>
  </si>
  <si>
    <t>HyLyt-Phase-2 &amp; Phase-3 Feature List Tracker &amp; Timeline-12-12-2026</t>
  </si>
  <si>
    <t>Repeat functionality for the events is not done in phase 1. It should be top priority for phase 2 </t>
  </si>
  <si>
    <t>Repeat functionality has been developed and is working. Some bugs related to it are logged in the internal sheet and due to those a duplicate point further below in the sheet is marked as failed. As this one was just for the missing functionality therefore setting the status as Pass.</t>
  </si>
  <si>
    <t>HyLyt-Phase-2 &amp; Phase-3 Feature List Tracker &amp; Timeline-12-12-2027</t>
  </si>
  <si>
    <t>The option to create a chat using any content like (note/task/event) is missing/not functional </t>
  </si>
  <si>
    <t>HyLyt-Phase-2 &amp; Phase-3 Feature List Tracker &amp; Timeline-12-12-2028</t>
  </si>
  <si>
    <t>Virtual background should be functional in the Jitsi meet </t>
  </si>
  <si>
    <t>Feedback points-(Phase-2) - Feedback 2</t>
  </si>
  <si>
    <t xml:space="preserve"> Attachment criteria in the filters section is to be done on priority for phase 2.</t>
  </si>
  <si>
    <t>Attachment filter criteria is either not working correct or is not working at all in some of the sections. All the bugs related to it are logged in the internal bug sheet and are work in progress</t>
  </si>
  <si>
    <t>Working fine</t>
  </si>
  <si>
    <t>The file search functionality should be functional in every section of the app where the search functionality is present.</t>
  </si>
  <si>
    <t xml:space="preserve">The file search functionality is as of now only implemented in the folder section and rest prefer to internal bug  </t>
  </si>
  <si>
    <t>on the web and android : -&gt;  file search functionality is not working for reminder.</t>
  </si>
  <si>
    <t>The get info functionality should not only be for Folders but also be for the contents as well (note/task/event)</t>
  </si>
  <si>
    <t xml:space="preserve"> Meeting log format for the event details page needs to shared by Rajat ji from the existing Hylyt application.</t>
  </si>
  <si>
    <t>Meet log format was received.</t>
  </si>
  <si>
    <t>Reminder section's listing page needs to be consistent with the listing pages of other content types present (note/task/event)</t>
  </si>
  <si>
    <t>The entries in the reminder section listing page doesn't mention the folder in which they are saved just like how the note &amp; events do in their respective listing pages. Also, in case attachments are added with a reminder, the attachments icon doesn't appear with the entry.</t>
  </si>
  <si>
    <t>When user opens any attachment, user should have the option to print it. (if the file type is printable - image/pdf/documents etc)</t>
  </si>
  <si>
    <t xml:space="preserve">In case of Webapp, the print option that appears when user view's the attachment doesn't print it. In case of android, in the print preview, for image files or doc files, instead of actual image or content, the file name gets fetched, word, powerpoint documents do not open up to check if they get printed. </t>
  </si>
  <si>
    <t>For social share, user should also have an "others" button clicking on which user would be able to select from the list of other social sharing platforms that are installed in the device to share the content on.</t>
  </si>
  <si>
    <t>The actual content doesn't get shared whether user chooses other social platforms or the platforms available to select.</t>
  </si>
  <si>
    <t>For folder listing pages, the tags assigned to the folder should also be shown in the listing page. Just besides the items &amp; sub folders, one of the tag assigned to the folder should be shown, if more than 1 assigned then the total count of the remaining tags would be shown besides it.</t>
  </si>
  <si>
    <t>Virtual background feature is present in Jitsi that needs to be implemented.</t>
  </si>
  <si>
    <t>Convert to chat - When we convert any content to chat, then all the fields of the content will get sent in the chat room along with their headers (including attachments). Vice versa, when any selected message in the chat is to be converted to a note/task/event then it would get fetched in the input box of the content basis on the header it has. For Ex. if a chat message has header "Title" and user is converting it to a note/task/event, then while conversion the message would get fetched in the title input box of the content.</t>
  </si>
  <si>
    <t>Fields like Date, Reminder, Timezone, Participants, Assignees do not get auto-fetched when converting a chat message to any content. 
When converting a content to chat, some of the fields mentioned above do not appear in the chat message and for some fields that are empty (tags, folders, source etc, instead of N/A or None the field name itself is used as value.
When a content is converted to chat, the description fields comes with the formatting tags like &lt;p&gt; &lt;br&gt; etc.
User cannot sent both text and attachment in the same message therefore unable to test if any chat messag having both attachment and text when attempted to be converted to a content gets both attachment and text fields auto-filled or not.</t>
  </si>
  <si>
    <t>Virtual folder creation would not only be on the basis of the applied tag filter but instead on the basis of all the filter criteria.</t>
  </si>
  <si>
    <t>The virtual folder creation currently only happens on the basis of tags not on pther filter criteria. This functionality is currently in progress (yet to be developed)</t>
  </si>
  <si>
    <t>Feedback points-(Phase-2) - Chirayu's Sheet</t>
  </si>
  <si>
    <t>PIN page should dynamically show Face ID / Fingerprint options based on phone model.</t>
  </si>
  <si>
    <t>Accept/Reject/other actions do not remove the notification from the list. </t>
  </si>
  <si>
    <t>No option to view notification details.</t>
  </si>
  <si>
    <t>Theme change not functioning. </t>
  </si>
  <si>
    <t>Theme change feature has not yet been developed and received for testing as per the requirement.</t>
  </si>
  <si>
    <t>Show only relevant icons (star, reminder, calendar). </t>
  </si>
  <si>
    <t>“All Day” option not working. </t>
  </si>
  <si>
    <t>Meeting link logic (when HyLyt mode is selected) unclear. </t>
  </si>
  <si>
    <t>Explanation was given why meet link is shown when Hylyt/yunify is selected - because it is for the in app meetings (Jitsi)</t>
  </si>
  <si>
    <r>
      <t>Meeting start should be restricted to </t>
    </r>
    <r>
      <rPr>
        <b/>
        <sz val="11"/>
        <color rgb="FF000000"/>
        <rFont val="Arial"/>
        <family val="2"/>
      </rPr>
      <t>15 mins before</t>
    </r>
    <r>
      <rPr>
        <sz val="11"/>
        <color rgb="FF000000"/>
        <rFont val="Arial"/>
        <family val="2"/>
      </rPr>
      <t> and </t>
    </r>
    <r>
      <rPr>
        <b/>
        <sz val="11"/>
        <color rgb="FF000000"/>
        <rFont val="Arial"/>
        <family val="2"/>
      </rPr>
      <t>15 mins after</t>
    </r>
    <r>
      <rPr>
        <sz val="11"/>
        <color rgb="FF000000"/>
        <rFont val="Arial"/>
        <family val="2"/>
      </rPr>
      <t> scheduled time. UI for starting/joining meeting is not intuitive. </t>
    </r>
  </si>
  <si>
    <t>“Create Chat” option not working. </t>
  </si>
  <si>
    <t xml:space="preserve">Smart Folders: 
Should be available in Add button dropdown. 
Not visible in app currently. </t>
  </si>
  <si>
    <t>Role missing. </t>
  </si>
  <si>
    <t>Option to add group photo missing. </t>
  </si>
  <si>
    <t>This is passed on the basis of user getting the option to add a group photo after the group being created. but, in case of webapp, dart.io error appears when user tries to add a group photo.</t>
  </si>
  <si>
    <t>Indicate when filter is applied. </t>
  </si>
  <si>
    <t>Repeat option not working. </t>
  </si>
  <si>
    <t>The issues related to the repeat functionality are reported in the bug sheet.</t>
  </si>
  <si>
    <r>
      <t>Separate </t>
    </r>
    <r>
      <rPr>
        <b/>
        <sz val="11"/>
        <color rgb="FF000000"/>
        <rFont val="Arial"/>
        <family val="2"/>
      </rPr>
      <t>Create</t>
    </r>
    <r>
      <rPr>
        <sz val="11"/>
        <color rgb="FF000000"/>
        <rFont val="Arial"/>
        <family val="2"/>
      </rPr>
      <t> and </t>
    </r>
    <r>
      <rPr>
        <b/>
        <sz val="11"/>
        <color rgb="FF000000"/>
        <rFont val="Arial"/>
        <family val="2"/>
      </rPr>
      <t>Join</t>
    </r>
    <r>
      <rPr>
        <sz val="11"/>
        <color rgb="FF000000"/>
        <rFont val="Arial"/>
        <family val="2"/>
      </rPr>
      <t> buttons. </t>
    </r>
  </si>
  <si>
    <t>Required fields should be clearly highlighted. </t>
  </si>
  <si>
    <r>
      <rPr>
        <sz val="11"/>
        <color rgb="FF000000"/>
        <rFont val="Aptos Narrow"/>
      </rPr>
      <t>Notifications are not coming. Test </t>
    </r>
    <r>
      <rPr>
        <b/>
        <sz val="11"/>
        <color rgb="FF000000"/>
        <rFont val="Arial"/>
        <family val="2"/>
      </rPr>
      <t>all notifications</t>
    </r>
    <r>
      <rPr>
        <sz val="11"/>
        <color rgb="FF000000"/>
        <rFont val="Arial"/>
        <family val="2"/>
      </rPr>
      <t> and share detailed report. </t>
    </r>
  </si>
  <si>
    <t>Currently all required notifications/push notification do not get triggered.</t>
  </si>
  <si>
    <t>In progress</t>
  </si>
  <si>
    <t>25/11/2025</t>
  </si>
  <si>
    <t>Web Panel Feedback</t>
  </si>
  <si>
    <t>IOS</t>
  </si>
  <si>
    <t>When user clicks on the forget password and enters an email. When clicks on send OTP, it directly redirects to enter login pin section.</t>
  </si>
  <si>
    <t>WebApp</t>
  </si>
  <si>
    <t>Login page, clicks on the email input box, clicks on the auto fill tab, password field gets auto filled.</t>
  </si>
  <si>
    <t>User enters credentials and clicks on login, it takes a while to land on the dashboard page, no loader appears for this.</t>
  </si>
  <si>
    <t>On the dashboard page, there is no partition line below the header bar</t>
  </si>
  <si>
    <t>When a content is created from Webapp, it doesn't show in real time on the Device and vice versa.</t>
  </si>
  <si>
    <t>When inside a chat room, the entire screen width is not being utilized, only the chat room conversation gets shown instead of the navigation pane and the chat listing side bar as well (like in whatsapp web)</t>
  </si>
  <si>
    <t>Only the chat listing page is shown on the left hand side of the screen, the navigation pane is still not shown.</t>
  </si>
  <si>
    <t>When user clicks on the details page of any content, for a slight moment a blank grey box screen appears before the details page loads.</t>
  </si>
  <si>
    <t>Task - copy to profile - "No Task Found" error appears. User unable to copy the task to other profile.</t>
  </si>
  <si>
    <t>On the folders tab of each section below the search bar, when user selects a folder, its selector indicator style doesn't match with the selection style followed for other tabs.</t>
  </si>
  <si>
    <t>When user applies a filter, the count of the filtered content is not shown.</t>
  </si>
  <si>
    <t>In case of webapp, even when a single criteria is selected for filter, the count indicator shows the count as 2.</t>
  </si>
  <si>
    <t>All the existing filter criteria in the existing hylyt application is not working in the new app.</t>
  </si>
  <si>
    <t>The filter criteria missing or not working are listed in the bug sheet</t>
  </si>
  <si>
    <t>All the sections that have a calendar button on the top right (besides or above search bar) is not functional.</t>
  </si>
  <si>
    <t>In the folder's section when user clicks on any note/task/event present in the folder, instead of the details page of the content opening, a blank screen appears.</t>
  </si>
  <si>
    <t>Unable to check in case of reminders because reminders do not appear in the folder that we set them in. Also, in case of webapp, the folders do not open clicking on them therefore unable to check if the details page opens in case of webapp or not.</t>
  </si>
  <si>
    <t>In the Edit &amp; Version control pop up, only one version can be selected to restore still check boxes are given with each version in their list.</t>
  </si>
  <si>
    <t>In case of WebApp, the edit history doesn't open for the notes."Something went wrong" error appears.</t>
  </si>
  <si>
    <t>In the Edit &amp; Version control pop up,  with each verision in the list, only description gets shown instead of that versions title as well.</t>
  </si>
  <si>
    <t>Anyone can join toggle button feature is not yet implemented.</t>
  </si>
  <si>
    <t>Currently it is mandatory for the participants to be added in order for an event to be created. User not able to create event without selecting any participants (for cases when an event needs to be created for external users).</t>
  </si>
  <si>
    <t>There is no identification in the listing pages regarding the content type.</t>
  </si>
  <si>
    <t>In case of both app and the webapp, the note content that appear in the all content listing page and the dashboard search show the clock icon which is for reminder. They should instead show the note icon if the entry is a note entry</t>
  </si>
  <si>
    <t>Reminders &amp; Events entries do not show their scheduled date &amp; time in any listing pages they appear in.</t>
  </si>
  <si>
    <t>In case of both app and webapp, the events that appear in the dashboard search do not show their start as well as end time</t>
  </si>
  <si>
    <t>When user converts a content to another, the toast alert duration is for a short moment leaving the user unable to read it.</t>
  </si>
  <si>
    <t>When user converts a note or reminder to any other content, a duplicate content gets created instead of that particular note/content turning into the new one.</t>
  </si>
  <si>
    <t>Currently convert to chat funcationality is not implemented.</t>
  </si>
  <si>
    <t>If a content has more than 1 attachment in it and user tries to convert it to chat, only 1 attachment gets fetched in the chat instead of all. In case of webapp, when the content gets fetched in the chat, the send button doesn't work. Clicking on it doesn't send the content</t>
  </si>
  <si>
    <t>Case when task or event gets converted to any other content type, a duplicate gets created instead of the task or event getting replaced into the new content.</t>
  </si>
  <si>
    <t>Case when a task is converted to an event or event is converted to a task, duplicate content gets created instead of the content getting replaced as the new content type.</t>
  </si>
  <si>
    <t>As per the latest discussions that were held in the demo call regarding this, it is ok for the task and events to get duplicated when being converted to another content.</t>
  </si>
  <si>
    <t>The drag &amp; drop functionality is currently not present in the latest build.</t>
  </si>
  <si>
    <t>Currently the trash section only shows the count of content that is deleted by the user.</t>
  </si>
  <si>
    <t>Even if there is content that got deleted, the trash section remains empty in the webapp</t>
  </si>
  <si>
    <t>Phase1 Feedback(09-10-25) List 1</t>
  </si>
  <si>
    <t>App</t>
  </si>
  <si>
    <t>User should be able to hide &amp; lock both one to one &amp; group chat room in the chat folder as well. This functionality is not yet implemented.</t>
  </si>
  <si>
    <t>Jaideep's suggestion - Trash section button should not be in the side bar menu. It should've been in the more section at the navigation pane bottom right.</t>
  </si>
  <si>
    <t>When user creates an event using a message sent in a chat room or group, all the chat room participants should be fetch in the event's participant list. Rajat ji mentioned that this needs to happen for reminder as well. But in case of reminder, we do not have any participant field to add for the reminder.</t>
  </si>
  <si>
    <t>The reminder doesn't have the option to add participants therefore currently only in case of converting a message to event, the group particpants are get auto fetched as participant in the  reminder event.</t>
  </si>
  <si>
    <t>The content count shown on the top heading of each section should instead be shown at the bottom navigation pane besides each section name.</t>
  </si>
  <si>
    <t>Multiple events should be able to get shared with multiple users. The users with whom the event is shared will get added in the participant list. Currently only single event can get shared at a time instead of multiple.</t>
  </si>
  <si>
    <t>When user tries to share multiple event with multiple users, it takes a lot longer than usual for the selected event/s to get shared successfully and "failed to share" error also occurs sometimes. Also the multi select/share UI needs to be improved as when more than 3-4 users get selected they start to overlap the contact list itself making the user unable to select further contacts</t>
  </si>
  <si>
    <t>The reminder and calender notifications need to be implemented. Currently user doesn't get the push notification at the scheduled time of the event or reminder.</t>
  </si>
  <si>
    <t>Ios : push notification is not coming , android, when already opened YunifyTalk , then push notification not coming.</t>
  </si>
  <si>
    <t>Reopen</t>
  </si>
  <si>
    <t>When the event is synced with the user's local calendar, its reminder should also be added there for the user to view when he checks in his local calendar. And the local calendar should also send a reminder at the event's scheduled time.</t>
  </si>
  <si>
    <t>In case of webapp, the events do not get synced with the system's calendar. In case of android, the same "Remind me before" time that the user selects doesn't get set in the local calendar. Also, if user edits the time or remind me time of the event, it doesn't get updated in the local device calendar.</t>
  </si>
  <si>
    <t>User should be able hide &amp; lock one on one chats &amp; groups chat rooms as well in the chat section. This functionality is not yet implemented. User should have the option to unlock or view the hidden chat rooms using his set pin/ fingerprint  or facelock.</t>
  </si>
  <si>
    <t>A new logo of "yunify" would be provided by Rajat ji. The hylyt logo everywhere is to be replaced by this new "Unify" logo.</t>
  </si>
  <si>
    <t>The push notifications that get received in the android build has replaced the hylyt logo but the "Y" of new yunify logo is missing in each notification entry.</t>
  </si>
  <si>
    <t>Ghost user should not be included in the group member count.</t>
  </si>
  <si>
    <t>Admin</t>
  </si>
  <si>
    <t>Regarding report abuse, whenever any user reports a message in the chat, the admin should get the entire details of the message that was reported. Reported by whom, Sent by whom, in which chat room,  timings of the sent message, time when it was reported.</t>
  </si>
  <si>
    <t>The user should be able to access his hylyt account simultaneously at the same time on upto 5 devices.</t>
  </si>
  <si>
    <t>Even if 5 devices are not actively logged in, the error still appears.</t>
  </si>
  <si>
    <t>Dashboard for summary &amp; data visualization is not implemented. This is a basic scope point for Rajat ji. But Vector3 says this is a part of CR and first needs to be approved.</t>
  </si>
  <si>
    <t>In case of WebApp, the activity bar graph is removed currently because the plug in used to build it was not being supported</t>
  </si>
  <si>
    <t>Hylyt's logo should be present on the Admin Panel's login screen.</t>
  </si>
  <si>
    <t>On the Admin Panel, the button name should be "Restore" instead of "Pull back"</t>
  </si>
  <si>
    <t>In the enterprise admin Panel, there needs to be an option to select how many days/weeks/months of data can be restored for a user. Maximum optino that can be provided should be up to 180 days. Super admin will have the access to decide that the enterprise will have option to pull back data upto how many days.</t>
  </si>
  <si>
    <t>There is no need for hylyt_admin to manage personal user accounts. Only Super Admin &amp; Enterprise accounts would be there in the admin panel.</t>
  </si>
  <si>
    <t>Enterprise Admin  goes to app users &amp; check s the user share rights - The SRAC share right is not implemented.
SRAC Share check box defines if the forward button in the user's application would be available or not. It should be enabled by default and it is up to enterprise admin whether to provide the forward right to any particular user or not.</t>
  </si>
  <si>
    <t>In case of android unable to check in the chat room whether forward option appears after forward access is disabled from the admin panel because no contacts appear to start a chat room. In case of webapp no rights from the admin panel are being followed.</t>
  </si>
  <si>
    <t>In the Enterprise Admin, for the screenshot right, enable screenshot, yes &amp; no pop up is sufficient. No need for separate button disable screenshot.</t>
  </si>
  <si>
    <t>In the admin panel, the permission for the group users to have the right to view the group info or not is missing. There should be a permission for the enterprise admin in the group section to choose that in each group which group members can and cannot view the group info.</t>
  </si>
  <si>
    <t>While creating group from the admin panel, user doesn't have the option to enable or disble the permission to access group info and in case of edit, error appears and group doesn't get updated therefor unable to check</t>
  </si>
  <si>
    <t>Admin Panel</t>
  </si>
  <si>
    <t>On the Admin's login page, "Welcome to the Admin console for "&lt;Enterprise Name&gt;" needs to be present.</t>
  </si>
  <si>
    <t>Instead of "Welcome to" and then the Enterprise's name, it just shows "Enterprise"</t>
  </si>
  <si>
    <t xml:space="preserve">Enterprise Admin --&gt; For the import user functionality, all the permissions and rights of the users should also be included as field in the import file while importing blik users. Each user would have the permissions &amp; rights accordingly. The following permissions/rights should be included - 
Web Access, Storage Quota, Enable Disable Screenshot, Sharing rights, Enable Disable Save/Share </t>
  </si>
  <si>
    <t>Pointers are mentioned in  internal defect sheet</t>
  </si>
  <si>
    <t>Enterprise Admin --&gt; App users --&gt; Permission tabs --&gt; Enable Screen save/share &amp; Disable screen save/share is for the user to have permission to share his screen on a video/meeting.</t>
  </si>
  <si>
    <t>Even if admin disables the share screen access, user remain able to share his screen in jitsi meet</t>
  </si>
  <si>
    <t>Not working</t>
  </si>
  <si>
    <t>All the user permission &amp; rights tabs are give on the top so these tabs are not required to be present in the table with each user entry.
Screenshot - https://screenrec.com/share/aUBCYj5osb</t>
  </si>
  <si>
    <t>Enterprise Admin --&gt; Notification --&gt; Add Notification --&gt; Selective send --&gt;  The Designation, Department &amp; Badges drop down should get populated with the available designation, departments &amp; badges and the list should get filtered out accordingly.</t>
  </si>
  <si>
    <t>Enterprise Admin --&gt; Notification --&gt; Add Notification --&gt; Send Notification --&gt; While sending the notification from admin panel, error appears instead of notification getting sent.</t>
  </si>
  <si>
    <t>Notifications --&gt; View notification - In the notifications details, there should also be a list of users to whom the notification was sent.</t>
  </si>
  <si>
    <t>Enterprise Admin --&gt; Template section, the edit button label starts to show th entered template message. 
Screenshot - https://screenrec.com/share/H6OAf90JD4</t>
  </si>
  <si>
    <t>Enterprise Admin --&gt; Virtual Folders --&gt; Add virtual folder --&gt; Replace the content type field with "Name"</t>
  </si>
  <si>
    <t>Everywhere the virtual folder needs to be called "Smart Folder"</t>
  </si>
  <si>
    <t>All across the Admin panels, where their are drop down list background colour could be changed to grey so it doesn't blend with the white background and can get  differenciated visually.</t>
  </si>
  <si>
    <t>The drop down column colour is not changed in case of - yunify master console --&gt; Edit, Users, Deleted Users &amp; Admin Panel - App Users --&gt; Edit &amp; Restore</t>
  </si>
  <si>
    <t>Enterprise --&gt; App Users --&gt; Status - Inactive --&gt; When a user's status is marked as Inactive, either force logout the user immediately from the application and make him unable to login while inactive or do not show any data on his account till his account is inactive.</t>
  </si>
  <si>
    <t xml:space="preserve">In case of android, while user is logged in and admin inactivates  his account, the message that appears need to be corrected and token expired alert is not required. In case of WebApp no alert message gets shown. </t>
  </si>
  <si>
    <t>Enterprise --&gt; App Users --&gt; Instead of the data transfer button named as - "Modify subscriber" it should be " Knowledge Transfer".</t>
  </si>
  <si>
    <t>In case admin makes a group inactive, it should no longer fetch in the group listing on the application's chat section.</t>
  </si>
  <si>
    <t>Everywhere in the admin panel, instead of pagination and their buttons liks - show 25 entries etc. Each list should be a simple scroll.</t>
  </si>
  <si>
    <t>The table scroll is missing from Smart Folder section, Content Addition, Content Addition --&gt; Selective Send --&gt; Filter App Users, System Tags, Notifications --&gt; Selective Send --&gt; Filter App User. Hylyt Master Console --&gt; Organizations Table --&gt; Edit &amp; View Tabs</t>
  </si>
  <si>
    <t>Enterprise Admin --&gt; Adminstration --&gt; Add Administrator --&gt; Role --&gt; Super Admin &amp; Admin would have different rights. Rajat ji will share an update regarding the rights of both these roles.</t>
  </si>
  <si>
    <t>Even if a user somehow gets access to any Hylyt app content or file outside the Hylyt application and inside his local device storage, it should be encrypted and not open in any other app except Hylyt. Additionally, the file should be deeply nested within 30–40 levels of subfolders, making itnot possible to find or search for.</t>
  </si>
  <si>
    <t>In case of android, in the downloads folder, a content folder gets created that has the encrypted files. User should not be able to find the folder. In the webapp no such encryption or folder masking happens.</t>
  </si>
  <si>
    <t>Super Admin (to be called Hylyt master console) --&gt; Add Organization --&gt; In the list of admins of the enterprise there should be send credentials button for each admin in case the enterprise admin forgets his password. In case user forgets his password, we need to find a way  to send the user his credentials without using email or sms.</t>
  </si>
  <si>
    <t>Error occurs once user click on send credentails</t>
  </si>
  <si>
    <t>Super Admin (to be called Hylyt Master Console) --&gt; Add Organization - Server Tab --&gt; There should be an option for the admin to set which domain is to be used when the enterprise will be sending mails to its users - 
Use Hylyt/unify's email domain. OR
Use enterprise's pwn email domain- 
This option is useful for enterprise business who want to send emails and want to choose which email domain used to send email.</t>
  </si>
  <si>
    <t>Harshdeep/Kushagra</t>
  </si>
  <si>
    <t>"Super Admin (to be called Hylyt Master Console) --&gt; Add Organization - Server Tab --&gt; There should be an option for the admin to set which domain is to be used when the enterprise will be sending mails to its users - 
Use Hylyt/unify's email domain. OR
Use enterprise's pwn email domain- 
This option is useful for enterprise business who want to send emails and want to choose which email domain used to send email."</t>
  </si>
  <si>
    <t>Super Admin --&gt; Add Enterprise --&gt; The logo that gets set for each enterprise, the same should be shown everywhere - in the hylyt app, admin panel instead of hylyt's logo the enterprise logo should be shown and power by Hylyt/unify at the bottom corner footer. "Powered by Unify" needs to be present on every screen.</t>
  </si>
  <si>
    <t>On the login page of admin panel - Instead of "Sign in to our platform" it should only be "Sign in" Just at the bottom of the sign in form, powered by yunify.AI should be shown and at the top Enterprise's logo would be there.</t>
  </si>
  <si>
    <t>On the Enterprise Admin Login page, it still shows "Powered by Unify" instead of "Powered by yunify.AI"</t>
  </si>
  <si>
    <t>Everywhere in the admin panel, case when listing is shown on any page, instead of page scroll, the scroll should be on the list container itself.</t>
  </si>
  <si>
    <t>HyLyt-Phase-2 &amp; Phase-3 Feature List Tracker &amp; Timeline-12-12-2029</t>
  </si>
  <si>
    <t>Phase1 Feedback(09-10-25) List 2</t>
  </si>
  <si>
    <t>Super Admin</t>
  </si>
  <si>
    <t>Super admin for any enterprise would be created from the Hylyt master console.
i.) Super admin when logs in, he will get a view only rights for any user's data including other admins
ii.) Super admin will also get the option to download contacts. Where he can download user's contact list.
iii.) Super admin cannot delete any user's data.</t>
  </si>
  <si>
    <t>HyLyt-Phase-2 &amp; Phase-3 Feature List Tracker &amp; Timeline-12-12-2030</t>
  </si>
  <si>
    <t>Calendar --&gt; Create Event. It takes quite a while for an event to get created. It should get created instantly as soon as clicked on save.</t>
  </si>
  <si>
    <t>It still takes more than a few moments to create an event. The loader keeps going even when there are not many participants.</t>
  </si>
  <si>
    <t>HyLyt-Phase-2 &amp; Phase-3 Feature List Tracker &amp; Timeline-12-12-2031</t>
  </si>
  <si>
    <t>Calendar --&gt; Create Event --&gt; Repeat occurrence --&gt; Instead of "Repeat every", it should be "Repeat for"</t>
  </si>
  <si>
    <t>HyLyt-Phase-2 &amp; Phase-3 Feature List Tracker &amp; Timeline-12-12-2032</t>
  </si>
  <si>
    <t>Create Task --&gt; There should be an option to set timezone for the tasks as well like it is in the event section.</t>
  </si>
  <si>
    <t>HyLyt-Phase-2 &amp; Phase-3 Feature List Tracker &amp; Timeline-12-12-2033</t>
  </si>
  <si>
    <t>Filters --&gt; In the attachment filter criteria --&gt; There should also be an option to select attachment type like - Excel/PDF and others</t>
  </si>
  <si>
    <t>Both in the app and webapp, in all sections, the content doesn't get filtered according to the selected file type. Also, selected filter criteria doesn't remain selected when opened again even when it remains applied.</t>
  </si>
  <si>
    <t>HyLyt-Phase-2 &amp; Phase-3 Feature List Tracker &amp; Timeline-12-12-2034</t>
  </si>
  <si>
    <t>Dashboard/All Content --&gt; When user searches a keyword in the search bar the results that appear (notes/chat/event/reminder/folder) etc, there should be a differentiation. Different content type that appear should have their icon indicator as well.</t>
  </si>
  <si>
    <t>In the Web, in case of note in "All content" or dashboard search, reminder icon gets shown for notes instead of note's own icon</t>
  </si>
  <si>
    <t>HyLyt-Phase-2 &amp; Phase-3 Feature List Tracker &amp; Timeline-12-12-2035</t>
  </si>
  <si>
    <t>Event --&gt; Meeting Logs --&gt; In the Participants section --&gt;Those who didn't attend the meeting should be highlighted in red</t>
  </si>
  <si>
    <t>In the Web, something went wrong error appears when user opens the call log</t>
  </si>
  <si>
    <t>HyLyt-Phase-2 &amp; Phase-3 Feature List Tracker &amp; Timeline-12-12-2036</t>
  </si>
  <si>
    <t>Event --&gt; Meeting Logs --&gt; In the Participants section --&gt; A crown icon should be shown besides the participant who organized the event.</t>
  </si>
  <si>
    <t>HyLyt-Phase-2 &amp; Phase-3 Feature List Tracker &amp; Timeline-12-12-2037</t>
  </si>
  <si>
    <t>Event --&gt; Meeting Logs --&gt; The option to save the meeting log as a note is missing.</t>
  </si>
  <si>
    <t>HyLyt-Phase-2 &amp; Phase-3 Feature List Tracker &amp; Timeline-12-12-2038</t>
  </si>
  <si>
    <t>Reminders --&gt; Listing page --&gt;Reminder's date and time should also be shown with each entry like it is in the event section listing.</t>
  </si>
  <si>
    <t>HyLyt-Phase-2 &amp; Phase-3 Feature List Tracker &amp; Timeline-12-12-2039</t>
  </si>
  <si>
    <t>Create Virtual Folder --&gt; In the list of folders  a subsection should be created where the list of virtual folders created in that particular section should be shown.</t>
  </si>
  <si>
    <t>HyLyt-Phase-2 &amp; Phase-3 Feature List Tracker &amp; Timeline-12-12-2040</t>
  </si>
  <si>
    <t>Auto refresh the entries in every listing section for every 8-10 seconds. The entire listing page should not be refreshed but only the listing entries only just to get the updated entries without the user having to change the section manually to refresh and get latest updates</t>
  </si>
  <si>
    <t>HyLyt-Phase-2 &amp; Phase-3 Feature List Tracker &amp; Timeline-12-12-2041</t>
  </si>
  <si>
    <t>If a user has to take an action on something, it should have a notification entry. For example - Reminders, Tasks etc. (Both for self and for others)</t>
  </si>
  <si>
    <t>As of now, push notifications or normal bell icon notifications are not appearing for these triggers</t>
  </si>
  <si>
    <t>HyLyt-Phase-2 &amp; Phase-3 Feature List Tracker &amp; Timeline-12-12-2042</t>
  </si>
  <si>
    <t>Video conference --&gt; Join with a code --&gt; Instead of Name, a field to enter the meeting password should be there. Option to enter password before joining is missing. User should not be able to join without entering the password in the meeting unless meeting is set to "Anyone can Join"</t>
  </si>
  <si>
    <t>HyLyt-Phase-2 &amp; Phase-3 Feature List Tracker &amp; Timeline-12-12-2043</t>
  </si>
  <si>
    <t>Video conference --&gt; Add button --&gt; Instead of "Start Conference" it should be "Start Meeting" and as it is to instantly start a meeting ,the following fields needs to be removed - Region, repeat, remind, timezone</t>
  </si>
  <si>
    <t>HyLyt-Phase-2 &amp; Phase-3 Feature List Tracker &amp; Timeline-12-12-2044</t>
  </si>
  <si>
    <t>Video conference --&gt; Add button --&gt; Instead of "Schedule a Calendar" it should be "Schedule a Meeting"</t>
  </si>
  <si>
    <t>HyLyt-Phase-2 &amp; Phase-3 Feature List Tracker &amp; Timeline-12-12-2045</t>
  </si>
  <si>
    <t>Vector3 needs to share a recording of all the notification instances working on the app.</t>
  </si>
  <si>
    <t>Not all notification instances are working therefore the notification report is not yet shared.Required notification on these instance</t>
  </si>
  <si>
    <t>HyLyt-Phase-2 &amp; Phase-3 Feature List Tracker &amp; Timeline-12-12-2046</t>
  </si>
  <si>
    <t>There is no icon indicator regarding which tag is user created and which one is from admin.</t>
  </si>
  <si>
    <t>HyLyt-Phase-2 &amp; Phase-3 Feature List Tracker &amp; Timeline-12-12-2047</t>
  </si>
  <si>
    <t>Web App</t>
  </si>
  <si>
    <t>Screen loader is not implemented anywhere in the webapp</t>
  </si>
  <si>
    <t>HyLyt-Phase-2 &amp; Phase-3 Feature List Tracker &amp; Timeline-12-12-2048</t>
  </si>
  <si>
    <t>Calendar section --&gt; Calendar icon on the top right --&gt; Calendar Schedule --&gt; user should be able to drag and drop an event to any upcoming date in the mini calendar to change its scheduled date.</t>
  </si>
  <si>
    <t>When user long presses and drags an event/task, its description starts to show format tags like &lt;p&gt; &lt;br&gt; etc</t>
  </si>
  <si>
    <t>HyLyt-Phase-2 &amp; Phase-3 Feature List Tracker &amp; Timeline-12-12-2049</t>
  </si>
  <si>
    <t>Phase-2 Feedback(17-10-25) List 1</t>
  </si>
  <si>
    <t>Backup to cloud --&gt; While creating any content there should be an option for the user to instantly backup the content on his hylyt cloud storage.</t>
  </si>
  <si>
    <t>The content by default gets backed up on cloud</t>
  </si>
  <si>
    <t>HyLyt-Phase-2 &amp; Phase-3 Feature List Tracker &amp; Timeline-12-12-2050</t>
  </si>
  <si>
    <t>Merge Content --&gt; By default one of the folder &amp; date from the first content selected should be auto fetched for the new merged content.</t>
  </si>
  <si>
    <t>Instead of date from the contet that user selected first for merging, it picks the date of the content that appears first in the listing order.</t>
  </si>
  <si>
    <t>HyLyt-Phase-2 &amp; Phase-3 Feature List Tracker &amp; Timeline-12-12-2051</t>
  </si>
  <si>
    <t>Chat --&gt; Assign tags to a chat message --&gt; Whether the assigned tags for any message should be visible below its timestamp or in its get info needs to be confirmed by Rajat ji.</t>
  </si>
  <si>
    <t>This was confirmed by rajat ji that tags assigned to a particular message would be visible besides the timestamp of that message. But in case of webapp this functionality is not working.</t>
  </si>
  <si>
    <t>HyLyt-Phase-2 &amp; Phase-3 Feature List Tracker &amp; Timeline-12-12-2052</t>
  </si>
  <si>
    <t>Chat listing --&gt; There needs to be a small indicator below the chat room's profile icon whether the room is a main chat or a group or a thread/sub-thread.</t>
  </si>
  <si>
    <t>HyLyt-Phase-2 &amp; Phase-3 Feature List Tracker &amp; Timeline-12-12-2053</t>
  </si>
  <si>
    <t>In the chat listing, the tags assigned to each chat should be shown. Upto 1-2 tags should be shown, if more then their count can be shown like everywhere else.</t>
  </si>
  <si>
    <t>HyLyt-Phase-2 &amp; Phase-3 Feature List Tracker &amp; Timeline-12-12-2054</t>
  </si>
  <si>
    <t>If user shares a calendar or reminder in a group, it should get created for the group members. User should have the option to select members for whom it needs to be created before sharing.</t>
  </si>
  <si>
    <t>In case of reminder, creating or sharing reminder with other users or groups is not yet developed and for events, when group is selected to share, instead of group participant names - unknown users is shown.</t>
  </si>
  <si>
    <t>Phase-2 Feedback(17-10-25) List 2</t>
  </si>
  <si>
    <t>Dashboard --&gt; Top section -&gt; You have 30 unread notification needs to be removed. The progress bar shown in the below section would take its place.</t>
  </si>
  <si>
    <t>Thought of the day needs to be removed</t>
  </si>
  <si>
    <t>Navigation pane at the bottom --&gt; Count indicator should be shown for each section icon in the navigation pane.</t>
  </si>
  <si>
    <t>Navigation pane at the bottom --&gt; A more visible colour needs to be chosen to show the selected section in the navigation page (Jaydeep suggested Red)</t>
  </si>
  <si>
    <t>25-11-2025</t>
  </si>
  <si>
    <t>18th Nov Feedback Points</t>
  </si>
  <si>
    <t>In case of restricted file shared in the chat whether it is audio/video/pdf or a microsoft file - 
i.) Visibility of the file content when the screen is shared should be restricted
ii.) Print option outside or inside (when viewing the file) should be disabled.
iii.) Screenshots should be disabled.
iv.) Share button should be disabled.
v.) The "Save As" button of the in app file viewer should be disabled.</t>
  </si>
  <si>
    <t xml:space="preserve">The mentioned conditions are not being fulfilled in case of WebApp, in the ios unable to add attachment in chat so due to this blocker can further test </t>
  </si>
  <si>
    <t>In the chat section, the restricted icon colour should be changed to Red.</t>
  </si>
  <si>
    <t>Dashboard - Top section - 
i.) The meeting count should be only of today's meetings instead of all the meetings.
ii.) The task count should be the total pending tasks.</t>
  </si>
  <si>
    <t>Dashboard - Top section - The Today's Progress fuel bar should consider not only meetings count but tasks' count as well.</t>
  </si>
  <si>
    <t>Dashboard - Task Status - Donut Chart - Along with the percentages, the actual count of each task status should also be shown in brackets.</t>
  </si>
  <si>
    <t>Groups - Edit group - Instead of "Group Information" it can simply be "Group Info".</t>
  </si>
  <si>
    <t>All across the admin panel the drop down input boxes need to have this colour fill - #d5d5d5 as approved on call.</t>
  </si>
  <si>
    <t>All across the admin panel the sroller should be for the table itself instead of the entire page and the table headings should be sticky (on top)</t>
  </si>
  <si>
    <t>i.) The table scroll and sticky header UI is missing from Smart Folder section, Content Addition, Content Addition --&gt; Selective Send --&gt; Filter App Users, System Tags, Notifications --&gt; Selective Send --&gt; Filter App User. Hylyt Master Console --&gt; Organizations Table --&gt; Edit &amp; View Tabs
ii.) While scrolling, row values overlap with the  header - Video Conference, Notifications, App Users</t>
  </si>
  <si>
    <t>3 Test reports need to be shared with all the permutations &amp; combinations 
i.) Filters 
ii.) Notifications
iii.) Smart Folders</t>
  </si>
  <si>
    <t>Not all filters, notifications or virtual folder criteria work. Therefore report on either of these was not shared.</t>
  </si>
  <si>
    <t>For a call log, when user clicks on save, the meeting logs should get saved, instead of simply fetching the title &amp; description of the event. Also. the fetched meeting logs should be locked (not editable)</t>
  </si>
  <si>
    <t>In the Web, something went wrong error appears when user tries to save a call log as a note</t>
  </si>
  <si>
    <t>Event Details Page - 3 dots - Meeting credentials - Share option, the meeting credentials do not get fetched on the top and instead meeting title, description &amp; other details appears.</t>
  </si>
  <si>
    <t>Event - Anyone can join - it should also have share button and the copy button should be inside the share pop up itself.</t>
  </si>
  <si>
    <t>Event --&gt; Anyone can join: Disabled --&gt; In the 3 dot option list's meeting credentials pop up, the meeting link should not be available to share in order to prevent any unregistered user to join the meeting.</t>
  </si>
  <si>
    <t>Video Conference - Start meeting (Instant meeting) - Instead of save, name the buttons as "Start"</t>
  </si>
  <si>
    <t>Option to choose the virtual background of the meeting is still missing in jitsi.</t>
  </si>
  <si>
    <t>28th Nov Feedback points</t>
  </si>
  <si>
    <t>All Across then app, when user tries to convert a content, the option label should be - 
"Convert to Task"  "Convert to Note"  "Convert to Event"  "Convert to Reminder"  "Convert to Chat"</t>
  </si>
  <si>
    <t xml:space="preserve"> The "SRAC Share" needs to be changed to "Forward"</t>
  </si>
  <si>
    <t>When admin panel inactivates a user, the alert at the time of user's force logout should be "Your access has been revoked". In the demo call instead of the access revoked error, the (5 active) error appeared when tried to login after being inactive.</t>
  </si>
  <si>
    <t>While setting up the SMTP Server - 
Hylyt Master Console - 
Need to share the steps to create the app key for the email that can be used for the SMTP Server. Both for Gmail &amp; others.</t>
  </si>
  <si>
    <t>Instead of unify the name needs to be yunify.AI in the footers all across the admin panel</t>
  </si>
  <si>
    <t>In the Calendar section --&gt; User clicks on any Tab (Favourites/Today/Upcoming etc) if there are no events in the selected tab, instead of "No conferences", it should be "No Events"</t>
  </si>
  <si>
    <t>In the WebApp, in case of upcoming events, it still says "No Upcoming conferences"</t>
  </si>
  <si>
    <t>Meeting Details Page --&gt; Details --&gt; Call Logs --&gt; Save as Note --&gt;
As the call logs get fetched in the note description and it is not editable, it should have a lock icon indicating the same.</t>
  </si>
  <si>
    <t>While sharing any meeting credentials, the schedule time of the meeting should also be included with its Title &amp; Description</t>
  </si>
  <si>
    <t>Dashboard --&gt; Hero Section --&gt; Heading "Looks like a relaxes scheduled" needs to be changed to "Today's Schedule". This would be used at all times.</t>
  </si>
  <si>
    <t>Dashbaord --&gt; Hero Section --&gt; Progress Bar (Fuel Bar) --&gt; Heading should be "Current Status" instead of "Today's Progress"</t>
  </si>
  <si>
    <t>02nd Dec Feedback Points</t>
  </si>
  <si>
    <t>The app's tag line "Converse | Collaborate | Controls" needs to change. Replace with - Information | unlocked . aggregated . actionable</t>
  </si>
  <si>
    <t>Admin --&gt; Administrator --&gt; Add Administrator --&gt; Admins will not have the right to add a new administrator with super admin rights.</t>
  </si>
  <si>
    <t>In all sections of the app the search has to work not only for content's title &amp; description but also on folder, tag &amp; creator name as well along with the yellow highlight in case of a match.</t>
  </si>
  <si>
    <t>In case of webapp, Task &amp; video conference listing page - search is not working based on creator name. In case of android, not working in video conference section.
Both in Webapp &amp; in android, tag doesn't get highlighed in the search results when searched keyword is a tag.
Any searched keyword that matches with the title/desc/tag/creator name or folder in the video conference &amp; reminder section doesn't get yellow highlighted.</t>
  </si>
  <si>
    <t>All across the app, the date format needs to be changed to dd/mmm/yyyy - Example: 20 -Jan- 2025</t>
  </si>
  <si>
    <t>All Across the WebApp, the date format is still the previous one instead of new one.</t>
  </si>
  <si>
    <t>CR - user should have an option to set preference of where he wants to land after login -(Dashboard or Chat). In case chat is selected, user will land on the chat section but should also have a button to get redirected to the "Dashboard" page on the chat section itself.</t>
  </si>
  <si>
    <t>For the WebApp, the fixed position button on the bottom right to navigate to video conference &amp; chat section and the option for the user to set preference for the landing page is missing.</t>
  </si>
  <si>
    <t>Rishi-comment</t>
  </si>
  <si>
    <t>Vector 3 comment</t>
  </si>
  <si>
    <t xml:space="preserve">Assigned </t>
  </si>
  <si>
    <t>QA Comment dated : 11-02-2026</t>
  </si>
  <si>
    <t>Dev Comment(27-02-2026)</t>
  </si>
  <si>
    <t>QA Comment :- 27-02-2026</t>
  </si>
  <si>
    <t>folder open : but task, and notes not able to edit (edit button not visible ). Only meeting can be edit . Not able to manage task, notes - edit when selected thought folder</t>
  </si>
  <si>
    <t>working as expected.</t>
  </si>
  <si>
    <t>webapp Failed (chrome): search button available , but  when click on folder , no folder open , search not usable</t>
  </si>
  <si>
    <t>Working  as expected</t>
  </si>
  <si>
    <t>Functionality is Ok , but (Chat message to calendar/reminder ) , button should be "Convert as" (inline with other objects flow menu) , not Save as . It confused user as we are saving (downloading)</t>
  </si>
  <si>
    <t>Earlier it was discussed save as so it is implemented  save as 
Done - Convert as</t>
  </si>
  <si>
    <t>Earlier it was discussed save as so it is implemented  save as</t>
  </si>
  <si>
    <t>Failed, iOS, android : not able to send videos from Photos app, while attaching in chat - only pic coming in list , no video while attach via Gallery</t>
  </si>
  <si>
    <t>Webapp :Failed , follow-up activities should be logged in Calander /reminder activity, how many follow-up sends/when send. Fault implementation</t>
  </si>
  <si>
    <t>We are showing the count in listing page only</t>
  </si>
  <si>
    <t>Failed : chatroom screenshot can taken -where posted restricted message(iOS app crashing, when click on restricted image ) , but when open  restricted media  then not able to screenshot</t>
  </si>
  <si>
    <t>Not possible in ios, android Done</t>
  </si>
  <si>
    <r>
      <rPr>
        <sz val="11"/>
        <color rgb="FF000000"/>
        <rFont val="Aptos Narrow"/>
      </rPr>
      <t xml:space="preserve">received file in chat ,   webapp: send .xls files  download as name like q0l7uzsftdbe20v2tatwqfilsrnfs.dat ,
android : download shows complete  message, but not found in any android </t>
    </r>
    <r>
      <rPr>
        <b/>
        <sz val="11"/>
        <color rgb="FF000000"/>
        <rFont val="Aptos Narrow"/>
      </rPr>
      <t>download folder , or photos</t>
    </r>
  </si>
  <si>
    <t>As earlier discussed downloaded file should follow 30 -40 layer folder concept</t>
  </si>
  <si>
    <t>Ios :Merge content, Notes, removed the  attachment and other details, while is show before saving .</t>
  </si>
  <si>
    <t>Unabl to test because the ios device is not avilable.</t>
  </si>
  <si>
    <t xml:space="preserve">Chat , attached digitize card. But contact is not searchable while send contact on chat </t>
  </si>
  <si>
    <t>iOS : download sample excel file from Note : permission required to download error</t>
  </si>
  <si>
    <t>webapp , voice note is not available message shown. Why Web not supported voice message ?</t>
  </si>
  <si>
    <t>All platform : Search , then TAG , filter on search result not working - Search functionality breaks, lot of place - need to thorough test with all combinations</t>
  </si>
  <si>
    <t>Failed in WebApp (task, notes, meeting - not shared content only link shared https://web.yunify.ai/tasks) -others.
android and Ios - pass</t>
  </si>
  <si>
    <t>On the web : Not working on the web.</t>
  </si>
  <si>
    <t>In Webapp, after convert to chat with attach on webapp (chrome), Attachment is not visible as JPG, a empty box is showing in webapp</t>
  </si>
  <si>
    <r>
      <rPr>
        <sz val="11"/>
        <color rgb="FF000000"/>
        <rFont val="Aptos Narrow"/>
        <scheme val="minor"/>
      </rPr>
      <t xml:space="preserve">
</t>
    </r>
    <r>
      <rPr>
        <b/>
        <sz val="11"/>
        <color rgb="FF000000"/>
        <rFont val="Aptos Narrow"/>
        <scheme val="minor"/>
      </rPr>
      <t xml:space="preserve">on the android : When user  convert as content with attachments (JPG, MP4, MP3, PDF, DOC) into notes/calendar/reminder, the attachment files are not shown after creation -&gt; not working </t>
    </r>
  </si>
  <si>
    <t xml:space="preserve">Staticky Default -off , the FacID,Dynmically read if FaceID on , then  (FaceID/Finger Print) should be Default ON/OFF that system </t>
  </si>
  <si>
    <r>
      <t>Notifications are not coming. Test </t>
    </r>
    <r>
      <rPr>
        <b/>
        <sz val="11"/>
        <color rgb="FF000000"/>
        <rFont val="Arial"/>
        <family val="2"/>
      </rPr>
      <t>all notifications</t>
    </r>
    <r>
      <rPr>
        <sz val="11"/>
        <color rgb="FF000000"/>
        <rFont val="Arial"/>
        <family val="2"/>
      </rPr>
      <t> and share detailed report. </t>
    </r>
  </si>
  <si>
    <t>Ios : push notification is not coming , In yunify app bell icon, it may show the notification</t>
  </si>
  <si>
    <t>Webapp : all content -&gt; don't found any drag and drop behaviour . What is the use of this drag and drop in  All content of android and Ios  App ?</t>
  </si>
  <si>
    <t>For the All content section drag and drop not possible</t>
  </si>
  <si>
    <t>If the screenshot permission is enabled in the background, the button will appear enabled, and if it is disabled in the background, the button will appear disabled</t>
  </si>
  <si>
    <t>Enhancement</t>
  </si>
  <si>
    <t>Harshdeep</t>
  </si>
  <si>
    <t>Inprogress(Monday)</t>
  </si>
  <si>
    <t>Not able to test - Jisti closing connection within every 1.5 minute</t>
  </si>
  <si>
    <t>Harshdeep/kushagra</t>
  </si>
  <si>
    <t>after user deactivated , user see the deactivated message, but it can able to do chat with users</t>
  </si>
  <si>
    <t>Fixed</t>
  </si>
  <si>
    <t xml:space="preserve">In progress </t>
  </si>
  <si>
    <t>Failed</t>
  </si>
  <si>
    <t>No demo on working scenario of all Notification</t>
  </si>
  <si>
    <t>All the instance for which notification will come already share</t>
  </si>
  <si>
    <t>In case of restricted file shared in the chat whether it is audio/video/pdf or a microsoft file -
i.) Visibility of the file content when the screen is shared should be restricted
ii.) Print option outside or inside (when viewing the file) should be disabled.
iii.) Screenshots should be disabled.
iv.) Share button should be disabled.
v.) The "Save As" button of the in app file viewer should be disabled.</t>
  </si>
  <si>
    <t>Ios :In listed 5 points ,screenshot of chatroom when restricted chat shared is failing
Ios  : latest ios:40 , after sending message, creating  Restricted message is not working
Ios : screenshot of pic allowed , when click of restricted image
Restricted flow is break many places, thorough regression testing is required
webapp : Print screen is allowed for the restricted message, when click on  the message.</t>
  </si>
  <si>
    <t xml:space="preserve">sharing to all allowed platform (e.g. whatsup  , Facebook , X  , email , LinkedIn ) , it is not working  only send title , desc, date :missing . No meeting code is shared </t>
  </si>
  <si>
    <t>Message Box UI (Samsung S24): In the "New Chat Room" view, the bottom message input box and cuts off the screen. Screenshot shared by Rajat Ji.</t>
  </si>
  <si>
    <t>not confirmed by Rajat</t>
  </si>
  <si>
    <t>Closed</t>
  </si>
  <si>
    <t>Webapp Horizontal Scroll: In the Chat section, the tab list (Unread, Group, Thread) does not support horizontal scrolling, making some tabs inaccessible.</t>
  </si>
  <si>
    <r>
      <t>Authentication: Address and resolve the recurring issues regarding removal of Auth Token expiry/session management.</t>
    </r>
    <r>
      <rPr>
        <b/>
        <sz val="11"/>
        <color rgb="FF000000"/>
        <rFont val="Aptos Narrow"/>
        <family val="2"/>
      </rPr>
      <t xml:space="preserve">
Additionally , if any exception on screen ,User friendly User message pass back to screen, not bloating/dump the screen  with technical error message </t>
    </r>
  </si>
  <si>
    <t>technical error message to users</t>
  </si>
  <si>
    <t>Cloud Contact Sync: In addition to local device contacts, the system must support direct synchronization of contacts from the user’s registered email ID.</t>
  </si>
  <si>
    <t>Not confirm if implemented</t>
  </si>
  <si>
    <t>Out of Scope(As per requirement we are syncing the contact from email however this discussed feature will be considered as out of scope)</t>
  </si>
  <si>
    <t>Out of scope</t>
  </si>
  <si>
    <t>Lock &amp; Restrict: Ensure that all "Lock" and "Restrict" scenarios are fully functional across all platforms - Web, Android, and iOS.</t>
  </si>
  <si>
    <t xml:space="preserve">duplicated above listing  : Restricted sharing is failing many places , as point </t>
  </si>
  <si>
    <t xml:space="preserve">Task Feature
- Title
- Select Date
- Add Tags
- Add Assignee (If not provided, default to self)
Notes Feature
- Title
- Add Tags
Calendar Feature
- Title
- Select Date
- Start/End Time (Not mandatory if "All Day" is enabled)
- Add Participant (Not mandatory if "Anyone can join" is enabled)
- Personal or Yunify Talk icon
- Add Tags
Folders Feature
- Folder Name
- Add Tags
Reminders Feature
- Title
- Select Date
- Add Tags
- Add Participants (If not provided, default to self)
VC - Start Meeting Feature
- Title
- Add Participant (Not mandatory if "Anyone can join" is enabled)
- Add Tags
</t>
  </si>
  <si>
    <t>Si. No.</t>
  </si>
  <si>
    <t>Pointer</t>
  </si>
  <si>
    <t>HYlyt comment</t>
  </si>
  <si>
    <t>QA comment dated 11-02-26</t>
  </si>
  <si>
    <t>Update: 27-02-2026</t>
  </si>
  <si>
    <t>Synchronization: While synchronization functions correctly upon initial login, manual sync currently fails to update data as expected.</t>
  </si>
  <si>
    <t>In Scope</t>
  </si>
  <si>
    <t>Navigation From Chat to Video Conference: On both the web and mobile apps, after user clicks on the video conference floater button and lands on the section, the back button is missing from the top-left corner in the section in order for the user to go back to the chat section. Additionally, using the device’s back button redirects the user to the Dashboard instead of the previous section that is Chat.</t>
  </si>
  <si>
    <t>out of scope</t>
  </si>
  <si>
    <t>As per rajat sir these CR already approved need to check with abhishek</t>
  </si>
  <si>
    <t>Dashboard icon on the top left corner of the chat section  should be updated to a dedicated Dashboard icon instead of home icon.</t>
  </si>
  <si>
    <t>Home Page Navigation: The floating chat button on the Home Page should be removed. Instead, a "Chat" section button should be integrated into the main navigation menu, replacing the current Home button.</t>
  </si>
  <si>
    <t>Technically not feasiable however we are analyzing this feature</t>
  </si>
  <si>
    <t>Technically not possible</t>
  </si>
  <si>
    <t>Device  Specific issue(in scope)</t>
  </si>
  <si>
    <t>working fine</t>
  </si>
  <si>
    <t>High-Priority Items: </t>
  </si>
  <si>
    <t>Data Hosting: hosting data directly on the client’s server/ cloud is still pending.</t>
  </si>
  <si>
    <t>Duplicate - Kushagra will look into this</t>
  </si>
  <si>
    <t>InProgress</t>
  </si>
  <si>
    <t>Filter Menu Consistency: 
i.) Filter options must be consistent across all sections and criteria should match the existing Hylyt application. 
ii.) The "Create Smart Folder" option must be added to all filter menus, not just in the Folder section.</t>
  </si>
  <si>
    <t>This is the part of scope as per rajat sir</t>
  </si>
  <si>
    <t>Webapp --&gt; Chat Room --&gt;  The mobile app uses a long-press to show message options and same is carried to webapp where user has to click and hold on the message to get its options, this is not at all intuitive. A more intuitive approach needs to be figured out for the Webapp to provide the same functionality.</t>
  </si>
  <si>
    <t>Vector 3 team will check and update u</t>
  </si>
  <si>
    <t>Working fine(Will check other options after phase3)</t>
  </si>
  <si>
    <t>Backend Optimization: Chat section (chat list/chat rooms) loading speeds are currently slow even with minimal data. Server-side and API optimization is required to improve performance.</t>
  </si>
  <si>
    <t>Jitsi Stability: Video conferences are currently dropping every 2 minutes. The connection be stable and have no abrupt disconnections for any on going meetings.</t>
  </si>
  <si>
    <t>Virtual Backgrounds: The Virtual Background feature must be implemented on all platforms (Android/iOS). </t>
  </si>
  <si>
    <t>virtual back ground will work only  in web</t>
  </si>
  <si>
    <t xml:space="preserve">Working fine it will work only in web </t>
  </si>
  <si>
    <t>For the Webapp, the background blur/replacement quality must be improved, for example, background still gets visible at some instances and it fails to hide people passing in the background.</t>
  </si>
  <si>
    <t>Jitsee Issue</t>
  </si>
  <si>
    <t>We will compare with existing app , if not ok then need to improve it</t>
  </si>
  <si>
    <t>Jitsi interface issue</t>
  </si>
  <si>
    <t>Form Validation: All mandatory fields across the application must be marked with a red asterisk (*) for better user clarity.</t>
  </si>
  <si>
    <t>Hylyt team will inform which field we need to mark mandatory</t>
  </si>
  <si>
    <t>Reply Navigation: Clicking on any "replied to" message should automatically scroll the view to the original message in order for the user to track it. This functionality is currently not working.</t>
  </si>
  <si>
    <t>Authentication: Address and resolve the recurring issues regarding removal of Auth Token expiry/session management.</t>
  </si>
  <si>
    <t>Reopen (will be completed 28-01-25)</t>
  </si>
  <si>
    <t>Si No.</t>
  </si>
  <si>
    <t>Discussed On call</t>
  </si>
  <si>
    <t>Update</t>
  </si>
  <si>
    <t>Vector 3 Remark</t>
  </si>
  <si>
    <t>Vector 3 comment dated 06/02/2026</t>
  </si>
  <si>
    <t>QA Update(11-02-2026)</t>
  </si>
  <si>
    <t>Update (27-02-2026)</t>
  </si>
  <si>
    <t>When Rajat Ji logged into the app, after a few minutes the contact syncing screen stopped and the app became unresponsive. Rajat Ji force-closed the app. After reopening the app, contact syncing started again, but no alert or information was shown regarding how many contacts were synced and how many were still pending</t>
  </si>
  <si>
    <t>Need to Remove the condition from App level for session expire. it should implement for web only</t>
  </si>
  <si>
    <t>Session expires in 24 hours for mobile and web
user agent added - Nitin</t>
  </si>
  <si>
    <t>Will be done on 28-01-26</t>
  </si>
  <si>
    <t>On the chat screen, where contacts are shown, the total number of Yunify contacts and phone contacts should be displayed so that the user can clearly identify how many contacts have been synced.</t>
  </si>
  <si>
    <t>Rajat ji , Rishi &amp; jaydeep unable to perform chat due to contact not syncing as highlighted in WhatsApp group.</t>
  </si>
  <si>
    <t>As per Rajat ji it was mentioned on user story Contact syncing will be done not only from the phone but also from email, as mentioned in the user story.</t>
  </si>
  <si>
    <t>Dashboard-to-chat redirection is not working on the web. Additionally, the following changes are required at the app and web  level:</t>
  </si>
  <si>
    <t>(On the chat listing page, the current back icon should be removed and replaced with a dashboard icon. When the user clicks on this icon, they should be redirected to the dashboard.)</t>
  </si>
  <si>
    <t>(The floating icon currently displayed at the bottom of the chat screen should be updated. The dashboard option should be removed, and only the video conference option should remain)</t>
  </si>
  <si>
    <t>(In the floating icons shown on the dashboard page, the chat option should be retained. Video conference redirection from there is not required)</t>
  </si>
  <si>
    <t xml:space="preserve">Regression Issues </t>
  </si>
  <si>
    <t>Priority</t>
  </si>
  <si>
    <t>Dev Status</t>
  </si>
  <si>
    <t>QA Comment(on Android) 27-02-26</t>
  </si>
  <si>
    <t>User is getting an error while creating a note on the web. Unable to attach audio in the calendar on the web.Also unable to create a calendar event on the web. Additionally,  cannot attach audio to reminders on the web</t>
  </si>
  <si>
    <t>On the web : For reminder -&gt; Copy to profile and copy to folder functionality is not working .</t>
  </si>
  <si>
    <t>Chat functionality :-&gt; Still WebApp doesn't prevent users from taking any screenshot for restrict chat.</t>
  </si>
  <si>
    <t>On the web : Getting error message " some thing went wrong" while clicking on + icon for new chat.</t>
  </si>
  <si>
    <t>Still virtual folders only get created based on the tag filter criteria and not the remaining criteria</t>
  </si>
  <si>
    <t>On the webapp and android : The drag and drop doesn't save the changed the list sequence in All Content Section. The user faces difficulty dropping the content at the very end of the list in case of webapp.</t>
  </si>
  <si>
    <t>On the webapp and android : When searching by file format, the system also searches and shows text content in the results, instead of filtering by file format only.</t>
  </si>
  <si>
    <t>seach content first, after that implement the filter</t>
  </si>
  <si>
    <t>On the webapp and android :- Reminder -&gt; Import functionality is not working. Getting error messsage.</t>
  </si>
  <si>
    <t>On the webapp and android : - After sending a message, the 'Lock Chat' and 'Restrict Chat' options are still visible in both the Android app and the web app</t>
  </si>
  <si>
    <t>On the android app : - Chat voice recording not working.</t>
  </si>
  <si>
    <t>working as expected</t>
  </si>
  <si>
    <t xml:space="preserve">On the web app : for Notes, Calendar, Reminder, Chat: -&gt;Voice recording shows the message: "Voice recording is not available for web". </t>
  </si>
  <si>
    <r>
      <rPr>
        <sz val="11"/>
        <color rgb="FF000000"/>
        <rFont val="Calibri"/>
        <scheme val="minor"/>
      </rPr>
      <t xml:space="preserve">
</t>
    </r>
    <r>
      <rPr>
        <b/>
        <sz val="11"/>
        <color rgb="FF000000"/>
        <rFont val="Calibri"/>
        <scheme val="minor"/>
      </rPr>
      <t xml:space="preserve">Chat section:
</t>
    </r>
    <r>
      <rPr>
        <sz val="11"/>
        <color rgb="FF000000"/>
        <rFont val="Calibri"/>
        <scheme val="minor"/>
      </rPr>
      <t>On the web and android : -&gt; mark as favorite / unmark as favorite functionality is not working properly 
Unmark as favorite option is missing on both android and web.</t>
    </r>
  </si>
  <si>
    <t>On the web app : Attachement filter criteria is not working for reminder.</t>
  </si>
  <si>
    <t>web</t>
  </si>
  <si>
    <t>on the web and android : -&gt; file search functionality is not working for reminder.</t>
  </si>
  <si>
    <t>backend</t>
  </si>
  <si>
    <t xml:space="preserve">
On android  : -&gt; Convert to chat -  convert any content to chat functinality is not working for notes,calender, reminder with attachment.</t>
  </si>
  <si>
    <t>On the android and web ;- The virtual folder is being created only on the basis of tags; it is not being created based on other filter criteria.</t>
  </si>
  <si>
    <t>on the web and android : Chat functionality-&gt; Still When user applies a filter, the count of the filtered content is not shown.</t>
  </si>
  <si>
    <t>Now count is showing but filter result is not showing.</t>
  </si>
  <si>
    <t>On the android and web : -&gt;calender functionality :  multiple events are not being shared with multiple users, and an error message appears: 'Failed to share"</t>
  </si>
  <si>
    <t>On the web :  when I click on the notification bell icon, a 'Something went wrong' message appears.</t>
  </si>
  <si>
    <t>On the web : calender-&gt; call logs functionality is not working getting error message "some thing went wrong"</t>
  </si>
  <si>
    <t>When the admin panel inactivates a user, the alert at the time of the user's forced logout should be "Your access has been revoked." However, instead of showing this alert immediately, the error message appears only when the user tries to log in after being inactivated: "Your account is no longer active."</t>
  </si>
  <si>
    <t>Tracker</t>
  </si>
  <si>
    <t>Total issue</t>
  </si>
  <si>
    <t>Rishi's Sheet</t>
  </si>
  <si>
    <t>16th January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</si>
</sst>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Aptos Narrow"/>
      <family val="2"/>
      <scheme val="minor"/>
    </font>
    <font>
      <sz val="11"/>
      <color theme="1" tint="4.9989318521683403E-2"/>
      <name val="Calibri"/>
      <family val="2"/>
    </font>
    <font>
      <sz val="11"/>
      <color theme="1"/>
      <name val="Calibri"/>
      <family val="2"/>
    </font>
    <font>
      <sz val="12"/>
      <color rgb="FF000000"/>
      <name val="Times New Roman"/>
      <family val="1"/>
    </font>
    <font>
      <sz val="11"/>
      <color theme="7" tint="-0.249977111117893"/>
      <name val="Calibri"/>
      <family val="2"/>
    </font>
    <font>
      <sz val="11"/>
      <color rgb="FF000000"/>
      <name val="Aptos Narrow"/>
    </font>
    <font>
      <b/>
      <sz val="11"/>
      <color rgb="FF000000"/>
      <name val="Arial"/>
      <family val="2"/>
    </font>
    <font>
      <sz val="11"/>
      <color rgb="FF000000"/>
      <name val="Arial"/>
      <family val="2"/>
    </font>
    <font>
      <sz val="11"/>
      <color rgb="FF000000"/>
      <name val="Aptos Narrow"/>
      <family val="2"/>
    </font>
    <font>
      <sz val="11"/>
      <color rgb="FF000000"/>
      <name val="Calibri"/>
      <family val="2"/>
    </font>
    <font>
      <sz val="11"/>
      <color rgb="FF000000"/>
      <name val="Aptos Narrow"/>
      <family val="2"/>
      <scheme val="minor"/>
    </font>
    <font>
      <b/>
      <sz val="11"/>
      <color theme="1"/>
      <name val="Aptos Narrow"/>
      <family val="2"/>
      <scheme val="minor"/>
    </font>
    <font>
      <sz val="11"/>
      <color rgb="FF000000"/>
      <name val="Aptos Narrow"/>
      <scheme val="minor"/>
    </font>
    <font>
      <sz val="11"/>
      <color rgb="FFFF0000"/>
      <name val="Aptos Narrow"/>
      <scheme val="minor"/>
    </font>
    <font>
      <sz val="11"/>
      <color theme="1"/>
      <name val="Aptos Narrow"/>
      <scheme val="minor"/>
    </font>
    <font>
      <sz val="11"/>
      <color rgb="FF0D0D0D"/>
      <name val="Calibri"/>
      <family val="2"/>
    </font>
    <font>
      <sz val="11"/>
      <color rgb="FF0C769E"/>
      <name val="Calibri"/>
      <family val="2"/>
    </font>
    <font>
      <sz val="11"/>
      <color theme="1" tint="4.9989318521683403E-2"/>
      <name val="Aptos Narrow"/>
      <family val="2"/>
      <scheme val="minor"/>
    </font>
    <font>
      <b/>
      <sz val="11"/>
      <color rgb="FF000000"/>
      <name val="Aptos Narrow"/>
      <family val="2"/>
    </font>
    <font>
      <sz val="11"/>
      <color rgb="FFFF0000"/>
      <name val="Aptos Narrow"/>
      <family val="2"/>
      <scheme val="minor"/>
    </font>
    <font>
      <sz val="11"/>
      <color rgb="FF000000"/>
      <name val="Aptos Narrow"/>
      <charset val="1"/>
    </font>
    <font>
      <sz val="11"/>
      <color rgb="FF242424"/>
      <name val="Aptos Narrow"/>
      <charset val="1"/>
    </font>
    <font>
      <b/>
      <sz val="11"/>
      <color rgb="FF000000"/>
      <name val="Aptos Narrow"/>
      <scheme val="minor"/>
    </font>
    <font>
      <b/>
      <sz val="11"/>
      <color rgb="FF000000"/>
      <name val="Aptos Narrow"/>
    </font>
    <font>
      <b/>
      <sz val="11"/>
      <color theme="1"/>
      <name val="Calibri"/>
      <family val="2"/>
      <scheme val="minor"/>
    </font>
    <font>
      <sz val="11"/>
      <color rgb="FF242424"/>
      <name val="Aptos Narrow"/>
      <family val="2"/>
    </font>
    <font>
      <sz val="11"/>
      <color rgb="FF000000"/>
      <name val="Calibri"/>
      <scheme val="minor"/>
    </font>
    <font>
      <b/>
      <sz val="11"/>
      <color rgb="FF000000"/>
      <name val="Calibri"/>
      <scheme val="minor"/>
    </font>
    <font>
      <b/>
      <sz val="11"/>
      <color rgb="FF000000"/>
      <name val="Aptos Narrow"/>
      <family val="2"/>
      <scheme val="minor"/>
    </font>
  </fonts>
  <fills count="21">
    <fill>
      <patternFill patternType="none"/>
    </fill>
    <fill>
      <patternFill patternType="gray125"/>
    </fill>
    <fill>
      <patternFill patternType="solid">
        <fgColor rgb="FFFFFF00"/>
        <bgColor indexed="64"/>
      </patternFill>
    </fill>
    <fill>
      <patternFill patternType="solid">
        <fgColor theme="0"/>
        <bgColor theme="0"/>
      </patternFill>
    </fill>
    <fill>
      <patternFill patternType="solid">
        <fgColor theme="0"/>
        <bgColor indexed="64"/>
      </patternFill>
    </fill>
    <fill>
      <patternFill patternType="solid">
        <fgColor rgb="FF82E391"/>
        <bgColor rgb="FF000000"/>
      </patternFill>
    </fill>
    <fill>
      <patternFill patternType="solid">
        <fgColor theme="6" tint="0.59999389629810485"/>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rgb="FF92D050"/>
        <bgColor indexed="64"/>
      </patternFill>
    </fill>
    <fill>
      <patternFill patternType="solid">
        <fgColor theme="4" tint="0.79998168889431442"/>
        <bgColor indexed="64"/>
      </patternFill>
    </fill>
    <fill>
      <patternFill patternType="solid">
        <fgColor rgb="FFFFFFFF"/>
        <bgColor rgb="FFFFFFFF"/>
      </patternFill>
    </fill>
    <fill>
      <patternFill patternType="solid">
        <fgColor rgb="FF00B0F0"/>
        <bgColor indexed="64"/>
      </patternFill>
    </fill>
    <fill>
      <patternFill patternType="solid">
        <fgColor theme="3" tint="0.499984740745262"/>
        <bgColor indexed="64"/>
      </patternFill>
    </fill>
    <fill>
      <patternFill patternType="solid">
        <fgColor theme="9"/>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rgb="FFFF0000"/>
        <bgColor indexed="64"/>
      </patternFill>
    </fill>
    <fill>
      <patternFill patternType="solid">
        <fgColor theme="7"/>
        <bgColor indexed="64"/>
      </patternFill>
    </fill>
    <fill>
      <patternFill patternType="solid">
        <fgColor theme="3" tint="0.74999237037263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170">
    <xf numFmtId="0" fontId="0" fillId="0" borderId="0" xfId="0"/>
    <xf numFmtId="0" fontId="0" fillId="0" borderId="0" xfId="0" applyAlignment="1">
      <alignment horizontal="left" indent="1"/>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indent="1"/>
    </xf>
    <xf numFmtId="0" fontId="0" fillId="0" borderId="0" xfId="0" applyAlignment="1">
      <alignment horizontal="left" wrapText="1" indent="1"/>
    </xf>
    <xf numFmtId="0" fontId="11" fillId="7" borderId="1" xfId="0" applyFont="1" applyFill="1" applyBorder="1" applyAlignment="1">
      <alignment horizontal="center" vertical="center"/>
    </xf>
    <xf numFmtId="0" fontId="11" fillId="7" borderId="1" xfId="0" applyFont="1" applyFill="1" applyBorder="1" applyAlignment="1">
      <alignment horizontal="left" vertical="center" indent="1"/>
    </xf>
    <xf numFmtId="0" fontId="11" fillId="7" borderId="1" xfId="0" applyFont="1" applyFill="1" applyBorder="1" applyAlignment="1">
      <alignment horizontal="center" vertical="center" wrapText="1"/>
    </xf>
    <xf numFmtId="0" fontId="11" fillId="7" borderId="1" xfId="0" applyFont="1" applyFill="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indent="1"/>
    </xf>
    <xf numFmtId="0" fontId="0" fillId="0" borderId="1" xfId="0" applyBorder="1" applyAlignment="1">
      <alignment horizontal="left" vertical="center" indent="1"/>
    </xf>
    <xf numFmtId="0" fontId="0" fillId="0" borderId="1" xfId="0" applyBorder="1" applyAlignment="1">
      <alignment horizontal="center"/>
    </xf>
    <xf numFmtId="0" fontId="1" fillId="3" borderId="1" xfId="0" applyFont="1" applyFill="1" applyBorder="1" applyAlignment="1">
      <alignment horizontal="left" wrapText="1" indent="1"/>
    </xf>
    <xf numFmtId="0" fontId="1" fillId="3" borderId="1" xfId="0" applyFont="1" applyFill="1" applyBorder="1" applyAlignment="1">
      <alignment horizontal="center" indent="1"/>
    </xf>
    <xf numFmtId="0" fontId="1" fillId="3" borderId="1" xfId="0" applyFont="1" applyFill="1" applyBorder="1" applyAlignment="1">
      <alignment horizontal="left" indent="1"/>
    </xf>
    <xf numFmtId="0" fontId="2" fillId="3" borderId="1" xfId="0" applyFont="1" applyFill="1" applyBorder="1" applyAlignment="1">
      <alignment horizontal="left" vertical="center" indent="1"/>
    </xf>
    <xf numFmtId="0" fontId="2" fillId="3" borderId="1" xfId="0" applyFont="1" applyFill="1" applyBorder="1" applyAlignment="1">
      <alignment horizontal="left" vertical="center" wrapText="1" indent="1"/>
    </xf>
    <xf numFmtId="0" fontId="2" fillId="3" borderId="1" xfId="0" applyFont="1" applyFill="1" applyBorder="1" applyAlignment="1">
      <alignment horizontal="center" vertical="center" indent="1"/>
    </xf>
    <xf numFmtId="0" fontId="9" fillId="3" borderId="1" xfId="0" applyFont="1" applyFill="1" applyBorder="1" applyAlignment="1">
      <alignment horizontal="left" vertical="center" wrapText="1" indent="1"/>
    </xf>
    <xf numFmtId="0" fontId="9" fillId="3" borderId="1" xfId="0" applyFont="1" applyFill="1" applyBorder="1" applyAlignment="1">
      <alignment horizontal="center" vertical="center" indent="1"/>
    </xf>
    <xf numFmtId="0" fontId="3" fillId="0" borderId="1" xfId="0" applyFont="1" applyBorder="1" applyAlignment="1">
      <alignment horizontal="left" vertical="center" indent="1"/>
    </xf>
    <xf numFmtId="0" fontId="3" fillId="0" borderId="1" xfId="0" applyFont="1" applyBorder="1" applyAlignment="1">
      <alignment horizontal="center" vertical="center" indent="1"/>
    </xf>
    <xf numFmtId="0" fontId="10" fillId="4" borderId="1" xfId="0" applyFont="1" applyFill="1" applyBorder="1" applyAlignment="1">
      <alignment horizontal="left" vertical="center" wrapText="1" indent="1"/>
    </xf>
    <xf numFmtId="0" fontId="10" fillId="4" borderId="1" xfId="0" applyFont="1" applyFill="1" applyBorder="1" applyAlignment="1">
      <alignment horizontal="center" vertical="center" indent="1"/>
    </xf>
    <xf numFmtId="0" fontId="0" fillId="0" borderId="1" xfId="0" applyBorder="1" applyAlignment="1">
      <alignment horizontal="center" vertical="center" indent="1"/>
    </xf>
    <xf numFmtId="0" fontId="4" fillId="3" borderId="1" xfId="0" applyFont="1" applyFill="1" applyBorder="1" applyAlignment="1">
      <alignment horizontal="left" vertical="center" wrapText="1" indent="1"/>
    </xf>
    <xf numFmtId="0" fontId="4" fillId="0" borderId="1" xfId="0" applyFont="1" applyBorder="1" applyAlignment="1">
      <alignment horizontal="left" vertical="center" indent="1"/>
    </xf>
    <xf numFmtId="0" fontId="4" fillId="0" borderId="1" xfId="0" applyFont="1" applyBorder="1" applyAlignment="1">
      <alignment horizontal="left" vertical="center" wrapText="1" indent="1"/>
    </xf>
    <xf numFmtId="0" fontId="0" fillId="0" borderId="1" xfId="0" applyBorder="1" applyAlignment="1">
      <alignment horizontal="left" vertical="center" wrapText="1" indent="1"/>
    </xf>
    <xf numFmtId="0" fontId="0" fillId="0" borderId="1" xfId="0" applyBorder="1" applyAlignment="1">
      <alignment horizontal="left" wrapText="1" indent="1"/>
    </xf>
    <xf numFmtId="0" fontId="0" fillId="0" borderId="1" xfId="0" applyBorder="1" applyAlignment="1">
      <alignment horizontal="center" indent="1"/>
    </xf>
    <xf numFmtId="0" fontId="5" fillId="0" borderId="1" xfId="0" applyFont="1" applyBorder="1" applyAlignment="1">
      <alignment horizontal="left" vertical="center" wrapText="1" indent="1"/>
    </xf>
    <xf numFmtId="0" fontId="5" fillId="0" borderId="1" xfId="0" applyFont="1" applyBorder="1" applyAlignment="1">
      <alignment horizontal="center" vertical="center" indent="1"/>
    </xf>
    <xf numFmtId="0" fontId="5" fillId="0" borderId="1" xfId="0" applyFont="1" applyBorder="1" applyAlignment="1">
      <alignment horizontal="left" vertical="center" indent="1"/>
    </xf>
    <xf numFmtId="0" fontId="8" fillId="0" borderId="1" xfId="0" applyFont="1" applyBorder="1" applyAlignment="1">
      <alignment horizontal="center"/>
    </xf>
    <xf numFmtId="0" fontId="8" fillId="0" borderId="1" xfId="0" applyFont="1" applyBorder="1" applyAlignment="1">
      <alignment horizontal="left" vertical="center" indent="1"/>
    </xf>
    <xf numFmtId="0" fontId="8" fillId="0" borderId="1" xfId="0" applyFont="1" applyBorder="1" applyAlignment="1">
      <alignment horizontal="center" vertical="center" indent="1"/>
    </xf>
    <xf numFmtId="0" fontId="8" fillId="0" borderId="1" xfId="0" applyFont="1" applyBorder="1" applyAlignment="1">
      <alignment horizontal="left" vertical="center" wrapText="1" indent="1"/>
    </xf>
    <xf numFmtId="0" fontId="0" fillId="6" borderId="1" xfId="0" applyFill="1" applyBorder="1" applyAlignment="1">
      <alignment horizontal="center" vertical="center"/>
    </xf>
    <xf numFmtId="0" fontId="8" fillId="5" borderId="1" xfId="0" applyFont="1" applyFill="1" applyBorder="1" applyAlignment="1">
      <alignment horizontal="center"/>
    </xf>
    <xf numFmtId="0" fontId="8" fillId="5" borderId="1" xfId="0" applyFont="1" applyFill="1" applyBorder="1" applyAlignment="1">
      <alignment horizontal="left" vertical="center" indent="1"/>
    </xf>
    <xf numFmtId="0" fontId="0" fillId="2" borderId="1" xfId="0" applyFill="1" applyBorder="1" applyAlignment="1">
      <alignment horizontal="center" vertical="center"/>
    </xf>
    <xf numFmtId="0" fontId="0" fillId="0" borderId="1" xfId="0" applyBorder="1" applyAlignment="1">
      <alignment horizontal="left" vertical="top" wrapText="1" indent="1"/>
    </xf>
    <xf numFmtId="0" fontId="0" fillId="0" borderId="1" xfId="0" applyBorder="1" applyAlignment="1">
      <alignment horizontal="center" vertical="top" indent="1"/>
    </xf>
    <xf numFmtId="0" fontId="0" fillId="0" borderId="1" xfId="0" applyBorder="1" applyAlignment="1">
      <alignment horizontal="center" vertical="top"/>
    </xf>
    <xf numFmtId="0" fontId="0" fillId="0" borderId="1" xfId="0" applyBorder="1" applyAlignment="1">
      <alignment horizontal="center" vertical="top" wrapText="1" indent="1"/>
    </xf>
    <xf numFmtId="0" fontId="0" fillId="0" borderId="1" xfId="0" applyBorder="1" applyAlignment="1">
      <alignment horizontal="left" vertical="top" indent="1"/>
    </xf>
    <xf numFmtId="0" fontId="0" fillId="0" borderId="1" xfId="0" applyBorder="1" applyAlignment="1">
      <alignment wrapText="1"/>
    </xf>
    <xf numFmtId="0" fontId="11" fillId="7" borderId="3" xfId="0" applyFont="1" applyFill="1" applyBorder="1" applyAlignment="1">
      <alignment horizontal="center" vertical="center"/>
    </xf>
    <xf numFmtId="0" fontId="11" fillId="7" borderId="4" xfId="0" applyFont="1" applyFill="1" applyBorder="1" applyAlignment="1">
      <alignment horizontal="center" vertical="center"/>
    </xf>
    <xf numFmtId="0" fontId="0" fillId="0" borderId="2" xfId="0" applyBorder="1" applyAlignment="1">
      <alignment horizontal="center"/>
    </xf>
    <xf numFmtId="0" fontId="0" fillId="0" borderId="2" xfId="0" applyBorder="1"/>
    <xf numFmtId="0" fontId="0" fillId="0" borderId="0" xfId="0" applyAlignment="1">
      <alignment wrapText="1"/>
    </xf>
    <xf numFmtId="0" fontId="0" fillId="0" borderId="1" xfId="0" applyBorder="1" applyAlignment="1">
      <alignment horizontal="center" wrapText="1"/>
    </xf>
    <xf numFmtId="0" fontId="8" fillId="0" borderId="1" xfId="0" applyFont="1" applyBorder="1" applyAlignment="1">
      <alignment horizontal="center" wrapText="1"/>
    </xf>
    <xf numFmtId="0" fontId="0" fillId="0" borderId="1" xfId="0" applyBorder="1" applyAlignment="1">
      <alignment horizontal="center" vertical="center" wrapText="1"/>
    </xf>
    <xf numFmtId="0" fontId="0" fillId="0" borderId="1" xfId="0" applyBorder="1" applyAlignment="1">
      <alignment horizontal="center" vertical="top" wrapText="1"/>
    </xf>
    <xf numFmtId="0" fontId="0" fillId="0" borderId="0" xfId="0" applyAlignment="1">
      <alignment horizontal="center" wrapText="1"/>
    </xf>
    <xf numFmtId="0" fontId="0" fillId="0" borderId="2" xfId="0" applyBorder="1" applyAlignment="1">
      <alignment wrapText="1"/>
    </xf>
    <xf numFmtId="0" fontId="0" fillId="0" borderId="3" xfId="0" applyBorder="1" applyAlignment="1">
      <alignment horizontal="center"/>
    </xf>
    <xf numFmtId="0" fontId="11" fillId="10" borderId="2" xfId="0" applyFont="1" applyFill="1" applyBorder="1" applyAlignment="1">
      <alignment horizontal="center" vertical="center"/>
    </xf>
    <xf numFmtId="0" fontId="0" fillId="0" borderId="2" xfId="0" applyBorder="1" applyAlignment="1">
      <alignment horizontal="center" vertical="center"/>
    </xf>
    <xf numFmtId="0" fontId="11" fillId="0" borderId="0" xfId="0" applyFont="1"/>
    <xf numFmtId="0" fontId="11" fillId="7" borderId="1" xfId="0" applyFont="1" applyFill="1" applyBorder="1" applyAlignment="1">
      <alignment horizontal="center" vertical="top" wrapText="1"/>
    </xf>
    <xf numFmtId="0" fontId="14" fillId="0" borderId="1" xfId="0" applyFont="1" applyBorder="1" applyAlignment="1">
      <alignment horizontal="left" vertical="top" wrapText="1" indent="1"/>
    </xf>
    <xf numFmtId="0" fontId="0" fillId="0" borderId="0" xfId="0" applyAlignment="1">
      <alignment horizontal="left" vertical="top" wrapText="1" indent="1"/>
    </xf>
    <xf numFmtId="0" fontId="0" fillId="9" borderId="2" xfId="0" applyFill="1" applyBorder="1" applyAlignment="1">
      <alignment horizontal="center"/>
    </xf>
    <xf numFmtId="0" fontId="0" fillId="0" borderId="5" xfId="0" applyBorder="1" applyAlignment="1">
      <alignment horizontal="center"/>
    </xf>
    <xf numFmtId="0" fontId="11" fillId="0" borderId="2" xfId="0" applyFont="1" applyBorder="1" applyAlignment="1">
      <alignment wrapText="1"/>
    </xf>
    <xf numFmtId="0" fontId="0" fillId="0" borderId="5" xfId="0" applyBorder="1" applyAlignment="1">
      <alignment wrapText="1"/>
    </xf>
    <xf numFmtId="0" fontId="0" fillId="0" borderId="5" xfId="0" applyBorder="1" applyAlignment="1">
      <alignment horizontal="left" vertical="top" wrapText="1"/>
    </xf>
    <xf numFmtId="0" fontId="0" fillId="0" borderId="5" xfId="0" applyBorder="1"/>
    <xf numFmtId="0" fontId="11" fillId="8" borderId="2" xfId="0" applyFont="1" applyFill="1" applyBorder="1" applyAlignment="1">
      <alignment horizontal="center"/>
    </xf>
    <xf numFmtId="0" fontId="11" fillId="8" borderId="2" xfId="0" applyFont="1" applyFill="1" applyBorder="1" applyAlignment="1">
      <alignment horizontal="center" wrapText="1"/>
    </xf>
    <xf numFmtId="0" fontId="11" fillId="8" borderId="0" xfId="0" applyFont="1" applyFill="1" applyAlignment="1">
      <alignment horizontal="center"/>
    </xf>
    <xf numFmtId="0" fontId="0" fillId="0" borderId="6" xfId="0" applyBorder="1" applyAlignment="1">
      <alignment horizontal="center"/>
    </xf>
    <xf numFmtId="0" fontId="0" fillId="0" borderId="7" xfId="0" applyBorder="1" applyAlignment="1">
      <alignment horizontal="center"/>
    </xf>
    <xf numFmtId="0" fontId="11" fillId="8" borderId="2" xfId="0" applyFont="1" applyFill="1" applyBorder="1" applyAlignment="1">
      <alignment horizontal="center" vertical="center"/>
    </xf>
    <xf numFmtId="0" fontId="17" fillId="0" borderId="6" xfId="0" applyFont="1" applyBorder="1" applyAlignment="1">
      <alignment horizontal="center" wrapText="1"/>
    </xf>
    <xf numFmtId="0" fontId="0" fillId="0" borderId="6" xfId="0" applyBorder="1" applyAlignment="1">
      <alignment horizontal="center" wrapText="1"/>
    </xf>
    <xf numFmtId="0" fontId="11" fillId="8" borderId="6" xfId="0" applyFont="1" applyFill="1" applyBorder="1" applyAlignment="1">
      <alignment horizontal="center" vertical="center" wrapText="1"/>
    </xf>
    <xf numFmtId="0" fontId="0" fillId="2" borderId="6" xfId="0" applyFill="1" applyBorder="1" applyAlignment="1">
      <alignment horizontal="center"/>
    </xf>
    <xf numFmtId="0" fontId="0" fillId="0" borderId="8" xfId="0" applyBorder="1" applyAlignment="1">
      <alignment horizontal="center"/>
    </xf>
    <xf numFmtId="0" fontId="11" fillId="12" borderId="2" xfId="0" applyFont="1" applyFill="1" applyBorder="1" applyAlignment="1">
      <alignment horizontal="center" vertical="center"/>
    </xf>
    <xf numFmtId="0" fontId="11" fillId="12" borderId="0" xfId="0" applyFont="1" applyFill="1" applyAlignment="1">
      <alignment horizontal="center"/>
    </xf>
    <xf numFmtId="0" fontId="11" fillId="12" borderId="0" xfId="0" applyFont="1" applyFill="1"/>
    <xf numFmtId="0" fontId="11" fillId="8" borderId="2" xfId="0" applyFont="1" applyFill="1" applyBorder="1"/>
    <xf numFmtId="0" fontId="17" fillId="2" borderId="5" xfId="0" applyFont="1" applyFill="1" applyBorder="1" applyAlignment="1">
      <alignment horizontal="center"/>
    </xf>
    <xf numFmtId="0" fontId="15" fillId="11" borderId="9" xfId="0" applyFont="1" applyFill="1" applyBorder="1" applyAlignment="1">
      <alignment horizontal="center" vertical="top" wrapText="1"/>
    </xf>
    <xf numFmtId="0" fontId="9" fillId="11" borderId="9" xfId="0" applyFont="1" applyFill="1" applyBorder="1" applyAlignment="1">
      <alignment horizontal="center" vertical="top" wrapText="1"/>
    </xf>
    <xf numFmtId="0" fontId="16" fillId="11" borderId="9" xfId="0" applyFont="1" applyFill="1" applyBorder="1" applyAlignment="1">
      <alignment horizontal="center" vertical="top" wrapText="1"/>
    </xf>
    <xf numFmtId="0" fontId="8" fillId="0" borderId="9" xfId="0" applyFont="1" applyBorder="1" applyAlignment="1">
      <alignment horizontal="center" vertical="top" wrapText="1"/>
    </xf>
    <xf numFmtId="0" fontId="3" fillId="0" borderId="9" xfId="0" applyFont="1" applyBorder="1" applyAlignment="1">
      <alignment horizontal="center" vertical="top" wrapText="1"/>
    </xf>
    <xf numFmtId="0" fontId="8" fillId="0" borderId="0" xfId="0" applyFont="1" applyAlignment="1">
      <alignment horizontal="center" vertical="top" wrapText="1"/>
    </xf>
    <xf numFmtId="0" fontId="8" fillId="0" borderId="0" xfId="0" applyFont="1" applyAlignment="1">
      <alignment wrapText="1"/>
    </xf>
    <xf numFmtId="0" fontId="0" fillId="13" borderId="0" xfId="0" applyFill="1" applyAlignment="1">
      <alignment wrapText="1"/>
    </xf>
    <xf numFmtId="0" fontId="18" fillId="13" borderId="1" xfId="0" applyFont="1" applyFill="1" applyBorder="1" applyAlignment="1">
      <alignment horizontal="center" vertical="top" wrapText="1"/>
    </xf>
    <xf numFmtId="0" fontId="0" fillId="13" borderId="2" xfId="0" applyFill="1" applyBorder="1" applyAlignment="1">
      <alignment wrapText="1"/>
    </xf>
    <xf numFmtId="0" fontId="18" fillId="13" borderId="3" xfId="0" applyFont="1" applyFill="1" applyBorder="1" applyAlignment="1">
      <alignment wrapText="1"/>
    </xf>
    <xf numFmtId="0" fontId="8" fillId="0" borderId="10" xfId="0" applyFont="1" applyBorder="1" applyAlignment="1">
      <alignment wrapText="1"/>
    </xf>
    <xf numFmtId="0" fontId="0" fillId="9" borderId="6" xfId="0" applyFill="1" applyBorder="1" applyAlignment="1">
      <alignment horizontal="center"/>
    </xf>
    <xf numFmtId="0" fontId="0" fillId="9" borderId="1" xfId="0" applyFill="1" applyBorder="1" applyAlignment="1">
      <alignment horizontal="left" vertical="center" wrapText="1" indent="1"/>
    </xf>
    <xf numFmtId="0" fontId="0" fillId="0" borderId="10" xfId="0" applyBorder="1" applyAlignment="1">
      <alignment horizontal="center"/>
    </xf>
    <xf numFmtId="0" fontId="0" fillId="9" borderId="2" xfId="0" applyFill="1" applyBorder="1"/>
    <xf numFmtId="0" fontId="19" fillId="0" borderId="6" xfId="0" applyFont="1" applyBorder="1" applyAlignment="1">
      <alignment horizontal="center"/>
    </xf>
    <xf numFmtId="0" fontId="20" fillId="0" borderId="0" xfId="0" applyFont="1"/>
    <xf numFmtId="0" fontId="0" fillId="4" borderId="6" xfId="0" applyFill="1" applyBorder="1" applyAlignment="1">
      <alignment horizontal="center"/>
    </xf>
    <xf numFmtId="0" fontId="8" fillId="10" borderId="10" xfId="0" applyFont="1" applyFill="1" applyBorder="1" applyAlignment="1">
      <alignment wrapText="1"/>
    </xf>
    <xf numFmtId="0" fontId="0" fillId="14" borderId="2" xfId="0" applyFill="1" applyBorder="1" applyAlignment="1">
      <alignment wrapText="1"/>
    </xf>
    <xf numFmtId="0" fontId="0" fillId="14" borderId="2" xfId="0" applyFill="1" applyBorder="1" applyAlignment="1">
      <alignment horizontal="center" wrapText="1"/>
    </xf>
    <xf numFmtId="0" fontId="5" fillId="0" borderId="10" xfId="0" applyFont="1" applyBorder="1" applyAlignment="1">
      <alignment wrapText="1"/>
    </xf>
    <xf numFmtId="0" fontId="22" fillId="0" borderId="2" xfId="0" applyFont="1" applyBorder="1" applyAlignment="1">
      <alignment wrapText="1"/>
    </xf>
    <xf numFmtId="0" fontId="0" fillId="15" borderId="2" xfId="0" applyFill="1" applyBorder="1" applyAlignment="1">
      <alignment wrapText="1"/>
    </xf>
    <xf numFmtId="0" fontId="3" fillId="0" borderId="1" xfId="0" applyFont="1" applyBorder="1" applyAlignment="1">
      <alignment horizontal="left" vertical="center" wrapText="1" indent="1"/>
    </xf>
    <xf numFmtId="0" fontId="0" fillId="14" borderId="0" xfId="0" applyFill="1" applyAlignment="1">
      <alignment wrapText="1"/>
    </xf>
    <xf numFmtId="0" fontId="8" fillId="16" borderId="10" xfId="0" applyFont="1" applyFill="1" applyBorder="1" applyAlignment="1">
      <alignment wrapText="1"/>
    </xf>
    <xf numFmtId="0" fontId="8" fillId="4" borderId="10" xfId="0" applyFont="1" applyFill="1" applyBorder="1" applyAlignment="1">
      <alignment wrapText="1"/>
    </xf>
    <xf numFmtId="0" fontId="0" fillId="9" borderId="0" xfId="0" applyFill="1"/>
    <xf numFmtId="0" fontId="0" fillId="2" borderId="0" xfId="0" applyFill="1" applyAlignment="1">
      <alignment wrapText="1"/>
    </xf>
    <xf numFmtId="0" fontId="11" fillId="13" borderId="2" xfId="0" applyFont="1" applyFill="1" applyBorder="1" applyAlignment="1">
      <alignment wrapText="1"/>
    </xf>
    <xf numFmtId="0" fontId="11" fillId="13" borderId="2" xfId="0" applyFont="1" applyFill="1" applyBorder="1" applyAlignment="1">
      <alignment horizontal="center" wrapText="1"/>
    </xf>
    <xf numFmtId="0" fontId="12" fillId="14" borderId="2" xfId="0" applyFont="1" applyFill="1" applyBorder="1" applyAlignment="1">
      <alignment wrapText="1"/>
    </xf>
    <xf numFmtId="0" fontId="22" fillId="2" borderId="2" xfId="0" applyFont="1" applyFill="1" applyBorder="1" applyAlignment="1">
      <alignment wrapText="1"/>
    </xf>
    <xf numFmtId="0" fontId="12" fillId="2" borderId="2" xfId="0" applyFont="1" applyFill="1" applyBorder="1" applyAlignment="1">
      <alignment wrapText="1"/>
    </xf>
    <xf numFmtId="0" fontId="0" fillId="2" borderId="2" xfId="0" applyFill="1" applyBorder="1" applyAlignment="1">
      <alignment wrapText="1"/>
    </xf>
    <xf numFmtId="0" fontId="21" fillId="2" borderId="2" xfId="0" applyFont="1" applyFill="1" applyBorder="1" applyAlignment="1">
      <alignment wrapText="1"/>
    </xf>
    <xf numFmtId="0" fontId="0" fillId="2" borderId="2" xfId="0" applyFill="1" applyBorder="1"/>
    <xf numFmtId="0" fontId="20" fillId="9" borderId="2" xfId="0" applyFont="1" applyFill="1" applyBorder="1"/>
    <xf numFmtId="0" fontId="20" fillId="9" borderId="2" xfId="0" applyFont="1" applyFill="1" applyBorder="1" applyAlignment="1">
      <alignment wrapText="1"/>
    </xf>
    <xf numFmtId="0" fontId="0" fillId="9" borderId="2" xfId="0" applyFill="1" applyBorder="1" applyAlignment="1">
      <alignment wrapText="1"/>
    </xf>
    <xf numFmtId="0" fontId="12" fillId="9" borderId="2" xfId="0" applyFont="1" applyFill="1" applyBorder="1" applyAlignment="1">
      <alignment wrapText="1"/>
    </xf>
    <xf numFmtId="0" fontId="11" fillId="8" borderId="5" xfId="0" applyFont="1" applyFill="1" applyBorder="1" applyAlignment="1">
      <alignment horizontal="center" vertical="center"/>
    </xf>
    <xf numFmtId="0" fontId="0" fillId="9" borderId="5" xfId="0" applyFill="1" applyBorder="1" applyAlignment="1">
      <alignment horizontal="center"/>
    </xf>
    <xf numFmtId="0" fontId="24" fillId="17" borderId="2" xfId="0" applyFont="1" applyFill="1" applyBorder="1" applyAlignment="1">
      <alignment horizontal="center" vertical="center"/>
    </xf>
    <xf numFmtId="0" fontId="8" fillId="0" borderId="2" xfId="0" applyFont="1" applyBorder="1" applyAlignment="1">
      <alignment vertical="center" wrapText="1"/>
    </xf>
    <xf numFmtId="0" fontId="25" fillId="0" borderId="2" xfId="0" applyFont="1" applyBorder="1" applyAlignment="1">
      <alignment vertical="center"/>
    </xf>
    <xf numFmtId="0" fontId="25" fillId="0" borderId="2" xfId="0" applyFont="1" applyBorder="1" applyAlignment="1">
      <alignment vertical="center" wrapText="1"/>
    </xf>
    <xf numFmtId="0" fontId="0" fillId="0" borderId="2" xfId="0" applyBorder="1" applyAlignment="1">
      <alignment vertical="center"/>
    </xf>
    <xf numFmtId="0" fontId="0" fillId="0" borderId="2" xfId="0" applyBorder="1" applyAlignment="1">
      <alignment vertical="center" wrapText="1"/>
    </xf>
    <xf numFmtId="0" fontId="26" fillId="0" borderId="2" xfId="0" applyFont="1" applyBorder="1" applyAlignment="1">
      <alignment vertical="center" wrapText="1"/>
    </xf>
    <xf numFmtId="0" fontId="20" fillId="0" borderId="2" xfId="0" applyFont="1" applyBorder="1" applyAlignment="1">
      <alignment vertical="center"/>
    </xf>
    <xf numFmtId="0" fontId="21" fillId="0" borderId="2" xfId="0" applyFont="1" applyBorder="1" applyAlignment="1">
      <alignment vertical="center" wrapText="1"/>
    </xf>
    <xf numFmtId="0" fontId="20" fillId="0" borderId="2" xfId="0" applyFont="1" applyBorder="1" applyAlignment="1">
      <alignment vertical="center" wrapText="1"/>
    </xf>
    <xf numFmtId="0" fontId="0" fillId="0" borderId="0" xfId="0" applyAlignment="1">
      <alignment vertical="center"/>
    </xf>
    <xf numFmtId="0" fontId="27" fillId="2" borderId="0" xfId="0" applyFont="1" applyFill="1"/>
    <xf numFmtId="0" fontId="12" fillId="14" borderId="2" xfId="0" applyFont="1" applyFill="1" applyBorder="1" applyAlignment="1">
      <alignment horizontal="center" wrapText="1"/>
    </xf>
    <xf numFmtId="0" fontId="0" fillId="2" borderId="5" xfId="0" applyFill="1" applyBorder="1" applyAlignment="1">
      <alignment horizontal="center"/>
    </xf>
    <xf numFmtId="0" fontId="28" fillId="0" borderId="2" xfId="0" applyFont="1" applyBorder="1" applyAlignment="1">
      <alignment wrapText="1"/>
    </xf>
    <xf numFmtId="0" fontId="24" fillId="0" borderId="2" xfId="0" applyFont="1" applyBorder="1"/>
    <xf numFmtId="0" fontId="0" fillId="14" borderId="2" xfId="0" applyFill="1" applyBorder="1"/>
    <xf numFmtId="0" fontId="21" fillId="0" borderId="2" xfId="0" applyFont="1" applyBorder="1" applyAlignment="1">
      <alignment wrapText="1"/>
    </xf>
    <xf numFmtId="0" fontId="27" fillId="2" borderId="2" xfId="0" applyFont="1" applyFill="1" applyBorder="1"/>
    <xf numFmtId="0" fontId="24" fillId="17" borderId="5" xfId="0" applyFont="1" applyFill="1" applyBorder="1" applyAlignment="1">
      <alignment horizontal="center"/>
    </xf>
    <xf numFmtId="0" fontId="0" fillId="18" borderId="5" xfId="0" applyFill="1" applyBorder="1" applyAlignment="1">
      <alignment horizontal="center"/>
    </xf>
    <xf numFmtId="0" fontId="0" fillId="19" borderId="5" xfId="0" applyFill="1" applyBorder="1" applyAlignment="1">
      <alignment horizontal="center"/>
    </xf>
    <xf numFmtId="0" fontId="26" fillId="0" borderId="2" xfId="0" applyFont="1" applyBorder="1" applyAlignment="1">
      <alignment wrapText="1"/>
    </xf>
    <xf numFmtId="0" fontId="20" fillId="0" borderId="2" xfId="0" applyFont="1" applyBorder="1"/>
    <xf numFmtId="0" fontId="20" fillId="0" borderId="2" xfId="0" applyFont="1" applyBorder="1" applyAlignment="1">
      <alignment wrapText="1"/>
    </xf>
    <xf numFmtId="0" fontId="11" fillId="0" borderId="2" xfId="0" applyFont="1" applyBorder="1"/>
    <xf numFmtId="0" fontId="0" fillId="9" borderId="2" xfId="0" applyFill="1" applyBorder="1" applyAlignment="1">
      <alignment horizontal="center" wrapText="1"/>
    </xf>
    <xf numFmtId="0" fontId="0" fillId="0" borderId="2" xfId="0" applyBorder="1" applyAlignment="1">
      <alignment horizontal="center" wrapText="1"/>
    </xf>
    <xf numFmtId="0" fontId="11" fillId="8" borderId="5" xfId="0" applyFont="1" applyFill="1" applyBorder="1"/>
    <xf numFmtId="0" fontId="0" fillId="9" borderId="5" xfId="0" applyFill="1" applyBorder="1"/>
    <xf numFmtId="0" fontId="0" fillId="20" borderId="5" xfId="0" applyFill="1" applyBorder="1" applyAlignment="1">
      <alignment horizontal="center"/>
    </xf>
    <xf numFmtId="0" fontId="0" fillId="9" borderId="5" xfId="0" applyFill="1" applyBorder="1" applyAlignment="1">
      <alignment horizontal="center" wrapText="1"/>
    </xf>
    <xf numFmtId="0" fontId="0" fillId="8" borderId="5" xfId="0" applyFill="1" applyBorder="1" applyAlignment="1">
      <alignment horizontal="center"/>
    </xf>
    <xf numFmtId="0" fontId="21" fillId="9" borderId="2" xfId="0" applyFont="1" applyFill="1" applyBorder="1" applyAlignment="1">
      <alignment wrapText="1"/>
    </xf>
    <xf numFmtId="0" fontId="0" fillId="9" borderId="2" xfId="0" applyFill="1" applyBorder="1" applyAlignment="1">
      <alignment horizontal="left"/>
    </xf>
  </cellXfs>
  <cellStyles count="1">
    <cellStyle name="Normal" xfId="0" builtinId="0"/>
  </cellStyles>
  <dxfs count="4">
    <dxf>
      <font>
        <color theme="0"/>
      </font>
      <fill>
        <patternFill patternType="solid">
          <bgColor rgb="FFFF0000"/>
        </patternFill>
      </fill>
    </dxf>
    <dxf>
      <font>
        <color theme="1"/>
      </font>
      <fill>
        <patternFill patternType="solid">
          <bgColor rgb="FFFFA200"/>
        </patternFill>
      </fill>
    </dxf>
    <dxf>
      <font>
        <color theme="1"/>
      </font>
      <fill>
        <patternFill patternType="solid">
          <bgColor rgb="FFFFEB0A"/>
        </patternFill>
      </fill>
    </dxf>
    <dxf>
      <font>
        <color theme="0"/>
      </font>
      <fill>
        <patternFill patternType="solid">
          <bgColor theme="9"/>
        </patternFill>
      </fill>
    </dxf>
  </dxfs>
  <tableStyles count="0" defaultTableStyle="TableStyleMedium2" defaultPivotStyle="PivotStyleMedium9"/>
  <colors>
    <mruColors>
      <color rgb="FFE8E8E8"/>
      <color rgb="FF808080"/>
      <color rgb="FFFFCCCC"/>
      <color rgb="FFFFC2C2"/>
      <color rgb="FFFFEB0A"/>
      <color rgb="FFFFA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eepak Pandey" id="{DE30E43F-9E2A-41F1-A7E5-81369AE10EA1}" userId="S::deepak.pandey@ikokas.com::e3501e10-4ea6-45f1-a726-02146c177f7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R10" dT="2026-01-09T05:19:47.05" personId="{DE30E43F-9E2A-41F1-A7E5-81369AE10EA1}" id="{38E25F5D-A6EC-4C7D-A527-9FD52158F040}">
    <text>Going to original message integration will take some time , we will complete it later.</text>
  </threadedComment>
  <threadedComment ref="S10" dT="2026-01-09T05:19:47.05" personId="{DE30E43F-9E2A-41F1-A7E5-81369AE10EA1}" id="{163F66F2-39D1-4F3C-80DF-00A5AC807C22}">
    <text>Going to original message integration will take some time , we will complete it later.</text>
  </threadedComment>
  <threadedComment ref="T10" dT="2026-01-09T05:19:47.05" personId="{DE30E43F-9E2A-41F1-A7E5-81369AE10EA1}" id="{C3594E4A-E5D2-48B0-B356-2DFDAA5430BB}">
    <text>Going to original message integration will take some time , we will complete it later.</text>
  </threadedComment>
  <threadedComment ref="R14" dT="2026-01-09T05:19:47.05" personId="{DE30E43F-9E2A-41F1-A7E5-81369AE10EA1}" id="{4A31A911-2566-4572-B18B-B23010FE907C}">
    <text>Going to original message integration will take some time , we will complete it later.</text>
  </threadedComment>
  <threadedComment ref="S14" dT="2026-01-09T05:19:47.05" personId="{DE30E43F-9E2A-41F1-A7E5-81369AE10EA1}" id="{2C43604F-1F60-4F34-A379-F1FE819E6E3F}">
    <text>Going to original message integration will take some time , we will complete it later.</text>
  </threadedComment>
  <threadedComment ref="T14" dT="2026-01-09T05:19:47.05" personId="{DE30E43F-9E2A-41F1-A7E5-81369AE10EA1}" id="{31DE45F9-2690-4849-B7A2-A3FE4546961D}">
    <text>Going to original message integration will take some time , we will complete it later.</text>
  </threadedComment>
  <threadedComment ref="R15" dT="2026-01-09T05:19:47.05" personId="{DE30E43F-9E2A-41F1-A7E5-81369AE10EA1}" id="{3CAEAD4E-DCEE-4C73-BBE8-0D7DEBA570BE}">
    <text>Going to original message integration will take some time , we will complete it later.</text>
  </threadedComment>
  <threadedComment ref="S15" dT="2026-01-09T05:19:47.05" personId="{DE30E43F-9E2A-41F1-A7E5-81369AE10EA1}" id="{631C1F3D-5A0D-42D8-95E5-FEFF2D70F31A}">
    <text>Going to original message integration will take some time , we will complete it later.</text>
  </threadedComment>
  <threadedComment ref="T15" dT="2026-01-09T05:19:47.05" personId="{DE30E43F-9E2A-41F1-A7E5-81369AE10EA1}" id="{F3387825-C86D-47CD-B051-351330217D03}">
    <text>Going to original message integration will take some time , we will complete it later.</text>
  </threadedComment>
  <threadedComment ref="R16" dT="2026-01-09T05:19:47.05" personId="{DE30E43F-9E2A-41F1-A7E5-81369AE10EA1}" id="{3157439B-FD12-4BC6-99B3-F641FA37609C}">
    <text>Going to original message integration will take some time , we will complete it later.</text>
  </threadedComment>
  <threadedComment ref="T16" dT="2026-01-09T05:19:47.05" personId="{DE30E43F-9E2A-41F1-A7E5-81369AE10EA1}" id="{9F4F7EE7-00AC-4E7D-9A2C-21BC1DD9049E}">
    <text>Going to original message integration will take some time , we will complete it later.</text>
  </threadedComment>
  <threadedComment ref="R51" dT="2026-01-09T05:19:47.05" personId="{DE30E43F-9E2A-41F1-A7E5-81369AE10EA1}" id="{C44F9441-3BEC-4176-BCE5-D7D6B40DC117}">
    <text>Going to original message integration will take some time , we will complete it later.</text>
  </threadedComment>
  <threadedComment ref="T51" dT="2026-01-09T05:19:47.05" personId="{DE30E43F-9E2A-41F1-A7E5-81369AE10EA1}" id="{CA829FFF-285D-4D58-BB50-41FE1DBE0FF0}">
    <text>Going to original message integration will take some time , we will complete it later.</text>
  </threadedComment>
  <threadedComment ref="S56" dT="2026-01-09T05:19:47.05" personId="{DE30E43F-9E2A-41F1-A7E5-81369AE10EA1}" id="{B496ED95-4F09-4F82-BEBF-4FEAA3FC469A}">
    <text>Going to original message integration will take some time , we will complete it later.</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74"/>
  <sheetViews>
    <sheetView tabSelected="1" topLeftCell="J177" zoomScale="70" zoomScaleNormal="70" workbookViewId="0">
      <selection activeCell="T178" sqref="T178"/>
    </sheetView>
  </sheetViews>
  <sheetFormatPr defaultColWidth="14" defaultRowHeight="15" customHeight="1"/>
  <cols>
    <col min="1" max="2" width="14" style="3"/>
    <col min="3" max="4" width="14" style="1"/>
    <col min="5" max="5" width="14" style="2"/>
    <col min="6" max="6" width="14" style="59"/>
    <col min="7" max="7" width="19.140625" style="5" customWidth="1"/>
    <col min="8" max="8" width="14" style="4"/>
    <col min="9" max="14" width="14" style="2"/>
    <col min="15" max="15" width="14" style="2" bestFit="1" customWidth="1"/>
    <col min="16" max="16" width="23.42578125" style="67" customWidth="1"/>
    <col min="17" max="17" width="19.140625" style="2" customWidth="1"/>
    <col min="18" max="18" width="14" style="2"/>
    <col min="19" max="19" width="14" style="59"/>
    <col min="20" max="20" width="30.42578125" customWidth="1"/>
    <col min="21" max="21" width="45.5703125" style="53" customWidth="1"/>
  </cols>
  <sheetData>
    <row r="1" spans="1:21" ht="29.25">
      <c r="A1" s="6" t="s">
        <v>0</v>
      </c>
      <c r="B1" s="6" t="s">
        <v>1</v>
      </c>
      <c r="C1" s="7" t="s">
        <v>2</v>
      </c>
      <c r="D1" s="7" t="s">
        <v>3</v>
      </c>
      <c r="E1" s="6" t="s">
        <v>4</v>
      </c>
      <c r="F1" s="8" t="s">
        <v>5</v>
      </c>
      <c r="G1" s="8" t="s">
        <v>6</v>
      </c>
      <c r="H1" s="6" t="s">
        <v>7</v>
      </c>
      <c r="I1" s="9" t="s">
        <v>8</v>
      </c>
      <c r="J1" s="6" t="s">
        <v>9</v>
      </c>
      <c r="K1" s="6" t="s">
        <v>10</v>
      </c>
      <c r="L1" s="6" t="s">
        <v>11</v>
      </c>
      <c r="M1" s="51" t="s">
        <v>12</v>
      </c>
      <c r="N1" s="6" t="s">
        <v>13</v>
      </c>
      <c r="O1" s="6" t="s">
        <v>14</v>
      </c>
      <c r="P1" s="65" t="s">
        <v>15</v>
      </c>
      <c r="Q1" s="50" t="s">
        <v>16</v>
      </c>
      <c r="R1" s="79" t="s">
        <v>17</v>
      </c>
      <c r="S1" s="82" t="s">
        <v>18</v>
      </c>
      <c r="T1" s="133" t="s">
        <v>19</v>
      </c>
      <c r="U1" s="88" t="s">
        <v>20</v>
      </c>
    </row>
    <row r="2" spans="1:21" ht="188.25">
      <c r="A2" s="10">
        <v>1</v>
      </c>
      <c r="B2" s="10"/>
      <c r="C2" s="11" t="s">
        <v>21</v>
      </c>
      <c r="D2" s="12" t="s">
        <v>22</v>
      </c>
      <c r="E2" s="13" t="s">
        <v>23</v>
      </c>
      <c r="F2" s="13" t="s">
        <v>24</v>
      </c>
      <c r="G2" s="14" t="s">
        <v>25</v>
      </c>
      <c r="H2" s="15" t="s">
        <v>26</v>
      </c>
      <c r="I2" s="13" t="s">
        <v>27</v>
      </c>
      <c r="J2" s="13" t="s">
        <v>27</v>
      </c>
      <c r="K2" s="13" t="s">
        <v>27</v>
      </c>
      <c r="L2" s="13" t="s">
        <v>28</v>
      </c>
      <c r="M2" s="52" t="str" cm="1">
        <f t="array" ref="M2">_xlfn.IFS(COUNTIF(I2:L2,"Fail")&gt;0, "Fail", COUNTIF(I2:L2,"Pending")&gt;0, "Pending", COUNTIF(I2:L2,"Pass")&gt;0, "Pass", TRUE, "")</f>
        <v>Pass</v>
      </c>
      <c r="N2" s="13" t="s">
        <v>29</v>
      </c>
      <c r="O2" s="13"/>
      <c r="P2" s="44" t="s">
        <v>30</v>
      </c>
      <c r="Q2" s="61" t="s">
        <v>29</v>
      </c>
      <c r="R2" s="68" t="s">
        <v>31</v>
      </c>
      <c r="S2" s="84" t="s">
        <v>32</v>
      </c>
      <c r="T2" s="134" t="s">
        <v>31</v>
      </c>
      <c r="U2" s="105" t="s">
        <v>32</v>
      </c>
    </row>
    <row r="3" spans="1:21">
      <c r="A3" s="10">
        <v>2</v>
      </c>
      <c r="B3" s="10"/>
      <c r="C3" s="11" t="s">
        <v>21</v>
      </c>
      <c r="D3" s="12" t="s">
        <v>22</v>
      </c>
      <c r="E3" s="13" t="s">
        <v>23</v>
      </c>
      <c r="F3" s="13" t="s">
        <v>24</v>
      </c>
      <c r="G3" s="16" t="s">
        <v>33</v>
      </c>
      <c r="H3" s="15" t="s">
        <v>34</v>
      </c>
      <c r="I3" s="13" t="s">
        <v>27</v>
      </c>
      <c r="J3" s="13" t="s">
        <v>27</v>
      </c>
      <c r="K3" s="13" t="s">
        <v>27</v>
      </c>
      <c r="L3" s="13" t="s">
        <v>28</v>
      </c>
      <c r="M3" s="52" t="str" cm="1">
        <f t="array" ref="M3">_xlfn.IFS(COUNTIF(I3:L3,"Fail")&gt;0, "Fail", COUNTIF(I3:L3,"Pending")&gt;0, "Pending", COUNTIF(I3:L3,"Pass")&gt;0, "Pass", TRUE, "")</f>
        <v>Pass</v>
      </c>
      <c r="N3" s="13"/>
      <c r="O3" s="13"/>
      <c r="P3" s="44"/>
      <c r="Q3" s="61"/>
      <c r="R3" s="52"/>
      <c r="S3" s="2"/>
      <c r="T3" s="69"/>
    </row>
    <row r="4" spans="1:21" ht="201.75">
      <c r="A4" s="10">
        <v>3</v>
      </c>
      <c r="B4" s="10"/>
      <c r="C4" s="11" t="s">
        <v>21</v>
      </c>
      <c r="D4" s="12" t="s">
        <v>22</v>
      </c>
      <c r="E4" s="13" t="s">
        <v>23</v>
      </c>
      <c r="F4" s="13" t="s">
        <v>24</v>
      </c>
      <c r="G4" s="14" t="s">
        <v>35</v>
      </c>
      <c r="H4" s="15" t="s">
        <v>26</v>
      </c>
      <c r="I4" s="13" t="s">
        <v>27</v>
      </c>
      <c r="J4" s="13" t="s">
        <v>27</v>
      </c>
      <c r="K4" s="13" t="s">
        <v>27</v>
      </c>
      <c r="L4" s="13" t="s">
        <v>28</v>
      </c>
      <c r="M4" s="52" t="str" cm="1">
        <f t="array" ref="M4">_xlfn.IFS(COUNTIF(I4:L4,"Fail")&gt;0, "Fail", COUNTIF(I4:L4,"Pending")&gt;0, "Pending", COUNTIF(I4:L4,"Pass")&gt;0, "Pass", TRUE, "")</f>
        <v>Pass</v>
      </c>
      <c r="N4" s="13" t="s">
        <v>29</v>
      </c>
      <c r="O4" s="13"/>
      <c r="P4" s="44" t="s">
        <v>36</v>
      </c>
      <c r="Q4" s="61" t="s">
        <v>29</v>
      </c>
      <c r="R4" s="68" t="s">
        <v>31</v>
      </c>
      <c r="S4" s="77" t="s">
        <v>32</v>
      </c>
      <c r="T4" s="134" t="s">
        <v>31</v>
      </c>
      <c r="U4" s="105" t="s">
        <v>32</v>
      </c>
    </row>
    <row r="5" spans="1:21" ht="115.5">
      <c r="A5" s="10">
        <v>4</v>
      </c>
      <c r="B5" s="10"/>
      <c r="C5" s="11" t="s">
        <v>21</v>
      </c>
      <c r="D5" s="12" t="s">
        <v>22</v>
      </c>
      <c r="E5" s="13" t="s">
        <v>23</v>
      </c>
      <c r="F5" s="13" t="s">
        <v>24</v>
      </c>
      <c r="G5" s="14" t="s">
        <v>37</v>
      </c>
      <c r="H5" s="15" t="s">
        <v>27</v>
      </c>
      <c r="I5" s="13" t="s">
        <v>27</v>
      </c>
      <c r="J5" s="13" t="s">
        <v>27</v>
      </c>
      <c r="K5" s="13" t="s">
        <v>27</v>
      </c>
      <c r="L5" s="13" t="s">
        <v>28</v>
      </c>
      <c r="M5" s="52" t="str" cm="1">
        <f t="array" ref="M5">_xlfn.IFS(COUNTIF(I5:L5,"Fail")&gt;0, "Fail", COUNTIF(I5:L5,"Pending")&gt;0, "Pending", COUNTIF(I5:L5,"Pass")&gt;0, "Pass", TRUE, "")</f>
        <v>Pass</v>
      </c>
      <c r="N5" s="13" t="s">
        <v>38</v>
      </c>
      <c r="O5" s="13"/>
      <c r="P5" s="44" t="s">
        <v>39</v>
      </c>
      <c r="Q5" s="61" t="s">
        <v>29</v>
      </c>
      <c r="R5" s="68" t="s">
        <v>31</v>
      </c>
      <c r="S5" s="77" t="s">
        <v>32</v>
      </c>
      <c r="T5" s="134" t="s">
        <v>31</v>
      </c>
      <c r="U5" s="105" t="s">
        <v>32</v>
      </c>
    </row>
    <row r="6" spans="1:21">
      <c r="A6" s="10">
        <v>5</v>
      </c>
      <c r="B6" s="10"/>
      <c r="C6" s="11" t="s">
        <v>21</v>
      </c>
      <c r="D6" s="12" t="s">
        <v>22</v>
      </c>
      <c r="E6" s="13" t="s">
        <v>23</v>
      </c>
      <c r="F6" s="13" t="s">
        <v>24</v>
      </c>
      <c r="G6" s="16" t="s">
        <v>40</v>
      </c>
      <c r="H6" s="15" t="s">
        <v>34</v>
      </c>
      <c r="I6" s="13" t="s">
        <v>27</v>
      </c>
      <c r="J6" s="13" t="s">
        <v>27</v>
      </c>
      <c r="K6" s="13" t="s">
        <v>27</v>
      </c>
      <c r="L6" s="13" t="s">
        <v>28</v>
      </c>
      <c r="M6" s="52" t="str" cm="1">
        <f t="array" ref="M6">_xlfn.IFS(COUNTIF(I6:L6,"Fail")&gt;0, "Fail", COUNTIF(I6:L6,"Pending")&gt;0, "Pending", COUNTIF(I6:L6,"Pass")&gt;0, "Pass", TRUE, "")</f>
        <v>Pass</v>
      </c>
      <c r="N6" s="13"/>
      <c r="O6" s="13"/>
      <c r="P6" s="44"/>
      <c r="Q6" s="61"/>
      <c r="R6" s="52"/>
      <c r="S6" s="84"/>
      <c r="T6" s="69"/>
    </row>
    <row r="7" spans="1:21">
      <c r="A7" s="10">
        <v>6</v>
      </c>
      <c r="B7" s="10"/>
      <c r="C7" s="11" t="s">
        <v>21</v>
      </c>
      <c r="D7" s="12" t="s">
        <v>22</v>
      </c>
      <c r="E7" s="13" t="s">
        <v>23</v>
      </c>
      <c r="F7" s="13" t="s">
        <v>24</v>
      </c>
      <c r="G7" s="16" t="s">
        <v>41</v>
      </c>
      <c r="H7" s="15" t="s">
        <v>34</v>
      </c>
      <c r="I7" s="13" t="s">
        <v>27</v>
      </c>
      <c r="J7" s="13" t="s">
        <v>27</v>
      </c>
      <c r="K7" s="13" t="s">
        <v>27</v>
      </c>
      <c r="L7" s="13" t="s">
        <v>28</v>
      </c>
      <c r="M7" s="52" t="str" cm="1">
        <f t="array" ref="M7">_xlfn.IFS(COUNTIF(I7:L7,"Fail")&gt;0, "Fail", COUNTIF(I7:L7,"Pending")&gt;0, "Pending", COUNTIF(I7:L7,"Pass")&gt;0, "Pass", TRUE, "")</f>
        <v>Pass</v>
      </c>
      <c r="N7" s="13"/>
      <c r="O7" s="13"/>
      <c r="P7" s="44"/>
      <c r="Q7" s="61"/>
      <c r="R7" s="52"/>
      <c r="S7" s="78"/>
      <c r="T7" s="69"/>
    </row>
    <row r="8" spans="1:21" ht="72.75">
      <c r="A8" s="10">
        <v>7</v>
      </c>
      <c r="B8" s="10"/>
      <c r="C8" s="11" t="s">
        <v>21</v>
      </c>
      <c r="D8" s="12" t="s">
        <v>22</v>
      </c>
      <c r="E8" s="13" t="s">
        <v>23</v>
      </c>
      <c r="F8" s="55" t="s">
        <v>24</v>
      </c>
      <c r="G8" s="14" t="s">
        <v>42</v>
      </c>
      <c r="H8" s="15" t="s">
        <v>27</v>
      </c>
      <c r="I8" s="13" t="s">
        <v>27</v>
      </c>
      <c r="J8" s="13" t="s">
        <v>27</v>
      </c>
      <c r="K8" s="13" t="s">
        <v>27</v>
      </c>
      <c r="L8" s="13" t="s">
        <v>28</v>
      </c>
      <c r="M8" s="52" t="str" cm="1">
        <f t="array" ref="M8">_xlfn.IFS(COUNTIF(I8:L8,"Fail")&gt;0, "Fail", COUNTIF(I8:L8,"Pending")&gt;0, "Pending", COUNTIF(I8:L8,"Pass")&gt;0, "Pass", TRUE, "")</f>
        <v>Pass</v>
      </c>
      <c r="N8" s="13" t="s">
        <v>38</v>
      </c>
      <c r="O8" s="13"/>
      <c r="P8" s="44" t="s">
        <v>43</v>
      </c>
      <c r="Q8" s="61" t="s">
        <v>29</v>
      </c>
      <c r="R8" s="68" t="s">
        <v>31</v>
      </c>
      <c r="S8" s="77" t="s">
        <v>32</v>
      </c>
      <c r="T8" s="134" t="s">
        <v>31</v>
      </c>
      <c r="U8" s="105" t="s">
        <v>32</v>
      </c>
    </row>
    <row r="9" spans="1:21">
      <c r="A9" s="10">
        <v>8</v>
      </c>
      <c r="B9" s="10"/>
      <c r="C9" s="11" t="s">
        <v>21</v>
      </c>
      <c r="D9" s="12" t="s">
        <v>22</v>
      </c>
      <c r="E9" s="13" t="s">
        <v>23</v>
      </c>
      <c r="F9" s="13" t="s">
        <v>24</v>
      </c>
      <c r="G9" s="16" t="s">
        <v>44</v>
      </c>
      <c r="H9" s="15" t="s">
        <v>34</v>
      </c>
      <c r="I9" s="13" t="s">
        <v>27</v>
      </c>
      <c r="J9" s="13" t="s">
        <v>27</v>
      </c>
      <c r="K9" s="13" t="s">
        <v>27</v>
      </c>
      <c r="L9" s="13" t="s">
        <v>28</v>
      </c>
      <c r="M9" s="52" t="str" cm="1">
        <f t="array" ref="M9">_xlfn.IFS(COUNTIF(I9:L9,"Fail")&gt;0, "Fail", COUNTIF(I9:L9,"Pending")&gt;0, "Pending", COUNTIF(I9:L9,"Pass")&gt;0, "Pass", TRUE, "")</f>
        <v>Pass</v>
      </c>
      <c r="N9" s="13"/>
      <c r="O9" s="13"/>
      <c r="P9" s="44"/>
      <c r="Q9" s="61"/>
      <c r="R9" s="52"/>
      <c r="S9" s="84"/>
      <c r="T9" s="69"/>
    </row>
    <row r="10" spans="1:21" ht="57.75">
      <c r="A10" s="10">
        <v>9</v>
      </c>
      <c r="B10" s="10"/>
      <c r="C10" s="11" t="s">
        <v>21</v>
      </c>
      <c r="D10" s="12" t="s">
        <v>22</v>
      </c>
      <c r="E10" s="13" t="s">
        <v>23</v>
      </c>
      <c r="F10" s="13" t="s">
        <v>24</v>
      </c>
      <c r="G10" s="14" t="s">
        <v>45</v>
      </c>
      <c r="H10" s="15" t="s">
        <v>26</v>
      </c>
      <c r="I10" s="13" t="s">
        <v>27</v>
      </c>
      <c r="J10" s="13" t="s">
        <v>27</v>
      </c>
      <c r="K10" s="13" t="s">
        <v>27</v>
      </c>
      <c r="L10" s="13" t="s">
        <v>28</v>
      </c>
      <c r="M10" s="52" t="str" cm="1">
        <f t="array" ref="M10">_xlfn.IFS(COUNTIF(I10:L10,"Fail")&gt;0, "Fail", COUNTIF(I10:L10,"Pending")&gt;0, "Pending", COUNTIF(I10:L10,"Pass")&gt;0, "Pass", TRUE, "")</f>
        <v>Pass</v>
      </c>
      <c r="N10" s="13" t="s">
        <v>29</v>
      </c>
      <c r="O10" s="13"/>
      <c r="P10" s="44" t="s">
        <v>46</v>
      </c>
      <c r="Q10" s="61" t="s">
        <v>29</v>
      </c>
      <c r="R10" s="68" t="s">
        <v>31</v>
      </c>
      <c r="S10" s="77" t="s">
        <v>32</v>
      </c>
      <c r="T10" s="134" t="s">
        <v>31</v>
      </c>
      <c r="U10" s="131" t="s">
        <v>32</v>
      </c>
    </row>
    <row r="11" spans="1:21">
      <c r="A11" s="10">
        <v>10</v>
      </c>
      <c r="B11" s="10"/>
      <c r="C11" s="11" t="s">
        <v>21</v>
      </c>
      <c r="D11" s="12" t="s">
        <v>22</v>
      </c>
      <c r="E11" s="13" t="s">
        <v>23</v>
      </c>
      <c r="F11" s="13" t="s">
        <v>24</v>
      </c>
      <c r="G11" s="16" t="s">
        <v>47</v>
      </c>
      <c r="H11" s="15" t="s">
        <v>34</v>
      </c>
      <c r="I11" s="13" t="s">
        <v>27</v>
      </c>
      <c r="J11" s="13" t="s">
        <v>27</v>
      </c>
      <c r="K11" s="13" t="s">
        <v>27</v>
      </c>
      <c r="L11" s="13" t="s">
        <v>28</v>
      </c>
      <c r="M11" s="52" t="str" cm="1">
        <f t="array" ref="M11">_xlfn.IFS(COUNTIF(I11:L11,"Fail")&gt;0, "Fail", COUNTIF(I11:L11,"Pending")&gt;0, "Pending", COUNTIF(I11:L11,"Pass")&gt;0, "Pass", TRUE, "")</f>
        <v>Pass</v>
      </c>
      <c r="N11" s="13"/>
      <c r="O11" s="13"/>
      <c r="P11" s="44"/>
      <c r="Q11" s="61"/>
      <c r="R11" s="52"/>
      <c r="S11" s="77"/>
      <c r="T11" s="69"/>
    </row>
    <row r="12" spans="1:21">
      <c r="A12" s="10">
        <v>11</v>
      </c>
      <c r="B12" s="10"/>
      <c r="C12" s="11" t="s">
        <v>21</v>
      </c>
      <c r="D12" s="12" t="s">
        <v>22</v>
      </c>
      <c r="E12" s="13" t="s">
        <v>23</v>
      </c>
      <c r="F12" s="13" t="s">
        <v>24</v>
      </c>
      <c r="G12" s="16" t="s">
        <v>48</v>
      </c>
      <c r="H12" s="15" t="s">
        <v>34</v>
      </c>
      <c r="I12" s="13" t="s">
        <v>27</v>
      </c>
      <c r="J12" s="13" t="s">
        <v>27</v>
      </c>
      <c r="K12" s="13" t="s">
        <v>27</v>
      </c>
      <c r="L12" s="13" t="s">
        <v>28</v>
      </c>
      <c r="M12" s="52" t="str" cm="1">
        <f t="array" ref="M12">_xlfn.IFS(COUNTIF(I12:L12,"Fail")&gt;0, "Fail", COUNTIF(I12:L12,"Pending")&gt;0, "Pending", COUNTIF(I12:L12,"Pass")&gt;0, "Pass", TRUE, "")</f>
        <v>Pass</v>
      </c>
      <c r="N12" s="13"/>
      <c r="O12" s="13"/>
      <c r="P12" s="44"/>
      <c r="Q12" s="61"/>
      <c r="R12" s="52"/>
      <c r="S12" s="78"/>
      <c r="T12" s="69"/>
    </row>
    <row r="13" spans="1:21" ht="188.25">
      <c r="A13" s="10">
        <v>12</v>
      </c>
      <c r="B13" s="10"/>
      <c r="C13" s="11" t="s">
        <v>21</v>
      </c>
      <c r="D13" s="12" t="s">
        <v>22</v>
      </c>
      <c r="E13" s="13" t="s">
        <v>23</v>
      </c>
      <c r="F13" s="13" t="s">
        <v>24</v>
      </c>
      <c r="G13" s="14" t="s">
        <v>49</v>
      </c>
      <c r="H13" s="15" t="s">
        <v>26</v>
      </c>
      <c r="I13" s="13" t="s">
        <v>27</v>
      </c>
      <c r="J13" s="13" t="s">
        <v>27</v>
      </c>
      <c r="K13" s="13" t="s">
        <v>27</v>
      </c>
      <c r="L13" s="13" t="s">
        <v>28</v>
      </c>
      <c r="M13" s="52" t="str" cm="1">
        <f t="array" ref="M13">_xlfn.IFS(COUNTIF(I13:L13,"Fail")&gt;0, "Fail", COUNTIF(I13:L13,"Pending")&gt;0, "Pending", COUNTIF(I13:L13,"Pass")&gt;0, "Pass", TRUE, "")</f>
        <v>Pass</v>
      </c>
      <c r="N13" s="13" t="s">
        <v>38</v>
      </c>
      <c r="O13" s="13"/>
      <c r="P13" s="44" t="s">
        <v>50</v>
      </c>
      <c r="Q13" s="61" t="s">
        <v>29</v>
      </c>
      <c r="R13" s="68" t="s">
        <v>31</v>
      </c>
      <c r="S13" s="77" t="s">
        <v>32</v>
      </c>
      <c r="T13" s="134" t="s">
        <v>31</v>
      </c>
      <c r="U13" s="131" t="s">
        <v>32</v>
      </c>
    </row>
    <row r="14" spans="1:21" ht="43.5">
      <c r="A14" s="10">
        <v>13</v>
      </c>
      <c r="B14" s="10"/>
      <c r="C14" s="11" t="s">
        <v>21</v>
      </c>
      <c r="D14" s="12" t="s">
        <v>22</v>
      </c>
      <c r="E14" s="13" t="s">
        <v>23</v>
      </c>
      <c r="F14" s="13" t="s">
        <v>24</v>
      </c>
      <c r="G14" s="14" t="s">
        <v>51</v>
      </c>
      <c r="H14" s="15" t="s">
        <v>26</v>
      </c>
      <c r="I14" s="13" t="s">
        <v>27</v>
      </c>
      <c r="J14" s="13" t="s">
        <v>27</v>
      </c>
      <c r="K14" s="13" t="s">
        <v>27</v>
      </c>
      <c r="L14" s="13" t="s">
        <v>28</v>
      </c>
      <c r="M14" s="52" t="str" cm="1">
        <f t="array" ref="M14">_xlfn.IFS(COUNTIF(I14:L14,"Fail")&gt;0, "Fail", COUNTIF(I14:L14,"Pending")&gt;0, "Pending", COUNTIF(I14:L14,"Pass")&gt;0, "Pass", TRUE, "")</f>
        <v>Pass</v>
      </c>
      <c r="N14" s="13" t="s">
        <v>29</v>
      </c>
      <c r="O14" s="13"/>
      <c r="P14" s="44" t="s">
        <v>52</v>
      </c>
      <c r="Q14" s="61" t="s">
        <v>29</v>
      </c>
      <c r="R14" s="68" t="s">
        <v>31</v>
      </c>
      <c r="S14" s="77" t="s">
        <v>32</v>
      </c>
      <c r="T14" s="134" t="s">
        <v>31</v>
      </c>
      <c r="U14" s="131" t="s">
        <v>32</v>
      </c>
    </row>
    <row r="15" spans="1:21" ht="43.5">
      <c r="A15" s="10">
        <v>14</v>
      </c>
      <c r="B15" s="10"/>
      <c r="C15" s="11" t="s">
        <v>21</v>
      </c>
      <c r="D15" s="12" t="s">
        <v>22</v>
      </c>
      <c r="E15" s="13" t="s">
        <v>23</v>
      </c>
      <c r="F15" s="13" t="s">
        <v>24</v>
      </c>
      <c r="G15" s="14" t="s">
        <v>53</v>
      </c>
      <c r="H15" s="15" t="s">
        <v>26</v>
      </c>
      <c r="I15" s="13" t="s">
        <v>27</v>
      </c>
      <c r="J15" s="13" t="s">
        <v>27</v>
      </c>
      <c r="K15" s="13" t="s">
        <v>27</v>
      </c>
      <c r="L15" s="13" t="s">
        <v>28</v>
      </c>
      <c r="M15" s="52" t="str" cm="1">
        <f t="array" ref="M15">_xlfn.IFS(COUNTIF(I15:L15,"Fail")&gt;0, "Fail", COUNTIF(I15:L15,"Pending")&gt;0, "Pending", COUNTIF(I15:L15,"Pass")&gt;0, "Pass", TRUE, "")</f>
        <v>Pass</v>
      </c>
      <c r="N15" s="13" t="s">
        <v>29</v>
      </c>
      <c r="O15" s="13"/>
      <c r="P15" s="44" t="s">
        <v>54</v>
      </c>
      <c r="Q15" s="61" t="s">
        <v>29</v>
      </c>
      <c r="R15" s="68" t="s">
        <v>31</v>
      </c>
      <c r="S15" s="78" t="s">
        <v>32</v>
      </c>
      <c r="T15" s="134" t="s">
        <v>31</v>
      </c>
      <c r="U15" s="131" t="s">
        <v>32</v>
      </c>
    </row>
    <row r="16" spans="1:21" ht="188.25">
      <c r="A16" s="10">
        <v>15</v>
      </c>
      <c r="B16" s="10"/>
      <c r="C16" s="11" t="s">
        <v>21</v>
      </c>
      <c r="D16" s="12" t="s">
        <v>22</v>
      </c>
      <c r="E16" s="13" t="s">
        <v>23</v>
      </c>
      <c r="F16" s="55" t="s">
        <v>24</v>
      </c>
      <c r="G16" s="14" t="s">
        <v>55</v>
      </c>
      <c r="H16" s="15" t="s">
        <v>26</v>
      </c>
      <c r="I16" s="13" t="s">
        <v>26</v>
      </c>
      <c r="J16" s="13" t="s">
        <v>26</v>
      </c>
      <c r="K16" s="13" t="s">
        <v>26</v>
      </c>
      <c r="L16" s="13" t="s">
        <v>28</v>
      </c>
      <c r="M16" s="52" t="str" cm="1">
        <f t="array" ref="M16">_xlfn.IFS(COUNTIF(I16:L16,"Fail")&gt;0, "Fail", COUNTIF(I16:L16,"Pending")&gt;0, "Pending", COUNTIF(I16:L16,"Pass")&gt;0, "Pass", TRUE, "")</f>
        <v>Fail</v>
      </c>
      <c r="N16" s="13" t="s">
        <v>29</v>
      </c>
      <c r="O16" s="13"/>
      <c r="P16" s="66" t="s">
        <v>56</v>
      </c>
      <c r="Q16" s="61" t="s">
        <v>29</v>
      </c>
      <c r="R16" s="68" t="s">
        <v>31</v>
      </c>
      <c r="S16" s="77" t="s">
        <v>32</v>
      </c>
      <c r="T16" s="134" t="s">
        <v>31</v>
      </c>
      <c r="U16" s="105" t="s">
        <v>32</v>
      </c>
    </row>
    <row r="17" spans="1:21">
      <c r="A17" s="10">
        <v>16</v>
      </c>
      <c r="B17" s="10"/>
      <c r="C17" s="11" t="s">
        <v>21</v>
      </c>
      <c r="D17" s="12" t="s">
        <v>22</v>
      </c>
      <c r="E17" s="13" t="s">
        <v>23</v>
      </c>
      <c r="F17" s="13" t="s">
        <v>24</v>
      </c>
      <c r="G17" s="16" t="s">
        <v>57</v>
      </c>
      <c r="H17" s="15" t="s">
        <v>34</v>
      </c>
      <c r="I17" s="13" t="s">
        <v>27</v>
      </c>
      <c r="J17" s="13" t="s">
        <v>27</v>
      </c>
      <c r="K17" s="13" t="s">
        <v>27</v>
      </c>
      <c r="L17" s="13" t="s">
        <v>28</v>
      </c>
      <c r="M17" s="52" t="str" cm="1">
        <f t="array" ref="M17">_xlfn.IFS(COUNTIF(I17:L17,"Fail")&gt;0, "Fail", COUNTIF(I17:L17,"Pending")&gt;0, "Pending", COUNTIF(I17:L17,"Pass")&gt;0, "Pass", TRUE, "")</f>
        <v>Pass</v>
      </c>
      <c r="N17" s="13"/>
      <c r="O17" s="13"/>
      <c r="P17" s="44"/>
      <c r="Q17" s="13"/>
      <c r="R17" s="52"/>
      <c r="S17" s="2"/>
      <c r="T17" s="69"/>
    </row>
    <row r="18" spans="1:21">
      <c r="A18" s="10">
        <v>17</v>
      </c>
      <c r="B18" s="10"/>
      <c r="C18" s="11" t="s">
        <v>21</v>
      </c>
      <c r="D18" s="12" t="s">
        <v>22</v>
      </c>
      <c r="E18" s="13" t="s">
        <v>23</v>
      </c>
      <c r="F18" s="13" t="s">
        <v>24</v>
      </c>
      <c r="G18" s="16" t="s">
        <v>58</v>
      </c>
      <c r="H18" s="15" t="s">
        <v>34</v>
      </c>
      <c r="I18" s="13" t="s">
        <v>27</v>
      </c>
      <c r="J18" s="13" t="s">
        <v>27</v>
      </c>
      <c r="K18" s="13" t="s">
        <v>27</v>
      </c>
      <c r="L18" s="13" t="s">
        <v>28</v>
      </c>
      <c r="M18" s="52" t="str" cm="1">
        <f t="array" ref="M18">_xlfn.IFS(COUNTIF(I18:L18,"Fail")&gt;0, "Fail", COUNTIF(I18:L18,"Pending")&gt;0, "Pending", COUNTIF(I18:L18,"Pass")&gt;0, "Pass", TRUE, "")</f>
        <v>Pass</v>
      </c>
      <c r="N18" s="13"/>
      <c r="O18" s="13"/>
      <c r="P18" s="44"/>
      <c r="Q18" s="13"/>
      <c r="R18" s="52"/>
      <c r="S18" s="2"/>
      <c r="T18" s="69"/>
    </row>
    <row r="19" spans="1:21">
      <c r="A19" s="10">
        <v>18</v>
      </c>
      <c r="B19" s="10"/>
      <c r="C19" s="11" t="s">
        <v>21</v>
      </c>
      <c r="D19" s="12" t="s">
        <v>22</v>
      </c>
      <c r="E19" s="13" t="s">
        <v>23</v>
      </c>
      <c r="F19" s="13" t="s">
        <v>24</v>
      </c>
      <c r="G19" s="16" t="s">
        <v>59</v>
      </c>
      <c r="H19" s="15" t="s">
        <v>34</v>
      </c>
      <c r="I19" s="13" t="s">
        <v>27</v>
      </c>
      <c r="J19" s="13" t="s">
        <v>27</v>
      </c>
      <c r="K19" s="13" t="s">
        <v>27</v>
      </c>
      <c r="L19" s="13" t="s">
        <v>28</v>
      </c>
      <c r="M19" s="52" t="str" cm="1">
        <f t="array" ref="M19">_xlfn.IFS(COUNTIF(I19:L19,"Fail")&gt;0, "Fail", COUNTIF(I19:L19,"Pending")&gt;0, "Pending", COUNTIF(I19:L19,"Pass")&gt;0, "Pass", TRUE, "")</f>
        <v>Pass</v>
      </c>
      <c r="N19" s="13"/>
      <c r="O19" s="13"/>
      <c r="P19" s="44"/>
      <c r="Q19" s="13"/>
      <c r="R19" s="52"/>
      <c r="S19" s="2"/>
      <c r="T19" s="69"/>
    </row>
    <row r="20" spans="1:21">
      <c r="A20" s="10">
        <v>19</v>
      </c>
      <c r="B20" s="10"/>
      <c r="C20" s="11" t="s">
        <v>21</v>
      </c>
      <c r="D20" s="12" t="s">
        <v>22</v>
      </c>
      <c r="E20" s="13" t="s">
        <v>23</v>
      </c>
      <c r="F20" s="13" t="s">
        <v>24</v>
      </c>
      <c r="G20" s="16" t="s">
        <v>60</v>
      </c>
      <c r="H20" s="15" t="s">
        <v>34</v>
      </c>
      <c r="I20" s="13" t="s">
        <v>27</v>
      </c>
      <c r="J20" s="13" t="s">
        <v>27</v>
      </c>
      <c r="K20" s="13" t="s">
        <v>27</v>
      </c>
      <c r="L20" s="13" t="s">
        <v>28</v>
      </c>
      <c r="M20" s="52" t="str" cm="1">
        <f t="array" ref="M20">_xlfn.IFS(COUNTIF(I20:L20,"Fail")&gt;0, "Fail", COUNTIF(I20:L20,"Pending")&gt;0, "Pending", COUNTIF(I20:L20,"Pass")&gt;0, "Pass", TRUE, "")</f>
        <v>Pass</v>
      </c>
      <c r="N20" s="13"/>
      <c r="O20" s="13"/>
      <c r="P20" s="44"/>
      <c r="Q20" s="13"/>
      <c r="R20" s="52"/>
      <c r="S20" s="2"/>
      <c r="T20" s="69"/>
    </row>
    <row r="21" spans="1:21">
      <c r="A21" s="10">
        <v>20</v>
      </c>
      <c r="B21" s="10"/>
      <c r="C21" s="11" t="s">
        <v>21</v>
      </c>
      <c r="D21" s="12" t="s">
        <v>22</v>
      </c>
      <c r="E21" s="13" t="s">
        <v>23</v>
      </c>
      <c r="F21" s="13"/>
      <c r="G21" s="16" t="s">
        <v>61</v>
      </c>
      <c r="H21" s="15" t="s">
        <v>34</v>
      </c>
      <c r="I21" s="13" t="s">
        <v>28</v>
      </c>
      <c r="J21" s="13" t="s">
        <v>28</v>
      </c>
      <c r="K21" s="13" t="s">
        <v>28</v>
      </c>
      <c r="L21" s="13" t="s">
        <v>27</v>
      </c>
      <c r="M21" s="52" t="str" cm="1">
        <f t="array" ref="M21">_xlfn.IFS(COUNTIF(I21:L21,"Fail")&gt;0, "Fail", COUNTIF(I21:L21,"Pending")&gt;0, "Pending", COUNTIF(I21:L21,"Pass")&gt;0, "Pass", TRUE, "")</f>
        <v>Pass</v>
      </c>
      <c r="N21" s="13"/>
      <c r="O21" s="13"/>
      <c r="P21" s="44"/>
      <c r="Q21" s="13"/>
      <c r="R21" s="52"/>
      <c r="S21" s="2"/>
      <c r="T21" s="69"/>
    </row>
    <row r="22" spans="1:21" ht="45.75">
      <c r="A22" s="10">
        <v>21</v>
      </c>
      <c r="B22" s="10"/>
      <c r="C22" s="11" t="s">
        <v>21</v>
      </c>
      <c r="D22" s="12" t="s">
        <v>22</v>
      </c>
      <c r="E22" s="13" t="s">
        <v>23</v>
      </c>
      <c r="F22" s="55" t="s">
        <v>24</v>
      </c>
      <c r="G22" s="14" t="s">
        <v>62</v>
      </c>
      <c r="H22" s="15" t="s">
        <v>26</v>
      </c>
      <c r="I22" s="13" t="s">
        <v>27</v>
      </c>
      <c r="J22" s="13" t="s">
        <v>27</v>
      </c>
      <c r="K22" s="13" t="s">
        <v>27</v>
      </c>
      <c r="L22" s="13" t="s">
        <v>28</v>
      </c>
      <c r="M22" s="52" t="str" cm="1">
        <f t="array" ref="M22">_xlfn.IFS(COUNTIF(I22:L22,"Fail")&gt;0, "Fail", COUNTIF(I22:L22,"Pending")&gt;0, "Pending", COUNTIF(I22:L22,"Pass")&gt;0, "Pass", TRUE, "")</f>
        <v>Pass</v>
      </c>
      <c r="N22" s="13" t="s">
        <v>38</v>
      </c>
      <c r="O22" s="13"/>
      <c r="P22" s="44" t="s">
        <v>63</v>
      </c>
      <c r="Q22" s="61" t="s">
        <v>29</v>
      </c>
      <c r="R22" s="68" t="s">
        <v>31</v>
      </c>
      <c r="S22" s="78" t="s">
        <v>32</v>
      </c>
      <c r="T22" s="134" t="s">
        <v>31</v>
      </c>
      <c r="U22" s="105" t="s">
        <v>32</v>
      </c>
    </row>
    <row r="23" spans="1:21" ht="45.75">
      <c r="A23" s="10">
        <v>22</v>
      </c>
      <c r="B23" s="10"/>
      <c r="C23" s="11" t="s">
        <v>21</v>
      </c>
      <c r="D23" s="12" t="s">
        <v>22</v>
      </c>
      <c r="E23" s="13" t="s">
        <v>23</v>
      </c>
      <c r="F23" s="55" t="s">
        <v>24</v>
      </c>
      <c r="G23" s="14" t="s">
        <v>64</v>
      </c>
      <c r="H23" s="15" t="s">
        <v>26</v>
      </c>
      <c r="I23" s="13" t="s">
        <v>27</v>
      </c>
      <c r="J23" s="13" t="s">
        <v>27</v>
      </c>
      <c r="K23" s="13" t="s">
        <v>27</v>
      </c>
      <c r="L23" s="13" t="s">
        <v>28</v>
      </c>
      <c r="M23" s="52" t="str" cm="1">
        <f t="array" ref="M23">_xlfn.IFS(COUNTIF(I23:L23,"Fail")&gt;0, "Fail", COUNTIF(I23:L23,"Pending")&gt;0, "Pending", COUNTIF(I23:L23,"Pass")&gt;0, "Pass", TRUE, "")</f>
        <v>Pass</v>
      </c>
      <c r="N23" s="13" t="s">
        <v>38</v>
      </c>
      <c r="O23" s="13"/>
      <c r="P23" s="44" t="s">
        <v>63</v>
      </c>
      <c r="Q23" s="61" t="s">
        <v>29</v>
      </c>
      <c r="R23" s="68" t="s">
        <v>31</v>
      </c>
      <c r="S23" s="77" t="s">
        <v>32</v>
      </c>
      <c r="T23" s="134" t="s">
        <v>31</v>
      </c>
      <c r="U23" s="129" t="s">
        <v>32</v>
      </c>
    </row>
    <row r="24" spans="1:21" ht="201.75">
      <c r="A24" s="10">
        <v>23</v>
      </c>
      <c r="B24" s="10"/>
      <c r="C24" s="11" t="s">
        <v>21</v>
      </c>
      <c r="D24" s="12" t="s">
        <v>22</v>
      </c>
      <c r="E24" s="13" t="s">
        <v>23</v>
      </c>
      <c r="F24" s="13"/>
      <c r="G24" s="14" t="s">
        <v>65</v>
      </c>
      <c r="H24" s="15" t="s">
        <v>26</v>
      </c>
      <c r="I24" s="13" t="s">
        <v>27</v>
      </c>
      <c r="J24" s="13" t="s">
        <v>27</v>
      </c>
      <c r="K24" s="13" t="s">
        <v>28</v>
      </c>
      <c r="L24" s="13" t="s">
        <v>28</v>
      </c>
      <c r="M24" s="52" t="str" cm="1">
        <f t="array" ref="M24">_xlfn.IFS(COUNTIF(I24:L24,"Fail")&gt;0, "Fail", COUNTIF(I24:L24,"Pending")&gt;0, "Pending", COUNTIF(I24:L24,"Pass")&gt;0, "Pass", TRUE, "")</f>
        <v>Pass</v>
      </c>
      <c r="N24" s="13" t="s">
        <v>38</v>
      </c>
      <c r="O24" s="13"/>
      <c r="P24" s="44" t="s">
        <v>66</v>
      </c>
      <c r="Q24" s="61" t="s">
        <v>29</v>
      </c>
      <c r="R24" s="68" t="s">
        <v>32</v>
      </c>
      <c r="S24" s="77" t="s">
        <v>32</v>
      </c>
      <c r="T24" s="134" t="s">
        <v>32</v>
      </c>
      <c r="U24" s="105" t="s">
        <v>32</v>
      </c>
    </row>
    <row r="25" spans="1:21" ht="45.75">
      <c r="A25" s="10">
        <v>24</v>
      </c>
      <c r="B25" s="10"/>
      <c r="C25" s="11" t="s">
        <v>21</v>
      </c>
      <c r="D25" s="12" t="s">
        <v>22</v>
      </c>
      <c r="E25" s="13" t="s">
        <v>23</v>
      </c>
      <c r="F25" s="13" t="s">
        <v>24</v>
      </c>
      <c r="G25" s="14" t="s">
        <v>67</v>
      </c>
      <c r="H25" s="15" t="s">
        <v>26</v>
      </c>
      <c r="I25" s="13" t="s">
        <v>27</v>
      </c>
      <c r="J25" s="13" t="s">
        <v>27</v>
      </c>
      <c r="K25" s="13" t="s">
        <v>28</v>
      </c>
      <c r="L25" s="13" t="s">
        <v>28</v>
      </c>
      <c r="M25" s="52" t="str" cm="1">
        <f t="array" ref="M25">_xlfn.IFS(COUNTIF(I25:L25,"Fail")&gt;0, "Fail", COUNTIF(I25:L25,"Pending")&gt;0, "Pending", COUNTIF(I25:L25,"Pass")&gt;0, "Pass", TRUE, "")</f>
        <v>Pass</v>
      </c>
      <c r="N25" s="13" t="s">
        <v>38</v>
      </c>
      <c r="O25" s="13"/>
      <c r="P25" s="44"/>
      <c r="Q25" s="61" t="s">
        <v>29</v>
      </c>
      <c r="R25" s="68" t="s">
        <v>31</v>
      </c>
      <c r="S25" s="2" t="s">
        <v>32</v>
      </c>
      <c r="T25" s="134" t="s">
        <v>31</v>
      </c>
      <c r="U25" s="105" t="s">
        <v>32</v>
      </c>
    </row>
    <row r="26" spans="1:21" ht="188.25">
      <c r="A26" s="10">
        <v>25</v>
      </c>
      <c r="B26" s="10"/>
      <c r="C26" s="11" t="s">
        <v>21</v>
      </c>
      <c r="D26" s="12" t="s">
        <v>22</v>
      </c>
      <c r="E26" s="13" t="s">
        <v>23</v>
      </c>
      <c r="F26" s="13" t="s">
        <v>24</v>
      </c>
      <c r="G26" s="14" t="s">
        <v>68</v>
      </c>
      <c r="H26" s="15" t="s">
        <v>26</v>
      </c>
      <c r="I26" s="13" t="s">
        <v>27</v>
      </c>
      <c r="J26" s="13" t="s">
        <v>27</v>
      </c>
      <c r="K26" s="13" t="s">
        <v>27</v>
      </c>
      <c r="L26" s="13" t="s">
        <v>28</v>
      </c>
      <c r="M26" s="52" t="str" cm="1">
        <f t="array" ref="M26">_xlfn.IFS(COUNTIF(I26:L26,"Fail")&gt;0, "Fail", COUNTIF(I26:L26,"Pending")&gt;0, "Pending", COUNTIF(I26:L26,"Pass")&gt;0, "Pass", TRUE, "")</f>
        <v>Pass</v>
      </c>
      <c r="N26" s="13" t="s">
        <v>38</v>
      </c>
      <c r="O26" s="13"/>
      <c r="P26" s="44" t="s">
        <v>50</v>
      </c>
      <c r="Q26" s="61" t="s">
        <v>29</v>
      </c>
      <c r="R26" s="68" t="s">
        <v>31</v>
      </c>
      <c r="S26" s="77" t="s">
        <v>32</v>
      </c>
      <c r="T26" s="134" t="s">
        <v>31</v>
      </c>
      <c r="U26" s="130" t="s">
        <v>32</v>
      </c>
    </row>
    <row r="27" spans="1:21">
      <c r="A27" s="10">
        <v>26</v>
      </c>
      <c r="B27" s="10"/>
      <c r="C27" s="11" t="s">
        <v>21</v>
      </c>
      <c r="D27" s="12" t="s">
        <v>22</v>
      </c>
      <c r="E27" s="13" t="s">
        <v>23</v>
      </c>
      <c r="F27" s="13" t="s">
        <v>24</v>
      </c>
      <c r="G27" s="16" t="s">
        <v>69</v>
      </c>
      <c r="H27" s="15" t="s">
        <v>34</v>
      </c>
      <c r="I27" s="13" t="s">
        <v>27</v>
      </c>
      <c r="J27" s="13" t="s">
        <v>27</v>
      </c>
      <c r="K27" s="13" t="s">
        <v>27</v>
      </c>
      <c r="L27" s="13" t="s">
        <v>28</v>
      </c>
      <c r="M27" s="52" t="str" cm="1">
        <f t="array" ref="M27">_xlfn.IFS(COUNTIF(I27:L27,"Fail")&gt;0, "Fail", COUNTIF(I27:L27,"Pending")&gt;0, "Pending", COUNTIF(I27:L27,"Pass")&gt;0, "Pass", TRUE, "")</f>
        <v>Pass</v>
      </c>
      <c r="N27" s="13"/>
      <c r="O27" s="13"/>
      <c r="P27" s="44"/>
      <c r="Q27" s="13"/>
      <c r="R27" s="52"/>
      <c r="S27" s="2"/>
      <c r="T27" s="69"/>
    </row>
    <row r="28" spans="1:21" ht="101.25">
      <c r="A28" s="10">
        <v>27</v>
      </c>
      <c r="B28" s="10"/>
      <c r="C28" s="11" t="s">
        <v>21</v>
      </c>
      <c r="D28" s="12" t="s">
        <v>22</v>
      </c>
      <c r="E28" s="13" t="s">
        <v>23</v>
      </c>
      <c r="F28" s="13" t="s">
        <v>24</v>
      </c>
      <c r="G28" s="14" t="s">
        <v>70</v>
      </c>
      <c r="H28" s="15" t="s">
        <v>26</v>
      </c>
      <c r="I28" s="13" t="s">
        <v>27</v>
      </c>
      <c r="J28" s="13" t="s">
        <v>27</v>
      </c>
      <c r="K28" s="13" t="s">
        <v>27</v>
      </c>
      <c r="L28" s="13" t="s">
        <v>28</v>
      </c>
      <c r="M28" s="52" t="str" cm="1">
        <f t="array" ref="M28">_xlfn.IFS(COUNTIF(I28:L28,"Fail")&gt;0, "Fail", COUNTIF(I28:L28,"Pending")&gt;0, "Pending", COUNTIF(I28:L28,"Pass")&gt;0, "Pass", TRUE, "")</f>
        <v>Pass</v>
      </c>
      <c r="N28" s="13" t="s">
        <v>38</v>
      </c>
      <c r="O28" s="13"/>
      <c r="P28" s="44" t="s">
        <v>71</v>
      </c>
      <c r="Q28" s="61" t="s">
        <v>29</v>
      </c>
      <c r="R28" s="68" t="s">
        <v>32</v>
      </c>
      <c r="S28" s="81" t="s">
        <v>32</v>
      </c>
      <c r="T28" s="134" t="s">
        <v>32</v>
      </c>
      <c r="U28" s="131" t="s">
        <v>32</v>
      </c>
    </row>
    <row r="29" spans="1:21">
      <c r="A29" s="10">
        <v>28</v>
      </c>
      <c r="B29" s="10"/>
      <c r="C29" s="11" t="s">
        <v>21</v>
      </c>
      <c r="D29" s="12" t="s">
        <v>22</v>
      </c>
      <c r="E29" s="13" t="s">
        <v>23</v>
      </c>
      <c r="F29" s="13" t="s">
        <v>24</v>
      </c>
      <c r="G29" s="16" t="s">
        <v>72</v>
      </c>
      <c r="H29" s="15" t="s">
        <v>34</v>
      </c>
      <c r="I29" s="13" t="s">
        <v>27</v>
      </c>
      <c r="J29" s="13" t="s">
        <v>27</v>
      </c>
      <c r="K29" s="13" t="s">
        <v>27</v>
      </c>
      <c r="L29" s="13" t="s">
        <v>28</v>
      </c>
      <c r="M29" s="52" t="str" cm="1">
        <f t="array" ref="M29">_xlfn.IFS(COUNTIF(I29:L29,"Fail")&gt;0, "Fail", COUNTIF(I29:L29,"Pending")&gt;0, "Pending", COUNTIF(I29:L29,"Pass")&gt;0, "Pass", TRUE, "")</f>
        <v>Pass</v>
      </c>
      <c r="N29" s="13"/>
      <c r="O29" s="13"/>
      <c r="P29" s="44"/>
      <c r="Q29" s="13"/>
      <c r="R29" s="52"/>
      <c r="S29" s="2"/>
      <c r="T29" s="69"/>
    </row>
    <row r="30" spans="1:21">
      <c r="A30" s="10">
        <v>29</v>
      </c>
      <c r="B30" s="10"/>
      <c r="C30" s="11" t="s">
        <v>21</v>
      </c>
      <c r="D30" s="12" t="s">
        <v>22</v>
      </c>
      <c r="E30" s="13" t="s">
        <v>23</v>
      </c>
      <c r="F30" s="13" t="s">
        <v>24</v>
      </c>
      <c r="G30" s="16" t="s">
        <v>73</v>
      </c>
      <c r="H30" s="15" t="s">
        <v>34</v>
      </c>
      <c r="I30" s="13" t="s">
        <v>27</v>
      </c>
      <c r="J30" s="13" t="s">
        <v>27</v>
      </c>
      <c r="K30" s="13" t="s">
        <v>27</v>
      </c>
      <c r="L30" s="13" t="s">
        <v>28</v>
      </c>
      <c r="M30" s="52" t="str" cm="1">
        <f t="array" ref="M30">_xlfn.IFS(COUNTIF(I30:L30,"Fail")&gt;0, "Fail", COUNTIF(I30:L30,"Pending")&gt;0, "Pending", COUNTIF(I30:L30,"Pass")&gt;0, "Pass", TRUE, "")</f>
        <v>Pass</v>
      </c>
      <c r="N30" s="13"/>
      <c r="O30" s="13"/>
      <c r="P30" s="44"/>
      <c r="Q30" s="13"/>
      <c r="R30" s="52"/>
      <c r="S30" s="2"/>
      <c r="T30" s="69"/>
    </row>
    <row r="31" spans="1:21">
      <c r="A31" s="10">
        <v>30</v>
      </c>
      <c r="B31" s="10"/>
      <c r="C31" s="11" t="s">
        <v>21</v>
      </c>
      <c r="D31" s="12" t="s">
        <v>22</v>
      </c>
      <c r="E31" s="13" t="s">
        <v>23</v>
      </c>
      <c r="F31" s="13" t="s">
        <v>24</v>
      </c>
      <c r="G31" s="16" t="s">
        <v>74</v>
      </c>
      <c r="H31" s="15" t="s">
        <v>34</v>
      </c>
      <c r="I31" s="13" t="s">
        <v>27</v>
      </c>
      <c r="J31" s="13" t="s">
        <v>27</v>
      </c>
      <c r="K31" s="13" t="s">
        <v>27</v>
      </c>
      <c r="L31" s="13" t="s">
        <v>28</v>
      </c>
      <c r="M31" s="52" t="str" cm="1">
        <f t="array" ref="M31">_xlfn.IFS(COUNTIF(I31:L31,"Fail")&gt;0, "Fail", COUNTIF(I31:L31,"Pending")&gt;0, "Pending", COUNTIF(I31:L31,"Pass")&gt;0, "Pass", TRUE, "")</f>
        <v>Pass</v>
      </c>
      <c r="N31" s="13"/>
      <c r="O31" s="13"/>
      <c r="P31" s="44"/>
      <c r="Q31" s="13"/>
      <c r="R31" s="52"/>
      <c r="S31" s="2"/>
      <c r="T31" s="69"/>
    </row>
    <row r="32" spans="1:21" ht="174">
      <c r="A32" s="10">
        <v>31</v>
      </c>
      <c r="B32" s="10"/>
      <c r="C32" s="11" t="s">
        <v>21</v>
      </c>
      <c r="D32" s="12" t="s">
        <v>22</v>
      </c>
      <c r="E32" s="13" t="s">
        <v>23</v>
      </c>
      <c r="F32" s="13" t="s">
        <v>24</v>
      </c>
      <c r="G32" s="14" t="s">
        <v>75</v>
      </c>
      <c r="H32" s="15" t="s">
        <v>26</v>
      </c>
      <c r="I32" s="13" t="s">
        <v>27</v>
      </c>
      <c r="J32" s="13" t="s">
        <v>27</v>
      </c>
      <c r="K32" s="13" t="s">
        <v>27</v>
      </c>
      <c r="L32" s="13" t="s">
        <v>28</v>
      </c>
      <c r="M32" s="52" t="str" cm="1">
        <f t="array" ref="M32">_xlfn.IFS(COUNTIF(I32:L32,"Fail")&gt;0, "Fail", COUNTIF(I32:L32,"Pending")&gt;0, "Pending", COUNTIF(I32:L32,"Pass")&gt;0, "Pass", TRUE, "")</f>
        <v>Pass</v>
      </c>
      <c r="N32" s="13" t="s">
        <v>38</v>
      </c>
      <c r="O32" s="13"/>
      <c r="P32" s="44" t="s">
        <v>76</v>
      </c>
      <c r="Q32" s="61" t="s">
        <v>29</v>
      </c>
      <c r="R32" s="68" t="s">
        <v>31</v>
      </c>
      <c r="S32" s="77" t="s">
        <v>32</v>
      </c>
      <c r="T32" s="134" t="s">
        <v>31</v>
      </c>
      <c r="U32" s="105" t="s">
        <v>32</v>
      </c>
    </row>
    <row r="33" spans="1:21">
      <c r="A33" s="10">
        <v>32</v>
      </c>
      <c r="B33" s="10"/>
      <c r="C33" s="11" t="s">
        <v>21</v>
      </c>
      <c r="D33" s="12" t="s">
        <v>22</v>
      </c>
      <c r="E33" s="13" t="s">
        <v>23</v>
      </c>
      <c r="F33" s="13" t="s">
        <v>24</v>
      </c>
      <c r="G33" s="16" t="s">
        <v>77</v>
      </c>
      <c r="H33" s="15" t="s">
        <v>34</v>
      </c>
      <c r="I33" s="13" t="s">
        <v>27</v>
      </c>
      <c r="J33" s="13" t="s">
        <v>27</v>
      </c>
      <c r="K33" s="13" t="s">
        <v>27</v>
      </c>
      <c r="L33" s="13" t="s">
        <v>28</v>
      </c>
      <c r="M33" s="52" t="str" cm="1">
        <f t="array" ref="M33">_xlfn.IFS(COUNTIF(I33:L33,"Fail")&gt;0, "Fail", COUNTIF(I33:L33,"Pending")&gt;0, "Pending", COUNTIF(I33:L33,"Pass")&gt;0, "Pass", TRUE, "")</f>
        <v>Pass</v>
      </c>
      <c r="N33" s="13"/>
      <c r="O33" s="13"/>
      <c r="P33" s="44"/>
      <c r="Q33" s="13"/>
      <c r="R33" s="52"/>
      <c r="S33" s="2"/>
      <c r="T33" s="69"/>
    </row>
    <row r="34" spans="1:21">
      <c r="A34" s="10">
        <v>33</v>
      </c>
      <c r="B34" s="10"/>
      <c r="C34" s="11" t="s">
        <v>21</v>
      </c>
      <c r="D34" s="12" t="s">
        <v>22</v>
      </c>
      <c r="E34" s="13" t="s">
        <v>23</v>
      </c>
      <c r="F34" s="13" t="s">
        <v>24</v>
      </c>
      <c r="G34" s="16" t="s">
        <v>78</v>
      </c>
      <c r="H34" s="15" t="s">
        <v>34</v>
      </c>
      <c r="I34" s="13" t="s">
        <v>27</v>
      </c>
      <c r="J34" s="13" t="s">
        <v>27</v>
      </c>
      <c r="K34" s="13" t="s">
        <v>27</v>
      </c>
      <c r="L34" s="13" t="s">
        <v>28</v>
      </c>
      <c r="M34" s="52" t="str" cm="1">
        <f t="array" ref="M34">_xlfn.IFS(COUNTIF(I34:L34,"Fail")&gt;0, "Fail", COUNTIF(I34:L34,"Pending")&gt;0, "Pending", COUNTIF(I34:L34,"Pass")&gt;0, "Pass", TRUE, "")</f>
        <v>Pass</v>
      </c>
      <c r="N34" s="13"/>
      <c r="O34" s="13"/>
      <c r="P34" s="44"/>
      <c r="Q34" s="13"/>
      <c r="R34" s="52"/>
      <c r="S34" s="2"/>
      <c r="T34" s="69"/>
    </row>
    <row r="35" spans="1:21">
      <c r="A35" s="10">
        <v>34</v>
      </c>
      <c r="B35" s="10"/>
      <c r="C35" s="11" t="s">
        <v>21</v>
      </c>
      <c r="D35" s="12" t="s">
        <v>22</v>
      </c>
      <c r="E35" s="13" t="s">
        <v>23</v>
      </c>
      <c r="F35" s="13" t="s">
        <v>24</v>
      </c>
      <c r="G35" s="16" t="s">
        <v>79</v>
      </c>
      <c r="H35" s="15" t="s">
        <v>34</v>
      </c>
      <c r="I35" s="13" t="s">
        <v>27</v>
      </c>
      <c r="J35" s="13" t="s">
        <v>27</v>
      </c>
      <c r="K35" s="13" t="s">
        <v>27</v>
      </c>
      <c r="L35" s="13" t="s">
        <v>28</v>
      </c>
      <c r="M35" s="52" t="str" cm="1">
        <f t="array" ref="M35">_xlfn.IFS(COUNTIF(I35:L35,"Fail")&gt;0, "Fail", COUNTIF(I35:L35,"Pending")&gt;0, "Pending", COUNTIF(I35:L35,"Pass")&gt;0, "Pass", TRUE, "")</f>
        <v>Pass</v>
      </c>
      <c r="N35" s="13"/>
      <c r="O35" s="13"/>
      <c r="P35" s="44"/>
      <c r="Q35" s="13"/>
      <c r="R35" s="52"/>
      <c r="S35" s="2"/>
      <c r="T35" s="69"/>
    </row>
    <row r="36" spans="1:21" ht="57.75">
      <c r="A36" s="10">
        <v>35</v>
      </c>
      <c r="B36" s="10"/>
      <c r="C36" s="11" t="s">
        <v>21</v>
      </c>
      <c r="D36" s="12" t="s">
        <v>22</v>
      </c>
      <c r="E36" s="13" t="s">
        <v>23</v>
      </c>
      <c r="F36" s="13" t="s">
        <v>80</v>
      </c>
      <c r="G36" s="14" t="s">
        <v>81</v>
      </c>
      <c r="H36" s="15" t="s">
        <v>26</v>
      </c>
      <c r="I36" s="13" t="s">
        <v>26</v>
      </c>
      <c r="J36" s="13" t="s">
        <v>26</v>
      </c>
      <c r="K36" s="13" t="s">
        <v>26</v>
      </c>
      <c r="L36" s="13" t="s">
        <v>28</v>
      </c>
      <c r="M36" s="52" t="str" cm="1">
        <f t="array" ref="M36">_xlfn.IFS(COUNTIF(I36:L36,"Fail")&gt;0, "Fail", COUNTIF(I36:L36,"Pending")&gt;0, "Pending", COUNTIF(I36:L36,"Pass")&gt;0, "Pass", TRUE, "")</f>
        <v>Fail</v>
      </c>
      <c r="N36" s="13" t="s">
        <v>82</v>
      </c>
      <c r="O36" s="13" t="s">
        <v>83</v>
      </c>
      <c r="P36" s="44" t="s">
        <v>84</v>
      </c>
      <c r="Q36" s="61" t="s">
        <v>29</v>
      </c>
      <c r="R36" s="68" t="s">
        <v>32</v>
      </c>
      <c r="S36" s="81" t="s">
        <v>85</v>
      </c>
      <c r="T36" s="134" t="s">
        <v>32</v>
      </c>
      <c r="U36" s="105" t="s">
        <v>32</v>
      </c>
    </row>
    <row r="37" spans="1:21">
      <c r="A37" s="10">
        <v>36</v>
      </c>
      <c r="B37" s="10"/>
      <c r="C37" s="11" t="s">
        <v>21</v>
      </c>
      <c r="D37" s="12" t="s">
        <v>22</v>
      </c>
      <c r="E37" s="13" t="s">
        <v>23</v>
      </c>
      <c r="F37" s="13" t="s">
        <v>24</v>
      </c>
      <c r="G37" s="16" t="s">
        <v>86</v>
      </c>
      <c r="H37" s="15" t="s">
        <v>34</v>
      </c>
      <c r="I37" s="13" t="s">
        <v>27</v>
      </c>
      <c r="J37" s="13" t="s">
        <v>27</v>
      </c>
      <c r="K37" s="13" t="s">
        <v>27</v>
      </c>
      <c r="L37" s="13" t="s">
        <v>28</v>
      </c>
      <c r="M37" s="52" t="str" cm="1">
        <f t="array" ref="M37">_xlfn.IFS(COUNTIF(I37:L37,"Fail")&gt;0, "Fail", COUNTIF(I37:L37,"Pending")&gt;0, "Pending", COUNTIF(I37:L37,"Pass")&gt;0, "Pass", TRUE, "")</f>
        <v>Pass</v>
      </c>
      <c r="N37" s="13"/>
      <c r="O37" s="13"/>
      <c r="P37" s="44"/>
      <c r="Q37" s="13"/>
      <c r="R37" s="68" t="s">
        <v>32</v>
      </c>
      <c r="S37" s="2"/>
      <c r="T37" s="68" t="s">
        <v>32</v>
      </c>
      <c r="U37" s="169" t="s">
        <v>32</v>
      </c>
    </row>
    <row r="38" spans="1:21">
      <c r="A38" s="10">
        <v>37</v>
      </c>
      <c r="B38" s="10"/>
      <c r="C38" s="11" t="s">
        <v>21</v>
      </c>
      <c r="D38" s="12" t="s">
        <v>22</v>
      </c>
      <c r="E38" s="13" t="s">
        <v>23</v>
      </c>
      <c r="F38" s="13" t="s">
        <v>24</v>
      </c>
      <c r="G38" s="16" t="s">
        <v>87</v>
      </c>
      <c r="H38" s="15" t="s">
        <v>34</v>
      </c>
      <c r="I38" s="13" t="s">
        <v>27</v>
      </c>
      <c r="J38" s="13" t="s">
        <v>27</v>
      </c>
      <c r="K38" s="13" t="s">
        <v>27</v>
      </c>
      <c r="L38" s="13" t="s">
        <v>28</v>
      </c>
      <c r="M38" s="52" t="str" cm="1">
        <f t="array" ref="M38">_xlfn.IFS(COUNTIF(I38:L38,"Fail")&gt;0, "Fail", COUNTIF(I38:L38,"Pending")&gt;0, "Pending", COUNTIF(I38:L38,"Pass")&gt;0, "Pass", TRUE, "")</f>
        <v>Pass</v>
      </c>
      <c r="N38" s="13"/>
      <c r="O38" s="13"/>
      <c r="P38" s="44"/>
      <c r="Q38" s="13"/>
      <c r="R38" s="52"/>
      <c r="S38" s="2"/>
      <c r="T38" s="69"/>
    </row>
    <row r="39" spans="1:21" ht="101.25">
      <c r="A39" s="10">
        <v>38</v>
      </c>
      <c r="B39" s="10"/>
      <c r="C39" s="11" t="s">
        <v>21</v>
      </c>
      <c r="D39" s="12" t="s">
        <v>22</v>
      </c>
      <c r="E39" s="13" t="s">
        <v>23</v>
      </c>
      <c r="F39" s="55" t="s">
        <v>24</v>
      </c>
      <c r="G39" s="14" t="s">
        <v>88</v>
      </c>
      <c r="H39" s="15" t="s">
        <v>26</v>
      </c>
      <c r="I39" s="13" t="s">
        <v>27</v>
      </c>
      <c r="J39" s="13" t="s">
        <v>27</v>
      </c>
      <c r="K39" s="13" t="s">
        <v>27</v>
      </c>
      <c r="L39" s="13" t="s">
        <v>28</v>
      </c>
      <c r="M39" s="52" t="str" cm="1">
        <f t="array" ref="M39">_xlfn.IFS(COUNTIF(I39:L39,"Fail")&gt;0, "Fail", COUNTIF(I39:L39,"Pending")&gt;0, "Pending", COUNTIF(I39:L39,"Pass")&gt;0, "Pass", TRUE, "")</f>
        <v>Pass</v>
      </c>
      <c r="N39" s="13" t="s">
        <v>29</v>
      </c>
      <c r="O39" s="13"/>
      <c r="P39" s="44" t="s">
        <v>89</v>
      </c>
      <c r="Q39" s="61" t="s">
        <v>29</v>
      </c>
      <c r="R39" s="68" t="s">
        <v>31</v>
      </c>
      <c r="S39" s="77" t="s">
        <v>32</v>
      </c>
      <c r="T39" s="134" t="s">
        <v>31</v>
      </c>
      <c r="U39" s="105" t="s">
        <v>32</v>
      </c>
    </row>
    <row r="40" spans="1:21">
      <c r="A40" s="10">
        <v>39</v>
      </c>
      <c r="B40" s="10"/>
      <c r="C40" s="11" t="s">
        <v>21</v>
      </c>
      <c r="D40" s="12" t="s">
        <v>22</v>
      </c>
      <c r="E40" s="13" t="s">
        <v>23</v>
      </c>
      <c r="F40" s="13" t="s">
        <v>80</v>
      </c>
      <c r="G40" s="16" t="s">
        <v>90</v>
      </c>
      <c r="H40" s="15" t="s">
        <v>34</v>
      </c>
      <c r="I40" s="13" t="s">
        <v>27</v>
      </c>
      <c r="J40" s="13" t="s">
        <v>27</v>
      </c>
      <c r="K40" s="13" t="s">
        <v>27</v>
      </c>
      <c r="L40" s="13" t="s">
        <v>27</v>
      </c>
      <c r="M40" s="52" t="str" cm="1">
        <f t="array" ref="M40">_xlfn.IFS(COUNTIF(I40:L40,"Fail")&gt;0, "Fail", COUNTIF(I40:L40,"Pending")&gt;0, "Pending", COUNTIF(I40:L40,"Pass")&gt;0, "Pass", TRUE, "")</f>
        <v>Pass</v>
      </c>
      <c r="N40" s="13"/>
      <c r="O40" s="13"/>
      <c r="P40" s="44"/>
      <c r="Q40" s="13"/>
      <c r="R40" s="52"/>
      <c r="S40" s="2"/>
      <c r="T40" s="69"/>
    </row>
    <row r="41" spans="1:21">
      <c r="A41" s="10">
        <v>40</v>
      </c>
      <c r="B41" s="10"/>
      <c r="C41" s="11" t="s">
        <v>21</v>
      </c>
      <c r="D41" s="12" t="s">
        <v>22</v>
      </c>
      <c r="E41" s="13" t="s">
        <v>23</v>
      </c>
      <c r="F41" s="13" t="s">
        <v>80</v>
      </c>
      <c r="G41" s="16" t="s">
        <v>91</v>
      </c>
      <c r="H41" s="15" t="s">
        <v>34</v>
      </c>
      <c r="I41" s="13" t="s">
        <v>27</v>
      </c>
      <c r="J41" s="13" t="s">
        <v>27</v>
      </c>
      <c r="K41" s="13" t="s">
        <v>27</v>
      </c>
      <c r="L41" s="13" t="s">
        <v>27</v>
      </c>
      <c r="M41" s="52" t="str" cm="1">
        <f t="array" ref="M41">_xlfn.IFS(COUNTIF(I41:L41,"Fail")&gt;0, "Fail", COUNTIF(I41:L41,"Pending")&gt;0, "Pending", COUNTIF(I41:L41,"Pass")&gt;0, "Pass", TRUE, "")</f>
        <v>Pass</v>
      </c>
      <c r="N41" s="13"/>
      <c r="O41" s="13"/>
      <c r="P41" s="44"/>
      <c r="Q41" s="13"/>
      <c r="R41" s="52"/>
      <c r="S41" s="2"/>
      <c r="T41" s="69"/>
    </row>
    <row r="42" spans="1:21">
      <c r="A42" s="10">
        <v>41</v>
      </c>
      <c r="B42" s="10"/>
      <c r="C42" s="11" t="s">
        <v>21</v>
      </c>
      <c r="D42" s="12" t="s">
        <v>22</v>
      </c>
      <c r="E42" s="13" t="s">
        <v>23</v>
      </c>
      <c r="F42" s="13" t="s">
        <v>24</v>
      </c>
      <c r="G42" s="16" t="s">
        <v>92</v>
      </c>
      <c r="H42" s="15" t="s">
        <v>34</v>
      </c>
      <c r="I42" s="13" t="s">
        <v>27</v>
      </c>
      <c r="J42" s="13" t="s">
        <v>27</v>
      </c>
      <c r="K42" s="13" t="s">
        <v>27</v>
      </c>
      <c r="L42" s="13" t="s">
        <v>28</v>
      </c>
      <c r="M42" s="52" t="str" cm="1">
        <f t="array" ref="M42">_xlfn.IFS(COUNTIF(I42:L42,"Fail")&gt;0, "Fail", COUNTIF(I42:L42,"Pending")&gt;0, "Pending", COUNTIF(I42:L42,"Pass")&gt;0, "Pass", TRUE, "")</f>
        <v>Pass</v>
      </c>
      <c r="N42" s="13"/>
      <c r="O42" s="13"/>
      <c r="P42" s="44"/>
      <c r="Q42" s="13"/>
      <c r="R42" s="52"/>
      <c r="S42" s="2"/>
      <c r="T42" s="69"/>
    </row>
    <row r="43" spans="1:21" ht="188.25">
      <c r="A43" s="10">
        <v>42</v>
      </c>
      <c r="B43" s="10"/>
      <c r="C43" s="11" t="s">
        <v>21</v>
      </c>
      <c r="D43" s="12" t="s">
        <v>22</v>
      </c>
      <c r="E43" s="13" t="s">
        <v>23</v>
      </c>
      <c r="F43" s="55" t="s">
        <v>80</v>
      </c>
      <c r="G43" s="14" t="s">
        <v>93</v>
      </c>
      <c r="H43" s="15" t="s">
        <v>26</v>
      </c>
      <c r="I43" s="13" t="s">
        <v>27</v>
      </c>
      <c r="J43" s="13" t="s">
        <v>27</v>
      </c>
      <c r="K43" s="13" t="s">
        <v>27</v>
      </c>
      <c r="L43" s="13" t="s">
        <v>28</v>
      </c>
      <c r="M43" s="52" t="str" cm="1">
        <f t="array" ref="M43">_xlfn.IFS(COUNTIF(I43:L43,"Fail")&gt;0, "Fail", COUNTIF(I43:L43,"Pending")&gt;0, "Pending", COUNTIF(I43:L43,"Pass")&gt;0, "Pass", TRUE, "")</f>
        <v>Pass</v>
      </c>
      <c r="N43" s="13" t="s">
        <v>38</v>
      </c>
      <c r="O43" s="13"/>
      <c r="P43" s="44" t="s">
        <v>94</v>
      </c>
      <c r="Q43" s="61" t="s">
        <v>29</v>
      </c>
      <c r="R43" s="68" t="s">
        <v>31</v>
      </c>
      <c r="S43" s="77" t="s">
        <v>32</v>
      </c>
      <c r="T43" s="134" t="s">
        <v>31</v>
      </c>
      <c r="U43" s="105" t="s">
        <v>32</v>
      </c>
    </row>
    <row r="44" spans="1:21" ht="72.75">
      <c r="A44" s="10">
        <v>43</v>
      </c>
      <c r="B44" s="10"/>
      <c r="C44" s="11" t="s">
        <v>21</v>
      </c>
      <c r="D44" s="12" t="s">
        <v>22</v>
      </c>
      <c r="E44" s="13" t="s">
        <v>23</v>
      </c>
      <c r="F44" s="13" t="s">
        <v>80</v>
      </c>
      <c r="G44" s="14" t="s">
        <v>95</v>
      </c>
      <c r="H44" s="15" t="s">
        <v>26</v>
      </c>
      <c r="I44" s="13" t="s">
        <v>27</v>
      </c>
      <c r="J44" s="13" t="s">
        <v>27</v>
      </c>
      <c r="K44" s="13" t="s">
        <v>28</v>
      </c>
      <c r="L44" s="13" t="s">
        <v>27</v>
      </c>
      <c r="M44" s="52" t="str" cm="1">
        <f t="array" ref="M44">_xlfn.IFS(COUNTIF(I44:L44,"Fail")&gt;0, "Fail", COUNTIF(I44:L44,"Pending")&gt;0, "Pending", COUNTIF(I44:L44,"Pass")&gt;0, "Pass", TRUE, "")</f>
        <v>Pass</v>
      </c>
      <c r="N44" s="13" t="s">
        <v>29</v>
      </c>
      <c r="O44" s="13"/>
      <c r="P44" s="44" t="s">
        <v>96</v>
      </c>
      <c r="Q44" s="61" t="s">
        <v>29</v>
      </c>
      <c r="R44" s="68" t="s">
        <v>32</v>
      </c>
      <c r="S44" s="2" t="s">
        <v>32</v>
      </c>
      <c r="T44" s="134" t="s">
        <v>32</v>
      </c>
      <c r="U44" s="131" t="s">
        <v>32</v>
      </c>
    </row>
    <row r="45" spans="1:21" ht="72.75">
      <c r="A45" s="10">
        <v>44</v>
      </c>
      <c r="B45" s="10"/>
      <c r="C45" s="11" t="s">
        <v>21</v>
      </c>
      <c r="D45" s="12" t="s">
        <v>22</v>
      </c>
      <c r="E45" s="13" t="s">
        <v>23</v>
      </c>
      <c r="F45" s="55" t="s">
        <v>80</v>
      </c>
      <c r="G45" s="14" t="s">
        <v>97</v>
      </c>
      <c r="H45" s="15" t="s">
        <v>26</v>
      </c>
      <c r="I45" s="13" t="s">
        <v>27</v>
      </c>
      <c r="J45" s="13" t="s">
        <v>27</v>
      </c>
      <c r="K45" s="13" t="s">
        <v>27</v>
      </c>
      <c r="L45" s="13" t="s">
        <v>27</v>
      </c>
      <c r="M45" s="52" t="str" cm="1">
        <f t="array" ref="M45">_xlfn.IFS(COUNTIF(I45:L45,"Fail")&gt;0, "Fail", COUNTIF(I45:L45,"Pending")&gt;0, "Pending", COUNTIF(I45:L45,"Pass")&gt;0, "Pass", TRUE, "")</f>
        <v>Pass</v>
      </c>
      <c r="N45" s="13" t="s">
        <v>82</v>
      </c>
      <c r="O45" s="13"/>
      <c r="P45" s="44" t="s">
        <v>98</v>
      </c>
      <c r="Q45" s="61" t="s">
        <v>29</v>
      </c>
      <c r="R45" s="68" t="s">
        <v>31</v>
      </c>
      <c r="S45" s="78" t="s">
        <v>32</v>
      </c>
      <c r="T45" s="134" t="s">
        <v>31</v>
      </c>
      <c r="U45" s="131" t="s">
        <v>32</v>
      </c>
    </row>
    <row r="46" spans="1:21" ht="57.75">
      <c r="A46" s="10">
        <v>45</v>
      </c>
      <c r="B46" s="10"/>
      <c r="C46" s="11" t="s">
        <v>21</v>
      </c>
      <c r="D46" s="12" t="s">
        <v>22</v>
      </c>
      <c r="E46" s="13" t="s">
        <v>23</v>
      </c>
      <c r="F46" s="13" t="s">
        <v>24</v>
      </c>
      <c r="G46" s="14" t="s">
        <v>99</v>
      </c>
      <c r="H46" s="15" t="s">
        <v>26</v>
      </c>
      <c r="I46" s="13" t="s">
        <v>26</v>
      </c>
      <c r="J46" s="13" t="s">
        <v>26</v>
      </c>
      <c r="K46" s="13" t="s">
        <v>26</v>
      </c>
      <c r="L46" s="13" t="s">
        <v>28</v>
      </c>
      <c r="M46" s="52" t="str" cm="1">
        <f t="array" ref="M46">_xlfn.IFS(COUNTIF(I46:L46,"Fail")&gt;0, "Fail", COUNTIF(I46:L46,"Pending")&gt;0, "Pending", COUNTIF(I46:L46,"Pass")&gt;0, "Pass", TRUE, "")</f>
        <v>Fail</v>
      </c>
      <c r="N46" s="13" t="s">
        <v>29</v>
      </c>
      <c r="O46" s="13"/>
      <c r="P46" s="44" t="s">
        <v>100</v>
      </c>
      <c r="Q46" s="61" t="s">
        <v>29</v>
      </c>
      <c r="R46" s="52" t="s">
        <v>101</v>
      </c>
      <c r="S46" s="81" t="s">
        <v>85</v>
      </c>
      <c r="T46" s="165" t="s">
        <v>101</v>
      </c>
    </row>
    <row r="47" spans="1:21">
      <c r="A47" s="10">
        <v>46</v>
      </c>
      <c r="B47" s="10"/>
      <c r="C47" s="11" t="s">
        <v>21</v>
      </c>
      <c r="D47" s="12" t="s">
        <v>22</v>
      </c>
      <c r="E47" s="13" t="s">
        <v>23</v>
      </c>
      <c r="F47" s="13"/>
      <c r="G47" s="16" t="s">
        <v>102</v>
      </c>
      <c r="H47" s="15" t="s">
        <v>34</v>
      </c>
      <c r="I47" s="13" t="s">
        <v>28</v>
      </c>
      <c r="J47" s="13" t="s">
        <v>28</v>
      </c>
      <c r="K47" s="13" t="s">
        <v>28</v>
      </c>
      <c r="L47" s="13" t="s">
        <v>27</v>
      </c>
      <c r="M47" s="52" t="str" cm="1">
        <f t="array" ref="M47">_xlfn.IFS(COUNTIF(I47:L47,"Fail")&gt;0, "Fail", COUNTIF(I47:L47,"Pending")&gt;0, "Pending", COUNTIF(I47:L47,"Pass")&gt;0, "Pass", TRUE, "")</f>
        <v>Pass</v>
      </c>
      <c r="N47" s="13"/>
      <c r="O47" s="13"/>
      <c r="P47" s="44"/>
      <c r="Q47" s="13"/>
      <c r="R47" s="52"/>
      <c r="S47" s="2"/>
      <c r="T47" s="69"/>
    </row>
    <row r="48" spans="1:21">
      <c r="A48" s="10">
        <v>47</v>
      </c>
      <c r="B48" s="10"/>
      <c r="C48" s="11" t="s">
        <v>21</v>
      </c>
      <c r="D48" s="12" t="s">
        <v>22</v>
      </c>
      <c r="E48" s="13" t="s">
        <v>23</v>
      </c>
      <c r="F48" s="13" t="s">
        <v>24</v>
      </c>
      <c r="G48" s="16" t="s">
        <v>103</v>
      </c>
      <c r="H48" s="15" t="s">
        <v>34</v>
      </c>
      <c r="I48" s="13" t="s">
        <v>27</v>
      </c>
      <c r="J48" s="13" t="s">
        <v>27</v>
      </c>
      <c r="K48" s="13" t="s">
        <v>27</v>
      </c>
      <c r="L48" s="13" t="s">
        <v>28</v>
      </c>
      <c r="M48" s="52" t="str" cm="1">
        <f t="array" ref="M48">_xlfn.IFS(COUNTIF(I48:L48,"Fail")&gt;0, "Fail", COUNTIF(I48:L48,"Pending")&gt;0, "Pending", COUNTIF(I48:L48,"Pass")&gt;0, "Pass", TRUE, "")</f>
        <v>Pass</v>
      </c>
      <c r="N48" s="13"/>
      <c r="O48" s="13"/>
      <c r="P48" s="44"/>
      <c r="Q48" s="13"/>
      <c r="R48" s="52"/>
      <c r="S48" s="2"/>
      <c r="T48" s="69"/>
    </row>
    <row r="49" spans="1:21">
      <c r="A49" s="10">
        <v>48</v>
      </c>
      <c r="B49" s="10"/>
      <c r="C49" s="11" t="s">
        <v>21</v>
      </c>
      <c r="D49" s="12" t="s">
        <v>22</v>
      </c>
      <c r="E49" s="13" t="s">
        <v>23</v>
      </c>
      <c r="F49" s="13" t="s">
        <v>80</v>
      </c>
      <c r="G49" s="16" t="s">
        <v>104</v>
      </c>
      <c r="H49" s="15" t="s">
        <v>34</v>
      </c>
      <c r="I49" s="13" t="s">
        <v>27</v>
      </c>
      <c r="J49" s="13" t="s">
        <v>27</v>
      </c>
      <c r="K49" s="13" t="s">
        <v>27</v>
      </c>
      <c r="L49" s="13" t="s">
        <v>27</v>
      </c>
      <c r="M49" s="52" t="str" cm="1">
        <f t="array" ref="M49">_xlfn.IFS(COUNTIF(I49:L49,"Fail")&gt;0, "Fail", COUNTIF(I49:L49,"Pending")&gt;0, "Pending", COUNTIF(I49:L49,"Pass")&gt;0, "Pass", TRUE, "")</f>
        <v>Pass</v>
      </c>
      <c r="N49" s="13"/>
      <c r="O49" s="13"/>
      <c r="P49" s="44"/>
      <c r="Q49" s="13"/>
      <c r="R49" s="52"/>
      <c r="S49" s="2"/>
      <c r="T49" s="69"/>
    </row>
    <row r="50" spans="1:21">
      <c r="A50" s="10">
        <v>49</v>
      </c>
      <c r="B50" s="10"/>
      <c r="C50" s="11" t="s">
        <v>21</v>
      </c>
      <c r="D50" s="12" t="s">
        <v>22</v>
      </c>
      <c r="E50" s="13" t="s">
        <v>23</v>
      </c>
      <c r="F50" s="13" t="s">
        <v>80</v>
      </c>
      <c r="G50" s="16" t="s">
        <v>105</v>
      </c>
      <c r="H50" s="15" t="s">
        <v>34</v>
      </c>
      <c r="I50" s="13" t="s">
        <v>27</v>
      </c>
      <c r="J50" s="13" t="s">
        <v>27</v>
      </c>
      <c r="K50" s="13" t="s">
        <v>27</v>
      </c>
      <c r="L50" s="13" t="s">
        <v>27</v>
      </c>
      <c r="M50" s="52" t="str" cm="1">
        <f t="array" ref="M50">_xlfn.IFS(COUNTIF(I50:L50,"Fail")&gt;0, "Fail", COUNTIF(I50:L50,"Pending")&gt;0, "Pending", COUNTIF(I50:L50,"Pass")&gt;0, "Pass", TRUE, "")</f>
        <v>Pass</v>
      </c>
      <c r="N50" s="13"/>
      <c r="O50" s="13"/>
      <c r="P50" s="44"/>
      <c r="Q50" s="13"/>
      <c r="R50" s="52"/>
      <c r="S50" s="2"/>
      <c r="T50" s="69"/>
    </row>
    <row r="51" spans="1:21" ht="45.75">
      <c r="A51" s="10">
        <v>50</v>
      </c>
      <c r="B51" s="10"/>
      <c r="C51" s="11" t="s">
        <v>21</v>
      </c>
      <c r="D51" s="12" t="s">
        <v>22</v>
      </c>
      <c r="E51" s="13" t="s">
        <v>23</v>
      </c>
      <c r="F51" s="13" t="s">
        <v>24</v>
      </c>
      <c r="G51" s="14" t="s">
        <v>106</v>
      </c>
      <c r="H51" s="15" t="s">
        <v>26</v>
      </c>
      <c r="I51" s="13" t="s">
        <v>27</v>
      </c>
      <c r="J51" s="13" t="s">
        <v>26</v>
      </c>
      <c r="K51" s="13" t="s">
        <v>26</v>
      </c>
      <c r="L51" s="13" t="s">
        <v>28</v>
      </c>
      <c r="M51" s="52" t="str" cm="1">
        <f t="array" ref="M51">_xlfn.IFS(COUNTIF(I51:L51,"Fail")&gt;0, "Fail", COUNTIF(I51:L51,"Pending")&gt;0, "Pending", COUNTIF(I51:L51,"Pass")&gt;0, "Pass", TRUE, "")</f>
        <v>Fail</v>
      </c>
      <c r="N51" s="13" t="s">
        <v>38</v>
      </c>
      <c r="O51" s="13"/>
      <c r="P51" s="44" t="s">
        <v>107</v>
      </c>
      <c r="Q51" s="61" t="s">
        <v>29</v>
      </c>
      <c r="R51" s="68" t="s">
        <v>31</v>
      </c>
      <c r="S51" s="2" t="s">
        <v>32</v>
      </c>
      <c r="T51" s="134" t="s">
        <v>31</v>
      </c>
      <c r="U51" s="105" t="s">
        <v>32</v>
      </c>
    </row>
    <row r="52" spans="1:21" ht="45.75">
      <c r="A52" s="10">
        <v>51</v>
      </c>
      <c r="B52" s="10"/>
      <c r="C52" s="11" t="s">
        <v>21</v>
      </c>
      <c r="D52" s="12" t="s">
        <v>22</v>
      </c>
      <c r="E52" s="13" t="s">
        <v>23</v>
      </c>
      <c r="F52" s="13" t="s">
        <v>80</v>
      </c>
      <c r="G52" s="14" t="s">
        <v>108</v>
      </c>
      <c r="H52" s="15" t="s">
        <v>26</v>
      </c>
      <c r="I52" s="13" t="s">
        <v>27</v>
      </c>
      <c r="J52" s="13" t="s">
        <v>27</v>
      </c>
      <c r="K52" s="13" t="s">
        <v>27</v>
      </c>
      <c r="L52" s="13" t="s">
        <v>27</v>
      </c>
      <c r="M52" s="52" t="str" cm="1">
        <f t="array" ref="M52">_xlfn.IFS(COUNTIF(I52:L52,"Fail")&gt;0, "Fail", COUNTIF(I52:L52,"Pending")&gt;0, "Pending", COUNTIF(I52:L52,"Pass")&gt;0, "Pass", TRUE, "")</f>
        <v>Pass</v>
      </c>
      <c r="N52" s="13" t="s">
        <v>38</v>
      </c>
      <c r="O52" s="13"/>
      <c r="P52" s="44"/>
      <c r="Q52" s="61" t="s">
        <v>29</v>
      </c>
      <c r="R52" s="68" t="s">
        <v>32</v>
      </c>
      <c r="S52" s="77" t="s">
        <v>32</v>
      </c>
      <c r="T52" s="134" t="s">
        <v>32</v>
      </c>
      <c r="U52" s="131" t="s">
        <v>32</v>
      </c>
    </row>
    <row r="53" spans="1:21">
      <c r="A53" s="10">
        <v>52</v>
      </c>
      <c r="B53" s="10"/>
      <c r="C53" s="11" t="s">
        <v>21</v>
      </c>
      <c r="D53" s="12" t="s">
        <v>22</v>
      </c>
      <c r="E53" s="13" t="s">
        <v>23</v>
      </c>
      <c r="F53" s="13" t="s">
        <v>24</v>
      </c>
      <c r="G53" s="16" t="s">
        <v>109</v>
      </c>
      <c r="H53" s="15" t="s">
        <v>34</v>
      </c>
      <c r="I53" s="13" t="s">
        <v>27</v>
      </c>
      <c r="J53" s="13" t="s">
        <v>27</v>
      </c>
      <c r="K53" s="13" t="s">
        <v>27</v>
      </c>
      <c r="L53" s="13" t="s">
        <v>28</v>
      </c>
      <c r="M53" s="52" t="str" cm="1">
        <f t="array" ref="M53">_xlfn.IFS(COUNTIF(I53:L53,"Fail")&gt;0, "Fail", COUNTIF(I53:L53,"Pending")&gt;0, "Pending", COUNTIF(I53:L53,"Pass")&gt;0, "Pass", TRUE, "")</f>
        <v>Pass</v>
      </c>
      <c r="N53" s="13"/>
      <c r="O53" s="13"/>
      <c r="P53" s="44"/>
      <c r="Q53" s="13"/>
      <c r="R53" s="52"/>
      <c r="S53" s="2"/>
      <c r="T53" s="69"/>
    </row>
    <row r="54" spans="1:21" ht="101.25">
      <c r="A54" s="10">
        <v>53</v>
      </c>
      <c r="B54" s="10"/>
      <c r="C54" s="11" t="s">
        <v>21</v>
      </c>
      <c r="D54" s="12" t="s">
        <v>22</v>
      </c>
      <c r="E54" s="13" t="s">
        <v>23</v>
      </c>
      <c r="F54" s="13" t="s">
        <v>24</v>
      </c>
      <c r="G54" s="14" t="s">
        <v>110</v>
      </c>
      <c r="H54" s="15" t="s">
        <v>26</v>
      </c>
      <c r="I54" s="13" t="s">
        <v>26</v>
      </c>
      <c r="J54" s="13" t="s">
        <v>26</v>
      </c>
      <c r="K54" s="13" t="s">
        <v>26</v>
      </c>
      <c r="L54" s="13" t="s">
        <v>28</v>
      </c>
      <c r="M54" s="52" t="str" cm="1">
        <f t="array" ref="M54">_xlfn.IFS(COUNTIF(I54:L54,"Fail")&gt;0, "Fail", COUNTIF(I54:L54,"Pending")&gt;0, "Pending", COUNTIF(I54:L54,"Pass")&gt;0, "Pass", TRUE, "")</f>
        <v>Fail</v>
      </c>
      <c r="N54" s="13" t="s">
        <v>29</v>
      </c>
      <c r="O54" s="13" t="s">
        <v>83</v>
      </c>
      <c r="P54" s="44" t="s">
        <v>111</v>
      </c>
      <c r="Q54" s="61" t="s">
        <v>29</v>
      </c>
      <c r="R54" s="68" t="s">
        <v>32</v>
      </c>
      <c r="S54" s="77" t="s">
        <v>112</v>
      </c>
      <c r="T54" s="134" t="s">
        <v>32</v>
      </c>
      <c r="U54" s="131" t="s">
        <v>32</v>
      </c>
    </row>
    <row r="55" spans="1:21" ht="57.75">
      <c r="A55" s="10">
        <v>54</v>
      </c>
      <c r="B55" s="10"/>
      <c r="C55" s="11" t="s">
        <v>21</v>
      </c>
      <c r="D55" s="12" t="s">
        <v>22</v>
      </c>
      <c r="E55" s="13" t="s">
        <v>23</v>
      </c>
      <c r="F55" s="13"/>
      <c r="G55" s="14" t="s">
        <v>113</v>
      </c>
      <c r="H55" s="15" t="s">
        <v>26</v>
      </c>
      <c r="I55" s="13" t="s">
        <v>27</v>
      </c>
      <c r="J55" s="13" t="s">
        <v>28</v>
      </c>
      <c r="K55" s="13" t="s">
        <v>28</v>
      </c>
      <c r="L55" s="13" t="s">
        <v>28</v>
      </c>
      <c r="M55" s="52" t="str" cm="1">
        <f t="array" ref="M55">_xlfn.IFS(COUNTIF(I55:L55,"Fail")&gt;0, "Fail", COUNTIF(I55:L55,"Pending")&gt;0, "Pending", COUNTIF(I55:L55,"Pass")&gt;0, "Pass", TRUE, "")</f>
        <v>Pass</v>
      </c>
      <c r="N55" s="13" t="s">
        <v>38</v>
      </c>
      <c r="O55" s="13"/>
      <c r="P55" s="44" t="s">
        <v>114</v>
      </c>
      <c r="Q55" s="61" t="s">
        <v>29</v>
      </c>
      <c r="R55" s="68" t="s">
        <v>31</v>
      </c>
      <c r="S55" s="84" t="s">
        <v>32</v>
      </c>
      <c r="T55" s="134" t="s">
        <v>31</v>
      </c>
      <c r="U55" s="105" t="s">
        <v>32</v>
      </c>
    </row>
    <row r="56" spans="1:21" ht="115.5">
      <c r="A56" s="10">
        <v>55</v>
      </c>
      <c r="B56" s="10"/>
      <c r="C56" s="11" t="s">
        <v>21</v>
      </c>
      <c r="D56" s="12" t="s">
        <v>22</v>
      </c>
      <c r="E56" s="13" t="s">
        <v>23</v>
      </c>
      <c r="F56" s="55" t="s">
        <v>24</v>
      </c>
      <c r="G56" s="14" t="s">
        <v>115</v>
      </c>
      <c r="H56" s="15" t="s">
        <v>26</v>
      </c>
      <c r="I56" s="13" t="s">
        <v>27</v>
      </c>
      <c r="J56" s="13" t="s">
        <v>27</v>
      </c>
      <c r="K56" s="13" t="s">
        <v>27</v>
      </c>
      <c r="L56" s="13" t="s">
        <v>28</v>
      </c>
      <c r="M56" s="52" t="str" cm="1">
        <f t="array" ref="M56">_xlfn.IFS(COUNTIF(I56:L56,"Fail")&gt;0, "Fail", COUNTIF(I56:L56,"Pending")&gt;0, "Pending", COUNTIF(I56:L56,"Pass")&gt;0, "Pass", TRUE, "")</f>
        <v>Pass</v>
      </c>
      <c r="N56" s="13" t="s">
        <v>29</v>
      </c>
      <c r="O56" s="13"/>
      <c r="P56" s="44" t="s">
        <v>116</v>
      </c>
      <c r="Q56" s="61" t="s">
        <v>29</v>
      </c>
      <c r="R56" s="68" t="s">
        <v>31</v>
      </c>
      <c r="S56" s="78" t="s">
        <v>32</v>
      </c>
      <c r="T56" s="134" t="s">
        <v>31</v>
      </c>
      <c r="U56" s="127" t="s">
        <v>117</v>
      </c>
    </row>
    <row r="57" spans="1:21" ht="101.25">
      <c r="A57" s="10">
        <v>56</v>
      </c>
      <c r="B57" s="10"/>
      <c r="C57" s="11" t="s">
        <v>21</v>
      </c>
      <c r="D57" s="12" t="s">
        <v>22</v>
      </c>
      <c r="E57" s="13" t="s">
        <v>23</v>
      </c>
      <c r="F57" s="13" t="s">
        <v>24</v>
      </c>
      <c r="G57" s="14" t="s">
        <v>118</v>
      </c>
      <c r="H57" s="15" t="s">
        <v>26</v>
      </c>
      <c r="I57" s="13" t="s">
        <v>27</v>
      </c>
      <c r="J57" s="13" t="s">
        <v>27</v>
      </c>
      <c r="K57" s="13" t="s">
        <v>27</v>
      </c>
      <c r="L57" s="13" t="s">
        <v>28</v>
      </c>
      <c r="M57" s="52" t="str" cm="1">
        <f t="array" ref="M57">_xlfn.IFS(COUNTIF(I57:L57,"Fail")&gt;0, "Fail", COUNTIF(I57:L57,"Pending")&gt;0, "Pending", COUNTIF(I57:L57,"Pass")&gt;0, "Pass", TRUE, "")</f>
        <v>Pass</v>
      </c>
      <c r="N57" s="13" t="s">
        <v>38</v>
      </c>
      <c r="O57" s="13"/>
      <c r="P57" s="44" t="s">
        <v>119</v>
      </c>
      <c r="Q57" s="61" t="s">
        <v>29</v>
      </c>
      <c r="R57" s="68" t="s">
        <v>32</v>
      </c>
      <c r="S57" s="77" t="s">
        <v>32</v>
      </c>
      <c r="T57" s="134" t="s">
        <v>32</v>
      </c>
      <c r="U57" s="105"/>
    </row>
    <row r="58" spans="1:21" ht="87">
      <c r="A58" s="10">
        <v>57</v>
      </c>
      <c r="B58" s="10"/>
      <c r="C58" s="11" t="s">
        <v>21</v>
      </c>
      <c r="D58" s="12" t="s">
        <v>22</v>
      </c>
      <c r="E58" s="13" t="s">
        <v>23</v>
      </c>
      <c r="F58" s="13" t="s">
        <v>24</v>
      </c>
      <c r="G58" s="16" t="s">
        <v>120</v>
      </c>
      <c r="H58" s="15" t="s">
        <v>34</v>
      </c>
      <c r="I58" s="13" t="s">
        <v>27</v>
      </c>
      <c r="J58" s="13" t="s">
        <v>27</v>
      </c>
      <c r="K58" s="13" t="s">
        <v>27</v>
      </c>
      <c r="L58" s="13" t="s">
        <v>28</v>
      </c>
      <c r="M58" s="52" t="str" cm="1">
        <f t="array" ref="M58">_xlfn.IFS(COUNTIF(I58:L58,"Fail")&gt;0, "Fail", COUNTIF(I58:L58,"Pending")&gt;0, "Pending", COUNTIF(I58:L58,"Pass")&gt;0, "Pass", TRUE, "")</f>
        <v>Pass</v>
      </c>
      <c r="N58" s="13"/>
      <c r="O58" s="13"/>
      <c r="P58" s="44" t="s">
        <v>121</v>
      </c>
      <c r="Q58" s="13"/>
      <c r="R58" s="52"/>
      <c r="S58" s="2"/>
      <c r="T58" s="69"/>
    </row>
    <row r="59" spans="1:21">
      <c r="A59" s="10">
        <v>58</v>
      </c>
      <c r="B59" s="10"/>
      <c r="C59" s="11" t="s">
        <v>21</v>
      </c>
      <c r="D59" s="12" t="s">
        <v>22</v>
      </c>
      <c r="E59" s="13" t="s">
        <v>23</v>
      </c>
      <c r="F59" s="13" t="s">
        <v>24</v>
      </c>
      <c r="G59" s="16" t="s">
        <v>122</v>
      </c>
      <c r="H59" s="15" t="s">
        <v>34</v>
      </c>
      <c r="I59" s="13" t="s">
        <v>27</v>
      </c>
      <c r="J59" s="13" t="s">
        <v>27</v>
      </c>
      <c r="K59" s="13" t="s">
        <v>27</v>
      </c>
      <c r="L59" s="13" t="s">
        <v>28</v>
      </c>
      <c r="M59" s="52" t="str" cm="1">
        <f t="array" ref="M59">_xlfn.IFS(COUNTIF(I59:L59,"Fail")&gt;0, "Fail", COUNTIF(I59:L59,"Pending")&gt;0, "Pending", COUNTIF(I59:L59,"Pass")&gt;0, "Pass", TRUE, "")</f>
        <v>Pass</v>
      </c>
      <c r="N59" s="13"/>
      <c r="O59" s="13"/>
      <c r="P59" s="44"/>
      <c r="Q59" s="13"/>
      <c r="R59" s="52"/>
      <c r="S59" s="2"/>
      <c r="T59" s="69"/>
    </row>
    <row r="60" spans="1:21" ht="45.75">
      <c r="A60" s="10">
        <v>59</v>
      </c>
      <c r="B60" s="10"/>
      <c r="C60" s="11" t="s">
        <v>21</v>
      </c>
      <c r="D60" s="12" t="s">
        <v>22</v>
      </c>
      <c r="E60" s="13" t="s">
        <v>23</v>
      </c>
      <c r="F60" s="13" t="s">
        <v>24</v>
      </c>
      <c r="G60" s="14" t="s">
        <v>123</v>
      </c>
      <c r="H60" s="15" t="s">
        <v>26</v>
      </c>
      <c r="I60" s="13" t="s">
        <v>27</v>
      </c>
      <c r="J60" s="13" t="s">
        <v>27</v>
      </c>
      <c r="K60" s="13" t="s">
        <v>27</v>
      </c>
      <c r="L60" s="13" t="s">
        <v>28</v>
      </c>
      <c r="M60" s="52" t="str" cm="1">
        <f t="array" ref="M60">_xlfn.IFS(COUNTIF(I60:L60,"Fail")&gt;0, "Fail", COUNTIF(I60:L60,"Pending")&gt;0, "Pending", COUNTIF(I60:L60,"Pass")&gt;0, "Pass", TRUE, "")</f>
        <v>Pass</v>
      </c>
      <c r="N60" s="13" t="s">
        <v>38</v>
      </c>
      <c r="O60" s="13"/>
      <c r="P60" s="44" t="s">
        <v>124</v>
      </c>
      <c r="Q60" s="61" t="s">
        <v>29</v>
      </c>
      <c r="R60" s="68" t="s">
        <v>31</v>
      </c>
      <c r="S60" s="77" t="s">
        <v>32</v>
      </c>
      <c r="T60" s="134" t="s">
        <v>31</v>
      </c>
      <c r="U60" s="105" t="s">
        <v>32</v>
      </c>
    </row>
    <row r="61" spans="1:21">
      <c r="A61" s="10">
        <v>60</v>
      </c>
      <c r="B61" s="10"/>
      <c r="C61" s="11" t="s">
        <v>21</v>
      </c>
      <c r="D61" s="12" t="s">
        <v>22</v>
      </c>
      <c r="E61" s="13" t="s">
        <v>23</v>
      </c>
      <c r="F61" s="13" t="s">
        <v>24</v>
      </c>
      <c r="G61" s="16" t="s">
        <v>125</v>
      </c>
      <c r="H61" s="15" t="s">
        <v>34</v>
      </c>
      <c r="I61" s="13" t="s">
        <v>27</v>
      </c>
      <c r="J61" s="13" t="s">
        <v>27</v>
      </c>
      <c r="K61" s="13" t="s">
        <v>27</v>
      </c>
      <c r="L61" s="13" t="s">
        <v>28</v>
      </c>
      <c r="M61" s="52" t="str" cm="1">
        <f t="array" ref="M61">_xlfn.IFS(COUNTIF(I61:L61,"Fail")&gt;0, "Fail", COUNTIF(I61:L61,"Pending")&gt;0, "Pending", COUNTIF(I61:L61,"Pass")&gt;0, "Pass", TRUE, "")</f>
        <v>Pass</v>
      </c>
      <c r="N61" s="13"/>
      <c r="O61" s="13"/>
      <c r="P61" s="44"/>
      <c r="Q61" s="13"/>
      <c r="R61" s="52"/>
      <c r="S61" s="2"/>
      <c r="T61" s="69"/>
    </row>
    <row r="62" spans="1:21" ht="87">
      <c r="A62" s="10">
        <v>61</v>
      </c>
      <c r="B62" s="10"/>
      <c r="C62" s="11" t="s">
        <v>21</v>
      </c>
      <c r="D62" s="12" t="s">
        <v>22</v>
      </c>
      <c r="E62" s="13" t="s">
        <v>23</v>
      </c>
      <c r="F62" s="13" t="s">
        <v>24</v>
      </c>
      <c r="G62" s="16" t="s">
        <v>126</v>
      </c>
      <c r="H62" s="15" t="s">
        <v>34</v>
      </c>
      <c r="I62" s="13" t="s">
        <v>27</v>
      </c>
      <c r="J62" s="13" t="s">
        <v>27</v>
      </c>
      <c r="K62" s="13" t="s">
        <v>27</v>
      </c>
      <c r="L62" s="13" t="s">
        <v>28</v>
      </c>
      <c r="M62" s="52" t="str" cm="1">
        <f t="array" ref="M62">_xlfn.IFS(COUNTIF(I62:L62,"Fail")&gt;0, "Fail", COUNTIF(I62:L62,"Pending")&gt;0, "Pending", COUNTIF(I62:L62,"Pass")&gt;0, "Pass", TRUE, "")</f>
        <v>Pass</v>
      </c>
      <c r="N62" s="13"/>
      <c r="O62" s="13"/>
      <c r="P62" s="44" t="s">
        <v>121</v>
      </c>
      <c r="Q62" s="13"/>
      <c r="R62" s="52"/>
      <c r="S62" s="2"/>
      <c r="T62" s="69"/>
    </row>
    <row r="63" spans="1:21">
      <c r="A63" s="10">
        <v>62</v>
      </c>
      <c r="B63" s="10"/>
      <c r="C63" s="11" t="s">
        <v>21</v>
      </c>
      <c r="D63" s="12" t="s">
        <v>22</v>
      </c>
      <c r="E63" s="13" t="s">
        <v>23</v>
      </c>
      <c r="F63" s="13" t="s">
        <v>24</v>
      </c>
      <c r="G63" s="16" t="s">
        <v>127</v>
      </c>
      <c r="H63" s="15" t="s">
        <v>34</v>
      </c>
      <c r="I63" s="13" t="s">
        <v>27</v>
      </c>
      <c r="J63" s="13" t="s">
        <v>27</v>
      </c>
      <c r="K63" s="13" t="s">
        <v>27</v>
      </c>
      <c r="L63" s="13" t="s">
        <v>28</v>
      </c>
      <c r="M63" s="52" t="str" cm="1">
        <f t="array" ref="M63">_xlfn.IFS(COUNTIF(I63:L63,"Fail")&gt;0, "Fail", COUNTIF(I63:L63,"Pending")&gt;0, "Pending", COUNTIF(I63:L63,"Pass")&gt;0, "Pass", TRUE, "")</f>
        <v>Pass</v>
      </c>
      <c r="N63" s="13"/>
      <c r="O63" s="13"/>
      <c r="P63" s="44"/>
      <c r="Q63" s="13"/>
      <c r="R63" s="52"/>
      <c r="S63" s="2"/>
      <c r="T63" s="69"/>
    </row>
    <row r="64" spans="1:21">
      <c r="A64" s="10">
        <v>63</v>
      </c>
      <c r="B64" s="10"/>
      <c r="C64" s="11" t="s">
        <v>21</v>
      </c>
      <c r="D64" s="12" t="s">
        <v>22</v>
      </c>
      <c r="E64" s="13" t="s">
        <v>23</v>
      </c>
      <c r="F64" s="13" t="s">
        <v>24</v>
      </c>
      <c r="G64" s="16" t="s">
        <v>128</v>
      </c>
      <c r="H64" s="15" t="s">
        <v>34</v>
      </c>
      <c r="I64" s="13" t="s">
        <v>27</v>
      </c>
      <c r="J64" s="13" t="s">
        <v>27</v>
      </c>
      <c r="K64" s="13" t="s">
        <v>27</v>
      </c>
      <c r="L64" s="13" t="s">
        <v>28</v>
      </c>
      <c r="M64" s="52" t="str" cm="1">
        <f t="array" ref="M64">_xlfn.IFS(COUNTIF(I64:L64,"Fail")&gt;0, "Fail", COUNTIF(I64:L64,"Pending")&gt;0, "Pending", COUNTIF(I64:L64,"Pass")&gt;0, "Pass", TRUE, "")</f>
        <v>Pass</v>
      </c>
      <c r="N64" s="13"/>
      <c r="O64" s="13"/>
      <c r="P64" s="44"/>
      <c r="Q64" s="13"/>
      <c r="R64" s="52"/>
      <c r="S64" s="2"/>
      <c r="T64" s="69"/>
    </row>
    <row r="65" spans="1:21" ht="144.75">
      <c r="A65" s="10">
        <v>64</v>
      </c>
      <c r="B65" s="10"/>
      <c r="C65" s="11" t="s">
        <v>21</v>
      </c>
      <c r="D65" s="12" t="s">
        <v>22</v>
      </c>
      <c r="E65" s="13" t="s">
        <v>23</v>
      </c>
      <c r="F65" s="13" t="s">
        <v>24</v>
      </c>
      <c r="G65" s="14" t="s">
        <v>129</v>
      </c>
      <c r="H65" s="15" t="s">
        <v>26</v>
      </c>
      <c r="I65" s="13" t="s">
        <v>26</v>
      </c>
      <c r="J65" s="13" t="s">
        <v>26</v>
      </c>
      <c r="K65" s="13" t="s">
        <v>26</v>
      </c>
      <c r="L65" s="13" t="s">
        <v>28</v>
      </c>
      <c r="M65" s="52" t="str" cm="1">
        <f t="array" ref="M65">_xlfn.IFS(COUNTIF(I65:L65,"Fail")&gt;0, "Fail", COUNTIF(I65:L65,"Pending")&gt;0, "Pending", COUNTIF(I65:L65,"Pass")&gt;0, "Pass", TRUE, "")</f>
        <v>Fail</v>
      </c>
      <c r="N65" s="13" t="s">
        <v>38</v>
      </c>
      <c r="O65" s="13"/>
      <c r="P65" s="44" t="s">
        <v>130</v>
      </c>
      <c r="Q65" s="61" t="s">
        <v>29</v>
      </c>
      <c r="R65" s="52" t="s">
        <v>101</v>
      </c>
      <c r="S65" s="81" t="s">
        <v>131</v>
      </c>
      <c r="T65" s="165" t="s">
        <v>101</v>
      </c>
    </row>
    <row r="66" spans="1:21" ht="56.25" customHeight="1">
      <c r="A66" s="10">
        <v>65</v>
      </c>
      <c r="B66" s="10"/>
      <c r="C66" s="11" t="s">
        <v>21</v>
      </c>
      <c r="D66" s="12" t="s">
        <v>22</v>
      </c>
      <c r="E66" s="13" t="s">
        <v>23</v>
      </c>
      <c r="F66" s="13" t="s">
        <v>24</v>
      </c>
      <c r="G66" s="16" t="s">
        <v>132</v>
      </c>
      <c r="H66" s="15" t="s">
        <v>34</v>
      </c>
      <c r="I66" s="13" t="s">
        <v>27</v>
      </c>
      <c r="J66" s="13" t="s">
        <v>27</v>
      </c>
      <c r="K66" s="13" t="s">
        <v>27</v>
      </c>
      <c r="L66" s="13" t="s">
        <v>28</v>
      </c>
      <c r="M66" s="52" t="str" cm="1">
        <f t="array" ref="M66">_xlfn.IFS(COUNTIF(I66:L66,"Fail")&gt;0, "Fail", COUNTIF(I66:L66,"Pending")&gt;0, "Pending", COUNTIF(I66:L66,"Pass")&gt;0, "Pass", TRUE, "")</f>
        <v>Pass</v>
      </c>
      <c r="N66" s="13"/>
      <c r="O66" s="13"/>
      <c r="P66" s="44"/>
      <c r="Q66" s="13"/>
      <c r="R66" s="52"/>
      <c r="S66" s="2"/>
      <c r="T66" s="69"/>
    </row>
    <row r="67" spans="1:21" ht="159">
      <c r="A67" s="10">
        <v>68</v>
      </c>
      <c r="B67" s="10"/>
      <c r="C67" s="11" t="s">
        <v>21</v>
      </c>
      <c r="D67" s="12" t="s">
        <v>22</v>
      </c>
      <c r="E67" s="13" t="s">
        <v>23</v>
      </c>
      <c r="F67" s="13" t="s">
        <v>24</v>
      </c>
      <c r="G67" s="14" t="s">
        <v>133</v>
      </c>
      <c r="H67" s="15" t="s">
        <v>26</v>
      </c>
      <c r="I67" s="13" t="s">
        <v>26</v>
      </c>
      <c r="J67" s="13" t="s">
        <v>26</v>
      </c>
      <c r="K67" s="13" t="s">
        <v>26</v>
      </c>
      <c r="L67" s="13" t="s">
        <v>28</v>
      </c>
      <c r="M67" s="52" t="str" cm="1">
        <f t="array" ref="M67">_xlfn.IFS(COUNTIF(I67:L67,"Fail")&gt;0, "Fail", COUNTIF(I67:L67,"Pending")&gt;0, "Pending", COUNTIF(I67:L67,"Pass")&gt;0, "Pass", TRUE, "")</f>
        <v>Fail</v>
      </c>
      <c r="N67" s="13" t="s">
        <v>29</v>
      </c>
      <c r="O67" s="13" t="s">
        <v>83</v>
      </c>
      <c r="P67" s="44" t="s">
        <v>134</v>
      </c>
      <c r="Q67" s="61" t="s">
        <v>29</v>
      </c>
      <c r="R67" s="68" t="s">
        <v>31</v>
      </c>
      <c r="S67" s="77" t="s">
        <v>112</v>
      </c>
      <c r="T67" s="134" t="s">
        <v>31</v>
      </c>
      <c r="U67" s="131" t="s">
        <v>32</v>
      </c>
    </row>
    <row r="68" spans="1:21" ht="188.25">
      <c r="A68" s="10">
        <v>69</v>
      </c>
      <c r="B68" s="10"/>
      <c r="C68" s="11" t="s">
        <v>21</v>
      </c>
      <c r="D68" s="12" t="s">
        <v>22</v>
      </c>
      <c r="E68" s="13" t="s">
        <v>23</v>
      </c>
      <c r="F68" s="13"/>
      <c r="G68" s="14" t="s">
        <v>135</v>
      </c>
      <c r="H68" s="15" t="s">
        <v>26</v>
      </c>
      <c r="I68" s="13" t="s">
        <v>26</v>
      </c>
      <c r="J68" s="13" t="s">
        <v>26</v>
      </c>
      <c r="K68" s="13" t="s">
        <v>28</v>
      </c>
      <c r="L68" s="13" t="s">
        <v>28</v>
      </c>
      <c r="M68" s="52" t="str" cm="1">
        <f t="array" ref="M68">_xlfn.IFS(COUNTIF(I68:L68,"Fail")&gt;0, "Fail", COUNTIF(I68:L68,"Pending")&gt;0, "Pending", COUNTIF(I68:L68,"Pass")&gt;0, "Pass", TRUE, "")</f>
        <v>Fail</v>
      </c>
      <c r="N68" s="13" t="s">
        <v>29</v>
      </c>
      <c r="O68" s="13" t="s">
        <v>83</v>
      </c>
      <c r="P68" s="44" t="s">
        <v>136</v>
      </c>
      <c r="Q68" s="61" t="s">
        <v>29</v>
      </c>
      <c r="R68" s="52" t="s">
        <v>137</v>
      </c>
      <c r="S68" s="81" t="s">
        <v>131</v>
      </c>
      <c r="T68" s="134" t="s">
        <v>31</v>
      </c>
      <c r="U68" s="134" t="s">
        <v>31</v>
      </c>
    </row>
    <row r="69" spans="1:21" ht="72.75">
      <c r="A69" s="10">
        <v>70</v>
      </c>
      <c r="B69" s="10"/>
      <c r="C69" s="11" t="s">
        <v>21</v>
      </c>
      <c r="D69" s="12" t="s">
        <v>22</v>
      </c>
      <c r="E69" s="13" t="s">
        <v>23</v>
      </c>
      <c r="F69" s="13"/>
      <c r="G69" s="14" t="s">
        <v>138</v>
      </c>
      <c r="H69" s="15" t="s">
        <v>26</v>
      </c>
      <c r="I69" s="13" t="s">
        <v>27</v>
      </c>
      <c r="J69" s="13" t="s">
        <v>28</v>
      </c>
      <c r="K69" s="13" t="s">
        <v>28</v>
      </c>
      <c r="L69" s="13" t="s">
        <v>28</v>
      </c>
      <c r="M69" s="52" t="str" cm="1">
        <f t="array" ref="M69">_xlfn.IFS(COUNTIF(I69:L69,"Fail")&gt;0, "Fail", COUNTIF(I69:L69,"Pending")&gt;0, "Pending", COUNTIF(I69:L69,"Pass")&gt;0, "Pass", TRUE, "")</f>
        <v>Pass</v>
      </c>
      <c r="N69" s="13" t="s">
        <v>38</v>
      </c>
      <c r="O69" s="13"/>
      <c r="P69" s="44" t="s">
        <v>139</v>
      </c>
      <c r="Q69" s="61" t="s">
        <v>29</v>
      </c>
      <c r="R69" s="68" t="s">
        <v>31</v>
      </c>
      <c r="S69" s="84" t="s">
        <v>32</v>
      </c>
      <c r="T69" s="134" t="s">
        <v>31</v>
      </c>
      <c r="U69" s="105" t="s">
        <v>32</v>
      </c>
    </row>
    <row r="70" spans="1:21" ht="43.5">
      <c r="A70" s="10">
        <v>84</v>
      </c>
      <c r="B70" s="10"/>
      <c r="C70" s="11" t="s">
        <v>21</v>
      </c>
      <c r="D70" s="12" t="s">
        <v>22</v>
      </c>
      <c r="E70" s="13" t="s">
        <v>23</v>
      </c>
      <c r="F70" s="13" t="s">
        <v>24</v>
      </c>
      <c r="G70" s="14" t="s">
        <v>140</v>
      </c>
      <c r="H70" s="15" t="s">
        <v>26</v>
      </c>
      <c r="I70" s="13" t="s">
        <v>27</v>
      </c>
      <c r="J70" s="13" t="s">
        <v>27</v>
      </c>
      <c r="K70" s="13" t="s">
        <v>27</v>
      </c>
      <c r="L70" s="13" t="s">
        <v>28</v>
      </c>
      <c r="M70" s="52" t="str" cm="1">
        <f t="array" ref="M70">_xlfn.IFS(COUNTIF(I70:L70,"Fail")&gt;0, "Fail", COUNTIF(I70:L70,"Pending")&gt;0, "Pending", COUNTIF(I70:L70,"Pass")&gt;0, "Pass", TRUE, "")</f>
        <v>Pass</v>
      </c>
      <c r="N70" s="13" t="s">
        <v>29</v>
      </c>
      <c r="O70" s="13"/>
      <c r="P70" s="44" t="s">
        <v>141</v>
      </c>
      <c r="Q70" s="61" t="s">
        <v>29</v>
      </c>
      <c r="R70" s="68" t="s">
        <v>31</v>
      </c>
      <c r="S70" s="77" t="s">
        <v>32</v>
      </c>
      <c r="T70" s="134" t="s">
        <v>31</v>
      </c>
      <c r="U70" s="105" t="s">
        <v>32</v>
      </c>
    </row>
    <row r="71" spans="1:21" ht="60.75">
      <c r="A71" s="10">
        <v>71</v>
      </c>
      <c r="B71" s="10"/>
      <c r="C71" s="11" t="s">
        <v>21</v>
      </c>
      <c r="D71" s="12" t="s">
        <v>22</v>
      </c>
      <c r="E71" s="13" t="s">
        <v>23</v>
      </c>
      <c r="F71" s="13"/>
      <c r="G71" s="14" t="s">
        <v>142</v>
      </c>
      <c r="H71" s="15" t="s">
        <v>26</v>
      </c>
      <c r="I71" s="13" t="s">
        <v>27</v>
      </c>
      <c r="J71" s="13" t="s">
        <v>28</v>
      </c>
      <c r="K71" s="13" t="s">
        <v>28</v>
      </c>
      <c r="L71" s="13" t="s">
        <v>28</v>
      </c>
      <c r="M71" s="52" t="str" cm="1">
        <f t="array" ref="M71">_xlfn.IFS(COUNTIF(I71:L71,"Fail")&gt;0, "Fail", COUNTIF(I71:L71,"Pending")&gt;0, "Pending", COUNTIF(I71:L71,"Pass")&gt;0, "Pass", TRUE, "")</f>
        <v>Pass</v>
      </c>
      <c r="N71" s="13" t="s">
        <v>38</v>
      </c>
      <c r="O71" s="13"/>
      <c r="P71" s="44" t="s">
        <v>114</v>
      </c>
      <c r="Q71" s="61" t="s">
        <v>29</v>
      </c>
      <c r="R71" s="68" t="s">
        <v>31</v>
      </c>
      <c r="S71" s="77" t="s">
        <v>32</v>
      </c>
      <c r="T71" s="134" t="s">
        <v>31</v>
      </c>
      <c r="U71" s="105" t="s">
        <v>32</v>
      </c>
    </row>
    <row r="72" spans="1:21" ht="43.5">
      <c r="A72" s="10">
        <v>72</v>
      </c>
      <c r="B72" s="10"/>
      <c r="C72" s="11" t="s">
        <v>21</v>
      </c>
      <c r="D72" s="12" t="s">
        <v>22</v>
      </c>
      <c r="E72" s="13" t="s">
        <v>23</v>
      </c>
      <c r="F72" s="55"/>
      <c r="G72" s="14" t="s">
        <v>143</v>
      </c>
      <c r="H72" s="15" t="s">
        <v>26</v>
      </c>
      <c r="I72" s="13" t="s">
        <v>28</v>
      </c>
      <c r="J72" s="13" t="s">
        <v>28</v>
      </c>
      <c r="K72" s="13" t="s">
        <v>28</v>
      </c>
      <c r="L72" s="13" t="s">
        <v>27</v>
      </c>
      <c r="M72" s="52" t="str" cm="1">
        <f t="array" ref="M72">_xlfn.IFS(COUNTIF(I72:L72,"Fail")&gt;0, "Fail", COUNTIF(I72:L72,"Pending")&gt;0, "Pending", COUNTIF(I72:L72,"Pass")&gt;0, "Pass", TRUE, "")</f>
        <v>Pass</v>
      </c>
      <c r="N72" s="13" t="s">
        <v>29</v>
      </c>
      <c r="O72" s="13"/>
      <c r="P72" s="44" t="s">
        <v>144</v>
      </c>
      <c r="Q72" s="61" t="s">
        <v>29</v>
      </c>
      <c r="R72" s="68" t="s">
        <v>31</v>
      </c>
      <c r="S72" s="77" t="s">
        <v>32</v>
      </c>
      <c r="T72" s="134" t="s">
        <v>31</v>
      </c>
      <c r="U72" s="105" t="s">
        <v>32</v>
      </c>
    </row>
    <row r="73" spans="1:21" ht="72.75">
      <c r="A73" s="10">
        <v>73</v>
      </c>
      <c r="B73" s="10"/>
      <c r="C73" s="11" t="s">
        <v>21</v>
      </c>
      <c r="D73" s="12" t="s">
        <v>22</v>
      </c>
      <c r="E73" s="13" t="s">
        <v>23</v>
      </c>
      <c r="F73" s="13" t="s">
        <v>24</v>
      </c>
      <c r="G73" s="14" t="s">
        <v>145</v>
      </c>
      <c r="H73" s="15" t="s">
        <v>27</v>
      </c>
      <c r="I73" s="13" t="s">
        <v>27</v>
      </c>
      <c r="J73" s="13" t="s">
        <v>27</v>
      </c>
      <c r="K73" s="13" t="s">
        <v>27</v>
      </c>
      <c r="L73" s="13" t="s">
        <v>28</v>
      </c>
      <c r="M73" s="52" t="str" cm="1">
        <f t="array" ref="M73">_xlfn.IFS(COUNTIF(I73:L73,"Fail")&gt;0, "Fail", COUNTIF(I73:L73,"Pending")&gt;0, "Pending", COUNTIF(I73:L73,"Pass")&gt;0, "Pass", TRUE, "")</f>
        <v>Pass</v>
      </c>
      <c r="N73" s="13" t="s">
        <v>29</v>
      </c>
      <c r="O73" s="13"/>
      <c r="P73" s="44" t="s">
        <v>146</v>
      </c>
      <c r="Q73" s="61" t="s">
        <v>29</v>
      </c>
      <c r="R73" s="68" t="s">
        <v>31</v>
      </c>
      <c r="S73" s="77" t="s">
        <v>32</v>
      </c>
      <c r="T73" s="134" t="s">
        <v>31</v>
      </c>
      <c r="U73" s="105" t="s">
        <v>32</v>
      </c>
    </row>
    <row r="74" spans="1:21">
      <c r="A74" s="10">
        <v>74</v>
      </c>
      <c r="B74" s="10"/>
      <c r="C74" s="11" t="s">
        <v>21</v>
      </c>
      <c r="D74" s="12" t="s">
        <v>22</v>
      </c>
      <c r="E74" s="13" t="s">
        <v>23</v>
      </c>
      <c r="F74" s="13" t="s">
        <v>80</v>
      </c>
      <c r="G74" s="16" t="s">
        <v>147</v>
      </c>
      <c r="H74" s="15" t="s">
        <v>34</v>
      </c>
      <c r="I74" s="13" t="s">
        <v>27</v>
      </c>
      <c r="J74" s="13" t="s">
        <v>27</v>
      </c>
      <c r="K74" s="13" t="s">
        <v>27</v>
      </c>
      <c r="L74" s="13" t="s">
        <v>27</v>
      </c>
      <c r="M74" s="52" t="str" cm="1">
        <f t="array" ref="M74">_xlfn.IFS(COUNTIF(I74:L74,"Fail")&gt;0, "Fail", COUNTIF(I74:L74,"Pending")&gt;0, "Pending", COUNTIF(I74:L74,"Pass")&gt;0, "Pass", TRUE, "")</f>
        <v>Pass</v>
      </c>
      <c r="N74" s="13"/>
      <c r="O74" s="13"/>
      <c r="P74" s="44"/>
      <c r="Q74" s="13"/>
      <c r="R74" s="52"/>
      <c r="S74" s="2"/>
      <c r="T74" s="69"/>
    </row>
    <row r="75" spans="1:21" ht="43.5">
      <c r="A75" s="10">
        <v>75</v>
      </c>
      <c r="B75" s="10"/>
      <c r="C75" s="11" t="s">
        <v>21</v>
      </c>
      <c r="D75" s="12" t="s">
        <v>22</v>
      </c>
      <c r="E75" s="13" t="s">
        <v>23</v>
      </c>
      <c r="F75" s="13" t="s">
        <v>80</v>
      </c>
      <c r="G75" s="14" t="s">
        <v>148</v>
      </c>
      <c r="H75" s="15" t="s">
        <v>26</v>
      </c>
      <c r="I75" s="13" t="s">
        <v>26</v>
      </c>
      <c r="J75" s="13" t="s">
        <v>26</v>
      </c>
      <c r="K75" s="13" t="s">
        <v>26</v>
      </c>
      <c r="L75" s="13" t="s">
        <v>26</v>
      </c>
      <c r="M75" s="52" t="str" cm="1">
        <f t="array" ref="M75">_xlfn.IFS(COUNTIF(I75:L75,"Fail")&gt;0, "Fail", COUNTIF(I75:L75,"Pending")&gt;0, "Pending", COUNTIF(I75:L75,"Pass")&gt;0, "Pass", TRUE, "")</f>
        <v>Fail</v>
      </c>
      <c r="N75" s="13" t="s">
        <v>29</v>
      </c>
      <c r="O75" s="13" t="s">
        <v>149</v>
      </c>
      <c r="P75" s="44" t="s">
        <v>150</v>
      </c>
      <c r="Q75" s="61" t="s">
        <v>29</v>
      </c>
      <c r="R75" s="52" t="s">
        <v>137</v>
      </c>
      <c r="S75" s="81" t="s">
        <v>151</v>
      </c>
      <c r="T75" s="148" t="s">
        <v>152</v>
      </c>
    </row>
    <row r="76" spans="1:21">
      <c r="A76" s="10">
        <v>76</v>
      </c>
      <c r="B76" s="10"/>
      <c r="C76" s="11" t="s">
        <v>21</v>
      </c>
      <c r="D76" s="12" t="s">
        <v>22</v>
      </c>
      <c r="E76" s="13" t="s">
        <v>23</v>
      </c>
      <c r="F76" s="13"/>
      <c r="G76" s="16" t="s">
        <v>153</v>
      </c>
      <c r="H76" s="15" t="s">
        <v>34</v>
      </c>
      <c r="I76" s="13" t="s">
        <v>28</v>
      </c>
      <c r="J76" s="13" t="s">
        <v>28</v>
      </c>
      <c r="K76" s="13" t="s">
        <v>28</v>
      </c>
      <c r="L76" s="13" t="s">
        <v>27</v>
      </c>
      <c r="M76" s="52" t="str" cm="1">
        <f t="array" ref="M76">_xlfn.IFS(COUNTIF(I76:L76,"Fail")&gt;0, "Fail", COUNTIF(I76:L76,"Pending")&gt;0, "Pending", COUNTIF(I76:L76,"Pass")&gt;0, "Pass", TRUE, "")</f>
        <v>Pass</v>
      </c>
      <c r="N76" s="13"/>
      <c r="O76" s="13"/>
      <c r="P76" s="44"/>
      <c r="Q76" s="13"/>
      <c r="R76" s="52"/>
      <c r="S76" s="2"/>
      <c r="T76" s="69"/>
    </row>
    <row r="77" spans="1:21">
      <c r="A77" s="10">
        <v>77</v>
      </c>
      <c r="B77" s="10"/>
      <c r="C77" s="11" t="s">
        <v>21</v>
      </c>
      <c r="D77" s="12" t="s">
        <v>22</v>
      </c>
      <c r="E77" s="13" t="s">
        <v>23</v>
      </c>
      <c r="F77" s="13"/>
      <c r="G77" s="16" t="s">
        <v>154</v>
      </c>
      <c r="H77" s="15" t="s">
        <v>34</v>
      </c>
      <c r="I77" s="13" t="s">
        <v>28</v>
      </c>
      <c r="J77" s="13" t="s">
        <v>28</v>
      </c>
      <c r="K77" s="13" t="s">
        <v>28</v>
      </c>
      <c r="L77" s="13" t="s">
        <v>27</v>
      </c>
      <c r="M77" s="52" t="str" cm="1">
        <f t="array" ref="M77">_xlfn.IFS(COUNTIF(I77:L77,"Fail")&gt;0, "Fail", COUNTIF(I77:L77,"Pending")&gt;0, "Pending", COUNTIF(I77:L77,"Pass")&gt;0, "Pass", TRUE, "")</f>
        <v>Pass</v>
      </c>
      <c r="N77" s="13"/>
      <c r="O77" s="13"/>
      <c r="P77" s="44"/>
      <c r="Q77" s="13"/>
      <c r="R77" s="52"/>
      <c r="S77" s="2"/>
      <c r="T77" s="69"/>
    </row>
    <row r="78" spans="1:21">
      <c r="A78" s="10">
        <v>78</v>
      </c>
      <c r="B78" s="10"/>
      <c r="C78" s="11" t="s">
        <v>21</v>
      </c>
      <c r="D78" s="12" t="s">
        <v>22</v>
      </c>
      <c r="E78" s="13" t="s">
        <v>23</v>
      </c>
      <c r="F78" s="13"/>
      <c r="G78" s="16" t="s">
        <v>155</v>
      </c>
      <c r="H78" s="15" t="s">
        <v>34</v>
      </c>
      <c r="I78" s="13" t="s">
        <v>28</v>
      </c>
      <c r="J78" s="13" t="s">
        <v>28</v>
      </c>
      <c r="K78" s="13" t="s">
        <v>28</v>
      </c>
      <c r="L78" s="13" t="s">
        <v>27</v>
      </c>
      <c r="M78" s="52" t="str" cm="1">
        <f t="array" ref="M78">_xlfn.IFS(COUNTIF(I78:L78,"Fail")&gt;0, "Fail", COUNTIF(I78:L78,"Pending")&gt;0, "Pending", COUNTIF(I78:L78,"Pass")&gt;0, "Pass", TRUE, "")</f>
        <v>Pass</v>
      </c>
      <c r="N78" s="13"/>
      <c r="O78" s="13"/>
      <c r="P78" s="44"/>
      <c r="Q78" s="13"/>
      <c r="R78" s="52"/>
      <c r="S78" s="2"/>
      <c r="T78" s="69"/>
    </row>
    <row r="79" spans="1:21">
      <c r="A79" s="10">
        <v>79</v>
      </c>
      <c r="B79" s="10"/>
      <c r="C79" s="11" t="s">
        <v>21</v>
      </c>
      <c r="D79" s="12" t="s">
        <v>22</v>
      </c>
      <c r="E79" s="13" t="s">
        <v>23</v>
      </c>
      <c r="F79" s="13" t="s">
        <v>80</v>
      </c>
      <c r="G79" s="16" t="s">
        <v>156</v>
      </c>
      <c r="H79" s="15" t="s">
        <v>34</v>
      </c>
      <c r="I79" s="13" t="s">
        <v>27</v>
      </c>
      <c r="J79" s="13" t="s">
        <v>27</v>
      </c>
      <c r="K79" s="13" t="s">
        <v>27</v>
      </c>
      <c r="L79" s="13" t="s">
        <v>27</v>
      </c>
      <c r="M79" s="52" t="str" cm="1">
        <f t="array" ref="M79">_xlfn.IFS(COUNTIF(I79:L79,"Fail")&gt;0, "Fail", COUNTIF(I79:L79,"Pending")&gt;0, "Pending", COUNTIF(I79:L79,"Pass")&gt;0, "Pass", TRUE, "")</f>
        <v>Pass</v>
      </c>
      <c r="N79" s="13"/>
      <c r="O79" s="13"/>
      <c r="P79" s="44"/>
      <c r="Q79" s="13"/>
      <c r="R79" s="52"/>
      <c r="S79" s="2"/>
      <c r="T79" s="69"/>
    </row>
    <row r="80" spans="1:21">
      <c r="A80" s="10">
        <v>80</v>
      </c>
      <c r="B80" s="10"/>
      <c r="C80" s="11" t="s">
        <v>21</v>
      </c>
      <c r="D80" s="12" t="s">
        <v>22</v>
      </c>
      <c r="E80" s="13" t="s">
        <v>23</v>
      </c>
      <c r="F80" s="13"/>
      <c r="G80" s="16" t="s">
        <v>157</v>
      </c>
      <c r="H80" s="15" t="s">
        <v>34</v>
      </c>
      <c r="I80" s="13" t="s">
        <v>28</v>
      </c>
      <c r="J80" s="13" t="s">
        <v>28</v>
      </c>
      <c r="K80" s="13" t="s">
        <v>28</v>
      </c>
      <c r="L80" s="13" t="s">
        <v>27</v>
      </c>
      <c r="M80" s="52" t="str" cm="1">
        <f t="array" ref="M80">_xlfn.IFS(COUNTIF(I80:L80,"Fail")&gt;0, "Fail", COUNTIF(I80:L80,"Pending")&gt;0, "Pending", COUNTIF(I80:L80,"Pass")&gt;0, "Pass", TRUE, "")</f>
        <v>Pass</v>
      </c>
      <c r="N80" s="13"/>
      <c r="O80" s="13"/>
      <c r="P80" s="44"/>
      <c r="Q80" s="13"/>
      <c r="R80" s="52"/>
      <c r="S80" s="2"/>
      <c r="T80" s="69"/>
    </row>
    <row r="81" spans="1:21">
      <c r="A81" s="10">
        <v>81</v>
      </c>
      <c r="B81" s="10"/>
      <c r="C81" s="11" t="s">
        <v>21</v>
      </c>
      <c r="D81" s="12" t="s">
        <v>22</v>
      </c>
      <c r="E81" s="13" t="s">
        <v>23</v>
      </c>
      <c r="F81" s="13"/>
      <c r="G81" s="16" t="s">
        <v>158</v>
      </c>
      <c r="H81" s="15" t="s">
        <v>34</v>
      </c>
      <c r="I81" s="13" t="s">
        <v>28</v>
      </c>
      <c r="J81" s="13" t="s">
        <v>28</v>
      </c>
      <c r="K81" s="13" t="s">
        <v>27</v>
      </c>
      <c r="L81" s="13" t="s">
        <v>28</v>
      </c>
      <c r="M81" s="52" t="str" cm="1">
        <f t="array" ref="M81">_xlfn.IFS(COUNTIF(I81:L81,"Fail")&gt;0, "Fail", COUNTIF(I81:L81,"Pending")&gt;0, "Pending", COUNTIF(I81:L81,"Pass")&gt;0, "Pass", TRUE, "")</f>
        <v>Pass</v>
      </c>
      <c r="N81" s="13"/>
      <c r="O81" s="13"/>
      <c r="P81" s="44"/>
      <c r="Q81" s="13"/>
      <c r="R81" s="52"/>
      <c r="S81" s="2"/>
      <c r="T81" s="69"/>
    </row>
    <row r="82" spans="1:21" ht="30.75">
      <c r="A82" s="10">
        <v>82</v>
      </c>
      <c r="B82" s="10"/>
      <c r="C82" s="11" t="s">
        <v>21</v>
      </c>
      <c r="D82" s="12" t="s">
        <v>22</v>
      </c>
      <c r="E82" s="13" t="s">
        <v>23</v>
      </c>
      <c r="F82" s="13"/>
      <c r="G82" s="14" t="s">
        <v>159</v>
      </c>
      <c r="H82" s="15" t="s">
        <v>26</v>
      </c>
      <c r="I82" s="13" t="s">
        <v>28</v>
      </c>
      <c r="J82" s="13" t="s">
        <v>28</v>
      </c>
      <c r="K82" s="13" t="s">
        <v>28</v>
      </c>
      <c r="L82" s="13" t="s">
        <v>27</v>
      </c>
      <c r="M82" s="52" t="str" cm="1">
        <f t="array" ref="M82">_xlfn.IFS(COUNTIF(I82:L82,"Fail")&gt;0, "Fail", COUNTIF(I82:L82,"Pending")&gt;0, "Pending", COUNTIF(I82:L82,"Pass")&gt;0, "Pass", TRUE, "")</f>
        <v>Pass</v>
      </c>
      <c r="N82" s="13" t="s">
        <v>29</v>
      </c>
      <c r="O82" s="13"/>
      <c r="P82" s="44" t="s">
        <v>160</v>
      </c>
      <c r="Q82" s="61" t="s">
        <v>29</v>
      </c>
      <c r="R82" s="68" t="s">
        <v>32</v>
      </c>
      <c r="S82" s="2" t="s">
        <v>32</v>
      </c>
      <c r="T82" s="134" t="s">
        <v>32</v>
      </c>
      <c r="U82" s="105" t="s">
        <v>32</v>
      </c>
    </row>
    <row r="83" spans="1:21">
      <c r="A83" s="10">
        <v>83</v>
      </c>
      <c r="B83" s="10"/>
      <c r="C83" s="11" t="s">
        <v>21</v>
      </c>
      <c r="D83" s="12" t="s">
        <v>22</v>
      </c>
      <c r="E83" s="13" t="s">
        <v>23</v>
      </c>
      <c r="F83" s="13"/>
      <c r="G83" s="16" t="s">
        <v>161</v>
      </c>
      <c r="H83" s="15" t="s">
        <v>34</v>
      </c>
      <c r="I83" s="13" t="s">
        <v>28</v>
      </c>
      <c r="J83" s="13" t="s">
        <v>28</v>
      </c>
      <c r="K83" s="13" t="s">
        <v>28</v>
      </c>
      <c r="L83" s="13" t="s">
        <v>27</v>
      </c>
      <c r="M83" s="52" t="str" cm="1">
        <f t="array" ref="M83">_xlfn.IFS(COUNTIF(I83:L83,"Fail")&gt;0, "Fail", COUNTIF(I83:L83,"Pending")&gt;0, "Pending", COUNTIF(I83:L83,"Pass")&gt;0, "Pass", TRUE, "")</f>
        <v>Pass</v>
      </c>
      <c r="N83" s="13"/>
      <c r="O83" s="13"/>
      <c r="P83" s="44"/>
      <c r="Q83" s="13"/>
      <c r="R83" s="52"/>
      <c r="S83" s="2"/>
      <c r="T83" s="69"/>
    </row>
    <row r="84" spans="1:21" ht="101.25">
      <c r="A84" s="10">
        <v>85</v>
      </c>
      <c r="B84" s="10"/>
      <c r="C84" s="11" t="s">
        <v>21</v>
      </c>
      <c r="D84" s="12" t="s">
        <v>22</v>
      </c>
      <c r="E84" s="13" t="s">
        <v>23</v>
      </c>
      <c r="F84" s="13" t="s">
        <v>24</v>
      </c>
      <c r="G84" s="16" t="s">
        <v>162</v>
      </c>
      <c r="H84" s="15" t="s">
        <v>34</v>
      </c>
      <c r="I84" s="13" t="s">
        <v>27</v>
      </c>
      <c r="J84" s="13" t="s">
        <v>27</v>
      </c>
      <c r="K84" s="13" t="s">
        <v>27</v>
      </c>
      <c r="L84" s="13" t="s">
        <v>28</v>
      </c>
      <c r="M84" s="52" t="str" cm="1">
        <f t="array" ref="M84">_xlfn.IFS(COUNTIF(I84:L84,"Fail")&gt;0, "Fail", COUNTIF(I84:L84,"Pending")&gt;0, "Pending", COUNTIF(I84:L84,"Pass")&gt;0, "Pass", TRUE, "")</f>
        <v>Pass</v>
      </c>
      <c r="N84" s="13"/>
      <c r="O84" s="13"/>
      <c r="P84" s="44" t="s">
        <v>163</v>
      </c>
      <c r="Q84" s="13"/>
      <c r="R84" s="52"/>
      <c r="S84" s="2"/>
      <c r="T84" s="69"/>
    </row>
    <row r="85" spans="1:21" ht="87">
      <c r="A85" s="10">
        <v>86</v>
      </c>
      <c r="B85" s="10"/>
      <c r="C85" s="11" t="s">
        <v>21</v>
      </c>
      <c r="D85" s="12" t="s">
        <v>22</v>
      </c>
      <c r="E85" s="13" t="s">
        <v>23</v>
      </c>
      <c r="F85" s="55" t="s">
        <v>24</v>
      </c>
      <c r="G85" s="14" t="s">
        <v>164</v>
      </c>
      <c r="H85" s="15" t="s">
        <v>26</v>
      </c>
      <c r="I85" s="13" t="s">
        <v>27</v>
      </c>
      <c r="J85" s="13" t="s">
        <v>27</v>
      </c>
      <c r="K85" s="13" t="s">
        <v>27</v>
      </c>
      <c r="L85" s="13" t="s">
        <v>28</v>
      </c>
      <c r="M85" s="52" t="str" cm="1">
        <f t="array" ref="M85">_xlfn.IFS(COUNTIF(I85:L85,"Fail")&gt;0, "Fail", COUNTIF(I85:L85,"Pending")&gt;0, "Pending", COUNTIF(I85:L85,"Pass")&gt;0, "Pass", TRUE, "")</f>
        <v>Pass</v>
      </c>
      <c r="N85" s="13" t="s">
        <v>38</v>
      </c>
      <c r="O85" s="13"/>
      <c r="P85" s="44" t="s">
        <v>165</v>
      </c>
      <c r="Q85" s="61" t="s">
        <v>29</v>
      </c>
      <c r="R85" s="68" t="s">
        <v>31</v>
      </c>
      <c r="S85" s="77" t="s">
        <v>32</v>
      </c>
      <c r="T85" s="134" t="s">
        <v>31</v>
      </c>
      <c r="U85" s="128" t="s">
        <v>166</v>
      </c>
    </row>
    <row r="86" spans="1:21">
      <c r="A86" s="10">
        <v>87</v>
      </c>
      <c r="B86" s="10"/>
      <c r="C86" s="11" t="s">
        <v>21</v>
      </c>
      <c r="D86" s="12" t="s">
        <v>22</v>
      </c>
      <c r="E86" s="13" t="s">
        <v>23</v>
      </c>
      <c r="F86" s="13"/>
      <c r="G86" s="16" t="s">
        <v>167</v>
      </c>
      <c r="H86" s="15" t="s">
        <v>34</v>
      </c>
      <c r="I86" s="13" t="s">
        <v>28</v>
      </c>
      <c r="J86" s="13" t="s">
        <v>28</v>
      </c>
      <c r="K86" s="13" t="s">
        <v>28</v>
      </c>
      <c r="L86" s="13" t="s">
        <v>27</v>
      </c>
      <c r="M86" s="52" t="str" cm="1">
        <f t="array" ref="M86">_xlfn.IFS(COUNTIF(I86:L86,"Fail")&gt;0, "Fail", COUNTIF(I86:L86,"Pending")&gt;0, "Pending", COUNTIF(I86:L86,"Pass")&gt;0, "Pass", TRUE, "")</f>
        <v>Pass</v>
      </c>
      <c r="N86" s="13"/>
      <c r="O86" s="13"/>
      <c r="P86" s="44"/>
      <c r="Q86" s="13"/>
      <c r="R86" s="52"/>
      <c r="S86" s="2"/>
      <c r="T86" s="69"/>
    </row>
    <row r="87" spans="1:21">
      <c r="A87" s="10">
        <v>88</v>
      </c>
      <c r="B87" s="10"/>
      <c r="C87" s="11" t="s">
        <v>21</v>
      </c>
      <c r="D87" s="12" t="s">
        <v>22</v>
      </c>
      <c r="E87" s="13" t="s">
        <v>23</v>
      </c>
      <c r="F87" s="13" t="s">
        <v>24</v>
      </c>
      <c r="G87" s="16" t="s">
        <v>168</v>
      </c>
      <c r="H87" s="15" t="s">
        <v>34</v>
      </c>
      <c r="I87" s="13" t="s">
        <v>27</v>
      </c>
      <c r="J87" s="13" t="s">
        <v>27</v>
      </c>
      <c r="K87" s="13" t="s">
        <v>27</v>
      </c>
      <c r="L87" s="13" t="s">
        <v>28</v>
      </c>
      <c r="M87" s="52" t="str" cm="1">
        <f t="array" ref="M87">_xlfn.IFS(COUNTIF(I87:L87,"Fail")&gt;0, "Fail", COUNTIF(I87:L87,"Pending")&gt;0, "Pending", COUNTIF(I87:L87,"Pass")&gt;0, "Pass", TRUE, "")</f>
        <v>Pass</v>
      </c>
      <c r="N87" s="13"/>
      <c r="O87" s="13"/>
      <c r="P87" s="44"/>
      <c r="Q87" s="13"/>
      <c r="R87" s="52"/>
      <c r="S87" s="2"/>
      <c r="T87" s="69"/>
    </row>
    <row r="88" spans="1:21">
      <c r="A88" s="10">
        <v>91</v>
      </c>
      <c r="B88" s="10"/>
      <c r="C88" s="11" t="s">
        <v>21</v>
      </c>
      <c r="D88" s="12" t="s">
        <v>22</v>
      </c>
      <c r="E88" s="13" t="s">
        <v>23</v>
      </c>
      <c r="F88" s="13" t="s">
        <v>24</v>
      </c>
      <c r="G88" s="16" t="s">
        <v>169</v>
      </c>
      <c r="H88" s="15" t="s">
        <v>34</v>
      </c>
      <c r="I88" s="13" t="s">
        <v>27</v>
      </c>
      <c r="J88" s="13" t="s">
        <v>27</v>
      </c>
      <c r="K88" s="13" t="s">
        <v>27</v>
      </c>
      <c r="L88" s="13" t="s">
        <v>28</v>
      </c>
      <c r="M88" s="52" t="str" cm="1">
        <f t="array" ref="M88">_xlfn.IFS(COUNTIF(I88:L88,"Fail")&gt;0, "Fail", COUNTIF(I88:L88,"Pending")&gt;0, "Pending", COUNTIF(I88:L88,"Pass")&gt;0, "Pass", TRUE, "")</f>
        <v>Pass</v>
      </c>
      <c r="N88" s="13"/>
      <c r="O88" s="13"/>
      <c r="P88" s="44"/>
      <c r="Q88" s="13"/>
      <c r="R88" s="52"/>
      <c r="S88" s="2"/>
      <c r="T88" s="69"/>
    </row>
    <row r="89" spans="1:21" ht="60.75">
      <c r="A89" s="10">
        <v>92</v>
      </c>
      <c r="B89" s="10"/>
      <c r="C89" s="11" t="s">
        <v>21</v>
      </c>
      <c r="D89" s="12" t="s">
        <v>22</v>
      </c>
      <c r="E89" s="13" t="s">
        <v>23</v>
      </c>
      <c r="F89" s="13" t="s">
        <v>24</v>
      </c>
      <c r="G89" s="14" t="s">
        <v>170</v>
      </c>
      <c r="H89" s="15" t="s">
        <v>26</v>
      </c>
      <c r="I89" s="13" t="s">
        <v>26</v>
      </c>
      <c r="J89" s="13" t="s">
        <v>26</v>
      </c>
      <c r="K89" s="13" t="s">
        <v>26</v>
      </c>
      <c r="L89" s="13" t="s">
        <v>28</v>
      </c>
      <c r="M89" s="52" t="str" cm="1">
        <f t="array" ref="M89">_xlfn.IFS(COUNTIF(I89:L89,"Fail")&gt;0, "Fail", COUNTIF(I89:L89,"Pending")&gt;0, "Pending", COUNTIF(I89:L89,"Pass")&gt;0, "Pass", TRUE, "")</f>
        <v>Fail</v>
      </c>
      <c r="N89" s="13" t="s">
        <v>29</v>
      </c>
      <c r="O89" s="13" t="s">
        <v>171</v>
      </c>
      <c r="P89" s="44" t="s">
        <v>172</v>
      </c>
      <c r="Q89" s="61" t="s">
        <v>29</v>
      </c>
      <c r="R89" s="52" t="s">
        <v>137</v>
      </c>
      <c r="S89" s="81" t="s">
        <v>151</v>
      </c>
      <c r="T89" s="148" t="s">
        <v>173</v>
      </c>
    </row>
    <row r="90" spans="1:21" ht="72.75">
      <c r="A90" s="10">
        <v>93</v>
      </c>
      <c r="B90" s="10"/>
      <c r="C90" s="11" t="s">
        <v>21</v>
      </c>
      <c r="D90" s="12" t="s">
        <v>22</v>
      </c>
      <c r="E90" s="13" t="s">
        <v>23</v>
      </c>
      <c r="F90" s="13" t="s">
        <v>24</v>
      </c>
      <c r="G90" s="14" t="s">
        <v>174</v>
      </c>
      <c r="H90" s="15" t="s">
        <v>26</v>
      </c>
      <c r="I90" s="13" t="s">
        <v>27</v>
      </c>
      <c r="J90" s="13" t="s">
        <v>27</v>
      </c>
      <c r="K90" s="13" t="s">
        <v>27</v>
      </c>
      <c r="L90" s="13" t="s">
        <v>28</v>
      </c>
      <c r="M90" s="52" t="str" cm="1">
        <f t="array" ref="M90">_xlfn.IFS(COUNTIF(I90:L90,"Fail")&gt;0, "Fail", COUNTIF(I90:L90,"Pending")&gt;0, "Pending", COUNTIF(I90:L90,"Pass")&gt;0, "Pass", TRUE, "")</f>
        <v>Pass</v>
      </c>
      <c r="N90" s="13" t="s">
        <v>38</v>
      </c>
      <c r="O90" s="13"/>
      <c r="P90" s="44" t="s">
        <v>175</v>
      </c>
      <c r="Q90" s="61" t="s">
        <v>29</v>
      </c>
      <c r="R90" s="68" t="s">
        <v>32</v>
      </c>
      <c r="S90" s="2" t="s">
        <v>32</v>
      </c>
      <c r="T90" s="134" t="s">
        <v>32</v>
      </c>
      <c r="U90" s="105" t="s">
        <v>32</v>
      </c>
    </row>
    <row r="91" spans="1:21" ht="72.75">
      <c r="A91" s="10">
        <v>94</v>
      </c>
      <c r="B91" s="10"/>
      <c r="C91" s="11" t="s">
        <v>21</v>
      </c>
      <c r="D91" s="12" t="s">
        <v>22</v>
      </c>
      <c r="E91" s="13" t="s">
        <v>23</v>
      </c>
      <c r="F91" s="13" t="s">
        <v>24</v>
      </c>
      <c r="G91" s="14" t="s">
        <v>176</v>
      </c>
      <c r="H91" s="15" t="s">
        <v>26</v>
      </c>
      <c r="I91" s="13" t="s">
        <v>27</v>
      </c>
      <c r="J91" s="13" t="s">
        <v>28</v>
      </c>
      <c r="K91" s="13" t="s">
        <v>28</v>
      </c>
      <c r="L91" s="13" t="s">
        <v>28</v>
      </c>
      <c r="M91" s="52" t="str" cm="1">
        <f t="array" ref="M91">_xlfn.IFS(COUNTIF(I91:L91,"Fail")&gt;0, "Fail", COUNTIF(I91:L91,"Pending")&gt;0, "Pending", COUNTIF(I91:L91,"Pass")&gt;0, "Pass", TRUE, "")</f>
        <v>Pass</v>
      </c>
      <c r="N91" s="13" t="s">
        <v>38</v>
      </c>
      <c r="O91" s="13"/>
      <c r="P91" s="44" t="s">
        <v>177</v>
      </c>
      <c r="Q91" s="61" t="s">
        <v>29</v>
      </c>
      <c r="R91" s="68" t="s">
        <v>31</v>
      </c>
      <c r="S91" s="77" t="s">
        <v>32</v>
      </c>
      <c r="T91" s="134" t="s">
        <v>31</v>
      </c>
      <c r="U91" s="105" t="s">
        <v>32</v>
      </c>
    </row>
    <row r="92" spans="1:21">
      <c r="A92" s="10">
        <v>95</v>
      </c>
      <c r="B92" s="10"/>
      <c r="C92" s="11" t="s">
        <v>21</v>
      </c>
      <c r="D92" s="12" t="s">
        <v>22</v>
      </c>
      <c r="E92" s="13" t="s">
        <v>23</v>
      </c>
      <c r="F92" s="13" t="s">
        <v>24</v>
      </c>
      <c r="G92" s="16" t="s">
        <v>178</v>
      </c>
      <c r="H92" s="15" t="s">
        <v>34</v>
      </c>
      <c r="I92" s="13" t="s">
        <v>27</v>
      </c>
      <c r="J92" s="13" t="s">
        <v>27</v>
      </c>
      <c r="K92" s="13" t="s">
        <v>27</v>
      </c>
      <c r="L92" s="13" t="s">
        <v>28</v>
      </c>
      <c r="M92" s="52" t="str" cm="1">
        <f t="array" ref="M92">_xlfn.IFS(COUNTIF(I92:L92,"Fail")&gt;0, "Fail", COUNTIF(I92:L92,"Pending")&gt;0, "Pending", COUNTIF(I92:L92,"Pass")&gt;0, "Pass", TRUE, "")</f>
        <v>Pass</v>
      </c>
      <c r="N92" s="13"/>
      <c r="O92" s="13"/>
      <c r="P92" s="44"/>
      <c r="Q92" s="13"/>
      <c r="R92" s="52"/>
      <c r="S92" s="2"/>
      <c r="T92" s="69"/>
    </row>
    <row r="93" spans="1:21">
      <c r="A93" s="10">
        <v>1</v>
      </c>
      <c r="B93" s="10"/>
      <c r="C93" s="11" t="s">
        <v>21</v>
      </c>
      <c r="D93" s="12" t="s">
        <v>179</v>
      </c>
      <c r="E93" s="13" t="s">
        <v>180</v>
      </c>
      <c r="F93" s="13" t="s">
        <v>24</v>
      </c>
      <c r="G93" s="17" t="s">
        <v>181</v>
      </c>
      <c r="H93" s="15" t="s">
        <v>34</v>
      </c>
      <c r="I93" s="13" t="s">
        <v>27</v>
      </c>
      <c r="J93" s="13" t="s">
        <v>27</v>
      </c>
      <c r="K93" s="13" t="s">
        <v>27</v>
      </c>
      <c r="L93" s="13" t="s">
        <v>28</v>
      </c>
      <c r="M93" s="52" t="str" cm="1">
        <f t="array" ref="M93">_xlfn.IFS(COUNTIF(I93:L93,"Fail")&gt;0, "Fail", COUNTIF(I93:L93,"Pending")&gt;0, "Pending", COUNTIF(I93:L93,"Pass")&gt;0, "Pass", TRUE, "")</f>
        <v>Pass</v>
      </c>
      <c r="N93" s="13"/>
      <c r="O93" s="13"/>
      <c r="P93" s="44"/>
      <c r="Q93" s="13"/>
      <c r="R93" s="52"/>
      <c r="S93" s="2"/>
      <c r="T93" s="69"/>
    </row>
    <row r="94" spans="1:21" ht="101.25">
      <c r="A94" s="10">
        <v>3</v>
      </c>
      <c r="B94" s="10"/>
      <c r="C94" s="11" t="s">
        <v>21</v>
      </c>
      <c r="D94" s="12" t="s">
        <v>179</v>
      </c>
      <c r="E94" s="13" t="s">
        <v>180</v>
      </c>
      <c r="F94" s="13" t="s">
        <v>24</v>
      </c>
      <c r="G94" s="18" t="s">
        <v>182</v>
      </c>
      <c r="H94" s="19" t="s">
        <v>26</v>
      </c>
      <c r="I94" s="13" t="s">
        <v>27</v>
      </c>
      <c r="J94" s="13" t="s">
        <v>27</v>
      </c>
      <c r="K94" s="13" t="s">
        <v>27</v>
      </c>
      <c r="L94" s="13" t="s">
        <v>28</v>
      </c>
      <c r="M94" s="52" t="str" cm="1">
        <f t="array" ref="M94">_xlfn.IFS(COUNTIF(I94:L94,"Fail")&gt;0, "Fail", COUNTIF(I94:L94,"Pending")&gt;0, "Pending", COUNTIF(I94:L94,"Pass")&gt;0, "Pass", TRUE, "")</f>
        <v>Pass</v>
      </c>
      <c r="N94" s="13" t="s">
        <v>38</v>
      </c>
      <c r="O94" s="13"/>
      <c r="P94" s="44" t="s">
        <v>183</v>
      </c>
      <c r="Q94" s="61" t="s">
        <v>29</v>
      </c>
      <c r="R94" s="68" t="s">
        <v>31</v>
      </c>
      <c r="S94" s="78" t="s">
        <v>32</v>
      </c>
      <c r="T94" s="134" t="s">
        <v>31</v>
      </c>
      <c r="U94" s="105" t="s">
        <v>32</v>
      </c>
    </row>
    <row r="95" spans="1:21" ht="72.75">
      <c r="A95" s="10">
        <v>5</v>
      </c>
      <c r="B95" s="10"/>
      <c r="C95" s="11" t="s">
        <v>21</v>
      </c>
      <c r="D95" s="12" t="s">
        <v>179</v>
      </c>
      <c r="E95" s="13" t="s">
        <v>180</v>
      </c>
      <c r="F95" s="13" t="s">
        <v>24</v>
      </c>
      <c r="G95" s="18" t="s">
        <v>184</v>
      </c>
      <c r="H95" s="19" t="s">
        <v>26</v>
      </c>
      <c r="I95" s="13" t="s">
        <v>26</v>
      </c>
      <c r="J95" s="13" t="s">
        <v>26</v>
      </c>
      <c r="K95" s="13" t="s">
        <v>26</v>
      </c>
      <c r="L95" s="13" t="s">
        <v>28</v>
      </c>
      <c r="M95" s="52" t="str" cm="1">
        <f t="array" ref="M95">_xlfn.IFS(COUNTIF(I95:L95,"Fail")&gt;0, "Fail", COUNTIF(I95:L95,"Pending")&gt;0, "Pending", COUNTIF(I95:L95,"Pass")&gt;0, "Pass", TRUE, "")</f>
        <v>Fail</v>
      </c>
      <c r="N95" s="13" t="s">
        <v>29</v>
      </c>
      <c r="O95" s="13" t="s">
        <v>171</v>
      </c>
      <c r="P95" s="44" t="s">
        <v>185</v>
      </c>
      <c r="Q95" s="61" t="s">
        <v>29</v>
      </c>
      <c r="R95" s="52" t="s">
        <v>137</v>
      </c>
      <c r="S95" s="81" t="s">
        <v>186</v>
      </c>
      <c r="T95" s="166" t="s">
        <v>187</v>
      </c>
    </row>
    <row r="96" spans="1:21" ht="87">
      <c r="A96" s="10">
        <v>6</v>
      </c>
      <c r="B96" s="10"/>
      <c r="C96" s="11" t="s">
        <v>21</v>
      </c>
      <c r="D96" s="12" t="s">
        <v>179</v>
      </c>
      <c r="E96" s="13" t="s">
        <v>180</v>
      </c>
      <c r="F96" s="55" t="s">
        <v>24</v>
      </c>
      <c r="G96" s="20" t="s">
        <v>188</v>
      </c>
      <c r="H96" s="21" t="s">
        <v>26</v>
      </c>
      <c r="I96" s="13" t="s">
        <v>27</v>
      </c>
      <c r="J96" s="13" t="s">
        <v>27</v>
      </c>
      <c r="K96" s="13" t="s">
        <v>27</v>
      </c>
      <c r="L96" s="13" t="s">
        <v>28</v>
      </c>
      <c r="M96" s="52" t="str" cm="1">
        <f t="array" ref="M96">_xlfn.IFS(COUNTIF(I96:L96,"Fail")&gt;0, "Fail", COUNTIF(I96:L96,"Pending")&gt;0, "Pending", COUNTIF(I96:L96,"Pass")&gt;0, "Pass", TRUE, "")</f>
        <v>Pass</v>
      </c>
      <c r="N96" s="13" t="s">
        <v>38</v>
      </c>
      <c r="O96" s="13"/>
      <c r="P96" s="44" t="s">
        <v>189</v>
      </c>
      <c r="Q96" s="61" t="s">
        <v>29</v>
      </c>
      <c r="R96" s="68" t="s">
        <v>31</v>
      </c>
      <c r="S96" s="84" t="s">
        <v>32</v>
      </c>
      <c r="T96" s="134" t="s">
        <v>31</v>
      </c>
      <c r="U96" s="105" t="s">
        <v>32</v>
      </c>
    </row>
    <row r="97" spans="1:21" ht="57.75">
      <c r="A97" s="10">
        <v>8</v>
      </c>
      <c r="B97" s="10"/>
      <c r="C97" s="11" t="s">
        <v>21</v>
      </c>
      <c r="D97" s="12" t="s">
        <v>179</v>
      </c>
      <c r="E97" s="13" t="s">
        <v>180</v>
      </c>
      <c r="F97" s="55" t="s">
        <v>24</v>
      </c>
      <c r="G97" s="115" t="s">
        <v>42</v>
      </c>
      <c r="H97" s="23" t="s">
        <v>27</v>
      </c>
      <c r="I97" s="13" t="s">
        <v>27</v>
      </c>
      <c r="J97" s="13" t="s">
        <v>27</v>
      </c>
      <c r="K97" s="13" t="s">
        <v>27</v>
      </c>
      <c r="L97" s="13" t="s">
        <v>28</v>
      </c>
      <c r="M97" s="52" t="str" cm="1">
        <f t="array" ref="M97">_xlfn.IFS(COUNTIF(I97:L97,"Fail")&gt;0, "Fail", COUNTIF(I97:L97,"Pending")&gt;0, "Pending", COUNTIF(I97:L97,"Pass")&gt;0, "Pass", TRUE, "")</f>
        <v>Pass</v>
      </c>
      <c r="N97" s="13" t="s">
        <v>38</v>
      </c>
      <c r="O97" s="13"/>
      <c r="P97" s="44" t="s">
        <v>190</v>
      </c>
      <c r="Q97" s="61" t="s">
        <v>29</v>
      </c>
      <c r="R97" s="68" t="s">
        <v>31</v>
      </c>
      <c r="S97" s="77" t="s">
        <v>32</v>
      </c>
      <c r="T97" s="134" t="s">
        <v>31</v>
      </c>
      <c r="U97" s="105" t="s">
        <v>32</v>
      </c>
    </row>
    <row r="98" spans="1:21" ht="15.75">
      <c r="A98" s="10">
        <v>9</v>
      </c>
      <c r="B98" s="10"/>
      <c r="C98" s="11" t="s">
        <v>21</v>
      </c>
      <c r="D98" s="12" t="s">
        <v>179</v>
      </c>
      <c r="E98" s="13" t="s">
        <v>180</v>
      </c>
      <c r="F98" s="13" t="s">
        <v>24</v>
      </c>
      <c r="G98" s="22" t="s">
        <v>191</v>
      </c>
      <c r="H98" s="15" t="s">
        <v>34</v>
      </c>
      <c r="I98" s="13" t="s">
        <v>27</v>
      </c>
      <c r="J98" s="13" t="s">
        <v>27</v>
      </c>
      <c r="K98" s="13" t="s">
        <v>27</v>
      </c>
      <c r="L98" s="13" t="s">
        <v>28</v>
      </c>
      <c r="M98" s="52" t="str" cm="1">
        <f t="array" ref="M98">_xlfn.IFS(COUNTIF(I98:L98,"Fail")&gt;0, "Fail", COUNTIF(I98:L98,"Pending")&gt;0, "Pending", COUNTIF(I98:L98,"Pass")&gt;0, "Pass", TRUE, "")</f>
        <v>Pass</v>
      </c>
      <c r="N98" s="13"/>
      <c r="O98" s="13"/>
      <c r="P98" s="44"/>
      <c r="Q98" s="13"/>
      <c r="R98" s="52"/>
      <c r="S98" s="2"/>
      <c r="T98" s="69"/>
    </row>
    <row r="99" spans="1:21" ht="15.75">
      <c r="A99" s="10">
        <v>10</v>
      </c>
      <c r="B99" s="10"/>
      <c r="C99" s="11" t="s">
        <v>21</v>
      </c>
      <c r="D99" s="12" t="s">
        <v>179</v>
      </c>
      <c r="E99" s="13" t="s">
        <v>180</v>
      </c>
      <c r="F99" s="13" t="s">
        <v>24</v>
      </c>
      <c r="G99" s="22" t="s">
        <v>192</v>
      </c>
      <c r="H99" s="15" t="s">
        <v>34</v>
      </c>
      <c r="I99" s="13" t="s">
        <v>27</v>
      </c>
      <c r="J99" s="13" t="s">
        <v>27</v>
      </c>
      <c r="K99" s="13" t="s">
        <v>27</v>
      </c>
      <c r="L99" s="13" t="s">
        <v>28</v>
      </c>
      <c r="M99" s="52" t="str" cm="1">
        <f t="array" ref="M99">_xlfn.IFS(COUNTIF(I99:L99,"Fail")&gt;0, "Fail", COUNTIF(I99:L99,"Pending")&gt;0, "Pending", COUNTIF(I99:L99,"Pass")&gt;0, "Pass", TRUE, "")</f>
        <v>Pass</v>
      </c>
      <c r="N99" s="13"/>
      <c r="O99" s="13"/>
      <c r="P99" s="44"/>
      <c r="Q99" s="13"/>
      <c r="R99" s="52"/>
      <c r="S99" s="2"/>
      <c r="T99" s="69"/>
    </row>
    <row r="100" spans="1:21" ht="45.75">
      <c r="A100" s="10">
        <v>11</v>
      </c>
      <c r="B100" s="10"/>
      <c r="C100" s="11" t="s">
        <v>21</v>
      </c>
      <c r="D100" s="12" t="s">
        <v>179</v>
      </c>
      <c r="E100" s="13" t="s">
        <v>180</v>
      </c>
      <c r="F100" s="13" t="s">
        <v>24</v>
      </c>
      <c r="G100" s="20" t="s">
        <v>193</v>
      </c>
      <c r="H100" s="21" t="s">
        <v>26</v>
      </c>
      <c r="I100" s="13" t="s">
        <v>27</v>
      </c>
      <c r="J100" s="13" t="s">
        <v>27</v>
      </c>
      <c r="K100" s="13" t="s">
        <v>27</v>
      </c>
      <c r="L100" s="13" t="s">
        <v>28</v>
      </c>
      <c r="M100" s="52" t="str" cm="1">
        <f t="array" ref="M100">_xlfn.IFS(COUNTIF(I100:L100,"Fail")&gt;0, "Fail", COUNTIF(I100:L100,"Pending")&gt;0, "Pending", COUNTIF(I100:L100,"Pass")&gt;0, "Pass", TRUE, "")</f>
        <v>Pass</v>
      </c>
      <c r="N100" s="13" t="s">
        <v>38</v>
      </c>
      <c r="O100" s="13"/>
      <c r="P100" s="44" t="s">
        <v>194</v>
      </c>
      <c r="Q100" s="61" t="s">
        <v>29</v>
      </c>
      <c r="R100" s="68" t="s">
        <v>32</v>
      </c>
      <c r="S100" s="77" t="s">
        <v>32</v>
      </c>
      <c r="T100" s="134" t="s">
        <v>32</v>
      </c>
      <c r="U100" s="105" t="s">
        <v>32</v>
      </c>
    </row>
    <row r="101" spans="1:21" ht="57.75">
      <c r="A101" s="10">
        <v>12</v>
      </c>
      <c r="B101" s="10"/>
      <c r="C101" s="11" t="s">
        <v>21</v>
      </c>
      <c r="D101" s="12" t="s">
        <v>179</v>
      </c>
      <c r="E101" s="13" t="s">
        <v>180</v>
      </c>
      <c r="F101" s="55" t="s">
        <v>24</v>
      </c>
      <c r="G101" s="115" t="s">
        <v>195</v>
      </c>
      <c r="H101" s="23" t="s">
        <v>26</v>
      </c>
      <c r="I101" s="13" t="s">
        <v>27</v>
      </c>
      <c r="J101" s="13" t="s">
        <v>27</v>
      </c>
      <c r="K101" s="13" t="s">
        <v>27</v>
      </c>
      <c r="L101" s="13" t="s">
        <v>28</v>
      </c>
      <c r="M101" s="52" t="str" cm="1">
        <f t="array" ref="M101">_xlfn.IFS(COUNTIF(I101:L101,"Fail")&gt;0, "Fail", COUNTIF(I101:L101,"Pending")&gt;0, "Pending", COUNTIF(I101:L101,"Pass")&gt;0, "Pass", TRUE, "")</f>
        <v>Pass</v>
      </c>
      <c r="N101" s="13" t="s">
        <v>38</v>
      </c>
      <c r="O101" s="13"/>
      <c r="P101" s="44" t="s">
        <v>196</v>
      </c>
      <c r="Q101" s="61" t="s">
        <v>29</v>
      </c>
      <c r="R101" s="68" t="s">
        <v>31</v>
      </c>
      <c r="S101" s="84" t="s">
        <v>32</v>
      </c>
      <c r="T101" s="134" t="s">
        <v>31</v>
      </c>
      <c r="U101" s="105" t="s">
        <v>32</v>
      </c>
    </row>
    <row r="102" spans="1:21" ht="43.5">
      <c r="A102" s="10">
        <v>13</v>
      </c>
      <c r="B102" s="10"/>
      <c r="C102" s="11" t="s">
        <v>21</v>
      </c>
      <c r="D102" s="12" t="s">
        <v>179</v>
      </c>
      <c r="E102" s="13" t="s">
        <v>180</v>
      </c>
      <c r="F102" s="55" t="s">
        <v>24</v>
      </c>
      <c r="G102" s="115" t="s">
        <v>197</v>
      </c>
      <c r="H102" s="23" t="s">
        <v>26</v>
      </c>
      <c r="I102" s="13" t="s">
        <v>27</v>
      </c>
      <c r="J102" s="13" t="s">
        <v>27</v>
      </c>
      <c r="K102" s="13" t="s">
        <v>27</v>
      </c>
      <c r="L102" s="13" t="s">
        <v>28</v>
      </c>
      <c r="M102" s="52" t="str" cm="1">
        <f t="array" ref="M102">_xlfn.IFS(COUNTIF(I102:L102,"Fail")&gt;0, "Fail", COUNTIF(I102:L102,"Pending")&gt;0, "Pending", COUNTIF(I102:L102,"Pass")&gt;0, "Pass", TRUE, "")</f>
        <v>Pass</v>
      </c>
      <c r="N102" s="13" t="s">
        <v>38</v>
      </c>
      <c r="O102" s="13"/>
      <c r="P102" s="44" t="s">
        <v>198</v>
      </c>
      <c r="Q102" s="61" t="s">
        <v>29</v>
      </c>
      <c r="R102" s="68" t="s">
        <v>31</v>
      </c>
      <c r="S102" s="77" t="s">
        <v>32</v>
      </c>
      <c r="T102" s="134" t="s">
        <v>31</v>
      </c>
      <c r="U102" s="105" t="s">
        <v>32</v>
      </c>
    </row>
    <row r="103" spans="1:21" ht="101.25">
      <c r="A103" s="10">
        <v>14</v>
      </c>
      <c r="B103" s="10"/>
      <c r="C103" s="11" t="s">
        <v>21</v>
      </c>
      <c r="D103" s="12" t="s">
        <v>179</v>
      </c>
      <c r="E103" s="13" t="s">
        <v>180</v>
      </c>
      <c r="F103" s="13" t="s">
        <v>24</v>
      </c>
      <c r="G103" s="24" t="s">
        <v>199</v>
      </c>
      <c r="H103" s="25" t="s">
        <v>26</v>
      </c>
      <c r="I103" s="13" t="s">
        <v>27</v>
      </c>
      <c r="J103" s="13" t="s">
        <v>27</v>
      </c>
      <c r="K103" s="13" t="s">
        <v>27</v>
      </c>
      <c r="L103" s="13" t="s">
        <v>28</v>
      </c>
      <c r="M103" s="52" t="str" cm="1">
        <f t="array" ref="M103">_xlfn.IFS(COUNTIF(I103:L103,"Fail")&gt;0, "Fail", COUNTIF(I103:L103,"Pending")&gt;0, "Pending", COUNTIF(I103:L103,"Pass")&gt;0, "Pass", TRUE, "")</f>
        <v>Pass</v>
      </c>
      <c r="N103" s="13" t="s">
        <v>38</v>
      </c>
      <c r="O103" s="13"/>
      <c r="P103" s="44" t="s">
        <v>200</v>
      </c>
      <c r="Q103" s="61" t="s">
        <v>29</v>
      </c>
      <c r="R103" s="68" t="s">
        <v>31</v>
      </c>
      <c r="S103" s="78" t="s">
        <v>32</v>
      </c>
      <c r="T103" s="134" t="s">
        <v>31</v>
      </c>
      <c r="U103" s="131" t="s">
        <v>32</v>
      </c>
    </row>
    <row r="104" spans="1:21" ht="57.75">
      <c r="A104" s="10">
        <v>15</v>
      </c>
      <c r="B104" s="10"/>
      <c r="C104" s="11" t="s">
        <v>21</v>
      </c>
      <c r="D104" s="12" t="s">
        <v>179</v>
      </c>
      <c r="E104" s="13" t="s">
        <v>180</v>
      </c>
      <c r="F104" s="13" t="s">
        <v>24</v>
      </c>
      <c r="G104" s="30" t="s">
        <v>201</v>
      </c>
      <c r="H104" s="26" t="s">
        <v>26</v>
      </c>
      <c r="I104" s="13" t="s">
        <v>27</v>
      </c>
      <c r="J104" s="13" t="s">
        <v>27</v>
      </c>
      <c r="K104" s="13" t="s">
        <v>27</v>
      </c>
      <c r="L104" s="13" t="s">
        <v>28</v>
      </c>
      <c r="M104" s="52" t="str" cm="1">
        <f t="array" ref="M104">_xlfn.IFS(COUNTIF(I104:L104,"Fail")&gt;0, "Fail", COUNTIF(I104:L104,"Pending")&gt;0, "Pending", COUNTIF(I104:L104,"Pass")&gt;0, "Pass", TRUE, "")</f>
        <v>Pass</v>
      </c>
      <c r="N104" s="13" t="s">
        <v>38</v>
      </c>
      <c r="O104" s="13"/>
      <c r="P104" s="44" t="s">
        <v>202</v>
      </c>
      <c r="Q104" s="61" t="s">
        <v>29</v>
      </c>
      <c r="R104" s="68" t="s">
        <v>32</v>
      </c>
      <c r="S104" s="77" t="s">
        <v>32</v>
      </c>
      <c r="T104" s="134" t="s">
        <v>32</v>
      </c>
      <c r="U104" s="105" t="s">
        <v>32</v>
      </c>
    </row>
    <row r="105" spans="1:21">
      <c r="A105" s="10">
        <v>16</v>
      </c>
      <c r="B105" s="10"/>
      <c r="C105" s="11" t="s">
        <v>21</v>
      </c>
      <c r="D105" s="12" t="s">
        <v>179</v>
      </c>
      <c r="E105" s="13" t="s">
        <v>180</v>
      </c>
      <c r="F105" s="13"/>
      <c r="G105" s="12" t="s">
        <v>203</v>
      </c>
      <c r="H105" s="15" t="s">
        <v>34</v>
      </c>
      <c r="I105" s="13" t="s">
        <v>28</v>
      </c>
      <c r="J105" s="13" t="s">
        <v>28</v>
      </c>
      <c r="K105" s="13" t="s">
        <v>28</v>
      </c>
      <c r="L105" s="13" t="s">
        <v>27</v>
      </c>
      <c r="M105" s="52" t="str" cm="1">
        <f t="array" ref="M105">_xlfn.IFS(COUNTIF(I105:L105,"Fail")&gt;0, "Fail", COUNTIF(I105:L105,"Pending")&gt;0, "Pending", COUNTIF(I105:L105,"Pass")&gt;0, "Pass", TRUE, "")</f>
        <v>Pass</v>
      </c>
      <c r="N105" s="13"/>
      <c r="O105" s="13"/>
      <c r="P105" s="44"/>
      <c r="Q105" s="13"/>
      <c r="R105" s="52"/>
      <c r="S105" s="2"/>
      <c r="T105" s="69"/>
    </row>
    <row r="106" spans="1:21" ht="159">
      <c r="A106" s="10">
        <v>17</v>
      </c>
      <c r="B106" s="10"/>
      <c r="C106" s="11" t="s">
        <v>21</v>
      </c>
      <c r="D106" s="12" t="s">
        <v>179</v>
      </c>
      <c r="E106" s="13" t="s">
        <v>180</v>
      </c>
      <c r="F106" s="13" t="s">
        <v>24</v>
      </c>
      <c r="G106" s="27" t="s">
        <v>204</v>
      </c>
      <c r="H106" s="25" t="s">
        <v>26</v>
      </c>
      <c r="I106" s="13" t="s">
        <v>27</v>
      </c>
      <c r="J106" s="13" t="s">
        <v>27</v>
      </c>
      <c r="K106" s="13" t="s">
        <v>27</v>
      </c>
      <c r="L106" s="13" t="s">
        <v>28</v>
      </c>
      <c r="M106" s="52" t="str" cm="1">
        <f t="array" ref="M106">_xlfn.IFS(COUNTIF(I106:L106,"Fail")&gt;0, "Fail", COUNTIF(I106:L106,"Pending")&gt;0, "Pending", COUNTIF(I106:L106,"Pass")&gt;0, "Pass", TRUE, "")</f>
        <v>Pass</v>
      </c>
      <c r="N106" s="13" t="s">
        <v>38</v>
      </c>
      <c r="O106" s="13"/>
      <c r="P106" s="44" t="s">
        <v>205</v>
      </c>
      <c r="Q106" s="61" t="s">
        <v>29</v>
      </c>
      <c r="R106" s="68" t="s">
        <v>31</v>
      </c>
      <c r="S106" s="77" t="s">
        <v>32</v>
      </c>
      <c r="T106" s="134" t="s">
        <v>31</v>
      </c>
      <c r="U106" s="132" t="s">
        <v>32</v>
      </c>
    </row>
    <row r="107" spans="1:21" ht="43.5">
      <c r="A107" s="10">
        <v>19</v>
      </c>
      <c r="B107" s="10"/>
      <c r="C107" s="11" t="s">
        <v>21</v>
      </c>
      <c r="D107" s="12" t="s">
        <v>179</v>
      </c>
      <c r="E107" s="13" t="s">
        <v>180</v>
      </c>
      <c r="F107" s="13" t="s">
        <v>24</v>
      </c>
      <c r="G107" s="28" t="s">
        <v>206</v>
      </c>
      <c r="H107" s="15" t="s">
        <v>34</v>
      </c>
      <c r="I107" s="13" t="s">
        <v>27</v>
      </c>
      <c r="J107" s="13" t="s">
        <v>27</v>
      </c>
      <c r="K107" s="13" t="s">
        <v>27</v>
      </c>
      <c r="L107" s="13" t="s">
        <v>28</v>
      </c>
      <c r="M107" s="52" t="str" cm="1">
        <f t="array" ref="M107">_xlfn.IFS(COUNTIF(I107:L107,"Fail")&gt;0, "Fail", COUNTIF(I107:L107,"Pending")&gt;0, "Pending", COUNTIF(I107:L107,"Pass")&gt;0, "Pass", TRUE, "")</f>
        <v>Pass</v>
      </c>
      <c r="N107" s="13"/>
      <c r="O107" s="13"/>
      <c r="P107" s="44" t="s">
        <v>207</v>
      </c>
      <c r="Q107" s="13"/>
      <c r="R107" s="52"/>
      <c r="S107" s="2"/>
      <c r="T107" s="69"/>
    </row>
    <row r="108" spans="1:21" ht="115.5">
      <c r="A108" s="10">
        <v>20</v>
      </c>
      <c r="B108" s="10"/>
      <c r="C108" s="11" t="s">
        <v>21</v>
      </c>
      <c r="D108" s="12" t="s">
        <v>179</v>
      </c>
      <c r="E108" s="13" t="s">
        <v>180</v>
      </c>
      <c r="F108" s="13" t="s">
        <v>24</v>
      </c>
      <c r="G108" s="29" t="s">
        <v>208</v>
      </c>
      <c r="H108" s="25" t="s">
        <v>26</v>
      </c>
      <c r="I108" s="13" t="s">
        <v>27</v>
      </c>
      <c r="J108" s="13" t="s">
        <v>27</v>
      </c>
      <c r="K108" s="13" t="s">
        <v>27</v>
      </c>
      <c r="L108" s="13" t="s">
        <v>28</v>
      </c>
      <c r="M108" s="52" t="str" cm="1">
        <f t="array" ref="M108">_xlfn.IFS(COUNTIF(I108:L108,"Fail")&gt;0, "Fail", COUNTIF(I108:L108,"Pending")&gt;0, "Pending", COUNTIF(I108:L108,"Pass")&gt;0, "Pass", TRUE, "")</f>
        <v>Pass</v>
      </c>
      <c r="N108" s="13" t="s">
        <v>38</v>
      </c>
      <c r="O108" s="13"/>
      <c r="P108" s="44" t="s">
        <v>209</v>
      </c>
      <c r="Q108" s="61" t="s">
        <v>29</v>
      </c>
      <c r="R108" s="68" t="s">
        <v>31</v>
      </c>
      <c r="S108" s="77" t="s">
        <v>32</v>
      </c>
      <c r="T108" s="134" t="s">
        <v>31</v>
      </c>
      <c r="U108" s="105" t="s">
        <v>32</v>
      </c>
    </row>
    <row r="109" spans="1:21" ht="76.5">
      <c r="A109" s="10">
        <v>21</v>
      </c>
      <c r="B109" s="10"/>
      <c r="C109" s="11" t="s">
        <v>21</v>
      </c>
      <c r="D109" s="12" t="s">
        <v>179</v>
      </c>
      <c r="E109" s="13" t="s">
        <v>180</v>
      </c>
      <c r="F109" s="55" t="s">
        <v>24</v>
      </c>
      <c r="G109" s="27" t="s">
        <v>210</v>
      </c>
      <c r="H109" s="25" t="s">
        <v>27</v>
      </c>
      <c r="I109" s="13" t="s">
        <v>27</v>
      </c>
      <c r="J109" s="13" t="s">
        <v>27</v>
      </c>
      <c r="K109" s="13" t="s">
        <v>27</v>
      </c>
      <c r="L109" s="13" t="s">
        <v>28</v>
      </c>
      <c r="M109" s="52" t="str" cm="1">
        <f t="array" ref="M109">_xlfn.IFS(COUNTIF(I109:L109,"Fail")&gt;0, "Fail", COUNTIF(I109:L109,"Pending")&gt;0, "Pending", COUNTIF(I109:L109,"Pass")&gt;0, "Pass", TRUE, "")</f>
        <v>Pass</v>
      </c>
      <c r="N109" s="13" t="s">
        <v>38</v>
      </c>
      <c r="O109" s="13"/>
      <c r="P109" s="44" t="s">
        <v>211</v>
      </c>
      <c r="Q109" s="61" t="s">
        <v>29</v>
      </c>
      <c r="R109" s="68" t="s">
        <v>31</v>
      </c>
      <c r="S109" s="77" t="s">
        <v>32</v>
      </c>
      <c r="T109" s="134" t="s">
        <v>31</v>
      </c>
      <c r="U109" s="131" t="s">
        <v>32</v>
      </c>
    </row>
    <row r="110" spans="1:21" ht="188.25">
      <c r="A110" s="10">
        <v>22</v>
      </c>
      <c r="B110" s="10"/>
      <c r="C110" s="11" t="s">
        <v>21</v>
      </c>
      <c r="D110" s="12" t="s">
        <v>179</v>
      </c>
      <c r="E110" s="13" t="s">
        <v>180</v>
      </c>
      <c r="F110" s="13" t="s">
        <v>24</v>
      </c>
      <c r="G110" s="27" t="s">
        <v>212</v>
      </c>
      <c r="H110" s="25" t="s">
        <v>26</v>
      </c>
      <c r="I110" s="13" t="s">
        <v>27</v>
      </c>
      <c r="J110" s="13" t="s">
        <v>27</v>
      </c>
      <c r="K110" s="13" t="s">
        <v>27</v>
      </c>
      <c r="L110" s="13" t="s">
        <v>28</v>
      </c>
      <c r="M110" s="52" t="str" cm="1">
        <f t="array" ref="M110">_xlfn.IFS(COUNTIF(I110:L110,"Fail")&gt;0, "Fail", COUNTIF(I110:L110,"Pending")&gt;0, "Pending", COUNTIF(I110:L110,"Pass")&gt;0, "Pass", TRUE, "")</f>
        <v>Pass</v>
      </c>
      <c r="N110" s="13" t="s">
        <v>29</v>
      </c>
      <c r="O110" s="13"/>
      <c r="P110" s="44" t="s">
        <v>213</v>
      </c>
      <c r="Q110" s="61" t="s">
        <v>29</v>
      </c>
      <c r="R110" s="68" t="s">
        <v>31</v>
      </c>
      <c r="S110" s="78" t="s">
        <v>32</v>
      </c>
      <c r="T110" s="134" t="s">
        <v>31</v>
      </c>
      <c r="U110" s="131" t="s">
        <v>32</v>
      </c>
    </row>
    <row r="111" spans="1:21" ht="115.5">
      <c r="A111" s="26">
        <v>9</v>
      </c>
      <c r="B111" s="26" t="s">
        <v>214</v>
      </c>
      <c r="C111" s="11" t="s">
        <v>21</v>
      </c>
      <c r="D111" s="11" t="s">
        <v>215</v>
      </c>
      <c r="E111" s="13" t="s">
        <v>23</v>
      </c>
      <c r="F111" s="13" t="s">
        <v>24</v>
      </c>
      <c r="G111" s="30" t="s">
        <v>216</v>
      </c>
      <c r="H111" s="26" t="s">
        <v>26</v>
      </c>
      <c r="I111" s="13" t="s">
        <v>26</v>
      </c>
      <c r="J111" s="13" t="s">
        <v>26</v>
      </c>
      <c r="K111" s="13" t="s">
        <v>26</v>
      </c>
      <c r="L111" s="13" t="s">
        <v>28</v>
      </c>
      <c r="M111" s="52" t="str" cm="1">
        <f t="array" ref="M111">_xlfn.IFS(COUNTIF(I111:L111,"Fail")&gt;0, "Fail", COUNTIF(I111:L111,"Pending")&gt;0, "Pending", COUNTIF(I111:L111,"Pass")&gt;0, "Pass", TRUE, "")</f>
        <v>Fail</v>
      </c>
      <c r="N111" s="13" t="s">
        <v>38</v>
      </c>
      <c r="O111" s="13" t="s">
        <v>171</v>
      </c>
      <c r="P111" s="44" t="s">
        <v>217</v>
      </c>
      <c r="Q111" s="61" t="s">
        <v>29</v>
      </c>
      <c r="R111" s="68" t="s">
        <v>32</v>
      </c>
      <c r="S111" s="81" t="s">
        <v>112</v>
      </c>
      <c r="T111" s="134" t="s">
        <v>32</v>
      </c>
      <c r="U111" s="131" t="s">
        <v>32</v>
      </c>
    </row>
    <row r="112" spans="1:21" ht="174">
      <c r="A112" s="26">
        <v>10</v>
      </c>
      <c r="B112" s="26" t="s">
        <v>214</v>
      </c>
      <c r="C112" s="11" t="s">
        <v>218</v>
      </c>
      <c r="D112" s="11" t="s">
        <v>215</v>
      </c>
      <c r="E112" s="13" t="s">
        <v>23</v>
      </c>
      <c r="F112" s="13" t="s">
        <v>24</v>
      </c>
      <c r="G112" s="12" t="s">
        <v>219</v>
      </c>
      <c r="H112" s="15" t="s">
        <v>34</v>
      </c>
      <c r="I112" s="13" t="s">
        <v>27</v>
      </c>
      <c r="J112" s="13" t="s">
        <v>27</v>
      </c>
      <c r="K112" s="13" t="s">
        <v>27</v>
      </c>
      <c r="L112" s="13" t="s">
        <v>28</v>
      </c>
      <c r="M112" s="52" t="str" cm="1">
        <f t="array" ref="M112">_xlfn.IFS(COUNTIF(I112:L112,"Fail")&gt;0, "Fail", COUNTIF(I112:L112,"Pending")&gt;0, "Pending", COUNTIF(I112:L112,"Pass")&gt;0, "Pass", TRUE, "")</f>
        <v>Pass</v>
      </c>
      <c r="N112" s="13"/>
      <c r="O112" s="13"/>
      <c r="P112" s="44" t="s">
        <v>220</v>
      </c>
      <c r="Q112" s="13"/>
      <c r="R112" s="52"/>
      <c r="S112" s="2"/>
      <c r="T112" s="69"/>
    </row>
    <row r="113" spans="1:21">
      <c r="A113" s="26">
        <v>25</v>
      </c>
      <c r="B113" s="26" t="s">
        <v>214</v>
      </c>
      <c r="C113" s="11" t="s">
        <v>221</v>
      </c>
      <c r="D113" s="11" t="s">
        <v>215</v>
      </c>
      <c r="E113" s="13" t="s">
        <v>23</v>
      </c>
      <c r="F113" s="13" t="s">
        <v>24</v>
      </c>
      <c r="G113" s="12" t="s">
        <v>222</v>
      </c>
      <c r="H113" s="15" t="s">
        <v>34</v>
      </c>
      <c r="I113" s="13" t="s">
        <v>27</v>
      </c>
      <c r="J113" s="13" t="s">
        <v>27</v>
      </c>
      <c r="K113" s="13" t="s">
        <v>27</v>
      </c>
      <c r="L113" s="13" t="s">
        <v>28</v>
      </c>
      <c r="M113" s="52" t="str" cm="1">
        <f t="array" ref="M113">_xlfn.IFS(COUNTIF(I113:L113,"Fail")&gt;0, "Fail", COUNTIF(I113:L113,"Pending")&gt;0, "Pending", COUNTIF(I113:L113,"Pass")&gt;0, "Pass", TRUE, "")</f>
        <v>Pass</v>
      </c>
      <c r="N113" s="13"/>
      <c r="O113" s="13"/>
      <c r="P113" s="44"/>
      <c r="Q113" s="13"/>
      <c r="R113" s="52"/>
      <c r="S113" s="2"/>
      <c r="T113" s="69"/>
    </row>
    <row r="114" spans="1:21">
      <c r="A114" s="26">
        <v>48</v>
      </c>
      <c r="B114" s="26" t="s">
        <v>214</v>
      </c>
      <c r="C114" s="11" t="s">
        <v>223</v>
      </c>
      <c r="D114" s="11" t="s">
        <v>215</v>
      </c>
      <c r="E114" s="13" t="s">
        <v>23</v>
      </c>
      <c r="F114" s="13"/>
      <c r="G114" s="12" t="s">
        <v>224</v>
      </c>
      <c r="H114" s="15" t="s">
        <v>34</v>
      </c>
      <c r="I114" s="13" t="s">
        <v>28</v>
      </c>
      <c r="J114" s="13" t="s">
        <v>28</v>
      </c>
      <c r="K114" s="13" t="s">
        <v>27</v>
      </c>
      <c r="L114" s="13" t="s">
        <v>28</v>
      </c>
      <c r="M114" s="52" t="str" cm="1">
        <f t="array" ref="M114">_xlfn.IFS(COUNTIF(I114:L114,"Fail")&gt;0, "Fail", COUNTIF(I114:L114,"Pending")&gt;0, "Pending", COUNTIF(I114:L114,"Pass")&gt;0, "Pass", TRUE, "")</f>
        <v>Pass</v>
      </c>
      <c r="N114" s="13"/>
      <c r="O114" s="13"/>
      <c r="P114" s="44"/>
      <c r="Q114" s="13"/>
      <c r="R114" s="52"/>
      <c r="S114" s="2"/>
      <c r="T114" s="69"/>
    </row>
    <row r="115" spans="1:21" ht="115.5">
      <c r="A115" s="10">
        <v>2</v>
      </c>
      <c r="B115" s="26" t="s">
        <v>214</v>
      </c>
      <c r="C115" s="11" t="s">
        <v>223</v>
      </c>
      <c r="D115" s="11" t="s">
        <v>225</v>
      </c>
      <c r="E115" s="13" t="s">
        <v>23</v>
      </c>
      <c r="F115" s="13" t="s">
        <v>24</v>
      </c>
      <c r="G115" s="31" t="s">
        <v>226</v>
      </c>
      <c r="H115" s="32" t="s">
        <v>26</v>
      </c>
      <c r="I115" s="13" t="s">
        <v>26</v>
      </c>
      <c r="J115" s="13" t="s">
        <v>26</v>
      </c>
      <c r="K115" s="13" t="s">
        <v>26</v>
      </c>
      <c r="L115" s="13" t="s">
        <v>28</v>
      </c>
      <c r="M115" s="52" t="str" cm="1">
        <f t="array" ref="M115">_xlfn.IFS(COUNTIF(I115:L115,"Fail")&gt;0, "Fail", COUNTIF(I115:L115,"Pending")&gt;0, "Pending", COUNTIF(I115:L115,"Pass")&gt;0, "Pass", TRUE, "")</f>
        <v>Fail</v>
      </c>
      <c r="N115" s="13" t="s">
        <v>38</v>
      </c>
      <c r="O115" s="13" t="s">
        <v>83</v>
      </c>
      <c r="P115" s="44" t="s">
        <v>227</v>
      </c>
      <c r="Q115" s="61" t="s">
        <v>29</v>
      </c>
      <c r="R115" s="68" t="s">
        <v>32</v>
      </c>
      <c r="S115" s="77" t="s">
        <v>112</v>
      </c>
      <c r="T115" s="134" t="s">
        <v>32</v>
      </c>
      <c r="U115" s="131" t="s">
        <v>228</v>
      </c>
    </row>
    <row r="116" spans="1:21" ht="101.25">
      <c r="A116" s="10">
        <v>4</v>
      </c>
      <c r="B116" s="26" t="s">
        <v>214</v>
      </c>
      <c r="C116" s="11" t="s">
        <v>223</v>
      </c>
      <c r="D116" s="11" t="s">
        <v>225</v>
      </c>
      <c r="E116" s="13" t="s">
        <v>23</v>
      </c>
      <c r="F116" s="13" t="s">
        <v>24</v>
      </c>
      <c r="G116" s="31" t="s">
        <v>229</v>
      </c>
      <c r="H116" s="32" t="s">
        <v>26</v>
      </c>
      <c r="I116" s="13" t="s">
        <v>27</v>
      </c>
      <c r="J116" s="13" t="s">
        <v>27</v>
      </c>
      <c r="K116" s="13" t="s">
        <v>27</v>
      </c>
      <c r="L116" s="13" t="s">
        <v>28</v>
      </c>
      <c r="M116" s="52" t="str" cm="1">
        <f t="array" ref="M116">_xlfn.IFS(COUNTIF(I116:L116,"Fail")&gt;0, "Fail", COUNTIF(I116:L116,"Pending")&gt;0, "Pending", COUNTIF(I116:L116,"Pass")&gt;0, "Pass", TRUE, "")</f>
        <v>Pass</v>
      </c>
      <c r="N116" s="13" t="s">
        <v>29</v>
      </c>
      <c r="O116" s="13"/>
      <c r="P116" s="44" t="s">
        <v>230</v>
      </c>
      <c r="Q116" s="61" t="s">
        <v>29</v>
      </c>
      <c r="R116" s="68" t="s">
        <v>31</v>
      </c>
      <c r="S116" s="77" t="s">
        <v>32</v>
      </c>
      <c r="T116" s="134" t="s">
        <v>31</v>
      </c>
      <c r="U116" s="126" t="s">
        <v>231</v>
      </c>
    </row>
    <row r="117" spans="1:21">
      <c r="A117" s="10">
        <v>5</v>
      </c>
      <c r="B117" s="26" t="s">
        <v>214</v>
      </c>
      <c r="C117" s="11" t="s">
        <v>223</v>
      </c>
      <c r="D117" s="11" t="s">
        <v>225</v>
      </c>
      <c r="E117" s="13" t="s">
        <v>23</v>
      </c>
      <c r="F117" s="13" t="s">
        <v>24</v>
      </c>
      <c r="G117" s="11" t="s">
        <v>232</v>
      </c>
      <c r="H117" s="15" t="s">
        <v>34</v>
      </c>
      <c r="I117" s="13" t="s">
        <v>27</v>
      </c>
      <c r="J117" s="13" t="s">
        <v>27</v>
      </c>
      <c r="K117" s="13" t="s">
        <v>27</v>
      </c>
      <c r="L117" s="13" t="s">
        <v>28</v>
      </c>
      <c r="M117" s="52" t="str" cm="1">
        <f t="array" ref="M117">_xlfn.IFS(COUNTIF(I117:L117,"Fail")&gt;0, "Fail", COUNTIF(I117:L117,"Pending")&gt;0, "Pending", COUNTIF(I117:L117,"Pass")&gt;0, "Pass", TRUE, "")</f>
        <v>Pass</v>
      </c>
      <c r="N117" s="13"/>
      <c r="O117" s="13"/>
      <c r="P117" s="44"/>
      <c r="Q117" s="13"/>
      <c r="R117" s="52"/>
      <c r="S117" s="2"/>
      <c r="T117" s="69"/>
    </row>
    <row r="118" spans="1:21" ht="29.25">
      <c r="A118" s="10">
        <v>8</v>
      </c>
      <c r="B118" s="26" t="s">
        <v>214</v>
      </c>
      <c r="C118" s="11" t="s">
        <v>223</v>
      </c>
      <c r="D118" s="11" t="s">
        <v>225</v>
      </c>
      <c r="E118" s="13" t="s">
        <v>23</v>
      </c>
      <c r="F118" s="13" t="s">
        <v>24</v>
      </c>
      <c r="G118" s="11" t="s">
        <v>233</v>
      </c>
      <c r="H118" s="15" t="s">
        <v>34</v>
      </c>
      <c r="I118" s="13" t="s">
        <v>27</v>
      </c>
      <c r="J118" s="13" t="s">
        <v>27</v>
      </c>
      <c r="K118" s="13" t="s">
        <v>27</v>
      </c>
      <c r="L118" s="13" t="s">
        <v>28</v>
      </c>
      <c r="M118" s="52" t="str" cm="1">
        <f t="array" ref="M118">_xlfn.IFS(COUNTIF(I118:L118,"Fail")&gt;0, "Fail", COUNTIF(I118:L118,"Pending")&gt;0, "Pending", COUNTIF(I118:L118,"Pass")&gt;0, "Pass", TRUE, "")</f>
        <v>Pass</v>
      </c>
      <c r="N118" s="13"/>
      <c r="O118" s="13"/>
      <c r="P118" s="44" t="s">
        <v>234</v>
      </c>
      <c r="Q118" s="13"/>
      <c r="R118" s="52"/>
      <c r="S118" s="2"/>
      <c r="T118" s="69"/>
    </row>
    <row r="119" spans="1:21" ht="174">
      <c r="A119" s="10">
        <v>9</v>
      </c>
      <c r="B119" s="26" t="s">
        <v>214</v>
      </c>
      <c r="C119" s="11" t="s">
        <v>223</v>
      </c>
      <c r="D119" s="11" t="s">
        <v>225</v>
      </c>
      <c r="E119" s="13" t="s">
        <v>23</v>
      </c>
      <c r="F119" s="13" t="s">
        <v>24</v>
      </c>
      <c r="G119" s="31" t="s">
        <v>235</v>
      </c>
      <c r="H119" s="32" t="s">
        <v>26</v>
      </c>
      <c r="I119" s="13" t="s">
        <v>27</v>
      </c>
      <c r="J119" s="13" t="s">
        <v>27</v>
      </c>
      <c r="K119" s="13" t="s">
        <v>27</v>
      </c>
      <c r="L119" s="13" t="s">
        <v>28</v>
      </c>
      <c r="M119" s="52" t="str" cm="1">
        <f t="array" ref="M119">_xlfn.IFS(COUNTIF(I119:L119,"Fail")&gt;0, "Fail", COUNTIF(I119:L119,"Pending")&gt;0, "Pending", COUNTIF(I119:L119,"Pass")&gt;0, "Pass", TRUE, "")</f>
        <v>Pass</v>
      </c>
      <c r="N119" s="13" t="s">
        <v>38</v>
      </c>
      <c r="O119" s="13"/>
      <c r="P119" s="44" t="s">
        <v>236</v>
      </c>
      <c r="Q119" s="61" t="s">
        <v>29</v>
      </c>
      <c r="R119" s="68" t="s">
        <v>31</v>
      </c>
      <c r="S119" s="78" t="s">
        <v>32</v>
      </c>
      <c r="T119" s="134" t="s">
        <v>31</v>
      </c>
      <c r="U119" s="105" t="s">
        <v>32</v>
      </c>
    </row>
    <row r="120" spans="1:21" ht="188.25">
      <c r="A120" s="10">
        <v>10</v>
      </c>
      <c r="B120" s="26" t="s">
        <v>214</v>
      </c>
      <c r="C120" s="11" t="s">
        <v>223</v>
      </c>
      <c r="D120" s="11" t="s">
        <v>225</v>
      </c>
      <c r="E120" s="13" t="s">
        <v>23</v>
      </c>
      <c r="F120" s="13" t="s">
        <v>24</v>
      </c>
      <c r="G120" s="31" t="s">
        <v>237</v>
      </c>
      <c r="H120" s="32" t="s">
        <v>26</v>
      </c>
      <c r="I120" s="13" t="s">
        <v>26</v>
      </c>
      <c r="J120" s="13" t="s">
        <v>26</v>
      </c>
      <c r="K120" s="13" t="s">
        <v>26</v>
      </c>
      <c r="L120" s="13" t="s">
        <v>28</v>
      </c>
      <c r="M120" s="52" t="str" cm="1">
        <f t="array" ref="M120">_xlfn.IFS(COUNTIF(I120:L120,"Fail")&gt;0, "Fail", COUNTIF(I120:L120,"Pending")&gt;0, "Pending", COUNTIF(I120:L120,"Pass")&gt;0, "Pass", TRUE, "")</f>
        <v>Fail</v>
      </c>
      <c r="N120" s="13" t="s">
        <v>38</v>
      </c>
      <c r="O120" s="13"/>
      <c r="P120" s="44" t="s">
        <v>238</v>
      </c>
      <c r="Q120" s="61" t="s">
        <v>29</v>
      </c>
      <c r="R120" s="68" t="s">
        <v>32</v>
      </c>
      <c r="S120" s="102" t="s">
        <v>32</v>
      </c>
      <c r="T120" s="134" t="s">
        <v>32</v>
      </c>
      <c r="U120" s="105" t="s">
        <v>32</v>
      </c>
    </row>
    <row r="121" spans="1:21" ht="159">
      <c r="A121" s="10">
        <v>11</v>
      </c>
      <c r="B121" s="26" t="s">
        <v>214</v>
      </c>
      <c r="C121" s="11" t="s">
        <v>223</v>
      </c>
      <c r="D121" s="11" t="s">
        <v>225</v>
      </c>
      <c r="E121" s="13" t="s">
        <v>23</v>
      </c>
      <c r="F121" s="55" t="s">
        <v>24</v>
      </c>
      <c r="G121" s="31" t="s">
        <v>239</v>
      </c>
      <c r="H121" s="32" t="s">
        <v>26</v>
      </c>
      <c r="I121" s="13" t="s">
        <v>27</v>
      </c>
      <c r="J121" s="13" t="s">
        <v>27</v>
      </c>
      <c r="K121" s="13" t="s">
        <v>27</v>
      </c>
      <c r="L121" s="13" t="s">
        <v>28</v>
      </c>
      <c r="M121" s="52" t="str" cm="1">
        <f t="array" ref="M121">_xlfn.IFS(COUNTIF(I121:L121,"Fail")&gt;0, "Fail", COUNTIF(I121:L121,"Pending")&gt;0, "Pending", COUNTIF(I121:L121,"Pass")&gt;0, "Pass", TRUE, "")</f>
        <v>Pass</v>
      </c>
      <c r="N121" s="13" t="s">
        <v>38</v>
      </c>
      <c r="O121" s="13"/>
      <c r="P121" s="44" t="s">
        <v>240</v>
      </c>
      <c r="Q121" s="61" t="s">
        <v>29</v>
      </c>
      <c r="R121" s="68" t="s">
        <v>31</v>
      </c>
      <c r="S121" s="84" t="s">
        <v>32</v>
      </c>
      <c r="T121" s="134" t="s">
        <v>31</v>
      </c>
      <c r="U121" s="105" t="s">
        <v>32</v>
      </c>
    </row>
    <row r="122" spans="1:21">
      <c r="A122" s="10">
        <v>13</v>
      </c>
      <c r="B122" s="26" t="s">
        <v>214</v>
      </c>
      <c r="C122" s="11" t="s">
        <v>223</v>
      </c>
      <c r="D122" s="11" t="s">
        <v>225</v>
      </c>
      <c r="E122" s="13" t="s">
        <v>23</v>
      </c>
      <c r="F122" s="13" t="s">
        <v>24</v>
      </c>
      <c r="G122" s="11" t="s">
        <v>241</v>
      </c>
      <c r="H122" s="15" t="s">
        <v>34</v>
      </c>
      <c r="I122" s="13" t="s">
        <v>27</v>
      </c>
      <c r="J122" s="13" t="s">
        <v>27</v>
      </c>
      <c r="K122" s="13" t="s">
        <v>27</v>
      </c>
      <c r="L122" s="13" t="s">
        <v>28</v>
      </c>
      <c r="M122" s="52" t="str" cm="1">
        <f t="array" ref="M122">_xlfn.IFS(COUNTIF(I122:L122,"Fail")&gt;0, "Fail", COUNTIF(I122:L122,"Pending")&gt;0, "Pending", COUNTIF(I122:L122,"Pass")&gt;0, "Pass", TRUE, "")</f>
        <v>Pass</v>
      </c>
      <c r="N122" s="13"/>
      <c r="O122" s="13"/>
      <c r="P122" s="44"/>
      <c r="Q122" s="13"/>
      <c r="R122" s="52"/>
      <c r="S122" s="2"/>
      <c r="T122" s="69"/>
    </row>
    <row r="123" spans="1:21">
      <c r="A123" s="10">
        <v>18</v>
      </c>
      <c r="B123" s="26" t="s">
        <v>214</v>
      </c>
      <c r="C123" s="11" t="s">
        <v>223</v>
      </c>
      <c r="D123" s="11" t="s">
        <v>225</v>
      </c>
      <c r="E123" s="13" t="s">
        <v>23</v>
      </c>
      <c r="F123" s="13"/>
      <c r="G123" s="11" t="s">
        <v>242</v>
      </c>
      <c r="H123" s="15" t="s">
        <v>34</v>
      </c>
      <c r="I123" s="13" t="s">
        <v>28</v>
      </c>
      <c r="J123" s="13" t="s">
        <v>28</v>
      </c>
      <c r="K123" s="13" t="s">
        <v>27</v>
      </c>
      <c r="L123" s="13" t="s">
        <v>28</v>
      </c>
      <c r="M123" s="52" t="str" cm="1">
        <f t="array" ref="M123">_xlfn.IFS(COUNTIF(I123:L123,"Fail")&gt;0, "Fail", COUNTIF(I123:L123,"Pending")&gt;0, "Pending", COUNTIF(I123:L123,"Pass")&gt;0, "Pass", TRUE, "")</f>
        <v>Pass</v>
      </c>
      <c r="N123" s="13"/>
      <c r="O123" s="13"/>
      <c r="P123" s="44"/>
      <c r="Q123" s="13"/>
      <c r="R123" s="52"/>
      <c r="S123" s="2"/>
      <c r="T123" s="69"/>
    </row>
    <row r="124" spans="1:21" ht="409.6">
      <c r="A124" s="10">
        <v>19</v>
      </c>
      <c r="B124" s="26" t="s">
        <v>214</v>
      </c>
      <c r="C124" s="11" t="s">
        <v>223</v>
      </c>
      <c r="D124" s="11" t="s">
        <v>225</v>
      </c>
      <c r="E124" s="13" t="s">
        <v>23</v>
      </c>
      <c r="F124" s="13" t="s">
        <v>24</v>
      </c>
      <c r="G124" s="31" t="s">
        <v>243</v>
      </c>
      <c r="H124" s="32" t="s">
        <v>26</v>
      </c>
      <c r="I124" s="13" t="s">
        <v>26</v>
      </c>
      <c r="J124" s="13" t="s">
        <v>26</v>
      </c>
      <c r="K124" s="13" t="s">
        <v>26</v>
      </c>
      <c r="L124" s="13" t="s">
        <v>28</v>
      </c>
      <c r="M124" s="52" t="str" cm="1">
        <f t="array" ref="M124">_xlfn.IFS(COUNTIF(I124:L124,"Fail")&gt;0, "Fail", COUNTIF(I124:L124,"Pending")&gt;0, "Pending", COUNTIF(I124:L124,"Pass")&gt;0, "Pass", TRUE, "")</f>
        <v>Fail</v>
      </c>
      <c r="N124" s="13" t="s">
        <v>38</v>
      </c>
      <c r="O124" s="13"/>
      <c r="P124" s="44" t="s">
        <v>244</v>
      </c>
      <c r="Q124" s="61" t="s">
        <v>29</v>
      </c>
      <c r="R124" s="68" t="s">
        <v>32</v>
      </c>
      <c r="S124" s="77" t="s">
        <v>32</v>
      </c>
      <c r="T124" s="134" t="s">
        <v>32</v>
      </c>
      <c r="U124" s="168" t="s">
        <v>228</v>
      </c>
    </row>
    <row r="125" spans="1:21" ht="101.25">
      <c r="A125" s="10">
        <v>20</v>
      </c>
      <c r="B125" s="26" t="s">
        <v>214</v>
      </c>
      <c r="C125" s="11" t="s">
        <v>223</v>
      </c>
      <c r="D125" s="11" t="s">
        <v>225</v>
      </c>
      <c r="E125" s="13" t="s">
        <v>23</v>
      </c>
      <c r="F125" s="13" t="s">
        <v>24</v>
      </c>
      <c r="G125" s="31" t="s">
        <v>245</v>
      </c>
      <c r="H125" s="32" t="s">
        <v>27</v>
      </c>
      <c r="I125" s="13" t="s">
        <v>27</v>
      </c>
      <c r="J125" s="13" t="s">
        <v>27</v>
      </c>
      <c r="K125" s="13" t="s">
        <v>27</v>
      </c>
      <c r="L125" s="13" t="s">
        <v>28</v>
      </c>
      <c r="M125" s="52" t="str" cm="1">
        <f t="array" ref="M125">_xlfn.IFS(COUNTIF(I125:L125,"Fail")&gt;0, "Fail", COUNTIF(I125:L125,"Pending")&gt;0, "Pending", COUNTIF(I125:L125,"Pass")&gt;0, "Pass", TRUE, "")</f>
        <v>Pass</v>
      </c>
      <c r="N125" s="13" t="s">
        <v>29</v>
      </c>
      <c r="O125" s="13"/>
      <c r="P125" s="44" t="s">
        <v>246</v>
      </c>
      <c r="Q125" s="61" t="s">
        <v>29</v>
      </c>
      <c r="R125" s="68" t="s">
        <v>32</v>
      </c>
      <c r="S125" s="77" t="s">
        <v>32</v>
      </c>
      <c r="T125" s="134" t="s">
        <v>32</v>
      </c>
      <c r="U125" s="131" t="s">
        <v>32</v>
      </c>
    </row>
    <row r="126" spans="1:21" ht="201.75">
      <c r="A126" s="10"/>
      <c r="B126" s="26" t="s">
        <v>214</v>
      </c>
      <c r="C126" s="11" t="s">
        <v>223</v>
      </c>
      <c r="D126" s="11" t="s">
        <v>247</v>
      </c>
      <c r="E126" s="13" t="s">
        <v>23</v>
      </c>
      <c r="F126" s="13" t="s">
        <v>24</v>
      </c>
      <c r="G126" s="33" t="s">
        <v>248</v>
      </c>
      <c r="H126" s="34" t="s">
        <v>26</v>
      </c>
      <c r="I126" s="13" t="s">
        <v>27</v>
      </c>
      <c r="J126" s="13" t="s">
        <v>27</v>
      </c>
      <c r="K126" s="13" t="s">
        <v>28</v>
      </c>
      <c r="L126" s="13" t="s">
        <v>28</v>
      </c>
      <c r="M126" s="52" t="str" cm="1">
        <f t="array" ref="M126">_xlfn.IFS(COUNTIF(I126:L126,"Fail")&gt;0, "Fail", COUNTIF(I126:L126,"Pending")&gt;0, "Pending", COUNTIF(I126:L126,"Pass")&gt;0, "Pass", TRUE, "")</f>
        <v>Pass</v>
      </c>
      <c r="N126" s="13" t="s">
        <v>38</v>
      </c>
      <c r="O126" s="13"/>
      <c r="P126" s="44" t="s">
        <v>66</v>
      </c>
      <c r="Q126" s="61" t="s">
        <v>29</v>
      </c>
      <c r="R126" s="68" t="s">
        <v>32</v>
      </c>
      <c r="S126" s="77" t="s">
        <v>32</v>
      </c>
      <c r="T126" s="134" t="s">
        <v>32</v>
      </c>
      <c r="U126" s="105" t="s">
        <v>32</v>
      </c>
    </row>
    <row r="127" spans="1:21">
      <c r="A127" s="10"/>
      <c r="B127" s="26" t="s">
        <v>214</v>
      </c>
      <c r="C127" s="11" t="s">
        <v>223</v>
      </c>
      <c r="D127" s="11" t="s">
        <v>247</v>
      </c>
      <c r="E127" s="13" t="s">
        <v>23</v>
      </c>
      <c r="F127" s="13" t="s">
        <v>24</v>
      </c>
      <c r="G127" s="35" t="s">
        <v>249</v>
      </c>
      <c r="H127" s="15" t="s">
        <v>34</v>
      </c>
      <c r="I127" s="13" t="s">
        <v>27</v>
      </c>
      <c r="J127" s="13" t="s">
        <v>27</v>
      </c>
      <c r="K127" s="13" t="s">
        <v>27</v>
      </c>
      <c r="L127" s="13" t="s">
        <v>28</v>
      </c>
      <c r="M127" s="52" t="str" cm="1">
        <f t="array" ref="M127">_xlfn.IFS(COUNTIF(I127:L127,"Fail")&gt;0, "Fail", COUNTIF(I127:L127,"Pending")&gt;0, "Pending", COUNTIF(I127:L127,"Pass")&gt;0, "Pass", TRUE, "")</f>
        <v>Pass</v>
      </c>
      <c r="N127" s="13"/>
      <c r="O127" s="13"/>
      <c r="P127" s="44"/>
      <c r="Q127" s="13"/>
      <c r="R127" s="52"/>
      <c r="S127" s="2"/>
      <c r="T127" s="69"/>
    </row>
    <row r="128" spans="1:21">
      <c r="A128" s="10"/>
      <c r="B128" s="26" t="s">
        <v>214</v>
      </c>
      <c r="C128" s="11" t="s">
        <v>223</v>
      </c>
      <c r="D128" s="11" t="s">
        <v>247</v>
      </c>
      <c r="E128" s="13" t="s">
        <v>23</v>
      </c>
      <c r="F128" s="13" t="s">
        <v>24</v>
      </c>
      <c r="G128" s="35" t="s">
        <v>250</v>
      </c>
      <c r="H128" s="15" t="s">
        <v>34</v>
      </c>
      <c r="I128" s="13" t="s">
        <v>27</v>
      </c>
      <c r="J128" s="13" t="s">
        <v>27</v>
      </c>
      <c r="K128" s="13" t="s">
        <v>27</v>
      </c>
      <c r="L128" s="13" t="s">
        <v>28</v>
      </c>
      <c r="M128" s="52" t="str" cm="1">
        <f t="array" ref="M128">_xlfn.IFS(COUNTIF(I128:L128,"Fail")&gt;0, "Fail", COUNTIF(I128:L128,"Pending")&gt;0, "Pending", COUNTIF(I128:L128,"Pass")&gt;0, "Pass", TRUE, "")</f>
        <v>Pass</v>
      </c>
      <c r="N128" s="13"/>
      <c r="O128" s="13"/>
      <c r="P128" s="44"/>
      <c r="Q128" s="13"/>
      <c r="R128" s="52"/>
      <c r="S128" s="2"/>
      <c r="T128" s="69"/>
    </row>
    <row r="129" spans="1:21" ht="57.75">
      <c r="A129" s="10"/>
      <c r="B129" s="26" t="s">
        <v>214</v>
      </c>
      <c r="C129" s="11" t="s">
        <v>223</v>
      </c>
      <c r="D129" s="11" t="s">
        <v>247</v>
      </c>
      <c r="E129" s="13" t="s">
        <v>23</v>
      </c>
      <c r="F129" s="13" t="s">
        <v>24</v>
      </c>
      <c r="G129" s="33" t="s">
        <v>251</v>
      </c>
      <c r="H129" s="34" t="s">
        <v>26</v>
      </c>
      <c r="I129" s="13" t="s">
        <v>26</v>
      </c>
      <c r="J129" s="13" t="s">
        <v>26</v>
      </c>
      <c r="K129" s="13" t="s">
        <v>26</v>
      </c>
      <c r="L129" s="13" t="s">
        <v>28</v>
      </c>
      <c r="M129" s="52" t="str" cm="1">
        <f t="array" ref="M129">_xlfn.IFS(COUNTIF(I129:L129,"Fail")&gt;0, "Fail", COUNTIF(I129:L129,"Pending")&gt;0, "Pending", COUNTIF(I129:L129,"Pass")&gt;0, "Pass", TRUE, "")</f>
        <v>Fail</v>
      </c>
      <c r="N129" s="13" t="s">
        <v>29</v>
      </c>
      <c r="O129" s="13"/>
      <c r="P129" s="44" t="s">
        <v>252</v>
      </c>
      <c r="Q129" s="61" t="s">
        <v>29</v>
      </c>
      <c r="R129" s="52" t="s">
        <v>101</v>
      </c>
      <c r="S129" s="81" t="s">
        <v>85</v>
      </c>
      <c r="T129" s="167" t="s">
        <v>101</v>
      </c>
    </row>
    <row r="130" spans="1:21">
      <c r="A130" s="10"/>
      <c r="B130" s="26" t="s">
        <v>214</v>
      </c>
      <c r="C130" s="11" t="s">
        <v>223</v>
      </c>
      <c r="D130" s="11" t="s">
        <v>247</v>
      </c>
      <c r="E130" s="13" t="s">
        <v>23</v>
      </c>
      <c r="F130" s="13" t="s">
        <v>24</v>
      </c>
      <c r="G130" s="35" t="s">
        <v>253</v>
      </c>
      <c r="H130" s="15" t="s">
        <v>34</v>
      </c>
      <c r="I130" s="13" t="s">
        <v>27</v>
      </c>
      <c r="J130" s="13" t="s">
        <v>27</v>
      </c>
      <c r="K130" s="13" t="s">
        <v>27</v>
      </c>
      <c r="L130" s="13" t="s">
        <v>28</v>
      </c>
      <c r="M130" s="52" t="str" cm="1">
        <f t="array" ref="M130">_xlfn.IFS(COUNTIF(I130:L130,"Fail")&gt;0, "Fail", COUNTIF(I130:L130,"Pending")&gt;0, "Pending", COUNTIF(I130:L130,"Pass")&gt;0, "Pass", TRUE, "")</f>
        <v>Pass</v>
      </c>
      <c r="N130" s="13"/>
      <c r="O130" s="13"/>
      <c r="P130" s="44"/>
      <c r="Q130" s="13"/>
      <c r="R130" s="52"/>
      <c r="S130" s="2"/>
      <c r="T130" s="69"/>
    </row>
    <row r="131" spans="1:21">
      <c r="A131" s="10"/>
      <c r="B131" s="26" t="s">
        <v>214</v>
      </c>
      <c r="C131" s="11" t="s">
        <v>223</v>
      </c>
      <c r="D131" s="11" t="s">
        <v>247</v>
      </c>
      <c r="E131" s="13" t="s">
        <v>23</v>
      </c>
      <c r="F131" s="13" t="s">
        <v>24</v>
      </c>
      <c r="G131" s="35" t="s">
        <v>253</v>
      </c>
      <c r="H131" s="15" t="s">
        <v>34</v>
      </c>
      <c r="I131" s="13" t="s">
        <v>27</v>
      </c>
      <c r="J131" s="13" t="s">
        <v>27</v>
      </c>
      <c r="K131" s="13" t="s">
        <v>27</v>
      </c>
      <c r="L131" s="13" t="s">
        <v>28</v>
      </c>
      <c r="M131" s="52" t="str" cm="1">
        <f t="array" ref="M131">_xlfn.IFS(COUNTIF(I131:L131,"Fail")&gt;0, "Fail", COUNTIF(I131:L131,"Pending")&gt;0, "Pending", COUNTIF(I131:L131,"Pass")&gt;0, "Pass", TRUE, "")</f>
        <v>Pass</v>
      </c>
      <c r="N131" s="13"/>
      <c r="O131" s="13"/>
      <c r="P131" s="44"/>
      <c r="Q131" s="13"/>
      <c r="R131" s="52"/>
      <c r="S131" s="2"/>
      <c r="T131" s="69"/>
    </row>
    <row r="132" spans="1:21">
      <c r="A132" s="10"/>
      <c r="B132" s="26" t="s">
        <v>214</v>
      </c>
      <c r="C132" s="11" t="s">
        <v>223</v>
      </c>
      <c r="D132" s="11" t="s">
        <v>247</v>
      </c>
      <c r="E132" s="13" t="s">
        <v>23</v>
      </c>
      <c r="F132" s="13" t="s">
        <v>24</v>
      </c>
      <c r="G132" s="35" t="s">
        <v>253</v>
      </c>
      <c r="H132" s="15" t="s">
        <v>34</v>
      </c>
      <c r="I132" s="13" t="s">
        <v>27</v>
      </c>
      <c r="J132" s="13" t="s">
        <v>27</v>
      </c>
      <c r="K132" s="13" t="s">
        <v>27</v>
      </c>
      <c r="L132" s="13" t="s">
        <v>28</v>
      </c>
      <c r="M132" s="52" t="str" cm="1">
        <f t="array" ref="M132">_xlfn.IFS(COUNTIF(I132:L132,"Fail")&gt;0, "Fail", COUNTIF(I132:L132,"Pending")&gt;0, "Pending", COUNTIF(I132:L132,"Pass")&gt;0, "Pass", TRUE, "")</f>
        <v>Pass</v>
      </c>
      <c r="N132" s="13"/>
      <c r="O132" s="13"/>
      <c r="P132" s="44"/>
      <c r="Q132" s="13"/>
      <c r="R132" s="52"/>
      <c r="S132" s="2"/>
      <c r="T132" s="69"/>
    </row>
    <row r="133" spans="1:21">
      <c r="A133" s="10"/>
      <c r="B133" s="26" t="s">
        <v>214</v>
      </c>
      <c r="C133" s="11" t="s">
        <v>223</v>
      </c>
      <c r="D133" s="11" t="s">
        <v>247</v>
      </c>
      <c r="E133" s="13" t="s">
        <v>23</v>
      </c>
      <c r="F133" s="13" t="s">
        <v>24</v>
      </c>
      <c r="G133" s="35" t="s">
        <v>254</v>
      </c>
      <c r="H133" s="15" t="s">
        <v>34</v>
      </c>
      <c r="I133" s="13" t="s">
        <v>27</v>
      </c>
      <c r="J133" s="13" t="s">
        <v>27</v>
      </c>
      <c r="K133" s="13" t="s">
        <v>27</v>
      </c>
      <c r="L133" s="13" t="s">
        <v>28</v>
      </c>
      <c r="M133" s="52" t="str" cm="1">
        <f t="array" ref="M133">_xlfn.IFS(COUNTIF(I133:L133,"Fail")&gt;0, "Fail", COUNTIF(I133:L133,"Pending")&gt;0, "Pending", COUNTIF(I133:L133,"Pass")&gt;0, "Pass", TRUE, "")</f>
        <v>Pass</v>
      </c>
      <c r="N133" s="13"/>
      <c r="O133" s="13"/>
      <c r="P133" s="44"/>
      <c r="Q133" s="13"/>
      <c r="R133" s="52"/>
      <c r="S133" s="2"/>
      <c r="T133" s="69"/>
    </row>
    <row r="134" spans="1:21" ht="72.75">
      <c r="A134" s="10"/>
      <c r="B134" s="26" t="s">
        <v>214</v>
      </c>
      <c r="C134" s="11" t="s">
        <v>223</v>
      </c>
      <c r="D134" s="11" t="s">
        <v>247</v>
      </c>
      <c r="E134" s="13" t="s">
        <v>23</v>
      </c>
      <c r="F134" s="13" t="s">
        <v>24</v>
      </c>
      <c r="G134" s="35" t="s">
        <v>255</v>
      </c>
      <c r="H134" s="15" t="s">
        <v>34</v>
      </c>
      <c r="I134" s="13" t="s">
        <v>27</v>
      </c>
      <c r="J134" s="13" t="s">
        <v>27</v>
      </c>
      <c r="K134" s="13" t="s">
        <v>27</v>
      </c>
      <c r="L134" s="13" t="s">
        <v>28</v>
      </c>
      <c r="M134" s="52" t="str" cm="1">
        <f t="array" ref="M134">_xlfn.IFS(COUNTIF(I134:L134,"Fail")&gt;0, "Fail", COUNTIF(I134:L134,"Pending")&gt;0, "Pending", COUNTIF(I134:L134,"Pass")&gt;0, "Pass", TRUE, "")</f>
        <v>Pass</v>
      </c>
      <c r="N134" s="13"/>
      <c r="O134" s="13"/>
      <c r="P134" s="44" t="s">
        <v>256</v>
      </c>
      <c r="Q134" s="13"/>
      <c r="R134" s="52"/>
      <c r="S134" s="2"/>
      <c r="T134" s="69"/>
    </row>
    <row r="135" spans="1:21">
      <c r="A135" s="10"/>
      <c r="B135" s="26" t="s">
        <v>214</v>
      </c>
      <c r="C135" s="11" t="s">
        <v>223</v>
      </c>
      <c r="D135" s="11" t="s">
        <v>247</v>
      </c>
      <c r="E135" s="13" t="s">
        <v>23</v>
      </c>
      <c r="F135" s="13" t="s">
        <v>24</v>
      </c>
      <c r="G135" s="35" t="s">
        <v>257</v>
      </c>
      <c r="H135" s="15" t="s">
        <v>34</v>
      </c>
      <c r="I135" s="13" t="s">
        <v>27</v>
      </c>
      <c r="J135" s="13" t="s">
        <v>27</v>
      </c>
      <c r="K135" s="13" t="s">
        <v>27</v>
      </c>
      <c r="L135" s="13" t="s">
        <v>28</v>
      </c>
      <c r="M135" s="52" t="str" cm="1">
        <f t="array" ref="M135">_xlfn.IFS(COUNTIF(I135:L135,"Fail")&gt;0, "Fail", COUNTIF(I135:L135,"Pending")&gt;0, "Pending", COUNTIF(I135:L135,"Pass")&gt;0, "Pass", TRUE, "")</f>
        <v>Pass</v>
      </c>
      <c r="N135" s="13"/>
      <c r="O135" s="13"/>
      <c r="P135" s="44"/>
      <c r="Q135" s="13"/>
      <c r="R135" s="52"/>
      <c r="S135" s="2"/>
      <c r="T135" s="69"/>
    </row>
    <row r="136" spans="1:21">
      <c r="A136" s="10"/>
      <c r="B136" s="26" t="s">
        <v>214</v>
      </c>
      <c r="C136" s="11" t="s">
        <v>223</v>
      </c>
      <c r="D136" s="11" t="s">
        <v>247</v>
      </c>
      <c r="E136" s="13" t="s">
        <v>23</v>
      </c>
      <c r="F136" s="13" t="s">
        <v>24</v>
      </c>
      <c r="G136" s="35" t="s">
        <v>258</v>
      </c>
      <c r="H136" s="15" t="s">
        <v>34</v>
      </c>
      <c r="I136" s="13" t="s">
        <v>27</v>
      </c>
      <c r="J136" s="13" t="s">
        <v>27</v>
      </c>
      <c r="K136" s="13" t="s">
        <v>27</v>
      </c>
      <c r="L136" s="13" t="s">
        <v>28</v>
      </c>
      <c r="M136" s="52" t="str" cm="1">
        <f t="array" ref="M136">_xlfn.IFS(COUNTIF(I136:L136,"Fail")&gt;0, "Fail", COUNTIF(I136:L136,"Pending")&gt;0, "Pending", COUNTIF(I136:L136,"Pass")&gt;0, "Pass", TRUE, "")</f>
        <v>Pass</v>
      </c>
      <c r="N136" s="13"/>
      <c r="O136" s="13"/>
      <c r="P136" s="44"/>
      <c r="Q136" s="13"/>
      <c r="R136" s="52"/>
      <c r="S136" s="2"/>
      <c r="T136" s="69"/>
    </row>
    <row r="137" spans="1:21">
      <c r="A137" s="10"/>
      <c r="B137" s="26" t="s">
        <v>214</v>
      </c>
      <c r="C137" s="11" t="s">
        <v>223</v>
      </c>
      <c r="D137" s="11" t="s">
        <v>247</v>
      </c>
      <c r="E137" s="13" t="s">
        <v>23</v>
      </c>
      <c r="F137" s="13" t="s">
        <v>24</v>
      </c>
      <c r="G137" s="35" t="s">
        <v>259</v>
      </c>
      <c r="H137" s="15" t="s">
        <v>34</v>
      </c>
      <c r="I137" s="13" t="s">
        <v>27</v>
      </c>
      <c r="J137" s="13" t="s">
        <v>27</v>
      </c>
      <c r="K137" s="13" t="s">
        <v>27</v>
      </c>
      <c r="L137" s="13" t="s">
        <v>28</v>
      </c>
      <c r="M137" s="52" t="str" cm="1">
        <f t="array" ref="M137">_xlfn.IFS(COUNTIF(I137:L137,"Fail")&gt;0, "Fail", COUNTIF(I137:L137,"Pending")&gt;0, "Pending", COUNTIF(I137:L137,"Pass")&gt;0, "Pass", TRUE, "")</f>
        <v>Pass</v>
      </c>
      <c r="N137" s="13"/>
      <c r="O137" s="13"/>
      <c r="P137" s="44"/>
      <c r="Q137" s="13"/>
      <c r="R137" s="52"/>
      <c r="S137" s="2"/>
      <c r="T137" s="69"/>
    </row>
    <row r="138" spans="1:21">
      <c r="A138" s="10"/>
      <c r="B138" s="26" t="s">
        <v>214</v>
      </c>
      <c r="C138" s="11" t="s">
        <v>223</v>
      </c>
      <c r="D138" s="11" t="s">
        <v>247</v>
      </c>
      <c r="E138" s="13" t="s">
        <v>23</v>
      </c>
      <c r="F138" s="13" t="s">
        <v>24</v>
      </c>
      <c r="G138" s="35" t="s">
        <v>253</v>
      </c>
      <c r="H138" s="15" t="s">
        <v>34</v>
      </c>
      <c r="I138" s="13" t="s">
        <v>27</v>
      </c>
      <c r="J138" s="13" t="s">
        <v>27</v>
      </c>
      <c r="K138" s="13" t="s">
        <v>27</v>
      </c>
      <c r="L138" s="13" t="s">
        <v>28</v>
      </c>
      <c r="M138" s="52" t="str" cm="1">
        <f t="array" ref="M138">_xlfn.IFS(COUNTIF(I138:L138,"Fail")&gt;0, "Fail", COUNTIF(I138:L138,"Pending")&gt;0, "Pending", COUNTIF(I138:L138,"Pass")&gt;0, "Pass", TRUE, "")</f>
        <v>Pass</v>
      </c>
      <c r="N138" s="13"/>
      <c r="O138" s="13"/>
      <c r="P138" s="44"/>
      <c r="Q138" s="13"/>
      <c r="R138" s="52"/>
      <c r="S138" s="2"/>
      <c r="T138" s="69"/>
    </row>
    <row r="139" spans="1:21">
      <c r="A139" s="10"/>
      <c r="B139" s="26" t="s">
        <v>214</v>
      </c>
      <c r="C139" s="11" t="s">
        <v>223</v>
      </c>
      <c r="D139" s="11" t="s">
        <v>247</v>
      </c>
      <c r="E139" s="13" t="s">
        <v>23</v>
      </c>
      <c r="F139" s="13" t="s">
        <v>24</v>
      </c>
      <c r="G139" s="35" t="s">
        <v>260</v>
      </c>
      <c r="H139" s="15" t="s">
        <v>34</v>
      </c>
      <c r="I139" s="13" t="s">
        <v>27</v>
      </c>
      <c r="J139" s="13" t="s">
        <v>27</v>
      </c>
      <c r="K139" s="13" t="s">
        <v>27</v>
      </c>
      <c r="L139" s="13" t="s">
        <v>28</v>
      </c>
      <c r="M139" s="52" t="str" cm="1">
        <f t="array" ref="M139">_xlfn.IFS(COUNTIF(I139:L139,"Fail")&gt;0, "Fail", COUNTIF(I139:L139,"Pending")&gt;0, "Pending", COUNTIF(I139:L139,"Pass")&gt;0, "Pass", TRUE, "")</f>
        <v>Pass</v>
      </c>
      <c r="N139" s="13"/>
      <c r="O139" s="13"/>
      <c r="P139" s="44"/>
      <c r="Q139" s="13"/>
      <c r="R139" s="52"/>
      <c r="S139" s="2"/>
      <c r="T139" s="69"/>
    </row>
    <row r="140" spans="1:21" ht="115.5">
      <c r="A140" s="10"/>
      <c r="B140" s="26" t="s">
        <v>214</v>
      </c>
      <c r="C140" s="11" t="s">
        <v>223</v>
      </c>
      <c r="D140" s="11" t="s">
        <v>247</v>
      </c>
      <c r="E140" s="13" t="s">
        <v>23</v>
      </c>
      <c r="F140" s="13" t="s">
        <v>24</v>
      </c>
      <c r="G140" s="33" t="s">
        <v>261</v>
      </c>
      <c r="H140" s="34" t="s">
        <v>26</v>
      </c>
      <c r="I140" s="13" t="s">
        <v>27</v>
      </c>
      <c r="J140" s="13" t="s">
        <v>27</v>
      </c>
      <c r="K140" s="13" t="s">
        <v>27</v>
      </c>
      <c r="L140" s="13" t="s">
        <v>28</v>
      </c>
      <c r="M140" s="52" t="str" cm="1">
        <f t="array" ref="M140">_xlfn.IFS(COUNTIF(I140:L140,"Fail")&gt;0, "Fail", COUNTIF(I140:L140,"Pending")&gt;0, "Pending", COUNTIF(I140:L140,"Pass")&gt;0, "Pass", TRUE, "")</f>
        <v>Pass</v>
      </c>
      <c r="N140" s="13" t="s">
        <v>38</v>
      </c>
      <c r="O140" s="13"/>
      <c r="P140" s="44" t="s">
        <v>262</v>
      </c>
      <c r="Q140" s="61" t="s">
        <v>29</v>
      </c>
      <c r="R140" s="68" t="s">
        <v>31</v>
      </c>
      <c r="S140" s="77" t="s">
        <v>32</v>
      </c>
      <c r="T140" s="134" t="s">
        <v>31</v>
      </c>
      <c r="U140" s="105" t="s">
        <v>32</v>
      </c>
    </row>
    <row r="141" spans="1:21">
      <c r="A141" s="10"/>
      <c r="B141" s="26" t="s">
        <v>214</v>
      </c>
      <c r="C141" s="11" t="s">
        <v>223</v>
      </c>
      <c r="D141" s="11" t="s">
        <v>247</v>
      </c>
      <c r="E141" s="13" t="s">
        <v>23</v>
      </c>
      <c r="F141" s="13" t="s">
        <v>24</v>
      </c>
      <c r="G141" s="35" t="s">
        <v>263</v>
      </c>
      <c r="H141" s="15" t="s">
        <v>34</v>
      </c>
      <c r="I141" s="13" t="s">
        <v>27</v>
      </c>
      <c r="J141" s="13" t="s">
        <v>27</v>
      </c>
      <c r="K141" s="13" t="s">
        <v>27</v>
      </c>
      <c r="L141" s="13" t="s">
        <v>28</v>
      </c>
      <c r="M141" s="52" t="str" cm="1">
        <f t="array" ref="M141">_xlfn.IFS(COUNTIF(I141:L141,"Fail")&gt;0, "Fail", COUNTIF(I141:L141,"Pending")&gt;0, "Pending", COUNTIF(I141:L141,"Pass")&gt;0, "Pass", TRUE, "")</f>
        <v>Pass</v>
      </c>
      <c r="N141" s="13"/>
      <c r="O141" s="13"/>
      <c r="P141" s="44"/>
      <c r="Q141" s="13"/>
      <c r="R141" s="52"/>
      <c r="S141" s="2"/>
      <c r="T141" s="69"/>
    </row>
    <row r="142" spans="1:21">
      <c r="A142" s="10"/>
      <c r="B142" s="26" t="s">
        <v>214</v>
      </c>
      <c r="C142" s="11" t="s">
        <v>223</v>
      </c>
      <c r="D142" s="11" t="s">
        <v>247</v>
      </c>
      <c r="E142" s="13" t="s">
        <v>23</v>
      </c>
      <c r="F142" s="13" t="s">
        <v>24</v>
      </c>
      <c r="G142" s="35" t="s">
        <v>253</v>
      </c>
      <c r="H142" s="15" t="s">
        <v>34</v>
      </c>
      <c r="I142" s="13" t="s">
        <v>27</v>
      </c>
      <c r="J142" s="13" t="s">
        <v>27</v>
      </c>
      <c r="K142" s="13" t="s">
        <v>27</v>
      </c>
      <c r="L142" s="13" t="s">
        <v>28</v>
      </c>
      <c r="M142" s="52" t="str" cm="1">
        <f t="array" ref="M142">_xlfn.IFS(COUNTIF(I142:L142,"Fail")&gt;0, "Fail", COUNTIF(I142:L142,"Pending")&gt;0, "Pending", COUNTIF(I142:L142,"Pass")&gt;0, "Pass", TRUE, "")</f>
        <v>Pass</v>
      </c>
      <c r="N142" s="13"/>
      <c r="O142" s="13"/>
      <c r="P142" s="44"/>
      <c r="Q142" s="13"/>
      <c r="R142" s="52"/>
      <c r="S142" s="2"/>
      <c r="T142" s="69"/>
    </row>
    <row r="143" spans="1:21" ht="43.5">
      <c r="A143" s="10"/>
      <c r="B143" s="26" t="s">
        <v>214</v>
      </c>
      <c r="C143" s="11" t="s">
        <v>223</v>
      </c>
      <c r="D143" s="11" t="s">
        <v>247</v>
      </c>
      <c r="E143" s="13" t="s">
        <v>23</v>
      </c>
      <c r="F143" s="13" t="s">
        <v>24</v>
      </c>
      <c r="G143" s="33" t="s">
        <v>264</v>
      </c>
      <c r="H143" s="34" t="s">
        <v>26</v>
      </c>
      <c r="I143" s="13" t="s">
        <v>27</v>
      </c>
      <c r="J143" s="13" t="s">
        <v>27</v>
      </c>
      <c r="K143" s="13" t="s">
        <v>27</v>
      </c>
      <c r="L143" s="13" t="s">
        <v>28</v>
      </c>
      <c r="M143" s="52" t="str" cm="1">
        <f t="array" ref="M143">_xlfn.IFS(COUNTIF(I143:L143,"Fail")&gt;0, "Fail", COUNTIF(I143:L143,"Pending")&gt;0, "Pending", COUNTIF(I143:L143,"Pass")&gt;0, "Pass", TRUE, "")</f>
        <v>Pass</v>
      </c>
      <c r="N143" s="13" t="s">
        <v>38</v>
      </c>
      <c r="O143" s="13"/>
      <c r="P143" s="44" t="s">
        <v>265</v>
      </c>
      <c r="Q143" s="61" t="s">
        <v>29</v>
      </c>
      <c r="R143" s="68" t="s">
        <v>31</v>
      </c>
      <c r="S143" s="77" t="s">
        <v>32</v>
      </c>
      <c r="T143" s="134" t="s">
        <v>31</v>
      </c>
      <c r="U143" s="105" t="s">
        <v>32</v>
      </c>
    </row>
    <row r="144" spans="1:21">
      <c r="A144" s="10"/>
      <c r="B144" s="26" t="s">
        <v>214</v>
      </c>
      <c r="C144" s="11" t="s">
        <v>223</v>
      </c>
      <c r="D144" s="11" t="s">
        <v>247</v>
      </c>
      <c r="E144" s="13" t="s">
        <v>23</v>
      </c>
      <c r="F144" s="13" t="s">
        <v>24</v>
      </c>
      <c r="G144" s="35" t="s">
        <v>266</v>
      </c>
      <c r="H144" s="15" t="s">
        <v>34</v>
      </c>
      <c r="I144" s="13" t="s">
        <v>27</v>
      </c>
      <c r="J144" s="13" t="s">
        <v>27</v>
      </c>
      <c r="K144" s="13" t="s">
        <v>27</v>
      </c>
      <c r="L144" s="13" t="s">
        <v>28</v>
      </c>
      <c r="M144" s="52" t="str" cm="1">
        <f t="array" ref="M144">_xlfn.IFS(COUNTIF(I144:L144,"Fail")&gt;0, "Fail", COUNTIF(I144:L144,"Pending")&gt;0, "Pending", COUNTIF(I144:L144,"Pass")&gt;0, "Pass", TRUE, "")</f>
        <v>Pass</v>
      </c>
      <c r="N144" s="13"/>
      <c r="O144" s="13"/>
      <c r="P144" s="44"/>
      <c r="Q144" s="13"/>
      <c r="R144" s="52"/>
      <c r="S144" s="2"/>
      <c r="T144" s="69"/>
    </row>
    <row r="145" spans="1:21">
      <c r="A145" s="10"/>
      <c r="B145" s="26" t="s">
        <v>214</v>
      </c>
      <c r="C145" s="11" t="s">
        <v>223</v>
      </c>
      <c r="D145" s="11" t="s">
        <v>247</v>
      </c>
      <c r="E145" s="13" t="s">
        <v>23</v>
      </c>
      <c r="F145" s="13" t="s">
        <v>24</v>
      </c>
      <c r="G145" s="35" t="s">
        <v>267</v>
      </c>
      <c r="H145" s="15" t="s">
        <v>34</v>
      </c>
      <c r="I145" s="13" t="s">
        <v>27</v>
      </c>
      <c r="J145" s="13" t="s">
        <v>27</v>
      </c>
      <c r="K145" s="13" t="s">
        <v>27</v>
      </c>
      <c r="L145" s="13" t="s">
        <v>28</v>
      </c>
      <c r="M145" s="52" t="str" cm="1">
        <f t="array" ref="M145">_xlfn.IFS(COUNTIF(I145:L145,"Fail")&gt;0, "Fail", COUNTIF(I145:L145,"Pending")&gt;0, "Pending", COUNTIF(I145:L145,"Pass")&gt;0, "Pass", TRUE, "")</f>
        <v>Pass</v>
      </c>
      <c r="N145" s="13"/>
      <c r="O145" s="13"/>
      <c r="P145" s="44"/>
      <c r="Q145" s="13"/>
      <c r="R145" s="52"/>
      <c r="S145" s="2"/>
      <c r="T145" s="69"/>
    </row>
    <row r="146" spans="1:21" ht="57.75">
      <c r="A146" s="10"/>
      <c r="B146" s="26" t="s">
        <v>214</v>
      </c>
      <c r="C146" s="11" t="s">
        <v>223</v>
      </c>
      <c r="D146" s="11" t="s">
        <v>247</v>
      </c>
      <c r="E146" s="13" t="s">
        <v>23</v>
      </c>
      <c r="F146" s="13" t="s">
        <v>24</v>
      </c>
      <c r="G146" s="33" t="s">
        <v>268</v>
      </c>
      <c r="H146" s="34" t="s">
        <v>26</v>
      </c>
      <c r="I146" s="13" t="s">
        <v>26</v>
      </c>
      <c r="J146" s="13" t="s">
        <v>26</v>
      </c>
      <c r="K146" s="13" t="s">
        <v>26</v>
      </c>
      <c r="L146" s="13" t="s">
        <v>28</v>
      </c>
      <c r="M146" s="52" t="str" cm="1">
        <f t="array" ref="M146">_xlfn.IFS(COUNTIF(I146:L146,"Fail")&gt;0, "Fail", COUNTIF(I146:L146,"Pending")&gt;0, "Pending", COUNTIF(I146:L146,"Pass")&gt;0, "Pass", TRUE, "")</f>
        <v>Fail</v>
      </c>
      <c r="N146" s="13" t="s">
        <v>29</v>
      </c>
      <c r="O146" s="13"/>
      <c r="P146" s="44" t="s">
        <v>269</v>
      </c>
      <c r="Q146" s="61" t="s">
        <v>29</v>
      </c>
      <c r="R146" s="68" t="s">
        <v>32</v>
      </c>
      <c r="S146" s="2" t="s">
        <v>32</v>
      </c>
      <c r="T146" s="128" t="s">
        <v>270</v>
      </c>
      <c r="U146" s="128" t="s">
        <v>270</v>
      </c>
    </row>
    <row r="147" spans="1:21">
      <c r="A147" s="10">
        <v>2</v>
      </c>
      <c r="B147" s="26" t="s">
        <v>271</v>
      </c>
      <c r="C147" s="11" t="s">
        <v>223</v>
      </c>
      <c r="D147" s="12" t="s">
        <v>272</v>
      </c>
      <c r="E147" s="13"/>
      <c r="F147" s="36" t="s">
        <v>273</v>
      </c>
      <c r="G147" s="37" t="s">
        <v>274</v>
      </c>
      <c r="H147" s="15" t="s">
        <v>34</v>
      </c>
      <c r="I147" s="13" t="s">
        <v>27</v>
      </c>
      <c r="J147" s="13" t="s">
        <v>27</v>
      </c>
      <c r="K147" s="13" t="s">
        <v>27</v>
      </c>
      <c r="L147" s="13" t="s">
        <v>28</v>
      </c>
      <c r="M147" s="52" t="str" cm="1">
        <f t="array" ref="M147">_xlfn.IFS(COUNTIF(I147:L147,"Fail")&gt;0, "Fail", COUNTIF(I147:L147,"Pending")&gt;0, "Pending", COUNTIF(I147:L147,"Pass")&gt;0, "Pass", TRUE, "")</f>
        <v>Pass</v>
      </c>
      <c r="N147" s="13"/>
      <c r="O147" s="13"/>
      <c r="P147" s="44"/>
      <c r="Q147" s="13"/>
      <c r="R147" s="52"/>
      <c r="S147" s="2"/>
      <c r="T147" s="69"/>
    </row>
    <row r="148" spans="1:21">
      <c r="A148" s="10">
        <v>3</v>
      </c>
      <c r="B148" s="26" t="s">
        <v>271</v>
      </c>
      <c r="C148" s="11" t="s">
        <v>223</v>
      </c>
      <c r="D148" s="12" t="s">
        <v>272</v>
      </c>
      <c r="E148" s="13"/>
      <c r="F148" s="36" t="s">
        <v>275</v>
      </c>
      <c r="G148" s="37" t="s">
        <v>276</v>
      </c>
      <c r="H148" s="15" t="s">
        <v>34</v>
      </c>
      <c r="I148" s="13" t="s">
        <v>28</v>
      </c>
      <c r="J148" s="13" t="s">
        <v>28</v>
      </c>
      <c r="K148" s="13" t="s">
        <v>27</v>
      </c>
      <c r="L148" s="13" t="s">
        <v>28</v>
      </c>
      <c r="M148" s="52" t="str" cm="1">
        <f t="array" ref="M148">_xlfn.IFS(COUNTIF(I148:L148,"Fail")&gt;0, "Fail", COUNTIF(I148:L148,"Pending")&gt;0, "Pending", COUNTIF(I148:L148,"Pass")&gt;0, "Pass", TRUE, "")</f>
        <v>Pass</v>
      </c>
      <c r="N148" s="13"/>
      <c r="O148" s="13"/>
      <c r="P148" s="44"/>
      <c r="Q148" s="13"/>
      <c r="R148" s="52"/>
      <c r="S148" s="2"/>
      <c r="T148" s="69"/>
    </row>
    <row r="149" spans="1:21">
      <c r="A149" s="10">
        <v>4</v>
      </c>
      <c r="B149" s="26" t="s">
        <v>271</v>
      </c>
      <c r="C149" s="11" t="s">
        <v>223</v>
      </c>
      <c r="D149" s="12" t="s">
        <v>272</v>
      </c>
      <c r="E149" s="13"/>
      <c r="F149" s="36" t="s">
        <v>275</v>
      </c>
      <c r="G149" s="37" t="s">
        <v>277</v>
      </c>
      <c r="H149" s="15" t="s">
        <v>34</v>
      </c>
      <c r="I149" s="13" t="s">
        <v>28</v>
      </c>
      <c r="J149" s="13" t="s">
        <v>28</v>
      </c>
      <c r="K149" s="13" t="s">
        <v>27</v>
      </c>
      <c r="L149" s="13" t="s">
        <v>28</v>
      </c>
      <c r="M149" s="52" t="str" cm="1">
        <f t="array" ref="M149">_xlfn.IFS(COUNTIF(I149:L149,"Fail")&gt;0, "Fail", COUNTIF(I149:L149,"Pending")&gt;0, "Pending", COUNTIF(I149:L149,"Pass")&gt;0, "Pass", TRUE, "")</f>
        <v>Pass</v>
      </c>
      <c r="N149" s="13"/>
      <c r="O149" s="13"/>
      <c r="P149" s="44"/>
      <c r="Q149" s="13"/>
      <c r="R149" s="52"/>
      <c r="S149" s="2"/>
      <c r="T149" s="69"/>
    </row>
    <row r="150" spans="1:21">
      <c r="A150" s="10">
        <v>5</v>
      </c>
      <c r="B150" s="26" t="s">
        <v>271</v>
      </c>
      <c r="C150" s="11" t="s">
        <v>223</v>
      </c>
      <c r="D150" s="12" t="s">
        <v>272</v>
      </c>
      <c r="E150" s="13"/>
      <c r="F150" s="36" t="s">
        <v>275</v>
      </c>
      <c r="G150" s="37" t="s">
        <v>278</v>
      </c>
      <c r="H150" s="15" t="s">
        <v>34</v>
      </c>
      <c r="I150" s="13" t="s">
        <v>27</v>
      </c>
      <c r="J150" s="13" t="s">
        <v>27</v>
      </c>
      <c r="K150" s="13" t="s">
        <v>27</v>
      </c>
      <c r="L150" s="13" t="s">
        <v>28</v>
      </c>
      <c r="M150" s="52" t="str" cm="1">
        <f t="array" ref="M150">_xlfn.IFS(COUNTIF(I150:L150,"Fail")&gt;0, "Fail", COUNTIF(I150:L150,"Pending")&gt;0, "Pending", COUNTIF(I150:L150,"Pass")&gt;0, "Pass", TRUE, "")</f>
        <v>Pass</v>
      </c>
      <c r="N150" s="13"/>
      <c r="O150" s="13"/>
      <c r="P150" s="44"/>
      <c r="Q150" s="13"/>
      <c r="R150" s="52"/>
      <c r="S150" s="2"/>
      <c r="T150" s="69"/>
    </row>
    <row r="151" spans="1:21">
      <c r="A151" s="10">
        <v>6</v>
      </c>
      <c r="B151" s="26" t="s">
        <v>271</v>
      </c>
      <c r="C151" s="11" t="s">
        <v>223</v>
      </c>
      <c r="D151" s="12" t="s">
        <v>272</v>
      </c>
      <c r="E151" s="13"/>
      <c r="F151" s="36" t="s">
        <v>80</v>
      </c>
      <c r="G151" s="37" t="s">
        <v>279</v>
      </c>
      <c r="H151" s="15" t="s">
        <v>34</v>
      </c>
      <c r="I151" s="13" t="s">
        <v>27</v>
      </c>
      <c r="J151" s="13" t="s">
        <v>27</v>
      </c>
      <c r="K151" s="13" t="s">
        <v>27</v>
      </c>
      <c r="L151" s="13" t="s">
        <v>28</v>
      </c>
      <c r="M151" s="52" t="str" cm="1">
        <f t="array" ref="M151">_xlfn.IFS(COUNTIF(I151:L151,"Fail")&gt;0, "Fail", COUNTIF(I151:L151,"Pending")&gt;0, "Pending", COUNTIF(I151:L151,"Pass")&gt;0, "Pass", TRUE, "")</f>
        <v>Pass</v>
      </c>
      <c r="N151" s="13"/>
      <c r="O151" s="13"/>
      <c r="P151" s="44"/>
      <c r="Q151" s="13"/>
      <c r="R151" s="52"/>
      <c r="S151" s="2"/>
      <c r="T151" s="69"/>
    </row>
    <row r="152" spans="1:21" ht="159">
      <c r="A152" s="10">
        <v>7</v>
      </c>
      <c r="B152" s="26" t="s">
        <v>271</v>
      </c>
      <c r="C152" s="11" t="s">
        <v>223</v>
      </c>
      <c r="D152" s="12" t="s">
        <v>272</v>
      </c>
      <c r="E152" s="13"/>
      <c r="F152" s="36" t="s">
        <v>275</v>
      </c>
      <c r="G152" s="39" t="s">
        <v>280</v>
      </c>
      <c r="H152" s="38" t="s">
        <v>26</v>
      </c>
      <c r="I152" s="13" t="s">
        <v>28</v>
      </c>
      <c r="J152" s="13" t="s">
        <v>28</v>
      </c>
      <c r="K152" s="13" t="s">
        <v>27</v>
      </c>
      <c r="L152" s="13" t="s">
        <v>28</v>
      </c>
      <c r="M152" s="52" t="str" cm="1">
        <f t="array" ref="M152">_xlfn.IFS(COUNTIF(I152:L152,"Fail")&gt;0, "Fail", COUNTIF(I152:L152,"Pending")&gt;0, "Pending", COUNTIF(I152:L152,"Pass")&gt;0, "Pass", TRUE, "")</f>
        <v>Pass</v>
      </c>
      <c r="N152" s="13" t="s">
        <v>38</v>
      </c>
      <c r="O152" s="13"/>
      <c r="P152" s="44" t="s">
        <v>281</v>
      </c>
      <c r="Q152" s="61" t="s">
        <v>29</v>
      </c>
      <c r="R152" s="68" t="s">
        <v>32</v>
      </c>
      <c r="S152" s="2" t="s">
        <v>32</v>
      </c>
      <c r="T152" s="134" t="s">
        <v>32</v>
      </c>
      <c r="U152" s="105" t="s">
        <v>32</v>
      </c>
    </row>
    <row r="153" spans="1:21">
      <c r="A153" s="10">
        <v>8</v>
      </c>
      <c r="B153" s="26" t="s">
        <v>271</v>
      </c>
      <c r="C153" s="11" t="s">
        <v>223</v>
      </c>
      <c r="D153" s="12" t="s">
        <v>272</v>
      </c>
      <c r="E153" s="13"/>
      <c r="F153" s="36" t="s">
        <v>80</v>
      </c>
      <c r="G153" s="37" t="s">
        <v>282</v>
      </c>
      <c r="H153" s="15" t="s">
        <v>34</v>
      </c>
      <c r="I153" s="13" t="s">
        <v>27</v>
      </c>
      <c r="J153" s="13" t="s">
        <v>27</v>
      </c>
      <c r="K153" s="13" t="s">
        <v>27</v>
      </c>
      <c r="L153" s="13" t="s">
        <v>28</v>
      </c>
      <c r="M153" s="52" t="str" cm="1">
        <f t="array" ref="M153">_xlfn.IFS(COUNTIF(I153:L153,"Fail")&gt;0, "Fail", COUNTIF(I153:L153,"Pending")&gt;0, "Pending", COUNTIF(I153:L153,"Pass")&gt;0, "Pass", TRUE, "")</f>
        <v>Pass</v>
      </c>
      <c r="N153" s="13"/>
      <c r="O153" s="13"/>
      <c r="P153" s="44"/>
      <c r="Q153" s="13"/>
      <c r="R153" s="52"/>
      <c r="S153" s="2"/>
      <c r="T153" s="69"/>
    </row>
    <row r="154" spans="1:21">
      <c r="A154" s="10">
        <v>10</v>
      </c>
      <c r="B154" s="26" t="s">
        <v>271</v>
      </c>
      <c r="C154" s="11" t="s">
        <v>223</v>
      </c>
      <c r="D154" s="12" t="s">
        <v>272</v>
      </c>
      <c r="E154" s="13"/>
      <c r="F154" s="36" t="s">
        <v>80</v>
      </c>
      <c r="G154" s="37" t="s">
        <v>283</v>
      </c>
      <c r="H154" s="15" t="s">
        <v>34</v>
      </c>
      <c r="I154" s="13" t="s">
        <v>27</v>
      </c>
      <c r="J154" s="13" t="s">
        <v>27</v>
      </c>
      <c r="K154" s="13" t="s">
        <v>27</v>
      </c>
      <c r="L154" s="13" t="s">
        <v>28</v>
      </c>
      <c r="M154" s="52" t="str" cm="1">
        <f t="array" ref="M154">_xlfn.IFS(COUNTIF(I154:L154,"Fail")&gt;0, "Fail", COUNTIF(I154:L154,"Pending")&gt;0, "Pending", COUNTIF(I154:L154,"Pass")&gt;0, "Pass", TRUE, "")</f>
        <v>Pass</v>
      </c>
      <c r="N154" s="13"/>
      <c r="O154" s="13"/>
      <c r="P154" s="44"/>
      <c r="Q154" s="13"/>
      <c r="R154" s="52"/>
      <c r="S154" s="2"/>
      <c r="T154" s="69"/>
    </row>
    <row r="155" spans="1:21">
      <c r="A155" s="10">
        <v>11</v>
      </c>
      <c r="B155" s="26" t="s">
        <v>271</v>
      </c>
      <c r="C155" s="11" t="s">
        <v>223</v>
      </c>
      <c r="D155" s="12" t="s">
        <v>272</v>
      </c>
      <c r="E155" s="13"/>
      <c r="F155" s="36" t="s">
        <v>80</v>
      </c>
      <c r="G155" s="37" t="s">
        <v>284</v>
      </c>
      <c r="H155" s="15" t="s">
        <v>34</v>
      </c>
      <c r="I155" s="13" t="s">
        <v>27</v>
      </c>
      <c r="J155" s="13" t="s">
        <v>27</v>
      </c>
      <c r="K155" s="13" t="s">
        <v>27</v>
      </c>
      <c r="L155" s="13" t="s">
        <v>28</v>
      </c>
      <c r="M155" s="52" t="str" cm="1">
        <f t="array" ref="M155">_xlfn.IFS(COUNTIF(I155:L155,"Fail")&gt;0, "Fail", COUNTIF(I155:L155,"Pending")&gt;0, "Pending", COUNTIF(I155:L155,"Pass")&gt;0, "Pass", TRUE, "")</f>
        <v>Pass</v>
      </c>
      <c r="N155" s="13"/>
      <c r="O155" s="13"/>
      <c r="P155" s="44"/>
      <c r="Q155" s="13"/>
      <c r="R155" s="52"/>
      <c r="S155" s="2"/>
      <c r="T155" s="69"/>
    </row>
    <row r="156" spans="1:21" ht="72.75">
      <c r="A156" s="10">
        <v>12</v>
      </c>
      <c r="B156" s="26" t="s">
        <v>271</v>
      </c>
      <c r="C156" s="11" t="s">
        <v>223</v>
      </c>
      <c r="D156" s="12" t="s">
        <v>272</v>
      </c>
      <c r="E156" s="13"/>
      <c r="F156" s="36" t="s">
        <v>80</v>
      </c>
      <c r="G156" s="39" t="s">
        <v>285</v>
      </c>
      <c r="H156" s="38" t="s">
        <v>26</v>
      </c>
      <c r="I156" s="13" t="s">
        <v>27</v>
      </c>
      <c r="J156" s="13" t="s">
        <v>27</v>
      </c>
      <c r="K156" s="13" t="s">
        <v>27</v>
      </c>
      <c r="L156" s="13" t="s">
        <v>28</v>
      </c>
      <c r="M156" s="52" t="str" cm="1">
        <f t="array" ref="M156">_xlfn.IFS(COUNTIF(I156:L156,"Fail")&gt;0, "Fail", COUNTIF(I156:L156,"Pending")&gt;0, "Pending", COUNTIF(I156:L156,"Pass")&gt;0, "Pass", TRUE, "")</f>
        <v>Pass</v>
      </c>
      <c r="N156" s="13" t="s">
        <v>38</v>
      </c>
      <c r="O156" s="13"/>
      <c r="P156" s="44" t="s">
        <v>286</v>
      </c>
      <c r="Q156" s="61" t="s">
        <v>29</v>
      </c>
      <c r="R156" s="68" t="s">
        <v>32</v>
      </c>
      <c r="S156" s="78" t="s">
        <v>32</v>
      </c>
      <c r="T156" s="134" t="s">
        <v>32</v>
      </c>
      <c r="U156" s="131" t="s">
        <v>32</v>
      </c>
    </row>
    <row r="157" spans="1:21" ht="72.75">
      <c r="A157" s="10">
        <v>13</v>
      </c>
      <c r="B157" s="26" t="s">
        <v>271</v>
      </c>
      <c r="C157" s="11" t="s">
        <v>223</v>
      </c>
      <c r="D157" s="12" t="s">
        <v>272</v>
      </c>
      <c r="E157" s="13"/>
      <c r="F157" s="36" t="s">
        <v>80</v>
      </c>
      <c r="G157" s="39" t="s">
        <v>287</v>
      </c>
      <c r="H157" s="38" t="s">
        <v>26</v>
      </c>
      <c r="I157" s="13" t="s">
        <v>27</v>
      </c>
      <c r="J157" s="13" t="s">
        <v>27</v>
      </c>
      <c r="K157" s="13" t="s">
        <v>27</v>
      </c>
      <c r="L157" s="13" t="s">
        <v>28</v>
      </c>
      <c r="M157" s="52" t="str" cm="1">
        <f t="array" ref="M157">_xlfn.IFS(COUNTIF(I157:L157,"Fail")&gt;0, "Fail", COUNTIF(I157:L157,"Pending")&gt;0, "Pending", COUNTIF(I157:L157,"Pass")&gt;0, "Pass", TRUE, "")</f>
        <v>Pass</v>
      </c>
      <c r="N157" s="13" t="s">
        <v>29</v>
      </c>
      <c r="O157" s="13"/>
      <c r="P157" s="44" t="s">
        <v>288</v>
      </c>
      <c r="Q157" s="61" t="s">
        <v>29</v>
      </c>
      <c r="R157" s="68" t="s">
        <v>32</v>
      </c>
      <c r="S157" s="77" t="s">
        <v>32</v>
      </c>
      <c r="T157" s="134" t="s">
        <v>32</v>
      </c>
      <c r="U157" s="105" t="s">
        <v>32</v>
      </c>
    </row>
    <row r="158" spans="1:21">
      <c r="A158" s="10">
        <v>14</v>
      </c>
      <c r="B158" s="26" t="s">
        <v>271</v>
      </c>
      <c r="C158" s="11" t="s">
        <v>223</v>
      </c>
      <c r="D158" s="12" t="s">
        <v>272</v>
      </c>
      <c r="E158" s="13"/>
      <c r="F158" s="36" t="s">
        <v>80</v>
      </c>
      <c r="G158" s="37" t="s">
        <v>289</v>
      </c>
      <c r="H158" s="15" t="s">
        <v>34</v>
      </c>
      <c r="I158" s="13" t="s">
        <v>27</v>
      </c>
      <c r="J158" s="13" t="s">
        <v>27</v>
      </c>
      <c r="K158" s="13" t="s">
        <v>27</v>
      </c>
      <c r="L158" s="13" t="s">
        <v>28</v>
      </c>
      <c r="M158" s="52" t="str" cm="1">
        <f t="array" ref="M158">_xlfn.IFS(COUNTIF(I158:L158,"Fail")&gt;0, "Fail", COUNTIF(I158:L158,"Pending")&gt;0, "Pending", COUNTIF(I158:L158,"Pass")&gt;0, "Pass", TRUE, "")</f>
        <v>Pass</v>
      </c>
      <c r="N158" s="13"/>
      <c r="O158" s="13"/>
      <c r="P158" s="44"/>
      <c r="Q158" s="13"/>
      <c r="R158" s="52"/>
      <c r="S158" s="2"/>
      <c r="T158" s="69"/>
    </row>
    <row r="159" spans="1:21" ht="144.75">
      <c r="A159" s="10">
        <v>15</v>
      </c>
      <c r="B159" s="26" t="s">
        <v>271</v>
      </c>
      <c r="C159" s="11" t="s">
        <v>223</v>
      </c>
      <c r="D159" s="12" t="s">
        <v>272</v>
      </c>
      <c r="E159" s="13"/>
      <c r="F159" s="36" t="s">
        <v>275</v>
      </c>
      <c r="G159" s="39" t="s">
        <v>290</v>
      </c>
      <c r="H159" s="38" t="s">
        <v>26</v>
      </c>
      <c r="I159" s="13" t="s">
        <v>27</v>
      </c>
      <c r="J159" s="13" t="s">
        <v>27</v>
      </c>
      <c r="K159" s="13" t="s">
        <v>27</v>
      </c>
      <c r="L159" s="13" t="s">
        <v>28</v>
      </c>
      <c r="M159" s="52" t="str" cm="1">
        <f t="array" ref="M159">_xlfn.IFS(COUNTIF(I159:L159,"Fail")&gt;0, "Fail", COUNTIF(I159:L159,"Pending")&gt;0, "Pending", COUNTIF(I159:L159,"Pass")&gt;0, "Pass", TRUE, "")</f>
        <v>Pass</v>
      </c>
      <c r="N159" s="13" t="s">
        <v>38</v>
      </c>
      <c r="O159" s="13"/>
      <c r="P159" s="44" t="s">
        <v>291</v>
      </c>
      <c r="Q159" s="61" t="s">
        <v>29</v>
      </c>
      <c r="R159" s="68" t="s">
        <v>31</v>
      </c>
      <c r="S159" s="77" t="s">
        <v>32</v>
      </c>
      <c r="T159" s="134" t="s">
        <v>31</v>
      </c>
      <c r="U159" s="105" t="s">
        <v>32</v>
      </c>
    </row>
    <row r="160" spans="1:21" ht="101.25">
      <c r="A160" s="10">
        <v>17</v>
      </c>
      <c r="B160" s="26" t="s">
        <v>271</v>
      </c>
      <c r="C160" s="11" t="s">
        <v>223</v>
      </c>
      <c r="D160" s="12" t="s">
        <v>272</v>
      </c>
      <c r="E160" s="13"/>
      <c r="F160" s="56" t="s">
        <v>80</v>
      </c>
      <c r="G160" s="39" t="s">
        <v>292</v>
      </c>
      <c r="H160" s="38" t="s">
        <v>26</v>
      </c>
      <c r="I160" s="13" t="s">
        <v>27</v>
      </c>
      <c r="J160" s="13" t="s">
        <v>27</v>
      </c>
      <c r="K160" s="13" t="s">
        <v>27</v>
      </c>
      <c r="L160" s="13" t="s">
        <v>28</v>
      </c>
      <c r="M160" s="52" t="str" cm="1">
        <f t="array" ref="M160">_xlfn.IFS(COUNTIF(I160:L160,"Fail")&gt;0, "Fail", COUNTIF(I160:L160,"Pending")&gt;0, "Pending", COUNTIF(I160:L160,"Pass")&gt;0, "Pass", TRUE, "")</f>
        <v>Pass</v>
      </c>
      <c r="N160" s="13" t="s">
        <v>38</v>
      </c>
      <c r="O160" s="13"/>
      <c r="P160" s="44" t="s">
        <v>293</v>
      </c>
      <c r="Q160" s="61" t="s">
        <v>29</v>
      </c>
      <c r="R160" s="68" t="s">
        <v>31</v>
      </c>
      <c r="S160" s="77" t="s">
        <v>32</v>
      </c>
      <c r="T160" s="134" t="s">
        <v>31</v>
      </c>
      <c r="U160" s="105" t="s">
        <v>32</v>
      </c>
    </row>
    <row r="161" spans="1:21" ht="101.25">
      <c r="A161" s="10">
        <v>18</v>
      </c>
      <c r="B161" s="26" t="s">
        <v>271</v>
      </c>
      <c r="C161" s="11" t="s">
        <v>223</v>
      </c>
      <c r="D161" s="12" t="s">
        <v>272</v>
      </c>
      <c r="E161" s="13"/>
      <c r="F161" s="56" t="s">
        <v>80</v>
      </c>
      <c r="G161" s="39" t="s">
        <v>294</v>
      </c>
      <c r="H161" s="38" t="s">
        <v>26</v>
      </c>
      <c r="I161" s="13" t="s">
        <v>27</v>
      </c>
      <c r="J161" s="13" t="s">
        <v>27</v>
      </c>
      <c r="K161" s="13" t="s">
        <v>27</v>
      </c>
      <c r="L161" s="13" t="s">
        <v>28</v>
      </c>
      <c r="M161" s="52" t="str" cm="1">
        <f t="array" ref="M161">_xlfn.IFS(COUNTIF(I161:L161,"Fail")&gt;0, "Fail", COUNTIF(I161:L161,"Pending")&gt;0, "Pending", COUNTIF(I161:L161,"Pass")&gt;0, "Pass", TRUE, "")</f>
        <v>Pass</v>
      </c>
      <c r="N161" s="13" t="s">
        <v>38</v>
      </c>
      <c r="O161" s="13"/>
      <c r="P161" s="44" t="s">
        <v>293</v>
      </c>
      <c r="Q161" s="61" t="s">
        <v>29</v>
      </c>
      <c r="R161" s="68" t="s">
        <v>31</v>
      </c>
      <c r="S161" s="77" t="s">
        <v>32</v>
      </c>
      <c r="T161" s="134" t="s">
        <v>31</v>
      </c>
      <c r="U161" s="105" t="s">
        <v>32</v>
      </c>
    </row>
    <row r="162" spans="1:21">
      <c r="A162" s="10">
        <v>19</v>
      </c>
      <c r="B162" s="26" t="s">
        <v>271</v>
      </c>
      <c r="C162" s="11" t="s">
        <v>223</v>
      </c>
      <c r="D162" s="12" t="s">
        <v>272</v>
      </c>
      <c r="E162" s="13"/>
      <c r="F162" s="36" t="s">
        <v>80</v>
      </c>
      <c r="G162" s="37" t="s">
        <v>295</v>
      </c>
      <c r="H162" s="15" t="s">
        <v>34</v>
      </c>
      <c r="I162" s="13" t="s">
        <v>27</v>
      </c>
      <c r="J162" s="13" t="s">
        <v>27</v>
      </c>
      <c r="K162" s="13" t="s">
        <v>27</v>
      </c>
      <c r="L162" s="13" t="s">
        <v>28</v>
      </c>
      <c r="M162" s="52" t="str" cm="1">
        <f t="array" ref="M162">_xlfn.IFS(COUNTIF(I162:L162,"Fail")&gt;0, "Fail", COUNTIF(I162:L162,"Pending")&gt;0, "Pending", COUNTIF(I162:L162,"Pass")&gt;0, "Pass", TRUE, "")</f>
        <v>Pass</v>
      </c>
      <c r="N162" s="13"/>
      <c r="O162" s="13"/>
      <c r="P162" s="44"/>
      <c r="Q162" s="13"/>
      <c r="R162" s="52"/>
      <c r="S162" s="2"/>
      <c r="T162" s="69"/>
    </row>
    <row r="163" spans="1:21">
      <c r="A163" s="10">
        <v>20</v>
      </c>
      <c r="B163" s="26" t="s">
        <v>271</v>
      </c>
      <c r="C163" s="11" t="s">
        <v>223</v>
      </c>
      <c r="D163" s="12" t="s">
        <v>272</v>
      </c>
      <c r="E163" s="13"/>
      <c r="F163" s="36" t="s">
        <v>80</v>
      </c>
      <c r="G163" s="37" t="s">
        <v>296</v>
      </c>
      <c r="H163" s="15" t="s">
        <v>34</v>
      </c>
      <c r="I163" s="13" t="s">
        <v>27</v>
      </c>
      <c r="J163" s="13" t="s">
        <v>27</v>
      </c>
      <c r="K163" s="13" t="s">
        <v>27</v>
      </c>
      <c r="L163" s="13" t="s">
        <v>28</v>
      </c>
      <c r="M163" s="52" t="str" cm="1">
        <f t="array" ref="M163">_xlfn.IFS(COUNTIF(I163:L163,"Fail")&gt;0, "Fail", COUNTIF(I163:L163,"Pending")&gt;0, "Pending", COUNTIF(I163:L163,"Pass")&gt;0, "Pass", TRUE, "")</f>
        <v>Pass</v>
      </c>
      <c r="N163" s="13"/>
      <c r="O163" s="13"/>
      <c r="P163" s="44"/>
      <c r="Q163" s="13"/>
      <c r="R163" s="52"/>
      <c r="S163" s="2"/>
      <c r="T163" s="69"/>
    </row>
    <row r="164" spans="1:21" ht="144.75">
      <c r="A164" s="10">
        <v>21</v>
      </c>
      <c r="B164" s="26" t="s">
        <v>271</v>
      </c>
      <c r="C164" s="11" t="s">
        <v>223</v>
      </c>
      <c r="D164" s="12" t="s">
        <v>272</v>
      </c>
      <c r="E164" s="13"/>
      <c r="F164" s="36" t="s">
        <v>80</v>
      </c>
      <c r="G164" s="39" t="s">
        <v>297</v>
      </c>
      <c r="H164" s="38" t="s">
        <v>26</v>
      </c>
      <c r="I164" s="13" t="s">
        <v>27</v>
      </c>
      <c r="J164" s="13" t="s">
        <v>27</v>
      </c>
      <c r="K164" s="13" t="s">
        <v>27</v>
      </c>
      <c r="L164" s="13" t="s">
        <v>28</v>
      </c>
      <c r="M164" s="52" t="str" cm="1">
        <f t="array" ref="M164">_xlfn.IFS(COUNTIF(I164:L164,"Fail")&gt;0, "Fail", COUNTIF(I164:L164,"Pending")&gt;0, "Pending", COUNTIF(I164:L164,"Pass")&gt;0, "Pass", TRUE, "")</f>
        <v>Pass</v>
      </c>
      <c r="N164" s="13" t="s">
        <v>38</v>
      </c>
      <c r="O164" s="13"/>
      <c r="P164" s="44" t="s">
        <v>298</v>
      </c>
      <c r="Q164" s="61" t="s">
        <v>29</v>
      </c>
      <c r="R164" s="68" t="s">
        <v>31</v>
      </c>
      <c r="S164" s="77" t="s">
        <v>32</v>
      </c>
      <c r="T164" s="134" t="s">
        <v>31</v>
      </c>
      <c r="U164" s="105" t="s">
        <v>32</v>
      </c>
    </row>
    <row r="165" spans="1:21" ht="72.75">
      <c r="A165" s="10">
        <v>22</v>
      </c>
      <c r="B165" s="26" t="s">
        <v>271</v>
      </c>
      <c r="C165" s="11" t="s">
        <v>223</v>
      </c>
      <c r="D165" s="12" t="s">
        <v>272</v>
      </c>
      <c r="E165" s="13"/>
      <c r="F165" s="56" t="s">
        <v>80</v>
      </c>
      <c r="G165" s="39" t="s">
        <v>299</v>
      </c>
      <c r="H165" s="38" t="s">
        <v>26</v>
      </c>
      <c r="I165" s="13" t="s">
        <v>27</v>
      </c>
      <c r="J165" s="13" t="s">
        <v>27</v>
      </c>
      <c r="K165" s="13" t="s">
        <v>27</v>
      </c>
      <c r="L165" s="13" t="s">
        <v>28</v>
      </c>
      <c r="M165" s="52" t="str" cm="1">
        <f t="array" ref="M165">_xlfn.IFS(COUNTIF(I165:L165,"Fail")&gt;0, "Fail", COUNTIF(I165:L165,"Pending")&gt;0, "Pending", COUNTIF(I165:L165,"Pass")&gt;0, "Pass", TRUE, "")</f>
        <v>Pass</v>
      </c>
      <c r="N165" s="13" t="s">
        <v>38</v>
      </c>
      <c r="O165" s="13"/>
      <c r="P165" s="44" t="s">
        <v>300</v>
      </c>
      <c r="Q165" s="61" t="s">
        <v>29</v>
      </c>
      <c r="R165" s="68" t="s">
        <v>31</v>
      </c>
      <c r="S165" s="77" t="s">
        <v>32</v>
      </c>
      <c r="T165" s="134" t="s">
        <v>31</v>
      </c>
      <c r="U165" s="105" t="s">
        <v>32</v>
      </c>
    </row>
    <row r="166" spans="1:21">
      <c r="A166" s="10">
        <v>23</v>
      </c>
      <c r="B166" s="26" t="s">
        <v>271</v>
      </c>
      <c r="C166" s="11" t="s">
        <v>223</v>
      </c>
      <c r="D166" s="12" t="s">
        <v>272</v>
      </c>
      <c r="E166" s="13"/>
      <c r="F166" s="36" t="s">
        <v>80</v>
      </c>
      <c r="G166" s="37" t="s">
        <v>301</v>
      </c>
      <c r="H166" s="15" t="s">
        <v>34</v>
      </c>
      <c r="I166" s="13" t="s">
        <v>27</v>
      </c>
      <c r="J166" s="13" t="s">
        <v>27</v>
      </c>
      <c r="K166" s="13" t="s">
        <v>27</v>
      </c>
      <c r="L166" s="13" t="s">
        <v>28</v>
      </c>
      <c r="M166" s="52" t="str" cm="1">
        <f t="array" ref="M166">_xlfn.IFS(COUNTIF(I166:L166,"Fail")&gt;0, "Fail", COUNTIF(I166:L166,"Pending")&gt;0, "Pending", COUNTIF(I166:L166,"Pass")&gt;0, "Pass", TRUE, "")</f>
        <v>Pass</v>
      </c>
      <c r="N166" s="13"/>
      <c r="O166" s="13"/>
      <c r="P166" s="44"/>
      <c r="Q166" s="13"/>
      <c r="R166" s="52"/>
      <c r="S166" s="2"/>
      <c r="T166" s="69"/>
    </row>
    <row r="167" spans="1:21">
      <c r="A167" s="10">
        <v>24</v>
      </c>
      <c r="B167" s="26" t="s">
        <v>271</v>
      </c>
      <c r="C167" s="11" t="s">
        <v>223</v>
      </c>
      <c r="D167" s="12" t="s">
        <v>272</v>
      </c>
      <c r="E167" s="13"/>
      <c r="F167" s="36" t="s">
        <v>80</v>
      </c>
      <c r="G167" s="37" t="s">
        <v>302</v>
      </c>
      <c r="H167" s="15" t="s">
        <v>34</v>
      </c>
      <c r="I167" s="13" t="s">
        <v>27</v>
      </c>
      <c r="J167" s="13" t="s">
        <v>27</v>
      </c>
      <c r="K167" s="13" t="s">
        <v>27</v>
      </c>
      <c r="L167" s="13" t="s">
        <v>28</v>
      </c>
      <c r="M167" s="52" t="str" cm="1">
        <f t="array" ref="M167">_xlfn.IFS(COUNTIF(I167:L167,"Fail")&gt;0, "Fail", COUNTIF(I167:L167,"Pending")&gt;0, "Pending", COUNTIF(I167:L167,"Pass")&gt;0, "Pass", TRUE, "")</f>
        <v>Pass</v>
      </c>
      <c r="N167" s="13"/>
      <c r="O167" s="13"/>
      <c r="P167" s="44"/>
      <c r="Q167" s="13"/>
      <c r="R167" s="52"/>
      <c r="S167" s="2"/>
      <c r="T167" s="69"/>
    </row>
    <row r="168" spans="1:21" ht="159">
      <c r="A168" s="10">
        <v>25</v>
      </c>
      <c r="B168" s="26" t="s">
        <v>271</v>
      </c>
      <c r="C168" s="11" t="s">
        <v>223</v>
      </c>
      <c r="D168" s="12" t="s">
        <v>272</v>
      </c>
      <c r="E168" s="13"/>
      <c r="F168" s="36" t="s">
        <v>80</v>
      </c>
      <c r="G168" s="39" t="s">
        <v>303</v>
      </c>
      <c r="H168" s="38" t="s">
        <v>26</v>
      </c>
      <c r="I168" s="13" t="s">
        <v>27</v>
      </c>
      <c r="J168" s="13" t="s">
        <v>27</v>
      </c>
      <c r="K168" s="13" t="s">
        <v>27</v>
      </c>
      <c r="L168" s="13" t="s">
        <v>28</v>
      </c>
      <c r="M168" s="52" t="str" cm="1">
        <f t="array" ref="M168">_xlfn.IFS(COUNTIF(I168:L168,"Fail")&gt;0, "Fail", COUNTIF(I168:L168,"Pending")&gt;0, "Pending", COUNTIF(I168:L168,"Pass")&gt;0, "Pass", TRUE, "")</f>
        <v>Pass</v>
      </c>
      <c r="N168" s="13" t="s">
        <v>38</v>
      </c>
      <c r="O168" s="13"/>
      <c r="P168" s="44" t="s">
        <v>304</v>
      </c>
      <c r="Q168" s="61" t="s">
        <v>29</v>
      </c>
      <c r="R168" s="68" t="s">
        <v>32</v>
      </c>
      <c r="S168" s="77" t="s">
        <v>32</v>
      </c>
      <c r="T168" s="134" t="s">
        <v>32</v>
      </c>
      <c r="U168" s="105" t="s">
        <v>32</v>
      </c>
    </row>
    <row r="169" spans="1:21">
      <c r="A169" s="40">
        <v>26</v>
      </c>
      <c r="B169" s="26" t="s">
        <v>271</v>
      </c>
      <c r="C169" s="11" t="s">
        <v>223</v>
      </c>
      <c r="D169" s="12" t="s">
        <v>272</v>
      </c>
      <c r="E169" s="13"/>
      <c r="F169" s="41" t="s">
        <v>80</v>
      </c>
      <c r="G169" s="42" t="s">
        <v>305</v>
      </c>
      <c r="H169" s="15" t="s">
        <v>34</v>
      </c>
      <c r="I169" s="13" t="s">
        <v>27</v>
      </c>
      <c r="J169" s="13" t="s">
        <v>27</v>
      </c>
      <c r="K169" s="13" t="s">
        <v>27</v>
      </c>
      <c r="L169" s="13" t="s">
        <v>28</v>
      </c>
      <c r="M169" s="52" t="str" cm="1">
        <f t="array" ref="M169">_xlfn.IFS(COUNTIF(I169:L169,"Fail")&gt;0, "Fail", COUNTIF(I169:L169,"Pending")&gt;0, "Pending", COUNTIF(I169:L169,"Pass")&gt;0, "Pass", TRUE, "")</f>
        <v>Pass</v>
      </c>
      <c r="N169" s="13"/>
      <c r="O169" s="13"/>
      <c r="P169" s="44"/>
      <c r="Q169" s="13"/>
      <c r="R169" s="52"/>
      <c r="S169" s="2"/>
      <c r="T169" s="69"/>
    </row>
    <row r="170" spans="1:21" ht="115.5">
      <c r="A170" s="10">
        <v>27</v>
      </c>
      <c r="B170" s="26" t="s">
        <v>271</v>
      </c>
      <c r="C170" s="11" t="s">
        <v>223</v>
      </c>
      <c r="D170" s="12" t="s">
        <v>272</v>
      </c>
      <c r="E170" s="13"/>
      <c r="F170" s="36" t="s">
        <v>80</v>
      </c>
      <c r="G170" s="37" t="s">
        <v>306</v>
      </c>
      <c r="H170" s="15" t="s">
        <v>34</v>
      </c>
      <c r="I170" s="13" t="s">
        <v>27</v>
      </c>
      <c r="J170" s="13" t="s">
        <v>27</v>
      </c>
      <c r="K170" s="13" t="s">
        <v>27</v>
      </c>
      <c r="L170" s="13" t="s">
        <v>28</v>
      </c>
      <c r="M170" s="52" t="str" cm="1">
        <f t="array" ref="M170">_xlfn.IFS(COUNTIF(I170:L170,"Fail")&gt;0, "Fail", COUNTIF(I170:L170,"Pending")&gt;0, "Pending", COUNTIF(I170:L170,"Pass")&gt;0, "Pass", TRUE, "")</f>
        <v>Pass</v>
      </c>
      <c r="N170" s="13"/>
      <c r="O170" s="13"/>
      <c r="P170" s="44" t="s">
        <v>307</v>
      </c>
      <c r="Q170" s="13"/>
      <c r="R170" s="52"/>
      <c r="S170" s="2"/>
      <c r="T170" s="69"/>
    </row>
    <row r="171" spans="1:21" ht="101.25">
      <c r="A171" s="10">
        <v>28</v>
      </c>
      <c r="B171" s="26" t="s">
        <v>271</v>
      </c>
      <c r="C171" s="11" t="s">
        <v>223</v>
      </c>
      <c r="D171" s="12" t="s">
        <v>272</v>
      </c>
      <c r="E171" s="13"/>
      <c r="F171" s="36" t="s">
        <v>80</v>
      </c>
      <c r="G171" s="39" t="s">
        <v>308</v>
      </c>
      <c r="H171" s="38" t="s">
        <v>26</v>
      </c>
      <c r="I171" s="13" t="s">
        <v>27</v>
      </c>
      <c r="J171" s="13" t="s">
        <v>27</v>
      </c>
      <c r="K171" s="13" t="s">
        <v>27</v>
      </c>
      <c r="L171" s="13" t="s">
        <v>27</v>
      </c>
      <c r="M171" s="52" t="str" cm="1">
        <f t="array" ref="M171">_xlfn.IFS(COUNTIF(I171:L171,"Fail")&gt;0, "Fail", COUNTIF(I171:L171,"Pending")&gt;0, "Pending", COUNTIF(I171:L171,"Pass")&gt;0, "Pass", TRUE, "")</f>
        <v>Pass</v>
      </c>
      <c r="N171" s="13" t="s">
        <v>38</v>
      </c>
      <c r="O171" s="13"/>
      <c r="P171" s="44" t="s">
        <v>119</v>
      </c>
      <c r="Q171" s="61" t="s">
        <v>29</v>
      </c>
      <c r="R171" s="68" t="s">
        <v>32</v>
      </c>
      <c r="S171" s="77" t="s">
        <v>32</v>
      </c>
      <c r="T171" s="134" t="s">
        <v>32</v>
      </c>
      <c r="U171" s="105" t="s">
        <v>32</v>
      </c>
    </row>
    <row r="172" spans="1:21" ht="72.75">
      <c r="A172" s="10">
        <v>31</v>
      </c>
      <c r="B172" s="26" t="s">
        <v>271</v>
      </c>
      <c r="C172" s="11" t="s">
        <v>223</v>
      </c>
      <c r="D172" s="12" t="s">
        <v>272</v>
      </c>
      <c r="E172" s="13"/>
      <c r="F172" s="56" t="s">
        <v>80</v>
      </c>
      <c r="G172" s="39" t="s">
        <v>309</v>
      </c>
      <c r="H172" s="38" t="s">
        <v>26</v>
      </c>
      <c r="I172" s="13" t="s">
        <v>27</v>
      </c>
      <c r="J172" s="13" t="s">
        <v>27</v>
      </c>
      <c r="K172" s="13" t="s">
        <v>27</v>
      </c>
      <c r="L172" s="13" t="s">
        <v>28</v>
      </c>
      <c r="M172" s="52" t="str" cm="1">
        <f t="array" ref="M172">_xlfn.IFS(COUNTIF(I172:L172,"Fail")&gt;0, "Fail", COUNTIF(I172:L172,"Pending")&gt;0, "Pending", COUNTIF(I172:L172,"Pass")&gt;0, "Pass", TRUE, "")</f>
        <v>Pass</v>
      </c>
      <c r="N172" s="13" t="s">
        <v>38</v>
      </c>
      <c r="O172" s="13"/>
      <c r="P172" s="44" t="s">
        <v>310</v>
      </c>
      <c r="Q172" s="61" t="s">
        <v>29</v>
      </c>
      <c r="R172" s="68" t="s">
        <v>31</v>
      </c>
      <c r="S172" s="84" t="s">
        <v>32</v>
      </c>
      <c r="T172" s="134" t="s">
        <v>31</v>
      </c>
      <c r="U172" s="105" t="s">
        <v>32</v>
      </c>
    </row>
    <row r="173" spans="1:21">
      <c r="A173" s="10">
        <v>1</v>
      </c>
      <c r="B173" s="10"/>
      <c r="C173" s="11" t="s">
        <v>223</v>
      </c>
      <c r="D173" s="11" t="s">
        <v>311</v>
      </c>
      <c r="E173" s="13"/>
      <c r="F173" s="10" t="s">
        <v>312</v>
      </c>
      <c r="G173" s="12" t="s">
        <v>313</v>
      </c>
      <c r="H173" s="15" t="s">
        <v>34</v>
      </c>
      <c r="I173" s="13" t="s">
        <v>27</v>
      </c>
      <c r="J173" s="13" t="s">
        <v>27</v>
      </c>
      <c r="K173" s="13" t="s">
        <v>27</v>
      </c>
      <c r="L173" s="13" t="s">
        <v>28</v>
      </c>
      <c r="M173" s="52" t="str" cm="1">
        <f t="array" ref="M173">_xlfn.IFS(COUNTIF(I173:L173,"Fail")&gt;0, "Fail", COUNTIF(I173:L173,"Pending")&gt;0, "Pending", COUNTIF(I173:L173,"Pass")&gt;0, "Pass", TRUE, "")</f>
        <v>Pass</v>
      </c>
      <c r="N173" s="13"/>
      <c r="O173" s="13"/>
      <c r="P173" s="44"/>
      <c r="Q173" s="13"/>
      <c r="R173" s="52"/>
      <c r="S173" s="2"/>
      <c r="T173" s="69"/>
    </row>
    <row r="174" spans="1:21">
      <c r="A174" s="10">
        <v>3</v>
      </c>
      <c r="B174" s="10"/>
      <c r="C174" s="11" t="s">
        <v>223</v>
      </c>
      <c r="D174" s="11" t="s">
        <v>311</v>
      </c>
      <c r="E174" s="13"/>
      <c r="F174" s="10" t="s">
        <v>312</v>
      </c>
      <c r="G174" s="12" t="s">
        <v>314</v>
      </c>
      <c r="H174" s="15" t="s">
        <v>34</v>
      </c>
      <c r="I174" s="13" t="s">
        <v>27</v>
      </c>
      <c r="J174" s="13" t="s">
        <v>27</v>
      </c>
      <c r="K174" s="13" t="s">
        <v>27</v>
      </c>
      <c r="L174" s="13" t="s">
        <v>28</v>
      </c>
      <c r="M174" s="52" t="str" cm="1">
        <f t="array" ref="M174">_xlfn.IFS(COUNTIF(I174:L174,"Fail")&gt;0, "Fail", COUNTIF(I174:L174,"Pending")&gt;0, "Pending", COUNTIF(I174:L174,"Pass")&gt;0, "Pass", TRUE, "")</f>
        <v>Pass</v>
      </c>
      <c r="N174" s="13"/>
      <c r="O174" s="13"/>
      <c r="P174" s="44"/>
      <c r="Q174" s="13"/>
      <c r="R174" s="52"/>
      <c r="S174" s="2"/>
      <c r="T174" s="69"/>
    </row>
    <row r="175" spans="1:21" ht="216.75">
      <c r="A175" s="10">
        <v>6</v>
      </c>
      <c r="B175" s="10"/>
      <c r="C175" s="11" t="s">
        <v>223</v>
      </c>
      <c r="D175" s="11" t="s">
        <v>311</v>
      </c>
      <c r="E175" s="13"/>
      <c r="F175" s="10" t="s">
        <v>312</v>
      </c>
      <c r="G175" s="30" t="s">
        <v>315</v>
      </c>
      <c r="H175" s="26" t="s">
        <v>26</v>
      </c>
      <c r="I175" s="13" t="s">
        <v>27</v>
      </c>
      <c r="J175" s="13" t="s">
        <v>27</v>
      </c>
      <c r="K175" s="13" t="s">
        <v>27</v>
      </c>
      <c r="L175" s="13" t="s">
        <v>28</v>
      </c>
      <c r="M175" s="52" t="str" cm="1">
        <f t="array" ref="M175">_xlfn.IFS(COUNTIF(I175:L175,"Fail")&gt;0, "Fail", COUNTIF(I175:L175,"Pending")&gt;0, "Pending", COUNTIF(I175:L175,"Pass")&gt;0, "Pass", TRUE, "")</f>
        <v>Pass</v>
      </c>
      <c r="N175" s="13" t="s">
        <v>38</v>
      </c>
      <c r="O175" s="13"/>
      <c r="P175" s="44" t="s">
        <v>316</v>
      </c>
      <c r="Q175" s="61" t="s">
        <v>29</v>
      </c>
      <c r="R175" s="68" t="s">
        <v>31</v>
      </c>
      <c r="S175" s="77" t="s">
        <v>32</v>
      </c>
      <c r="T175" s="134" t="s">
        <v>31</v>
      </c>
      <c r="U175" s="105" t="s">
        <v>32</v>
      </c>
    </row>
    <row r="176" spans="1:21">
      <c r="A176" s="10">
        <v>7</v>
      </c>
      <c r="B176" s="10"/>
      <c r="C176" s="11" t="s">
        <v>223</v>
      </c>
      <c r="D176" s="11" t="s">
        <v>311</v>
      </c>
      <c r="E176" s="13"/>
      <c r="F176" s="10" t="s">
        <v>312</v>
      </c>
      <c r="G176" s="12" t="s">
        <v>317</v>
      </c>
      <c r="H176" s="15" t="s">
        <v>34</v>
      </c>
      <c r="I176" s="13" t="s">
        <v>27</v>
      </c>
      <c r="J176" s="13" t="s">
        <v>27</v>
      </c>
      <c r="K176" s="13" t="s">
        <v>27</v>
      </c>
      <c r="L176" s="13" t="s">
        <v>28</v>
      </c>
      <c r="M176" s="52" t="str" cm="1">
        <f t="array" ref="M176">_xlfn.IFS(COUNTIF(I176:L176,"Fail")&gt;0, "Fail", COUNTIF(I176:L176,"Pending")&gt;0, "Pending", COUNTIF(I176:L176,"Pass")&gt;0, "Pass", TRUE, "")</f>
        <v>Pass</v>
      </c>
      <c r="N176" s="13"/>
      <c r="O176" s="13"/>
      <c r="P176" s="44"/>
      <c r="Q176" s="13"/>
      <c r="R176" s="52"/>
      <c r="S176" s="2"/>
      <c r="T176" s="69"/>
    </row>
    <row r="177" spans="1:21" ht="231">
      <c r="A177" s="10">
        <v>8</v>
      </c>
      <c r="B177" s="10"/>
      <c r="C177" s="11" t="s">
        <v>223</v>
      </c>
      <c r="D177" s="11" t="s">
        <v>311</v>
      </c>
      <c r="E177" s="13"/>
      <c r="F177" s="10" t="s">
        <v>312</v>
      </c>
      <c r="G177" s="30" t="s">
        <v>318</v>
      </c>
      <c r="H177" s="26" t="s">
        <v>26</v>
      </c>
      <c r="I177" s="13" t="s">
        <v>27</v>
      </c>
      <c r="J177" s="13" t="s">
        <v>27</v>
      </c>
      <c r="K177" s="13" t="s">
        <v>27</v>
      </c>
      <c r="L177" s="13" t="s">
        <v>28</v>
      </c>
      <c r="M177" s="52" t="str" cm="1">
        <f t="array" ref="M177">_xlfn.IFS(COUNTIF(I177:L177,"Fail")&gt;0, "Fail", COUNTIF(I177:L177,"Pending")&gt;0, "Pending", COUNTIF(I177:L177,"Pass")&gt;0, "Pass", TRUE, "")</f>
        <v>Pass</v>
      </c>
      <c r="N177" s="13" t="s">
        <v>38</v>
      </c>
      <c r="O177" s="13"/>
      <c r="P177" s="44" t="s">
        <v>319</v>
      </c>
      <c r="Q177" s="61" t="s">
        <v>29</v>
      </c>
      <c r="R177" s="68" t="s">
        <v>32</v>
      </c>
      <c r="S177" s="77" t="s">
        <v>32</v>
      </c>
      <c r="T177" s="134" t="s">
        <v>32</v>
      </c>
      <c r="U177" s="131" t="s">
        <v>32</v>
      </c>
    </row>
    <row r="178" spans="1:21" ht="130.5">
      <c r="A178" s="10">
        <v>9</v>
      </c>
      <c r="B178" s="10"/>
      <c r="C178" s="11" t="s">
        <v>223</v>
      </c>
      <c r="D178" s="11" t="s">
        <v>311</v>
      </c>
      <c r="E178" s="13"/>
      <c r="F178" s="10" t="s">
        <v>312</v>
      </c>
      <c r="G178" s="30" t="s">
        <v>320</v>
      </c>
      <c r="H178" s="26" t="s">
        <v>26</v>
      </c>
      <c r="I178" s="13" t="s">
        <v>27</v>
      </c>
      <c r="J178" s="13" t="s">
        <v>26</v>
      </c>
      <c r="K178" s="13" t="s">
        <v>27</v>
      </c>
      <c r="L178" s="13" t="s">
        <v>28</v>
      </c>
      <c r="M178" s="52" t="str" cm="1">
        <f t="array" ref="M178">_xlfn.IFS(COUNTIF(I178:L178,"Fail")&gt;0, "Fail", COUNTIF(I178:L178,"Pending")&gt;0, "Pending", COUNTIF(I178:L178,"Pass")&gt;0, "Pass", TRUE, "")</f>
        <v>Fail</v>
      </c>
      <c r="N178" s="13" t="s">
        <v>29</v>
      </c>
      <c r="O178" s="104" t="s">
        <v>83</v>
      </c>
      <c r="P178" s="101" t="s">
        <v>321</v>
      </c>
      <c r="Q178" s="61" t="s">
        <v>29</v>
      </c>
      <c r="R178" s="68" t="s">
        <v>31</v>
      </c>
      <c r="S178" s="77" t="s">
        <v>322</v>
      </c>
      <c r="T178" s="128" t="s">
        <v>270</v>
      </c>
      <c r="U178" s="128" t="s">
        <v>270</v>
      </c>
    </row>
    <row r="179" spans="1:21" ht="188.25">
      <c r="A179" s="10">
        <v>10</v>
      </c>
      <c r="B179" s="10"/>
      <c r="C179" s="11" t="s">
        <v>223</v>
      </c>
      <c r="D179" s="11" t="s">
        <v>311</v>
      </c>
      <c r="E179" s="13"/>
      <c r="F179" s="10" t="s">
        <v>312</v>
      </c>
      <c r="G179" s="30" t="s">
        <v>323</v>
      </c>
      <c r="H179" s="26" t="s">
        <v>26</v>
      </c>
      <c r="I179" s="13" t="s">
        <v>27</v>
      </c>
      <c r="J179" s="13" t="s">
        <v>27</v>
      </c>
      <c r="K179" s="13" t="s">
        <v>27</v>
      </c>
      <c r="L179" s="13" t="s">
        <v>28</v>
      </c>
      <c r="M179" s="52" t="str" cm="1">
        <f t="array" ref="M179">_xlfn.IFS(COUNTIF(I179:L179,"Fail")&gt;0, "Fail", COUNTIF(I179:L179,"Pending")&gt;0, "Pending", COUNTIF(I179:L179,"Pass")&gt;0, "Pass", TRUE, "")</f>
        <v>Pass</v>
      </c>
      <c r="N179" s="13" t="s">
        <v>38</v>
      </c>
      <c r="O179" s="13"/>
      <c r="P179" s="44" t="s">
        <v>324</v>
      </c>
      <c r="Q179" s="61" t="s">
        <v>29</v>
      </c>
      <c r="R179" s="68" t="s">
        <v>31</v>
      </c>
      <c r="S179" s="2" t="s">
        <v>32</v>
      </c>
      <c r="T179" s="134" t="s">
        <v>31</v>
      </c>
      <c r="U179" s="105" t="s">
        <v>32</v>
      </c>
    </row>
    <row r="180" spans="1:21">
      <c r="A180" s="10">
        <v>11</v>
      </c>
      <c r="B180" s="10"/>
      <c r="C180" s="11" t="s">
        <v>223</v>
      </c>
      <c r="D180" s="11" t="s">
        <v>311</v>
      </c>
      <c r="E180" s="13"/>
      <c r="F180" s="10" t="s">
        <v>312</v>
      </c>
      <c r="G180" s="12" t="s">
        <v>325</v>
      </c>
      <c r="H180" s="15" t="s">
        <v>34</v>
      </c>
      <c r="I180" s="13" t="s">
        <v>27</v>
      </c>
      <c r="J180" s="13" t="s">
        <v>27</v>
      </c>
      <c r="K180" s="13" t="s">
        <v>27</v>
      </c>
      <c r="L180" s="13" t="s">
        <v>28</v>
      </c>
      <c r="M180" s="52" t="str" cm="1">
        <f t="array" ref="M180">_xlfn.IFS(COUNTIF(I180:L180,"Fail")&gt;0, "Fail", COUNTIF(I180:L180,"Pending")&gt;0, "Pending", COUNTIF(I180:L180,"Pass")&gt;0, "Pass", TRUE, "")</f>
        <v>Pass</v>
      </c>
      <c r="N180" s="13"/>
      <c r="O180" s="13"/>
      <c r="P180" s="44"/>
      <c r="Q180" s="13"/>
      <c r="R180" s="52"/>
      <c r="S180" s="2"/>
      <c r="T180" s="69"/>
    </row>
    <row r="181" spans="1:21" ht="87">
      <c r="A181" s="10">
        <v>12</v>
      </c>
      <c r="B181" s="10"/>
      <c r="C181" s="11" t="s">
        <v>223</v>
      </c>
      <c r="D181" s="11" t="s">
        <v>311</v>
      </c>
      <c r="E181" s="13"/>
      <c r="F181" s="10" t="s">
        <v>312</v>
      </c>
      <c r="G181" s="30" t="s">
        <v>326</v>
      </c>
      <c r="H181" s="26" t="s">
        <v>26</v>
      </c>
      <c r="I181" s="13" t="s">
        <v>28</v>
      </c>
      <c r="J181" s="13" t="s">
        <v>28</v>
      </c>
      <c r="K181" s="13" t="s">
        <v>28</v>
      </c>
      <c r="L181" s="13" t="s">
        <v>27</v>
      </c>
      <c r="M181" s="52" t="str" cm="1">
        <f t="array" ref="M181">_xlfn.IFS(COUNTIF(I181:L181,"Fail")&gt;0, "Fail", COUNTIF(I181:L181,"Pending")&gt;0, "Pending", COUNTIF(I181:L181,"Pass")&gt;0, "Pass", TRUE, "")</f>
        <v>Pass</v>
      </c>
      <c r="N181" s="13" t="s">
        <v>38</v>
      </c>
      <c r="O181" s="13"/>
      <c r="P181" s="44" t="s">
        <v>327</v>
      </c>
      <c r="Q181" s="61" t="s">
        <v>29</v>
      </c>
      <c r="R181" s="68" t="s">
        <v>31</v>
      </c>
      <c r="S181" s="77" t="s">
        <v>32</v>
      </c>
      <c r="T181" s="134" t="s">
        <v>31</v>
      </c>
      <c r="U181" s="105" t="s">
        <v>32</v>
      </c>
    </row>
    <row r="182" spans="1:21">
      <c r="A182" s="10">
        <v>15</v>
      </c>
      <c r="B182" s="10"/>
      <c r="C182" s="11" t="s">
        <v>223</v>
      </c>
      <c r="D182" s="11" t="s">
        <v>311</v>
      </c>
      <c r="E182" s="13"/>
      <c r="F182" s="10" t="s">
        <v>312</v>
      </c>
      <c r="G182" s="12" t="s">
        <v>328</v>
      </c>
      <c r="H182" s="15" t="s">
        <v>34</v>
      </c>
      <c r="I182" s="13" t="s">
        <v>27</v>
      </c>
      <c r="J182" s="13" t="s">
        <v>27</v>
      </c>
      <c r="K182" s="13" t="s">
        <v>27</v>
      </c>
      <c r="L182" s="13" t="s">
        <v>28</v>
      </c>
      <c r="M182" s="52" t="str" cm="1">
        <f t="array" ref="M182">_xlfn.IFS(COUNTIF(I182:L182,"Fail")&gt;0, "Fail", COUNTIF(I182:L182,"Pending")&gt;0, "Pending", COUNTIF(I182:L182,"Pass")&gt;0, "Pass", TRUE, "")</f>
        <v>Pass</v>
      </c>
      <c r="N182" s="13"/>
      <c r="O182" s="13"/>
      <c r="P182" s="44"/>
      <c r="Q182" s="13"/>
      <c r="R182" s="52"/>
      <c r="S182" s="2"/>
      <c r="T182" s="69"/>
    </row>
    <row r="183" spans="1:21">
      <c r="A183" s="10">
        <v>17</v>
      </c>
      <c r="B183" s="10"/>
      <c r="C183" s="11" t="s">
        <v>223</v>
      </c>
      <c r="D183" s="11" t="s">
        <v>311</v>
      </c>
      <c r="E183" s="13"/>
      <c r="F183" s="10" t="s">
        <v>329</v>
      </c>
      <c r="G183" s="12" t="s">
        <v>330</v>
      </c>
      <c r="H183" s="15" t="s">
        <v>34</v>
      </c>
      <c r="I183" s="13" t="s">
        <v>27</v>
      </c>
      <c r="J183" s="13" t="s">
        <v>27</v>
      </c>
      <c r="K183" s="13" t="s">
        <v>27</v>
      </c>
      <c r="L183" s="13" t="s">
        <v>27</v>
      </c>
      <c r="M183" s="52" t="str" cm="1">
        <f t="array" ref="M183">_xlfn.IFS(COUNTIF(I183:L183,"Fail")&gt;0, "Fail", COUNTIF(I183:L183,"Pending")&gt;0, "Pending", COUNTIF(I183:L183,"Pass")&gt;0, "Pass", TRUE, "")</f>
        <v>Pass</v>
      </c>
      <c r="N183" s="13"/>
      <c r="O183" s="13"/>
      <c r="P183" s="44"/>
      <c r="Q183" s="13"/>
      <c r="R183" s="52"/>
      <c r="S183" s="2"/>
      <c r="T183" s="69"/>
    </row>
    <row r="184" spans="1:21" ht="87">
      <c r="A184" s="10">
        <v>20</v>
      </c>
      <c r="B184" s="10"/>
      <c r="C184" s="11" t="s">
        <v>223</v>
      </c>
      <c r="D184" s="11" t="s">
        <v>311</v>
      </c>
      <c r="E184" s="13"/>
      <c r="F184" s="10" t="s">
        <v>312</v>
      </c>
      <c r="G184" s="30" t="s">
        <v>331</v>
      </c>
      <c r="H184" s="26" t="s">
        <v>26</v>
      </c>
      <c r="I184" s="13" t="s">
        <v>27</v>
      </c>
      <c r="J184" s="13" t="s">
        <v>27</v>
      </c>
      <c r="K184" s="13" t="s">
        <v>27</v>
      </c>
      <c r="L184" s="13" t="s">
        <v>28</v>
      </c>
      <c r="M184" s="52" t="str" cm="1">
        <f t="array" ref="M184">_xlfn.IFS(COUNTIF(I184:L184,"Fail")&gt;0, "Fail", COUNTIF(I184:L184,"Pending")&gt;0, "Pending", COUNTIF(I184:L184,"Pass")&gt;0, "Pass", TRUE, "")</f>
        <v>Pass</v>
      </c>
      <c r="N184" s="13" t="s">
        <v>38</v>
      </c>
      <c r="O184" s="13"/>
      <c r="P184" s="44" t="s">
        <v>332</v>
      </c>
      <c r="Q184" s="61" t="s">
        <v>29</v>
      </c>
      <c r="R184" s="68" t="s">
        <v>31</v>
      </c>
      <c r="S184" s="77" t="s">
        <v>32</v>
      </c>
      <c r="T184" s="134" t="s">
        <v>31</v>
      </c>
      <c r="U184" s="105" t="s">
        <v>32</v>
      </c>
    </row>
    <row r="185" spans="1:21" ht="144.75">
      <c r="A185" s="10">
        <v>21</v>
      </c>
      <c r="B185" s="10"/>
      <c r="C185" s="11" t="s">
        <v>223</v>
      </c>
      <c r="D185" s="11" t="s">
        <v>311</v>
      </c>
      <c r="E185" s="13"/>
      <c r="F185" s="10" t="s">
        <v>312</v>
      </c>
      <c r="G185" s="30" t="s">
        <v>333</v>
      </c>
      <c r="H185" s="26" t="s">
        <v>26</v>
      </c>
      <c r="I185" s="13" t="s">
        <v>27</v>
      </c>
      <c r="J185" s="13" t="s">
        <v>27</v>
      </c>
      <c r="K185" s="13" t="s">
        <v>27</v>
      </c>
      <c r="L185" s="13" t="s">
        <v>28</v>
      </c>
      <c r="M185" s="52" t="str" cm="1">
        <f t="array" ref="M185">_xlfn.IFS(COUNTIF(I185:L185,"Fail")&gt;0, "Fail", COUNTIF(I185:L185,"Pending")&gt;0, "Pending", COUNTIF(I185:L185,"Pass")&gt;0, "Pass", TRUE, "")</f>
        <v>Pass</v>
      </c>
      <c r="N185" s="13" t="s">
        <v>38</v>
      </c>
      <c r="O185" s="13"/>
      <c r="P185" s="44" t="s">
        <v>334</v>
      </c>
      <c r="Q185" s="61" t="s">
        <v>29</v>
      </c>
      <c r="R185" s="68" t="s">
        <v>32</v>
      </c>
      <c r="S185" s="2" t="s">
        <v>32</v>
      </c>
      <c r="T185" s="134" t="s">
        <v>32</v>
      </c>
      <c r="U185" s="105" t="s">
        <v>32</v>
      </c>
    </row>
    <row r="186" spans="1:21">
      <c r="A186" s="10">
        <v>22</v>
      </c>
      <c r="B186" s="10"/>
      <c r="C186" s="11" t="s">
        <v>223</v>
      </c>
      <c r="D186" s="11" t="s">
        <v>311</v>
      </c>
      <c r="E186" s="13"/>
      <c r="F186" s="10" t="s">
        <v>329</v>
      </c>
      <c r="G186" s="12" t="s">
        <v>335</v>
      </c>
      <c r="H186" s="15" t="s">
        <v>34</v>
      </c>
      <c r="I186" s="13" t="s">
        <v>28</v>
      </c>
      <c r="J186" s="13" t="s">
        <v>28</v>
      </c>
      <c r="K186" s="13" t="s">
        <v>28</v>
      </c>
      <c r="L186" s="13" t="s">
        <v>27</v>
      </c>
      <c r="M186" s="52" t="str" cm="1">
        <f t="array" ref="M186">_xlfn.IFS(COUNTIF(I186:L186,"Fail")&gt;0, "Fail", COUNTIF(I186:L186,"Pending")&gt;0, "Pending", COUNTIF(I186:L186,"Pass")&gt;0, "Pass", TRUE, "")</f>
        <v>Pass</v>
      </c>
      <c r="N186" s="13"/>
      <c r="O186" s="13"/>
      <c r="P186" s="44"/>
      <c r="Q186" s="13"/>
      <c r="R186" s="52"/>
      <c r="S186" s="2"/>
      <c r="T186" s="69"/>
    </row>
    <row r="187" spans="1:21">
      <c r="A187" s="10">
        <v>23</v>
      </c>
      <c r="B187" s="10"/>
      <c r="C187" s="11" t="s">
        <v>223</v>
      </c>
      <c r="D187" s="11" t="s">
        <v>311</v>
      </c>
      <c r="E187" s="13"/>
      <c r="F187" s="10" t="s">
        <v>329</v>
      </c>
      <c r="G187" s="12" t="s">
        <v>336</v>
      </c>
      <c r="H187" s="15" t="s">
        <v>34</v>
      </c>
      <c r="I187" s="13" t="s">
        <v>28</v>
      </c>
      <c r="J187" s="13" t="s">
        <v>28</v>
      </c>
      <c r="K187" s="13" t="s">
        <v>28</v>
      </c>
      <c r="L187" s="13" t="s">
        <v>27</v>
      </c>
      <c r="M187" s="52" t="str" cm="1">
        <f t="array" ref="M187">_xlfn.IFS(COUNTIF(I187:L187,"Fail")&gt;0, "Fail", COUNTIF(I187:L187,"Pending")&gt;0, "Pending", COUNTIF(I187:L187,"Pass")&gt;0, "Pass", TRUE, "")</f>
        <v>Pass</v>
      </c>
      <c r="N187" s="13"/>
      <c r="O187" s="13"/>
      <c r="P187" s="44"/>
      <c r="Q187" s="13"/>
      <c r="R187" s="52"/>
      <c r="S187" s="2"/>
      <c r="T187" s="69"/>
    </row>
    <row r="188" spans="1:21">
      <c r="A188" s="10">
        <v>25</v>
      </c>
      <c r="B188" s="10"/>
      <c r="C188" s="11" t="s">
        <v>223</v>
      </c>
      <c r="D188" s="11" t="s">
        <v>311</v>
      </c>
      <c r="E188" s="13"/>
      <c r="F188" s="10" t="s">
        <v>329</v>
      </c>
      <c r="G188" s="12" t="s">
        <v>337</v>
      </c>
      <c r="H188" s="15" t="s">
        <v>34</v>
      </c>
      <c r="I188" s="13" t="s">
        <v>27</v>
      </c>
      <c r="J188" s="13" t="s">
        <v>27</v>
      </c>
      <c r="K188" s="13" t="s">
        <v>27</v>
      </c>
      <c r="L188" s="13" t="s">
        <v>27</v>
      </c>
      <c r="M188" s="52" t="str" cm="1">
        <f t="array" ref="M188">_xlfn.IFS(COUNTIF(I188:L188,"Fail")&gt;0, "Fail", COUNTIF(I188:L188,"Pending")&gt;0, "Pending", COUNTIF(I188:L188,"Pass")&gt;0, "Pass", TRUE, "")</f>
        <v>Pass</v>
      </c>
      <c r="N188" s="13"/>
      <c r="O188" s="13"/>
      <c r="P188" s="44"/>
      <c r="Q188" s="13"/>
      <c r="R188" s="52"/>
      <c r="S188" s="2"/>
      <c r="T188" s="69"/>
    </row>
    <row r="189" spans="1:21">
      <c r="A189" s="10">
        <v>26</v>
      </c>
      <c r="B189" s="10"/>
      <c r="C189" s="11" t="s">
        <v>223</v>
      </c>
      <c r="D189" s="11" t="s">
        <v>311</v>
      </c>
      <c r="E189" s="13"/>
      <c r="F189" s="10" t="s">
        <v>329</v>
      </c>
      <c r="G189" s="12" t="s">
        <v>338</v>
      </c>
      <c r="H189" s="15" t="s">
        <v>34</v>
      </c>
      <c r="I189" s="13" t="s">
        <v>28</v>
      </c>
      <c r="J189" s="13" t="s">
        <v>28</v>
      </c>
      <c r="K189" s="13" t="s">
        <v>28</v>
      </c>
      <c r="L189" s="13" t="s">
        <v>27</v>
      </c>
      <c r="M189" s="52" t="str" cm="1">
        <f t="array" ref="M189">_xlfn.IFS(COUNTIF(I189:L189,"Fail")&gt;0, "Fail", COUNTIF(I189:L189,"Pending")&gt;0, "Pending", COUNTIF(I189:L189,"Pass")&gt;0, "Pass", TRUE, "")</f>
        <v>Pass</v>
      </c>
      <c r="N189" s="13"/>
      <c r="O189" s="13"/>
      <c r="P189" s="44"/>
      <c r="Q189" s="13"/>
      <c r="R189" s="52"/>
      <c r="S189" s="2"/>
      <c r="T189" s="69"/>
    </row>
    <row r="190" spans="1:21" ht="274.5">
      <c r="A190" s="10">
        <v>27</v>
      </c>
      <c r="B190" s="10"/>
      <c r="C190" s="11" t="s">
        <v>223</v>
      </c>
      <c r="D190" s="11" t="s">
        <v>311</v>
      </c>
      <c r="E190" s="13"/>
      <c r="F190" s="10" t="s">
        <v>329</v>
      </c>
      <c r="G190" s="30" t="s">
        <v>339</v>
      </c>
      <c r="H190" s="26" t="s">
        <v>26</v>
      </c>
      <c r="I190" s="13" t="s">
        <v>27</v>
      </c>
      <c r="J190" s="13" t="s">
        <v>27</v>
      </c>
      <c r="K190" s="13" t="s">
        <v>27</v>
      </c>
      <c r="L190" s="13" t="s">
        <v>28</v>
      </c>
      <c r="M190" s="52" t="str" cm="1">
        <f t="array" ref="M190">_xlfn.IFS(COUNTIF(I190:L190,"Fail")&gt;0, "Fail", COUNTIF(I190:L190,"Pending")&gt;0, "Pending", COUNTIF(I190:L190,"Pass")&gt;0, "Pass", TRUE, "")</f>
        <v>Pass</v>
      </c>
      <c r="N190" s="13" t="s">
        <v>29</v>
      </c>
      <c r="O190" s="13"/>
      <c r="P190" s="44" t="s">
        <v>340</v>
      </c>
      <c r="Q190" s="61" t="s">
        <v>29</v>
      </c>
      <c r="R190" s="68" t="s">
        <v>32</v>
      </c>
      <c r="S190" s="77" t="s">
        <v>32</v>
      </c>
      <c r="T190" s="134" t="s">
        <v>32</v>
      </c>
      <c r="U190" s="105" t="s">
        <v>32</v>
      </c>
    </row>
    <row r="191" spans="1:21">
      <c r="A191" s="10">
        <v>28</v>
      </c>
      <c r="B191" s="10"/>
      <c r="C191" s="11" t="s">
        <v>223</v>
      </c>
      <c r="D191" s="11" t="s">
        <v>311</v>
      </c>
      <c r="E191" s="13"/>
      <c r="F191" s="10" t="s">
        <v>329</v>
      </c>
      <c r="G191" s="12" t="s">
        <v>341</v>
      </c>
      <c r="H191" s="15" t="s">
        <v>34</v>
      </c>
      <c r="I191" s="13" t="s">
        <v>28</v>
      </c>
      <c r="J191" s="13" t="s">
        <v>28</v>
      </c>
      <c r="K191" s="13" t="s">
        <v>28</v>
      </c>
      <c r="L191" s="13" t="s">
        <v>27</v>
      </c>
      <c r="M191" s="52" t="str" cm="1">
        <f t="array" ref="M191">_xlfn.IFS(COUNTIF(I191:L191,"Fail")&gt;0, "Fail", COUNTIF(I191:L191,"Pending")&gt;0, "Pending", COUNTIF(I191:L191,"Pass")&gt;0, "Pass", TRUE, "")</f>
        <v>Pass</v>
      </c>
      <c r="N191" s="13"/>
      <c r="O191" s="13"/>
      <c r="P191" s="44"/>
      <c r="Q191" s="13"/>
      <c r="R191" s="52"/>
      <c r="S191" s="2"/>
      <c r="T191" s="69"/>
    </row>
    <row r="192" spans="1:21" ht="216.75">
      <c r="A192" s="10">
        <v>30</v>
      </c>
      <c r="B192" s="10"/>
      <c r="C192" s="11" t="s">
        <v>223</v>
      </c>
      <c r="D192" s="11" t="s">
        <v>311</v>
      </c>
      <c r="E192" s="13"/>
      <c r="F192" s="57" t="s">
        <v>329</v>
      </c>
      <c r="G192" s="30" t="s">
        <v>342</v>
      </c>
      <c r="H192" s="26" t="s">
        <v>26</v>
      </c>
      <c r="I192" s="13" t="s">
        <v>27</v>
      </c>
      <c r="J192" s="13" t="s">
        <v>27</v>
      </c>
      <c r="K192" s="13" t="s">
        <v>27</v>
      </c>
      <c r="L192" s="13" t="s">
        <v>27</v>
      </c>
      <c r="M192" s="52" t="str" cm="1">
        <f t="array" ref="M192">_xlfn.IFS(COUNTIF(I192:L192,"Fail")&gt;0, "Fail", COUNTIF(I192:L192,"Pending")&gt;0, "Pending", COUNTIF(I192:L192,"Pass")&gt;0, "Pass", TRUE, "")</f>
        <v>Pass</v>
      </c>
      <c r="N192" s="13" t="s">
        <v>38</v>
      </c>
      <c r="O192" s="13"/>
      <c r="P192" s="44" t="s">
        <v>343</v>
      </c>
      <c r="Q192" s="61" t="s">
        <v>29</v>
      </c>
      <c r="R192" s="68" t="s">
        <v>31</v>
      </c>
      <c r="S192" s="77" t="s">
        <v>32</v>
      </c>
      <c r="T192" s="134" t="s">
        <v>31</v>
      </c>
      <c r="U192" s="105" t="s">
        <v>32</v>
      </c>
    </row>
    <row r="193" spans="1:21" ht="87">
      <c r="A193" s="10">
        <v>31</v>
      </c>
      <c r="B193" s="10"/>
      <c r="C193" s="11" t="s">
        <v>223</v>
      </c>
      <c r="D193" s="11" t="s">
        <v>311</v>
      </c>
      <c r="E193" s="13"/>
      <c r="F193" s="10" t="s">
        <v>344</v>
      </c>
      <c r="G193" s="30" t="s">
        <v>345</v>
      </c>
      <c r="H193" s="26" t="s">
        <v>26</v>
      </c>
      <c r="I193" s="13" t="s">
        <v>28</v>
      </c>
      <c r="J193" s="13" t="s">
        <v>28</v>
      </c>
      <c r="K193" s="13" t="s">
        <v>28</v>
      </c>
      <c r="L193" s="13" t="s">
        <v>27</v>
      </c>
      <c r="M193" s="52" t="str" cm="1">
        <f t="array" ref="M193">_xlfn.IFS(COUNTIF(I193:L193,"Fail")&gt;0, "Fail", COUNTIF(I193:L193,"Pending")&gt;0, "Pending", COUNTIF(I193:L193,"Pass")&gt;0, "Pass", TRUE, "")</f>
        <v>Pass</v>
      </c>
      <c r="N193" s="13" t="s">
        <v>38</v>
      </c>
      <c r="O193" s="13"/>
      <c r="P193" s="44" t="s">
        <v>346</v>
      </c>
      <c r="Q193" s="61" t="s">
        <v>29</v>
      </c>
      <c r="R193" s="68" t="s">
        <v>31</v>
      </c>
      <c r="S193" s="77" t="s">
        <v>32</v>
      </c>
      <c r="T193" s="134" t="s">
        <v>31</v>
      </c>
      <c r="U193" s="105" t="s">
        <v>32</v>
      </c>
    </row>
    <row r="194" spans="1:21" ht="288.75">
      <c r="A194" s="10">
        <v>32</v>
      </c>
      <c r="B194" s="10"/>
      <c r="C194" s="11" t="s">
        <v>223</v>
      </c>
      <c r="D194" s="11" t="s">
        <v>311</v>
      </c>
      <c r="E194" s="13"/>
      <c r="F194" s="10" t="s">
        <v>344</v>
      </c>
      <c r="G194" s="30" t="s">
        <v>347</v>
      </c>
      <c r="H194" s="26" t="s">
        <v>26</v>
      </c>
      <c r="I194" s="13" t="s">
        <v>28</v>
      </c>
      <c r="J194" s="13" t="s">
        <v>28</v>
      </c>
      <c r="K194" s="13" t="s">
        <v>28</v>
      </c>
      <c r="L194" s="13" t="s">
        <v>27</v>
      </c>
      <c r="M194" s="52" t="str" cm="1">
        <f t="array" ref="M194">_xlfn.IFS(COUNTIF(I194:L194,"Fail")&gt;0, "Fail", COUNTIF(I194:L194,"Pending")&gt;0, "Pending", COUNTIF(I194:L194,"Pass")&gt;0, "Pass", TRUE, "")</f>
        <v>Pass</v>
      </c>
      <c r="N194" s="13" t="s">
        <v>29</v>
      </c>
      <c r="O194" s="13"/>
      <c r="P194" s="44" t="s">
        <v>348</v>
      </c>
      <c r="Q194" s="61" t="s">
        <v>29</v>
      </c>
      <c r="R194" s="68" t="s">
        <v>31</v>
      </c>
      <c r="S194" s="77" t="s">
        <v>32</v>
      </c>
      <c r="T194" s="134" t="s">
        <v>31</v>
      </c>
      <c r="U194" s="105" t="s">
        <v>32</v>
      </c>
    </row>
    <row r="195" spans="1:21" ht="144.75">
      <c r="A195" s="10">
        <v>33</v>
      </c>
      <c r="B195" s="10"/>
      <c r="C195" s="11" t="s">
        <v>223</v>
      </c>
      <c r="D195" s="11" t="s">
        <v>311</v>
      </c>
      <c r="E195" s="13"/>
      <c r="F195" s="57" t="s">
        <v>344</v>
      </c>
      <c r="G195" s="30" t="s">
        <v>349</v>
      </c>
      <c r="H195" s="26" t="s">
        <v>26</v>
      </c>
      <c r="I195" s="13" t="s">
        <v>27</v>
      </c>
      <c r="J195" s="13" t="s">
        <v>27</v>
      </c>
      <c r="K195" s="13" t="s">
        <v>27</v>
      </c>
      <c r="L195" s="13" t="s">
        <v>28</v>
      </c>
      <c r="M195" s="52" t="str" cm="1">
        <f t="array" ref="M195">_xlfn.IFS(COUNTIF(I195:L195,"Fail")&gt;0, "Fail", COUNTIF(I195:L195,"Pending")&gt;0, "Pending", COUNTIF(I195:L195,"Pass")&gt;0, "Pass", TRUE, "")</f>
        <v>Pass</v>
      </c>
      <c r="N195" s="13" t="s">
        <v>29</v>
      </c>
      <c r="O195" s="13"/>
      <c r="P195" s="44" t="s">
        <v>350</v>
      </c>
      <c r="Q195" s="61" t="s">
        <v>29</v>
      </c>
      <c r="R195" s="68" t="s">
        <v>31</v>
      </c>
      <c r="S195" s="77" t="s">
        <v>32</v>
      </c>
      <c r="T195" s="134" t="s">
        <v>31</v>
      </c>
      <c r="U195" s="128" t="s">
        <v>351</v>
      </c>
    </row>
    <row r="196" spans="1:21">
      <c r="A196" s="10">
        <v>34</v>
      </c>
      <c r="B196" s="10"/>
      <c r="C196" s="11" t="s">
        <v>223</v>
      </c>
      <c r="D196" s="11" t="s">
        <v>311</v>
      </c>
      <c r="E196" s="13"/>
      <c r="F196" s="10" t="s">
        <v>344</v>
      </c>
      <c r="G196" s="12" t="s">
        <v>352</v>
      </c>
      <c r="H196" s="15" t="s">
        <v>34</v>
      </c>
      <c r="I196" s="13" t="s">
        <v>28</v>
      </c>
      <c r="J196" s="13" t="s">
        <v>28</v>
      </c>
      <c r="K196" s="13" t="s">
        <v>28</v>
      </c>
      <c r="L196" s="13" t="s">
        <v>27</v>
      </c>
      <c r="M196" s="52" t="str" cm="1">
        <f t="array" ref="M196">_xlfn.IFS(COUNTIF(I196:L196,"Fail")&gt;0, "Fail", COUNTIF(I196:L196,"Pending")&gt;0, "Pending", COUNTIF(I196:L196,"Pass")&gt;0, "Pass", TRUE, "")</f>
        <v>Pass</v>
      </c>
      <c r="N196" s="13"/>
      <c r="O196" s="13"/>
      <c r="P196" s="44"/>
      <c r="Q196" s="13"/>
      <c r="R196" s="52"/>
      <c r="S196" s="2"/>
      <c r="T196" s="69"/>
    </row>
    <row r="197" spans="1:21">
      <c r="A197" s="10">
        <v>36</v>
      </c>
      <c r="B197" s="10"/>
      <c r="C197" s="11" t="s">
        <v>223</v>
      </c>
      <c r="D197" s="11" t="s">
        <v>311</v>
      </c>
      <c r="E197" s="13"/>
      <c r="F197" s="10" t="s">
        <v>344</v>
      </c>
      <c r="G197" s="12" t="s">
        <v>353</v>
      </c>
      <c r="H197" s="15" t="s">
        <v>34</v>
      </c>
      <c r="I197" s="13" t="s">
        <v>28</v>
      </c>
      <c r="J197" s="13" t="s">
        <v>28</v>
      </c>
      <c r="K197" s="13" t="s">
        <v>28</v>
      </c>
      <c r="L197" s="13" t="s">
        <v>27</v>
      </c>
      <c r="M197" s="52" t="str" cm="1">
        <f t="array" ref="M197">_xlfn.IFS(COUNTIF(I197:L197,"Fail")&gt;0, "Fail", COUNTIF(I197:L197,"Pending")&gt;0, "Pending", COUNTIF(I197:L197,"Pass")&gt;0, "Pass", TRUE, "")</f>
        <v>Pass</v>
      </c>
      <c r="N197" s="13"/>
      <c r="O197" s="13"/>
      <c r="P197" s="44"/>
      <c r="Q197" s="13"/>
      <c r="R197" s="52"/>
      <c r="S197" s="2"/>
      <c r="T197" s="69"/>
    </row>
    <row r="198" spans="1:21">
      <c r="A198" s="10">
        <v>37</v>
      </c>
      <c r="B198" s="10"/>
      <c r="C198" s="11" t="s">
        <v>223</v>
      </c>
      <c r="D198" s="11" t="s">
        <v>311</v>
      </c>
      <c r="E198" s="13"/>
      <c r="F198" s="10" t="s">
        <v>344</v>
      </c>
      <c r="G198" s="12" t="s">
        <v>354</v>
      </c>
      <c r="H198" s="15" t="s">
        <v>34</v>
      </c>
      <c r="I198" s="13" t="s">
        <v>28</v>
      </c>
      <c r="J198" s="13" t="s">
        <v>28</v>
      </c>
      <c r="K198" s="13" t="s">
        <v>28</v>
      </c>
      <c r="L198" s="13" t="s">
        <v>27</v>
      </c>
      <c r="M198" s="52" t="str" cm="1">
        <f t="array" ref="M198">_xlfn.IFS(COUNTIF(I198:L198,"Fail")&gt;0, "Fail", COUNTIF(I198:L198,"Pending")&gt;0, "Pending", COUNTIF(I198:L198,"Pass")&gt;0, "Pass", TRUE, "")</f>
        <v>Pass</v>
      </c>
      <c r="N198" s="13"/>
      <c r="O198" s="13"/>
      <c r="P198" s="44"/>
      <c r="Q198" s="13"/>
      <c r="R198" s="52"/>
      <c r="S198" s="2"/>
      <c r="T198" s="69"/>
    </row>
    <row r="199" spans="1:21">
      <c r="A199" s="10">
        <v>38</v>
      </c>
      <c r="B199" s="10"/>
      <c r="C199" s="11" t="s">
        <v>223</v>
      </c>
      <c r="D199" s="11" t="s">
        <v>311</v>
      </c>
      <c r="E199" s="13"/>
      <c r="F199" s="10" t="s">
        <v>344</v>
      </c>
      <c r="G199" s="12" t="s">
        <v>355</v>
      </c>
      <c r="H199" s="15" t="s">
        <v>34</v>
      </c>
      <c r="I199" s="13" t="s">
        <v>28</v>
      </c>
      <c r="J199" s="13" t="s">
        <v>28</v>
      </c>
      <c r="K199" s="13" t="s">
        <v>28</v>
      </c>
      <c r="L199" s="13" t="s">
        <v>27</v>
      </c>
      <c r="M199" s="52" t="str" cm="1">
        <f t="array" ref="M199">_xlfn.IFS(COUNTIF(I199:L199,"Fail")&gt;0, "Fail", COUNTIF(I199:L199,"Pending")&gt;0, "Pending", COUNTIF(I199:L199,"Pass")&gt;0, "Pass", TRUE, "")</f>
        <v>Pass</v>
      </c>
      <c r="N199" s="13"/>
      <c r="O199" s="13"/>
      <c r="P199" s="44"/>
      <c r="Q199" s="13"/>
      <c r="R199" s="52"/>
      <c r="S199" s="2"/>
      <c r="T199" s="69"/>
    </row>
    <row r="200" spans="1:21">
      <c r="A200" s="10">
        <v>39</v>
      </c>
      <c r="B200" s="10"/>
      <c r="C200" s="11" t="s">
        <v>223</v>
      </c>
      <c r="D200" s="11" t="s">
        <v>311</v>
      </c>
      <c r="E200" s="13"/>
      <c r="F200" s="10" t="s">
        <v>344</v>
      </c>
      <c r="G200" s="12" t="s">
        <v>356</v>
      </c>
      <c r="H200" s="15" t="s">
        <v>34</v>
      </c>
      <c r="I200" s="13" t="s">
        <v>28</v>
      </c>
      <c r="J200" s="13" t="s">
        <v>28</v>
      </c>
      <c r="K200" s="13" t="s">
        <v>28</v>
      </c>
      <c r="L200" s="13" t="s">
        <v>27</v>
      </c>
      <c r="M200" s="52" t="str" cm="1">
        <f t="array" ref="M200">_xlfn.IFS(COUNTIF(I200:L200,"Fail")&gt;0, "Fail", COUNTIF(I200:L200,"Pending")&gt;0, "Pending", COUNTIF(I200:L200,"Pass")&gt;0, "Pass", TRUE, "")</f>
        <v>Pass</v>
      </c>
      <c r="N200" s="13"/>
      <c r="O200" s="13"/>
      <c r="P200" s="44"/>
      <c r="Q200" s="13"/>
      <c r="R200" s="52"/>
      <c r="S200" s="2"/>
      <c r="T200" s="69"/>
    </row>
    <row r="201" spans="1:21">
      <c r="A201" s="10">
        <v>40</v>
      </c>
      <c r="B201" s="10"/>
      <c r="C201" s="11" t="s">
        <v>223</v>
      </c>
      <c r="D201" s="11" t="s">
        <v>311</v>
      </c>
      <c r="E201" s="13"/>
      <c r="F201" s="10" t="s">
        <v>344</v>
      </c>
      <c r="G201" s="12" t="s">
        <v>357</v>
      </c>
      <c r="H201" s="15" t="s">
        <v>34</v>
      </c>
      <c r="I201" s="13" t="s">
        <v>28</v>
      </c>
      <c r="J201" s="13" t="s">
        <v>28</v>
      </c>
      <c r="K201" s="13" t="s">
        <v>28</v>
      </c>
      <c r="L201" s="13" t="s">
        <v>27</v>
      </c>
      <c r="M201" s="52" t="str" cm="1">
        <f t="array" ref="M201">_xlfn.IFS(COUNTIF(I201:L201,"Fail")&gt;0, "Fail", COUNTIF(I201:L201,"Pending")&gt;0, "Pending", COUNTIF(I201:L201,"Pass")&gt;0, "Pass", TRUE, "")</f>
        <v>Pass</v>
      </c>
      <c r="N201" s="13"/>
      <c r="O201" s="13"/>
      <c r="P201" s="44"/>
      <c r="Q201" s="13"/>
      <c r="R201" s="52"/>
      <c r="S201" s="2"/>
      <c r="T201" s="69"/>
    </row>
    <row r="202" spans="1:21">
      <c r="A202" s="10">
        <v>42</v>
      </c>
      <c r="B202" s="10"/>
      <c r="C202" s="11" t="s">
        <v>223</v>
      </c>
      <c r="D202" s="11" t="s">
        <v>311</v>
      </c>
      <c r="E202" s="13"/>
      <c r="F202" s="10" t="s">
        <v>80</v>
      </c>
      <c r="G202" s="12" t="s">
        <v>358</v>
      </c>
      <c r="H202" s="15" t="s">
        <v>34</v>
      </c>
      <c r="I202" s="13" t="s">
        <v>27</v>
      </c>
      <c r="J202" s="13" t="s">
        <v>27</v>
      </c>
      <c r="K202" s="13" t="s">
        <v>27</v>
      </c>
      <c r="L202" s="13" t="s">
        <v>27</v>
      </c>
      <c r="M202" s="52" t="str" cm="1">
        <f t="array" ref="M202">_xlfn.IFS(COUNTIF(I202:L202,"Fail")&gt;0, "Fail", COUNTIF(I202:L202,"Pending")&gt;0, "Pending", COUNTIF(I202:L202,"Pass")&gt;0, "Pass", TRUE, "")</f>
        <v>Pass</v>
      </c>
      <c r="N202" s="13"/>
      <c r="O202" s="13"/>
      <c r="P202" s="44"/>
      <c r="Q202" s="13"/>
      <c r="R202" s="52"/>
      <c r="S202" s="2"/>
      <c r="T202" s="69"/>
    </row>
    <row r="203" spans="1:21" ht="144.75">
      <c r="A203" s="10">
        <v>45</v>
      </c>
      <c r="B203" s="10"/>
      <c r="C203" s="11" t="s">
        <v>223</v>
      </c>
      <c r="D203" s="11" t="s">
        <v>311</v>
      </c>
      <c r="E203" s="13"/>
      <c r="F203" s="10" t="s">
        <v>344</v>
      </c>
      <c r="G203" s="30" t="s">
        <v>359</v>
      </c>
      <c r="H203" s="15" t="s">
        <v>34</v>
      </c>
      <c r="I203" s="13" t="s">
        <v>28</v>
      </c>
      <c r="J203" s="13" t="s">
        <v>28</v>
      </c>
      <c r="K203" s="13" t="s">
        <v>28</v>
      </c>
      <c r="L203" s="13" t="s">
        <v>27</v>
      </c>
      <c r="M203" s="52" t="str" cm="1">
        <f t="array" ref="M203">_xlfn.IFS(COUNTIF(I203:L203,"Fail")&gt;0, "Fail", COUNTIF(I203:L203,"Pending")&gt;0, "Pending", COUNTIF(I203:L203,"Pass")&gt;0, "Pass", TRUE, "")</f>
        <v>Pass</v>
      </c>
      <c r="N203" s="13" t="s">
        <v>29</v>
      </c>
      <c r="O203" s="13"/>
      <c r="P203" s="44" t="s">
        <v>360</v>
      </c>
      <c r="Q203" s="61" t="s">
        <v>29</v>
      </c>
      <c r="R203" s="68" t="s">
        <v>31</v>
      </c>
      <c r="S203" s="77" t="s">
        <v>32</v>
      </c>
      <c r="T203" s="134" t="s">
        <v>31</v>
      </c>
      <c r="U203" s="105" t="s">
        <v>32</v>
      </c>
    </row>
    <row r="204" spans="1:21" ht="201.75">
      <c r="A204" s="10">
        <v>46</v>
      </c>
      <c r="B204" s="10"/>
      <c r="C204" s="11" t="s">
        <v>223</v>
      </c>
      <c r="D204" s="11" t="s">
        <v>311</v>
      </c>
      <c r="E204" s="13"/>
      <c r="F204" s="57" t="s">
        <v>344</v>
      </c>
      <c r="G204" s="30" t="s">
        <v>361</v>
      </c>
      <c r="H204" s="26" t="s">
        <v>26</v>
      </c>
      <c r="I204" s="13" t="s">
        <v>27</v>
      </c>
      <c r="J204" s="13" t="s">
        <v>27</v>
      </c>
      <c r="K204" s="13" t="s">
        <v>27</v>
      </c>
      <c r="L204" s="13" t="s">
        <v>28</v>
      </c>
      <c r="M204" s="52" t="str" cm="1">
        <f t="array" ref="M204">_xlfn.IFS(COUNTIF(I204:L204,"Fail")&gt;0, "Fail", COUNTIF(I204:L204,"Pending")&gt;0, "Pending", COUNTIF(I204:L204,"Pass")&gt;0, "Pass", TRUE, "")</f>
        <v>Pass</v>
      </c>
      <c r="N204" s="13" t="s">
        <v>38</v>
      </c>
      <c r="O204" s="13"/>
      <c r="P204" s="44" t="s">
        <v>362</v>
      </c>
      <c r="Q204" s="61" t="s">
        <v>29</v>
      </c>
      <c r="R204" s="68" t="s">
        <v>31</v>
      </c>
      <c r="S204" s="77" t="s">
        <v>32</v>
      </c>
      <c r="T204" s="134" t="s">
        <v>31</v>
      </c>
      <c r="U204" s="105" t="s">
        <v>32</v>
      </c>
    </row>
    <row r="205" spans="1:21">
      <c r="A205" s="10">
        <v>47</v>
      </c>
      <c r="B205" s="10"/>
      <c r="C205" s="11" t="s">
        <v>223</v>
      </c>
      <c r="D205" s="11" t="s">
        <v>311</v>
      </c>
      <c r="E205" s="13"/>
      <c r="F205" s="10" t="s">
        <v>344</v>
      </c>
      <c r="G205" s="12" t="s">
        <v>363</v>
      </c>
      <c r="H205" s="15" t="s">
        <v>34</v>
      </c>
      <c r="I205" s="13" t="s">
        <v>28</v>
      </c>
      <c r="J205" s="13" t="s">
        <v>28</v>
      </c>
      <c r="K205" s="13" t="s">
        <v>28</v>
      </c>
      <c r="L205" s="13" t="s">
        <v>27</v>
      </c>
      <c r="M205" s="52" t="str" cm="1">
        <f t="array" ref="M205">_xlfn.IFS(COUNTIF(I205:L205,"Fail")&gt;0, "Fail", COUNTIF(I205:L205,"Pending")&gt;0, "Pending", COUNTIF(I205:L205,"Pass")&gt;0, "Pass", TRUE, "")</f>
        <v>Pass</v>
      </c>
      <c r="N205" s="13"/>
      <c r="O205" s="13"/>
      <c r="P205" s="44"/>
      <c r="Q205" s="13"/>
      <c r="R205" s="52"/>
      <c r="S205" s="2"/>
      <c r="T205" s="69"/>
    </row>
    <row r="206" spans="1:21">
      <c r="A206" s="43">
        <v>48</v>
      </c>
      <c r="B206" s="10"/>
      <c r="C206" s="11" t="s">
        <v>223</v>
      </c>
      <c r="D206" s="11" t="s">
        <v>311</v>
      </c>
      <c r="E206" s="13"/>
      <c r="F206" s="10" t="s">
        <v>312</v>
      </c>
      <c r="G206" s="12" t="s">
        <v>364</v>
      </c>
      <c r="H206" s="15" t="s">
        <v>34</v>
      </c>
      <c r="I206" s="13" t="s">
        <v>27</v>
      </c>
      <c r="J206" s="13" t="s">
        <v>27</v>
      </c>
      <c r="K206" s="13" t="s">
        <v>27</v>
      </c>
      <c r="L206" s="13" t="s">
        <v>28</v>
      </c>
      <c r="M206" s="52" t="str" cm="1">
        <f t="array" ref="M206">_xlfn.IFS(COUNTIF(I206:L206,"Fail")&gt;0, "Fail", COUNTIF(I206:L206,"Pending")&gt;0, "Pending", COUNTIF(I206:L206,"Pass")&gt;0, "Pass", TRUE, "")</f>
        <v>Pass</v>
      </c>
      <c r="N206" s="13"/>
      <c r="O206" s="13"/>
      <c r="P206" s="44"/>
      <c r="Q206" s="13"/>
      <c r="R206" s="52"/>
      <c r="S206" s="2"/>
      <c r="T206" s="69"/>
    </row>
    <row r="207" spans="1:21" ht="159">
      <c r="A207" s="10">
        <v>50</v>
      </c>
      <c r="B207" s="10"/>
      <c r="C207" s="11" t="s">
        <v>223</v>
      </c>
      <c r="D207" s="11" t="s">
        <v>311</v>
      </c>
      <c r="E207" s="13"/>
      <c r="F207" s="10" t="s">
        <v>344</v>
      </c>
      <c r="G207" s="30" t="s">
        <v>365</v>
      </c>
      <c r="H207" s="26" t="s">
        <v>26</v>
      </c>
      <c r="I207" s="13" t="s">
        <v>28</v>
      </c>
      <c r="J207" s="13" t="s">
        <v>28</v>
      </c>
      <c r="K207" s="13" t="s">
        <v>28</v>
      </c>
      <c r="L207" s="13" t="s">
        <v>27</v>
      </c>
      <c r="M207" s="52" t="str" cm="1">
        <f t="array" ref="M207">_xlfn.IFS(COUNTIF(I207:L207,"Fail")&gt;0, "Fail", COUNTIF(I207:L207,"Pending")&gt;0, "Pending", COUNTIF(I207:L207,"Pass")&gt;0, "Pass", TRUE, "")</f>
        <v>Pass</v>
      </c>
      <c r="N207" s="13" t="s">
        <v>29</v>
      </c>
      <c r="O207" s="13"/>
      <c r="P207" s="44" t="s">
        <v>366</v>
      </c>
      <c r="Q207" s="61" t="s">
        <v>29</v>
      </c>
      <c r="R207" s="68" t="s">
        <v>31</v>
      </c>
      <c r="S207" s="77" t="s">
        <v>32</v>
      </c>
      <c r="T207" s="134" t="s">
        <v>31</v>
      </c>
      <c r="U207" s="105" t="s">
        <v>32</v>
      </c>
    </row>
    <row r="208" spans="1:21">
      <c r="A208" s="10">
        <v>51</v>
      </c>
      <c r="B208" s="10"/>
      <c r="C208" s="11" t="s">
        <v>223</v>
      </c>
      <c r="D208" s="11" t="s">
        <v>311</v>
      </c>
      <c r="E208" s="13"/>
      <c r="F208" s="10" t="s">
        <v>344</v>
      </c>
      <c r="G208" s="12" t="s">
        <v>367</v>
      </c>
      <c r="H208" s="15" t="s">
        <v>34</v>
      </c>
      <c r="I208" s="13" t="s">
        <v>28</v>
      </c>
      <c r="J208" s="13" t="s">
        <v>28</v>
      </c>
      <c r="K208" s="13" t="s">
        <v>28</v>
      </c>
      <c r="L208" s="13" t="s">
        <v>27</v>
      </c>
      <c r="M208" s="52" t="str" cm="1">
        <f t="array" ref="M208">_xlfn.IFS(COUNTIF(I208:L208,"Fail")&gt;0, "Fail", COUNTIF(I208:L208,"Pending")&gt;0, "Pending", COUNTIF(I208:L208,"Pass")&gt;0, "Pass", TRUE, "")</f>
        <v>Pass</v>
      </c>
      <c r="N208" s="13"/>
      <c r="O208" s="13"/>
      <c r="P208" s="44"/>
      <c r="Q208" s="13"/>
      <c r="R208" s="52"/>
      <c r="S208" s="2"/>
      <c r="T208" s="69"/>
    </row>
    <row r="209" spans="1:21" ht="260.25">
      <c r="A209" s="43">
        <v>52</v>
      </c>
      <c r="B209" s="10"/>
      <c r="C209" s="11" t="s">
        <v>223</v>
      </c>
      <c r="D209" s="11" t="s">
        <v>311</v>
      </c>
      <c r="E209" s="13"/>
      <c r="F209" s="10" t="s">
        <v>312</v>
      </c>
      <c r="G209" s="30" t="s">
        <v>368</v>
      </c>
      <c r="H209" s="26" t="s">
        <v>26</v>
      </c>
      <c r="I209" s="13" t="s">
        <v>27</v>
      </c>
      <c r="J209" s="13" t="s">
        <v>27</v>
      </c>
      <c r="K209" s="13" t="s">
        <v>28</v>
      </c>
      <c r="L209" s="13" t="s">
        <v>28</v>
      </c>
      <c r="M209" s="52" t="str" cm="1">
        <f t="array" ref="M209">_xlfn.IFS(COUNTIF(I209:L209,"Fail")&gt;0, "Fail", COUNTIF(I209:L209,"Pending")&gt;0, "Pending", COUNTIF(I209:L209,"Pass")&gt;0, "Pass", TRUE, "")</f>
        <v>Pass</v>
      </c>
      <c r="N209" s="13" t="s">
        <v>29</v>
      </c>
      <c r="O209" s="13"/>
      <c r="P209" s="44" t="s">
        <v>369</v>
      </c>
      <c r="Q209" s="61" t="s">
        <v>29</v>
      </c>
      <c r="R209" s="68" t="s">
        <v>32</v>
      </c>
      <c r="S209" s="77" t="s">
        <v>32</v>
      </c>
      <c r="T209" s="134" t="s">
        <v>32</v>
      </c>
      <c r="U209" s="105" t="s">
        <v>32</v>
      </c>
    </row>
    <row r="210" spans="1:21" ht="245.25">
      <c r="A210" s="10">
        <v>54</v>
      </c>
      <c r="B210" s="10"/>
      <c r="C210" s="11" t="s">
        <v>223</v>
      </c>
      <c r="D210" s="11" t="s">
        <v>311</v>
      </c>
      <c r="E210" s="13"/>
      <c r="F210" s="10" t="s">
        <v>344</v>
      </c>
      <c r="G210" s="30" t="s">
        <v>370</v>
      </c>
      <c r="H210" s="26" t="s">
        <v>26</v>
      </c>
      <c r="I210" s="13" t="s">
        <v>28</v>
      </c>
      <c r="J210" s="13" t="s">
        <v>28</v>
      </c>
      <c r="K210" s="13" t="s">
        <v>28</v>
      </c>
      <c r="L210" s="13" t="s">
        <v>27</v>
      </c>
      <c r="M210" s="52" t="str" cm="1">
        <f t="array" ref="M210">_xlfn.IFS(COUNTIF(I210:L210,"Fail")&gt;0, "Fail", COUNTIF(I210:L210,"Pending")&gt;0, "Pending", COUNTIF(I210:L210,"Pass")&gt;0, "Pass", TRUE, "")</f>
        <v>Pass</v>
      </c>
      <c r="N210" s="13" t="s">
        <v>29</v>
      </c>
      <c r="O210" s="13"/>
      <c r="P210" s="44" t="s">
        <v>371</v>
      </c>
      <c r="Q210" s="61" t="s">
        <v>29</v>
      </c>
      <c r="R210" s="68" t="s">
        <v>31</v>
      </c>
      <c r="S210" s="2" t="s">
        <v>32</v>
      </c>
      <c r="T210" s="134" t="s">
        <v>31</v>
      </c>
      <c r="U210" s="105" t="s">
        <v>32</v>
      </c>
    </row>
    <row r="211" spans="1:21" ht="318">
      <c r="A211" s="10">
        <v>56</v>
      </c>
      <c r="B211" s="10"/>
      <c r="C211" s="11" t="s">
        <v>223</v>
      </c>
      <c r="D211" s="11" t="s">
        <v>311</v>
      </c>
      <c r="E211" s="13"/>
      <c r="F211" s="10" t="s">
        <v>344</v>
      </c>
      <c r="G211" s="103" t="s">
        <v>372</v>
      </c>
      <c r="H211" s="12" t="s">
        <v>26</v>
      </c>
      <c r="I211" s="13" t="s">
        <v>28</v>
      </c>
      <c r="J211" s="13" t="s">
        <v>28</v>
      </c>
      <c r="K211" s="13" t="s">
        <v>28</v>
      </c>
      <c r="L211" s="13" t="s">
        <v>137</v>
      </c>
      <c r="M211" s="52" t="str" cm="1">
        <f t="array" ref="M211">_xlfn.IFS(COUNTIF(I211:L211,"Fail")&gt;0, "Fail", COUNTIF(I211:L211,"Pending")&gt;0, "Pending", COUNTIF(I211:L211,"Pass")&gt;0, "Pass", TRUE, "")</f>
        <v>Pending</v>
      </c>
      <c r="N211" s="13" t="s">
        <v>29</v>
      </c>
      <c r="O211" s="13" t="s">
        <v>373</v>
      </c>
      <c r="P211" s="44" t="s">
        <v>374</v>
      </c>
      <c r="Q211" s="61" t="s">
        <v>29</v>
      </c>
      <c r="R211" s="52" t="s">
        <v>137</v>
      </c>
      <c r="S211" s="81" t="s">
        <v>151</v>
      </c>
      <c r="T211" s="134" t="s">
        <v>32</v>
      </c>
    </row>
    <row r="212" spans="1:21">
      <c r="A212" s="10">
        <v>57</v>
      </c>
      <c r="B212" s="10"/>
      <c r="C212" s="11" t="s">
        <v>223</v>
      </c>
      <c r="D212" s="11" t="s">
        <v>311</v>
      </c>
      <c r="E212" s="13"/>
      <c r="F212" s="10" t="s">
        <v>344</v>
      </c>
      <c r="G212" s="12" t="s">
        <v>375</v>
      </c>
      <c r="H212" s="15" t="s">
        <v>34</v>
      </c>
      <c r="I212" s="13" t="s">
        <v>28</v>
      </c>
      <c r="J212" s="13" t="s">
        <v>28</v>
      </c>
      <c r="K212" s="13" t="s">
        <v>28</v>
      </c>
      <c r="L212" s="13" t="s">
        <v>27</v>
      </c>
      <c r="M212" s="52" t="str" cm="1">
        <f t="array" ref="M212">_xlfn.IFS(COUNTIF(I212:L212,"Fail")&gt;0, "Fail", COUNTIF(I212:L212,"Pending")&gt;0, "Pending", COUNTIF(I212:L212,"Pass")&gt;0, "Pass", TRUE, "")</f>
        <v>Pass</v>
      </c>
      <c r="N212" s="13"/>
      <c r="O212" s="13"/>
      <c r="P212" s="44"/>
      <c r="Q212" s="13"/>
      <c r="R212" s="52"/>
      <c r="S212" s="2"/>
      <c r="T212" s="69"/>
    </row>
    <row r="213" spans="1:21" ht="159">
      <c r="A213" s="10">
        <v>58</v>
      </c>
      <c r="B213" s="10"/>
      <c r="C213" s="11" t="s">
        <v>223</v>
      </c>
      <c r="D213" s="11" t="s">
        <v>311</v>
      </c>
      <c r="E213" s="13"/>
      <c r="F213" s="10" t="s">
        <v>344</v>
      </c>
      <c r="G213" s="30" t="s">
        <v>376</v>
      </c>
      <c r="H213" s="15" t="s">
        <v>34</v>
      </c>
      <c r="I213" s="13" t="s">
        <v>28</v>
      </c>
      <c r="J213" s="13" t="s">
        <v>28</v>
      </c>
      <c r="K213" s="13" t="s">
        <v>28</v>
      </c>
      <c r="L213" s="13" t="s">
        <v>27</v>
      </c>
      <c r="M213" s="52" t="str" cm="1">
        <f t="array" ref="M213">_xlfn.IFS(COUNTIF(I213:L213,"Fail")&gt;0, "Fail", COUNTIF(I213:L213,"Pending")&gt;0, "Pending", COUNTIF(I213:L213,"Pass")&gt;0, "Pass", TRUE, "")</f>
        <v>Pass</v>
      </c>
      <c r="N213" s="13" t="s">
        <v>38</v>
      </c>
      <c r="O213" s="13"/>
      <c r="P213" s="44" t="s">
        <v>377</v>
      </c>
      <c r="Q213" s="61" t="s">
        <v>29</v>
      </c>
      <c r="R213" s="68" t="s">
        <v>31</v>
      </c>
      <c r="S213" s="77" t="s">
        <v>32</v>
      </c>
      <c r="T213" s="134" t="s">
        <v>31</v>
      </c>
      <c r="U213" s="105" t="s">
        <v>32</v>
      </c>
    </row>
    <row r="214" spans="1:21" ht="159">
      <c r="A214" s="10">
        <v>59</v>
      </c>
      <c r="B214" s="10"/>
      <c r="C214" s="11" t="s">
        <v>223</v>
      </c>
      <c r="D214" s="11" t="s">
        <v>311</v>
      </c>
      <c r="E214" s="13"/>
      <c r="F214" s="10" t="s">
        <v>344</v>
      </c>
      <c r="G214" s="30" t="s">
        <v>378</v>
      </c>
      <c r="H214" s="26" t="s">
        <v>26</v>
      </c>
      <c r="I214" s="13" t="s">
        <v>28</v>
      </c>
      <c r="J214" s="13" t="s">
        <v>28</v>
      </c>
      <c r="K214" s="13" t="s">
        <v>28</v>
      </c>
      <c r="L214" s="13" t="s">
        <v>27</v>
      </c>
      <c r="M214" s="52" t="str" cm="1">
        <f t="array" ref="M214">_xlfn.IFS(COUNTIF(I214:L214,"Fail")&gt;0, "Fail", COUNTIF(I214:L214,"Pending")&gt;0, "Pending", COUNTIF(I214:L214,"Pass")&gt;0, "Pass", TRUE, "")</f>
        <v>Pass</v>
      </c>
      <c r="N214" s="13" t="s">
        <v>29</v>
      </c>
      <c r="O214" s="13"/>
      <c r="P214" s="44" t="s">
        <v>366</v>
      </c>
      <c r="Q214" s="61" t="s">
        <v>29</v>
      </c>
      <c r="R214" s="68" t="s">
        <v>31</v>
      </c>
      <c r="S214" s="77" t="s">
        <v>32</v>
      </c>
      <c r="T214" s="134" t="s">
        <v>31</v>
      </c>
      <c r="U214" s="105" t="s">
        <v>32</v>
      </c>
    </row>
    <row r="215" spans="1:21">
      <c r="A215" s="10">
        <v>1</v>
      </c>
      <c r="B215" s="10"/>
      <c r="C215" s="11" t="s">
        <v>379</v>
      </c>
      <c r="D215" s="11" t="s">
        <v>380</v>
      </c>
      <c r="E215" s="13"/>
      <c r="F215" s="10" t="s">
        <v>381</v>
      </c>
      <c r="G215" s="12" t="s">
        <v>382</v>
      </c>
      <c r="H215" s="15" t="s">
        <v>34</v>
      </c>
      <c r="I215" s="13" t="s">
        <v>28</v>
      </c>
      <c r="J215" s="13" t="s">
        <v>28</v>
      </c>
      <c r="K215" s="13" t="s">
        <v>28</v>
      </c>
      <c r="L215" s="13" t="s">
        <v>27</v>
      </c>
      <c r="M215" s="52" t="str" cm="1">
        <f t="array" ref="M215">_xlfn.IFS(COUNTIF(I215:L215,"Fail")&gt;0, "Fail", COUNTIF(I215:L215,"Pending")&gt;0, "Pending", COUNTIF(I215:L215,"Pass")&gt;0, "Pass", TRUE, "")</f>
        <v>Pass</v>
      </c>
      <c r="N215" s="13"/>
      <c r="O215" s="13"/>
      <c r="P215" s="44"/>
      <c r="Q215" s="13"/>
      <c r="R215" s="52"/>
      <c r="S215" s="2"/>
      <c r="T215" s="69"/>
    </row>
    <row r="216" spans="1:21" ht="101.25">
      <c r="A216" s="10">
        <v>2</v>
      </c>
      <c r="B216" s="10"/>
      <c r="C216" s="11" t="s">
        <v>383</v>
      </c>
      <c r="D216" s="11" t="s">
        <v>380</v>
      </c>
      <c r="E216" s="13"/>
      <c r="F216" s="10" t="s">
        <v>312</v>
      </c>
      <c r="G216" s="30" t="s">
        <v>384</v>
      </c>
      <c r="H216" s="26" t="s">
        <v>26</v>
      </c>
      <c r="I216" s="13" t="s">
        <v>27</v>
      </c>
      <c r="J216" s="13" t="s">
        <v>27</v>
      </c>
      <c r="K216" s="13" t="s">
        <v>27</v>
      </c>
      <c r="L216" s="13" t="s">
        <v>28</v>
      </c>
      <c r="M216" s="52" t="str" cm="1">
        <f t="array" ref="M216">_xlfn.IFS(COUNTIF(I216:L216,"Fail")&gt;0, "Fail", COUNTIF(I216:L216,"Pending")&gt;0, "Pending", COUNTIF(I216:L216,"Pass")&gt;0, "Pass", TRUE, "")</f>
        <v>Pass</v>
      </c>
      <c r="N216" s="13" t="s">
        <v>38</v>
      </c>
      <c r="O216" s="13"/>
      <c r="P216" s="44" t="s">
        <v>385</v>
      </c>
      <c r="Q216" s="61" t="s">
        <v>29</v>
      </c>
      <c r="R216" s="68" t="s">
        <v>32</v>
      </c>
      <c r="S216" s="2" t="s">
        <v>32</v>
      </c>
      <c r="T216" s="134" t="s">
        <v>32</v>
      </c>
      <c r="U216" s="105" t="s">
        <v>32</v>
      </c>
    </row>
    <row r="217" spans="1:21">
      <c r="A217" s="10">
        <v>3</v>
      </c>
      <c r="B217" s="10"/>
      <c r="C217" s="11" t="s">
        <v>386</v>
      </c>
      <c r="D217" s="11" t="s">
        <v>380</v>
      </c>
      <c r="E217" s="13"/>
      <c r="F217" s="10" t="s">
        <v>312</v>
      </c>
      <c r="G217" s="12" t="s">
        <v>387</v>
      </c>
      <c r="H217" s="15" t="s">
        <v>34</v>
      </c>
      <c r="I217" s="13" t="s">
        <v>27</v>
      </c>
      <c r="J217" s="13" t="s">
        <v>27</v>
      </c>
      <c r="K217" s="13" t="s">
        <v>27</v>
      </c>
      <c r="L217" s="13" t="s">
        <v>28</v>
      </c>
      <c r="M217" s="52" t="str" cm="1">
        <f t="array" ref="M217">_xlfn.IFS(COUNTIF(I217:L217,"Fail")&gt;0, "Fail", COUNTIF(I217:L217,"Pending")&gt;0, "Pending", COUNTIF(I217:L217,"Pass")&gt;0, "Pass", TRUE, "")</f>
        <v>Pass</v>
      </c>
      <c r="N217" s="13"/>
      <c r="O217" s="13"/>
      <c r="P217" s="44"/>
      <c r="Q217" s="13"/>
      <c r="R217" s="52"/>
      <c r="S217" s="2"/>
      <c r="T217" s="69"/>
    </row>
    <row r="218" spans="1:21">
      <c r="A218" s="10">
        <v>4</v>
      </c>
      <c r="B218" s="10"/>
      <c r="C218" s="11" t="s">
        <v>388</v>
      </c>
      <c r="D218" s="11" t="s">
        <v>380</v>
      </c>
      <c r="E218" s="13"/>
      <c r="F218" s="10" t="s">
        <v>312</v>
      </c>
      <c r="G218" s="12" t="s">
        <v>389</v>
      </c>
      <c r="H218" s="15" t="s">
        <v>34</v>
      </c>
      <c r="I218" s="13" t="s">
        <v>27</v>
      </c>
      <c r="J218" s="13" t="s">
        <v>27</v>
      </c>
      <c r="K218" s="13" t="s">
        <v>27</v>
      </c>
      <c r="L218" s="13" t="s">
        <v>28</v>
      </c>
      <c r="M218" s="52" t="str" cm="1">
        <f t="array" ref="M218">_xlfn.IFS(COUNTIF(I218:L218,"Fail")&gt;0, "Fail", COUNTIF(I218:L218,"Pending")&gt;0, "Pending", COUNTIF(I218:L218,"Pass")&gt;0, "Pass", TRUE, "")</f>
        <v>Pass</v>
      </c>
      <c r="N218" s="13"/>
      <c r="O218" s="13"/>
      <c r="P218" s="44"/>
      <c r="Q218" s="13"/>
      <c r="R218" s="52"/>
      <c r="S218" s="2"/>
      <c r="T218" s="69"/>
    </row>
    <row r="219" spans="1:21" ht="130.5">
      <c r="A219" s="10">
        <v>5</v>
      </c>
      <c r="B219" s="10"/>
      <c r="C219" s="11" t="s">
        <v>390</v>
      </c>
      <c r="D219" s="11" t="s">
        <v>380</v>
      </c>
      <c r="E219" s="13"/>
      <c r="F219" s="10" t="s">
        <v>312</v>
      </c>
      <c r="G219" s="30" t="s">
        <v>391</v>
      </c>
      <c r="H219" s="26" t="s">
        <v>26</v>
      </c>
      <c r="I219" s="13" t="s">
        <v>27</v>
      </c>
      <c r="J219" s="13" t="s">
        <v>27</v>
      </c>
      <c r="K219" s="13" t="s">
        <v>27</v>
      </c>
      <c r="L219" s="13" t="s">
        <v>28</v>
      </c>
      <c r="M219" s="52" t="str" cm="1">
        <f t="array" ref="M219">_xlfn.IFS(COUNTIF(I219:L219,"Fail")&gt;0, "Fail", COUNTIF(I219:L219,"Pending")&gt;0, "Pending", COUNTIF(I219:L219,"Pass")&gt;0, "Pass", TRUE, "")</f>
        <v>Pass</v>
      </c>
      <c r="N219" s="13" t="s">
        <v>38</v>
      </c>
      <c r="O219" s="13"/>
      <c r="P219" s="44" t="s">
        <v>392</v>
      </c>
      <c r="Q219" s="61" t="s">
        <v>29</v>
      </c>
      <c r="R219" s="68" t="s">
        <v>32</v>
      </c>
      <c r="S219" s="77" t="s">
        <v>32</v>
      </c>
      <c r="T219" s="134" t="s">
        <v>32</v>
      </c>
      <c r="U219" s="105" t="s">
        <v>32</v>
      </c>
    </row>
    <row r="220" spans="1:21" ht="216.75">
      <c r="A220" s="10">
        <v>8</v>
      </c>
      <c r="B220" s="10"/>
      <c r="C220" s="11" t="s">
        <v>393</v>
      </c>
      <c r="D220" s="11" t="s">
        <v>380</v>
      </c>
      <c r="E220" s="13"/>
      <c r="F220" s="57" t="s">
        <v>312</v>
      </c>
      <c r="G220" s="30" t="s">
        <v>394</v>
      </c>
      <c r="H220" s="26" t="s">
        <v>26</v>
      </c>
      <c r="I220" s="13" t="s">
        <v>27</v>
      </c>
      <c r="J220" s="13" t="s">
        <v>27</v>
      </c>
      <c r="K220" s="13" t="s">
        <v>27</v>
      </c>
      <c r="L220" s="13" t="s">
        <v>28</v>
      </c>
      <c r="M220" s="52" t="str" cm="1">
        <f t="array" ref="M220">_xlfn.IFS(COUNTIF(I220:L220,"Fail")&gt;0, "Fail", COUNTIF(I220:L220,"Pending")&gt;0, "Pending", COUNTIF(I220:L220,"Pass")&gt;0, "Pass", TRUE, "")</f>
        <v>Pass</v>
      </c>
      <c r="N220" s="13" t="s">
        <v>38</v>
      </c>
      <c r="O220" s="13"/>
      <c r="P220" s="44" t="s">
        <v>395</v>
      </c>
      <c r="Q220" s="61" t="s">
        <v>29</v>
      </c>
      <c r="R220" s="68" t="s">
        <v>31</v>
      </c>
      <c r="S220" s="84" t="s">
        <v>32</v>
      </c>
      <c r="T220" s="134" t="s">
        <v>31</v>
      </c>
      <c r="U220" s="105" t="s">
        <v>32</v>
      </c>
    </row>
    <row r="221" spans="1:21" ht="101.25">
      <c r="A221" s="10">
        <v>9</v>
      </c>
      <c r="B221" s="10"/>
      <c r="C221" s="11" t="s">
        <v>396</v>
      </c>
      <c r="D221" s="11" t="s">
        <v>380</v>
      </c>
      <c r="E221" s="13"/>
      <c r="F221" s="57" t="s">
        <v>312</v>
      </c>
      <c r="G221" s="30" t="s">
        <v>397</v>
      </c>
      <c r="H221" s="26" t="s">
        <v>26</v>
      </c>
      <c r="I221" s="13" t="s">
        <v>27</v>
      </c>
      <c r="J221" s="13" t="s">
        <v>27</v>
      </c>
      <c r="K221" s="13" t="s">
        <v>27</v>
      </c>
      <c r="L221" s="13" t="s">
        <v>28</v>
      </c>
      <c r="M221" s="52" t="str" cm="1">
        <f t="array" ref="M221">_xlfn.IFS(COUNTIF(I221:L221,"Fail")&gt;0, "Fail", COUNTIF(I221:L221,"Pending")&gt;0, "Pending", COUNTIF(I221:L221,"Pass")&gt;0, "Pass", TRUE, "")</f>
        <v>Pass</v>
      </c>
      <c r="N221" s="13" t="s">
        <v>38</v>
      </c>
      <c r="O221" s="13"/>
      <c r="P221" s="44" t="s">
        <v>398</v>
      </c>
      <c r="Q221" s="61" t="s">
        <v>29</v>
      </c>
      <c r="R221" s="68" t="s">
        <v>31</v>
      </c>
      <c r="S221" s="77" t="s">
        <v>32</v>
      </c>
      <c r="T221" s="134" t="s">
        <v>31</v>
      </c>
      <c r="U221" s="105" t="s">
        <v>32</v>
      </c>
    </row>
    <row r="222" spans="1:21" ht="115.5">
      <c r="A222" s="10">
        <v>10</v>
      </c>
      <c r="B222" s="10"/>
      <c r="C222" s="11" t="s">
        <v>399</v>
      </c>
      <c r="D222" s="11" t="s">
        <v>380</v>
      </c>
      <c r="E222" s="13"/>
      <c r="F222" s="57" t="s">
        <v>312</v>
      </c>
      <c r="G222" s="30" t="s">
        <v>400</v>
      </c>
      <c r="H222" s="26" t="s">
        <v>26</v>
      </c>
      <c r="I222" s="13" t="s">
        <v>27</v>
      </c>
      <c r="J222" s="13" t="s">
        <v>27</v>
      </c>
      <c r="K222" s="13" t="s">
        <v>27</v>
      </c>
      <c r="L222" s="13" t="s">
        <v>28</v>
      </c>
      <c r="M222" s="52" t="str" cm="1">
        <f t="array" ref="M222">_xlfn.IFS(COUNTIF(I222:L222,"Fail")&gt;0, "Fail", COUNTIF(I222:L222,"Pending")&gt;0, "Pending", COUNTIF(I222:L222,"Pass")&gt;0, "Pass", TRUE, "")</f>
        <v>Pass</v>
      </c>
      <c r="N222" s="13" t="s">
        <v>38</v>
      </c>
      <c r="O222" s="13"/>
      <c r="P222" s="44" t="s">
        <v>398</v>
      </c>
      <c r="Q222" s="61" t="s">
        <v>29</v>
      </c>
      <c r="R222" s="68" t="s">
        <v>31</v>
      </c>
      <c r="S222" s="77" t="s">
        <v>32</v>
      </c>
      <c r="T222" s="134" t="s">
        <v>31</v>
      </c>
      <c r="U222" s="105" t="s">
        <v>32</v>
      </c>
    </row>
    <row r="223" spans="1:21" ht="57.75">
      <c r="A223" s="10">
        <v>11</v>
      </c>
      <c r="B223" s="10"/>
      <c r="C223" s="11" t="s">
        <v>401</v>
      </c>
      <c r="D223" s="11" t="s">
        <v>380</v>
      </c>
      <c r="E223" s="13"/>
      <c r="F223" s="57" t="s">
        <v>312</v>
      </c>
      <c r="G223" s="30" t="s">
        <v>402</v>
      </c>
      <c r="H223" s="26" t="s">
        <v>26</v>
      </c>
      <c r="I223" s="13" t="s">
        <v>27</v>
      </c>
      <c r="J223" s="13" t="s">
        <v>27</v>
      </c>
      <c r="K223" s="13" t="s">
        <v>27</v>
      </c>
      <c r="L223" s="13" t="s">
        <v>28</v>
      </c>
      <c r="M223" s="52" t="str" cm="1">
        <f t="array" ref="M223">_xlfn.IFS(COUNTIF(I223:L223,"Fail")&gt;0, "Fail", COUNTIF(I223:L223,"Pending")&gt;0, "Pending", COUNTIF(I223:L223,"Pass")&gt;0, "Pass", TRUE, "")</f>
        <v>Pass</v>
      </c>
      <c r="N223" s="13" t="s">
        <v>38</v>
      </c>
      <c r="O223" s="13"/>
      <c r="P223" s="44" t="s">
        <v>398</v>
      </c>
      <c r="Q223" s="61" t="s">
        <v>29</v>
      </c>
      <c r="R223" s="68" t="s">
        <v>31</v>
      </c>
      <c r="S223" s="77" t="s">
        <v>32</v>
      </c>
      <c r="T223" s="134" t="s">
        <v>31</v>
      </c>
      <c r="U223" s="105" t="s">
        <v>32</v>
      </c>
    </row>
    <row r="224" spans="1:21">
      <c r="A224" s="10">
        <v>12</v>
      </c>
      <c r="B224" s="10"/>
      <c r="C224" s="11" t="s">
        <v>403</v>
      </c>
      <c r="D224" s="11" t="s">
        <v>380</v>
      </c>
      <c r="E224" s="13"/>
      <c r="F224" s="10" t="s">
        <v>312</v>
      </c>
      <c r="G224" s="12" t="s">
        <v>404</v>
      </c>
      <c r="H224" s="15" t="s">
        <v>34</v>
      </c>
      <c r="I224" s="13" t="s">
        <v>27</v>
      </c>
      <c r="J224" s="13" t="s">
        <v>27</v>
      </c>
      <c r="K224" s="13" t="s">
        <v>27</v>
      </c>
      <c r="L224" s="13" t="s">
        <v>28</v>
      </c>
      <c r="M224" s="52" t="str" cm="1">
        <f t="array" ref="M224">_xlfn.IFS(COUNTIF(I224:L224,"Fail")&gt;0, "Fail", COUNTIF(I224:L224,"Pending")&gt;0, "Pending", COUNTIF(I224:L224,"Pass")&gt;0, "Pass", TRUE, "")</f>
        <v>Pass</v>
      </c>
      <c r="N224" s="13"/>
      <c r="O224" s="13"/>
      <c r="P224" s="44"/>
      <c r="Q224" s="13"/>
      <c r="R224" s="52"/>
      <c r="S224" s="2"/>
      <c r="T224" s="69"/>
    </row>
    <row r="225" spans="1:21" ht="130.5">
      <c r="A225" s="10">
        <v>14</v>
      </c>
      <c r="B225" s="10"/>
      <c r="C225" s="11" t="s">
        <v>405</v>
      </c>
      <c r="D225" s="11" t="s">
        <v>380</v>
      </c>
      <c r="E225" s="13"/>
      <c r="F225" s="10" t="s">
        <v>312</v>
      </c>
      <c r="G225" s="30" t="s">
        <v>406</v>
      </c>
      <c r="H225" s="26" t="s">
        <v>27</v>
      </c>
      <c r="I225" s="13" t="s">
        <v>27</v>
      </c>
      <c r="J225" s="13" t="s">
        <v>27</v>
      </c>
      <c r="K225" s="13" t="s">
        <v>27</v>
      </c>
      <c r="L225" s="13" t="s">
        <v>28</v>
      </c>
      <c r="M225" s="52" t="str" cm="1">
        <f t="array" ref="M225">_xlfn.IFS(COUNTIF(I225:L225,"Fail")&gt;0, "Fail", COUNTIF(I225:L225,"Pending")&gt;0, "Pending", COUNTIF(I225:L225,"Pass")&gt;0, "Pass", TRUE, "")</f>
        <v>Pass</v>
      </c>
      <c r="N225" s="13" t="s">
        <v>38</v>
      </c>
      <c r="O225" s="13"/>
      <c r="P225" s="44"/>
      <c r="Q225" s="61" t="s">
        <v>29</v>
      </c>
      <c r="R225" s="68" t="s">
        <v>31</v>
      </c>
      <c r="S225" s="77" t="s">
        <v>32</v>
      </c>
      <c r="T225" s="134" t="s">
        <v>31</v>
      </c>
      <c r="U225" s="105" t="s">
        <v>32</v>
      </c>
    </row>
    <row r="226" spans="1:21">
      <c r="A226" s="10">
        <v>16</v>
      </c>
      <c r="B226" s="10"/>
      <c r="C226" s="11" t="s">
        <v>407</v>
      </c>
      <c r="D226" s="11" t="s">
        <v>380</v>
      </c>
      <c r="E226" s="13"/>
      <c r="F226" s="10" t="s">
        <v>312</v>
      </c>
      <c r="G226" s="12" t="s">
        <v>408</v>
      </c>
      <c r="H226" s="15" t="s">
        <v>34</v>
      </c>
      <c r="I226" s="13" t="s">
        <v>27</v>
      </c>
      <c r="J226" s="13" t="s">
        <v>27</v>
      </c>
      <c r="K226" s="13" t="s">
        <v>27</v>
      </c>
      <c r="L226" s="13" t="s">
        <v>28</v>
      </c>
      <c r="M226" s="52" t="str" cm="1">
        <f t="array" ref="M226">_xlfn.IFS(COUNTIF(I226:L226,"Fail")&gt;0, "Fail", COUNTIF(I226:L226,"Pending")&gt;0, "Pending", COUNTIF(I226:L226,"Pass")&gt;0, "Pass", TRUE, "")</f>
        <v>Pass</v>
      </c>
      <c r="N226" s="13"/>
      <c r="O226" s="13"/>
      <c r="P226" s="44"/>
      <c r="Q226" s="13"/>
      <c r="R226" s="52"/>
      <c r="S226" s="2"/>
      <c r="T226" s="69"/>
    </row>
    <row r="227" spans="1:21" ht="115.5">
      <c r="A227" s="10">
        <v>17</v>
      </c>
      <c r="B227" s="10"/>
      <c r="C227" s="11" t="s">
        <v>409</v>
      </c>
      <c r="D227" s="11" t="s">
        <v>380</v>
      </c>
      <c r="E227" s="13"/>
      <c r="F227" s="10" t="s">
        <v>312</v>
      </c>
      <c r="G227" s="30" t="s">
        <v>410</v>
      </c>
      <c r="H227" s="26" t="s">
        <v>26</v>
      </c>
      <c r="I227" s="13" t="s">
        <v>27</v>
      </c>
      <c r="J227" s="13" t="s">
        <v>27</v>
      </c>
      <c r="K227" s="13" t="s">
        <v>27</v>
      </c>
      <c r="L227" s="13" t="s">
        <v>28</v>
      </c>
      <c r="M227" s="52" t="str" cm="1">
        <f t="array" ref="M227">_xlfn.IFS(COUNTIF(I227:L227,"Fail")&gt;0, "Fail", COUNTIF(I227:L227,"Pending")&gt;0, "Pending", COUNTIF(I227:L227,"Pass")&gt;0, "Pass", TRUE, "")</f>
        <v>Pass</v>
      </c>
      <c r="N227" s="13" t="s">
        <v>29</v>
      </c>
      <c r="O227" s="13"/>
      <c r="P227" s="44" t="s">
        <v>411</v>
      </c>
      <c r="Q227" s="61" t="s">
        <v>29</v>
      </c>
      <c r="R227" s="68" t="s">
        <v>31</v>
      </c>
      <c r="S227" s="77" t="s">
        <v>32</v>
      </c>
      <c r="T227" s="134" t="s">
        <v>31</v>
      </c>
      <c r="U227" s="105" t="s">
        <v>32</v>
      </c>
    </row>
    <row r="228" spans="1:21">
      <c r="A228" s="10">
        <v>18</v>
      </c>
      <c r="B228" s="10"/>
      <c r="C228" s="11" t="s">
        <v>412</v>
      </c>
      <c r="D228" s="11" t="s">
        <v>380</v>
      </c>
      <c r="E228" s="13"/>
      <c r="F228" s="10" t="s">
        <v>312</v>
      </c>
      <c r="G228" s="12" t="s">
        <v>413</v>
      </c>
      <c r="H228" s="15" t="s">
        <v>34</v>
      </c>
      <c r="I228" s="13" t="s">
        <v>27</v>
      </c>
      <c r="J228" s="13" t="s">
        <v>27</v>
      </c>
      <c r="K228" s="13" t="s">
        <v>27</v>
      </c>
      <c r="L228" s="13" t="s">
        <v>28</v>
      </c>
      <c r="M228" s="52" t="str" cm="1">
        <f t="array" ref="M228">_xlfn.IFS(COUNTIF(I228:L228,"Fail")&gt;0, "Fail", COUNTIF(I228:L228,"Pending")&gt;0, "Pending", COUNTIF(I228:L228,"Pass")&gt;0, "Pass", TRUE, "")</f>
        <v>Pass</v>
      </c>
      <c r="N228" s="13"/>
      <c r="O228" s="13"/>
      <c r="P228" s="44"/>
      <c r="Q228" s="13"/>
      <c r="R228" s="52"/>
      <c r="S228" s="2"/>
      <c r="T228" s="69"/>
    </row>
    <row r="229" spans="1:21">
      <c r="A229" s="10">
        <v>19</v>
      </c>
      <c r="B229" s="10"/>
      <c r="C229" s="11" t="s">
        <v>414</v>
      </c>
      <c r="D229" s="11" t="s">
        <v>380</v>
      </c>
      <c r="E229" s="13"/>
      <c r="F229" s="10" t="s">
        <v>312</v>
      </c>
      <c r="G229" s="12" t="s">
        <v>415</v>
      </c>
      <c r="H229" s="15" t="s">
        <v>34</v>
      </c>
      <c r="I229" s="13" t="s">
        <v>27</v>
      </c>
      <c r="J229" s="13" t="s">
        <v>27</v>
      </c>
      <c r="K229" s="13" t="s">
        <v>27</v>
      </c>
      <c r="L229" s="13" t="s">
        <v>28</v>
      </c>
      <c r="M229" s="52" t="str" cm="1">
        <f t="array" ref="M229">_xlfn.IFS(COUNTIF(I229:L229,"Fail")&gt;0, "Fail", COUNTIF(I229:L229,"Pending")&gt;0, "Pending", COUNTIF(I229:L229,"Pass")&gt;0, "Pass", TRUE, "")</f>
        <v>Pass</v>
      </c>
      <c r="N229" s="13"/>
      <c r="O229" s="13"/>
      <c r="P229" s="44"/>
      <c r="Q229" s="13"/>
      <c r="R229" s="52"/>
      <c r="S229" s="2"/>
      <c r="T229" s="69"/>
    </row>
    <row r="230" spans="1:21">
      <c r="A230" s="10">
        <v>20</v>
      </c>
      <c r="B230" s="10"/>
      <c r="C230" s="11" t="s">
        <v>416</v>
      </c>
      <c r="D230" s="11" t="s">
        <v>380</v>
      </c>
      <c r="E230" s="13"/>
      <c r="F230" s="10" t="s">
        <v>312</v>
      </c>
      <c r="G230" s="12" t="s">
        <v>417</v>
      </c>
      <c r="H230" s="15" t="s">
        <v>34</v>
      </c>
      <c r="I230" s="13" t="s">
        <v>27</v>
      </c>
      <c r="J230" s="13" t="s">
        <v>27</v>
      </c>
      <c r="K230" s="13" t="s">
        <v>27</v>
      </c>
      <c r="L230" s="13" t="s">
        <v>28</v>
      </c>
      <c r="M230" s="52" t="str" cm="1">
        <f t="array" ref="M230">_xlfn.IFS(COUNTIF(I230:L230,"Fail")&gt;0, "Fail", COUNTIF(I230:L230,"Pending")&gt;0, "Pending", COUNTIF(I230:L230,"Pass")&gt;0, "Pass", TRUE, "")</f>
        <v>Pass</v>
      </c>
      <c r="N230" s="13"/>
      <c r="O230" s="13"/>
      <c r="P230" s="44"/>
      <c r="Q230" s="13"/>
      <c r="R230" s="52"/>
      <c r="S230" s="2"/>
      <c r="T230" s="69"/>
    </row>
    <row r="231" spans="1:21" ht="101.25">
      <c r="A231" s="10">
        <v>21</v>
      </c>
      <c r="B231" s="10"/>
      <c r="C231" s="11" t="s">
        <v>418</v>
      </c>
      <c r="D231" s="11" t="s">
        <v>380</v>
      </c>
      <c r="E231" s="13"/>
      <c r="F231" s="10" t="s">
        <v>312</v>
      </c>
      <c r="G231" s="30" t="s">
        <v>419</v>
      </c>
      <c r="H231" s="26" t="s">
        <v>26</v>
      </c>
      <c r="I231" s="13" t="s">
        <v>26</v>
      </c>
      <c r="J231" s="13" t="s">
        <v>26</v>
      </c>
      <c r="K231" s="13" t="s">
        <v>26</v>
      </c>
      <c r="L231" s="13" t="s">
        <v>28</v>
      </c>
      <c r="M231" s="52" t="str" cm="1">
        <f t="array" ref="M231">_xlfn.IFS(COUNTIF(I231:L231,"Fail")&gt;0, "Fail", COUNTIF(I231:L231,"Pending")&gt;0, "Pending", COUNTIF(I231:L231,"Pass")&gt;0, "Pass", TRUE, "")</f>
        <v>Fail</v>
      </c>
      <c r="N231" s="13" t="s">
        <v>29</v>
      </c>
      <c r="O231" s="13"/>
      <c r="P231" s="44" t="s">
        <v>420</v>
      </c>
      <c r="Q231" s="61" t="s">
        <v>29</v>
      </c>
      <c r="R231" s="68" t="s">
        <v>32</v>
      </c>
      <c r="S231" s="2" t="s">
        <v>32</v>
      </c>
      <c r="T231" s="134" t="s">
        <v>32</v>
      </c>
      <c r="U231" s="105" t="s">
        <v>32</v>
      </c>
    </row>
    <row r="232" spans="1:21">
      <c r="A232" s="10">
        <v>22</v>
      </c>
      <c r="B232" s="10"/>
      <c r="C232" s="11" t="s">
        <v>421</v>
      </c>
      <c r="D232" s="11" t="s">
        <v>380</v>
      </c>
      <c r="E232" s="13"/>
      <c r="F232" s="10" t="s">
        <v>312</v>
      </c>
      <c r="G232" s="12" t="s">
        <v>422</v>
      </c>
      <c r="H232" s="15" t="s">
        <v>34</v>
      </c>
      <c r="I232" s="13" t="s">
        <v>27</v>
      </c>
      <c r="J232" s="13" t="s">
        <v>27</v>
      </c>
      <c r="K232" s="13" t="s">
        <v>27</v>
      </c>
      <c r="L232" s="13" t="s">
        <v>28</v>
      </c>
      <c r="M232" s="52" t="str" cm="1">
        <f t="array" ref="M232">_xlfn.IFS(COUNTIF(I232:L232,"Fail")&gt;0, "Fail", COUNTIF(I232:L232,"Pending")&gt;0, "Pending", COUNTIF(I232:L232,"Pass")&gt;0, "Pass", TRUE, "")</f>
        <v>Pass</v>
      </c>
      <c r="N232" s="13"/>
      <c r="O232" s="13"/>
      <c r="P232" s="44"/>
      <c r="Q232" s="13"/>
      <c r="R232" s="52"/>
      <c r="S232" s="2"/>
      <c r="T232" s="69"/>
    </row>
    <row r="233" spans="1:21">
      <c r="A233" s="10">
        <v>23</v>
      </c>
      <c r="B233" s="10"/>
      <c r="C233" s="11" t="s">
        <v>423</v>
      </c>
      <c r="D233" s="11" t="s">
        <v>380</v>
      </c>
      <c r="E233" s="13"/>
      <c r="F233" s="10" t="s">
        <v>424</v>
      </c>
      <c r="G233" s="12" t="s">
        <v>425</v>
      </c>
      <c r="H233" s="15" t="s">
        <v>34</v>
      </c>
      <c r="I233" s="13" t="s">
        <v>28</v>
      </c>
      <c r="J233" s="13" t="s">
        <v>28</v>
      </c>
      <c r="K233" s="13" t="s">
        <v>27</v>
      </c>
      <c r="L233" s="13" t="s">
        <v>28</v>
      </c>
      <c r="M233" s="52" t="str" cm="1">
        <f t="array" ref="M233">_xlfn.IFS(COUNTIF(I233:L233,"Fail")&gt;0, "Fail", COUNTIF(I233:L233,"Pending")&gt;0, "Pending", COUNTIF(I233:L233,"Pass")&gt;0, "Pass", TRUE, "")</f>
        <v>Pass</v>
      </c>
      <c r="N233" s="13"/>
      <c r="O233" s="13"/>
      <c r="P233" s="44"/>
      <c r="Q233" s="13"/>
      <c r="R233" s="52"/>
      <c r="S233" s="2"/>
      <c r="T233" s="69"/>
    </row>
    <row r="234" spans="1:21" ht="159">
      <c r="A234" s="10">
        <v>24</v>
      </c>
      <c r="B234" s="10"/>
      <c r="C234" s="11" t="s">
        <v>426</v>
      </c>
      <c r="D234" s="11" t="s">
        <v>380</v>
      </c>
      <c r="E234" s="13"/>
      <c r="F234" s="10" t="s">
        <v>80</v>
      </c>
      <c r="G234" s="30" t="s">
        <v>427</v>
      </c>
      <c r="H234" s="26" t="s">
        <v>26</v>
      </c>
      <c r="I234" s="13" t="s">
        <v>27</v>
      </c>
      <c r="J234" s="13" t="s">
        <v>27</v>
      </c>
      <c r="K234" s="13" t="s">
        <v>27</v>
      </c>
      <c r="L234" s="13" t="s">
        <v>27</v>
      </c>
      <c r="M234" s="52" t="str" cm="1">
        <f t="array" ref="M234">_xlfn.IFS(COUNTIF(I234:L234,"Fail")&gt;0, "Fail", COUNTIF(I234:L234,"Pending")&gt;0, "Pending", COUNTIF(I234:L234,"Pass")&gt;0, "Pass", TRUE, "")</f>
        <v>Pass</v>
      </c>
      <c r="N234" s="13" t="s">
        <v>38</v>
      </c>
      <c r="O234" s="13"/>
      <c r="P234" s="44" t="s">
        <v>428</v>
      </c>
      <c r="Q234" s="61" t="s">
        <v>29</v>
      </c>
      <c r="R234" s="68" t="s">
        <v>31</v>
      </c>
      <c r="S234" s="77" t="s">
        <v>32</v>
      </c>
      <c r="T234" s="134" t="s">
        <v>31</v>
      </c>
      <c r="U234" s="105" t="s">
        <v>32</v>
      </c>
    </row>
    <row r="235" spans="1:21" ht="29.25">
      <c r="A235" s="10">
        <v>1</v>
      </c>
      <c r="B235" s="10"/>
      <c r="C235" s="11" t="s">
        <v>429</v>
      </c>
      <c r="D235" s="11" t="s">
        <v>430</v>
      </c>
      <c r="E235" s="13"/>
      <c r="F235" s="10" t="s">
        <v>312</v>
      </c>
      <c r="G235" s="12" t="s">
        <v>431</v>
      </c>
      <c r="H235" s="15" t="s">
        <v>34</v>
      </c>
      <c r="I235" s="13" t="s">
        <v>27</v>
      </c>
      <c r="J235" s="13" t="s">
        <v>27</v>
      </c>
      <c r="K235" s="13" t="s">
        <v>27</v>
      </c>
      <c r="L235" s="13" t="s">
        <v>28</v>
      </c>
      <c r="M235" s="52" t="str" cm="1">
        <f t="array" ref="M235">_xlfn.IFS(COUNTIF(I235:L235,"Fail")&gt;0, "Fail", COUNTIF(I235:L235,"Pending")&gt;0, "Pending", COUNTIF(I235:L235,"Pass")&gt;0, "Pass", TRUE, "")</f>
        <v>Pass</v>
      </c>
      <c r="N235" s="13"/>
      <c r="O235" s="13"/>
      <c r="P235" s="44" t="s">
        <v>432</v>
      </c>
      <c r="Q235" s="13"/>
      <c r="R235" s="52"/>
      <c r="S235" s="2"/>
      <c r="T235" s="69"/>
    </row>
    <row r="236" spans="1:21" ht="101.25">
      <c r="A236" s="10">
        <v>2</v>
      </c>
      <c r="B236" s="10"/>
      <c r="C236" s="11" t="s">
        <v>433</v>
      </c>
      <c r="D236" s="11" t="s">
        <v>430</v>
      </c>
      <c r="E236" s="13"/>
      <c r="F236" s="10" t="s">
        <v>312</v>
      </c>
      <c r="G236" s="30" t="s">
        <v>434</v>
      </c>
      <c r="H236" s="26" t="s">
        <v>26</v>
      </c>
      <c r="I236" s="13" t="s">
        <v>27</v>
      </c>
      <c r="J236" s="13" t="s">
        <v>27</v>
      </c>
      <c r="K236" s="13" t="s">
        <v>27</v>
      </c>
      <c r="L236" s="13" t="s">
        <v>28</v>
      </c>
      <c r="M236" s="52" t="str" cm="1">
        <f t="array" ref="M236">_xlfn.IFS(COUNTIF(I236:L236,"Fail")&gt;0, "Fail", COUNTIF(I236:L236,"Pending")&gt;0, "Pending", COUNTIF(I236:L236,"Pass")&gt;0, "Pass", TRUE, "")</f>
        <v>Pass</v>
      </c>
      <c r="N236" s="13" t="s">
        <v>38</v>
      </c>
      <c r="O236" s="13"/>
      <c r="P236" s="44" t="s">
        <v>435</v>
      </c>
      <c r="Q236" s="61" t="s">
        <v>29</v>
      </c>
      <c r="R236" s="68" t="s">
        <v>31</v>
      </c>
      <c r="S236" s="77" t="s">
        <v>32</v>
      </c>
      <c r="T236" s="134" t="s">
        <v>31</v>
      </c>
      <c r="U236" s="105" t="s">
        <v>32</v>
      </c>
    </row>
    <row r="237" spans="1:21" ht="130.5">
      <c r="A237" s="10">
        <v>3</v>
      </c>
      <c r="B237" s="10"/>
      <c r="C237" s="11" t="s">
        <v>436</v>
      </c>
      <c r="D237" s="11" t="s">
        <v>430</v>
      </c>
      <c r="E237" s="13"/>
      <c r="F237" s="10" t="s">
        <v>312</v>
      </c>
      <c r="G237" s="30" t="s">
        <v>437</v>
      </c>
      <c r="H237" s="26" t="s">
        <v>26</v>
      </c>
      <c r="I237" s="13" t="s">
        <v>27</v>
      </c>
      <c r="J237" s="13" t="s">
        <v>27</v>
      </c>
      <c r="K237" s="13" t="s">
        <v>27</v>
      </c>
      <c r="L237" s="13" t="s">
        <v>28</v>
      </c>
      <c r="M237" s="52" t="str" cm="1">
        <f t="array" ref="M237">_xlfn.IFS(COUNTIF(I237:L237,"Fail")&gt;0, "Fail", COUNTIF(I237:L237,"Pending")&gt;0, "Pending", COUNTIF(I237:L237,"Pass")&gt;0, "Pass", TRUE, "")</f>
        <v>Pass</v>
      </c>
      <c r="N237" s="13" t="s">
        <v>38</v>
      </c>
      <c r="O237" s="13"/>
      <c r="P237" s="44" t="s">
        <v>438</v>
      </c>
      <c r="Q237" s="61" t="s">
        <v>29</v>
      </c>
      <c r="R237" s="68" t="s">
        <v>31</v>
      </c>
      <c r="S237" s="77" t="s">
        <v>32</v>
      </c>
      <c r="T237" s="134" t="s">
        <v>31</v>
      </c>
      <c r="U237" s="105" t="s">
        <v>32</v>
      </c>
    </row>
    <row r="238" spans="1:21">
      <c r="A238" s="10">
        <v>4</v>
      </c>
      <c r="B238" s="10"/>
      <c r="C238" s="11" t="s">
        <v>439</v>
      </c>
      <c r="D238" s="11" t="s">
        <v>430</v>
      </c>
      <c r="E238" s="13"/>
      <c r="F238" s="10" t="s">
        <v>312</v>
      </c>
      <c r="G238" s="12" t="s">
        <v>440</v>
      </c>
      <c r="H238" s="15" t="s">
        <v>34</v>
      </c>
      <c r="I238" s="13" t="s">
        <v>27</v>
      </c>
      <c r="J238" s="13" t="s">
        <v>27</v>
      </c>
      <c r="K238" s="13" t="s">
        <v>27</v>
      </c>
      <c r="L238" s="13" t="s">
        <v>28</v>
      </c>
      <c r="M238" s="52" t="str" cm="1">
        <f t="array" ref="M238">_xlfn.IFS(COUNTIF(I238:L238,"Fail")&gt;0, "Fail", COUNTIF(I238:L238,"Pending")&gt;0, "Pending", COUNTIF(I238:L238,"Pass")&gt;0, "Pass", TRUE, "")</f>
        <v>Pass</v>
      </c>
      <c r="N238" s="13"/>
      <c r="O238" s="13"/>
      <c r="P238" s="44"/>
      <c r="Q238" s="13"/>
      <c r="R238" s="52"/>
      <c r="S238" s="2"/>
      <c r="T238" s="69"/>
    </row>
    <row r="239" spans="1:21">
      <c r="A239" s="10">
        <v>5</v>
      </c>
      <c r="B239" s="10"/>
      <c r="C239" s="11" t="s">
        <v>441</v>
      </c>
      <c r="D239" s="11" t="s">
        <v>430</v>
      </c>
      <c r="E239" s="13"/>
      <c r="F239" s="10" t="s">
        <v>312</v>
      </c>
      <c r="G239" s="12" t="s">
        <v>442</v>
      </c>
      <c r="H239" s="15" t="s">
        <v>34</v>
      </c>
      <c r="I239" s="13" t="s">
        <v>27</v>
      </c>
      <c r="J239" s="13" t="s">
        <v>27</v>
      </c>
      <c r="K239" s="13" t="s">
        <v>27</v>
      </c>
      <c r="L239" s="13" t="s">
        <v>28</v>
      </c>
      <c r="M239" s="52" t="str" cm="1">
        <f t="array" ref="M239">_xlfn.IFS(COUNTIF(I239:L239,"Fail")&gt;0, "Fail", COUNTIF(I239:L239,"Pending")&gt;0, "Pending", COUNTIF(I239:L239,"Pass")&gt;0, "Pass", TRUE, "")</f>
        <v>Pass</v>
      </c>
      <c r="N239" s="13"/>
      <c r="O239" s="13"/>
      <c r="P239" s="44"/>
      <c r="Q239" s="13"/>
      <c r="R239" s="52"/>
      <c r="S239" s="2"/>
      <c r="T239" s="69"/>
    </row>
    <row r="240" spans="1:21" ht="144.75">
      <c r="A240" s="10">
        <v>7</v>
      </c>
      <c r="B240" s="10"/>
      <c r="C240" s="11" t="s">
        <v>443</v>
      </c>
      <c r="D240" s="11" t="s">
        <v>430</v>
      </c>
      <c r="E240" s="13"/>
      <c r="F240" s="10" t="s">
        <v>312</v>
      </c>
      <c r="G240" s="44" t="s">
        <v>444</v>
      </c>
      <c r="H240" s="45" t="s">
        <v>26</v>
      </c>
      <c r="I240" s="13" t="s">
        <v>27</v>
      </c>
      <c r="J240" s="13" t="s">
        <v>27</v>
      </c>
      <c r="K240" s="13" t="s">
        <v>27</v>
      </c>
      <c r="L240" s="13" t="s">
        <v>28</v>
      </c>
      <c r="M240" s="52" t="str" cm="1">
        <f t="array" ref="M240">_xlfn.IFS(COUNTIF(I240:L240,"Fail")&gt;0, "Fail", COUNTIF(I240:L240,"Pending")&gt;0, "Pending", COUNTIF(I240:L240,"Pass")&gt;0, "Pass", TRUE, "")</f>
        <v>Pass</v>
      </c>
      <c r="N240" s="13" t="s">
        <v>29</v>
      </c>
      <c r="O240" s="13"/>
      <c r="P240" s="44" t="s">
        <v>445</v>
      </c>
      <c r="Q240" s="61" t="s">
        <v>29</v>
      </c>
      <c r="R240" s="68" t="s">
        <v>31</v>
      </c>
      <c r="S240" s="77" t="s">
        <v>32</v>
      </c>
      <c r="T240" s="134" t="s">
        <v>31</v>
      </c>
      <c r="U240" s="131" t="s">
        <v>32</v>
      </c>
    </row>
    <row r="241" spans="1:21">
      <c r="A241" s="10">
        <v>1</v>
      </c>
      <c r="B241" s="10"/>
      <c r="C241" s="11" t="s">
        <v>443</v>
      </c>
      <c r="D241" s="11" t="s">
        <v>446</v>
      </c>
      <c r="E241" s="13"/>
      <c r="F241" s="10" t="s">
        <v>312</v>
      </c>
      <c r="G241" s="12" t="s">
        <v>447</v>
      </c>
      <c r="H241" s="15" t="s">
        <v>34</v>
      </c>
      <c r="I241" s="13" t="s">
        <v>27</v>
      </c>
      <c r="J241" s="13" t="s">
        <v>27</v>
      </c>
      <c r="K241" s="13" t="s">
        <v>27</v>
      </c>
      <c r="L241" s="13" t="s">
        <v>28</v>
      </c>
      <c r="M241" s="52" t="str" cm="1">
        <f t="array" ref="M241">_xlfn.IFS(COUNTIF(I241:L241,"Fail")&gt;0, "Fail", COUNTIF(I241:L241,"Pending")&gt;0, "Pending", COUNTIF(I241:L241,"Pass")&gt;0, "Pass", TRUE, "")</f>
        <v>Pass</v>
      </c>
      <c r="N241" s="13"/>
      <c r="O241" s="13"/>
      <c r="P241" s="44"/>
      <c r="Q241" s="13"/>
      <c r="R241" s="52"/>
      <c r="S241" s="2"/>
      <c r="T241" s="69"/>
    </row>
    <row r="242" spans="1:21">
      <c r="A242" s="10">
        <v>2</v>
      </c>
      <c r="B242" s="10"/>
      <c r="C242" s="11" t="s">
        <v>443</v>
      </c>
      <c r="D242" s="11" t="s">
        <v>446</v>
      </c>
      <c r="E242" s="13"/>
      <c r="F242" s="10" t="s">
        <v>312</v>
      </c>
      <c r="G242" s="12" t="s">
        <v>448</v>
      </c>
      <c r="H242" s="15" t="s">
        <v>34</v>
      </c>
      <c r="I242" s="13" t="s">
        <v>27</v>
      </c>
      <c r="J242" s="13" t="s">
        <v>27</v>
      </c>
      <c r="K242" s="13" t="s">
        <v>27</v>
      </c>
      <c r="L242" s="13" t="s">
        <v>28</v>
      </c>
      <c r="M242" s="52" t="str" cm="1">
        <f t="array" ref="M242">_xlfn.IFS(COUNTIF(I242:L242,"Fail")&gt;0, "Fail", COUNTIF(I242:L242,"Pending")&gt;0, "Pending", COUNTIF(I242:L242,"Pass")&gt;0, "Pass", TRUE, "")</f>
        <v>Pass</v>
      </c>
      <c r="N242" s="13"/>
      <c r="O242" s="13"/>
      <c r="P242" s="44"/>
      <c r="Q242" s="13"/>
      <c r="R242" s="52"/>
      <c r="S242" s="2"/>
      <c r="T242" s="69"/>
    </row>
    <row r="243" spans="1:21">
      <c r="A243" s="10">
        <v>4</v>
      </c>
      <c r="B243" s="10"/>
      <c r="C243" s="11" t="s">
        <v>443</v>
      </c>
      <c r="D243" s="11" t="s">
        <v>446</v>
      </c>
      <c r="E243" s="13"/>
      <c r="F243" s="10" t="s">
        <v>312</v>
      </c>
      <c r="G243" s="12" t="s">
        <v>449</v>
      </c>
      <c r="H243" s="15" t="s">
        <v>34</v>
      </c>
      <c r="I243" s="13" t="s">
        <v>27</v>
      </c>
      <c r="J243" s="13" t="s">
        <v>27</v>
      </c>
      <c r="K243" s="13" t="s">
        <v>27</v>
      </c>
      <c r="L243" s="13" t="s">
        <v>28</v>
      </c>
      <c r="M243" s="52" t="str" cm="1">
        <f t="array" ref="M243">_xlfn.IFS(COUNTIF(I243:L243,"Fail")&gt;0, "Fail", COUNTIF(I243:L243,"Pending")&gt;0, "Pending", COUNTIF(I243:L243,"Pass")&gt;0, "Pass", TRUE, "")</f>
        <v>Pass</v>
      </c>
      <c r="N243" s="13"/>
      <c r="O243" s="13"/>
      <c r="P243" s="44"/>
      <c r="Q243" s="13"/>
      <c r="R243" s="52"/>
      <c r="S243" s="2"/>
      <c r="T243" s="69"/>
    </row>
    <row r="244" spans="1:21">
      <c r="A244" s="10">
        <v>5</v>
      </c>
      <c r="B244" s="10"/>
      <c r="C244" s="11" t="s">
        <v>443</v>
      </c>
      <c r="D244" s="11" t="s">
        <v>446</v>
      </c>
      <c r="E244" s="13"/>
      <c r="F244" s="10" t="s">
        <v>312</v>
      </c>
      <c r="G244" s="12" t="s">
        <v>450</v>
      </c>
      <c r="H244" s="15" t="s">
        <v>34</v>
      </c>
      <c r="I244" s="13" t="s">
        <v>27</v>
      </c>
      <c r="J244" s="13" t="s">
        <v>27</v>
      </c>
      <c r="K244" s="13" t="s">
        <v>27</v>
      </c>
      <c r="L244" s="13" t="s">
        <v>28</v>
      </c>
      <c r="M244" s="52" t="str" cm="1">
        <f t="array" ref="M244">_xlfn.IFS(COUNTIF(I244:L244,"Fail")&gt;0, "Fail", COUNTIF(I244:L244,"Pending")&gt;0, "Pending", COUNTIF(I244:L244,"Pass")&gt;0, "Pass", TRUE, "")</f>
        <v>Pass</v>
      </c>
      <c r="N244" s="13"/>
      <c r="O244" s="13"/>
      <c r="P244" s="44"/>
      <c r="Q244" s="13"/>
      <c r="R244" s="52"/>
      <c r="S244" s="2"/>
      <c r="T244" s="69"/>
    </row>
    <row r="245" spans="1:21" ht="318">
      <c r="A245" s="26">
        <v>1</v>
      </c>
      <c r="B245" s="10" t="s">
        <v>451</v>
      </c>
      <c r="C245" s="11" t="s">
        <v>443</v>
      </c>
      <c r="D245" s="11" t="s">
        <v>452</v>
      </c>
      <c r="E245" s="13"/>
      <c r="F245" s="46" t="s">
        <v>312</v>
      </c>
      <c r="G245" s="44" t="s">
        <v>453</v>
      </c>
      <c r="H245" s="47" t="s">
        <v>26</v>
      </c>
      <c r="I245" s="13" t="s">
        <v>27</v>
      </c>
      <c r="J245" s="13" t="s">
        <v>27</v>
      </c>
      <c r="K245" s="13" t="s">
        <v>27</v>
      </c>
      <c r="L245" s="13" t="s">
        <v>28</v>
      </c>
      <c r="M245" s="52" t="str" cm="1">
        <f t="array" ref="M245">_xlfn.IFS(COUNTIF(I245:L245,"Fail")&gt;0, "Fail", COUNTIF(I245:L245,"Pending")&gt;0, "Pending", COUNTIF(I245:L245,"Pass")&gt;0, "Pass", TRUE, "")</f>
        <v>Pass</v>
      </c>
      <c r="N245" s="13" t="s">
        <v>29</v>
      </c>
      <c r="O245" s="13"/>
      <c r="P245" s="44" t="s">
        <v>454</v>
      </c>
      <c r="Q245" s="61" t="s">
        <v>29</v>
      </c>
      <c r="R245" s="68" t="s">
        <v>32</v>
      </c>
      <c r="S245" s="77" t="s">
        <v>32</v>
      </c>
      <c r="T245" s="134" t="s">
        <v>32</v>
      </c>
      <c r="U245" s="105" t="s">
        <v>32</v>
      </c>
    </row>
    <row r="246" spans="1:21">
      <c r="A246" s="26">
        <v>2</v>
      </c>
      <c r="B246" s="10" t="s">
        <v>451</v>
      </c>
      <c r="C246" s="11" t="s">
        <v>443</v>
      </c>
      <c r="D246" s="11" t="s">
        <v>452</v>
      </c>
      <c r="E246" s="13"/>
      <c r="F246" s="46" t="s">
        <v>312</v>
      </c>
      <c r="G246" s="48" t="s">
        <v>455</v>
      </c>
      <c r="H246" s="15" t="s">
        <v>34</v>
      </c>
      <c r="I246" s="13" t="s">
        <v>27</v>
      </c>
      <c r="J246" s="13" t="s">
        <v>27</v>
      </c>
      <c r="K246" s="13" t="s">
        <v>27</v>
      </c>
      <c r="L246" s="13" t="s">
        <v>28</v>
      </c>
      <c r="M246" s="52" t="str" cm="1">
        <f t="array" ref="M246">_xlfn.IFS(COUNTIF(I246:L246,"Fail")&gt;0, "Fail", COUNTIF(I246:L246,"Pending")&gt;0, "Pending", COUNTIF(I246:L246,"Pass")&gt;0, "Pass", TRUE, "")</f>
        <v>Pass</v>
      </c>
      <c r="N246" s="13"/>
      <c r="O246" s="13"/>
      <c r="P246" s="44"/>
      <c r="Q246" s="13"/>
      <c r="R246" s="52"/>
      <c r="S246" s="2"/>
      <c r="T246" s="69"/>
    </row>
    <row r="247" spans="1:21">
      <c r="A247" s="26">
        <v>5</v>
      </c>
      <c r="B247" s="10" t="s">
        <v>451</v>
      </c>
      <c r="C247" s="11" t="s">
        <v>443</v>
      </c>
      <c r="D247" s="11" t="s">
        <v>452</v>
      </c>
      <c r="E247" s="13"/>
      <c r="F247" s="46" t="s">
        <v>312</v>
      </c>
      <c r="G247" s="48" t="s">
        <v>456</v>
      </c>
      <c r="H247" s="15" t="s">
        <v>34</v>
      </c>
      <c r="I247" s="13" t="s">
        <v>27</v>
      </c>
      <c r="J247" s="13" t="s">
        <v>27</v>
      </c>
      <c r="K247" s="13" t="s">
        <v>27</v>
      </c>
      <c r="L247" s="13" t="s">
        <v>28</v>
      </c>
      <c r="M247" s="52" t="str" cm="1">
        <f t="array" ref="M247">_xlfn.IFS(COUNTIF(I247:L247,"Fail")&gt;0, "Fail", COUNTIF(I247:L247,"Pending")&gt;0, "Pending", COUNTIF(I247:L247,"Pass")&gt;0, "Pass", TRUE, "")</f>
        <v>Pass</v>
      </c>
      <c r="N247" s="13"/>
      <c r="O247" s="13"/>
      <c r="P247" s="44"/>
      <c r="Q247" s="13"/>
      <c r="R247" s="52"/>
      <c r="S247" s="2"/>
      <c r="T247" s="69"/>
    </row>
    <row r="248" spans="1:21">
      <c r="A248" s="26">
        <v>6</v>
      </c>
      <c r="B248" s="10" t="s">
        <v>451</v>
      </c>
      <c r="C248" s="11" t="s">
        <v>443</v>
      </c>
      <c r="D248" s="11" t="s">
        <v>452</v>
      </c>
      <c r="E248" s="13"/>
      <c r="F248" s="46" t="s">
        <v>312</v>
      </c>
      <c r="G248" s="48" t="s">
        <v>457</v>
      </c>
      <c r="H248" s="15" t="s">
        <v>34</v>
      </c>
      <c r="I248" s="13" t="s">
        <v>27</v>
      </c>
      <c r="J248" s="13" t="s">
        <v>27</v>
      </c>
      <c r="K248" s="13" t="s">
        <v>27</v>
      </c>
      <c r="L248" s="13" t="s">
        <v>28</v>
      </c>
      <c r="M248" s="52" t="str" cm="1">
        <f t="array" ref="M248">_xlfn.IFS(COUNTIF(I248:L248,"Fail")&gt;0, "Fail", COUNTIF(I248:L248,"Pending")&gt;0, "Pending", COUNTIF(I248:L248,"Pass")&gt;0, "Pass", TRUE, "")</f>
        <v>Pass</v>
      </c>
      <c r="N248" s="13"/>
      <c r="O248" s="13"/>
      <c r="P248" s="44"/>
      <c r="Q248" s="13"/>
      <c r="R248" s="52"/>
      <c r="S248" s="2"/>
      <c r="T248" s="69"/>
    </row>
    <row r="249" spans="1:21">
      <c r="A249" s="26">
        <v>7</v>
      </c>
      <c r="B249" s="10" t="s">
        <v>451</v>
      </c>
      <c r="C249" s="11" t="s">
        <v>443</v>
      </c>
      <c r="D249" s="11" t="s">
        <v>452</v>
      </c>
      <c r="E249" s="13"/>
      <c r="F249" s="46" t="s">
        <v>312</v>
      </c>
      <c r="G249" s="48" t="s">
        <v>458</v>
      </c>
      <c r="H249" s="15" t="s">
        <v>34</v>
      </c>
      <c r="I249" s="13" t="s">
        <v>27</v>
      </c>
      <c r="J249" s="13" t="s">
        <v>27</v>
      </c>
      <c r="K249" s="13" t="s">
        <v>27</v>
      </c>
      <c r="L249" s="13" t="s">
        <v>28</v>
      </c>
      <c r="M249" s="52" t="str" cm="1">
        <f t="array" ref="M249">_xlfn.IFS(COUNTIF(I249:L249,"Fail")&gt;0, "Fail", COUNTIF(I249:L249,"Pending")&gt;0, "Pending", COUNTIF(I249:L249,"Pass")&gt;0, "Pass", TRUE, "")</f>
        <v>Pass</v>
      </c>
      <c r="N249" s="13"/>
      <c r="O249" s="13"/>
      <c r="P249" s="44"/>
      <c r="Q249" s="13"/>
      <c r="R249" s="52"/>
      <c r="S249" s="2"/>
      <c r="T249" s="69"/>
    </row>
    <row r="250" spans="1:21">
      <c r="A250" s="26">
        <v>12</v>
      </c>
      <c r="B250" s="10" t="s">
        <v>451</v>
      </c>
      <c r="C250" s="11" t="s">
        <v>443</v>
      </c>
      <c r="D250" s="11" t="s">
        <v>452</v>
      </c>
      <c r="E250" s="13"/>
      <c r="F250" s="46" t="s">
        <v>344</v>
      </c>
      <c r="G250" s="48" t="s">
        <v>459</v>
      </c>
      <c r="H250" s="15" t="s">
        <v>34</v>
      </c>
      <c r="I250" s="13" t="s">
        <v>28</v>
      </c>
      <c r="J250" s="13" t="s">
        <v>28</v>
      </c>
      <c r="K250" s="13" t="s">
        <v>28</v>
      </c>
      <c r="L250" s="13" t="s">
        <v>27</v>
      </c>
      <c r="M250" s="52" t="str" cm="1">
        <f t="array" ref="M250">_xlfn.IFS(COUNTIF(I250:L250,"Fail")&gt;0, "Fail", COUNTIF(I250:L250,"Pending")&gt;0, "Pending", COUNTIF(I250:L250,"Pass")&gt;0, "Pass", TRUE, "")</f>
        <v>Pass</v>
      </c>
      <c r="N250" s="13"/>
      <c r="O250" s="13"/>
      <c r="P250" s="44"/>
      <c r="Q250" s="13"/>
      <c r="R250" s="52"/>
      <c r="S250" s="2"/>
      <c r="T250" s="69"/>
    </row>
    <row r="251" spans="1:21" ht="101.25">
      <c r="A251" s="26">
        <v>16</v>
      </c>
      <c r="B251" s="10" t="s">
        <v>451</v>
      </c>
      <c r="C251" s="11" t="s">
        <v>443</v>
      </c>
      <c r="D251" s="11" t="s">
        <v>452</v>
      </c>
      <c r="E251" s="13"/>
      <c r="F251" s="10" t="s">
        <v>344</v>
      </c>
      <c r="G251" s="31" t="s">
        <v>460</v>
      </c>
      <c r="H251" s="15" t="s">
        <v>34</v>
      </c>
      <c r="I251" s="13" t="s">
        <v>28</v>
      </c>
      <c r="J251" s="13" t="s">
        <v>28</v>
      </c>
      <c r="K251" s="13" t="s">
        <v>28</v>
      </c>
      <c r="L251" s="13" t="s">
        <v>27</v>
      </c>
      <c r="M251" s="52" t="str" cm="1">
        <f t="array" ref="M251">_xlfn.IFS(COUNTIF(I251:L251,"Fail")&gt;0, "Fail", COUNTIF(I251:L251,"Pending")&gt;0, "Pending", COUNTIF(I251:L251,"Pass")&gt;0, "Pass", TRUE, "")</f>
        <v>Pass</v>
      </c>
      <c r="N251" s="13" t="s">
        <v>38</v>
      </c>
      <c r="O251" s="13"/>
      <c r="P251" s="44" t="s">
        <v>360</v>
      </c>
      <c r="Q251" s="61" t="s">
        <v>29</v>
      </c>
      <c r="R251" s="68" t="s">
        <v>31</v>
      </c>
      <c r="S251" s="77" t="s">
        <v>32</v>
      </c>
      <c r="T251" s="134" t="s">
        <v>31</v>
      </c>
      <c r="U251" s="105" t="s">
        <v>32</v>
      </c>
    </row>
    <row r="252" spans="1:21" ht="245.25">
      <c r="A252" s="26">
        <v>17</v>
      </c>
      <c r="B252" s="10" t="s">
        <v>451</v>
      </c>
      <c r="C252" s="11" t="s">
        <v>443</v>
      </c>
      <c r="D252" s="11" t="s">
        <v>452</v>
      </c>
      <c r="E252" s="13"/>
      <c r="F252" s="10" t="s">
        <v>344</v>
      </c>
      <c r="G252" s="31" t="s">
        <v>461</v>
      </c>
      <c r="H252" s="32" t="s">
        <v>26</v>
      </c>
      <c r="I252" s="13" t="s">
        <v>28</v>
      </c>
      <c r="J252" s="13" t="s">
        <v>28</v>
      </c>
      <c r="K252" s="13" t="s">
        <v>28</v>
      </c>
      <c r="L252" s="13" t="s">
        <v>27</v>
      </c>
      <c r="M252" s="52" t="str" cm="1">
        <f t="array" ref="M252">_xlfn.IFS(COUNTIF(I252:L252,"Fail")&gt;0, "Fail", COUNTIF(I252:L252,"Pending")&gt;0, "Pending", COUNTIF(I252:L252,"Pass")&gt;0, "Pass", TRUE, "")</f>
        <v>Pass</v>
      </c>
      <c r="N252" s="13" t="s">
        <v>29</v>
      </c>
      <c r="O252" s="13"/>
      <c r="P252" s="44" t="s">
        <v>462</v>
      </c>
      <c r="Q252" s="61" t="s">
        <v>29</v>
      </c>
      <c r="R252" s="68" t="s">
        <v>31</v>
      </c>
      <c r="S252" s="78" t="s">
        <v>32</v>
      </c>
      <c r="T252" s="134" t="s">
        <v>31</v>
      </c>
      <c r="U252" s="105" t="s">
        <v>32</v>
      </c>
    </row>
    <row r="253" spans="1:21" ht="114.75" customHeight="1">
      <c r="A253" s="26">
        <v>19</v>
      </c>
      <c r="B253" s="10" t="s">
        <v>451</v>
      </c>
      <c r="C253" s="11" t="s">
        <v>443</v>
      </c>
      <c r="D253" s="11" t="s">
        <v>452</v>
      </c>
      <c r="E253" s="13"/>
      <c r="F253" s="10" t="s">
        <v>312</v>
      </c>
      <c r="G253" s="31" t="s">
        <v>463</v>
      </c>
      <c r="H253" s="32" t="s">
        <v>27</v>
      </c>
      <c r="I253" s="13" t="s">
        <v>27</v>
      </c>
      <c r="J253" s="13" t="s">
        <v>27</v>
      </c>
      <c r="K253" s="13" t="s">
        <v>27</v>
      </c>
      <c r="L253" s="13" t="s">
        <v>28</v>
      </c>
      <c r="M253" s="52" t="str" cm="1">
        <f t="array" ref="M253">_xlfn.IFS(COUNTIF(I253:L253,"Fail")&gt;0, "Fail", COUNTIF(I253:L253,"Pending")&gt;0, "Pending", COUNTIF(I253:L253,"Pass")&gt;0, "Pass", TRUE, "")</f>
        <v>Pass</v>
      </c>
      <c r="N253" s="13" t="s">
        <v>29</v>
      </c>
      <c r="O253" s="13"/>
      <c r="P253" s="44" t="s">
        <v>464</v>
      </c>
      <c r="Q253" s="61" t="s">
        <v>29</v>
      </c>
      <c r="R253" s="68" t="s">
        <v>32</v>
      </c>
      <c r="S253" s="77" t="s">
        <v>32</v>
      </c>
      <c r="T253" s="134" t="s">
        <v>32</v>
      </c>
      <c r="U253" s="105" t="s">
        <v>32</v>
      </c>
    </row>
    <row r="254" spans="1:21" ht="159">
      <c r="A254" s="26">
        <v>22</v>
      </c>
      <c r="B254" s="10" t="s">
        <v>451</v>
      </c>
      <c r="C254" s="11" t="s">
        <v>443</v>
      </c>
      <c r="D254" s="11" t="s">
        <v>452</v>
      </c>
      <c r="E254" s="13"/>
      <c r="F254" s="10" t="s">
        <v>312</v>
      </c>
      <c r="G254" s="31" t="s">
        <v>465</v>
      </c>
      <c r="H254" s="32" t="s">
        <v>26</v>
      </c>
      <c r="I254" s="13" t="s">
        <v>27</v>
      </c>
      <c r="J254" s="13" t="s">
        <v>27</v>
      </c>
      <c r="K254" s="13" t="s">
        <v>27</v>
      </c>
      <c r="L254" s="13" t="s">
        <v>28</v>
      </c>
      <c r="M254" s="52" t="str" cm="1">
        <f t="array" ref="M254">_xlfn.IFS(COUNTIF(I254:L254,"Fail")&gt;0, "Fail", COUNTIF(I254:L254,"Pending")&gt;0, "Pending", COUNTIF(I254:L254,"Pass")&gt;0, "Pass", TRUE, "")</f>
        <v>Pass</v>
      </c>
      <c r="N254" s="13" t="s">
        <v>38</v>
      </c>
      <c r="O254" s="13"/>
      <c r="P254" s="44" t="s">
        <v>466</v>
      </c>
      <c r="Q254" s="61" t="s">
        <v>29</v>
      </c>
      <c r="R254" s="68" t="s">
        <v>31</v>
      </c>
      <c r="S254" s="84" t="s">
        <v>32</v>
      </c>
      <c r="T254" s="134" t="s">
        <v>32</v>
      </c>
      <c r="U254" s="131" t="s">
        <v>32</v>
      </c>
    </row>
    <row r="255" spans="1:21">
      <c r="A255" s="26">
        <v>26</v>
      </c>
      <c r="B255" s="10" t="s">
        <v>451</v>
      </c>
      <c r="C255" s="11" t="s">
        <v>443</v>
      </c>
      <c r="D255" s="11" t="s">
        <v>452</v>
      </c>
      <c r="E255" s="13"/>
      <c r="F255" s="10" t="s">
        <v>312</v>
      </c>
      <c r="G255" s="11" t="s">
        <v>467</v>
      </c>
      <c r="H255" s="15" t="s">
        <v>34</v>
      </c>
      <c r="I255" s="13" t="s">
        <v>27</v>
      </c>
      <c r="J255" s="13" t="s">
        <v>27</v>
      </c>
      <c r="K255" s="13" t="s">
        <v>27</v>
      </c>
      <c r="L255" s="13" t="s">
        <v>28</v>
      </c>
      <c r="M255" s="52" t="str" cm="1">
        <f t="array" ref="M255">_xlfn.IFS(COUNTIF(I255:L255,"Fail")&gt;0, "Fail", COUNTIF(I255:L255,"Pending")&gt;0, "Pending", COUNTIF(I255:L255,"Pass")&gt;0, "Pass", TRUE, "")</f>
        <v>Pass</v>
      </c>
      <c r="N255" s="13"/>
      <c r="O255" s="13"/>
      <c r="P255" s="44"/>
      <c r="Q255" s="13"/>
      <c r="R255" s="52"/>
      <c r="S255" s="2"/>
      <c r="T255" s="69"/>
    </row>
    <row r="256" spans="1:21">
      <c r="A256" s="26">
        <v>27</v>
      </c>
      <c r="B256" s="10" t="s">
        <v>451</v>
      </c>
      <c r="C256" s="11" t="s">
        <v>443</v>
      </c>
      <c r="D256" s="11" t="s">
        <v>452</v>
      </c>
      <c r="E256" s="13"/>
      <c r="F256" s="10" t="s">
        <v>312</v>
      </c>
      <c r="G256" s="11" t="s">
        <v>468</v>
      </c>
      <c r="H256" s="15" t="s">
        <v>34</v>
      </c>
      <c r="I256" s="13" t="s">
        <v>27</v>
      </c>
      <c r="J256" s="13" t="s">
        <v>27</v>
      </c>
      <c r="K256" s="13" t="s">
        <v>27</v>
      </c>
      <c r="L256" s="13" t="s">
        <v>28</v>
      </c>
      <c r="M256" s="52" t="str" cm="1">
        <f t="array" ref="M256">_xlfn.IFS(COUNTIF(I256:L256,"Fail")&gt;0, "Fail", COUNTIF(I256:L256,"Pending")&gt;0, "Pending", COUNTIF(I256:L256,"Pass")&gt;0, "Pass", TRUE, "")</f>
        <v>Pass</v>
      </c>
      <c r="N256" s="13"/>
      <c r="O256" s="13"/>
      <c r="P256" s="44"/>
      <c r="Q256" s="13"/>
      <c r="R256" s="52"/>
      <c r="S256" s="2"/>
      <c r="T256" s="69"/>
    </row>
    <row r="257" spans="1:21">
      <c r="A257" s="26">
        <v>29</v>
      </c>
      <c r="B257" s="10" t="s">
        <v>451</v>
      </c>
      <c r="C257" s="11" t="s">
        <v>443</v>
      </c>
      <c r="D257" s="11" t="s">
        <v>452</v>
      </c>
      <c r="E257" s="13"/>
      <c r="F257" s="10" t="s">
        <v>312</v>
      </c>
      <c r="G257" s="11" t="s">
        <v>469</v>
      </c>
      <c r="H257" s="15" t="s">
        <v>34</v>
      </c>
      <c r="I257" s="13" t="s">
        <v>27</v>
      </c>
      <c r="J257" s="13" t="s">
        <v>27</v>
      </c>
      <c r="K257" s="13" t="s">
        <v>27</v>
      </c>
      <c r="L257" s="13" t="s">
        <v>28</v>
      </c>
      <c r="M257" s="52" t="str" cm="1">
        <f t="array" ref="M257">_xlfn.IFS(COUNTIF(I257:L257,"Fail")&gt;0, "Fail", COUNTIF(I257:L257,"Pending")&gt;0, "Pending", COUNTIF(I257:L257,"Pass")&gt;0, "Pass", TRUE, "")</f>
        <v>Pass</v>
      </c>
      <c r="N257" s="13"/>
      <c r="O257" s="13"/>
      <c r="P257" s="44"/>
      <c r="Q257" s="13"/>
      <c r="R257" s="52"/>
      <c r="S257" s="2"/>
      <c r="T257" s="69"/>
    </row>
    <row r="258" spans="1:21">
      <c r="A258" s="26">
        <v>30</v>
      </c>
      <c r="B258" s="10" t="s">
        <v>451</v>
      </c>
      <c r="C258" s="11" t="s">
        <v>443</v>
      </c>
      <c r="D258" s="11" t="s">
        <v>452</v>
      </c>
      <c r="E258" s="13"/>
      <c r="F258" s="10" t="s">
        <v>312</v>
      </c>
      <c r="G258" s="11" t="s">
        <v>470</v>
      </c>
      <c r="H258" s="15" t="s">
        <v>34</v>
      </c>
      <c r="I258" s="13" t="s">
        <v>27</v>
      </c>
      <c r="J258" s="13" t="s">
        <v>27</v>
      </c>
      <c r="K258" s="13" t="s">
        <v>27</v>
      </c>
      <c r="L258" s="13" t="s">
        <v>28</v>
      </c>
      <c r="M258" s="52" t="str" cm="1">
        <f t="array" ref="M258">_xlfn.IFS(COUNTIF(I258:L258,"Fail")&gt;0, "Fail", COUNTIF(I258:L258,"Pending")&gt;0, "Pending", COUNTIF(I258:L258,"Pass")&gt;0, "Pass", TRUE, "")</f>
        <v>Pass</v>
      </c>
      <c r="N258" s="13"/>
      <c r="O258" s="13"/>
      <c r="P258" s="44"/>
      <c r="Q258" s="13"/>
      <c r="R258" s="52"/>
      <c r="S258" s="2"/>
      <c r="T258" s="69"/>
    </row>
    <row r="259" spans="1:21">
      <c r="A259" s="26">
        <v>33</v>
      </c>
      <c r="B259" s="10" t="s">
        <v>451</v>
      </c>
      <c r="C259" s="11" t="s">
        <v>443</v>
      </c>
      <c r="D259" s="11" t="s">
        <v>452</v>
      </c>
      <c r="E259" s="13"/>
      <c r="F259" s="10" t="s">
        <v>312</v>
      </c>
      <c r="G259" s="11" t="s">
        <v>471</v>
      </c>
      <c r="H259" s="15" t="s">
        <v>34</v>
      </c>
      <c r="I259" s="13" t="s">
        <v>28</v>
      </c>
      <c r="J259" s="13" t="s">
        <v>28</v>
      </c>
      <c r="K259" s="13" t="s">
        <v>27</v>
      </c>
      <c r="L259" s="13" t="s">
        <v>28</v>
      </c>
      <c r="M259" s="52" t="str" cm="1">
        <f t="array" ref="M259">_xlfn.IFS(COUNTIF(I259:L259,"Fail")&gt;0, "Fail", COUNTIF(I259:L259,"Pending")&gt;0, "Pending", COUNTIF(I259:L259,"Pass")&gt;0, "Pass", TRUE, "")</f>
        <v>Pass</v>
      </c>
      <c r="N259" s="13"/>
      <c r="O259" s="13"/>
      <c r="P259" s="44"/>
      <c r="Q259" s="13"/>
      <c r="R259" s="52"/>
      <c r="S259" s="2"/>
      <c r="T259" s="69"/>
    </row>
    <row r="260" spans="1:21">
      <c r="A260" s="10">
        <v>2</v>
      </c>
      <c r="B260" s="10"/>
      <c r="C260" s="11" t="s">
        <v>443</v>
      </c>
      <c r="D260" s="11" t="s">
        <v>472</v>
      </c>
      <c r="E260" s="13"/>
      <c r="F260" s="46" t="s">
        <v>312</v>
      </c>
      <c r="G260" s="48" t="s">
        <v>473</v>
      </c>
      <c r="H260" s="15" t="s">
        <v>34</v>
      </c>
      <c r="I260" s="13" t="s">
        <v>27</v>
      </c>
      <c r="J260" s="13" t="s">
        <v>27</v>
      </c>
      <c r="K260" s="13" t="s">
        <v>27</v>
      </c>
      <c r="L260" s="13" t="s">
        <v>28</v>
      </c>
      <c r="M260" s="52" t="str" cm="1">
        <f t="array" ref="M260">_xlfn.IFS(COUNTIF(I260:L260,"Fail")&gt;0, "Fail", COUNTIF(I260:L260,"Pending")&gt;0, "Pending", COUNTIF(I260:L260,"Pass")&gt;0, "Pass", TRUE, "")</f>
        <v>Pass</v>
      </c>
      <c r="N260" s="13"/>
      <c r="O260" s="13"/>
      <c r="P260" s="44"/>
      <c r="Q260" s="13"/>
      <c r="R260" s="52"/>
      <c r="S260" s="2"/>
      <c r="T260" s="69"/>
    </row>
    <row r="261" spans="1:21">
      <c r="A261" s="10">
        <v>5</v>
      </c>
      <c r="B261" s="10"/>
      <c r="C261" s="11" t="s">
        <v>443</v>
      </c>
      <c r="D261" s="11" t="s">
        <v>472</v>
      </c>
      <c r="E261" s="13"/>
      <c r="F261" s="46" t="s">
        <v>329</v>
      </c>
      <c r="G261" s="48" t="s">
        <v>474</v>
      </c>
      <c r="H261" s="15" t="s">
        <v>34</v>
      </c>
      <c r="I261" s="13" t="s">
        <v>28</v>
      </c>
      <c r="J261" s="13" t="s">
        <v>28</v>
      </c>
      <c r="K261" s="13" t="s">
        <v>28</v>
      </c>
      <c r="L261" s="13" t="s">
        <v>27</v>
      </c>
      <c r="M261" s="52" t="str" cm="1">
        <f t="array" ref="M261">_xlfn.IFS(COUNTIF(I261:L261,"Fail")&gt;0, "Fail", COUNTIF(I261:L261,"Pending")&gt;0, "Pending", COUNTIF(I261:L261,"Pass")&gt;0, "Pass", TRUE, "")</f>
        <v>Pass</v>
      </c>
      <c r="N261" s="13"/>
      <c r="O261" s="13"/>
      <c r="P261" s="44"/>
      <c r="Q261" s="13"/>
      <c r="R261" s="52"/>
      <c r="S261" s="2"/>
      <c r="T261" s="69"/>
    </row>
    <row r="262" spans="1:21" ht="188.25">
      <c r="A262" s="10">
        <v>6</v>
      </c>
      <c r="B262" s="10"/>
      <c r="C262" s="11" t="s">
        <v>443</v>
      </c>
      <c r="D262" s="11" t="s">
        <v>472</v>
      </c>
      <c r="E262" s="13"/>
      <c r="F262" s="46" t="s">
        <v>312</v>
      </c>
      <c r="G262" s="44" t="s">
        <v>475</v>
      </c>
      <c r="H262" s="26" t="s">
        <v>26</v>
      </c>
      <c r="I262" s="13" t="s">
        <v>27</v>
      </c>
      <c r="J262" s="13" t="s">
        <v>27</v>
      </c>
      <c r="K262" s="13" t="s">
        <v>27</v>
      </c>
      <c r="L262" s="13" t="s">
        <v>28</v>
      </c>
      <c r="M262" s="52" t="str" cm="1">
        <f t="array" ref="M262">_xlfn.IFS(COUNTIF(I262:L262,"Fail")&gt;0, "Fail", COUNTIF(I262:L262,"Pending")&gt;0, "Pending", COUNTIF(I262:L262,"Pass")&gt;0, "Pass", TRUE, "")</f>
        <v>Pass</v>
      </c>
      <c r="N262" s="13" t="s">
        <v>29</v>
      </c>
      <c r="O262" s="13"/>
      <c r="P262" s="44" t="s">
        <v>332</v>
      </c>
      <c r="Q262" s="61" t="s">
        <v>29</v>
      </c>
      <c r="R262" s="68" t="s">
        <v>31</v>
      </c>
      <c r="S262" s="77" t="s">
        <v>32</v>
      </c>
      <c r="T262" s="134" t="s">
        <v>31</v>
      </c>
      <c r="U262" s="131" t="s">
        <v>32</v>
      </c>
    </row>
    <row r="263" spans="1:21">
      <c r="A263" s="10">
        <v>9</v>
      </c>
      <c r="B263" s="10"/>
      <c r="C263" s="11" t="s">
        <v>443</v>
      </c>
      <c r="D263" s="11" t="s">
        <v>472</v>
      </c>
      <c r="E263" s="13"/>
      <c r="F263" s="46" t="s">
        <v>344</v>
      </c>
      <c r="G263" s="48" t="s">
        <v>476</v>
      </c>
      <c r="H263" s="15" t="s">
        <v>34</v>
      </c>
      <c r="I263" s="13" t="s">
        <v>28</v>
      </c>
      <c r="J263" s="13" t="s">
        <v>28</v>
      </c>
      <c r="K263" s="13" t="s">
        <v>28</v>
      </c>
      <c r="L263" s="13" t="s">
        <v>27</v>
      </c>
      <c r="M263" s="52" t="str" cm="1">
        <f t="array" ref="M263">_xlfn.IFS(COUNTIF(I263:L263,"Fail")&gt;0, "Fail", COUNTIF(I263:L263,"Pending")&gt;0, "Pending", COUNTIF(I263:L263,"Pass")&gt;0, "Pass", TRUE, "")</f>
        <v>Pass</v>
      </c>
      <c r="N263" s="13"/>
      <c r="O263" s="13"/>
      <c r="P263" s="44"/>
      <c r="Q263" s="13"/>
      <c r="R263" s="52"/>
      <c r="S263" s="2"/>
      <c r="T263" s="69"/>
    </row>
    <row r="264" spans="1:21">
      <c r="A264" s="10">
        <v>10</v>
      </c>
      <c r="B264" s="10"/>
      <c r="C264" s="11" t="s">
        <v>443</v>
      </c>
      <c r="D264" s="11" t="s">
        <v>472</v>
      </c>
      <c r="E264" s="13" t="s">
        <v>180</v>
      </c>
      <c r="F264" s="46" t="s">
        <v>344</v>
      </c>
      <c r="G264" s="48" t="s">
        <v>477</v>
      </c>
      <c r="H264" s="15" t="s">
        <v>34</v>
      </c>
      <c r="I264" s="13" t="s">
        <v>28</v>
      </c>
      <c r="J264" s="13" t="s">
        <v>28</v>
      </c>
      <c r="K264" s="13" t="s">
        <v>28</v>
      </c>
      <c r="L264" s="13" t="s">
        <v>27</v>
      </c>
      <c r="M264" s="52" t="str" cm="1">
        <f t="array" ref="M264">_xlfn.IFS(COUNTIF(I264:L264,"Fail")&gt;0, "Fail", COUNTIF(I264:L264,"Pending")&gt;0, "Pending", COUNTIF(I264:L264,"Pass")&gt;0, "Pass", TRUE, "")</f>
        <v>Pass</v>
      </c>
      <c r="N264" s="13"/>
      <c r="O264" s="13"/>
      <c r="P264" s="44"/>
      <c r="Q264" s="13"/>
      <c r="R264" s="52"/>
      <c r="S264" s="2"/>
      <c r="T264" s="69"/>
    </row>
    <row r="265" spans="1:21" ht="159">
      <c r="A265" s="10">
        <v>12</v>
      </c>
      <c r="B265" s="10"/>
      <c r="C265" s="11" t="s">
        <v>443</v>
      </c>
      <c r="D265" s="11" t="s">
        <v>472</v>
      </c>
      <c r="E265" s="13" t="s">
        <v>180</v>
      </c>
      <c r="F265" s="58" t="s">
        <v>312</v>
      </c>
      <c r="G265" s="44" t="s">
        <v>478</v>
      </c>
      <c r="H265" s="45" t="s">
        <v>26</v>
      </c>
      <c r="I265" s="13" t="s">
        <v>27</v>
      </c>
      <c r="J265" s="13" t="s">
        <v>27</v>
      </c>
      <c r="K265" s="13" t="s">
        <v>27</v>
      </c>
      <c r="L265" s="13" t="s">
        <v>28</v>
      </c>
      <c r="M265" s="52" t="str" cm="1">
        <f t="array" ref="M265">_xlfn.IFS(COUNTIF(I265:L265,"Fail")&gt;0, "Fail", COUNTIF(I265:L265,"Pending")&gt;0, "Pending", COUNTIF(I265:L265,"Pass")&gt;0, "Pass", TRUE, "")</f>
        <v>Pass</v>
      </c>
      <c r="N265" s="13" t="s">
        <v>38</v>
      </c>
      <c r="O265" s="13"/>
      <c r="P265" s="44" t="s">
        <v>479</v>
      </c>
      <c r="Q265" s="61" t="s">
        <v>29</v>
      </c>
      <c r="R265" s="68" t="s">
        <v>31</v>
      </c>
      <c r="S265" s="77" t="s">
        <v>32</v>
      </c>
      <c r="T265" s="134" t="s">
        <v>31</v>
      </c>
      <c r="U265" s="105" t="s">
        <v>32</v>
      </c>
    </row>
    <row r="266" spans="1:21" ht="144.75">
      <c r="A266" s="10">
        <v>15</v>
      </c>
      <c r="B266" s="10"/>
      <c r="C266" s="11" t="s">
        <v>443</v>
      </c>
      <c r="D266" s="11" t="s">
        <v>472</v>
      </c>
      <c r="E266" s="13" t="s">
        <v>180</v>
      </c>
      <c r="F266" s="58" t="s">
        <v>312</v>
      </c>
      <c r="G266" s="44" t="s">
        <v>480</v>
      </c>
      <c r="H266" s="45" t="s">
        <v>26</v>
      </c>
      <c r="I266" s="13" t="s">
        <v>27</v>
      </c>
      <c r="J266" s="13" t="s">
        <v>27</v>
      </c>
      <c r="K266" s="13" t="s">
        <v>27</v>
      </c>
      <c r="L266" s="13" t="s">
        <v>28</v>
      </c>
      <c r="M266" s="52" t="str" cm="1">
        <f t="array" ref="M266">_xlfn.IFS(COUNTIF(I266:L266,"Fail")&gt;0, "Fail", COUNTIF(I266:L266,"Pending")&gt;0, "Pending", COUNTIF(I266:L266,"Pass")&gt;0, "Pass", TRUE, "")</f>
        <v>Pass</v>
      </c>
      <c r="N266" s="13" t="s">
        <v>38</v>
      </c>
      <c r="O266" s="13"/>
      <c r="P266" s="44" t="s">
        <v>398</v>
      </c>
      <c r="Q266" s="61" t="s">
        <v>29</v>
      </c>
      <c r="R266" s="68" t="s">
        <v>31</v>
      </c>
      <c r="S266" s="77" t="s">
        <v>32</v>
      </c>
      <c r="T266" s="134" t="s">
        <v>31</v>
      </c>
      <c r="U266" s="131" t="s">
        <v>32</v>
      </c>
    </row>
    <row r="267" spans="1:21">
      <c r="A267" s="10">
        <v>16</v>
      </c>
      <c r="B267" s="10"/>
      <c r="C267" s="11" t="s">
        <v>443</v>
      </c>
      <c r="D267" s="11" t="s">
        <v>472</v>
      </c>
      <c r="E267" s="13" t="s">
        <v>180</v>
      </c>
      <c r="F267" s="46" t="s">
        <v>312</v>
      </c>
      <c r="G267" s="48" t="s">
        <v>481</v>
      </c>
      <c r="H267" s="15" t="s">
        <v>34</v>
      </c>
      <c r="I267" s="13" t="s">
        <v>27</v>
      </c>
      <c r="J267" s="13" t="s">
        <v>27</v>
      </c>
      <c r="K267" s="13" t="s">
        <v>27</v>
      </c>
      <c r="L267" s="13" t="s">
        <v>28</v>
      </c>
      <c r="M267" s="52" t="str" cm="1">
        <f t="array" ref="M267">_xlfn.IFS(COUNTIF(I267:L267,"Fail")&gt;0, "Fail", COUNTIF(I267:L267,"Pending")&gt;0, "Pending", COUNTIF(I267:L267,"Pass")&gt;0, "Pass", TRUE, "")</f>
        <v>Pass</v>
      </c>
      <c r="N267" s="13"/>
      <c r="O267" s="13"/>
      <c r="P267" s="44"/>
      <c r="Q267" s="13"/>
      <c r="R267" s="52"/>
      <c r="S267" s="2"/>
      <c r="T267" s="69"/>
    </row>
    <row r="268" spans="1:21">
      <c r="A268" s="10">
        <v>17</v>
      </c>
      <c r="B268" s="10"/>
      <c r="C268" s="11" t="s">
        <v>443</v>
      </c>
      <c r="D268" s="11" t="s">
        <v>472</v>
      </c>
      <c r="E268" s="13" t="s">
        <v>180</v>
      </c>
      <c r="F268" s="46" t="s">
        <v>312</v>
      </c>
      <c r="G268" s="48" t="s">
        <v>482</v>
      </c>
      <c r="H268" s="15" t="s">
        <v>34</v>
      </c>
      <c r="I268" s="13" t="s">
        <v>27</v>
      </c>
      <c r="J268" s="13" t="s">
        <v>27</v>
      </c>
      <c r="K268" s="13" t="s">
        <v>27</v>
      </c>
      <c r="L268" s="13" t="s">
        <v>28</v>
      </c>
      <c r="M268" s="52" t="str" cm="1">
        <f t="array" ref="M268">_xlfn.IFS(COUNTIF(I268:L268,"Fail")&gt;0, "Fail", COUNTIF(I268:L268,"Pending")&gt;0, "Pending", COUNTIF(I268:L268,"Pass")&gt;0, "Pass", TRUE, "")</f>
        <v>Pass</v>
      </c>
      <c r="N268" s="13"/>
      <c r="O268" s="13"/>
      <c r="P268" s="44"/>
      <c r="Q268" s="13"/>
      <c r="R268" s="52"/>
      <c r="S268" s="2"/>
      <c r="T268" s="69"/>
    </row>
    <row r="269" spans="1:21">
      <c r="A269" s="10">
        <v>18</v>
      </c>
      <c r="B269" s="10"/>
      <c r="C269" s="11" t="s">
        <v>443</v>
      </c>
      <c r="D269" s="11" t="s">
        <v>472</v>
      </c>
      <c r="E269" s="13" t="s">
        <v>180</v>
      </c>
      <c r="F269" s="46" t="s">
        <v>312</v>
      </c>
      <c r="G269" s="48" t="s">
        <v>483</v>
      </c>
      <c r="H269" s="15" t="s">
        <v>34</v>
      </c>
      <c r="I269" s="13" t="s">
        <v>27</v>
      </c>
      <c r="J269" s="13" t="s">
        <v>27</v>
      </c>
      <c r="K269" s="13" t="s">
        <v>27</v>
      </c>
      <c r="L269" s="13" t="s">
        <v>28</v>
      </c>
      <c r="M269" s="52" t="str" cm="1">
        <f t="array" ref="M269">_xlfn.IFS(COUNTIF(I269:L269,"Fail")&gt;0, "Fail", COUNTIF(I269:L269,"Pending")&gt;0, "Pending", COUNTIF(I269:L269,"Pass")&gt;0, "Pass", TRUE, "")</f>
        <v>Pass</v>
      </c>
      <c r="N269" s="13"/>
      <c r="O269" s="13"/>
      <c r="P269" s="44"/>
      <c r="Q269" s="13"/>
      <c r="R269" s="52"/>
      <c r="S269" s="2"/>
      <c r="T269" s="69"/>
    </row>
    <row r="270" spans="1:21">
      <c r="A270" s="10">
        <v>1</v>
      </c>
      <c r="B270" s="10"/>
      <c r="C270" s="11" t="s">
        <v>443</v>
      </c>
      <c r="D270" s="11" t="s">
        <v>484</v>
      </c>
      <c r="E270" s="13" t="s">
        <v>180</v>
      </c>
      <c r="F270" s="10" t="s">
        <v>312</v>
      </c>
      <c r="G270" s="12" t="s">
        <v>485</v>
      </c>
      <c r="H270" s="15" t="s">
        <v>34</v>
      </c>
      <c r="I270" s="13" t="s">
        <v>27</v>
      </c>
      <c r="J270" s="13" t="s">
        <v>27</v>
      </c>
      <c r="K270" s="13" t="s">
        <v>27</v>
      </c>
      <c r="L270" s="13" t="s">
        <v>28</v>
      </c>
      <c r="M270" s="52" t="str" cm="1">
        <f t="array" ref="M270">_xlfn.IFS(COUNTIF(I270:L270,"Fail")&gt;0, "Fail", COUNTIF(I270:L270,"Pending")&gt;0, "Pending", COUNTIF(I270:L270,"Pass")&gt;0, "Pass", TRUE, "")</f>
        <v>Pass</v>
      </c>
      <c r="N270" s="13"/>
      <c r="O270" s="13"/>
      <c r="P270" s="44"/>
      <c r="Q270" s="13"/>
      <c r="R270" s="52"/>
      <c r="S270" s="2"/>
      <c r="T270" s="69"/>
    </row>
    <row r="271" spans="1:21">
      <c r="A271" s="10">
        <v>6</v>
      </c>
      <c r="B271" s="10"/>
      <c r="C271" s="11" t="s">
        <v>443</v>
      </c>
      <c r="D271" s="11" t="s">
        <v>484</v>
      </c>
      <c r="E271" s="13" t="s">
        <v>180</v>
      </c>
      <c r="F271" s="10" t="s">
        <v>344</v>
      </c>
      <c r="G271" s="12" t="s">
        <v>486</v>
      </c>
      <c r="H271" s="15" t="s">
        <v>34</v>
      </c>
      <c r="I271" s="13" t="s">
        <v>28</v>
      </c>
      <c r="J271" s="13" t="s">
        <v>28</v>
      </c>
      <c r="K271" s="13" t="s">
        <v>28</v>
      </c>
      <c r="L271" s="13" t="s">
        <v>27</v>
      </c>
      <c r="M271" s="52" t="str" cm="1">
        <f t="array" ref="M271">_xlfn.IFS(COUNTIF(I271:L271,"Fail")&gt;0, "Fail", COUNTIF(I271:L271,"Pending")&gt;0, "Pending", COUNTIF(I271:L271,"Pass")&gt;0, "Pass", TRUE, "")</f>
        <v>Pass</v>
      </c>
      <c r="N271" s="13"/>
      <c r="O271" s="13"/>
      <c r="P271" s="44"/>
      <c r="Q271" s="13"/>
      <c r="R271" s="52"/>
      <c r="S271" s="2"/>
      <c r="T271" s="69"/>
    </row>
    <row r="272" spans="1:21" ht="274.5">
      <c r="A272" s="26">
        <v>20</v>
      </c>
      <c r="B272" s="10"/>
      <c r="C272" s="11" t="s">
        <v>443</v>
      </c>
      <c r="D272" s="11" t="s">
        <v>452</v>
      </c>
      <c r="E272" s="10" t="s">
        <v>180</v>
      </c>
      <c r="F272" s="57" t="s">
        <v>312</v>
      </c>
      <c r="G272" s="49" t="s">
        <v>487</v>
      </c>
      <c r="H272" s="10" t="s">
        <v>26</v>
      </c>
      <c r="I272" s="13" t="s">
        <v>27</v>
      </c>
      <c r="J272" s="13" t="s">
        <v>27</v>
      </c>
      <c r="K272" s="13" t="s">
        <v>27</v>
      </c>
      <c r="L272" s="13" t="s">
        <v>28</v>
      </c>
      <c r="M272" s="52" t="str" cm="1">
        <f t="array" ref="M272">_xlfn.IFS(COUNTIF(I272:L272,"Fail")&gt;0, "Fail", COUNTIF(I272:L272,"Pending")&gt;0, "Pending", COUNTIF(I272:L272,"Pass")&gt;0, "Pass", TRUE, "")</f>
        <v>Pass</v>
      </c>
      <c r="N272" s="13" t="s">
        <v>29</v>
      </c>
      <c r="O272" s="13"/>
      <c r="P272" s="44" t="s">
        <v>488</v>
      </c>
      <c r="Q272" s="61" t="s">
        <v>29</v>
      </c>
      <c r="R272" s="68" t="s">
        <v>31</v>
      </c>
      <c r="S272" s="77" t="s">
        <v>32</v>
      </c>
      <c r="T272" s="134" t="s">
        <v>31</v>
      </c>
      <c r="U272" s="105" t="s">
        <v>32</v>
      </c>
    </row>
    <row r="273" spans="1:21" ht="87">
      <c r="A273" s="26">
        <v>21</v>
      </c>
      <c r="B273" s="10"/>
      <c r="C273" s="11" t="s">
        <v>443</v>
      </c>
      <c r="D273" s="11" t="s">
        <v>452</v>
      </c>
      <c r="E273" s="10" t="s">
        <v>180</v>
      </c>
      <c r="F273" s="57" t="s">
        <v>312</v>
      </c>
      <c r="G273" s="49" t="s">
        <v>489</v>
      </c>
      <c r="H273" s="13" t="s">
        <v>26</v>
      </c>
      <c r="I273" s="13" t="s">
        <v>27</v>
      </c>
      <c r="J273" s="13" t="s">
        <v>27</v>
      </c>
      <c r="K273" s="13" t="s">
        <v>27</v>
      </c>
      <c r="L273" s="13" t="s">
        <v>28</v>
      </c>
      <c r="M273" s="52" t="str" cm="1">
        <f t="array" ref="M273">_xlfn.IFS(COUNTIF(I273:L273,"Fail")&gt;0, "Fail", COUNTIF(I273:L273,"Pending")&gt;0, "Pending", COUNTIF(I273:L273,"Pass")&gt;0, "Pass", TRUE, "")</f>
        <v>Pass</v>
      </c>
      <c r="N273" s="13" t="s">
        <v>38</v>
      </c>
      <c r="O273" s="13"/>
      <c r="P273" s="44" t="s">
        <v>490</v>
      </c>
      <c r="Q273" s="61" t="s">
        <v>29</v>
      </c>
      <c r="R273" s="68" t="s">
        <v>31</v>
      </c>
      <c r="S273" s="77" t="s">
        <v>32</v>
      </c>
      <c r="T273" s="134" t="s">
        <v>31</v>
      </c>
      <c r="U273" s="105" t="s">
        <v>32</v>
      </c>
    </row>
    <row r="274" spans="1:21" ht="201.75">
      <c r="A274" s="26">
        <v>32</v>
      </c>
      <c r="B274" s="10"/>
      <c r="C274" s="11" t="s">
        <v>443</v>
      </c>
      <c r="D274" s="11" t="s">
        <v>452</v>
      </c>
      <c r="E274" s="10" t="s">
        <v>180</v>
      </c>
      <c r="F274" s="10" t="s">
        <v>312</v>
      </c>
      <c r="G274" s="49" t="s">
        <v>491</v>
      </c>
      <c r="H274" s="13" t="s">
        <v>26</v>
      </c>
      <c r="I274" s="13" t="s">
        <v>27</v>
      </c>
      <c r="J274" s="13" t="s">
        <v>27</v>
      </c>
      <c r="K274" s="13" t="s">
        <v>27</v>
      </c>
      <c r="L274" s="13" t="s">
        <v>28</v>
      </c>
      <c r="M274" s="52" t="str" cm="1">
        <f t="array" ref="M274">_xlfn.IFS(COUNTIF(I274:L274,"Fail")&gt;0, "Fail", COUNTIF(I274:L274,"Pending")&gt;0, "Pending", COUNTIF(I274:L274,"Pass")&gt;0, "Pass", TRUE, "")</f>
        <v>Pass</v>
      </c>
      <c r="N274" s="13" t="s">
        <v>38</v>
      </c>
      <c r="O274" s="13"/>
      <c r="P274" s="44" t="s">
        <v>492</v>
      </c>
      <c r="Q274" s="61" t="s">
        <v>29</v>
      </c>
      <c r="R274" s="68" t="s">
        <v>31</v>
      </c>
      <c r="S274" s="77" t="s">
        <v>32</v>
      </c>
      <c r="T274" s="134" t="s">
        <v>31</v>
      </c>
      <c r="U274" s="105" t="s">
        <v>32</v>
      </c>
    </row>
  </sheetData>
  <autoFilter ref="A1:U1" xr:uid="{00000000-0001-0000-0000-000000000000}"/>
  <conditionalFormatting sqref="Q2:Q1048576 N2:O1048576">
    <cfRule type="cellIs" dxfId="3" priority="5" operator="equal">
      <formula>"Low"</formula>
    </cfRule>
    <cfRule type="cellIs" dxfId="2" priority="6" operator="equal">
      <formula>"Medium"</formula>
    </cfRule>
    <cfRule type="cellIs" dxfId="1" priority="7" operator="equal">
      <formula>"High"</formula>
    </cfRule>
    <cfRule type="cellIs" dxfId="0" priority="8" operator="equal">
      <formula>"Critical"</formula>
    </cfRule>
  </conditionalFormatting>
  <dataValidations count="4">
    <dataValidation type="list" allowBlank="1" showInputMessage="1" showErrorMessage="1" sqref="M278:M1048576 I275:L1048576" xr:uid="{00000000-0002-0000-0000-000000000000}">
      <formula1>"Pass,, Fail, N/A, Pending"</formula1>
    </dataValidation>
    <dataValidation allowBlank="1" showInputMessage="1" showErrorMessage="1" sqref="M275:M277 U37 U68 A1:S274 T1:T145 T147:T177 T179:T274" xr:uid="{00000000-0002-0000-0000-000002000000}"/>
    <dataValidation type="list" allowBlank="1" showInputMessage="1" showErrorMessage="1" sqref="N275:O1048576" xr:uid="{00000000-0002-0000-0000-000001000000}">
      <formula1>"Critical, High, Medium, Low"</formula1>
    </dataValidation>
    <dataValidation type="list" allowBlank="1" showInputMessage="1" showErrorMessage="1" sqref="H275:H1048576" xr:uid="{00000000-0002-0000-0000-000003000000}">
      <formula1>"Pass, Fail, -"</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38D1F-6B3A-4E1F-B6F0-22D29BE83374}">
  <dimension ref="A1:H105"/>
  <sheetViews>
    <sheetView topLeftCell="A9" workbookViewId="0">
      <selection activeCell="B14" sqref="B14"/>
    </sheetView>
  </sheetViews>
  <sheetFormatPr defaultColWidth="58" defaultRowHeight="15"/>
  <cols>
    <col min="1" max="2" width="58" style="54"/>
    <col min="3" max="3" width="44.28515625" style="54" customWidth="1"/>
    <col min="4" max="4" width="20.7109375" style="54" customWidth="1"/>
    <col min="5" max="5" width="6.42578125" style="54" customWidth="1"/>
    <col min="6" max="7" width="25.28515625" style="54" customWidth="1"/>
    <col min="8" max="8" width="44.140625" style="54" customWidth="1"/>
    <col min="9" max="16384" width="58" style="54"/>
  </cols>
  <sheetData>
    <row r="1" spans="1:8" s="97" customFormat="1" ht="29.25">
      <c r="A1" s="98" t="s">
        <v>6</v>
      </c>
      <c r="B1" s="100" t="s">
        <v>493</v>
      </c>
      <c r="C1" s="99" t="s">
        <v>494</v>
      </c>
      <c r="D1" s="99" t="s">
        <v>495</v>
      </c>
      <c r="F1" s="97" t="s">
        <v>496</v>
      </c>
      <c r="G1" s="121" t="s">
        <v>497</v>
      </c>
      <c r="H1" s="122" t="s">
        <v>498</v>
      </c>
    </row>
    <row r="2" spans="1:8" ht="43.5">
      <c r="A2" s="90" t="s">
        <v>42</v>
      </c>
      <c r="B2" s="118" t="s">
        <v>499</v>
      </c>
      <c r="C2" s="60" t="s">
        <v>322</v>
      </c>
      <c r="D2" s="60" t="s">
        <v>83</v>
      </c>
      <c r="F2" s="107" t="s">
        <v>270</v>
      </c>
      <c r="G2" s="110" t="s">
        <v>32</v>
      </c>
      <c r="H2" s="123" t="s">
        <v>500</v>
      </c>
    </row>
    <row r="3" spans="1:8" ht="29.25">
      <c r="A3" s="90" t="s">
        <v>47</v>
      </c>
      <c r="B3" s="109" t="s">
        <v>501</v>
      </c>
      <c r="C3" s="60" t="s">
        <v>322</v>
      </c>
      <c r="D3" s="60" t="s">
        <v>83</v>
      </c>
      <c r="F3" s="107" t="s">
        <v>270</v>
      </c>
      <c r="G3" s="110" t="s">
        <v>32</v>
      </c>
      <c r="H3" s="110" t="s">
        <v>502</v>
      </c>
    </row>
    <row r="4" spans="1:8" ht="57.75">
      <c r="A4" s="90" t="s">
        <v>48</v>
      </c>
      <c r="B4" s="101" t="s">
        <v>503</v>
      </c>
      <c r="C4" s="110" t="s">
        <v>504</v>
      </c>
      <c r="D4" s="60" t="s">
        <v>83</v>
      </c>
      <c r="F4" s="71" t="s">
        <v>505</v>
      </c>
      <c r="G4" s="110" t="s">
        <v>32</v>
      </c>
      <c r="H4" s="123" t="s">
        <v>502</v>
      </c>
    </row>
    <row r="5" spans="1:8" ht="43.5">
      <c r="A5" s="90" t="s">
        <v>51</v>
      </c>
      <c r="B5" s="101" t="s">
        <v>506</v>
      </c>
      <c r="C5" s="110" t="s">
        <v>32</v>
      </c>
      <c r="D5" s="60" t="s">
        <v>171</v>
      </c>
      <c r="F5" s="71" t="s">
        <v>270</v>
      </c>
      <c r="G5" s="110" t="s">
        <v>32</v>
      </c>
      <c r="H5" s="123" t="s">
        <v>502</v>
      </c>
    </row>
    <row r="6" spans="1:8" ht="43.5">
      <c r="A6" s="90" t="s">
        <v>75</v>
      </c>
      <c r="B6" s="117" t="s">
        <v>507</v>
      </c>
      <c r="C6" s="60" t="s">
        <v>508</v>
      </c>
      <c r="D6" s="60" t="s">
        <v>83</v>
      </c>
      <c r="F6" s="71" t="s">
        <v>508</v>
      </c>
      <c r="G6" s="60"/>
      <c r="H6" s="60"/>
    </row>
    <row r="7" spans="1:8" ht="43.5">
      <c r="A7" s="90" t="s">
        <v>95</v>
      </c>
      <c r="B7" s="101" t="s">
        <v>509</v>
      </c>
      <c r="C7" s="110" t="s">
        <v>510</v>
      </c>
      <c r="D7" s="60" t="s">
        <v>83</v>
      </c>
      <c r="F7" s="71" t="s">
        <v>270</v>
      </c>
      <c r="G7" s="110" t="s">
        <v>32</v>
      </c>
      <c r="H7" s="123" t="s">
        <v>502</v>
      </c>
    </row>
    <row r="8" spans="1:8" ht="66" customHeight="1">
      <c r="A8" s="90" t="s">
        <v>164</v>
      </c>
      <c r="B8" s="112" t="s">
        <v>511</v>
      </c>
      <c r="C8" s="110" t="s">
        <v>512</v>
      </c>
      <c r="D8" s="60"/>
      <c r="F8" s="71" t="s">
        <v>512</v>
      </c>
      <c r="G8" s="110" t="s">
        <v>32</v>
      </c>
      <c r="H8" s="123" t="s">
        <v>502</v>
      </c>
    </row>
    <row r="9" spans="1:8" ht="29.25">
      <c r="A9" s="91" t="s">
        <v>182</v>
      </c>
      <c r="B9" s="101" t="s">
        <v>513</v>
      </c>
      <c r="C9" s="110" t="s">
        <v>228</v>
      </c>
      <c r="D9" s="60"/>
      <c r="F9" s="71" t="s">
        <v>228</v>
      </c>
      <c r="G9" s="110" t="s">
        <v>32</v>
      </c>
      <c r="H9" s="124" t="s">
        <v>514</v>
      </c>
    </row>
    <row r="10" spans="1:8" ht="29.25">
      <c r="A10" s="94" t="s">
        <v>195</v>
      </c>
      <c r="B10" s="101" t="s">
        <v>515</v>
      </c>
      <c r="C10" s="110" t="s">
        <v>32</v>
      </c>
      <c r="D10" s="60" t="s">
        <v>83</v>
      </c>
      <c r="F10" s="107" t="s">
        <v>270</v>
      </c>
      <c r="G10" s="110" t="s">
        <v>32</v>
      </c>
      <c r="H10" s="123" t="s">
        <v>502</v>
      </c>
    </row>
    <row r="11" spans="1:8" ht="29.25">
      <c r="A11" s="92" t="s">
        <v>204</v>
      </c>
      <c r="B11" s="101" t="s">
        <v>516</v>
      </c>
      <c r="C11" s="60" t="s">
        <v>322</v>
      </c>
      <c r="D11" s="60" t="s">
        <v>83</v>
      </c>
      <c r="F11" s="107" t="s">
        <v>270</v>
      </c>
      <c r="G11" s="110" t="s">
        <v>32</v>
      </c>
      <c r="H11" s="124" t="s">
        <v>514</v>
      </c>
    </row>
    <row r="12" spans="1:8" ht="30.75">
      <c r="A12" s="92" t="s">
        <v>212</v>
      </c>
      <c r="B12" s="101" t="s">
        <v>517</v>
      </c>
      <c r="C12" s="60" t="s">
        <v>322</v>
      </c>
      <c r="D12" s="60" t="s">
        <v>83</v>
      </c>
      <c r="F12" s="107" t="s">
        <v>270</v>
      </c>
      <c r="G12" s="110" t="s">
        <v>32</v>
      </c>
      <c r="H12" s="123" t="s">
        <v>502</v>
      </c>
    </row>
    <row r="13" spans="1:8" ht="43.5">
      <c r="A13" s="93" t="s">
        <v>229</v>
      </c>
      <c r="B13" s="101" t="s">
        <v>518</v>
      </c>
      <c r="C13" s="60"/>
      <c r="D13" s="60" t="s">
        <v>83</v>
      </c>
      <c r="F13" s="71" t="s">
        <v>270</v>
      </c>
      <c r="G13" s="110" t="s">
        <v>32</v>
      </c>
      <c r="H13" s="110" t="s">
        <v>502</v>
      </c>
    </row>
    <row r="14" spans="1:8" ht="57.75">
      <c r="A14" s="93" t="s">
        <v>239</v>
      </c>
      <c r="B14" s="101" t="s">
        <v>519</v>
      </c>
      <c r="C14" s="60" t="s">
        <v>322</v>
      </c>
      <c r="D14" s="60" t="s">
        <v>83</v>
      </c>
      <c r="F14" s="107" t="s">
        <v>270</v>
      </c>
      <c r="G14" s="110" t="s">
        <v>32</v>
      </c>
      <c r="H14" s="124" t="s">
        <v>520</v>
      </c>
    </row>
    <row r="15" spans="1:8" ht="167.25" customHeight="1">
      <c r="A15" s="93" t="s">
        <v>243</v>
      </c>
      <c r="B15" s="101" t="s">
        <v>521</v>
      </c>
      <c r="C15" s="110" t="s">
        <v>228</v>
      </c>
      <c r="D15" s="60" t="s">
        <v>83</v>
      </c>
      <c r="F15" s="71" t="s">
        <v>228</v>
      </c>
      <c r="G15" s="110" t="s">
        <v>32</v>
      </c>
      <c r="H15" s="125" t="s">
        <v>522</v>
      </c>
    </row>
    <row r="16" spans="1:8" ht="29.25">
      <c r="A16" s="93" t="s">
        <v>248</v>
      </c>
      <c r="B16" s="101" t="s">
        <v>523</v>
      </c>
      <c r="C16" s="110" t="s">
        <v>228</v>
      </c>
      <c r="D16" s="60" t="s">
        <v>83</v>
      </c>
      <c r="F16" s="71" t="s">
        <v>228</v>
      </c>
      <c r="G16" s="110" t="s">
        <v>32</v>
      </c>
      <c r="H16" s="124" t="s">
        <v>514</v>
      </c>
    </row>
    <row r="17" spans="1:8" ht="29.25">
      <c r="A17" s="93" t="s">
        <v>524</v>
      </c>
      <c r="B17" s="109" t="s">
        <v>525</v>
      </c>
      <c r="C17" s="60" t="s">
        <v>322</v>
      </c>
      <c r="D17" s="60" t="s">
        <v>83</v>
      </c>
      <c r="F17" s="107" t="s">
        <v>270</v>
      </c>
      <c r="G17" s="110" t="s">
        <v>32</v>
      </c>
      <c r="H17" s="60"/>
    </row>
    <row r="18" spans="1:8" ht="43.5">
      <c r="A18" s="93" t="s">
        <v>308</v>
      </c>
      <c r="B18" s="101" t="s">
        <v>526</v>
      </c>
      <c r="C18" s="60" t="s">
        <v>527</v>
      </c>
      <c r="D18" s="60"/>
      <c r="F18" s="71" t="s">
        <v>527</v>
      </c>
      <c r="G18" s="131" t="s">
        <v>527</v>
      </c>
      <c r="H18" s="60"/>
    </row>
    <row r="19" spans="1:8" ht="43.5">
      <c r="A19" s="93" t="s">
        <v>320</v>
      </c>
      <c r="B19" s="109" t="s">
        <v>321</v>
      </c>
      <c r="C19" s="60" t="s">
        <v>322</v>
      </c>
      <c r="D19" s="60" t="s">
        <v>83</v>
      </c>
      <c r="F19" s="71" t="s">
        <v>270</v>
      </c>
      <c r="G19" s="110" t="s">
        <v>32</v>
      </c>
      <c r="H19" s="60"/>
    </row>
    <row r="20" spans="1:8" ht="43.5">
      <c r="A20" s="93" t="s">
        <v>341</v>
      </c>
      <c r="B20" s="109" t="s">
        <v>528</v>
      </c>
      <c r="C20" s="60" t="s">
        <v>529</v>
      </c>
      <c r="D20" s="60" t="s">
        <v>530</v>
      </c>
      <c r="F20" s="71" t="s">
        <v>270</v>
      </c>
      <c r="G20" s="126" t="s">
        <v>531</v>
      </c>
      <c r="H20" s="60"/>
    </row>
    <row r="21" spans="1:8" ht="43.5">
      <c r="A21" s="93" t="s">
        <v>349</v>
      </c>
      <c r="B21" s="109" t="s">
        <v>532</v>
      </c>
      <c r="C21" s="60" t="s">
        <v>322</v>
      </c>
      <c r="D21" s="60" t="s">
        <v>533</v>
      </c>
      <c r="F21" s="71" t="s">
        <v>270</v>
      </c>
      <c r="G21" s="110" t="s">
        <v>32</v>
      </c>
      <c r="H21" s="60"/>
    </row>
    <row r="22" spans="1:8" ht="72.75">
      <c r="A22" s="93" t="s">
        <v>361</v>
      </c>
      <c r="B22" s="101" t="s">
        <v>534</v>
      </c>
      <c r="C22" s="114" t="s">
        <v>535</v>
      </c>
      <c r="D22" s="60" t="s">
        <v>83</v>
      </c>
      <c r="F22" s="71" t="s">
        <v>536</v>
      </c>
      <c r="G22" s="110" t="s">
        <v>32</v>
      </c>
      <c r="H22" s="110" t="s">
        <v>500</v>
      </c>
    </row>
    <row r="23" spans="1:8" ht="29.25">
      <c r="A23" s="93" t="s">
        <v>391</v>
      </c>
      <c r="B23" s="101" t="s">
        <v>537</v>
      </c>
      <c r="C23" s="60" t="s">
        <v>322</v>
      </c>
      <c r="D23" s="60" t="s">
        <v>83</v>
      </c>
      <c r="F23" s="71" t="s">
        <v>270</v>
      </c>
      <c r="G23" s="110" t="s">
        <v>32</v>
      </c>
      <c r="H23" s="110" t="s">
        <v>502</v>
      </c>
    </row>
    <row r="24" spans="1:8" ht="43.5">
      <c r="A24" s="93" t="s">
        <v>419</v>
      </c>
      <c r="B24" s="101" t="s">
        <v>538</v>
      </c>
      <c r="C24" s="60" t="s">
        <v>539</v>
      </c>
      <c r="D24" s="60"/>
      <c r="F24" s="71" t="s">
        <v>539</v>
      </c>
      <c r="G24" s="60"/>
      <c r="H24" s="60"/>
    </row>
    <row r="25" spans="1:8" ht="140.25" customHeight="1">
      <c r="A25" s="93" t="s">
        <v>540</v>
      </c>
      <c r="B25" s="101" t="s">
        <v>541</v>
      </c>
      <c r="C25" s="116" t="s">
        <v>32</v>
      </c>
      <c r="D25" s="60" t="s">
        <v>83</v>
      </c>
      <c r="F25" s="71" t="s">
        <v>536</v>
      </c>
      <c r="G25" s="110" t="s">
        <v>32</v>
      </c>
      <c r="H25" s="124" t="s">
        <v>514</v>
      </c>
    </row>
    <row r="26" spans="1:8" ht="43.5">
      <c r="A26" s="93" t="s">
        <v>467</v>
      </c>
      <c r="B26" s="101" t="s">
        <v>542</v>
      </c>
      <c r="C26" s="116" t="s">
        <v>32</v>
      </c>
      <c r="D26" s="60" t="s">
        <v>83</v>
      </c>
      <c r="F26" s="71" t="s">
        <v>536</v>
      </c>
      <c r="G26" s="110" t="s">
        <v>32</v>
      </c>
      <c r="H26" s="110" t="s">
        <v>500</v>
      </c>
    </row>
    <row r="27" spans="1:8" ht="43.5">
      <c r="A27" s="93" t="s">
        <v>543</v>
      </c>
      <c r="B27" s="101" t="s">
        <v>544</v>
      </c>
      <c r="C27" s="110" t="s">
        <v>545</v>
      </c>
      <c r="D27" s="60"/>
      <c r="F27" s="71" t="s">
        <v>545</v>
      </c>
      <c r="G27" s="110" t="s">
        <v>32</v>
      </c>
      <c r="H27" s="123" t="s">
        <v>500</v>
      </c>
    </row>
    <row r="28" spans="1:8" ht="43.5">
      <c r="A28" s="93" t="s">
        <v>546</v>
      </c>
      <c r="B28" s="101" t="s">
        <v>351</v>
      </c>
      <c r="C28" s="60" t="s">
        <v>535</v>
      </c>
      <c r="D28" s="60" t="s">
        <v>171</v>
      </c>
      <c r="F28" s="71" t="s">
        <v>535</v>
      </c>
      <c r="G28" s="110" t="s">
        <v>32</v>
      </c>
      <c r="H28" s="123" t="s">
        <v>502</v>
      </c>
    </row>
    <row r="29" spans="1:8" ht="72.75">
      <c r="A29" s="93" t="s">
        <v>547</v>
      </c>
      <c r="B29" s="101" t="s">
        <v>548</v>
      </c>
      <c r="C29" s="60" t="s">
        <v>32</v>
      </c>
      <c r="D29" s="60" t="s">
        <v>83</v>
      </c>
      <c r="F29" s="71" t="s">
        <v>32</v>
      </c>
      <c r="G29" s="110" t="s">
        <v>32</v>
      </c>
      <c r="H29" s="123" t="s">
        <v>502</v>
      </c>
    </row>
    <row r="30" spans="1:8" ht="43.5">
      <c r="A30" s="93" t="s">
        <v>549</v>
      </c>
      <c r="B30" s="101" t="s">
        <v>550</v>
      </c>
      <c r="C30" s="111" t="s">
        <v>551</v>
      </c>
      <c r="D30" s="60"/>
      <c r="F30" s="71" t="s">
        <v>552</v>
      </c>
      <c r="G30" s="149" t="s">
        <v>552</v>
      </c>
      <c r="H30" s="113" t="s">
        <v>552</v>
      </c>
    </row>
    <row r="31" spans="1:8" ht="29.25">
      <c r="A31" s="93" t="s">
        <v>553</v>
      </c>
      <c r="B31" s="101" t="s">
        <v>554</v>
      </c>
      <c r="C31" s="60" t="s">
        <v>322</v>
      </c>
      <c r="D31" s="60" t="s">
        <v>83</v>
      </c>
      <c r="F31" s="71" t="s">
        <v>536</v>
      </c>
      <c r="G31" s="110" t="s">
        <v>32</v>
      </c>
      <c r="H31" s="123" t="s">
        <v>502</v>
      </c>
    </row>
    <row r="32" spans="1:8" ht="346.5" customHeight="1">
      <c r="A32" s="35" t="s">
        <v>267</v>
      </c>
      <c r="B32" s="96" t="s">
        <v>555</v>
      </c>
      <c r="C32" s="131" t="s">
        <v>173</v>
      </c>
      <c r="D32" s="60" t="s">
        <v>83</v>
      </c>
      <c r="F32" s="71" t="s">
        <v>536</v>
      </c>
      <c r="G32" s="110" t="s">
        <v>32</v>
      </c>
      <c r="H32" s="147" t="s">
        <v>351</v>
      </c>
    </row>
    <row r="33" spans="1:2">
      <c r="A33" s="95"/>
      <c r="B33" s="96"/>
    </row>
    <row r="34" spans="1:2">
      <c r="A34" s="95"/>
      <c r="B34" s="96"/>
    </row>
    <row r="35" spans="1:2">
      <c r="A35" s="95"/>
      <c r="B35" s="96"/>
    </row>
    <row r="36" spans="1:2">
      <c r="A36" s="95"/>
      <c r="B36" s="96"/>
    </row>
    <row r="37" spans="1:2">
      <c r="A37" s="95"/>
      <c r="B37" s="96"/>
    </row>
    <row r="38" spans="1:2">
      <c r="A38" s="95"/>
      <c r="B38" s="96"/>
    </row>
    <row r="39" spans="1:2">
      <c r="A39" s="95"/>
      <c r="B39" s="96"/>
    </row>
    <row r="40" spans="1:2">
      <c r="A40" s="95"/>
      <c r="B40" s="96"/>
    </row>
    <row r="41" spans="1:2">
      <c r="A41" s="95"/>
      <c r="B41" s="96"/>
    </row>
    <row r="42" spans="1:2">
      <c r="A42" s="95"/>
      <c r="B42" s="96"/>
    </row>
    <row r="43" spans="1:2">
      <c r="A43" s="95"/>
      <c r="B43" s="96"/>
    </row>
    <row r="44" spans="1:2">
      <c r="A44" s="95"/>
      <c r="B44" s="96"/>
    </row>
    <row r="45" spans="1:2">
      <c r="A45" s="95"/>
      <c r="B45" s="96"/>
    </row>
    <row r="46" spans="1:2">
      <c r="A46" s="95"/>
      <c r="B46" s="96"/>
    </row>
    <row r="47" spans="1:2">
      <c r="A47" s="95"/>
      <c r="B47" s="96"/>
    </row>
    <row r="48" spans="1:2">
      <c r="A48" s="95"/>
      <c r="B48" s="96"/>
    </row>
    <row r="49" spans="1:2">
      <c r="A49" s="95"/>
      <c r="B49" s="96"/>
    </row>
    <row r="50" spans="1:2">
      <c r="A50" s="95"/>
      <c r="B50" s="96"/>
    </row>
    <row r="51" spans="1:2">
      <c r="A51" s="95"/>
      <c r="B51" s="96"/>
    </row>
    <row r="52" spans="1:2">
      <c r="A52" s="95"/>
      <c r="B52" s="96"/>
    </row>
    <row r="53" spans="1:2">
      <c r="A53" s="95"/>
      <c r="B53" s="96"/>
    </row>
    <row r="54" spans="1:2">
      <c r="A54" s="95"/>
      <c r="B54" s="96"/>
    </row>
    <row r="55" spans="1:2">
      <c r="A55" s="95"/>
      <c r="B55" s="96"/>
    </row>
    <row r="56" spans="1:2">
      <c r="A56" s="95"/>
      <c r="B56" s="96"/>
    </row>
    <row r="57" spans="1:2">
      <c r="A57" s="95"/>
      <c r="B57" s="96"/>
    </row>
    <row r="58" spans="1:2">
      <c r="A58" s="95"/>
      <c r="B58" s="96"/>
    </row>
    <row r="59" spans="1:2">
      <c r="A59" s="95"/>
      <c r="B59" s="96"/>
    </row>
    <row r="60" spans="1:2">
      <c r="A60" s="95"/>
      <c r="B60" s="96"/>
    </row>
    <row r="61" spans="1:2">
      <c r="A61" s="95"/>
      <c r="B61" s="96"/>
    </row>
    <row r="62" spans="1:2">
      <c r="A62" s="95"/>
      <c r="B62" s="96"/>
    </row>
    <row r="63" spans="1:2">
      <c r="A63" s="95"/>
      <c r="B63" s="96"/>
    </row>
    <row r="64" spans="1:2">
      <c r="A64" s="95"/>
      <c r="B64" s="96"/>
    </row>
    <row r="65" spans="1:2">
      <c r="A65" s="95"/>
      <c r="B65" s="96"/>
    </row>
    <row r="66" spans="1:2">
      <c r="A66" s="95"/>
      <c r="B66" s="96"/>
    </row>
    <row r="67" spans="1:2">
      <c r="A67" s="95"/>
      <c r="B67" s="96"/>
    </row>
    <row r="68" spans="1:2">
      <c r="A68" s="95"/>
      <c r="B68" s="96"/>
    </row>
    <row r="69" spans="1:2">
      <c r="A69" s="95"/>
      <c r="B69" s="96"/>
    </row>
    <row r="70" spans="1:2">
      <c r="A70" s="95"/>
      <c r="B70" s="96"/>
    </row>
    <row r="71" spans="1:2">
      <c r="A71" s="95"/>
      <c r="B71" s="96"/>
    </row>
    <row r="72" spans="1:2">
      <c r="A72" s="95"/>
      <c r="B72" s="96"/>
    </row>
    <row r="73" spans="1:2">
      <c r="A73" s="95"/>
      <c r="B73" s="96"/>
    </row>
    <row r="74" spans="1:2">
      <c r="A74" s="95"/>
      <c r="B74" s="96"/>
    </row>
    <row r="75" spans="1:2">
      <c r="A75" s="95"/>
      <c r="B75" s="96"/>
    </row>
    <row r="76" spans="1:2">
      <c r="A76" s="95"/>
      <c r="B76" s="96"/>
    </row>
    <row r="77" spans="1:2">
      <c r="A77" s="95"/>
      <c r="B77" s="96"/>
    </row>
    <row r="78" spans="1:2">
      <c r="A78" s="95"/>
      <c r="B78" s="96"/>
    </row>
    <row r="79" spans="1:2">
      <c r="A79" s="95"/>
      <c r="B79" s="96"/>
    </row>
    <row r="80" spans="1:2">
      <c r="A80" s="95"/>
      <c r="B80" s="96"/>
    </row>
    <row r="81" spans="1:2">
      <c r="A81" s="95"/>
      <c r="B81" s="96"/>
    </row>
    <row r="82" spans="1:2">
      <c r="A82" s="95"/>
      <c r="B82" s="96"/>
    </row>
    <row r="83" spans="1:2">
      <c r="A83" s="95"/>
      <c r="B83" s="96"/>
    </row>
    <row r="84" spans="1:2">
      <c r="A84" s="95"/>
      <c r="B84" s="96"/>
    </row>
    <row r="85" spans="1:2">
      <c r="A85" s="95"/>
      <c r="B85" s="96"/>
    </row>
    <row r="86" spans="1:2">
      <c r="A86" s="95"/>
      <c r="B86" s="96"/>
    </row>
    <row r="87" spans="1:2">
      <c r="A87" s="95"/>
      <c r="B87" s="96"/>
    </row>
    <row r="88" spans="1:2">
      <c r="A88" s="95"/>
      <c r="B88" s="96"/>
    </row>
    <row r="89" spans="1:2">
      <c r="A89" s="95"/>
      <c r="B89" s="96"/>
    </row>
    <row r="90" spans="1:2">
      <c r="A90" s="95"/>
      <c r="B90" s="96"/>
    </row>
    <row r="91" spans="1:2">
      <c r="A91" s="95"/>
      <c r="B91" s="96"/>
    </row>
    <row r="92" spans="1:2">
      <c r="A92" s="95"/>
      <c r="B92" s="96"/>
    </row>
    <row r="93" spans="1:2">
      <c r="A93" s="95"/>
      <c r="B93" s="96"/>
    </row>
    <row r="94" spans="1:2">
      <c r="A94" s="95"/>
      <c r="B94" s="96"/>
    </row>
    <row r="95" spans="1:2">
      <c r="A95" s="95"/>
      <c r="B95" s="96"/>
    </row>
    <row r="96" spans="1:2">
      <c r="A96" s="95"/>
      <c r="B96" s="96"/>
    </row>
    <row r="97" spans="1:2">
      <c r="A97" s="95"/>
      <c r="B97" s="96"/>
    </row>
    <row r="98" spans="1:2">
      <c r="A98" s="95"/>
      <c r="B98" s="96"/>
    </row>
    <row r="99" spans="1:2">
      <c r="A99" s="95"/>
      <c r="B99" s="96"/>
    </row>
    <row r="100" spans="1:2">
      <c r="A100" s="95"/>
      <c r="B100" s="96"/>
    </row>
    <row r="101" spans="1:2">
      <c r="A101" s="95"/>
      <c r="B101" s="96"/>
    </row>
    <row r="102" spans="1:2">
      <c r="A102" s="95"/>
      <c r="B102" s="96"/>
    </row>
    <row r="103" spans="1:2">
      <c r="A103" s="95"/>
      <c r="B103" s="96"/>
    </row>
    <row r="104" spans="1:2">
      <c r="A104" s="95"/>
      <c r="B104" s="96"/>
    </row>
    <row r="105" spans="1:2">
      <c r="A105" s="95"/>
      <c r="B105" s="96"/>
    </row>
  </sheetData>
  <autoFilter ref="A1:F1" xr:uid="{F4038D1F-6B3A-4E1F-B6F0-22D29BE83374}"/>
  <dataValidations count="1">
    <dataValidation allowBlank="1" showInputMessage="1" showErrorMessage="1" sqref="A32" xr:uid="{BEF3CA4B-A752-45E1-9E6A-ACAC484FFE6C}"/>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2FD17-B013-4CD7-B876-8BA7971DCFA9}">
  <dimension ref="A1:G21"/>
  <sheetViews>
    <sheetView topLeftCell="B4" workbookViewId="0">
      <selection activeCell="G18" sqref="G18"/>
    </sheetView>
  </sheetViews>
  <sheetFormatPr defaultRowHeight="15"/>
  <cols>
    <col min="1" max="1" width="20.140625" customWidth="1"/>
    <col min="2" max="2" width="100.140625" style="54" customWidth="1"/>
    <col min="3" max="3" width="32" customWidth="1"/>
    <col min="4" max="4" width="38.5703125" style="54" customWidth="1"/>
    <col min="5" max="5" width="45.5703125" style="2" customWidth="1"/>
    <col min="6" max="6" width="50.140625" customWidth="1"/>
    <col min="7" max="7" width="34.42578125" customWidth="1"/>
  </cols>
  <sheetData>
    <row r="1" spans="1:7" s="64" customFormat="1" ht="24.75" customHeight="1">
      <c r="A1" s="74" t="s">
        <v>556</v>
      </c>
      <c r="B1" s="75" t="s">
        <v>557</v>
      </c>
      <c r="C1" s="76" t="s">
        <v>494</v>
      </c>
      <c r="D1" s="75" t="s">
        <v>558</v>
      </c>
      <c r="E1" s="76" t="s">
        <v>18</v>
      </c>
      <c r="F1" s="163" t="s">
        <v>559</v>
      </c>
      <c r="G1" s="160" t="s">
        <v>560</v>
      </c>
    </row>
    <row r="2" spans="1:7" ht="29.25">
      <c r="A2" s="53">
        <v>1</v>
      </c>
      <c r="B2" s="71" t="s">
        <v>561</v>
      </c>
      <c r="C2" s="73" t="s">
        <v>562</v>
      </c>
      <c r="D2" s="60"/>
      <c r="E2" s="77" t="s">
        <v>228</v>
      </c>
      <c r="F2" s="77" t="s">
        <v>228</v>
      </c>
      <c r="G2" s="105" t="s">
        <v>228</v>
      </c>
    </row>
    <row r="3" spans="1:7" ht="57.75">
      <c r="A3" s="53">
        <v>2</v>
      </c>
      <c r="B3" s="71" t="s">
        <v>563</v>
      </c>
      <c r="C3" s="73" t="s">
        <v>564</v>
      </c>
      <c r="D3" s="60" t="s">
        <v>565</v>
      </c>
      <c r="E3" s="77" t="s">
        <v>228</v>
      </c>
      <c r="F3" s="77" t="s">
        <v>228</v>
      </c>
      <c r="G3" s="105" t="s">
        <v>228</v>
      </c>
    </row>
    <row r="4" spans="1:7" ht="29.25">
      <c r="A4" s="53">
        <v>3</v>
      </c>
      <c r="B4" s="71" t="s">
        <v>566</v>
      </c>
      <c r="C4" s="73" t="s">
        <v>564</v>
      </c>
      <c r="D4" s="60" t="s">
        <v>565</v>
      </c>
      <c r="E4" s="77" t="s">
        <v>228</v>
      </c>
      <c r="F4" s="77" t="s">
        <v>228</v>
      </c>
      <c r="G4" s="105" t="s">
        <v>228</v>
      </c>
    </row>
    <row r="5" spans="1:7" ht="29.25">
      <c r="A5" s="53">
        <v>4</v>
      </c>
      <c r="B5" s="71" t="s">
        <v>567</v>
      </c>
      <c r="C5" s="73" t="s">
        <v>564</v>
      </c>
      <c r="D5" s="60" t="s">
        <v>565</v>
      </c>
      <c r="E5" s="81" t="s">
        <v>568</v>
      </c>
      <c r="F5" s="81" t="s">
        <v>569</v>
      </c>
      <c r="G5" s="105" t="s">
        <v>228</v>
      </c>
    </row>
    <row r="6" spans="1:7" ht="29.25">
      <c r="A6" s="53">
        <v>5</v>
      </c>
      <c r="B6" s="71" t="s">
        <v>543</v>
      </c>
      <c r="C6" s="73" t="s">
        <v>570</v>
      </c>
      <c r="D6" s="60"/>
      <c r="E6" s="77" t="s">
        <v>228</v>
      </c>
      <c r="F6" s="77" t="s">
        <v>228</v>
      </c>
      <c r="G6" s="105" t="s">
        <v>228</v>
      </c>
    </row>
    <row r="7" spans="1:7" ht="29.25">
      <c r="A7" s="53">
        <v>6</v>
      </c>
      <c r="B7" s="71" t="s">
        <v>546</v>
      </c>
      <c r="C7" s="73" t="s">
        <v>562</v>
      </c>
      <c r="D7" s="60"/>
      <c r="E7" s="77" t="s">
        <v>571</v>
      </c>
      <c r="F7" s="77" t="s">
        <v>571</v>
      </c>
      <c r="G7" s="105" t="s">
        <v>228</v>
      </c>
    </row>
    <row r="8" spans="1:7">
      <c r="D8" s="60"/>
      <c r="E8" s="77"/>
      <c r="F8" s="77"/>
      <c r="G8" s="53"/>
    </row>
    <row r="9" spans="1:7">
      <c r="A9" s="53"/>
      <c r="B9" s="70" t="s">
        <v>572</v>
      </c>
      <c r="D9" s="60"/>
      <c r="E9" s="77"/>
      <c r="F9" s="77"/>
      <c r="G9" s="53"/>
    </row>
    <row r="10" spans="1:7">
      <c r="A10" s="53">
        <v>7</v>
      </c>
      <c r="B10" s="71" t="s">
        <v>573</v>
      </c>
      <c r="C10" s="73" t="s">
        <v>562</v>
      </c>
      <c r="D10" s="60"/>
      <c r="E10" s="83" t="s">
        <v>574</v>
      </c>
      <c r="F10" s="106" t="s">
        <v>575</v>
      </c>
      <c r="G10" s="128" t="s">
        <v>531</v>
      </c>
    </row>
    <row r="11" spans="1:7" ht="29.25">
      <c r="A11" s="53">
        <v>8</v>
      </c>
      <c r="B11" s="71" t="s">
        <v>553</v>
      </c>
      <c r="C11" s="73" t="s">
        <v>562</v>
      </c>
      <c r="D11" s="60"/>
      <c r="E11" s="77" t="s">
        <v>228</v>
      </c>
      <c r="F11" s="77" t="s">
        <v>228</v>
      </c>
      <c r="G11" s="105" t="s">
        <v>228</v>
      </c>
    </row>
    <row r="12" spans="1:7" ht="43.5">
      <c r="A12" s="53">
        <v>9</v>
      </c>
      <c r="B12" s="72" t="s">
        <v>576</v>
      </c>
      <c r="C12" s="73" t="s">
        <v>564</v>
      </c>
      <c r="D12" s="60" t="s">
        <v>577</v>
      </c>
      <c r="E12" s="77" t="s">
        <v>228</v>
      </c>
      <c r="F12" s="77" t="s">
        <v>228</v>
      </c>
      <c r="G12" s="105" t="s">
        <v>228</v>
      </c>
    </row>
    <row r="13" spans="1:7" ht="43.5">
      <c r="A13" s="53">
        <v>10</v>
      </c>
      <c r="B13" s="71" t="s">
        <v>578</v>
      </c>
      <c r="C13" s="73" t="s">
        <v>564</v>
      </c>
      <c r="D13" s="60" t="s">
        <v>579</v>
      </c>
      <c r="E13" s="77" t="s">
        <v>580</v>
      </c>
      <c r="F13" s="77" t="s">
        <v>580</v>
      </c>
      <c r="G13" s="161" t="s">
        <v>580</v>
      </c>
    </row>
    <row r="14" spans="1:7" ht="29.25">
      <c r="A14" s="53">
        <v>11</v>
      </c>
      <c r="B14" s="71" t="s">
        <v>581</v>
      </c>
      <c r="C14" s="73" t="s">
        <v>562</v>
      </c>
      <c r="D14" s="60"/>
      <c r="E14" s="77" t="s">
        <v>228</v>
      </c>
      <c r="F14" s="77" t="s">
        <v>228</v>
      </c>
      <c r="G14" s="105" t="s">
        <v>228</v>
      </c>
    </row>
    <row r="15" spans="1:7" ht="29.25">
      <c r="A15" s="53">
        <v>12</v>
      </c>
      <c r="B15" s="71" t="s">
        <v>582</v>
      </c>
      <c r="C15" s="73" t="s">
        <v>562</v>
      </c>
      <c r="D15" s="60"/>
      <c r="E15" s="77" t="s">
        <v>228</v>
      </c>
      <c r="F15" s="77" t="s">
        <v>228</v>
      </c>
      <c r="G15" s="105" t="s">
        <v>228</v>
      </c>
    </row>
    <row r="16" spans="1:7">
      <c r="A16" s="53">
        <v>13</v>
      </c>
      <c r="B16" s="71" t="s">
        <v>583</v>
      </c>
      <c r="C16" s="73" t="s">
        <v>584</v>
      </c>
      <c r="D16" s="60"/>
      <c r="E16" s="77" t="s">
        <v>585</v>
      </c>
      <c r="F16" s="77" t="s">
        <v>585</v>
      </c>
      <c r="G16" s="68" t="s">
        <v>585</v>
      </c>
    </row>
    <row r="17" spans="1:7" ht="29.25">
      <c r="A17" s="53">
        <v>14</v>
      </c>
      <c r="B17" s="71" t="s">
        <v>586</v>
      </c>
      <c r="C17" s="73" t="s">
        <v>587</v>
      </c>
      <c r="D17" s="60" t="s">
        <v>588</v>
      </c>
      <c r="E17" s="77" t="s">
        <v>589</v>
      </c>
      <c r="F17" s="77" t="s">
        <v>589</v>
      </c>
      <c r="G17" s="105" t="s">
        <v>228</v>
      </c>
    </row>
    <row r="18" spans="1:7" ht="29.25">
      <c r="A18" s="53">
        <v>15</v>
      </c>
      <c r="B18" s="71" t="s">
        <v>590</v>
      </c>
      <c r="C18" s="73" t="s">
        <v>529</v>
      </c>
      <c r="D18" s="60"/>
      <c r="E18" s="81" t="s">
        <v>591</v>
      </c>
      <c r="F18" s="81" t="s">
        <v>591</v>
      </c>
      <c r="G18" s="161" t="s">
        <v>228</v>
      </c>
    </row>
    <row r="19" spans="1:7" ht="29.25">
      <c r="A19" s="53">
        <v>16</v>
      </c>
      <c r="B19" s="71" t="s">
        <v>592</v>
      </c>
      <c r="C19" s="73" t="s">
        <v>562</v>
      </c>
      <c r="D19" s="60"/>
      <c r="E19" s="77" t="s">
        <v>228</v>
      </c>
      <c r="F19" s="77" t="s">
        <v>228</v>
      </c>
      <c r="G19" s="105" t="s">
        <v>228</v>
      </c>
    </row>
    <row r="20" spans="1:7" ht="29.25">
      <c r="A20" s="53">
        <v>17</v>
      </c>
      <c r="B20" s="71" t="s">
        <v>593</v>
      </c>
      <c r="C20" s="73" t="s">
        <v>562</v>
      </c>
      <c r="D20" s="60"/>
      <c r="E20" s="108" t="s">
        <v>594</v>
      </c>
      <c r="F20" s="77" t="s">
        <v>228</v>
      </c>
      <c r="G20" s="105" t="s">
        <v>228</v>
      </c>
    </row>
    <row r="21" spans="1:7" ht="57.75">
      <c r="A21" s="53">
        <v>18</v>
      </c>
      <c r="B21" s="71" t="s">
        <v>549</v>
      </c>
      <c r="C21" s="73" t="s">
        <v>552</v>
      </c>
      <c r="D21" s="60"/>
      <c r="E21" s="81" t="s">
        <v>551</v>
      </c>
      <c r="F21" s="81" t="s">
        <v>551</v>
      </c>
      <c r="G21" s="162" t="s">
        <v>551</v>
      </c>
    </row>
  </sheetData>
  <autoFilter ref="A1:E1" xr:uid="{0892FD17-B013-4CD7-B876-8BA7971DCFA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98C07-BA33-4C9D-9C47-24C5C2294343}">
  <dimension ref="A1:G10"/>
  <sheetViews>
    <sheetView workbookViewId="0">
      <selection activeCell="J4" sqref="J4"/>
    </sheetView>
  </sheetViews>
  <sheetFormatPr defaultRowHeight="15"/>
  <cols>
    <col min="1" max="1" width="9.140625" style="3"/>
    <col min="2" max="2" width="69.140625" customWidth="1"/>
    <col min="3" max="3" width="45.7109375" customWidth="1"/>
    <col min="4" max="4" width="29.85546875" style="2" customWidth="1"/>
    <col min="5" max="5" width="34.140625" customWidth="1"/>
    <col min="6" max="6" width="28.5703125" customWidth="1"/>
    <col min="7" max="7" width="21.42578125" customWidth="1"/>
  </cols>
  <sheetData>
    <row r="1" spans="1:7" ht="32.25" customHeight="1">
      <c r="A1" s="62" t="s">
        <v>595</v>
      </c>
      <c r="B1" s="85" t="s">
        <v>596</v>
      </c>
      <c r="C1" s="85" t="s">
        <v>597</v>
      </c>
      <c r="D1" s="86" t="s">
        <v>598</v>
      </c>
      <c r="E1" s="87" t="s">
        <v>599</v>
      </c>
      <c r="F1" s="87" t="s">
        <v>600</v>
      </c>
      <c r="G1" s="88" t="s">
        <v>601</v>
      </c>
    </row>
    <row r="2" spans="1:7" ht="72.75">
      <c r="A2" s="63">
        <v>1</v>
      </c>
      <c r="B2" s="60" t="s">
        <v>602</v>
      </c>
      <c r="C2" s="53"/>
      <c r="D2" s="69" t="s">
        <v>32</v>
      </c>
      <c r="E2" s="73"/>
      <c r="F2" s="164" t="s">
        <v>32</v>
      </c>
      <c r="G2" s="105" t="s">
        <v>32</v>
      </c>
    </row>
    <row r="3" spans="1:7" ht="29.25">
      <c r="A3" s="63">
        <v>2</v>
      </c>
      <c r="B3" s="60" t="s">
        <v>603</v>
      </c>
      <c r="C3" s="60" t="s">
        <v>604</v>
      </c>
      <c r="D3" s="89" t="s">
        <v>605</v>
      </c>
      <c r="E3" s="73" t="s">
        <v>322</v>
      </c>
      <c r="F3" s="164" t="s">
        <v>32</v>
      </c>
      <c r="G3" s="105" t="s">
        <v>32</v>
      </c>
    </row>
    <row r="4" spans="1:7" ht="43.5">
      <c r="A4" s="63">
        <v>3</v>
      </c>
      <c r="B4" s="60" t="s">
        <v>606</v>
      </c>
      <c r="C4" s="53"/>
      <c r="D4" s="69" t="s">
        <v>32</v>
      </c>
      <c r="E4" s="73"/>
      <c r="F4" s="164" t="s">
        <v>32</v>
      </c>
      <c r="G4" s="105" t="s">
        <v>32</v>
      </c>
    </row>
    <row r="5" spans="1:7" ht="29.25">
      <c r="A5" s="63">
        <v>4</v>
      </c>
      <c r="B5" s="60" t="s">
        <v>607</v>
      </c>
      <c r="C5" s="53"/>
      <c r="D5" s="69" t="s">
        <v>32</v>
      </c>
      <c r="E5" s="73"/>
      <c r="F5" s="164" t="s">
        <v>32</v>
      </c>
      <c r="G5" s="105" t="s">
        <v>32</v>
      </c>
    </row>
    <row r="6" spans="1:7" ht="29.25">
      <c r="A6" s="63">
        <v>5</v>
      </c>
      <c r="B6" s="60" t="s">
        <v>608</v>
      </c>
      <c r="C6" s="53"/>
      <c r="D6" s="80" t="s">
        <v>32</v>
      </c>
      <c r="E6" s="73"/>
      <c r="F6" s="164" t="s">
        <v>32</v>
      </c>
      <c r="G6" s="105" t="s">
        <v>32</v>
      </c>
    </row>
    <row r="7" spans="1:7" ht="29.25">
      <c r="A7" s="63">
        <v>6</v>
      </c>
      <c r="B7" s="60" t="s">
        <v>609</v>
      </c>
      <c r="C7" s="53"/>
      <c r="D7" s="69" t="s">
        <v>32</v>
      </c>
      <c r="E7" s="73"/>
      <c r="F7" s="164" t="s">
        <v>32</v>
      </c>
      <c r="G7" s="105" t="s">
        <v>32</v>
      </c>
    </row>
    <row r="8" spans="1:7" ht="43.5">
      <c r="A8" s="63">
        <v>6.1</v>
      </c>
      <c r="B8" s="60" t="s">
        <v>610</v>
      </c>
      <c r="C8" s="53"/>
      <c r="D8" s="69" t="s">
        <v>32</v>
      </c>
      <c r="E8" s="73"/>
      <c r="F8" s="164" t="s">
        <v>32</v>
      </c>
      <c r="G8" s="105" t="s">
        <v>32</v>
      </c>
    </row>
    <row r="9" spans="1:7" ht="43.5">
      <c r="A9" s="63">
        <v>6.2</v>
      </c>
      <c r="B9" s="60" t="s">
        <v>611</v>
      </c>
      <c r="C9" s="53"/>
      <c r="D9" s="69" t="s">
        <v>32</v>
      </c>
      <c r="E9" s="73"/>
      <c r="F9" s="164" t="s">
        <v>32</v>
      </c>
      <c r="G9" s="105" t="s">
        <v>32</v>
      </c>
    </row>
    <row r="10" spans="1:7" ht="29.25">
      <c r="A10" s="63">
        <v>6.3</v>
      </c>
      <c r="B10" s="60" t="s">
        <v>612</v>
      </c>
      <c r="C10" s="53"/>
      <c r="D10" s="69" t="s">
        <v>32</v>
      </c>
      <c r="E10" s="73"/>
      <c r="F10" s="164" t="s">
        <v>32</v>
      </c>
      <c r="G10" s="105" t="s">
        <v>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748EC-5D09-49AF-A9B6-687856CBA881}">
  <dimension ref="A1:D35"/>
  <sheetViews>
    <sheetView workbookViewId="0">
      <selection activeCell="D32" sqref="D32"/>
    </sheetView>
  </sheetViews>
  <sheetFormatPr defaultRowHeight="15"/>
  <cols>
    <col min="1" max="1" width="55.28515625" style="145" customWidth="1"/>
    <col min="2" max="2" width="28" customWidth="1"/>
    <col min="3" max="3" width="30.140625" customWidth="1"/>
    <col min="4" max="4" width="39.42578125" customWidth="1"/>
    <col min="5" max="5" width="29.140625" customWidth="1"/>
  </cols>
  <sheetData>
    <row r="1" spans="1:4">
      <c r="A1" s="135" t="s">
        <v>613</v>
      </c>
      <c r="B1" s="154" t="s">
        <v>614</v>
      </c>
      <c r="C1" s="53" t="s">
        <v>615</v>
      </c>
      <c r="D1" s="150" t="s">
        <v>616</v>
      </c>
    </row>
    <row r="2" spans="1:4" ht="99.75" customHeight="1">
      <c r="A2" s="136" t="s">
        <v>617</v>
      </c>
      <c r="B2" s="155" t="s">
        <v>82</v>
      </c>
      <c r="C2" s="151" t="s">
        <v>535</v>
      </c>
      <c r="D2" s="53"/>
    </row>
    <row r="3" spans="1:4" ht="43.5">
      <c r="A3" s="136" t="s">
        <v>618</v>
      </c>
      <c r="B3" s="156" t="s">
        <v>29</v>
      </c>
      <c r="C3" s="53"/>
      <c r="D3" s="53"/>
    </row>
    <row r="4" spans="1:4" ht="43.5">
      <c r="A4" s="136" t="s">
        <v>619</v>
      </c>
      <c r="B4" s="156" t="s">
        <v>29</v>
      </c>
      <c r="C4" s="53"/>
      <c r="D4" s="53"/>
    </row>
    <row r="5" spans="1:4" ht="43.5">
      <c r="A5" s="136" t="s">
        <v>620</v>
      </c>
      <c r="B5" s="155" t="s">
        <v>82</v>
      </c>
      <c r="C5" s="53"/>
      <c r="D5" s="53"/>
    </row>
    <row r="6" spans="1:4">
      <c r="A6" s="137" t="s">
        <v>621</v>
      </c>
      <c r="B6" s="156" t="s">
        <v>29</v>
      </c>
      <c r="C6" s="53"/>
      <c r="D6" s="53"/>
    </row>
    <row r="7" spans="1:4" ht="87">
      <c r="A7" s="138" t="s">
        <v>117</v>
      </c>
      <c r="B7" s="155" t="s">
        <v>82</v>
      </c>
      <c r="C7" s="53"/>
      <c r="D7" s="53"/>
    </row>
    <row r="8" spans="1:4" ht="72.75">
      <c r="A8" s="138" t="s">
        <v>622</v>
      </c>
      <c r="B8" s="156" t="s">
        <v>29</v>
      </c>
      <c r="C8" s="128" t="s">
        <v>173</v>
      </c>
      <c r="D8" s="53"/>
    </row>
    <row r="9" spans="1:4" ht="72.75">
      <c r="A9" s="136" t="s">
        <v>623</v>
      </c>
      <c r="B9" s="156" t="s">
        <v>29</v>
      </c>
      <c r="C9" s="152" t="s">
        <v>624</v>
      </c>
      <c r="D9" s="53"/>
    </row>
    <row r="10" spans="1:4">
      <c r="A10" s="139" t="s">
        <v>625</v>
      </c>
      <c r="B10" s="156" t="s">
        <v>29</v>
      </c>
      <c r="C10" s="53"/>
      <c r="D10" s="53"/>
    </row>
    <row r="11" spans="1:4" ht="57.75">
      <c r="A11" s="140" t="s">
        <v>626</v>
      </c>
      <c r="B11" s="156" t="s">
        <v>29</v>
      </c>
      <c r="C11" s="53"/>
      <c r="D11" s="53"/>
    </row>
    <row r="12" spans="1:4">
      <c r="A12" s="139" t="s">
        <v>627</v>
      </c>
      <c r="B12" s="155" t="s">
        <v>82</v>
      </c>
      <c r="C12" s="105" t="s">
        <v>535</v>
      </c>
      <c r="D12" s="105" t="s">
        <v>628</v>
      </c>
    </row>
    <row r="13" spans="1:4" ht="57.75">
      <c r="A13" s="140" t="s">
        <v>629</v>
      </c>
      <c r="B13" s="155" t="s">
        <v>82</v>
      </c>
      <c r="C13" s="53"/>
      <c r="D13" s="53"/>
    </row>
    <row r="14" spans="1:4" ht="121.5">
      <c r="A14" s="141" t="s">
        <v>630</v>
      </c>
      <c r="B14" s="156" t="s">
        <v>29</v>
      </c>
      <c r="C14" s="105" t="s">
        <v>535</v>
      </c>
      <c r="D14" s="105" t="s">
        <v>628</v>
      </c>
    </row>
    <row r="15" spans="1:4">
      <c r="A15" s="142" t="s">
        <v>631</v>
      </c>
      <c r="B15" s="156" t="s">
        <v>29</v>
      </c>
      <c r="C15" s="53" t="s">
        <v>632</v>
      </c>
      <c r="D15" s="53"/>
    </row>
    <row r="16" spans="1:4">
      <c r="A16" s="142" t="s">
        <v>633</v>
      </c>
      <c r="B16" s="156" t="s">
        <v>29</v>
      </c>
      <c r="C16" s="53" t="s">
        <v>634</v>
      </c>
      <c r="D16" s="53"/>
    </row>
    <row r="17" spans="1:4" ht="72.75">
      <c r="A17" s="140" t="s">
        <v>635</v>
      </c>
      <c r="B17" s="156" t="s">
        <v>29</v>
      </c>
      <c r="C17" s="105" t="s">
        <v>535</v>
      </c>
      <c r="D17" s="153" t="s">
        <v>166</v>
      </c>
    </row>
    <row r="18" spans="1:4" ht="57.75">
      <c r="A18" s="143" t="s">
        <v>636</v>
      </c>
      <c r="B18" s="156" t="s">
        <v>29</v>
      </c>
      <c r="C18" s="53" t="s">
        <v>634</v>
      </c>
      <c r="D18" s="53"/>
    </row>
    <row r="19" spans="1:4" ht="57.75">
      <c r="A19" s="144" t="s">
        <v>637</v>
      </c>
      <c r="B19" s="156" t="s">
        <v>29</v>
      </c>
      <c r="C19" s="105" t="s">
        <v>535</v>
      </c>
      <c r="D19" s="126" t="s">
        <v>638</v>
      </c>
    </row>
    <row r="20" spans="1:4" ht="57.75">
      <c r="A20" s="144" t="s">
        <v>639</v>
      </c>
      <c r="B20" s="156" t="s">
        <v>29</v>
      </c>
      <c r="C20" s="105" t="s">
        <v>535</v>
      </c>
      <c r="D20" s="105" t="s">
        <v>628</v>
      </c>
    </row>
    <row r="21" spans="1:4">
      <c r="A21" s="139" t="s">
        <v>640</v>
      </c>
      <c r="B21" s="155" t="s">
        <v>82</v>
      </c>
      <c r="C21" s="53"/>
      <c r="D21" s="53"/>
    </row>
    <row r="22" spans="1:4">
      <c r="A22" s="142" t="s">
        <v>641</v>
      </c>
      <c r="B22" s="155" t="s">
        <v>82</v>
      </c>
      <c r="C22" s="53"/>
      <c r="D22" s="53"/>
    </row>
    <row r="23" spans="1:4" ht="115.5">
      <c r="A23" s="144" t="s">
        <v>642</v>
      </c>
      <c r="B23" s="156" t="s">
        <v>29</v>
      </c>
      <c r="C23" s="53"/>
      <c r="D23" s="53"/>
    </row>
    <row r="24" spans="1:4">
      <c r="A24" s="53" t="s">
        <v>627</v>
      </c>
      <c r="B24" s="52" t="s">
        <v>82</v>
      </c>
      <c r="C24" s="119" t="s">
        <v>535</v>
      </c>
      <c r="D24" s="119" t="s">
        <v>628</v>
      </c>
    </row>
    <row r="25" spans="1:4" ht="43.5">
      <c r="A25" s="60" t="s">
        <v>629</v>
      </c>
      <c r="B25" s="52" t="s">
        <v>82</v>
      </c>
    </row>
    <row r="26" spans="1:4" ht="91.5">
      <c r="A26" s="157" t="s">
        <v>630</v>
      </c>
      <c r="B26" s="52" t="s">
        <v>29</v>
      </c>
      <c r="C26" s="119" t="s">
        <v>535</v>
      </c>
      <c r="D26" s="119" t="s">
        <v>628</v>
      </c>
    </row>
    <row r="27" spans="1:4">
      <c r="A27" s="158" t="s">
        <v>631</v>
      </c>
      <c r="B27" s="52" t="s">
        <v>29</v>
      </c>
      <c r="C27" t="s">
        <v>632</v>
      </c>
    </row>
    <row r="28" spans="1:4">
      <c r="A28" s="158" t="s">
        <v>633</v>
      </c>
      <c r="B28" s="52" t="s">
        <v>29</v>
      </c>
      <c r="C28" t="s">
        <v>634</v>
      </c>
    </row>
    <row r="29" spans="1:4" ht="57.75">
      <c r="A29" s="60" t="s">
        <v>635</v>
      </c>
      <c r="B29" s="52" t="s">
        <v>29</v>
      </c>
      <c r="C29" s="119" t="s">
        <v>535</v>
      </c>
      <c r="D29" s="146" t="s">
        <v>166</v>
      </c>
    </row>
    <row r="30" spans="1:4" ht="43.5">
      <c r="A30" s="152" t="s">
        <v>636</v>
      </c>
      <c r="B30" s="52" t="s">
        <v>29</v>
      </c>
      <c r="C30" t="s">
        <v>634</v>
      </c>
    </row>
    <row r="31" spans="1:4" ht="29.25">
      <c r="A31" s="159" t="s">
        <v>637</v>
      </c>
      <c r="B31" s="52" t="s">
        <v>29</v>
      </c>
      <c r="C31" s="119" t="s">
        <v>535</v>
      </c>
      <c r="D31" s="120" t="s">
        <v>638</v>
      </c>
    </row>
    <row r="32" spans="1:4" ht="43.5">
      <c r="A32" s="159" t="s">
        <v>639</v>
      </c>
      <c r="B32" s="52" t="s">
        <v>29</v>
      </c>
      <c r="C32" s="119" t="s">
        <v>535</v>
      </c>
      <c r="D32" s="119" t="s">
        <v>628</v>
      </c>
    </row>
    <row r="33" spans="1:2">
      <c r="A33" s="53" t="s">
        <v>640</v>
      </c>
      <c r="B33" s="52" t="s">
        <v>82</v>
      </c>
    </row>
    <row r="34" spans="1:2">
      <c r="A34" s="158" t="s">
        <v>641</v>
      </c>
      <c r="B34" s="52" t="s">
        <v>82</v>
      </c>
    </row>
    <row r="35" spans="1:2" ht="72.75">
      <c r="A35" s="159" t="s">
        <v>642</v>
      </c>
      <c r="B35" s="52" t="s">
        <v>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F1FA3-8A80-40AF-9567-52165082E499}">
  <dimension ref="C5:F10"/>
  <sheetViews>
    <sheetView workbookViewId="0"/>
  </sheetViews>
  <sheetFormatPr defaultRowHeight="15"/>
  <cols>
    <col min="3" max="3" width="20.28515625" customWidth="1"/>
    <col min="4" max="4" width="24.85546875" customWidth="1"/>
    <col min="5" max="5" width="19" customWidth="1"/>
  </cols>
  <sheetData>
    <row r="5" spans="3:6">
      <c r="C5" t="s">
        <v>643</v>
      </c>
      <c r="D5" s="64" t="s">
        <v>644</v>
      </c>
      <c r="E5" s="64" t="s">
        <v>535</v>
      </c>
      <c r="F5" s="64" t="s">
        <v>173</v>
      </c>
    </row>
    <row r="6" spans="3:6">
      <c r="D6">
        <v>60</v>
      </c>
      <c r="E6">
        <v>56</v>
      </c>
      <c r="F6">
        <v>4</v>
      </c>
    </row>
    <row r="8" spans="3:6">
      <c r="C8" t="s">
        <v>645</v>
      </c>
      <c r="D8">
        <v>42</v>
      </c>
      <c r="E8">
        <v>38</v>
      </c>
      <c r="F8">
        <v>4</v>
      </c>
    </row>
    <row r="10" spans="3:6">
      <c r="C10" t="s">
        <v>646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Rishi Tripathi</dc:creator>
  <cp:keywords/>
  <dc:description/>
  <cp:lastModifiedBy/>
  <cp:revision/>
  <dcterms:created xsi:type="dcterms:W3CDTF">2025-12-22T09:46:19Z</dcterms:created>
  <dcterms:modified xsi:type="dcterms:W3CDTF">2026-03-06T06:47:54Z</dcterms:modified>
  <cp:category/>
  <cp:contentStatus/>
</cp:coreProperties>
</file>