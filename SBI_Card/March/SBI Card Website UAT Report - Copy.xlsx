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URLS" sheetId="2" r:id="rId6"/>
    <sheet state="visible" name="Old Pages" sheetId="3" r:id="rId7"/>
    <sheet state="visible" name="ExclusivePrivileges TextOverlap" sheetId="4" r:id="rId8"/>
    <sheet state="visible" name="Product Videos Test Cases" sheetId="5" r:id="rId9"/>
    <sheet state="visible" name="Exclusive Privileges Icons" sheetId="6" r:id="rId10"/>
    <sheet state="visible" name="Explore Rewards TextOverlap" sheetId="7" r:id="rId11"/>
    <sheet state="visible" name="Fees &amp; Charges Heading &amp; Label" sheetId="8" r:id="rId12"/>
    <sheet state="visible" name="Home Page" sheetId="9" r:id="rId13"/>
    <sheet state="visible" name="Product Details Page" sheetId="10" r:id="rId14"/>
    <sheet state="visible" name="Catalogue Page" sheetId="11" r:id="rId15"/>
    <sheet state="visible" name="Header &amp; Footer" sheetId="12" r:id="rId16"/>
    <sheet state="visible" name="Credit Card Pages" sheetId="13" r:id="rId17"/>
    <sheet state="visible" name="Similar Cards Test cases" sheetId="14" r:id="rId18"/>
    <sheet state="visible" name="CataloguePage Filter Test Cases" sheetId="15" r:id="rId19"/>
    <sheet state="visible" name="Assets Required by SBI Team" sheetId="16" r:id="rId20"/>
  </sheets>
  <definedNames>
    <definedName hidden="1" localSheetId="1" name="_xlnm._FilterDatabase">URLS!$A$1:$P$78</definedName>
    <definedName hidden="1" localSheetId="2" name="_xlnm._FilterDatabase">'Old Pages'!$A$1:$H$183</definedName>
    <definedName hidden="1" localSheetId="3" name="_xlnm._FilterDatabase">'ExclusivePrivileges TextOverlap'!$A$1:$F$151</definedName>
    <definedName hidden="1" localSheetId="4" name="_xlnm._FilterDatabase">'Product Videos Test Cases'!$A$1:$H$48</definedName>
    <definedName hidden="1" localSheetId="5" name="_xlnm._FilterDatabase">'Exclusive Privileges Icons'!$A$6:$G$50</definedName>
    <definedName hidden="1" localSheetId="6" name="_xlnm._FilterDatabase">'Explore Rewards TextOverlap'!$A$1:$K$156</definedName>
    <definedName hidden="1" localSheetId="7" name="_xlnm._FilterDatabase">'Fees &amp; Charges Heading &amp; Label'!$A$1:$E$35</definedName>
    <definedName hidden="1" localSheetId="8" name="_xlnm._FilterDatabase">'Home Page'!$A$1:$T$124</definedName>
    <definedName hidden="1" localSheetId="9" name="_xlnm._FilterDatabase">'Product Details Page'!$A$1:$T$51</definedName>
    <definedName hidden="1" localSheetId="10" name="_xlnm._FilterDatabase">'Catalogue Page'!$A$1:$T$200</definedName>
    <definedName hidden="1" localSheetId="11" name="_xlnm._FilterDatabase">'Header &amp; Footer'!$A$1:$U$133</definedName>
    <definedName hidden="1" localSheetId="12" name="_xlnm._FilterDatabase">'Credit Card Pages'!$A$1:$U$400</definedName>
    <definedName hidden="1" localSheetId="13" name="_xlnm._FilterDatabase">'Similar Cards Test cases'!$A$1:$E$50</definedName>
    <definedName hidden="1" localSheetId="14" name="_xlnm._FilterDatabase">'CataloguePage Filter Test Cases'!$A$1:$I$36</definedName>
    <definedName hidden="1" localSheetId="15" name="_xlnm._FilterDatabase">'Assets Required by SBI Team'!$A$1:$T$1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tc={dce949d0-bc46-45c8-99b9-d49fca3555a6}</author>
  </authors>
  <commentList>
    <comment authorId="0" xr:uid="{dce949d0-bc46-45c8-99b9-d49fca3555a6}" ref="F21">
      <text>
        <t xml:space="preserve">[Threaded comment]
 Your version of Excel allows you to read this threaded comment; however, any edits to it will get removed if the file is opened in a newer version of Excel. Learn more: https://go.microsoft.com/fwlink/?linkid=870924
Comment:
	In order to check how many fixes provided and how many pending from HTML Team, check the table on the right.
</t>
      </text>
    </comment>
  </commentList>
</comments>
</file>

<file path=xl/sharedStrings.xml><?xml version="1.0" encoding="utf-8"?>
<sst xmlns="http://schemas.openxmlformats.org/spreadsheetml/2006/main" count="17216" uniqueCount="4600">
  <si>
    <t>P0, P1, P2, P3</t>
  </si>
  <si>
    <t>Page</t>
  </si>
  <si>
    <t>Bugs Logged</t>
  </si>
  <si>
    <t>Resolved</t>
  </si>
  <si>
    <t>Open</t>
  </si>
  <si>
    <t>Hold</t>
  </si>
  <si>
    <t>PVT</t>
  </si>
  <si>
    <t>Homepage</t>
  </si>
  <si>
    <t>Product</t>
  </si>
  <si>
    <t>Catalogue</t>
  </si>
  <si>
    <t>Header - Footer</t>
  </si>
  <si>
    <t>Total</t>
  </si>
  <si>
    <t>UAT</t>
  </si>
  <si>
    <t>Fixed on HTML</t>
  </si>
  <si>
    <t>Pending/Reopen</t>
  </si>
  <si>
    <t>Tested on (Version Name)</t>
  </si>
  <si>
    <t>HTML/CSS</t>
  </si>
  <si>
    <t>v50</t>
  </si>
  <si>
    <t>v50 - 1</t>
  </si>
  <si>
    <t>sbi_card_catalogue-fixes-for-UAT</t>
  </si>
  <si>
    <t>v50 - 2</t>
  </si>
  <si>
    <t>Grand Total</t>
  </si>
  <si>
    <t>Sr No.</t>
  </si>
  <si>
    <t>PVT URLs</t>
  </si>
  <si>
    <t>Category</t>
  </si>
  <si>
    <t>Theme</t>
  </si>
  <si>
    <t>E-Apply</t>
  </si>
  <si>
    <t>Network Privileges</t>
  </si>
  <si>
    <t>UAT URL</t>
  </si>
  <si>
    <t>devsit URL Received on</t>
  </si>
  <si>
    <t>Content Testing</t>
  </si>
  <si>
    <t>Link Redirections</t>
  </si>
  <si>
    <t>Similar Card</t>
  </si>
  <si>
    <t>Product Videos</t>
  </si>
  <si>
    <t>Creatives Testing</t>
  </si>
  <si>
    <t>End to End Testing</t>
  </si>
  <si>
    <t>Remarks</t>
  </si>
  <si>
    <t>Home Page</t>
  </si>
  <si>
    <t>https://sbi-pvt.sbicard.com/html/en/home.html</t>
  </si>
  <si>
    <t>-</t>
  </si>
  <si>
    <t>https://sbi-devsit1.sbicard.com/html/en/home.html</t>
  </si>
  <si>
    <t>Done</t>
  </si>
  <si>
    <t>Product Details Page</t>
  </si>
  <si>
    <t>https://sbi-devsit1.sbicard.com/html/en/reliancesbicard.html</t>
  </si>
  <si>
    <t>24th Dec 2025</t>
  </si>
  <si>
    <t>Catalogue Page</t>
  </si>
  <si>
    <t>https://sbi-pvt.sbicard.com/en/personal/credit-cards.html</t>
  </si>
  <si>
    <t>https://sbi-devsit1.sbicard.com/en/personal/credit-cards.html</t>
  </si>
  <si>
    <t>14th Jan 2026</t>
  </si>
  <si>
    <t>06/02/2026 - The old pvt link https://sbi-pvt.sbicard.com/html/en/personal/credit-cards.html has been changed to the new catalogue page - https://sbi-pvt.sbicard.com/html/en/product-catalogue.html#featured
29/01/2026 - New link was shared on UAT Discussion call - https://sbi-devsit1.sbicard.com/html/en/personal/credit-cards.html#featured 
Need a confirmation whether to switch the old link with the new and start testing on the new one or to keep following the old one.</t>
  </si>
  <si>
    <t>Tata Neu Plus SBI Card</t>
  </si>
  <si>
    <t>https://sbi-pvt.sbicard.com/html/en/personal/credit-cards/tata-neu-plus-sbi-card.html</t>
  </si>
  <si>
    <t>Lifestyle Card</t>
  </si>
  <si>
    <t>Light</t>
  </si>
  <si>
    <t>Yes</t>
  </si>
  <si>
    <t>https://sbi-devsit1.sbicard.com/html/en/personal/credit-cards/tata-neu-plus-sbi-card.html</t>
  </si>
  <si>
    <t>17th Jan 2026</t>
  </si>
  <si>
    <t>06/02/2026 - Creative wise testing done op PVT</t>
  </si>
  <si>
    <t>SBI Card Elite</t>
  </si>
  <si>
    <t>https://sbi-pvt.sbicard.com/html/en/personal/credit-cards/sbi-card-elite.html</t>
  </si>
  <si>
    <t>Dark + Gold ( Elite theme)</t>
  </si>
  <si>
    <t>Yes(Mc/Rupay)</t>
  </si>
  <si>
    <t>https://sbi-devsit1.sbicard.com/html/en/personal/credit-cards/sbi-card-elite.html</t>
  </si>
  <si>
    <t>Cashback SBI Card</t>
  </si>
  <si>
    <t>https://sbi-pvt.sbicard.com/html/en/personal/credit-cards/cashback-sbi-card.html</t>
  </si>
  <si>
    <t>Reward Cards</t>
  </si>
  <si>
    <t>Light theme (Cashback theme)</t>
  </si>
  <si>
    <t>https://sbi-devsit1.sbicard.com/html/en/personal/credit-cards/cashback-sbi-card.html</t>
  </si>
  <si>
    <t>22nd Jan 2026</t>
  </si>
  <si>
    <t>06/02/2026 - Creative wise testing done on PVT</t>
  </si>
  <si>
    <t>SBI Card Pulse</t>
  </si>
  <si>
    <t>https://sbi-pvt.sbicard.com/html/en/personal/credit-cards/sbi-card-pulse.html</t>
  </si>
  <si>
    <t>Dark (Pulse theme)</t>
  </si>
  <si>
    <t>https://sbi-devsit1.sbicard.com/html/en/personal/credit-cards/sbi-card-pulse.html</t>
  </si>
  <si>
    <t>Air India SBI Signature Card</t>
  </si>
  <si>
    <t>https://sbi-pvt.sbicard.com/html/en/personal/credit-cards/air-india-sbi-signature-card.html</t>
  </si>
  <si>
    <t>Travel &amp; Fuel Card</t>
  </si>
  <si>
    <t>No</t>
  </si>
  <si>
    <t>https://sbi-devsit1.sbicard.com/html/en/personal/credit-cards/air-india-sbi-signature-card.html</t>
  </si>
  <si>
    <t>Air India SBI Platinum Card</t>
  </si>
  <si>
    <t>https://sbi-pvt.sbicard.com/html/en/personal/credit-cards/air-india-sbi-platinum-card.html</t>
  </si>
  <si>
    <t>https://sbi-devsit1.sbicard.com/html/en/personal/credit-cards/air-india-sbi-platinum-card.html</t>
  </si>
  <si>
    <t>Apollo SBI Card Select</t>
  </si>
  <si>
    <t>https://sbi-pvt.sbicard.com/html/en/personal/credit-cards/apollo-sbi-card-select.html</t>
  </si>
  <si>
    <t>https://sbi-devsit1.sbicard.com/html/en/personal/credit-cards/apollo-sbi-card-select.html</t>
  </si>
  <si>
    <t>Flipkart SBI Card</t>
  </si>
  <si>
    <t>https://sbi-pvt.sbicard.com/html/en/personal/credit-cards/flipkart-sbi-card.html</t>
  </si>
  <si>
    <t>https://sbi-devsit1.sbicard.com/html/en/personal/credit-cards/flipkart-sbi-card.html</t>
  </si>
  <si>
    <t>Landmark Rewards SBI Card Select</t>
  </si>
  <si>
    <t xml:space="preserve">https://sbi-pvt.sbicard.com/html/en/personal/credit-cards/landmark-sbi-card-select.html </t>
  </si>
  <si>
    <t>Shopping Card</t>
  </si>
  <si>
    <t xml:space="preserve">https://sbi-devsit1.sbicard.com/html/en/personal/credit-cards/landmark-sbi-card-select.html </t>
  </si>
  <si>
    <t>06/02/2026 - Creative wise testing done on PVT
29/01/2026 - Chagned to New link shared on Discussion call - https://sbi-devsit1.sbicard.com/html/en/personal/credit-cards/landmark-sbi-card-select.html 
Old link was - https://sbi-devsit1.sbicard.com/html/en/personal/credit-cards/landmark-rewards-sbi-card-select.html</t>
  </si>
  <si>
    <t>Landmark Rewards SBI Card</t>
  </si>
  <si>
    <t>https://sbi-pvt.sbicard.com/html/en/personal/credit-cards/landmark-sbi-card.html</t>
  </si>
  <si>
    <t>https://sbi-devsit1.sbicard.com/html/en/personal/credit-cards/landmark-rewards-sbi-card.html</t>
  </si>
  <si>
    <t>06/02/2026 - The PVT link is not working - https://www.loom.com/share/c46dfd9ce3264fa09bff27fd3737b6f9</t>
  </si>
  <si>
    <t>Landmark SBI Card Prime</t>
  </si>
  <si>
    <t>https://sbi-pvt.sbicard.com/html/en/personal/credit-cards/landmark-sbi-card-prime.html</t>
  </si>
  <si>
    <t>https://sbi-devsit1.sbicard.com/html/en/personal/credit-cards/landmark-sbi-card-prime.html</t>
  </si>
  <si>
    <t>Etihad Guest SBI Card</t>
  </si>
  <si>
    <t>https://sbi-pvt.sbicard.com/html/en/personal/credit-cards/etihad-guest-sbi-card.html</t>
  </si>
  <si>
    <t>https://sbi-devsit1.sbicard.com/html/en/personal/credit-cards/etihad-guest-sbi-card.html</t>
  </si>
  <si>
    <t>Doctors SBI Card</t>
  </si>
  <si>
    <t>https://sbi-pvt.sbicard.com/html/en/personal/credit-cards/doctors-sbi-card.html</t>
  </si>
  <si>
    <t>https://sbi-devsit1.sbicard.com/html/en/personal/credit-cards/doctors-sbi-card.html</t>
  </si>
  <si>
    <t>BPCL SBI Card</t>
  </si>
  <si>
    <t>https://sbi-pvt.sbicard.com/html/en/personal/credit-cards/bpcl-sbi-card.html</t>
  </si>
  <si>
    <t>Dark</t>
  </si>
  <si>
    <t>https://sbi-devsit1.sbicard.com/html/en/personal/credit-cards/bpcl-sbi-card.html</t>
  </si>
  <si>
    <t>Etihad Guest SBI Premier Card</t>
  </si>
  <si>
    <t>https://sbi-pvt.sbicard.com/html/en/personal/credit-cards/etihad-guest-sbi-premier-card.html</t>
  </si>
  <si>
    <t>https://sbi-devsit1.sbicard.com/html/en/personal/credit-cards/etihad-guest-sbi-premier-card.html</t>
  </si>
  <si>
    <t>Doctors with IMA SBI Card</t>
  </si>
  <si>
    <t>https://sbi-pvt.sbicard.com/html/en/personal/credit-cards/doctors-ima-sbi-card.html</t>
  </si>
  <si>
    <t>https://sbi-devsit1.sbicard.com/html/en/personal/credit-cards/doctors-ima-sbi-card.html</t>
  </si>
  <si>
    <t>06/02/2026 - The PVT URL is not redirecting to the card page - https://www.loom.com/share/112cdc78107d4d928ebff913384b86b7
29/01/2026 - Chagned to New link shared on Discussion call - https://sbi-devsit1.sbicard.com/html/en/personal/credit-cards/doctors-ima-sbi-card.html
Old link was - https://sbi-devsit1.sbicard.com/html/en/personal/credit-cards/doctors-with-ima-sbi-card.html</t>
  </si>
  <si>
    <t>BPCL SBI Card Octane</t>
  </si>
  <si>
    <t>https://sbi-pvt.sbicard.com/html/en/personal/credit-cards/bpcl-sbi-card-octane.html</t>
  </si>
  <si>
    <t>https://sbi-devsit1.sbicard.com/html/en/personal/credit-cards/bpcl-sbi-card-octane.html</t>
  </si>
  <si>
    <t>Club Vistara SBI Card</t>
  </si>
  <si>
    <t>https://sbi-pvt.sbicard.com/html/en/personal/credit-cards/club-vistara-sbi-card.html</t>
  </si>
  <si>
    <t>https://sbi-devsit1.sbicard.com/html/en/personal/credit-cards/club-vistara-sbi-card.html</t>
  </si>
  <si>
    <t>Apollo SBI Card</t>
  </si>
  <si>
    <t>https://sbi-pvt.sbicard.com/html/en/personal/credit-cards/apollo-sbi-card.html</t>
  </si>
  <si>
    <t>https://sbi-devsit1.sbicard.com/html/en/personal/credit-cards/apollo-sbi-card.html</t>
  </si>
  <si>
    <t>Club Vistara SBI Card Prime</t>
  </si>
  <si>
    <t>https://sbi-pvt.sbicard.com/html/en/personal/credit-cards/club-vistara-sbi-card-prime.html</t>
  </si>
  <si>
    <t>https://sbi-devsit1.sbicard.com/html/en/personal/credit-cards/club-vistara-sbi-card-prime.html</t>
  </si>
  <si>
    <t>IRCTC SBI Platinum Card</t>
  </si>
  <si>
    <t>https://sbi-pvt.sbicard.com/html/en/personal/credit-cards/irctc-sbi-platinum-card.html</t>
  </si>
  <si>
    <t>https://sbi-devsit1.sbicard.com/html/en/personal/credit-cards/irctc-sbi-platinum-card.html</t>
  </si>
  <si>
    <t>IRCTC Premier Card</t>
  </si>
  <si>
    <t>https://sbi-pvt.sbicard.com/html/en/personal/credit-cards/irctc-premier-card.html</t>
  </si>
  <si>
    <t>https://sbi-devsit1.sbicard.com/html/en/personal/credit-cards/irctc-premier-card.html</t>
  </si>
  <si>
    <t>OLA Money SBI Card</t>
  </si>
  <si>
    <t>https://sbi-pvt.sbicard.com/html/en/personal/credit-cards/ola-money-sbi-card.html</t>
  </si>
  <si>
    <t>https://sbi-devsit1.sbicard.com/html/en/personal/credit-cards/ola-money-sbi-card.html</t>
  </si>
  <si>
    <t>Krisflyer SBI Card</t>
  </si>
  <si>
    <t>https://sbi-pvt.sbicard.com/html/en/personal/credit-cards/krisflyer-sbi-card.html</t>
  </si>
  <si>
    <t>https://sbi-devsit1.sbicard.com/html/en/personal/credit-cards/krisflyer-sbi-card.html</t>
  </si>
  <si>
    <t>Krisflyer SBI Card Apex</t>
  </si>
  <si>
    <t>https://sbi-pvt.sbicard.com/html/en/personal/credit-cards/krisflyer-sbi-card-apex.html</t>
  </si>
  <si>
    <t>Dark + Gold</t>
  </si>
  <si>
    <t>https://sbi-devsit1.sbicard.com/html/en/personal/credit-cards/krisflyer-sbi-card-apex.html</t>
  </si>
  <si>
    <t>Tata Neu Infinity SBI Card</t>
  </si>
  <si>
    <t>https://sbi-pvt.sbicard.com/html/en/personal/credit-cards/tata-neu-infinity-sbi-card.html</t>
  </si>
  <si>
    <t>https://sbi-devsit1.sbicard.com/html/en/personal/credit-cards/tata-neu-infinity-sbi-card.html</t>
  </si>
  <si>
    <t>PhonePe SBI Card Purple</t>
  </si>
  <si>
    <t>https://sbi-pvt.sbicard.com/html/en/personal/credit-cards/phonepe-sbi-card-purple.html</t>
  </si>
  <si>
    <t>https://sbi-devsit1.sbicard.com/html/en/personal/credit-cards/phonepe-sbi-card-purple.html</t>
  </si>
  <si>
    <t>Paytm SBI Card Select</t>
  </si>
  <si>
    <t>https://sbi-pvt.sbicard.com/html/en/personal/credit-cards/paytm-sbi-card-select.html</t>
  </si>
  <si>
    <t>https://sbi-devsit1.sbicard.com/html/en/personal/credit-cards/paytm-sbi-card-select.html</t>
  </si>
  <si>
    <t>SBI Card Miles Elite</t>
  </si>
  <si>
    <t>https://sbi-pvt.sbicard.com/html/en/personal/credit-cards/sbi-card-miles-elite.html</t>
  </si>
  <si>
    <t>Light (Miles Theme)</t>
  </si>
  <si>
    <t>https://sbi-devsit1.sbicard.com/html/en/personal/credit-cards/sbi-card-miles-elite.html</t>
  </si>
  <si>
    <t>Indigo SBI Card Elite</t>
  </si>
  <si>
    <t>https://sbi-pvt.sbicard.com/html/en/personal/credit-cards/indigo-sbi-card-elite.html</t>
  </si>
  <si>
    <t>https://sbi-devsit1.sbicard.com/html/en/personal/credit-cards/indigo-sbi-card-elite.html</t>
  </si>
  <si>
    <t>Reliance SBI Card</t>
  </si>
  <si>
    <t>https://sbi-pvt.sbicard.com/html/en/personal/credit-cards/reliance-sbi-card.html</t>
  </si>
  <si>
    <t>https://sbi-devsit1.sbicard.com/html/en/personal/credit-cards/reliance-sbi-card.html</t>
  </si>
  <si>
    <t>Indigo SBI Card</t>
  </si>
  <si>
    <t>https://sbi-pvt.sbicard.com/html/en/personal/credit-cards/indigo-sbi-card.html</t>
  </si>
  <si>
    <t>https://sbi-devsit1.sbicard.com/html/en/personal/credit-cards/indigo-sbi-card.html</t>
  </si>
  <si>
    <t>Reliance SBI Card Prime</t>
  </si>
  <si>
    <t>https://sbi-pvt.sbicard.com/html/en/personal/credit-cards/reliance-sbi-card-prime.html</t>
  </si>
  <si>
    <t>https://sbi-devsit1.sbicard.com/html/en/personal/credit-cards/reliance-sbi-card-prime.html</t>
  </si>
  <si>
    <t>PhonePe SBI Card Select Black</t>
  </si>
  <si>
    <t>https://sbi-pvt.sbicard.com/html/en/personal/credit-cards/phonepe-sbi-card-select-black.html</t>
  </si>
  <si>
    <t>https://sbi-devsit1.sbicard.com/html/en/personal/credit-cards/phonepe-sbi-card-select-black.html</t>
  </si>
  <si>
    <t>PayTM SBI Card</t>
  </si>
  <si>
    <t>https://sbi-pvt.sbicard.com/html/en/personal/credit-cards/paytm-sbi-card.html</t>
  </si>
  <si>
    <t>https://sbi-devsit1.sbicard.com/html/en/personal/credit-cards/paytm-sbi-card.html</t>
  </si>
  <si>
    <t>SBI Card Prime</t>
  </si>
  <si>
    <t>https://sbi-pvt.sbicard.com/html/en/personal/credit-cards/sbi-card-prime.html</t>
  </si>
  <si>
    <t>Dark (Prime theme)</t>
  </si>
  <si>
    <t>https://sbi-devsit1.sbicard.com/html/en/personal/credit-cards/sbi-card-prime.html</t>
  </si>
  <si>
    <t>SBI Card Miles</t>
  </si>
  <si>
    <t xml:space="preserve">
https://sbi-pvt.sbicard.com/html/en/personal/credit-cards/sbi-card-miles.html</t>
  </si>
  <si>
    <t>https://sbi-devsit1.sbicard.com/html/en/personal/credit-cards/sbi-card-miles.html</t>
  </si>
  <si>
    <t>SBI Card Miles Prime</t>
  </si>
  <si>
    <t>https://sbi-pvt.sbicard.com/html/en/personal/credit-cards/sbi-card-miles-prime.html</t>
  </si>
  <si>
    <t>https://sbi-devsit1.sbicard.com/html/en/personal/credit-cards/sbi-card-miles-prime.html</t>
  </si>
  <si>
    <t>29th Jan 2026</t>
  </si>
  <si>
    <t>SBI Card Unnati</t>
  </si>
  <si>
    <t>https://sbi-pvt.sbicard.com/html/en/personal/credit-cards/sbi-card-unnati.html</t>
  </si>
  <si>
    <t>https://sbi-devsit1.sbicard.com/html/en/personal/credit-cards/sbi-card-unnati.html</t>
  </si>
  <si>
    <t>29nd Jan 2026</t>
  </si>
  <si>
    <t>06/02/2026 - Creative wise testing done on PVT
29/01/2026 - Old link received on 22nd Jan was not functional, new functional link received on 29th Jan</t>
  </si>
  <si>
    <t>Credit Card Page</t>
  </si>
  <si>
    <t>https://sbi-pvt.sbicard.com/en/personal/credit-cards.page</t>
  </si>
  <si>
    <t>Old Page</t>
  </si>
  <si>
    <t>https://sbi-devsit1.sbicard.com/en/personal/credit-cards.page</t>
  </si>
  <si>
    <t>About Us Page</t>
  </si>
  <si>
    <t>https://sbi-pvt.sbicard.com/en/who-we-are/about-us.page</t>
  </si>
  <si>
    <t>https://sbi-devsit1.sbicard.com/en/who-we-are/about-us.page</t>
  </si>
  <si>
    <t>ESG Page</t>
  </si>
  <si>
    <t>https://sbi-pvt.sbicard.com/en/who-we-are/esg.page</t>
  </si>
  <si>
    <t>https://sbi-devsit1.sbicard.com/en/who-we-are/esg.page</t>
  </si>
  <si>
    <t>Do Not Disturb</t>
  </si>
  <si>
    <t>https://sbi-pvt.sbicard.com//en/do-not-disturb.page</t>
  </si>
  <si>
    <t>https://sbi-devsit1.sbicard.com//en/do-not-disturb.page</t>
  </si>
  <si>
    <t>Benefits Page</t>
  </si>
  <si>
    <t>https://sbi-pvt.sbicard.com/en/personal/benefits.page</t>
  </si>
  <si>
    <t>https://sbi-devsit1.sbicard.com/en/personal/benefits.page</t>
  </si>
  <si>
    <t>SimplyClick SBI Card</t>
  </si>
  <si>
    <t>https://sbi-pvt.sbicard.com/en/personal/credit-cards/simplyclick-sbi-card.html</t>
  </si>
  <si>
    <t>Light (SimplyClick Theme)</t>
  </si>
  <si>
    <t>3rd March 2026</t>
  </si>
  <si>
    <t>SimplySave SBI Card</t>
  </si>
  <si>
    <t>https://sbi-pvt.sbicard.com/en/personal/credit-cards/simplysave-sbi-card.html</t>
  </si>
  <si>
    <t>Titan SBI Card</t>
  </si>
  <si>
    <t>https://sbi-pvt.sbicard.com/en/personal/credit-cards/titan-sbi-card.html</t>
  </si>
  <si>
    <t>Shaurya SBI Card</t>
  </si>
  <si>
    <t>https://sbi-pvt.sbicard.com/en/personal/credit-cards/shaurya-sbi-card.html</t>
  </si>
  <si>
    <t>Shaurya Select SBI Card</t>
  </si>
  <si>
    <t>https://sbi-pvt.sbicard.com/en/personal/credit-cards/shaurya-select-sbi-card.html</t>
  </si>
  <si>
    <t>BOM SBI Card Elite</t>
  </si>
  <si>
    <t>https://sbi-pvt.sbicard.com/en/personal/credit-cards/bom-sbi-card-elite.html</t>
  </si>
  <si>
    <t>Banking &amp; Partnership</t>
  </si>
  <si>
    <t>BOM SimplySave SBI Card</t>
  </si>
  <si>
    <t>https://sbi-pvt.sbicard.com/en/personal/credit-cards/bom-simplysave-sbi-card.html</t>
  </si>
  <si>
    <t>BOM SBI Card Prime</t>
  </si>
  <si>
    <t>https://sbi-pvt.sbicard.com/en/personal/credit-cards/bom-sbi-card-prime.html</t>
  </si>
  <si>
    <t>PSB SBI Card Elite</t>
  </si>
  <si>
    <t>https://sbi-pvt.sbicard.com/en/personal/credit-cards/psb-sbi-card-elite.html</t>
  </si>
  <si>
    <t>PSB SBI Card Prime</t>
  </si>
  <si>
    <t>https://sbi-pvt.sbicard.com/en/personal/credit-cards/psb-sbi-card-prime.html</t>
  </si>
  <si>
    <t>PSB SimplySave SBI Card</t>
  </si>
  <si>
    <t>https://sbi-pvt.sbicard.com/en/personal/credit-cards/psb-simplysave-sbi-card.html</t>
  </si>
  <si>
    <t>UCO Bank SBI Card Elite</t>
  </si>
  <si>
    <t>https://sbi-pvt.sbicard.com/en/personal/credit-cards/uco-bank-sbi-card-elite.html</t>
  </si>
  <si>
    <t>UCO Bank SBI Card Prime</t>
  </si>
  <si>
    <t>https://sbi-pvt.sbicard.com/en/personal/credit-cards/uco-bank-sbi-card-prime.html</t>
  </si>
  <si>
    <t>UCO Bank SimplySave SBI Card</t>
  </si>
  <si>
    <t>https://sbi-pvt.sbicard.com/en/personal/credit-cards/uco-bank-simplysave-sbi-card.html</t>
  </si>
  <si>
    <t>Central Bank of India Elite Card</t>
  </si>
  <si>
    <t>https://sbi-pvt.sbicard.com/en/personal/credit-cards/central-bank-of-india-elite-card.html</t>
  </si>
  <si>
    <t>Central Bank of India Prime Card</t>
  </si>
  <si>
    <t>https://sbi-pvt.sbicard.com/en/personal/credit-cards/central-bank-of-india-prime-card.html</t>
  </si>
  <si>
    <t>Central Bank of India SimplySave SBI Card</t>
  </si>
  <si>
    <t>https://sbi-pvt.sbicard.com/en/personal/credit-cards/central-bank-of-india-simplysave-sbi-card.html</t>
  </si>
  <si>
    <t>City Union Bank SBI Card Prime</t>
  </si>
  <si>
    <t>https://sbi-pvt.sbicard.com/en/personal/credit-cards/city-union-bank-sbi-card-prime.html</t>
  </si>
  <si>
    <t>City Union Bank SimplySave SBI Card</t>
  </si>
  <si>
    <t>https://sbi-pvt.sbicard.com/en/personal/credit-cards/city-union-bank-simplysave-sbi-card.html</t>
  </si>
  <si>
    <t>Karnataka Bank SBI Card Prime</t>
  </si>
  <si>
    <t>https://sbi-pvt.sbicard.com/en/personal/credit-cards/karnataka-bank-sbi-card-prime.html</t>
  </si>
  <si>
    <t>Karnataka Bank SimplySave SBI Card</t>
  </si>
  <si>
    <t>https://sbi-pvt.sbicard.com/en/personal/credit-cards/karnataka-bank-simplysave-sbi-card.html</t>
  </si>
  <si>
    <t>South Indian Bank SBI Card Prime</t>
  </si>
  <si>
    <t>https://sbi-pvt.sbicard.com/en/personal/credit-cards/south-indian-bank-sbi-card-prime.html</t>
  </si>
  <si>
    <t>South India Bank SBI Platinum Card</t>
  </si>
  <si>
    <t>https://sbi-pvt.sbicard.com/en/personal/credit-cards/south-india-bank-sbi-platinum-card.html</t>
  </si>
  <si>
    <t>South Indian Bank SimplySave SBI Card</t>
  </si>
  <si>
    <t>https://sbi-pvt.sbicard.com/en/personal/credit-cards/south-indian-bank-simplysave-sbi-card.html</t>
  </si>
  <si>
    <t>Karur Vysya Bank SBI Card Gold</t>
  </si>
  <si>
    <t>https://sbi-pvt.sbicard.com/en/personal/credit-cards/karur-vysya-bank-sbi-card-gold.html</t>
  </si>
  <si>
    <t>Karur Vysya Bank SBI Card Elite</t>
  </si>
  <si>
    <t>https://sbi-pvt.sbicard.com/en/personal/credit-cards/karur-vysya-bank-sbi-card-elite.html</t>
  </si>
  <si>
    <t>Karur Vysya Bank SBI Card Prime</t>
  </si>
  <si>
    <t>https://sbi-pvt.sbicard.com/en/personal/credit-cards/karur-vysya-bank-sbi-card-prime.html</t>
  </si>
  <si>
    <t>Karur Vysya Bank SBI Card SimplySave</t>
  </si>
  <si>
    <t>https://sbi-pvt.sbicard.com/en/personal/credit-cards/karur-vysya-bank-sbi-card-simplysave.html</t>
  </si>
  <si>
    <t>Karur Vysya Bank SBI Signature Credit Card</t>
  </si>
  <si>
    <t>https://sbi-pvt.sbicard.com/en/personal/credit-cards/karur-vysya-bank-sbi-signature-credit-card.html</t>
  </si>
  <si>
    <t>Karur Vysya Bank SBI Platinum Credit Card</t>
  </si>
  <si>
    <t>https://sbi-pvt.sbicard.com/en/personal/credit-cards/karur-vysya-bank-sbi-platinum-credit-card.html</t>
  </si>
  <si>
    <t>Received on</t>
  </si>
  <si>
    <t>URLs</t>
  </si>
  <si>
    <t>Skip or Test</t>
  </si>
  <si>
    <t>Testing Status</t>
  </si>
  <si>
    <t>Last Updated On</t>
  </si>
  <si>
    <t>QA Remark</t>
  </si>
  <si>
    <t>https://sbi-devsit1.sbicard.com/en/security.page</t>
  </si>
  <si>
    <t>To be Tested</t>
  </si>
  <si>
    <t>https://sbi-devsit1.sbicard.com/en/eapply.page</t>
  </si>
  <si>
    <t>https://sbi-devsit1.sbicard.com/en/most-important-terms-and-conditions.page</t>
  </si>
  <si>
    <t>https://sbi-devsit1.sbicard.com/en/personal/benefits/encash.page</t>
  </si>
  <si>
    <t>https:///sbi-devsit1.sbicard.com/en/tokenisation.page</t>
  </si>
  <si>
    <t>https:///sbi-devsit1.sbicard.com/en/personal/benefits/add-on-card.page</t>
  </si>
  <si>
    <t>Skip</t>
  </si>
  <si>
    <t>https:///sbi-devsit1.sbicard.com/en/contact-us/personal.page</t>
  </si>
  <si>
    <t>https:///sbi-devsit1.sbicard.com/en/personal/credit-cards/simplyfier.page</t>
  </si>
  <si>
    <t>https://sbi-devsit1.sbicard.com/en/faq/flexipay.page</t>
  </si>
  <si>
    <t>https://sbi-devsit1.sbicard.com/en/faq/kyc-norms.page</t>
  </si>
  <si>
    <t>https://sbi-devsit1.sbicard.com/en/faq/add-on-card.page</t>
  </si>
  <si>
    <t>https://sbi-devsit1.sbicard.com/en/tataneu-eapply.page</t>
  </si>
  <si>
    <t>https://sbi-devsit1.sbicard.com/en/fair-practice-code.page</t>
  </si>
  <si>
    <t>https://sbi-devsit1.sbicard.com/en/faq/neft-payment.page</t>
  </si>
  <si>
    <t>https://sbi-devsit1.sbicard.com/en/faq/national-automated-clearing-house.page</t>
  </si>
  <si>
    <t>https://sbi-devsit1.sbicard.com/en/faq/visa-credit-card-pay.page</t>
  </si>
  <si>
    <t>https://sbi-devsit1.sbicard.com/en/faq/over-the-counter-payment.page</t>
  </si>
  <si>
    <t>https://sbi-devsit1.sbicard.com/en/faq/pay-via-yono.page</t>
  </si>
  <si>
    <t>https://sbi-devsit1.sbicard.com/en/faq/upi.page</t>
  </si>
  <si>
    <t>https://sbi-devsit1.sbicard.com/en/faq/paynet-pay-online.page</t>
  </si>
  <si>
    <t>https://sbi-devsit1.sbicard.com/en/faq/pay-via-mobile-app.page</t>
  </si>
  <si>
    <t>https://sbi-devsit1.sbicard.com/en/faq/mastercard-moneysend.page</t>
  </si>
  <si>
    <t>https://sbi-devsit1.sbicard.com/en/faq/cheque-drop-box.page</t>
  </si>
  <si>
    <t>https://sbi-devsit1.sbicard.com/en/faq/bbps-faq.page</t>
  </si>
  <si>
    <t>https://sbi-devsit1.sbicard.com/en/faq/sbi-atm.page</t>
  </si>
  <si>
    <t>https://sbi-devsit1.sbicard.com/en/faq/debit-card.page</t>
  </si>
  <si>
    <t>https://sbi-devsit1.sbicard.com/en/faq/address-updation.page</t>
  </si>
  <si>
    <t>https://sbi-devsit1.sbicard.com/en/faq/arogya-premier-policy.page</t>
  </si>
  <si>
    <t>https://sbi-devsit1.sbicard.com/en/faq/bt-on-emi.page</t>
  </si>
  <si>
    <t>https://sbi-devsit1.sbicard.com/en/faq/card-blocking-unblocking.page</t>
  </si>
  <si>
    <t>https://sbi-devsit1.sbicard.com/en/faq/cibil-related-issues.page</t>
  </si>
  <si>
    <t>https://sbi-devsit1.sbicard.com/en/faq/closing-of-credit-card-account.page</t>
  </si>
  <si>
    <t>https://sbi-devsit1.sbicard.com/en/faq/earning-reward-points.page</t>
  </si>
  <si>
    <t>https://sbi-devsit1.sbicard.com/en/faq/ivr-one-time-password-otp.page</t>
  </si>
  <si>
    <t>https://sbi-devsit1.sbicard.com/en/faq/joining-milestone-rewards.page</t>
  </si>
  <si>
    <t>https://sbi-devsit1.sbicard.com/en/faq/motor-private-car-insurance-policy.page</t>
  </si>
  <si>
    <t>https://sbi-devsit1.sbicard.com/en/faq/offers-on-cards.page</t>
  </si>
  <si>
    <t>https://sbi-devsit1.sbicard.com/en/faq/payment-enquiry.page</t>
  </si>
  <si>
    <t>https://sbi-devsit1.sbicard.com/en/faq/cashback-sbi-card-faq.page</t>
  </si>
  <si>
    <t>https://sbi-devsit1.sbicard.com/en/faq/nominee-details.page</t>
  </si>
  <si>
    <t>https://sbi-devsit1.sbicard.com/en/faq/covid19-dispute-faq.page</t>
  </si>
  <si>
    <t>https://sbi-devsit1.sbicard.com/en/faq/tierstatus-faq.page</t>
  </si>
  <si>
    <t>https://sbi-devsit1.sbicard.com/en/faq/missed-call-service.page</t>
  </si>
  <si>
    <t>https://sbi-devsit1.sbicard.com/en/faq/arogya-plus.page</t>
  </si>
  <si>
    <t>https://sbi-devsit1.sbicard.com/en/faq/club-vistara-sbi-card-faq.page</t>
  </si>
  <si>
    <t>https://sbi-devsit1.sbicard.com/en/faq/update-contact-details.page</t>
  </si>
  <si>
    <t>https://sbi-devsit1.sbicard.com/en/faq/sbi-card-online-security.page</t>
  </si>
  <si>
    <t>https://sbi-devsit1.sbicard.com/en/faq/credit-balance-refund-faq.page</t>
  </si>
  <si>
    <t>https://sbi-devsit1.sbicard.com/en/faq/do-not-disturb.page</t>
  </si>
  <si>
    <t>https://sbi-devsit1.sbicard.com/en/faq/complimentary-club-vistara-membership.page</t>
  </si>
  <si>
    <t>https://sbi-devsit1.sbicard.com/en/faq/online-application.page</t>
  </si>
  <si>
    <t>https://sbi-devsit1.sbicard.com/en/faq/individual-personal-accident-policy.page</t>
  </si>
  <si>
    <t>https://sbi-devsit1.sbicard.com/en/faq/credit-limit-increase.page</t>
  </si>
  <si>
    <t>https://sbi-devsit1.sbicard.com/en/faq/kyc-faq.page</t>
  </si>
  <si>
    <t>https://sbi-devsit1.sbicard.com/en/faq/cpp.page</t>
  </si>
  <si>
    <t>https://sbi-devsit1.sbicard.com/en/faq/smart-cash.page</t>
  </si>
  <si>
    <t>https://sbi-devsit1.sbicard.com/en/faq/whatsapp-opt-in.page</t>
  </si>
  <si>
    <t>https://sbi-devsit1.sbicard.com/en/faq/transaction-status.page</t>
  </si>
  <si>
    <t>https://sbi-devsit1.sbicard.com/en/faq/utility-bill-payment.page</t>
  </si>
  <si>
    <t>https://sbi-devsit1.sbicard.com/en/faq/bt-on-emi-on-other-sbi-cards.page</t>
  </si>
  <si>
    <t>https://sbi-devsit1.sbicard.com/en/faq/complimentary-priority-pass-membership.page</t>
  </si>
  <si>
    <t>https://sbi-devsit1.sbicard.com/en/faq/reissue-replacement-of-cards.page</t>
  </si>
  <si>
    <t>https://sbi-devsit1.sbicard.com/en/faq/initiating-sbi-card-online.page</t>
  </si>
  <si>
    <t>https://sbi-devsit1.sbicard.com/en/faq/reactivation-of-account.page</t>
  </si>
  <si>
    <t>https://sbi-devsit1.sbicard.com/en/faq/mobile-app.page</t>
  </si>
  <si>
    <t>https://sbi-devsit1.sbicard.com/en/faq/health-insurance-policy.page</t>
  </si>
  <si>
    <t>https://sbi-devsit1.sbicard.com/en/faq/bt-on-other-sbi-cards.page</t>
  </si>
  <si>
    <t>https://sbi-devsit1.sbicard.com/en/faq/card-activation-dispatch.page</t>
  </si>
  <si>
    <t>https://sbi-devsit1.sbicard.com/en/faq/transferred-accounts.page</t>
  </si>
  <si>
    <t>https://sbi-devsit1.sbicard.com/en/faq/statement-billing-related.page</t>
  </si>
  <si>
    <t>https://sbi-devsit1.sbicard.com/en/faq/reward-points-redemption.page</t>
  </si>
  <si>
    <t>https://sbi-devsit1.sbicard.com/en/faq/arogya-top-up.page</t>
  </si>
  <si>
    <t>https://sbi-devsit1.sbicard.com/en/faq/pin-generation.page</t>
  </si>
  <si>
    <t>https://sbi-devsit1.sbicard.com/en/faq/simply-sms.page</t>
  </si>
  <si>
    <t>https://sbi-devsit1.sbicard.com/en/faq/federal-sbi-secured-co-brand-card-program-discontinuation.page</t>
  </si>
  <si>
    <t>https://sbi-devsit1.sbicard.com/en/faq/device-linking-mobile-app.page</t>
  </si>
  <si>
    <t>https://sbi-devsit1.sbicard.com/en/faq/authentication-declined-card-not-Identified.page</t>
  </si>
  <si>
    <t>https://sbi-devsit1.sbicard.com/en/faq/balance-outstanding-amount-due.page</t>
  </si>
  <si>
    <t>https://sbi-devsit1.sbicard.com/en/faq/card-upgrade-process.page</t>
  </si>
  <si>
    <t>https://sbi-devsit1.sbicard.com/en/faq/account-upgrade.page</t>
  </si>
  <si>
    <t>https://sbi-devsit1.sbicard.com/en/faq/fees-and-charges.page</t>
  </si>
  <si>
    <t>https://sbi-devsit1.sbicard.com/en/faq/allahabad-sbi-card-program-discontinuation.page</t>
  </si>
  <si>
    <t>https://sbi-devsit1.sbicard.com/en/faq/covid-19-regulatory-package.page</t>
  </si>
  <si>
    <t>https://sbi-devsit1.sbicard.com/en/faq/rewards-information.page</t>
  </si>
  <si>
    <t>https://sbi-devsit1.sbicard.com/en/faq/cancellation-of-bt-on-emi.page</t>
  </si>
  <si>
    <t>https://sbi-devsit1.sbicard.com/en/faq/sampoorn-cancer-suraksha.page</t>
  </si>
  <si>
    <t>https://sbi-devsit1.sbicard.com/en/faq/poorna-suraksha.page</t>
  </si>
  <si>
    <t>https://sbi-devsit1.sbicard.com/en/faq/resolution-plan-2-0.page</t>
  </si>
  <si>
    <t>https://sbi-devsit1.sbicard.com/en/faq/order-of-payment-settlement.page</t>
  </si>
  <si>
    <t>https://sbi-devsit1.sbicard.com/en/faq/complimentary-trident-privilege-membership.page</t>
  </si>
  <si>
    <t>https://sbi-devsit1.sbicard.com/en/faq/critical-illness-insurance-policy.page</t>
  </si>
  <si>
    <t>https://sbi-devsit1.sbicard.com/en/faq/interest-charges-calculation.page</t>
  </si>
  <si>
    <t>https://sbi-devsit1.sbicard.com/en/faq/travel-insurance.page</t>
  </si>
  <si>
    <t>https://sbi-devsit1.sbicard.com/en/faq/hospital-daily-cash.page</t>
  </si>
  <si>
    <t>https://sbi-devsit1.sbicard.com/en/faq/accident-shield.page</t>
  </si>
  <si>
    <t>https://sbi-devsit1.sbicard.com/en/faq/available-credit-limit.page</t>
  </si>
  <si>
    <t>https://sbi-devsit1.sbicard.com/en/faq/international-limit.page</t>
  </si>
  <si>
    <t>https://sbi-devsit1.sbicard.com/en/faq/sbi-auto-debit.page</t>
  </si>
  <si>
    <t>https://sbi-devsit1.sbicard.com/en/faq/Central-Bank-of-India-SBI-Card-Program-discontinuation.page</t>
  </si>
  <si>
    <t>https://sbi-devsit1.sbicard.com/en/faq/bom-sbi-secured-co-brand-card-program-discontinuation.page</t>
  </si>
  <si>
    <t>https://sbi-devsit1.sbicard.com/en/faq/lifeline.page</t>
  </si>
  <si>
    <t>https://sbi-devsit1.sbicard.com/en/faq/balance-transfer.page</t>
  </si>
  <si>
    <t>https://sbi-devsit1.sbicard.com/en/faq/sbi-card-online.page</t>
  </si>
  <si>
    <t>https://sbi-devsit1.sbicard.com/en/faq/personal-details-change.page</t>
  </si>
  <si>
    <t>https://sbi-devsit1.sbicard.com/en/faq/ckyc-faq.page</t>
  </si>
  <si>
    <t>https://sbi-devsit1.sbicard.com/en/faq/travel-Itinerary-faq.page</t>
  </si>
  <si>
    <t>https://sbi-devsit1.sbicard.com/en/faq/lost-stolen-reissue-replace-cards.page</t>
  </si>
  <si>
    <t>https://sbi-devsit1.sbicard.com/en/faq/transaction-usage-and-limits.page</t>
  </si>
  <si>
    <t>https://sbi-devsit1.sbicard.com/en/faq/cancellation-of-bt.page</t>
  </si>
  <si>
    <t>https://sbi-devsit1.sbicard.com/en/faq/electronic-bill-payment.page</t>
  </si>
  <si>
    <t>https://sbi-devsit1.sbicard.com/en/faq/touch-id-mobile-app.page</t>
  </si>
  <si>
    <t>https://sbi-devsit1.sbicard.com/en/tnc.page</t>
  </si>
  <si>
    <t>https://sbi-devsit1.sbicard.com/en/sitemap.page</t>
  </si>
  <si>
    <t>https://sbi-devsit1.sbicard.com/en/order-of-payment-settlement.page</t>
  </si>
  <si>
    <t>https://sbi-devsit1.sbicard.com/en/request-for-proposal.page</t>
  </si>
  <si>
    <t>https://sbi-devsit1.sbicard.com/en/credit-score.page</t>
  </si>
  <si>
    <t>https://sbi-devsit1.sbicard.com/en/personal/benefits/lower-interest-option/flexi-pay.page</t>
  </si>
  <si>
    <t>https://sbi-devsit1.sbicard.com/en/video/web-onboarding.page</t>
  </si>
  <si>
    <t>https://sbi-devsit1.sbicard.com/en/grievance-redressal-policy.page</t>
  </si>
  <si>
    <t>https://sbi-devsit1.sbicard.com/en/personal/pay.page.page</t>
  </si>
  <si>
    <t>https://sbi-devsit1.sbicard.com/en/eapply/track-credit-card-application.page</t>
  </si>
  <si>
    <t>https://sbi-devsit1.sbicard.com/en/personal/benefits/insurance-products-sbicard.page</t>
  </si>
  <si>
    <t>https://sbi-devsit1.sbicard.com/en/credit-bureau-faqs.page</t>
  </si>
  <si>
    <t>https://sbi-devsit1.sbicard.com/en/personal/digital-platform-updates.page</t>
  </si>
  <si>
    <t>https://sbi-devsit1.sbicard.com/en/personal/benefits/lower-interest-option/balance-transfer-on-emi.page</t>
  </si>
  <si>
    <t>https://sbi-devsit1.sbicard.com/en/video/product-videos.page</t>
  </si>
  <si>
    <t>https://sbi-devsit1.sbicard.com/en/personal/benefits/utility-bill-payments/top-up-and-recharge.page</t>
  </si>
  <si>
    <t>https://sbi-devsit1.sbicard.com/en/forms-central.page</t>
  </si>
  <si>
    <t>https://sbi-devsit1.sbicard.com/en/personal/digitized-membership-kits.page</t>
  </si>
  <si>
    <t>https://sbi-devsit1.sbicard.com/en/customer-notices.page</t>
  </si>
  <si>
    <t>https://sbi-devsit1.sbicard.com/en/personal/offers.page</t>
  </si>
  <si>
    <t>All individual Offer pages</t>
  </si>
  <si>
    <t>https://sbi-devsit1.sbicard.com/en/home.page</t>
  </si>
  <si>
    <t>https://sbi-devsit1.sbicard.com/en/personal/visa-offers.page</t>
  </si>
  <si>
    <t>https://sbi-devsit1.sbicard.com/en/privacy-policy.page</t>
  </si>
  <si>
    <t>https://sbi-devsit1.sbicard.com/en/do-not-disturb.page</t>
  </si>
  <si>
    <t>https://sbi-devsit1.sbicard.com/en/cardholder-agreement.page</t>
  </si>
  <si>
    <t>https://sbi-devsit1.sbicard.com/en/faq.page</t>
  </si>
  <si>
    <t>https://sbi-devsit1.sbicard.com/en/blog/home.page</t>
  </si>
  <si>
    <t>https://sbi-devsit1.sbicard.com/en/personal/pay.page</t>
  </si>
  <si>
    <t>https://sbi-devsit1.sbicard.com/en/personal/credit-cards/compare-cards.page</t>
  </si>
  <si>
    <t>https://sbi-devsit1.sbicard.com/en/disclaimer.page</t>
  </si>
  <si>
    <t>https://sbi-devsit1.sbicard.com/en/offer-terms-conditions.page</t>
  </si>
  <si>
    <t>https://sbi-devsit1.sbicard.com/en/personal/benefits/easy-access-channels/mobile-app.page</t>
  </si>
  <si>
    <t>https://sbi-devsit1.sbicard.com/en/personal/benefits/lower-interest-option/balance-transfer.page</t>
  </si>
  <si>
    <t>https://sbi-devsit1.sbicard.com/en/personal/rewards.page</t>
  </si>
  <si>
    <t>Also, all individual Rewards pages</t>
  </si>
  <si>
    <t>https://sbi-devsit1.sbicard.com/en/personal/benefits/card-upgrade.page</t>
  </si>
  <si>
    <t>https://sbi-devsit1.sbicard.com/en/personal/benefits/money-simplified/atm-cash.page</t>
  </si>
  <si>
    <t>https://sbi-devsit1.sbicard.com/en/personal/benefits/utility-bill-payments/visa-bill.page</t>
  </si>
  <si>
    <t>https://sbi-devsit1.sbicard.com/en/personal/benefits/utility-bill-payments/auto-bill-pay.page</t>
  </si>
  <si>
    <t>https://sbi-devsit1.sbicard.com/en/personal/benefits/utility-bill-payments/pay-fast.page</t>
  </si>
  <si>
    <t>https://sbi-devsit1.sbicard.com/en/personal/benefits/easy-access-channels/simply-sms.page</t>
  </si>
  <si>
    <t>https://sbi-devsit1.sbicard.com/en/personal/benefits/easy-access-channels/yono.page</t>
  </si>
  <si>
    <t>https://sbi-devsit1.sbicard.com/en/personal/benefits/easy-access-channels/missed-call-service.page</t>
  </si>
  <si>
    <t>https://sbi-devsit1.sbicard.com/en/personal/benefits/utility-bill-payments/recurring-e-mandates.page</t>
  </si>
  <si>
    <t>https://sbi-devsit1.sbicard.com/en/personal/benefits/utility-bill-payments/register-and-pay.page</t>
  </si>
  <si>
    <t>https://sbi-devsit1.sbicard.com/en/personal/benefits/easy-access-channels/chatbot.page</t>
  </si>
  <si>
    <t>https://sbi-devsit1.sbicard.com/en/personal/benefits/easy-access-channels/website.page</t>
  </si>
  <si>
    <t>https://sbi-devsit1.sbicard.com/en/personal/benefits/easy-access-channels/whatsapp.page</t>
  </si>
  <si>
    <t>https://sbi-devsit1.sbicard.com/en/personal/benefits/easy-access-channels/digital-platforms.page</t>
  </si>
  <si>
    <t>https://sbi-devsit1.sbicard.com/en/webform/write-to-us.page</t>
  </si>
  <si>
    <t>https://sbi-devsit1.sbicard.com/en/contact-us/corporate.page</t>
  </si>
  <si>
    <t>https://sbi-devsit1.sbicard.com/en/webform/escalate-login.page</t>
  </si>
  <si>
    <t>https://sbi-devsit1.sbicard.com/en/video/demovideo.page</t>
  </si>
  <si>
    <t>https://sbi-devsit1.sbicard.com/en/blog/detail.page</t>
  </si>
  <si>
    <t>https://sbi-devsit1.sbicard.com/en/personal/benefits/digital-payments/sbi-card-pay.page</t>
  </si>
  <si>
    <t>https://sbi-devsit1.sbicard.com/en/personal/offers/offer-detail.page</t>
  </si>
  <si>
    <t>https://sbi-devsit1.sbicard.com/en/personal/benefits/digital-payments/contactless-sbi-card.page</t>
  </si>
  <si>
    <t>https://sbi-devsit1.sbicard.com/en/personal/benefits/digital-payments/bharat-qr-pay.page</t>
  </si>
  <si>
    <t>https://sbi-devsit1.sbicard.com/en/personal/rewards/reward-detail.page</t>
  </si>
  <si>
    <t>https://sbi-devsit1.sbicard.com/en/personal/linking-of-pan-with-aadhaar.page</t>
  </si>
  <si>
    <t>https://sbi-devsit1.sbicard.com/en/unclaimed-credit-balance.page</t>
  </si>
  <si>
    <t>https://sbi-devsit1.sbicard.com/en/personal/rewards/reward-reward-detail.page</t>
  </si>
  <si>
    <t>https://sbi-devsit1.sbicard.com/en/merchant-e-mandate-list.page</t>
  </si>
  <si>
    <t>https://sbi-devsit1.sbicard.com/en/calculator/irctc/irctc-calculator.page</t>
  </si>
  <si>
    <t>https://sbi-devsit1.sbicard.com/en/address-change-kyc.page</t>
  </si>
  <si>
    <t>https://sbi-devsit1.sbicard.com/en/resolution-framework-2-0-policy.page</t>
  </si>
  <si>
    <t>https://sbi-devsit1.sbicard.com/en/kyc-renewal.page</t>
  </si>
  <si>
    <t>Card Face</t>
  </si>
  <si>
    <t>Privileges</t>
  </si>
  <si>
    <t>Font Size</t>
  </si>
  <si>
    <t>SBI Team Remark</t>
  </si>
  <si>
    <t>Status</t>
  </si>
  <si>
    <t>Last Tested on</t>
  </si>
  <si>
    <t>Front</t>
  </si>
  <si>
    <t>Reward Benefit</t>
  </si>
  <si>
    <t>Large</t>
  </si>
  <si>
    <t> </t>
  </si>
  <si>
    <t>Milestone Benefits</t>
  </si>
  <si>
    <t>Default</t>
  </si>
  <si>
    <t>Back</t>
  </si>
  <si>
    <t>Reward Benefits, Milestone Benefits</t>
  </si>
  <si>
    <t>In reward benefit, we change the order of the points second point we will shift it to 3rd and 3rd to second</t>
  </si>
  <si>
    <t>Unresolved</t>
  </si>
  <si>
    <t>22/02/2026</t>
  </si>
  <si>
    <t>22/02/2026 - We cannot change the order of the bullet points</t>
  </si>
  <si>
    <t>fuelcharge and welcome benefit also create problem I fixed it</t>
  </si>
  <si>
    <t>Reward Benefits</t>
  </si>
  <si>
    <t>Landmark Rewards SBI Card Prime</t>
  </si>
  <si>
    <t>Doctor's SBI Card</t>
  </si>
  <si>
    <t>Reward Points</t>
  </si>
  <si>
    <t>BPCL SBI Card OCTANE</t>
  </si>
  <si>
    <t>Reward Benefits, Fuel Surcharge Waiver</t>
  </si>
  <si>
    <t>welcome benefit also create issue , I fixed it</t>
  </si>
  <si>
    <t>Shuffle the points 3-1st, 2nd- 2ndrd, 1st -3rd</t>
  </si>
  <si>
    <t>Domestic Lounge Benefits</t>
  </si>
  <si>
    <t>Complimentary Priority Pass Membership</t>
  </si>
  <si>
    <t>content need to be customized</t>
  </si>
  <si>
    <t>12/03/2026 - As discussed with Namita ma'am, thecontent of the bullet point at the back of this card should be updated to - "Standard membership of Priority Pass Program is complimentary for 24 months. Usage fee of $27 + applicable taxes will be charged on your Credit Card for visit to the Priority Pass Membership Lounge"</t>
  </si>
  <si>
    <t>Welcome Benefits</t>
  </si>
  <si>
    <t>13/03/2026</t>
  </si>
  <si>
    <t>13/03/2026 - The issue is resolved on sbi-pvt - https://loom.com/i/a30776291da44dc4b3dc870eb1735cd3</t>
  </si>
  <si>
    <t>Comprehensive car cover was also has some issue , fixed it</t>
  </si>
  <si>
    <t>Travel Offers from IRCTC</t>
  </si>
  <si>
    <t>Small</t>
  </si>
  <si>
    <t>Content is not same aslo change every tiles not just two</t>
  </si>
  <si>
    <t>IRCTC SBI Premier</t>
  </si>
  <si>
    <t>Value Back Benefits</t>
  </si>
  <si>
    <t>fuel surcharge waiver was also creating issue, I fixed it</t>
  </si>
  <si>
    <t>KrisFlyer SBI Card APEX</t>
  </si>
  <si>
    <t>welcome, lounge and fuewlcharge also corrected
Also, made 1st point to 3rd in milestone</t>
  </si>
  <si>
    <t>TATA NEU INFINITY SBI CARD</t>
  </si>
  <si>
    <t>PhonePe SBI Card PURPLE</t>
  </si>
  <si>
    <t>PhonePe Rewards</t>
  </si>
  <si>
    <t>No Accessibility Bar</t>
  </si>
  <si>
    <t>INDIGO SBI CARD ELITE</t>
  </si>
  <si>
    <t>welcome, renewal, domestic and insurance also corrected</t>
  </si>
  <si>
    <t>Fuel Surcharge Waiver</t>
  </si>
  <si>
    <t>PHONEPE SBI CARD SELECT BLACK</t>
  </si>
  <si>
    <t>Paytm SBI Card</t>
  </si>
  <si>
    <t>Smart Card Control</t>
  </si>
  <si>
    <t>cashback also creating issue , fixed it</t>
  </si>
  <si>
    <t>Prime Rewards</t>
  </si>
  <si>
    <t>lounge  was also creating issue, I fixed it</t>
  </si>
  <si>
    <t>SBI CARD MILES</t>
  </si>
  <si>
    <t>Miles Rewards</t>
  </si>
  <si>
    <t>International Travel Privileges</t>
  </si>
  <si>
    <t>Tata Neu SBI Card Plus</t>
  </si>
  <si>
    <t>11/03/2026 - The issue is still not resolved in default font size - https://www.loom.com/i/c18c31d410dd4c17878a840679d01f08</t>
  </si>
  <si>
    <t>Lounge Benefits</t>
  </si>
  <si>
    <t>Landmard Rewards SBI Card</t>
  </si>
  <si>
    <t>Intenational Lounge Program</t>
  </si>
  <si>
    <t>Domestic Lounge Program</t>
  </si>
  <si>
    <t>Renewal Benefits</t>
  </si>
  <si>
    <t>International Lounge Benefits</t>
  </si>
  <si>
    <t>SBI Card Miles ELITE</t>
  </si>
  <si>
    <t>Insurance Cover</t>
  </si>
  <si>
    <t>INDIGO SBI CARD</t>
  </si>
  <si>
    <t>Reliance SBI Card PRIME</t>
  </si>
  <si>
    <t>Welcome Gift</t>
  </si>
  <si>
    <t>Complementary Movie Ticket</t>
  </si>
  <si>
    <t>International Lounge Program</t>
  </si>
  <si>
    <t>ITC Silver Tier Membership</t>
  </si>
  <si>
    <t>Elite Rewards</t>
  </si>
  <si>
    <t>Health Benefits</t>
  </si>
  <si>
    <t>Exclusive Rewards</t>
  </si>
  <si>
    <t>Comprehensive Insurance Cover</t>
  </si>
  <si>
    <t>Card Cashback</t>
  </si>
  <si>
    <t>Docter's SBI Card (In Association with IMA)</t>
  </si>
  <si>
    <t>IRCTC SBI Card Premier</t>
  </si>
  <si>
    <t>KrisFlyer SBI Card</t>
  </si>
  <si>
    <t>Shaurya SBI Card Select</t>
  </si>
  <si>
    <t>11/03/2026 - The issue is still not resolved in default font size - https://www.loom.com/i/9b66ec5454534568baec5bb50a696a1a</t>
  </si>
  <si>
    <t xml:space="preserve">Additional Benefits </t>
  </si>
  <si>
    <t>Welcome Gifts</t>
  </si>
  <si>
    <t>SimplySAVE SBI Card</t>
  </si>
  <si>
    <t xml:space="preserve">Reward Benefits </t>
  </si>
  <si>
    <t>SimplyCLICK SBI Card</t>
  </si>
  <si>
    <t>E-Shopping Rewards</t>
  </si>
  <si>
    <t>Card Names</t>
  </si>
  <si>
    <t>Video Titles</t>
  </si>
  <si>
    <t>Expected Product Video URLs</t>
  </si>
  <si>
    <t>Actual Product Video URLs</t>
  </si>
  <si>
    <t>Video URLs</t>
  </si>
  <si>
    <t>Video Thumbnails</t>
  </si>
  <si>
    <t>SBI Card ELITE</t>
  </si>
  <si>
    <t>1.) SBI Card Elite Features &amp; Benefits
2.) Unwind in Luxury | SBI Card ELITE
3.) Live a rewarding life with SBI Card ELITE
4.) Comfort and Class in Travel Always | SBI Card ELITE
5.) Elevate your flying experience | SBI Card ELITE
6.) SBI Card Elite | Credit Card Benefits &amp; Rewards | Premium Reward Card</t>
  </si>
  <si>
    <t>1.) https://www.youtube.com/watch?v=SxuFU7C5Lxo	
2.) https://www.youtube.com/watch?v=7gBHGP99YpU	
3.) https://www.youtube.com/watch?v=e5mDpMcXMQs	
4.) https://www.youtube.com/watch?v=KKDq1jPKqWM	
5.) https://www.youtube.com/watch?v=QGXYDpw45mc	
6.) https://www.youtube.com/watch?v=o30QyC6tuiY</t>
  </si>
  <si>
    <t>1.) https://www.youtube.com/watch?v=SxuFU7C5Lxo
2.) https://www.youtube.com/watch?v=7gBHGP99YpU
3) https://www.youtube.com/watch?v=e5mDpMcXMQs
4.) https://www.youtube.com/watch?v=KKDq1jPKqWM
5.) https://www.youtube.com/watch?v=QGXYDpw45mc
6.) https://www.youtube.com/watch?v=o30QyC6tuiY</t>
  </si>
  <si>
    <t>Pass</t>
  </si>
  <si>
    <t>Fail</t>
  </si>
  <si>
    <t>13/03/2026 - The 4th video thumbnail is breaking the alignemnt - 
10/03/2026 - 4th Video still has dummy thumbnail because it was not provided in the thumbnail file shared.</t>
  </si>
  <si>
    <t>SBI Card PULSE</t>
  </si>
  <si>
    <t>1.) Move towards a Fitter You | SBI Card PULSE</t>
  </si>
  <si>
    <t>1.) https://www.youtube.com/watch?v=VlUwJtMObJM</t>
  </si>
  <si>
    <t>1.) Welcome Benefit - TATA Neu Infinity SBI Credit Card
2.) Introducing the Tata Neu Infinity SBI Credit Card
3.) Introducing the Tata Neu Infinity SBI Credit Card</t>
  </si>
  <si>
    <t>1.) https://www.youtube.com/shorts/9W-yd2nKbIY	
2.) https://www.youtube.com/shorts/NFFdaffkdy8	
3.) https://www.youtube.com/shorts/NFFdaffkdy8</t>
  </si>
  <si>
    <t>1.) https://www.youtube.com/shorts/9W-yd2nKbIY
2.) https://www.youtube.com/shorts/NFFdaffkdy8
3.) https://www.youtube.com/shorts/NFFdaffkdy8</t>
  </si>
  <si>
    <t>17/03/2026 - The issue is now resolved - https://loom.com/i/aa7316864f084b18ab60190a9d619e2f
16/03/2026 - Thumbnails not yet added.</t>
  </si>
  <si>
    <t>No Videos Provided</t>
  </si>
  <si>
    <t>No URLs Provided</t>
  </si>
  <si>
    <t>Doctor's SBI Card (in association with IMA)</t>
  </si>
  <si>
    <t>1.) Doctor's SBI Card | Credit Card Benefits &amp; Rewards | SBI Doctors Credit Card
2.) Doctor's SBI Card | Credit Card Benefits &amp; Rewards | SBI Card</t>
  </si>
  <si>
    <t>1.) https://www.youtube.com/watch?v=8x2fWFLDk2k	
2.) https://www.youtube.com/watch?v=FoZaQr9zHSY</t>
  </si>
  <si>
    <t>1.) https://www.youtube.com/watch?v=8x2fWFLDk2k
2.) https://www.youtube.com/watch?v=FoZaQr9zHSY</t>
  </si>
  <si>
    <t>1.) Doctor's SBI Card | Credit Card Benefits &amp; Rewards | SBI Card
2.) Doctor's SBI Card | Credit Card Benefits &amp; Rewards | SBI Doctors Credit Card</t>
  </si>
  <si>
    <t>1.) https://www.youtube.com/watch?v=FoZaQr9zHSY	
2.) https://www.youtube.com/watch?v=8x2fWFLDk2k</t>
  </si>
  <si>
    <t>1.) https://www.youtube.com/watch?v=FoZaQr9zHSY
2.) https://www.youtube.com/watch?v=8x2fWFLDk2k</t>
  </si>
  <si>
    <t>16/03/2026 - The 2nd video now has the thumbnail - https://loom.com/i/311c6cc84ff140c3a7e700314110826b
11/03/2026 - The 2nd Video still has dummy thumbnail - https://www.loom.com/i/eb436efa965e4c6888a21ca8dae571bf</t>
  </si>
  <si>
    <t>Aurum Card</t>
  </si>
  <si>
    <t>1.) Flipkart SBI Card is here!
2.) Flipkart SBI Card is here!
3.) Earn 5% Cashback* on your bookings at Cleartrip with Flipkart SBI Credit Card
4.) Shop your favourite styles on Myntra</t>
  </si>
  <si>
    <t>1.) https://www.youtube.com/watch?v=0oO5Uyk7B_I	
2.) https://www.youtube.com/shorts/j5_DXAYfPic	
3.) https://www.youtube.com/shorts/54MnmbjGibA	
4.) https://www.youtube.com/shorts/5rK7lnm0qSw</t>
  </si>
  <si>
    <t>1.) https://www.youtube.com/watch?v=0oO5Uyk7B_I
2.) https://www.youtube.com/shorts/j5_DXAYfPic
3.) https://www.youtube.com/shorts/54MnmbjGibA
4.) https://www.youtube.com/shorts/5rK7lnm0qSw</t>
  </si>
  <si>
    <t>16/03/2026 - The issue is resolved - https://loom.com/i/049a955950844128a2639c2602034b31
10/03/2026 - 3rd Video Title, the asterisk (*) is missing after the word "Cashback" it should be " Earn 5% Cashback* on your bookings" - https://www.loom.com/i/9bf4efb5917c48c9b979be59b143c672</t>
  </si>
  <si>
    <t>CASHBACK SBI Card</t>
  </si>
  <si>
    <t>1.) #CashbackHarBaar with CASHBACK SBI Card</t>
  </si>
  <si>
    <t>1.) https://www.youtube.com/watch?v=84yhgRGvJ2c</t>
  </si>
  <si>
    <t>10/03/2026 - The # was exclude because it was not looking appropriate.</t>
  </si>
  <si>
    <t>SBI Card PRIME</t>
  </si>
  <si>
    <t>1.) Live the PRIME Life | SBI Card PRIME
2.) Celebrate milestones with SBI Card PRIME
3.) Make every birthday special | SBI Card PRIME
4.) Live the PRIME Life | SBI Card PRIME
5.) SBI Card PRIME | Credit Card Benefits &amp; Rewards | SBI Reward Card</t>
  </si>
  <si>
    <t>1.) https://www.youtube.com/watch?v=5EYmJfjFlUk
2.) https://www.youtube.com/watch?v=jw_Xvdki6vg
3.) https://www.youtube.com/watch?v=9gmlocZ5sF4
4.) https://www.youtube.com/watch?v=u5y_ktXNh_0
5.) https://www.youtube.com/watch?v=FKiazBp1GhQ</t>
  </si>
  <si>
    <t>PhonePe SBI Card SELECT BLACK</t>
  </si>
  <si>
    <t>1.) Introducing the PhonePe SBI Card
2.) Enjoy up to 10% Value Back as Reward Points on PhonePe spends
3.) Introducing the PhonePe SBI Card SELECT BLACK</t>
  </si>
  <si>
    <t>1.) https://www.youtube.com/watch?v=LxXQmOqU5o4
2.) https://www.youtube.com/shorts/TqMJs7LPtyQ
3.) https://www.youtube.com/shorts/766bJ87bxU4</t>
  </si>
  <si>
    <t>16/03/2026 - Issue resolved on sbi-pvt - https://loom.com/i/1a329d9ca4d1421093e35d0d157776c6
11/03/2026 - 2nd Video Title --&gt; It should be "Enjoy up to 10%" instead of "Enjoy upto 10%".</t>
  </si>
  <si>
    <t>1.) Introducing the PhonePe SBI Card</t>
  </si>
  <si>
    <t>1.) https:/www.youtube.com/watch?v=LxXQmOqU5o4</t>
  </si>
  <si>
    <t>1.) https://www.youtube.com/watch?v=LxXQmOqU5o4</t>
  </si>
  <si>
    <t>16/03/2026 - Thumbnail uploaded - https://loom.com/i/cc4aba6ab66743e1b83a330df755ee40</t>
  </si>
  <si>
    <t>Apollo SBI Card SELECT</t>
  </si>
  <si>
    <t>1.) Apollo SBI Card SELECT - up to 25% Value Back
2.) Apollo SBI Card SELECT - Welcome Benefit
3.) Apollo SBI Card SELECT is here!</t>
  </si>
  <si>
    <t>1.)https://www.youtube.com/shorts/_qFyxMC_NJ4
2.)https://www.youtube.com/shorts/SC4fDNM7c7U
3.) https://www.youtube.com/shorts/R3NKC2IA7Bw</t>
  </si>
  <si>
    <t>1.) https://www.youtube.com/shorts/_qFyxMC_NJ4
2.) https://www.youtube.com/shorts/SC4fDNM7c7U
3.) https://www.youtube.com/shorts/R3NKC2IA7Bw</t>
  </si>
  <si>
    <t>16/03/2026 - Thumbnail uploaded - https://loom.com/i/956063a325644803a924653c2cb2d91d</t>
  </si>
  <si>
    <t>1.) Apollo SBI Credit Card - Discover a world of health, Official Launch Event of Apollo SBI Card</t>
  </si>
  <si>
    <t>1.) https:/www.youtube.com/watch?v=SmLKhe04oiA</t>
  </si>
  <si>
    <t>1.) https://www.youtube.com/watch?v=SmLKhe04oiA</t>
  </si>
  <si>
    <t>16/03/2026 - Thumbnial uploaded - https://loom.com/i/2d629360633d403a91de0800804d2780</t>
  </si>
  <si>
    <t>Paytm SBI Card SELECT</t>
  </si>
  <si>
    <t>1.) Make your Paytm spends rewarding with the Paytm SBI Card Select
2.) Make your Paytm spends rewarding with the Paytm SBI Card SELECT</t>
  </si>
  <si>
    <t>1.) https://www.youtube.com/watch?v=a_4Bgh0WlZs
2.) https://www.youtube.com/watch?v=p6lzw95Sm1k</t>
  </si>
  <si>
    <t>16/03/2026 - The 1st video thumbnail is breaking the alignment - https://www.loom.com/i/b6832df5e60b4a6285960d12f4748f7a
Also, the capitalizations in the card name should be "Paytm SBI Card SELECT" in both the video titles.</t>
  </si>
  <si>
    <t>1.) Make your Paytm spends rewarding with the Paytm SBI Card</t>
  </si>
  <si>
    <t>1.) https:/www.youtube.com/watch?v=cSntakowRMQ</t>
  </si>
  <si>
    <t>1.) https://www.youtube.com/watch?v=cSntakowRMQ</t>
  </si>
  <si>
    <t>16/03/2026 - Thumbnail uploaded - https://loom.com/i/06ce81c1075848adb00f500bf1e338ae</t>
  </si>
  <si>
    <t>Tata Card SELECT</t>
  </si>
  <si>
    <t>Tata Card</t>
  </si>
  <si>
    <t>1.) Simply CLICK for online shopping | SBI Card
2.) 10X Reward Points With SimplyCLICK SBI Card
3.) The Many Rewards of the SimplyCLICK SBI Card
4.) SimplyCLICK SBI Card: Your perfect online shopping partner
5.) SimplyClick SBI Card - A Credit Card for the Generation that Shops Online
6.) SBI SimplyCLICK Credit Card | Benefits &amp; Rewards | Shopping Card</t>
  </si>
  <si>
    <t>1.) https://www.youtube.com/watch?v=tvBOlhfBK-4
2.) https://www.youtube.com/watch?v=bGOgP94NMvk	
3.) https://www.youtube.com/watch?v=wesp58Mc9YA	
4.) https://www.youtube.com/watch?v=BAPzyCp1J4M
5.) https://www.youtube.com/watch?v=496VxdV3mDM
6.) https://www.youtube.com/watch?v=J9XLdHfKagE</t>
  </si>
  <si>
    <t>1.) https://www.youtube.com/watch?v=tvBOlhfBK-4
2.) https://www.youtube.com/watch?v=bGOgP94NMvk
3.) https://www.youtube.com/watch?v=wesp58Mc9YA
4.) https://www.youtube.com/watch?v=BAPzyCp1J4M
5.) https://www.youtube.com/watch?v=496VxdV3mDM
6.) https://www.youtube.com/watch?v=J9XLdHfKagE</t>
  </si>
  <si>
    <t>16/03/2026 - 4 videos still have dummy thumbnails - https://www.loom.com/i/172711acfe964033a1fd2b83c34ffa29</t>
  </si>
  <si>
    <t>1.) SimplySAVE SBI Credit Card | Shopping Credit Card Benefits &amp; Rewards
2.) SimplySAVE SBI Card is simply better!
3.) More savings, more Rewards | SimplySAVE SBI Card
4.) Make your spends rewarding with SimplySAVE SBI Card
5.) SimplySAVE SBI Credit Card | Shopping Credit Card Benefits &amp; Rewards
6.) SimplySAVE SBI Card | Shopping Credit Card Benefits &amp; Rewards</t>
  </si>
  <si>
    <t>1.) https://www.youtube.com/watch?v=XTwASXOCJWY
2.) https://www.youtube.com/watch?v=MU3gDxkS-K4
3.) https://www.youtube.com/watch?v=VViQI-Pmu1s
4.) https://www.youtube.com/watch?v=hT_VF9fYMiU
5.) https://www.youtube.com/watch?v=vozHBbdKVAQ
6.) https://www.youtube.com/watch?v=QEJHAk_iyuc</t>
  </si>
  <si>
    <t>16/03/2026 - Thumbnails uploaded - https://loom.com/i/df8240d597a44fefad30335a83e89434</t>
  </si>
  <si>
    <t>Landmark Rewards SBI Card PRIME</t>
  </si>
  <si>
    <t>1.) Landmark Rewards SBI Card PRIME</t>
  </si>
  <si>
    <t>1.) https:/www.youtube.com/shorts/2Mo71jNeo9s</t>
  </si>
  <si>
    <t>1.) https://www.youtube.com/shorts/2Mo71jNeo9s</t>
  </si>
  <si>
    <t>16/03/2026 - Thumbnail uploaded - https://loom.com/i/6ee05e35662c483dba21da8fb3a91b50</t>
  </si>
  <si>
    <t>Landmark Rewards SBI Card SELECT</t>
  </si>
  <si>
    <t>1.) Introducing the TITAN SBI Card
2.) Get ready to receive a warm welcome and even more rewards!
3.) Get up to 7.5% Cashback* by shopping at Titan stores with Titan SBI Card.</t>
  </si>
  <si>
    <t>1.) https://www.youtube.com/shorts/lyOux3jo84U
2.) https://www.youtube.com/shorts/0CnmQQZyVsU
3.) https://www.youtube.com/shorts/pmpogAWTGjQ</t>
  </si>
  <si>
    <t>17/03/2026 - The issue is now resolved - https://loom.com/i/73afe3d9056e45d78cc7d9f42f724b09
16/03/2026 - 2nd Video is still having a dummy thumbnail - https://www.loom.com/i/c5c4cf8e7d5f40089f477cfd9362a7ec</t>
  </si>
  <si>
    <t>IndiGo SBI Card</t>
  </si>
  <si>
    <t>1.) Unlock Every Benefit with the IndiGo SBI Card ELITE</t>
  </si>
  <si>
    <t>1.) https:/www.youtube.com/shorts/EYSkhcM1HQ4</t>
  </si>
  <si>
    <t>1.) https://www.youtube.com/shorts/EYSkhcM1HQ4</t>
  </si>
  <si>
    <t>16/03/2026 - Thumbnail uploaded - https://loom.com/i/a86b8e71720a415298fd217660dbe2c6</t>
  </si>
  <si>
    <t>IndiGo SBI Card ELITE</t>
  </si>
  <si>
    <t>1.) Start every journey on an ELITE note with IndiGo SBI Card ELITE
2.) Unlock Every Benefit with the IndiGo SBI Card ELITE</t>
  </si>
  <si>
    <t>1.) https://www.youtube.com/shorts/D5mtu2yXbUM
2.) https://www.youtube.com/shorts/EYSkhcM1HQ4</t>
  </si>
  <si>
    <t>16/03/2026 - Thumbnail uploaded - https://loom.com/i/6be27063ca794c8fa8fe704e3c485f8c</t>
  </si>
  <si>
    <t>KrisFlyer SBI Card Apex</t>
  </si>
  <si>
    <t>1.) KrisFlyer SBI Card APEX - 8 domestic &amp; 8 international complimentary lounge visits per year
2.) KrisFlyer SBI Card Apex - 10,000 KrisFlyer miles on an annual spend of ₹5 Lakhs
3.) Krisflyer SBI Card APEX - 10 Miles on Rs.200
4.) Krisflyer SBI Card APEX - Welcome Benefit
5.) KrisFlyer SBI Card APEX is now live!</t>
  </si>
  <si>
    <t>1.) https://www.youtube.com/shorts/EM3xH2WZhP4
2.) https://www.youtube.com/shorts/H7rTWOLLpCw
3.) https://www.youtube.com/shorts/9RaZBCtviOE
4.) https://www.youtube.com/shorts/djWK01XEz4s
5.) https://www.youtube.com/shorts/DKvUixvzV-I</t>
  </si>
  <si>
    <t>16/03/2026 - 3rd Video thumbnail still pending (from HTML Team) - https://loom.com/i/4f5aa20f9a914880835ad45ea74482eb</t>
  </si>
  <si>
    <t>SBI Card MILES PRIME</t>
  </si>
  <si>
    <t>SBI Card MILES</t>
  </si>
  <si>
    <t>1.) SBI Card Miles is here
2.) SBI Card Miles
3.) SBI Card Miles</t>
  </si>
  <si>
    <t>1.) https://www.youtube.com/shorts/dqC5RDPPS2Y
2.) https://www.youtube.com/shorts/E8cowsJswJQ
3.) https://www.youtube.com/shorts/HOz2q_T9Grg</t>
  </si>
  <si>
    <t>16/03/2026 - The Title &amp; Thumbnail issues are resolved - https://loom.com/i/ce40c741ac3b4569a0efb26935f955bb
11/03/2026 - The Video Titles for all are "SBI Miles" instead of - 
1.) SBI Card Miles is here
2.) SBI Card Miles
3.) SBI Card Miles</t>
  </si>
  <si>
    <t>1.) BPCL SBI Card Octane | Credit Card Benefits &amp; Rewards | SBI Fuel Credit Card</t>
  </si>
  <si>
    <t>1.) https:/www.youtube.com/watch?v=_pdIp-w70SE</t>
  </si>
  <si>
    <t>1.) https://www.youtube.com/watch?v=_pdIp-w70SE</t>
  </si>
  <si>
    <t>16/03/2026 - Thumbnail uploaded - https://loom.com/i/8f9d77d0bcb240ccaf04afffefc094f7</t>
  </si>
  <si>
    <t>1.) IRCTC SBI Card Premier | Credit Card Features, Benefits and Rewards</t>
  </si>
  <si>
    <t>1.) https:/www.youtube.com/watch?v=jKtSjf34duQ</t>
  </si>
  <si>
    <t>1.) https://www.youtube.com/watch?v=jKtSjf34duQ</t>
  </si>
  <si>
    <t>16/03/2026 - Thumbnail uploaded - https://loom.com/i/db2f43400c4444388176b4216e4ff884</t>
  </si>
  <si>
    <t>1.) Etihad Guest SBI Card | Credit Card Benefits &amp; Rewards | Travel Card</t>
  </si>
  <si>
    <t>1.) https:/www.youtube.com/watch?v=99yrQ0ox_5Q</t>
  </si>
  <si>
    <t>1.) https://www.youtube.com/watch?v=99yrQ0ox_5Q</t>
  </si>
  <si>
    <t>16/03/2026 - Thumbnail uploaded - https://loom.com/i/96bc8acf7d8a478892a07e3a86aa83e2</t>
  </si>
  <si>
    <t>1.) BPCL SBI Card | Credit Card Benefits &amp; Rewards | SBI Fuel Card</t>
  </si>
  <si>
    <t>1.) https:/www.youtube.com/watch?v=PecZCFrw6pE</t>
  </si>
  <si>
    <t>1.) https://www.youtube.com/watch?v=PecZCFrw6pE</t>
  </si>
  <si>
    <t>16/03/2026 - Thumbnail uploaded - https://loom.com/i/f6d5512d08064c34ba6aa5af6ac852c0</t>
  </si>
  <si>
    <t>1.) Explore the world | IRCTC SBI Card</t>
  </si>
  <si>
    <t>1.) https:/www.youtube.com/watch?v=PdMrY0ccm7Y</t>
  </si>
  <si>
    <t>1.) https://www.youtube.com/watch?v=PdMrY0ccm7Y</t>
  </si>
  <si>
    <t>16/03/2026 - The thumbnail is uploaded - https://loom.com/i/2dd6cf4575834847b3155660dbc8f5ec
16/03/2026 - Thumbnails sent in the file but not yet uploaded</t>
  </si>
  <si>
    <t>Club Vistara SBI Card PRIME</t>
  </si>
  <si>
    <t>1.) Club Vistara SBI Card PRIME - Credit Card Features, Benefits &amp; Rewards
2.) Flying in Luxury | Club Vistara SBI Card PRIME</t>
  </si>
  <si>
    <t>1.) https://www.youtube.com/watch?v=KP8UIBvnidA
2.) https://youtu.be/y6btgRFmkB4</t>
  </si>
  <si>
    <t>16/03/2026 - The thumbnails are uploaded - https://loom.com/i/b283e89a3a654a4da15fbf9025b3dca6
16/03/2026 - Thumbnails sent in the file but not yet uploaded</t>
  </si>
  <si>
    <t>Card Name</t>
  </si>
  <si>
    <t>Exclusive Privileges</t>
  </si>
  <si>
    <t>Privilege Heading</t>
  </si>
  <si>
    <t>Correct Icon</t>
  </si>
  <si>
    <t>Correct Format - SVG</t>
  </si>
  <si>
    <t>Last Tested On</t>
  </si>
  <si>
    <t>Welcome Gift
Reward Benefits
Domestic Lounge Benefits
Fuel Surcharge Waiver
Spend Based Reversal</t>
  </si>
  <si>
    <t>Welcome Gift 
Complimentary Movie Tickets
Milestone Privileges
ELITE Rewards
International Lounge Program
Domestic Lounge Program
Lowest Forex Markup
ITC Silver Tier Membership
Exclusive Concierge Service</t>
  </si>
  <si>
    <t>13/3/2026</t>
  </si>
  <si>
    <t>13/03/2026 - The ITC Silver Tier Membership svg has been updated on sbi-pvt</t>
  </si>
  <si>
    <t>Card Cashback
Hassle free
Spend Based Reversal
Fuel Surcharge Waiver</t>
  </si>
  <si>
    <t xml:space="preserve">Welcome Gift
Health Benefits
Exclusive Rewards 
Milestone Benefits
Comprehensive Insurance Cover
Lounge Benefits </t>
  </si>
  <si>
    <t>Welcome Benefit
Reward Benefits 
Milestone Benefits
Lounge Benefit
Fuel Surcharge Waiver</t>
  </si>
  <si>
    <t>Welcome Benefits
Health Benefits
Reward Points
Milestone Benefits
Lounge Benefits
Fuel Surcharge Waiver</t>
  </si>
  <si>
    <t>Welcome Benefit 
Card Cashback 
Spend Based Reversal
Fuel Surcharge Waiver</t>
  </si>
  <si>
    <t>Welcome Benefits
Milestone Benefits
Reward Benefits
Fuel Surcharge Waiver</t>
  </si>
  <si>
    <t>Welcome Benefits
Milestone Benefits
Reward Benefits
Domestic Lounge Program
Complimentary Lounge Program
Complimentary Priority Pass  Membership
Fuel Surcharge Waiver</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</si>
  <si>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Benfits
</t>
    </r>
    <r>
      <rPr>
        <rFont val="Aptos Narrow"/>
        <color rgb="FFFFC000"/>
        <sz val="11.0"/>
      </rPr>
      <t xml:space="preserve">Spend-Based Fee Reversal
</t>
    </r>
    <r>
      <rPr>
        <rFont val="Aptos Narrow"/>
        <color rgb="FF0070C0"/>
        <sz val="11.0"/>
      </rPr>
      <t>Insurance
Lounge Benefit
Fuel Surcharge Waiver</t>
    </r>
  </si>
  <si>
    <t>13/03/2026 - The renewal benefits icons is now other benefits icon - https://loom.com/i/5fa12e73844e460c9f29f23b2580fc57</t>
  </si>
  <si>
    <t>Professional Indemnity Insurance 
Welcome Gift
Reward Points
Milestone Benefits
International Lounge Program 
Domestic Lounge Program 
Fuel Surcharge Waiver</t>
  </si>
  <si>
    <t>13/03/2026 - Professional Indemnity Insurance icon format is now svg</t>
  </si>
  <si>
    <t>Welcome Benefits
Value Back Benefits
Reward Benefits
Fuel Surcharge Waiver
Other Benefits</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</si>
  <si>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Benefits
</t>
    </r>
    <r>
      <rPr>
        <rFont val="Aptos Narrow"/>
        <color rgb="FFFFC000"/>
        <sz val="11.0"/>
      </rPr>
      <t xml:space="preserve">Spend-Based Fee Reversal
</t>
    </r>
    <r>
      <rPr>
        <rFont val="Aptos Narrow"/>
        <color rgb="FF0070C0"/>
        <sz val="11.0"/>
      </rPr>
      <t>Insurance
International Lounge Benefits
Domestic Lounge Benefits
Fuel Surcharge Waiver</t>
    </r>
  </si>
  <si>
    <t>13/03/2026 - The renewal benefits icons is now other benefits icon - https://loom.com/i/9989e3e8db674b35aeeebe34cbd02074</t>
  </si>
  <si>
    <t xml:space="preserve">Indian Medical Association 
Professional Indemnity Insurance 
Welcome Gift 
Reward Points 
Milestone Benefits
International Lounge Program 
Domestic Lounge Program
Fuel Surcharge Waiver </t>
  </si>
  <si>
    <t>17/03/2026</t>
  </si>
  <si>
    <t>17/03/2026 - The issue has been resolved on sbifo-pvt - https://loom.com/i/5cdf10232c634648a6f578008c751524
13/03/2026 - The Indian Medical Association icon is still in png format instead of svg - https://loom.com/i/7d5ca397c5d04b26a6b4b11b7e04fc13</t>
  </si>
  <si>
    <t>Welcome Benefits
Value Back Benefits
Reward Benefits
Milestone Benefits
Lounge Benefit
Fuel Surcharge Waiver
Other Benefits</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</si>
  <si>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</si>
  <si>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https://loom.com/i/533667050e05453eba3b82e9956fb5db</t>
  </si>
  <si>
    <t>Welcome Benefits
Reward Benefits
Spend Based Reversal
Fuel Surcharge Waiver</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</si>
  <si>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</si>
  <si>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https://loom.com/i/a99b49d06b24415b8e7c18fcd7314c40</t>
  </si>
  <si>
    <t>Welcome Benefit
Value Back Benefits
Reward Benefits
Milestone Benefits
Travel Offers from IRCTC
Fuel Surcharge Waiver
Railway Lounge Program</t>
  </si>
  <si>
    <t>Welcome Benefit
Value Back Benefits
Reward Benefits
Milestone Benefits
Complimentary Insurance Cover
Travel Offers from IRCTC
Fuel Surcharge Waiver
Railway Lounge Program</t>
  </si>
  <si>
    <t>First Year Free
Reward Benefits
Fuel Surcharge Waiver</t>
  </si>
  <si>
    <t>Welcome Benefits
Reward Benefits
Milestone Benefits
Lounge Benefits
Fuel Surcharge Waiver
Insurance Coverage</t>
  </si>
  <si>
    <t>Welcome Gift
Reward Benefits
Domestic Lounge Benefits
International Lounge Benefits
Fuel Surcharge Waiver
Spend Based Reversal
Lowest Forex Markup</t>
  </si>
  <si>
    <t>Welcome Benefits
PhonePe Rewards
Exclusive Milestone Benefits
Annual Fee Reversal
Fuel Surcharge Waiver</t>
  </si>
  <si>
    <t>13/03/2026 - The issue has been resolved - https://loom.com/i/b76a27a9b8cf4f9c857d6c3289f4c0be</t>
  </si>
  <si>
    <t>Welcome Benefit
Cashback
Cyber Fraud Insurance
Milestone Benefits
International Lounge Program
Domestic Lounge Program
Fuel Surcharge Waiver
Smart Card Control</t>
  </si>
  <si>
    <t>13/03/2026 - The smart card control icon has been corrected - https://loom.com/i/9a606d0067c843e992fa81fa98ac9a04</t>
  </si>
  <si>
    <r>
      <rPr>
        <rFont val="Aptos Narrow"/>
        <color rgb="FF0070C0"/>
        <sz val="11.0"/>
      </rPr>
      <t xml:space="preserve">Welcome Benefit
Reward Benefits
Milestone Benefits
International Travel Privileges
Domestic Privileges
Insurance Cover
</t>
    </r>
    <r>
      <rPr>
        <rFont val="Aptos Narrow"/>
        <color rgb="FFFFC000"/>
        <sz val="11.0"/>
      </rPr>
      <t>Low Forex Markup</t>
    </r>
  </si>
  <si>
    <r>
      <rPr>
        <rFont val="Aptos Narrow"/>
        <color rgb="FF0070C0"/>
        <sz val="11.0"/>
      </rPr>
      <t xml:space="preserve">Welcome Benefits
</t>
    </r>
    <r>
      <rPr>
        <rFont val="Aptos Narrow"/>
        <color rgb="FFFF0000"/>
        <sz val="11.0"/>
      </rPr>
      <t xml:space="preserve">Renewal Benefits
</t>
    </r>
    <r>
      <rPr>
        <rFont val="Aptos Narrow"/>
        <color rgb="FF0070C0"/>
        <sz val="11.0"/>
      </rPr>
      <t>Reward Benefits
Milestone Benefits
Domestic Lounge Benefit
International Lounge Benefit
Fuel Surcharge Waiver
Insurance</t>
    </r>
  </si>
  <si>
    <t>13/03/2026 - The renewal benefits icons is now other benefits icon - https://loom.com/i/79ebab072817491799e8d0c7111bbe6a</t>
  </si>
  <si>
    <t>Welcome Benefit
Milestone Benefits
Reward Benefits
Fuel Surcharge Waiver
Other Benefits</t>
  </si>
  <si>
    <r>
      <rPr>
        <rFont val="Aptos Narrow"/>
        <color rgb="FF0070C0"/>
        <sz val="11.0"/>
      </rPr>
      <t xml:space="preserve">Welcome Benefit
</t>
    </r>
    <r>
      <rPr>
        <rFont val="Aptos Narrow"/>
        <color rgb="FFFF0000"/>
        <sz val="11.0"/>
      </rPr>
      <t xml:space="preserve">Renewal Benefits
</t>
    </r>
    <r>
      <rPr>
        <rFont val="Aptos Narrow"/>
        <color rgb="FF0070C0"/>
        <sz val="11.0"/>
      </rPr>
      <t>Reward Benefits
Milestone Benefits
Domestic Lounge Benefits
Fuel Surcharge Waiver</t>
    </r>
  </si>
  <si>
    <t>13/03/2026 - The renewal benefits icons is now other benefits icon - https://loom.com/i/097a9898159640a995cc8f2095c9b7f5</t>
  </si>
  <si>
    <t>Welcome Benefit
Milestone Benefit
Reward Benefits
Complimentary Movie Ticket
International Lounge Program
Domestic Lounge Program
Fuel Surcharge Waiver
Other Benefits</t>
  </si>
  <si>
    <t>Welcome Benefits
PhonePe Rewards
Exclusive Milestone Benefits
International Lounge Program
Domestic Lounge Program
Annual Fee Reversal
Fuel Surcharge Waiver</t>
  </si>
  <si>
    <t>13/03/2026 - The issue has been resolved - https://loom.com/i/f70004986adf40fabb77ac67640f8c9d</t>
  </si>
  <si>
    <t>Welcome Benefit
Cashback
Cyber Fraud Insurance
Milestone Benefits
Fuel Surcharge Waiver
Smart Control</t>
  </si>
  <si>
    <t>13/03/2026 - The smart card control icon has been corrected - https://loom.com/i/8681896e9fc64af18a92ddd95e210c09</t>
  </si>
  <si>
    <t>Welcome Gift
Prime Rewards
Milestone Benefits
Lounge Access
ITC Silver Tier Membership
Birthday Benefit</t>
  </si>
  <si>
    <r>
      <rPr>
        <rFont val="Aptos Narrow"/>
        <color rgb="FF0070C0"/>
        <sz val="11.0"/>
      </rPr>
      <t xml:space="preserve">Welcome Gift
</t>
    </r>
    <r>
      <rPr>
        <rFont val="Aptos Narrow"/>
        <color rgb="FFFF0000"/>
        <sz val="11.0"/>
      </rPr>
      <t xml:space="preserve">Miles Rewards
</t>
    </r>
    <r>
      <rPr>
        <rFont val="Aptos Narrow"/>
        <color rgb="FF0070C0"/>
        <sz val="11.0"/>
      </rPr>
      <t xml:space="preserve">Milestone Benefits
International Travel Privileges
Domestic Travel Privileges
</t>
    </r>
    <r>
      <rPr>
        <rFont val="Aptos Narrow"/>
        <color rgb="FFFFC000"/>
        <sz val="11.0"/>
      </rPr>
      <t>Low Forex Markup</t>
    </r>
  </si>
  <si>
    <t>13/03/2026 - The Miles Rewards icon is still incorrect - https://loom.com/i/34c52c08d1884e65bf0c9d5696d7e384</t>
  </si>
  <si>
    <r>
      <rPr>
        <rFont val="Aptos Narrow"/>
        <color rgb="FF0070C0"/>
        <sz val="11.0"/>
      </rPr>
      <t xml:space="preserve">Welcome Benefit
Reward Benefits
Milestone Benefits
International Travel Privileges
Domestic Travel Privileges
Insurance Cover
</t>
    </r>
    <r>
      <rPr>
        <rFont val="Aptos Narrow"/>
        <color rgb="FFFFC000"/>
        <sz val="11.0"/>
      </rPr>
      <t>Low Forex Markup</t>
    </r>
  </si>
  <si>
    <t>Zero Fee Card
Milestone Benefit
REward Benefits
Fuel Surcharge Waiver
Secure Card</t>
  </si>
  <si>
    <t>Welcome Gift
E-Shopping Rewards
Milestone Benefits
Fuel Surcharge Waiver
Spend Based Reversal</t>
  </si>
  <si>
    <t>Extravaganza Offer
Reward Benefits
Fuel Surcharge Waiver
Spend Based Reversal</t>
  </si>
  <si>
    <t>Welcome Benefit
Exclusive Milestone Benefits
Exclusive Titan Instore Benefits
Reward Benefits
Lounge Benefits</t>
  </si>
  <si>
    <t>Welcome Benefits
Waiver of Renewal Fee
Reward Benefits
Fuel Surcharge Waiver
Insurance Benefits</t>
  </si>
  <si>
    <r>
      <rPr>
        <rFont val="Aptos Narrow"/>
        <color rgb="FF0070C0"/>
        <sz val="11.0"/>
      </rPr>
      <t xml:space="preserve">Milestone Rewards
Reward Benefits
</t>
    </r>
    <r>
      <rPr>
        <rFont val="Aptos Narrow"/>
        <color rgb="FFFF0000"/>
        <sz val="11.0"/>
      </rPr>
      <t xml:space="preserve">Renewal Benefits
</t>
    </r>
    <r>
      <rPr>
        <rFont val="Aptos Narrow"/>
        <color rgb="FFFFC000"/>
        <sz val="11.0"/>
      </rPr>
      <t xml:space="preserve">Insurance Benefits
</t>
    </r>
    <r>
      <rPr>
        <rFont val="Aptos Narrow"/>
        <color rgb="FF0070C0"/>
        <sz val="11.0"/>
      </rPr>
      <t xml:space="preserve">Fuel Surcharge Waiver
Additional Benefits
</t>
    </r>
    <r>
      <rPr>
        <rFont val="Aptos Narrow"/>
        <color rgb="FFFFC000"/>
        <sz val="11.0"/>
      </rPr>
      <t>Domestic Airport Lounge Program</t>
    </r>
  </si>
  <si>
    <t>13/03/2026 - The renewal benefits icons is now other benefits icon - https://loom.com/i/10aa8bd3e5ab4ecbacb09ecb3d3eeb9b</t>
  </si>
  <si>
    <t>Priority</t>
  </si>
  <si>
    <t>Device</t>
  </si>
  <si>
    <t>Issue Type</t>
  </si>
  <si>
    <t>Annual Spent</t>
  </si>
  <si>
    <t>Benefit</t>
  </si>
  <si>
    <t>Assigned To</t>
  </si>
  <si>
    <t>Vector3 Remark</t>
  </si>
  <si>
    <t>P2</t>
  </si>
  <si>
    <t>Content Not Provided</t>
  </si>
  <si>
    <t>Rs. 4, 8 Lakhs</t>
  </si>
  <si>
    <t>Namita</t>
  </si>
  <si>
    <t>Formatting</t>
  </si>
  <si>
    <t>Rs. 3, 4, 5, 8 lakhs</t>
  </si>
  <si>
    <t>Neha Jain</t>
  </si>
  <si>
    <t>02/03/2026 - comma before the 3 zeros missing as per the Number system formatting- https://www.loom.com/i/2b35a7edc03c40d493e73aee5183e0bd</t>
  </si>
  <si>
    <t>P3</t>
  </si>
  <si>
    <t>Desktops</t>
  </si>
  <si>
    <t>Overlap</t>
  </si>
  <si>
    <t>Rs. 10 Lakhs</t>
  </si>
  <si>
    <t>Annual Fee Reversal</t>
  </si>
  <si>
    <t>09/03/2026 - Word "Annual" needs to be in the title and "Fee Reversal"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</si>
  <si>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Galazy Z Fold</t>
  </si>
  <si>
    <t>iPad Mini</t>
  </si>
  <si>
    <t>iPad Pro</t>
  </si>
  <si>
    <t>Rs. 2 Lakhs</t>
  </si>
  <si>
    <t>Waiver of Renewal Fee</t>
  </si>
  <si>
    <t>09/03/2026 - The word "Waiver" needs to be in the title and "of Renewal Fee"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</si>
  <si>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Largest</t>
  </si>
  <si>
    <t>iPads / Tablets</t>
  </si>
  <si>
    <t>Mobile Phones (width &gt;= 360px)</t>
  </si>
  <si>
    <t>P1</t>
  </si>
  <si>
    <t>06/03/2026 - As discussed with Namita ma'am, the following content needs to be updated for this card - 
1st Milestone - "5 Lakhs" --&gt; Reward - "20,000 Reward Points"
2nd Milestone - "10 Lakhs" --&gt; Reward - "30,000 Reward Points"
3rd Milestone - "20 Lakhs" --&gt; Reward - "50,000 Reward Points"</t>
  </si>
  <si>
    <t>06/03/2026 - As discussed with Namita ma'am, the following content needs to be updated for this card - 
1st Milestone - "2 Lakhs" --&gt; Reward - "5,000 Reward Points"
2nd Milestone - "3 Lakhs" --&gt; Reward - "10,000 Reward Points"</t>
  </si>
  <si>
    <t>Rs. 6 Lakhs</t>
  </si>
  <si>
    <t xml:space="preserve"> ₹7,999 worth Noise Smartwatch</t>
  </si>
  <si>
    <t>11/03/2026 - Although master sorting sheet mentions "Noise Smartwatch worth ₹7,999" but because we've taken "Rs. 7999" in the Title which appears before "Noise Smartwatch worth", therefore we need to change it to "worth Noise Smartwatch" just for the order of words to be correct.
02/03/2026 - It should be ₹7,999 in the title and "worth Noise Smartwatch" in the subtitle - https://www.loom.com/i/35255a6acf234641af64fc65cff6aec3</t>
  </si>
  <si>
    <t>Rs. 3 Lakhs</t>
  </si>
  <si>
    <t>12,000 Bonus Reward Points</t>
  </si>
  <si>
    <t>02/03/2026 - comma before the 3 zeros missing as per the Number system formatting - https://www.loom.com/i/f6b778b7c20e48fcb2a6f933f68e39d9</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</si>
  <si>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t>
  </si>
  <si>
    <t>8,000 Bonus Reward Points</t>
  </si>
  <si>
    <t>02/03/2026 - comma before the 3 zeros missing as per the Number system formatting - https://www.loom.com/i/2bb92bc38df84ce89478c37228e9fe48</t>
  </si>
  <si>
    <t>All Pages</t>
  </si>
  <si>
    <t>All</t>
  </si>
  <si>
    <t>02/03/2026 - Instead of "Lac" it should be "Lakhs" - https://www.loom.com/i/a62b17680b4845dea2f9d487f27d81a1</t>
  </si>
  <si>
    <t>Rs. 5 Lakhs</t>
  </si>
  <si>
    <t>20,000 Bonus Reward Points</t>
  </si>
  <si>
    <t>02/03/2026 - comma before the 3 zeros missing as per the Number system formatting - https://www.loom.com/i/6d4333ccb79743ea9329429797e650c7</t>
  </si>
  <si>
    <t>1 Companion Voucher</t>
  </si>
  <si>
    <t>09/03/2026 - "1 Companion" needs to be in the title and ""Voucher""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</si>
  <si>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Mobile Phones (width &lt;= 360px)</t>
  </si>
  <si>
    <t>5,000 Etihad Guest Miles</t>
  </si>
  <si>
    <t>02/03/2026 - comma before the 3 zeros missing as the Number System Formatting</t>
  </si>
  <si>
    <t>02/03/2026 - Content for this Annual Spent is not in the master sorting file and author has used the Doctor's SBI Card (with IMA)'s milestone "Rs. 5,000 E-Gift" for this card.</t>
  </si>
  <si>
    <t>5,000 E-Gift Voucher</t>
  </si>
  <si>
    <t>Rs.1.5 Lakh</t>
  </si>
  <si>
    <t>1,500 Etihad Guest Miles</t>
  </si>
  <si>
    <t>Doctor's SBI Card In Association with IMA</t>
  </si>
  <si>
    <t>02/03/2026 - the symbol ₹ needs to be used and comma before the 3 zeros missing as the Number System Formatting</t>
  </si>
  <si>
    <t>02/02/2026 - No Benefit found for Rs. 2 Lakhs milestone on the master sorting card but still "Waiver of Renewal Fee" is found on sbi-pvt</t>
  </si>
  <si>
    <t>Rs. 2,000 E Gift Voucher</t>
  </si>
  <si>
    <t>02/03/2026 - Instead of Rs., the symbol ₹ needs to be used and comma before the 3 zeros missing as the Number System Formatting</t>
  </si>
  <si>
    <t>1 Premium Economy Ticket*</t>
  </si>
  <si>
    <t>09/03/2026 - "1 Premium" needs to be in the Title &amp; "Economy Ticket*"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</si>
  <si>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Desktops, Mobile Phones</t>
  </si>
  <si>
    <t>Truncated Content</t>
  </si>
  <si>
    <t>Rs. 1.5 Lakh</t>
  </si>
  <si>
    <t>06/03/2026 - As discussed with Namita ma'am on SBI Daily Connect Call, if there are no milestones mentioned in the master sheet then no text animation or bar is required. Therefore marking this instance as closed.
02/03/2026 - Content - milestone &amp; benefit not present in the master sorting sheet.</t>
  </si>
  <si>
    <t>Rs. 50k</t>
  </si>
  <si>
    <t>2,500 Reward Points</t>
  </si>
  <si>
    <t>Rs. 1 Lakh</t>
  </si>
  <si>
    <t>5,000 Reward Points</t>
  </si>
  <si>
    <t>3,000 KrisFlyer Miles</t>
  </si>
  <si>
    <t>Rs. 2.5 Lakhs</t>
  </si>
  <si>
    <t>Tier upgrade to KrisFlyer Elite Silver Membship</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</si>
  <si>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</si>
  <si>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02/03/2026 - Benefit not provided for 10 Lakh Milestone in master sorting sheet, currently 3,000 KrisFlyer Miles appears on 10 Lakh Milestone</t>
  </si>
  <si>
    <t>10,000 KrisFlyer Miles</t>
  </si>
  <si>
    <t>Rs. 7.5 Lakhs</t>
  </si>
  <si>
    <t>Tier upgrade to KrisFlyer Elite Gold Membship</t>
  </si>
  <si>
    <t>Rs. 3000 Yatra Voucher</t>
  </si>
  <si>
    <t>11/03/2026 - As discussed on content discussion call, the word "Worth" is not required and needs to be removed.
02/03/2026 - The symbol ₹ needs to be used and comma before the 3 zeros missing as the Number System Formatting</t>
  </si>
  <si>
    <t>PayTM SBI Card Select</t>
  </si>
  <si>
    <t>Rs. 4 Lakhs</t>
  </si>
  <si>
    <t>Rs. 2000 E Voucher</t>
  </si>
  <si>
    <t>Rs. 4000 E Voucher</t>
  </si>
  <si>
    <t>Rs. 15 Lakhs</t>
  </si>
  <si>
    <t>Additional Domestic Lounge visit</t>
  </si>
  <si>
    <t>09/03/2026 - Word "Additional" should be in the Title and "Domestic Lounge Visit" in the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</si>
  <si>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All Devices</t>
  </si>
  <si>
    <t>All Sizes</t>
  </si>
  <si>
    <t>Rs. 12 Lakhs</t>
  </si>
  <si>
    <t>20,000 Bonus Travel Credits</t>
  </si>
  <si>
    <t>6,000 Indigo Bluchips</t>
  </si>
  <si>
    <t>Rs. 9 Lakhs</t>
  </si>
  <si>
    <t>Rs. 80K</t>
  </si>
  <si>
    <t>Rs. 1,000 Reliance Retail Voucher</t>
  </si>
  <si>
    <t>02/03/2026 - The symbol ₹ needs to be used and comma before the 3 zeros missing as the Number System Formatting</t>
  </si>
  <si>
    <t>Rs. 50K</t>
  </si>
  <si>
    <t>Rs. 750 Reliance Retail Voucher</t>
  </si>
  <si>
    <t>02/03/2026 - The symbol ₹ needs to be used</t>
  </si>
  <si>
    <t>Rs. 25K</t>
  </si>
  <si>
    <t>Rs. 500 Reliance Retail Voucher</t>
  </si>
  <si>
    <t>Rs. 25K, 50K, 80K</t>
  </si>
  <si>
    <t>Reliance Retail Voucher</t>
  </si>
  <si>
    <t>2,500 Indigo Bluchips</t>
  </si>
  <si>
    <t>Rs. 75K</t>
  </si>
  <si>
    <t>Rs. 1,500 Reliance Retail Voucher</t>
  </si>
  <si>
    <t>Rs. 150K</t>
  </si>
  <si>
    <t>Rs. 2,250 Reliance Retail Voucher</t>
  </si>
  <si>
    <t>Rs. 5000 Reliance Retail Voucher</t>
  </si>
  <si>
    <t>Rs. 75K, 150K, 3 Lakhs</t>
  </si>
  <si>
    <t>Repeated Milestone</t>
  </si>
  <si>
    <t>02/03/2026 - The 3 Lakhs milestone appears before Rs. 75K &amp; Rs. 150K even though being a greater amount and also appears thrice - https://www.loom.com/i/11c8ad67653d49de824bb23f3c270b26</t>
  </si>
  <si>
    <t>Rs. 5,000 Yatra Voucher</t>
  </si>
  <si>
    <t>e-Voucher - Paytm First Membership Renewal</t>
  </si>
  <si>
    <t>Small, Default</t>
  </si>
  <si>
    <t>09/03/2026 - As discussed with Arun sir, this is one of the instance that cannot be handled by breaking it and adjusting into titles &amp; sub-titles therefore it needs to be shortened. Hence changing the Assigned to column value from Neha Jain ma'am to Namita Ma'am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</si>
  <si>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Default, Large</t>
  </si>
  <si>
    <t>Rs. 50K in a Quarter</t>
  </si>
  <si>
    <t>Rs. 1,000 Pizza Hut E-Voucher</t>
  </si>
  <si>
    <t>Rs. 7,000 e-Gift Voucher</t>
  </si>
  <si>
    <t>5,000 Bonus Travel Credits</t>
  </si>
  <si>
    <t>Rs. 8 Lakhs</t>
  </si>
  <si>
    <t>10,000 Bonus Travel Credits</t>
  </si>
  <si>
    <t>Rs. 500 Cashback</t>
  </si>
  <si>
    <t>Rs. 1 &amp; 2 Lakhs</t>
  </si>
  <si>
    <t>Rs. 2,000 e-Vouchers for Cleartrip / Yatra</t>
  </si>
  <si>
    <t>10/02/2026 - The comma formatting is not done for 2nd Milestone Benefit (2 Lakhs) - https://www.loom.com/i/433004aded724f3e8fc11de99bf68f55
06/03/2026 - The symbol ₹ needs to be used and comma before the 3 zeros missing as the Number System Formatting</t>
  </si>
  <si>
    <t>Reopen</t>
  </si>
  <si>
    <t>09/03/2026 - "Rs. 2000" needs to be in the title &amp; "e-Vouchers for Cleartrip / Yatra" in the sub-title element</t>
  </si>
  <si>
    <t>Content Missing</t>
  </si>
  <si>
    <t>Annual Fee Waiver</t>
  </si>
  <si>
    <t>09/03/2026 - Word "Annual" needs to be in the Title and "Fee Waiver" in the sub-title element.</t>
  </si>
  <si>
    <t>Rs. 5 &amp; 10 Lakhs</t>
  </si>
  <si>
    <t>Rs. 5,000 E-voucher of select Tata brands</t>
  </si>
  <si>
    <t>09/03/2026 - "Rs. 5,000" needs to be in the title &amp; "E-voucher of select Tata brand" should be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</si>
  <si>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 50,000</t>
  </si>
  <si>
    <t>Rs. 500 Pizza Hut e-Voucher</t>
  </si>
  <si>
    <t>06/03/2026 - The bar tick for 1st Milestone - 50,000 should be written as 50K as we are following this formatting for every other bar.</t>
  </si>
  <si>
    <t>09/03/2026 - "Rs. 500" needs to be in the title &amp; "Pizza Hut e-Voucher"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</si>
  <si>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Rs.7,000 e-Gift Voucher for Yatra / Pantaloons</t>
  </si>
  <si>
    <t>09/03/2026 - "Rs. 7,000" needs to be in the title and "3-Gift Voucher for Yatra / Pantaloons"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</si>
  <si>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Section Heading - "Fee &amp; Charges" to be changed to "Fees and Charges"</t>
  </si>
  <si>
    <t>Tab label to be changed from "FAQ" to "FAQs"</t>
  </si>
  <si>
    <t>Tab label to be changed from "Fees" to "Fees &amp; Charges"</t>
  </si>
  <si>
    <t>Tab label to be changed from "Fee &amp; Charges" to "Fees &amp; Charges"</t>
  </si>
  <si>
    <t>Space needs to be added between "Rs." &amp; the Price of the card. For ex: "Rs. 499" instead of "Rs.499"</t>
  </si>
  <si>
    <t>Landmark SBI Card Select</t>
  </si>
  <si>
    <t>Ola Money SBI Card</t>
  </si>
  <si>
    <t>Defect No</t>
  </si>
  <si>
    <t>Date</t>
  </si>
  <si>
    <t>Browser</t>
  </si>
  <si>
    <t>Stage</t>
  </si>
  <si>
    <t>Defect Type</t>
  </si>
  <si>
    <t>Steps to Reproduce</t>
  </si>
  <si>
    <t>Description</t>
  </si>
  <si>
    <t>Issue Screenshot/Recording</t>
  </si>
  <si>
    <t>Expected Result/ Design Reference</t>
  </si>
  <si>
    <t>Reported By</t>
  </si>
  <si>
    <t>Dev Status</t>
  </si>
  <si>
    <t>Dev Remark</t>
  </si>
  <si>
    <t>QA Status</t>
  </si>
  <si>
    <t>Last Updated</t>
  </si>
  <si>
    <t>HTML QA Status</t>
  </si>
  <si>
    <t>UAT_HP_001</t>
  </si>
  <si>
    <t>28/12/2025</t>
  </si>
  <si>
    <t>All Browsers</t>
  </si>
  <si>
    <t>Content</t>
  </si>
  <si>
    <t>Hero Section --&gt; 3rd Slide --&gt; Apply Button</t>
  </si>
  <si>
    <t>The button label is "Apply More" instead of "Apply Now"</t>
  </si>
  <si>
    <t>https://www.loom.com/i/639996bc50564a43a90d170ae2d29ef3</t>
  </si>
  <si>
    <t>https://www.loom.com/i/fb314dbf047d49f9aae513fdc6c19f6d</t>
  </si>
  <si>
    <t>Sampreet</t>
  </si>
  <si>
    <t>Content related issue. Hence on Hold
23/01/2026 - Resolved on call</t>
  </si>
  <si>
    <t>UAT_HP_002</t>
  </si>
  <si>
    <t>Hero Section --&gt; All Slides --&gt; CTA buttons (Apply now, See benefits)</t>
  </si>
  <si>
    <t>The button labels are not capitalized.</t>
  </si>
  <si>
    <t>https://www.loom.com/i/1535338797a640818268f54c45502abe</t>
  </si>
  <si>
    <t>https://www.loom.com/i/7e6a7962e45b47d2aa3e92bb4e937575</t>
  </si>
  <si>
    <t>Content related issue. Hence on Hold</t>
  </si>
  <si>
    <t>UAT_HP_003</t>
  </si>
  <si>
    <t>Hero Section --&gt; First Slide --&gt; Heading</t>
  </si>
  <si>
    <t>Slide heading - "Welcome to the world of amazing cashback" font color needs to be yellow</t>
  </si>
  <si>
    <t>https://www.loom.com/i/e8b4f2b1f78648929e16bb6c178ae667</t>
  </si>
  <si>
    <t>https://www.loom.com/i/2e59ef7046a94dcfae326052b9e99505</t>
  </si>
  <si>
    <t>UAT_HP_004</t>
  </si>
  <si>
    <t>Hero Section --&gt; 3rd Slide --&gt; Heading</t>
  </si>
  <si>
    <t>The word "Card" in the heading "Best Travel Card" needs to be capitalized</t>
  </si>
  <si>
    <t>https://www.loom.com/i/1dc7142a6c724ef99605d571e9212c01</t>
  </si>
  <si>
    <t>https://www.loom.com/i/0992af6606c2460e868e1e4a3c3e2211</t>
  </si>
  <si>
    <t>UAT_HP_005</t>
  </si>
  <si>
    <t>Accessibility Bar --&gt; Limited Offer</t>
  </si>
  <si>
    <t>The word "Default" appears before "Limited Offer"</t>
  </si>
  <si>
    <t>https://www.loom.com/i/82e5bf95e8844c63bf46b835f71fd14d</t>
  </si>
  <si>
    <t>UAT_HP_006</t>
  </si>
  <si>
    <t>Accessibility Bar --&gt;Limited Offer</t>
  </si>
  <si>
    <t>The gift card worth "₹5" is mentioned instead of "₹500*"</t>
  </si>
  <si>
    <t>https://www.loom.com/i/6a9e0b6b469343ea8e4054c10d311181</t>
  </si>
  <si>
    <t>UAT_HP_007</t>
  </si>
  <si>
    <t>Accessibility Bar --&gt; Skip to the main menu</t>
  </si>
  <si>
    <t>The hyphen "-" appears twice before "Skip to the main menu"</t>
  </si>
  <si>
    <t>https://www.loom.com/i/2c94f61d86f64978b40ca8a7c458cbe2</t>
  </si>
  <si>
    <t>UAT_HP_008</t>
  </si>
  <si>
    <t>Version</t>
  </si>
  <si>
    <t>Get More with SBI card --&gt; Click on any of the 4 tabs on the left</t>
  </si>
  <si>
    <t>Clicking on any of the 4 tabs on the left should only change the content &amp; image but it also takes the user to the top of the page</t>
  </si>
  <si>
    <t>https://www.loom.com/share/bf4392f7317348f1abffc55e9c80a4f9</t>
  </si>
  <si>
    <t>29/1/2026</t>
  </si>
  <si>
    <t>5/1/2026 - When the UAT gets updated to v54</t>
  </si>
  <si>
    <t>UAT_HP_009</t>
  </si>
  <si>
    <t>Get More with SBI card --&gt; 2nd &amp; 3rd &amp; 4th tabs on the left</t>
  </si>
  <si>
    <t>The "Learn More" hyperlink is missing.</t>
  </si>
  <si>
    <t>https://www.loom.com/i/8600e596fee8408b86ebb80afaf9d66b</t>
  </si>
  <si>
    <t>https://www.loom.com/i/f2b3570ea5384656ae18443a1d74a5c8</t>
  </si>
  <si>
    <t>UAT_HP_010</t>
  </si>
  <si>
    <t>Footer --&gt; Important Links</t>
  </si>
  <si>
    <t>3 Hyperlinks missing - Credit Card Issuance &amp; Conduct Policy, Fair Practice Code, Forms Central</t>
  </si>
  <si>
    <t>https://www.loom.com/i/0fbd3f45a9224042a11bc65b05792b52</t>
  </si>
  <si>
    <t>https://www.loom.com/i/bc368accb1b943a9b2f0b15fd8d68453</t>
  </si>
  <si>
    <t>UAT_HP_011</t>
  </si>
  <si>
    <t>Language Hindi --&gt; Sub Navigation Pane below the Hero section --&gt; Utility Bills Payment icon</t>
  </si>
  <si>
    <t>When language is changed to hindi, the utility bills payment CTA starts to show Rs. icon instead of its own icon.</t>
  </si>
  <si>
    <t>https://www.loom.com/i/2829e877e37f4dd291ba21cc57f34a1d</t>
  </si>
  <si>
    <t>https://www.loom.com/i/346ad77bb3c446189e36810cbfa03b9b</t>
  </si>
  <si>
    <t>UAT_HP_012</t>
  </si>
  <si>
    <t>Language Hindi --&gt; Secondary Header --&gt; Tabs with drop down arrows</t>
  </si>
  <si>
    <t>Hover above each drop down tab to check the content is not translated to Hindi and is also missing content</t>
  </si>
  <si>
    <t>https://www.loom.com/share/eac148037b914cbd9eec7212438fa8f4</t>
  </si>
  <si>
    <t>UAT_HP_013</t>
  </si>
  <si>
    <t>Padding</t>
  </si>
  <si>
    <t>Language Hindi --&gt; Hero Section --&gt; सर्वश्रेष्ठ ट्रैवल कार्ड</t>
  </si>
  <si>
    <t>When in hindi, the heading "सर्वश्रेष्ठ ट्रैवल कार्ड" is too close to the image above</t>
  </si>
  <si>
    <t>https://www.loom.com/i/01d085c9b09f46f5bc174e6755603939</t>
  </si>
  <si>
    <t>Bharat</t>
  </si>
  <si>
    <t>06/02/2026 - Hindi page issues are not being addressed in this release therefore kept on hold.
5/1/2026 - Also occurring in the benchmark HTML. Hence, On Hold</t>
  </si>
  <si>
    <t>Pending</t>
  </si>
  <si>
    <t>UAT_HP_014</t>
  </si>
  <si>
    <t>Language Hindi --&gt; EMI &amp; More</t>
  </si>
  <si>
    <t>"ATM Cash" card &amp; 5th - 6th card doesn't remain when user changes the language to hindi</t>
  </si>
  <si>
    <t>https://www.loom.com/share/22501c7eb8a44162beeb8d6e41eb2ee3</t>
  </si>
  <si>
    <t>UAT_HP_015</t>
  </si>
  <si>
    <t>Language Hindi --&gt; Logo Menus (below accessibility bar) --&gt; Login --&gt; Fogot password &amp; New User? Register Now buttons &amp; Hyperlinks below</t>
  </si>
  <si>
    <t>Fogot password &amp; New User? Register Now buttons &amp; Hyperlinks below do not get translated to hindi</t>
  </si>
  <si>
    <t>https://www.loom.com/i/b06f7779551a45ea95c40fa802cc38df</t>
  </si>
  <si>
    <t>UAT_HP_016</t>
  </si>
  <si>
    <t>Logo Menus (below accessibility bar) --&gt; Help</t>
  </si>
  <si>
    <t>The help drop down is missing the following hyperlinks - Terms &amp; Conditions, Raise a Dispute, Request For Card Closure, Report Lost Card, Digital Platform Updates, Link PAN with Adhaar, Contact Us. Also, the "Contact Us" hyperlink doesn't get translated to hindi</t>
  </si>
  <si>
    <t>https://www.loom.com/i/8ffe8404b9a448b98c08b71e62fc6180</t>
  </si>
  <si>
    <t>https://www.loom.com/i/3d2cb3beb01b4d628f240567295ab062</t>
  </si>
  <si>
    <t>UAT_HP_017</t>
  </si>
  <si>
    <t>Why SBI Card? --&gt; Heading</t>
  </si>
  <si>
    <t>The heading "Why SBI Card?" has 2 question marks instead of 1</t>
  </si>
  <si>
    <t>https://www.loom.com/i/bcd7751566004a89b70d982ab67fb7d5</t>
  </si>
  <si>
    <t>UAT_HP_018</t>
  </si>
  <si>
    <t xml:space="preserve">Header secondary menu --&gt; Pay Card Bills </t>
  </si>
  <si>
    <t>The drop down label needs to be "Pay Card Bills" instead of "Pay Cards Bill"</t>
  </si>
  <si>
    <t>https://www.loom.com/i/b790d08b26fe4b6ca95c5a94cc678f9a</t>
  </si>
  <si>
    <t>https://www.loom.com/i/2f310b6193f7458c90c8cc96268dd8a9</t>
  </si>
  <si>
    <t>UAT_HP_019</t>
  </si>
  <si>
    <t>Language Hindi --&gt;Section position</t>
  </si>
  <si>
    <t>When the language is Hindi, the Why SBI Card? section appears above the "EMI &amp; More" section</t>
  </si>
  <si>
    <t>https://www.loom.com/i/581b541551e64b71af595c91ae7a8e45</t>
  </si>
  <si>
    <t>UAT_HP_020</t>
  </si>
  <si>
    <t>Mobile Phones</t>
  </si>
  <si>
    <t>Layout</t>
  </si>
  <si>
    <t xml:space="preserve">Language English --&gt; Why SBI Card? --&gt; Card - Active Credit Card Users </t>
  </si>
  <si>
    <t>The card "Active Credit Card Users"  overflows because of the card having extra content than it can have.</t>
  </si>
  <si>
    <t>https://www.loom.com/i/a0dd5753ba1049348f2ee49d453a2cf5</t>
  </si>
  <si>
    <t>https://www.loom.com/i/a5d03755f6054d99b0b58836285286c1</t>
  </si>
  <si>
    <t>Arun</t>
  </si>
  <si>
    <t>19/01/2026</t>
  </si>
  <si>
    <t>06/02/2026 - As the design and content is changed, this bug is no longer valid. Therefore closing this and adding a new bug.
29/01/2026 - As per discussion with Namita ma'am, purple card's content needs to be updated. 27+ Yrs - Of Making Life Simple
19/01/2026 - As per Neha ma'am on call, the content needs to be reduced and therefore this needs to be assigned to Vijaita
05/01/2026 - Also occurring in the benchmark HTML. Hence, Closed.</t>
  </si>
  <si>
    <t>UAT_HP_021</t>
  </si>
  <si>
    <t>Link</t>
  </si>
  <si>
    <t>Why SBI Card? --&gt; All Cards --&gt; Extra Link</t>
  </si>
  <si>
    <t>The extra link was decided to be removed from the cards but it is still present</t>
  </si>
  <si>
    <t>https://www.loom.com/i/484f454f70c14e6c8d08e53e091434cc</t>
  </si>
  <si>
    <t>Rejected</t>
  </si>
  <si>
    <t>Design got changed</t>
  </si>
  <si>
    <t>05/02/2026 - The extra link no longer visible in case of mobile phones as well therefore closing this issue. But the anchor is still present in the element which gets focused when navigating through keyboard tab and a separate bug with accessibility tagging is already on Hold for it for the time being because all accessibility bugs are decided to be fixed in the next release.
05/01/2026 - As per Dheeraj - When the UAT gets updated to v54 this would get fixed. v54 is to be deployed in next release</t>
  </si>
  <si>
    <t>UAT_HP_022</t>
  </si>
  <si>
    <t>W3C Validation</t>
  </si>
  <si>
    <t>Entire Website</t>
  </si>
  <si>
    <t>The website has 53 HTML errors as per the W3C validator - https://validator.w3.org/nu/</t>
  </si>
  <si>
    <t>https://www.loom.com/i/3e5e557e289949cba05e13ebfb056923</t>
  </si>
  <si>
    <t>24/02/2026 - This issue is already resolved</t>
  </si>
  <si>
    <t>24/02/2026</t>
  </si>
  <si>
    <t>24/02/2026 - As discussed on call, SBI team will check and identify why the doctype instance fails on the validator but get cleared in case of new HTML
06/02/2026 - Fixed on HTML, need to be implemented on UAT
29/01/2026 - As of now, only 1 error left - HTML Doctype missing.
05/01/2026 - Exists in the HTML v49</t>
  </si>
  <si>
    <t>Fixed</t>
  </si>
  <si>
    <t>UAT_HP_023</t>
  </si>
  <si>
    <t>Accessibility</t>
  </si>
  <si>
    <t>37 accessibility instances failed when tested with automated accessibility checker plug in - https://accessibilityinsights.io/</t>
  </si>
  <si>
    <t>https://www.loom.com/i/6c36f4f670804c0d925e80afc1b84959</t>
  </si>
  <si>
    <t>30/01/2026</t>
  </si>
  <si>
    <t>30/01/2026 - As discussed on call, accessibility issues are to be kept on hold for now and to be picked in the next release.
28/01/2026 - Apart from the header and footer accessibility instance fails, 13 instances still fail that are related to page sections - 
https://www.loom.com/i/b8fcf1e57fe241199fa4758ad33778f4
https://www.loom.com/i/ed047e37e91341e7ae0eedf3a2844f41
https://www.loom.com/i/2e31f54a41e54c60853b16e94c4e0e75
5/1/2026 - Exists in the HTML v49</t>
  </si>
  <si>
    <t>UAT_HP_024</t>
  </si>
  <si>
    <t>Windows Narrator --&gt; EMI &amp; More --&gt; Focus on each card</t>
  </si>
  <si>
    <t>When in focus it just narrates the card index and mentions it as "group" instead of mentioning it as "Link" and then proceeding to read the heading &amp; sub headings of the card. Check the actual vs expected result recordings attached</t>
  </si>
  <si>
    <t>https://www.loom.com/share/85e0f9dfd7564da9805b1d0f6bff3777</t>
  </si>
  <si>
    <t>https://www.loom.com/share/006cd6d170f543d69c537db3521839ca</t>
  </si>
  <si>
    <t>30/01/2026 - As discussed on call, accessibility issues are to be kept on hold for now and to be picked in the next release.
29/01/2026 - Javascrip has been provided to Dheeraj for arias that need to 
05/01/2026  - When the UAT gets updated to v54</t>
  </si>
  <si>
    <t>UAT_HP_025</t>
  </si>
  <si>
    <t>Windows Narrator --&gt; Get More with SBI card --&gt; Focus on each Tab on the left</t>
  </si>
  <si>
    <t>When any of the left side tab is focused, its name is narrated twice.</t>
  </si>
  <si>
    <t>https://www.loom.com/share/3f5775bf043e4d63987a231a5817eb39</t>
  </si>
  <si>
    <t>https://www.loom.com/share/0ae4a5e75624469aacd7ccad0328f559</t>
  </si>
  <si>
    <t>29/01/2026</t>
  </si>
  <si>
    <t>29/01/2026 - As discussed on call with Namita ma'am, Neha Laddha ma'am and Dheeraj, it is not actually reading the tab twice but it is reading the alt text for the icon present with the tab which is intended behaviour. Hence closing this issue.
5/1/2026 - When the UAT gets updated to v54</t>
  </si>
  <si>
    <t>UAT_HP_026</t>
  </si>
  <si>
    <t>Touch Screen Devices</t>
  </si>
  <si>
    <t>Interaction</t>
  </si>
  <si>
    <t>Open UAT url on a touch screen device --&gt; Use the pinch gesture to zoom in or out on the page</t>
  </si>
  <si>
    <t>Touch screen users unable to zoom in or out on the page using the pinch gesture. This happens for all pages.</t>
  </si>
  <si>
    <t>https://www.loom.com/share/7ebb6a8eba124d14a7982e709aebabf5</t>
  </si>
  <si>
    <t>No discussion required</t>
  </si>
  <si>
    <t>09/02/2026 - Issue Resolved - https://www.loom.com/share/9e991917b2004bc9a44d190a21d0f907</t>
  </si>
  <si>
    <t>UAT_HP_027</t>
  </si>
  <si>
    <t>Desktops / iPads / Tablets</t>
  </si>
  <si>
    <t xml:space="preserve">Why SBI Card? ---&gt; Scroll over the last card --&gt; Check if instead of the next section appearing, blank space appears and the Why SBI card? section appears again with </t>
  </si>
  <si>
    <t xml:space="preserve">While scrolling down the "Why SBI Card?" section, the next section should appear as user scroll down through the last card but instead empty space is noticed with the same section appearing again with all the cards clipped together. User as to scroll through again to reach the next section. Check the recording for better understanding. </t>
  </si>
  <si>
    <t>https://www.loom.com/share/c77b77f98b9641d1a8cf54a94e85706e</t>
  </si>
  <si>
    <t>16/02/2026</t>
  </si>
  <si>
    <t>16/02/2026 - Bug no longer valid as the design is now changed.
29/01/2026 - For the time being mobile view will be used even in case of desktop the issue is unable to get fixed. As per the discussion on call with Namita ma'am, this bug is therefore kept on hold.</t>
  </si>
  <si>
    <t>UAT_HP_028</t>
  </si>
  <si>
    <t>Keyboard Accessibility / Windows Narrator --&gt; Why SBI Card?</t>
  </si>
  <si>
    <t>While navigating through keyboard tab, the focus gets on Why SBI Card? section and the narrator mentions "link" even though their is no specific element like link or button that should be in the logical order of the keyboard tab.</t>
  </si>
  <si>
    <t>https://www.loom.com/share/35d75fe354f24896ac1633ab903d5a14</t>
  </si>
  <si>
    <t>30/01/2026 - As discussed on call, accessibility issues are to be kept on hold for now and to be picked in the next release.
29/01/2026 - As demonstrated on call, the focus shifts to each of the cards in the stack of "Why SBI Card?" even if there is no focusable element visible on the card. Dheeraj checked and confirmed there is no anchor tab that is hidden and getting focused on but sampreet mentioned that keyboard tab does get the cards in focus and windows narrator as well announces something. Team will check and update.</t>
  </si>
  <si>
    <t>UAT_HP_029</t>
  </si>
  <si>
    <t>Touch Devices --&gt; Explore our cards --&gt; Slide through swipe gesture on the credit card images.</t>
  </si>
  <si>
    <t>On the touch screen devices, when user swipes on the credit card images to change slides, sometimes the card doesn't get uplifted when the slide is changed.</t>
  </si>
  <si>
    <t>https://www.loom.com/share/a3c08127bd6b4925b6367a00cb81af41</t>
  </si>
  <si>
    <t>16/02/2026 - Fixed on devsit1</t>
  </si>
  <si>
    <t>17/02/2026</t>
  </si>
  <si>
    <t>17/02/2026 - The issue is now resolved on devsit1 - https://www.loom.com/share/f732e6a737c94427a7294c15dd32e679
17/02/2026 - This was marked as fixed on Devsit1 but when checked (even on incognito mode) this issue is still not resolved.
09/02/2026 - Make sure to perform the swipe gesture slowly on the card image itself instead of anywhere else and sometimes the slide will swipe but the card will not uplift. This is a valid bug as observed by Namita ma'am as well.
05/02/2026 - Make sure to perform the swipe gesture slowly on the card image itself instead of anywhere else and sometimes the slide will swipe but the card will not uplift. This is a valid bug as observed by Namita ma'am as well.
04/02/2026 - Make sure to perform the swipe gesture slowly on the card image itself instead of anywhere else and sometimes the slide will swipe but the card will not uplift. This is a valid bug as observed by Namita ma'am as well.
21/01/2026 - Swipe the card images and see 1 out of 5 times the slider gets changed but the card image doesn't get uplifted.</t>
  </si>
  <si>
    <t>UAT_HP_030</t>
  </si>
  <si>
    <t>Margin</t>
  </si>
  <si>
    <t>Explore our cards --&gt; Card content block --&gt; Gap between each bullet point</t>
  </si>
  <si>
    <t>The gap between each bullet point is less than required. In HTML v49, mb-2 class is used to get a bottom margin below the bullet points.</t>
  </si>
  <si>
    <t>https://www.loom.com/i/863baa9243d345638053e66e53270c89</t>
  </si>
  <si>
    <t>https://loom.com/i/3008f106ed3f4d4d9217e6447a9e2b49</t>
  </si>
  <si>
    <t>09-02-2026  Verified, please verify with version 54</t>
  </si>
  <si>
    <t>10/02/2026 - Issue Resolved - https://loom.com/i/fc6199bae2b6453e9d5889565939ada3
09/02/2026 - The mb-2 class is present for the element even in the v54. Please get this fixed
05/02/2026 - The mb-2 class is present for the element even in the v54. Please get this fixed
29/01/2026 - The issue also found in the HTML v54 therefore changed the tagging to HTML/CSS</t>
  </si>
  <si>
    <t>UAT_HP_031</t>
  </si>
  <si>
    <t>Firefox</t>
  </si>
  <si>
    <t>Missing</t>
  </si>
  <si>
    <t>Access any page (Home/Product Details) in firefox browser --&gt; Notice if the SBI card splash screen appears</t>
  </si>
  <si>
    <t>In case of firefox browser, the SBI logo on the splash screen doesn't appear before every page load/reload.</t>
  </si>
  <si>
    <t>https://www.loom.com/share/025756db13e64e34a34e9eaff97ec898</t>
  </si>
  <si>
    <t>23/02/2026</t>
  </si>
  <si>
    <t>23/02/2026 - Another issue already logged UAT_HP_60 for the loader. It is also reopened because the loader is working in correctly in case of firefox browser therefore closing this issue.
16/02/2026 - The loader has been provided and needs to be implemented. Once its done and it starts working fine on firefox as well, will close this issue.
14/01/2026 - Splash screen needs to be developed and shared, therefore the bug is on hold for now.</t>
  </si>
  <si>
    <t>UAT_HP_032</t>
  </si>
  <si>
    <t xml:space="preserve">EMI &amp; More section --&gt; Left &amp; Right slider buttons </t>
  </si>
  <si>
    <t>The left &amp; right slider buttons are now appearing on top of the cards.</t>
  </si>
  <si>
    <t>https://www.loom.com/i/e857ce20a8cf4000b4045bf7d1aabc18</t>
  </si>
  <si>
    <t>https://www.loom.com/i/1873e807643b46f0ac070479fbe65bd8</t>
  </si>
  <si>
    <t>13/01/2026</t>
  </si>
  <si>
    <t>Issue no longer appearing, hence closing.</t>
  </si>
  <si>
    <t>UAT_HP_033</t>
  </si>
  <si>
    <t>All Slider sections (EMI &amp; More, SBI Credit Card mobile App) --&gt; Slider dot colours</t>
  </si>
  <si>
    <t>EMI &amp; More section &amp; SBI Card Mobile App section slider dots no longer have the same colour they used to have. Instead of unselected and selected slides having - #636363 &amp; #9f9494, they have #000000 &amp; #007aff</t>
  </si>
  <si>
    <t>https://www.loom.com/i/7eafab8959874d71a5ef09ec36fa3065</t>
  </si>
  <si>
    <t>https://www.loom.com/i/fa8b46f9971c408485832567392263f6</t>
  </si>
  <si>
    <t>UAT_HP_034</t>
  </si>
  <si>
    <t xml:space="preserve">Explore Our Cards --&gt; Left &amp; Right slider buttons </t>
  </si>
  <si>
    <t>https://www.loom.com/i/b30517249e0849009c1eeae64a16455c</t>
  </si>
  <si>
    <t>https://www.loom.com/i/8f972c2c00f840f3a9241a2d4931592e</t>
  </si>
  <si>
    <t>UAT_HP_035</t>
  </si>
  <si>
    <t>Mobile Devices</t>
  </si>
  <si>
    <t>Gap</t>
  </si>
  <si>
    <t>Explore Our Cards --&gt; Card Image Container: tab-cards-item-block</t>
  </si>
  <si>
    <t>The gap between the tab headings and the card image is more than required because of static 250px height set for the card in focus.</t>
  </si>
  <si>
    <t>https://www.loom.com/i/e6fb2d266b874b6f92bf27983fe03722</t>
  </si>
  <si>
    <t>https://www.loom.com/i/3959031ca198497082f1a2d4e17be648</t>
  </si>
  <si>
    <t>09/02/2026 - As discussed on SBI Qucik HTML discussion call, the images size was increased intentionally therefore this is not a bug.
09/02/2026 - Need to discuss,  the card image size is larger when compared with v54 and therefore the gap between the tabs and the card images seems less then required - UAT/PVT - https://www.loom.com/i/f4aea9073986403faddc8d848ecd3639
HTML - https://www.loom.com/i/3d37929e50ea4caa875edd50ed80bab2
05/02/2026 - The issue is still the same - 
https://www.loom.com/i/fcd27786839040f997b183c99dd33aa2
https://www.loom.com/i/64a3bc9c25b84c12b0257a1b996409b9
04/02/2026 - The height should have been set to auto as it is in the HTML instead of being fixed at 185px.
https://www.loom.com/i/aef5df14c0b5480db573272b1dd693d9</t>
  </si>
  <si>
    <t>UAT_HP_036</t>
  </si>
  <si>
    <t>Explore Our Cards --&gt; Gap between the selected card images</t>
  </si>
  <si>
    <t>The gap between the selected card image &amp; the image prior to it seems less.</t>
  </si>
  <si>
    <t>https://www.loom.com/i/da829f531c194a189ad1b06751332106</t>
  </si>
  <si>
    <t>https://www.loom.com/i/2140543c3a454da5ad22b97f637348c6</t>
  </si>
  <si>
    <t>16/02/2026 - Fixed on devsit1
09-02-2026  Verified, please verify with version 54</t>
  </si>
  <si>
    <t xml:space="preserve">17/02/2026 - As discussed on UAT, regarding the orientation (horizontal/vertical) a separate bug needs to be logged as the gap is no longer a problem as reviewed on the call.Bug - UAT_HP_083 logged for this specific issue
17/02/2026 - In the mobile view, the card images that should appear horizontally still appear vertical. Another discussion was held to keep the images diagonal even in mobile view but that as well seems not yet implemented.
09/02/2026 - The card image size issue is also mentioned in UAT_HP_035 bug. But the landscape mode that needs to be followed for some of the card images is still not being followed as identified by Namita ma'am
04/02/2026 - Not sure if this is a content issue. Also, the credit card images are larger when compared with HTML. Card image (horizontal or vertical) is not handled - all card images are vertical - https://www.loom.com/i/66473808852a4fa9950bc541858a2b53
</t>
  </si>
  <si>
    <t>UAT_HP_037</t>
  </si>
  <si>
    <t>Explore Our Cards --&gt; Rotate to change to landscape mode --&gt; null appears between the 2 cards.</t>
  </si>
  <si>
    <t>On a real device when user rotates the phone from portrait to landscape, null appears between the cards. It only disappears when user refreshes the page or turns back to portrait mode. This issue also appears on product details page's "Similar Cards"</t>
  </si>
  <si>
    <t>https://www.loom.com/share/0ff02178b38247419bc35ff623b2dc8f</t>
  </si>
  <si>
    <t>14/01/2026</t>
  </si>
  <si>
    <t>No longer occurring.</t>
  </si>
  <si>
    <t>UAT_HP_038</t>
  </si>
  <si>
    <t>Explore Our Cards --&gt; Left &amp; Right slider buttons --&gt; Keyboard focus</t>
  </si>
  <si>
    <t>User remains unable to focus on the left &amp; right slider buttons using keyboard. Same issue is faced in the similar cards section of the product details page</t>
  </si>
  <si>
    <t>https://www.loom.com/share/1813107823a94ecf84cadf43cb4c6035</t>
  </si>
  <si>
    <t>https://www.loom.com/i/b9aaa4ba83ce452196a852cf8b384f2e</t>
  </si>
  <si>
    <t>30/01/2026 - As discussed on call, accessibility issues are to be kept on hold for now and to be picked in the next release.
29/01/2026 - As per Dheeraj, even if focus doesn't go to the slider buttons it doesn't cause any issue because user c</t>
  </si>
  <si>
    <t>UAT_HP_039</t>
  </si>
  <si>
    <t>Explore Our Cards --&gt; All Cards in the slider</t>
  </si>
  <si>
    <t>Benefits missing for the cards in the slider along with CTA like Apply Now &amp; See more Benefits for some of the cards.</t>
  </si>
  <si>
    <t>https://www.loom.com/i/77441823919944959862bbffbf5f1bb9</t>
  </si>
  <si>
    <t>Not able to reproduce</t>
  </si>
  <si>
    <t>21/01/2026</t>
  </si>
  <si>
    <t>The issue no appearing, hence resolved</t>
  </si>
  <si>
    <t>UAT_HP_040</t>
  </si>
  <si>
    <t>Image</t>
  </si>
  <si>
    <t>Explore Our Cards --&gt; Landmark Rewards SBI Card Select --&gt; Image</t>
  </si>
  <si>
    <t>The image's aspect ratio is inconsistent with the other credit card images used. As a result the CTA positioning gets affected.</t>
  </si>
  <si>
    <t>https://www.loom.com/i/d9a8ebde62a24fa88e87d51901da9397</t>
  </si>
  <si>
    <t>04/02/2026 - This bug was occurring earlier as evident in the screenshots. Marking this as resolved as this is no longer occurring.</t>
  </si>
  <si>
    <t>UAT_HP_041</t>
  </si>
  <si>
    <t>EMI &amp; More Section --&gt; Slowly scroll Down the whole section</t>
  </si>
  <si>
    <t>While slowly scrolling down the EMI &amp; More section, instead of the page going down normally and"Why SBI Card" section appearing slowly, it appears in an instant flash. Check the screen recording for better understanding.</t>
  </si>
  <si>
    <t>https://www.loom.com/share/ccdc86ff4f684b80b7413253787ca8df</t>
  </si>
  <si>
    <t>Design get changed</t>
  </si>
  <si>
    <t>16/02/2026 - Bug no longer valid as the design is now changed.
04/02/2026 - For the time being we are following the mobile layout for desktops and ipads/ tablets as well. Because we are unable to solve the issues in desktop version of this section. Hence keeping the bug on hold</t>
  </si>
  <si>
    <t>UAT_HP_042</t>
  </si>
  <si>
    <t>16/01/2026</t>
  </si>
  <si>
    <t>Why SBI Card --&gt; Scroll down</t>
  </si>
  <si>
    <t>While scrolling down the entire page slowly, the WHY SBI Card section sticks to the top and the rest of the page gets scrolled down. Therefore, in case of higher resolution systems (4K or Ultra HD screens) the Cards in the section do not stack completely up to 5 and in case of mid to small size screens the other screens can be seens scrolling down from the bottom (below the WHY SBI Card section) Check the recording for better understanding.</t>
  </si>
  <si>
    <t>https://www.loom.com/share/bad4caeb20c64073b55dfe88e8dd3dc7</t>
  </si>
  <si>
    <t>UAT_HP_043</t>
  </si>
  <si>
    <t>27/01/2026</t>
  </si>
  <si>
    <t>Get More with SBI card --&gt; Tabs on the Left --&gt; Credit Card Eligibility Criteria</t>
  </si>
  <si>
    <t>The tab label gets too close to the vertical gridline on the right. A certain gap/margin/padding should be maintained between the label and the vertical gridline</t>
  </si>
  <si>
    <t>https://www.loom.com/i/5969a50519904960ac4cdd7e386c84bd</t>
  </si>
  <si>
    <t>https://www.loom.com/i/8352a6da1cda46c29316598af1c0e83f</t>
  </si>
  <si>
    <t>18/02/2026</t>
  </si>
  <si>
    <t>18/02/2026 - The issue is resolved on devsit1 - https://loom.com/i/068ad23a9ccb4d8c8c0782c56845c589
06/02/2026 - verified it on the v3 HTML build but the issue still persists - https://www.loom.com/i/5fd12c4c8e5b4ef49d9bb92e2b61fef4
04/02/2026 - Content has been changed therefore this bug is no longer occurring by default. But if the content is increased, it does occur and it is also present in the benchmark HTML version therefore changing its tagging to HTML/CSS - 
https://www.loom.com/i/97b1260bd0f344a4b4cbe16e9dea0351</t>
  </si>
  <si>
    <t>UAT_HP_044</t>
  </si>
  <si>
    <t>Explore our Cards --&gt; Each Card Benefits --&gt; Benefit icons</t>
  </si>
  <si>
    <t>In case of desktops &amp; ipad/tablets, the benefit sentences are missing their respective icons.</t>
  </si>
  <si>
    <t>https://www.loom.com/i/c8d88adb160a4b54923abd27077bc0ea</t>
  </si>
  <si>
    <t>UAT_HP_045</t>
  </si>
  <si>
    <t>Alignment</t>
  </si>
  <si>
    <t>Explore our Cards --&gt; Each Card Benefits --&gt; 1st Benefit icon</t>
  </si>
  <si>
    <t>The first benefit icon is not vertically center aligned with its sentence on the right.</t>
  </si>
  <si>
    <t>https://www.loom.com/i/dae1d0d1d8954e04bb1aa2a9226c2452</t>
  </si>
  <si>
    <t>18/02/2026 - The issue is resolved on devsit1 - https://loom.com/i/f979e1668b474667b929d937f9c672bc
06/02/2026 - The issue is still not resolved - https://www.loom.com/i/6ac6692d79534172a62cb867cfc20da1
04/02/2026 - Tagging changed to HTML because issue also occurring in our HTML as well.</t>
  </si>
  <si>
    <t>UAT_HP_046</t>
  </si>
  <si>
    <t xml:space="preserve">Explore our Cards --&gt; Each Card --&gt; Gap between benefits &amp; CTAs below </t>
  </si>
  <si>
    <t>More than necessary gap found between the Benefit bullet points  and the CTAs</t>
  </si>
  <si>
    <t>https://www.loom.com/i/927d9b387b964e8b8bd9ec368004fb42</t>
  </si>
  <si>
    <t>23/02/2026 - The issue is resolved on devsit1 (In case of desktops &amp; iPads) - https://loom.com/i/2d91bffa1b2b4db08574cf712e35de4e
As discussed with Bharat on call, the issues is not fixed on mobile phones because of the height property still taking 130px height. He has fixed it and will be sending it across to get it implemented. Marking this issue as resolved for now and informing Arun sir.
06/02/2026 - The issue is only fixed in case of desktops &amp; iPads, need to be fixed for mobile phones as well
04/02/2026 - The bug is no longer occurring in case of large font. But as the font size is reduced to default or smallest, the gap between benefit bullet points and CTAs is noticeable and it is also present in the benchmark HTML version therefore changing its tagging to HTML/CSS - 
https://www.loom.com/i/cc389fd3f6764c22b59c43fed43665f7</t>
  </si>
  <si>
    <t>UAT_HP_047</t>
  </si>
  <si>
    <t>Style</t>
  </si>
  <si>
    <t>Explore our Cards --&gt; Recommended Cards &amp; Latest Launches Tab --&gt; Refresh the page</t>
  </si>
  <si>
    <t>Whenever user refreshes the page, increased font weight of both the tabs is noticed instead of only the one that is currently active. This goes normal as soon as user himself clicks or changes the tab.</t>
  </si>
  <si>
    <t>https://www.loom.com/share/f75e9662c33d499496e96647a351f15b</t>
  </si>
  <si>
    <t>UAT_HP_048</t>
  </si>
  <si>
    <t>All Pages --&gt; Text with Roboto as Font-Family</t>
  </si>
  <si>
    <t>Across all the pages through the websites, where ever the text font-family was Roboto, now has sans-sarif</t>
  </si>
  <si>
    <t>https://www.loom.com/i/bb1afaf2795d400fb82c66f4781330ea</t>
  </si>
  <si>
    <t>Neha Laddha</t>
  </si>
  <si>
    <t>11/03/2026 - Fixed on devsit1
23/02/2026 - Due to chatbot css
17/02/2026 - This is again, unresolved due to chatbot class
16/02/2026 - Fixed on devsit1</t>
  </si>
  <si>
    <t>11/03/2026 - The issue is resolved on devsit1 for all pages- https://www.loom.com/share/e8ff311bedaf4dfc86349dac5f3a83ce
 Will close this issue once it gets resolved on sbi-pvt
23/02/2026 - Will close this issue as soon as roboto font appears back instead of sans-sarif
17/02/2026 - The issue is still not resolved. Still font family sans-sarif in place of Roboto
04/02/2026 - When first verified this fix, it was resolved but then noticed again after some time that is has started reocurring.</t>
  </si>
  <si>
    <t>UAT_HP_049</t>
  </si>
  <si>
    <t>Keyboard Navigation ---&gt; Explore our Cards --&gt; Recommended Cards &amp; Latest Launches Tab</t>
  </si>
  <si>
    <t>When user navigates through keyboard tab and focuses on the mentioned tabs, the focus border doesn't appear.</t>
  </si>
  <si>
    <t>https://www.loom.com/i/df05d851e94e495bb7775bef18514ea0</t>
  </si>
  <si>
    <t>30/01/2026 - As discussed on call, accessibility issues are to be kept on hold for now and to be picked in the next release.
29/01/2026 - This issue also occurs on product details page's "Similar Card" section and the team needs to check and update what could be the reason for it as it is working in other environments.</t>
  </si>
  <si>
    <t>UAT_HP_050</t>
  </si>
  <si>
    <t>Keyboard Navigation ---&gt; EMI &amp; More --&gt; Change card focus until slider slides --&gt; Notice the position of the slider dots at the bottom</t>
  </si>
  <si>
    <t>While navigating through keyboard, user moves forward to next card focus and as soon as the slide is changed, the slider dot position goes to the left instead of remaining in the center. As a result, after all the cards, the focus never goes to the slider dots and they get skipped. Arrow &amp; dots should not be present for any slider if not more than 1 slide is in the section.</t>
  </si>
  <si>
    <t>https://www.loom.com/share/306f639482044f4a9903fc0117ffb4ba</t>
  </si>
  <si>
    <t>18/02/2026 - The issue is resolved on devsit1 - https://loom.com/i/9cbe3e630ce44aada0ce58321ae63814
 06/02/2026 - Fixed on HTML, need to be implemented on UAT</t>
  </si>
  <si>
    <t>UAT_HP_051</t>
  </si>
  <si>
    <t>Functional</t>
  </si>
  <si>
    <t>Get More with SBI card --&gt; Mobile Phones --&gt; Expand different accordion tabs --&gt; Check the image below the section title.</t>
  </si>
  <si>
    <t>In case of mobile phones, the Image below the section title doesn't change as the user expands different accordions then the first one.</t>
  </si>
  <si>
    <t>https://www.loom.com/i/3259934058874ddea44bf261d4b14673</t>
  </si>
  <si>
    <t>04/02/2026 - As per the discuss with the developer &amp; designer, it is confirmed that in case of mobile phones, same image was to be used. Therefore closing this issue.</t>
  </si>
  <si>
    <t>UAT_HP_052</t>
  </si>
  <si>
    <t>Why SBI Card --&gt; Stacked Cards --&gt;Left &amp; Right Slider buttons</t>
  </si>
  <si>
    <t>In case of desktops &amp; ipad/tablets, more than required gap between the card stack and the slider buttons can be observed.</t>
  </si>
  <si>
    <t>https://www.loom.com/i/427df69b61ba4710a2d6f67408b5c180</t>
  </si>
  <si>
    <t>https://www.loom.com/i/b00f5dea19e1416b83ffc0ea81bbf397</t>
  </si>
  <si>
    <t>09/02/2026 - The slider buttons are now closer in case of desktops &amp; iPads / Tablets - https://loom.com/i/133aef44d3f44d43b4b45ab1162d8de8</t>
  </si>
  <si>
    <t>UAT_HP_053</t>
  </si>
  <si>
    <t>iPads Pro, iPad Air</t>
  </si>
  <si>
    <t>PVT --&gt; iPad Pro/ iPad Air --&gt; Header sub navigation wrap --&gt; button labels</t>
  </si>
  <si>
    <t>The button label are lengthy and get to close together.</t>
  </si>
  <si>
    <t>https://www.loom.com/i/856607508af74c31804d30321fdcc054</t>
  </si>
  <si>
    <t>16/02/2026 - Fixed on pvt</t>
  </si>
  <si>
    <t>17/02/2026 - As discussed on call with Namita ma'am (UAT discussion call). The button labels had to be shortened like - "Card Payments" to "Payments" &amp; "Utility Bill Payment" to "Easy Bill Pay". This has created some breathing space between the labels in case of iPads. Although if font size is increased, the still get too close to each other but as confirmed on call, no further changes can be done on this HTML/CSS wise or content wise therefore closing this - 
https://loom.com/i/0ee4ee59780d462482b7fefd5d289e02</t>
  </si>
  <si>
    <t>UAT_HP_054</t>
  </si>
  <si>
    <t>iPads / Tablets --&gt; Get More with SBI Card section --&gt; Left side tabs</t>
  </si>
  <si>
    <t>The 4 tab labels on the left side get truncated.</t>
  </si>
  <si>
    <t>https://www.loom.com/i/6d57455155d446e2823deb349a16340a</t>
  </si>
  <si>
    <t>23/02/2026 - This issue was already resolved on 17/02/2026 but came in the list to verify again
17/02/2026 - The issue is resolved on devsit1 - 
https://loom.com/i/58bf2993318b43c7b619409ef827a2a4
But as it is still not resolved on pvt as mentioned in the observation sheet, therefore couldn't close it as it is a PVT bug - https://www.loom.com/i/76569c7771ca42f582db8c9b985e4f85</t>
  </si>
  <si>
    <t>UAT_HP_055</t>
  </si>
  <si>
    <t>PVT --&gt; Nu HTML Validator --&gt; https://validator.unl.edu/</t>
  </si>
  <si>
    <t>4 extra HTML error can be observed apart from the doctype error that was already in the devsit link</t>
  </si>
  <si>
    <t>https://www.loom.com/i/8ff99cc7b8834a00b4f72083b9289831</t>
  </si>
  <si>
    <t>23/02/2026 - We will pick this after the release as discussed on the call.</t>
  </si>
  <si>
    <t>23/02/2026 - As discussed on call, we will pick this after current release therefore putting this call on hold for now.</t>
  </si>
  <si>
    <t>UAT_HP_056</t>
  </si>
  <si>
    <t xml:space="preserve"> Mobile Footer Menu --&gt; Card Payment Tab</t>
  </si>
  <si>
    <t>The card payment tab appears close to the "Apply Now" button. This may be because each tab's width depends on the content size and the space between them is distributed evenly.</t>
  </si>
  <si>
    <t>https://www.loom.com/i/aa84c333aaa04b559ccd572223ed60d8</t>
  </si>
  <si>
    <t>13/02/2026 - Icon &amp; button position changed on HTML and screenshot shared. Rs. Icon shared as well.
09/02/2026 - Rs. symbol needs to be used instead of the current icon.</t>
  </si>
  <si>
    <t>UAT_HP_057</t>
  </si>
  <si>
    <t>Explore our Cards, EMI &amp; More Section --&gt; Auto Slide</t>
  </si>
  <si>
    <t>Both the mentioned sections do not auto slide. Also, in case of desktop, not only should they auto slide but should also pause if mouse is hovered on any of the slide/card and in case of mobile if tapped and holded</t>
  </si>
  <si>
    <t>https://www.loom.com/share/4bee97879c714c7d8fa72ac3b7a9370e</t>
  </si>
  <si>
    <t>24/02/2026 - As discussed on call,  this issue is not in any of the doc received till 16th Feb and as we are only picking fixes received till 16th Feb therefore the issue is not picked.</t>
  </si>
  <si>
    <t>24/02/2026 - Need to discuss with Arun sir/Namita ma'am in context to the dev remark</t>
  </si>
  <si>
    <t>UAT_HP_058</t>
  </si>
  <si>
    <t>Slider Dots</t>
  </si>
  <si>
    <t>Hero Section --&gt; Banner slider dots</t>
  </si>
  <si>
    <t>The Banner slider dots new css style has not yet been implemented -check the expected vs actual result. Bug logged as requested by Namita ma'am</t>
  </si>
  <si>
    <t>https://www.loom.com/i/ddcaf26c43cc42988e6020e1aa070218</t>
  </si>
  <si>
    <t>https://www.loom.com/i/20687d24b37a462e85cd0bc9f7f74dda</t>
  </si>
  <si>
    <t>17/02/2026 - Issue resolved on devsit1. As confirmed on mail, functional or UI/UX issues to be checked on closed on devsit1, therefore closing this  - https://www.loom.com/i/d6888a79577f4004b8a837978b1e8d74</t>
  </si>
  <si>
    <t>UAT_HP_059</t>
  </si>
  <si>
    <t xml:space="preserve">- </t>
  </si>
  <si>
    <t>Hero Banner</t>
  </si>
  <si>
    <t>Hero Section --&gt; Banner slides --&gt; Title &amp; T&amp;Cs</t>
  </si>
  <si>
    <t>The Banner slider titles still appear in all caps, the font size still not reduced and the T&amp;Cs at the right hand side is missing. Also need to have a browsable image option in case of Tablet background image - for the font size and caps. - check expected vs actual result -  Bug logged as requested by Namita ma'am</t>
  </si>
  <si>
    <t>https://www.loom.com/i/2b28fc5dcd494ad1941c24d458a76d80</t>
  </si>
  <si>
    <t>https://www.loom.com/i/d35eb320b0164a7ba6d9535589da4f98</t>
  </si>
  <si>
    <t>17/02/2026 - Issue resolved on devsit1. As confirmed on mail, functional or UI/UX issues to be checked on closed on devsit1, therefore closing this - 
https://loom.com/i/1d333109220949fe9d93545e6742bba2
https://loom.com/i/727ca7519bcc458cab5a39edde32eded
Also, as informed by Bharat on call, Namita ma'am decided that in case of desktop &amp; ipad, the hero section's title doesn't doesn't have to change its size when user increases or decreases the font size because it is already large enough to be readable. So, it's size is not set in rem and in pixel instead and it not adjusting its size is intentional behaviour</t>
  </si>
  <si>
    <t>UAT_HP_060</t>
  </si>
  <si>
    <t>Loader</t>
  </si>
  <si>
    <t>Refresh or Load any page in the entire platform</t>
  </si>
  <si>
    <t>New Loader needs to be implemented as it is already sent on 2nd Feb - Bug logged as requested by Prajjwal</t>
  </si>
  <si>
    <t>23/02/2026 - Fixed on devsit
16/02/2026 - Fixed on devsit1</t>
  </si>
  <si>
    <t>Reopened</t>
  </si>
  <si>
    <t xml:space="preserve">23/02/2026 -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17/02/2026 - The new loader with the glassmorphism effect and credit card image size slightly reduced is not yet implemented.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t>
  </si>
  <si>
    <t>UAT_HP_061</t>
  </si>
  <si>
    <t>Hero Section --&gt; Banner slides</t>
  </si>
  <si>
    <t>Add Background stacking class option for each slide as informed on HTML discussion call, the author should have an option to add a class to each banner slide in the Home hero banner.</t>
  </si>
  <si>
    <t>23/02/2026 - This issues was already resolved on 20/02/2026
20/02/2026 - As demonstrated by Neha Jain ma'am on call, the author is able to add background class from CMS. Therefore, closing this issue.
17/02/2026 - As discussed with Bharat on call, this bug was regarding stacking the class on the hero section slide div. For ex: bg-bottom. This is now implemented - https://www.loom.com/i/42175b81993e4a20a17bb5c47676c611
However, as the bug was not marked as fixed in the observation sheet therefore not closing it until its received for verification.</t>
  </si>
  <si>
    <t>UAT_HP_062</t>
  </si>
  <si>
    <t>13/02/2026</t>
  </si>
  <si>
    <t>Auto Tab switch</t>
  </si>
  <si>
    <t>PVT --&gt; Get more with SBI Card -&gt; Left side Tabs</t>
  </si>
  <si>
    <t>On the PVT environment, the "Get more with SBI Card" tabs do not auto switch like they do in the devsit1 environment. Check the actual vs expected result screenshot.</t>
  </si>
  <si>
    <t>https://www.loom.com/share/f99b37eb669c4af495d55cc87948d185</t>
  </si>
  <si>
    <t>https://www.loom.com/share/6294cf1f89af4c4dbd1661f7f98aa754</t>
  </si>
  <si>
    <t>23/02/2026 - Once we deployed the build on PVT it will get fixed, till now you can verify on devsit</t>
  </si>
  <si>
    <t>25/02/2026</t>
  </si>
  <si>
    <t>25/02/2026 - This is resolved on sbi-pvt - https://www.loom.com/share/a9939364d5964f019a8bf1682bf908a8
23/02/2026 - This is working fine on devsit1, once it also works the same way in pvt, will close this issue.
20/02/2026 - This is working fine on devsit1, once it also works the same way in pvt, will close this issue.</t>
  </si>
  <si>
    <t>UAT_HP_063</t>
  </si>
  <si>
    <t>PVT --&gt; Hero Section --&gt; 1st, 3rd &amp; 4th Slide --&gt; Banner's sub line above title</t>
  </si>
  <si>
    <t>The Banner's sub line above the text is missing the font style (Dancing script) its colour (white) &amp; it's size</t>
  </si>
  <si>
    <t>https://www.loom.com/i/e3dca667271a40498d27e312bdcaef6a</t>
  </si>
  <si>
    <t>23/02/2026 - Verify on devsit1</t>
  </si>
  <si>
    <t>25/02/2026 - This issue is resolved on PVT - https://loom.com/i/f0c37bddd24c4b959dc16d469b712fb4
23/02/2026 - This issue has been fixed on devsit1 - https://loom.com/i/1fe26ef809804b02977020cfe166f3da
Will close this as soon as it gets forwarded to pvt and works fine there as it is a pvt issue</t>
  </si>
  <si>
    <t>UAT_HP_064</t>
  </si>
  <si>
    <t>PVT --&gt; Hero Section --&gt; 3rd Slide ( Presenting Indigo SBI cards )</t>
  </si>
  <si>
    <t>As per the content file, this slide doesn't have a sub title. Currently, its sub line text is being used as a title and the title is being used as sub title.</t>
  </si>
  <si>
    <t>https://www.loom.com/i/3f42df8244f844e2bc3652099c42f925</t>
  </si>
  <si>
    <t>23/02/2026 - Need Discussion - Sampreet need to clarify this with the content Team</t>
  </si>
  <si>
    <t>23/02/2026 - As confirmed by Arun sir on call, this banner doesn't have a subtitle therefore subtitle not being there is not a bug. Hence closing this issue.</t>
  </si>
  <si>
    <t>UAT_HP_065</t>
  </si>
  <si>
    <t>PVT --&gt; Discover Our Cards --&gt; Recent Launches --&gt; Card Titles --&gt; Capitalizations</t>
  </si>
  <si>
    <t>Except for Flipkart SBI Card, rest of the card titles are in "All Caps" instead of only each word in the card title having capitalization</t>
  </si>
  <si>
    <t>https://www.loom.com/i/67305defc68c43289bc5e4b0d7530b36</t>
  </si>
  <si>
    <t>23/02/2026 - Card Name- follow excel</t>
  </si>
  <si>
    <t>05/03/2026 - The word "Neu" should not be all caps as per the master sorting sheet - https://www.loom.com/i/209a6c9a0b314a5092338ed4aa7099e0
23/02/2026 - As discussed with Arun sir, Namita ma'am has confirmed that the card name casing needs to be exactly like the master sheet that has been shared with the team</t>
  </si>
  <si>
    <t>UAT_HP_066</t>
  </si>
  <si>
    <t>PVT --&gt; Discover Our Cards --&gt; Featured Cards --&gt; Card Titles --&gt; Capitalizations</t>
  </si>
  <si>
    <t>The card title capitalization (lower case/upper case) of each letter doesn't exactly match when compared with the content file</t>
  </si>
  <si>
    <t>https://www.loom.com/i/306db704e66b40bca44fce12a086e84d</t>
  </si>
  <si>
    <t>05/03/2026 - As per the master sorting excel sheet - Cashback SBI Card - The word "Cashback" should be in all caps
SimplyCLICK SBI Card - Both words "Simply" &amp; "CLICK" should be together as a single word.
SBI Card Miles Elite - The word "Elite" should not be in all caps.
https://www.loom.com/i/f4f21c240ff040d2ba92ef6c10559790
23/02/2026 - As discussed with Arun sir, Namita ma'am has confirmed that the card name casing needs to be exactly like the master sheet that has been shared with the team</t>
  </si>
  <si>
    <t>UAT_HP_067</t>
  </si>
  <si>
    <t>PVT --&gt; Get more with SBI Card --&gt; Credit Card Security Tips --&gt; Paragraph above bullet points</t>
  </si>
  <si>
    <t>The word "Financial" is spelled incorrectly - "Finacial". Also, in the content file it is "Loss" instead of "Losses"</t>
  </si>
  <si>
    <t>https://www.loom.com/i/00878465f6e648c8874d2a37563c421c</t>
  </si>
  <si>
    <t>23/02/2026 - fixed on pvt</t>
  </si>
  <si>
    <t>23/02/2026 - The issue is resolved on sbi-pvt - https://loom.com/i/143e0a8f66254dad82c497a85708fed6</t>
  </si>
  <si>
    <t>UAT_HP_068</t>
  </si>
  <si>
    <t>PVT --&gt; Get more with SBI Card --&gt; Credit Card Security Tips --&gt; Tips to Secure your Card --&gt; 2nd Tip sentence</t>
  </si>
  <si>
    <t>The 2nd Tips sentence doesn't exactly match with the one present in the content file. The sentence should be "Protect your credit card’s confidential details like PIN, Card Expiry Date, and Card Verification Value (CVV). Never share them with anyone through phone call or E-mail."</t>
  </si>
  <si>
    <t>https://www.loom.com/i/d6530acb55cc40749b435ecce71c3f8a</t>
  </si>
  <si>
    <t>UAT_HP_069</t>
  </si>
  <si>
    <t>PVT --&gt; Get more with SBI Card --&gt; Credit Card Interest Rates --&gt; Understanding Credit Card Interest Rates (Paragraph)</t>
  </si>
  <si>
    <t>In the entire paragraph, "Interest rates" written instead of "Interest rate" as written in the content file and therefore instead of "Interest rates are" it should be "Interest rate is"</t>
  </si>
  <si>
    <t>https://www.loom.com/i/c0e01c8bf5e44cca9a1dbcf75f2b61ea</t>
  </si>
  <si>
    <t>05/03/2026 - The issue is resolved on sbi-pvt
23/02/2026 - In the 2nd line "Credit card interest rate are also known as credit card finance charges." the word "are" needs to be "is"  - https://loom.com/i/8ea56319bd404a8c8f290d1ac5602888</t>
  </si>
  <si>
    <t>UAT_HP_070</t>
  </si>
  <si>
    <t>PVT --&gt; Get more with SBI Card --&gt; Credit Card Interest Rates --&gt; When is the interest on a credit card charged? --&gt; Each bullet point title</t>
  </si>
  <si>
    <t>Each of the pointer's title instead of being bold and in a separate line. It appears with &lt;br&gt; tags in it.</t>
  </si>
  <si>
    <t>https://www.loom.com/i/1806bd5eabd645f3b121b0d1b0064800</t>
  </si>
  <si>
    <t>25/02/2026 - This issue is resolved on PVT - https://loom.com/i/09fd2c4c68ef4c258ccb955c0412d018
23/02/2026 - The issue is resolved on devsit1 - https://loom.com/i/9ac23c20b6074226bc0f8a91fb653300
As this is a pvt bug, will close this issue once it is also resolved on pvt</t>
  </si>
  <si>
    <t>UAT_HP_071</t>
  </si>
  <si>
    <t>PVT --&gt; Get more with SBI Card --&gt; Credit Card Usage --&gt;Top Paragraph</t>
  </si>
  <si>
    <t>Last line "Hence, it is important that you are aware of their terms and conditions when you sign up for them to avail maximum benefits" instead of being included in the paragraph, it is used a sub title.</t>
  </si>
  <si>
    <t>https://www.loom.com/i/035b537bd2594cc6a6b57832d3d53539</t>
  </si>
  <si>
    <t>23/02/2026 - Sampreet need to check with the content team. A list heading from the CMS is a mandatory field, and we don’t have the list heading in the content doc that’s why we put the last line in a list heading field</t>
  </si>
  <si>
    <t>02/03/2026 - The subheading that is mandatory, needs to be fixed. Nothing is supposed to mandatory. Needs to be fixed by Bharat
23/02/2026 - Needs to be discussed/confirmed/approved by Namita ma'am. Need to wait for her to be available again.</t>
  </si>
  <si>
    <t>UAT_HP_072</t>
  </si>
  <si>
    <t>PVT --&gt; Get more with SBI Card --&gt; Credit Card Usage --&gt; Bullet Points</t>
  </si>
  <si>
    <t>https://www.loom.com/i/cd241fcbffb4427d8c8e25e14ca8a62b</t>
  </si>
  <si>
    <t>25/02/2026 - The issue is resolved on pvt - https://loom.com/i/84229b420de3478c9637a158c3247daf
23/02/2026 - The issue is resolved on devsit1 - https://loom.com/i/b6ba48f44afa421cbd76778aba9d439b
As this is a pvt bug, will close this issue once it is also resolved on pvt</t>
  </si>
  <si>
    <t>UAT_HP_073</t>
  </si>
  <si>
    <t>PVT --&gt; Get more with SBI Card --&gt; Your Credit Score --&gt; Top Paragraph</t>
  </si>
  <si>
    <t>Instead of words "credit" &amp; "worthiness" , a single word "creditworthiness" needs to be used.</t>
  </si>
  <si>
    <t>https://www.loom.com/i/f198086095f94599a48f31f7d659a703</t>
  </si>
  <si>
    <t>23/02/2026 - The issue is resolved on sbi-pvt - https://loom.com/i/c4f7f6d1f75743efbb63dfab95434b56</t>
  </si>
  <si>
    <t>UAT_HP_074</t>
  </si>
  <si>
    <t>The sentence "Whereas a low score below..." needs to match with the content file to be "Whereas a low score below 600 is considered poor and places you in a risk zone, making it difficult to secure an approval. Having said that, people with lower scores can also be eligible for a credit card"</t>
  </si>
  <si>
    <t>https://www.loom.com/i/022bccaa2a92471a9a6bb707b697d188</t>
  </si>
  <si>
    <t>23/02/2026 - The issue is resolved on sbi-pvt - https://loom.com/i/6e8ffe9faecd4dfd85938e2088124719</t>
  </si>
  <si>
    <t>UAT_HP_075</t>
  </si>
  <si>
    <t>PVT --&gt; Get more with SBI Card --&gt; Your Credit Score --&gt; Key Factors Affecting Your Credit Score --&gt; 3rd Bullet point</t>
  </si>
  <si>
    <t>" credit card balance above" in the 3rd bullet point gets repeated twice</t>
  </si>
  <si>
    <t>https://www.loom.com/i/6a6905fe10b144aea721b95ca38f103c</t>
  </si>
  <si>
    <t>23/02/2026 - The issue is resolved on sbi-pvt - https://loom.com/i/5986f54e57c44b21bc330dc77a07c7e8</t>
  </si>
  <si>
    <t>UAT_HP_076</t>
  </si>
  <si>
    <t xml:space="preserve">PVT --&gt; Get more with SBI Card --&gt; Credit Card Security tips &amp; Card Eligibility Criteria Tabs --&gt; Tab image on the right side </t>
  </si>
  <si>
    <t>In case of both the mentioned tabs in the steps to reproduce section, the tab images that appear are the same.</t>
  </si>
  <si>
    <t>https://www.loom.com/i/1a335e4dc7c4483a89235977aa84bb55</t>
  </si>
  <si>
    <t>23/02/2026 - Need the image from the content team</t>
  </si>
  <si>
    <t>05/03/2026 - The issue is resolved on sbi-pvt - https://www.loom.com/i/54a1386d0fc845b6afdde4369dd893b1
25/02/2026 - The issue is not resolved on sbi-pvt - https://loom.com/i/05dc392a70d14dc9ba38a3402a34ddb1
23/02/2026 - The issue is resolved on devsit1 - https://loom.com/i/6bdf18ffdcbe48aa98032312ccf35182 
As this is a PVT issues, will close this if it gets resolved on PVT as well.</t>
  </si>
  <si>
    <t>UAT_HP_077</t>
  </si>
  <si>
    <t>Galaxy Z Fold, Galaxy S8+</t>
  </si>
  <si>
    <t>Content Cropped</t>
  </si>
  <si>
    <t>EMI &amp; More Section --&gt; Devices less than 375px width --&gt; Large Font</t>
  </si>
  <si>
    <t>"Flexi Payments" &amp; "Balance Transfer on EMI" card sub title in the "EMI &amp; More" section gets cropped by the image/animation present at the bottom of it.</t>
  </si>
  <si>
    <t>https://www.loom.com/i/24df780a55cd41279f29ae75a8eb3e77</t>
  </si>
  <si>
    <t>03-03-2026 please check again</t>
  </si>
  <si>
    <t>05/03/2026 - The Balance Transfer on EMI card's sub title still gets cropped from the bottom in case of samsung galaxy z fold when the font size is largest - https://loom.com/i/8f4432a462ca4f798a18af410d60fd98
Issue assigned to Arun sir because for now only the content can be reduced.</t>
  </si>
  <si>
    <t>UAT_HP_078</t>
  </si>
  <si>
    <t>PVT --&gt; Sub navigation menu wrap --&gt; "Payements" &amp; "Easy Bills Pay" tab</t>
  </si>
  <si>
    <t>Please ignore the bug if some cotent changes were decided and the current label is the updated content but if not, "Payements" &amp; "Easy Bills Pay" tab need to named "Card Payment" &amp; "Utility Bill Payment" as per the latest content file for Header &amp; Footer.</t>
  </si>
  <si>
    <t>https://www.loom.com/i/f42c59343bb84b1dad754b394818912f</t>
  </si>
  <si>
    <t>23/02/2026 - This Change was requested by Namita on 13th feb Call:
- Card Payments - Payments
- Utility Bill Payment - Easy Bill Pay</t>
  </si>
  <si>
    <t>23/02/2026 - As requested by Namita ma'am on call, the changes were made - "Card Payments" to "Payments" &amp; "Utility Bill Payment" to "Easy Bill Pay". Therefore closing this issue</t>
  </si>
  <si>
    <t>UAT_HP_079</t>
  </si>
  <si>
    <t>PVT --&gt; Discover Our Cards --&gt; Recent Launches &amp; Featured Cards --&gt; See Benefits CTA for each card</t>
  </si>
  <si>
    <t>The "See Benefits" CTA for each card needs to be changed to "Explore More" as per the content file.</t>
  </si>
  <si>
    <t>https://www.loom.com/i/bf53b35007be40c7bb9b54bba120ac0d</t>
  </si>
  <si>
    <t>18/02/2026 - As discussed with Namita ma'am on UAT Discussion Call. This doesn't need to be changed. Hencing closing the issue.</t>
  </si>
  <si>
    <t>UAT_HP_080</t>
  </si>
  <si>
    <t>PVT --&gt; Get more with SBI Card --&gt; Credit Cards Interest Rate Icon</t>
  </si>
  <si>
    <t>The Icon appears incorrectly. Like all other icons, it should be in the center of a circle boundary with some gap from the circle's circumference.</t>
  </si>
  <si>
    <t>https://www.loom.com/i/c236a42fd1d64c47a4fc53c6240419ab</t>
  </si>
  <si>
    <t>05/03/2026 - The issue is resolved on sbi-pvt - https://loom.com/i/95815d566db846729020fe7e24ad2448
23/02/2026 - The icon has been provided as confirmed by Arun sir. The issue is yet to be resolved on sbi-pvt - https://www.loom.com/i/15c210e93d6741bab642eea05d4ba1d6</t>
  </si>
  <si>
    <t>UAT_HP_081</t>
  </si>
  <si>
    <t>PVT --&gt; Mobile Phones --&gt; Get more with SBI Card --&gt; Credit Card Usage &amp; Credit Card Interest Rate Tab</t>
  </si>
  <si>
    <t>The Icons appear for the mentioned tabs are not for mobile phones because their sizes do not match with the rest of the 3 icons.</t>
  </si>
  <si>
    <t>https://www.loom.com/i/0e461c5a36954fda9a5dfcdb3a38a188</t>
  </si>
  <si>
    <t>25/02/2026 - Fixed and verified on PVT
23/02/2026 - fixed on pvt</t>
  </si>
  <si>
    <t>26/02/2026</t>
  </si>
  <si>
    <t>26/02/2026 - The issue is resolved on sbi-pvt - https://loom.com/i/bc52c9f685dc4a66af895626fd089348
23/02/2026 - The icons have been provided as confirmed by Arun sir just today. Therefore, the issue is still not resolved on sbi-pvt as also presented on call.</t>
  </si>
  <si>
    <t>UAT_HP_082</t>
  </si>
  <si>
    <t>PVT --&gt; iPads / Tablets --&gt; Get more with SBI Card --&gt; Left side Tab icons.</t>
  </si>
  <si>
    <t>In case of iPads/Tablets, the icon border shape doesn't remain circle in case of "Card Eligibility Criteria". The size of the icon "Your Credit Score" &amp; "Credit Card Interest Rates" is more than required as the gap from the icon to its outer circle boundary is close to 0. Check the actual result (pvt) and expected result - (devsit1)</t>
  </si>
  <si>
    <t>https://www.loom.com/i/99024be70ecd4e1daac64d3e8b899fd8</t>
  </si>
  <si>
    <t>https://loom.com/i/750be550b91b49cc93073dac5406259a</t>
  </si>
  <si>
    <t>05/03/2026 - This issue is not resolved on sbi-pvt and when checked on HTML/CSS with Bharat on call, found that this also occurs in HTML/CSS benchmark version 49 &amp; 50 therefore changing it's stage column value from PVT to HTML/CSS and assigning in to Bharat.
02/03/2026 - The issue is still present on iPads / Tablets, borders do not appear in a circle shape, the gap between the icon in the center and the border is not the same for all icons. The icons are not center aligned - https://www.loom.com/i/67a0c14d6db8485a8a61a155f454bdea
23/02/2026 - The icons have been provided as confirmed by Arun sir just today. Therefore, the issue is still not resolved on sbi-pvt as also presented on call - https://www.loom.com/i/5cc49fb09eb94e1c883c1fca57bf6fd5</t>
  </si>
  <si>
    <t>UAT_HP_083</t>
  </si>
  <si>
    <t>Image Orientation</t>
  </si>
  <si>
    <t>Mobile Phones --&gt; Discover Our Cards (Explore Our Cards) --&gt; Card Image Orientation</t>
  </si>
  <si>
    <t>There are some images that need to be horizontal but currently all images are vertical. A solution discussed on call regarding this was to make all the images diagonal as they are in the desktop view. A request on call was given to log this as a separate issue not only because it's no longer related to UAT_036 that had this concern written in QA remark but also because it shouldn't get missed by any chance.</t>
  </si>
  <si>
    <t>https://www.loom.com/i/e3c702628cf343d19569f7ac21710879</t>
  </si>
  <si>
    <t>23/02/2026 - We will do that change post go live</t>
  </si>
  <si>
    <t>02/03/2026 - As confirmed by Namita ma'am. This will be picked in the next release therefore marking this issue as P3.
23/02/2026 - This needs to be discussed with Namita ma'am as the credit card images being used are go incorrect with their current orientation.</t>
  </si>
  <si>
    <t>UAT_HP_084</t>
  </si>
  <si>
    <t>PVT --&gt; Mobile Phones --&gt; Home Page --&gt; Hero Section --&gt; Cashback Slide</t>
  </si>
  <si>
    <t>The Banner Image (animation) Purple Background doesn't blend with the purple background of the slide</t>
  </si>
  <si>
    <t>https://www.loom.com/i/488bc5c5a7e942d1bf98f5730b2ac3e4</t>
  </si>
  <si>
    <t>11/03/2026 - The issue is resolved on sbi-pvt - https://loom.com/i/b13aaff8f35143429a3adc71a48aa678
05/03/2026 - Arun sir has been informed to sent the images if not already.
23/02/2026 - Had a call with Arun sir and got a confirmation that he has now sent the required image</t>
  </si>
  <si>
    <t>UAT_HP_085</t>
  </si>
  <si>
    <t>Home Page &amp; Catalogue Page --&gt; Any Apply Now CTA</t>
  </si>
  <si>
    <t>Clicking on any of the "Apply Now" button for any card on Home or Catalogue Page leads to error 404 page not found</t>
  </si>
  <si>
    <t>https://www.loom.com/share/48e73d1ce62e4bf5a68a6f43d2261b24</t>
  </si>
  <si>
    <t>05/03/2026 - This issue was already resolved on 2nd March 2026
02/03/2026 - As demonstrated on UAT Discussion call, Neha Laddha ma'am confirmed that as all the URL redirections are correct (land on the correct url) it doesn't matter if the URLs are currently not working. Therefore, this bug needs to be closed.</t>
  </si>
  <si>
    <t>UAT_HP_086</t>
  </si>
  <si>
    <t>Explore Our Cards / Similar Cards Section --&gt; Card CTAs</t>
  </si>
  <si>
    <t>The background fill (purple) should be the style of the main CTA that is "Apply Now" instead of "See Benefits"</t>
  </si>
  <si>
    <t>https://www.loom.com/i/b8f0a0016aa04aea8c65e59dca691b51</t>
  </si>
  <si>
    <t>05/03/2026 - The issue is not resolved on sbi-pvt - https://www.loom.com/i/1f07bca7b6a042d2b7dea80cad053ea0</t>
  </si>
  <si>
    <t>UAT_HP_087</t>
  </si>
  <si>
    <t>Home &amp; Catalogue Page --&gt; Mobile Phones --&gt;  Mobile Footer Menu --&gt; Apply Now button</t>
  </si>
  <si>
    <t>The button shape is not circular</t>
  </si>
  <si>
    <t>https://www.loom.com/i/8405a475a8af429fb1d9ba6c43957244</t>
  </si>
  <si>
    <t>https://www.loom.com/i/479b2fb3128d4747b9d674642b725757</t>
  </si>
  <si>
    <t>UAT_HP_088</t>
  </si>
  <si>
    <t>The button label - "Apply Now" needs to be capitalized - "APPLY NOW"</t>
  </si>
  <si>
    <t>UAT_HP_089</t>
  </si>
  <si>
    <t>All Pages --&gt; Refresh the Page --&gt; Check if the loader animation disappears even before the page loads completely</t>
  </si>
  <si>
    <t>When user refreshes any of the page in the entire platform, in case due to internet or device, the loader disappears even before the page complets loading.</t>
  </si>
  <si>
    <t>https://www.loom.com/share/827f43fdea79414f9b32d40b282f352f</t>
  </si>
  <si>
    <t>UAT_HP_090</t>
  </si>
  <si>
    <t>Explore Our Cards --&gt; Recent Launches --&gt; Indigo SBI Card Elite --&gt; 1st Bullet point</t>
  </si>
  <si>
    <t>as Welcome at the end of the 1st Benefit sentence needs to be removed as it has a strike-through in the latest content file</t>
  </si>
  <si>
    <t>https://www.loom.com/i/2b56126a00c44267b5ab98e76e7643ef</t>
  </si>
  <si>
    <t>UAT_HP_091</t>
  </si>
  <si>
    <t>Explore Our Cards --&gt; Recent Launches --&gt; Indigo SBI Card Elite --&gt; 2nd Bullet point</t>
  </si>
  <si>
    <t>Instead of "129 Lakhs", it should be "12 Lakhs"</t>
  </si>
  <si>
    <t>https://www.loom.com/i/7185f01309a04653b08bffd1d283582b</t>
  </si>
  <si>
    <t>UAT_HP_092</t>
  </si>
  <si>
    <t>Explore Our Cards --&gt; Recent Launches --&gt; Indigo SBI Card Elite --&gt; 3rd Bullet Point</t>
  </si>
  <si>
    <t>8 &amp; 6 have strike-through in the latest content file, which means they should not be included in the sentence</t>
  </si>
  <si>
    <t>https://www.loom.com/i/5e76c5eeb7d04417814021df83aa4cef</t>
  </si>
  <si>
    <t>UAT_HP_093</t>
  </si>
  <si>
    <t>Explore Our Cards --&gt; Recent Launches --&gt; Indigo SBI Card --&gt; 1st Bullet point</t>
  </si>
  <si>
    <t>The first bullet point needs to be "Welcome Gift of 2,500 IndiGo BluChips." as per the latest content file</t>
  </si>
  <si>
    <t>https://www.loom.com/i/74b1c08289694cdc92309d81369c1dd5</t>
  </si>
  <si>
    <t>UAT_HP_094</t>
  </si>
  <si>
    <t>Explore Our Cards --&gt; Recent Launches --&gt; Indigo SBI Card --&gt; 3rd Bullet point</t>
  </si>
  <si>
    <t>The word "complimentary" and "in a year" are strike-through in the latest content file. They need to be removed from the 3rd bullet point sentence</t>
  </si>
  <si>
    <t>https://www.loom.com/i/227c365c180a44f7baf93acab20edda3</t>
  </si>
  <si>
    <t>UAT_HP_095</t>
  </si>
  <si>
    <t>Explore Our Cards --&gt; Recent Launches --&gt; Tata Neu Infinity SBI Card --&gt; 1st Bullet Point</t>
  </si>
  <si>
    <t>The 1st Bullet point is incomplete. It should be "Lowest Foreign Currency Mark-up Charge of 1.99% on international usage" as per the latest content file</t>
  </si>
  <si>
    <t>https://www.loom.com/i/8df20cbb3d0b438ab6347f7c6366b7c0</t>
  </si>
  <si>
    <t>UAT_HP_096</t>
  </si>
  <si>
    <t>Explore Our Cards --&gt; Recent Launches --&gt; Tata Neu Infinity SBI Card --&gt; 2nd Bullet Point</t>
  </si>
  <si>
    <t>The 2nd Bullet Point is incomplete. As per the latest content file, it should be "Earn 5% NeuCoins on spends at the Tata Neu App/Website and partner Tata brands + 5% NeuCoins on select categories on the Tata Neu App/Website"</t>
  </si>
  <si>
    <t>https://www.loom.com/i/e803dc3247ef4f85abaa1044ace5b2f5</t>
  </si>
  <si>
    <t>UAT_HP_097</t>
  </si>
  <si>
    <t>Explore Our Cards --&gt; Recent Launches --&gt;Tata Neu Infinity SBI Card --&gt; 3rd Bullet Point</t>
  </si>
  <si>
    <t>It should be "8 Domestic" &amp; "4 International" Airport Lounge Accesses as per the latest content file.</t>
  </si>
  <si>
    <t>https://www.loom.com/i/9d6f8ef9089446b0bbdaca98349b73b4</t>
  </si>
  <si>
    <t>UAT_HP_098</t>
  </si>
  <si>
    <t>Explore Our Cards --&gt; Recent Launches --&gt; Tata Neu Plus SBI Card --&gt; 2nd Bullet point</t>
  </si>
  <si>
    <t>The preposition "of" needs to be removed between "1 Lakh" &amp; "annual spends"</t>
  </si>
  <si>
    <t>https://www.loom.com/i/a364af0e08e040e196b893f95699598f</t>
  </si>
  <si>
    <t>UAT_HP_099</t>
  </si>
  <si>
    <t>Explore Our Cards --&gt; Featured Cards --&gt; Cashback SBI Card --&gt; 1st Bullet point</t>
  </si>
  <si>
    <t>1st Bullet point should be "5% Cashback on Online Spends" and the "without merchant restriction" is strike-through in the content file so it needs to be removed from the sentence.</t>
  </si>
  <si>
    <t>https://www.loom.com/i/64f1f85a5cad436ba678dc322efc3be1</t>
  </si>
  <si>
    <t>UAT_HP_100</t>
  </si>
  <si>
    <t>Explore Our Cards --&gt; Featured Cards --&gt; Cashback SBI Card --&gt; 2nd Bullet point</t>
  </si>
  <si>
    <t>The asterisk (*) needs to be removed after the word "offline" and both the words - "offline" &amp; "spends" need to be capitalized</t>
  </si>
  <si>
    <t>https://www.loom.com/i/a341f414e37c4d9db1526fbba860da5d</t>
  </si>
  <si>
    <t>UAT_HP_101</t>
  </si>
  <si>
    <t>Explore Our Cards --&gt; Featured Cards --&gt; Cashback SBI Card --&gt; 3rd Bullet point</t>
  </si>
  <si>
    <t xml:space="preserve">"across all petrol pumps in India" at the end of the 3rd Bullet point needs to be removed as it is strike-through in the latest content file </t>
  </si>
  <si>
    <t>https://www.loom.com/i/b99e16c264864a21b1e96e208153348c</t>
  </si>
  <si>
    <t>UAT_HP_102</t>
  </si>
  <si>
    <t>Explore Our Cards --&gt; Featured Cards --&gt; SimplyClick SBI Card --&gt; 2nd Bullet point</t>
  </si>
  <si>
    <t>In the 2nd Bullet point, the preposition "on" is missing between the word "Vouchers" &amp; "Online"</t>
  </si>
  <si>
    <t>https://www.loom.com/i/5821568fc4bc4d97a293a9a63aed3751</t>
  </si>
  <si>
    <t>UAT_HP_103</t>
  </si>
  <si>
    <t>Explore Our Cards --&gt; Featured Cards --&gt; Cashback SBI Card, SimplyClick SBI Card --&gt; 3rd Bullet point</t>
  </si>
  <si>
    <t>Each word in "fuel surcharge waiver" needs to be capitalized - "Fuel Surcharge Waiver"</t>
  </si>
  <si>
    <t>https://www.loom.com/i/fec8f497649840e2b39f8b7f5a3270bd</t>
  </si>
  <si>
    <t>UAT_HP_104</t>
  </si>
  <si>
    <t>Explore Our Cards --&gt; Featured Cards --&gt; SBI Card Miles Elite --&gt; 1st Bullet point</t>
  </si>
  <si>
    <t>The 1st Bullet point should be "Welcome Benefit of 5,000 Travel Credits". The words that are strike-through should not be included.</t>
  </si>
  <si>
    <t>https://www.loom.com/i/4264578d36aa45e1becb36cdb9e124d1</t>
  </si>
  <si>
    <t>UAT_HP_105</t>
  </si>
  <si>
    <t>Explore Our Cards --&gt; Featured Cards --&gt; SBI Card Miles Elite --&gt; 2nd Bullet point</t>
  </si>
  <si>
    <t>The 2nd Bullet point should be - "Annual Fee Reversal on Milestone Spends" as per the new content file. All the strike-through words should be removed from the sentence.</t>
  </si>
  <si>
    <t>https://www.loom.com/i/d6dabd9d92914a8fa3210c680eee5981</t>
  </si>
  <si>
    <t>UAT_HP_106</t>
  </si>
  <si>
    <t>Explore Our Cards --&gt; Featured Cards --&gt; SBI Card Miles Elite --&gt; 3rd Bullet point</t>
  </si>
  <si>
    <t>The word "Complementary" needs to be removed from the sentence as per the latest content file as it is strike-through</t>
  </si>
  <si>
    <t>https://www.loom.com/i/13aaff76a8fd4d9f9be70d18c634a4ee</t>
  </si>
  <si>
    <t>UAT_HP_107</t>
  </si>
  <si>
    <t>Explore Our Cards --&gt; Featured Cards --&gt; SBI Card Pulse --&gt; 2nd Bullet point</t>
  </si>
  <si>
    <t>The 2nd Bullet point needs to be "Fraud Liability Insurance Cover of Rs. 1 lakh" instead of "Complimentary 4 Domestic Lounge visits"</t>
  </si>
  <si>
    <t>https://www.loom.com/i/87d5d30e6a0d4bfaaf5df3128ca238cd</t>
  </si>
  <si>
    <t>UAT_HP_108</t>
  </si>
  <si>
    <t>iPads Pro 11 inches (834px x 1194px) --&gt; Landscape mode --&gt; Explore Our Cards --&gt; Check if more than 3 cards appear in each slide</t>
  </si>
  <si>
    <t>In case the devices' screen resolution is anywhere where between 1025px - 1201px, instead of only 3 cards appearing in each slide, 4 cards appear. As a result, due to less space available, the bullet points get truncated with 3 dots at the end and the CTA labels get word wrapped to next line increasing the height of the CTA buttons</t>
  </si>
  <si>
    <t>https://www.loom.com/i/21a5db17148e43e1ad7b3264d21d56cd</t>
  </si>
  <si>
    <t>https://www.loom.com/i/dd189fbc9c394819acd7190d4293fd0e</t>
  </si>
  <si>
    <t>UAT_HP_109</t>
  </si>
  <si>
    <t>Explore our Cards --&gt; Each Card Container in the slider --&gt; Card Title container --&gt; Check if it has fixed height instead of being free flowing</t>
  </si>
  <si>
    <t>The Card Title container should not have a fixed height based on the resolution of the device. Because of this, if the card title is lengthy, it will not get accomodated in the container. If card title is lengthy, it starts to cover the green space that is for padding making the Card title and bullet points congested. Also, in case all card titles are small, extra space is observed between the card titles &amp; bullet points below due to fixed height.</t>
  </si>
  <si>
    <t>https://www.loom.com/i/e378f7927a6342349a151bfaced5b963</t>
  </si>
  <si>
    <t>UAT_HP_110</t>
  </si>
  <si>
    <t>Hero Section --&gt; SimplyClick Banner --&gt; Sub Title</t>
  </si>
  <si>
    <r>
      <rPr>
        <rFont val="Aptos Narrow"/>
        <color rgb="FF000000"/>
        <sz val="11.0"/>
      </rPr>
      <t xml:space="preserve">The Sub-Title content needs to be updated to - "on online shopping with </t>
    </r>
    <r>
      <rPr>
        <rFont val="Aptos Narrow"/>
        <i/>
        <color rgb="FF000000"/>
        <sz val="11.0"/>
      </rPr>
      <t>SimplyCLICK</t>
    </r>
    <r>
      <rPr>
        <rFont val="Aptos Narrow"/>
        <color rgb="FF000000"/>
        <sz val="11.0"/>
      </rPr>
      <t xml:space="preserve"> SBI card"</t>
    </r>
  </si>
  <si>
    <t>https://www.loom.com/i/2b2f4170a0124151be6102fd62235e16</t>
  </si>
  <si>
    <t>https://loom.com/i/db67b891c1ad4b16a4d5f08bb5c3dfd0</t>
  </si>
  <si>
    <t>13/03/2026 - As discussed on UAT Discussion call, only the word "SimplyClick" cannot have italic effect through authoring. Therefore closing this issue.
12/03/2026 - The word "SimplyClick" is in italic style in the expected result screenshot that Namita ma'am has shared. - https://www.loom.com/i/60e2239f2049490b8192c8cc4371d7dd</t>
  </si>
  <si>
    <t>UAT_HP_111</t>
  </si>
  <si>
    <t>Mobile Phones --&gt; Mobile Footer Menu at the bottom --&gt; Services button --&gt; Check the Button label in the services pop up modal</t>
  </si>
  <si>
    <t>The Button labels appear center aligned instead of been left aligned right besides their icons on the left of the modal. Check the Actual vs expected result</t>
  </si>
  <si>
    <t>https://www.loom.com/i/759f413a9c1645d39c7911dc3a38a51d</t>
  </si>
  <si>
    <t>https://loom.com/i/24611b47f990442b910ad3ef05b8281a</t>
  </si>
  <si>
    <t>13/03/2026 - This issue is because of the ILA Chat bot class and it is working fine in devsit1. Therefore this is marked as green because once it starts to work fine on pvt or after release, will close this issue.</t>
  </si>
  <si>
    <t>UAT_HP_112</t>
  </si>
  <si>
    <t>EMI &amp; More --&gt; Section Heading</t>
  </si>
  <si>
    <t>The double inverted commas at the end of the sentence in the heading- Hassle-Free EMI, Smarter Spending" needs to be corrected on sbifo-pvt</t>
  </si>
  <si>
    <t>https://www.loom.com/i/445689084b6f4d71a381282687b84e74</t>
  </si>
  <si>
    <t>HTML Status</t>
  </si>
  <si>
    <t>UAT_PD_001</t>
  </si>
  <si>
    <t>30/12/2025</t>
  </si>
  <si>
    <t xml:space="preserve">Key Benefits --&gt; All Containers --&gt; Icon &amp; Content Alignment. </t>
  </si>
  <si>
    <t>The Container icons &amp; content get vertically unaligned when compared with each other This is especially the case when the font size is reduced to smallest</t>
  </si>
  <si>
    <t>https://www.loom.com/i/ce0f5b4506c54c1485193ac63386ac2a</t>
  </si>
  <si>
    <t>Open for discussion. Need to find a solution. But for now, no content should be beyond 3 lines. Each benefit content should be almost same character length for now.</t>
  </si>
  <si>
    <t>25/02/2026 - This issue is from HTML team and no solution has yet been found regarding it therefore it remains in HTML Teams bucket with priority P3 as this cannot be fixed in the current release.
Issue also occurring in the HTML v50</t>
  </si>
  <si>
    <t>UAT_PD_002</t>
  </si>
  <si>
    <t>Elite Card Fee &amp; Charges --&gt; Fees &amp; Charges Tab --&gt; The Rupee Icons</t>
  </si>
  <si>
    <t>The rupee icon of the 1st Tab "Fee &amp; Charges" gets streched.</t>
  </si>
  <si>
    <t>https://www.loom.com/i/2710ccd82d5140c3becbf753e4a1c986</t>
  </si>
  <si>
    <t>UAT_PD_003</t>
  </si>
  <si>
    <t>31/12/2025</t>
  </si>
  <si>
    <t>Extension - "Accessibility Insights for Web" --&gt; FastPass</t>
  </si>
  <si>
    <t>The accessibility checker highlights 24 accessibility fails - https://accessibilityinsights.io/downloads/</t>
  </si>
  <si>
    <t>https://loom.com/i/d21c7dc820e74a57a85afc2947a714be</t>
  </si>
  <si>
    <t>30/01/2025</t>
  </si>
  <si>
    <t xml:space="preserve">30/01/2026 - As discussed on call, accessibility issues are to be kept on hold for now and to be picked in the next release.
06/01/2026 - When tested using the accessibility extention on 6th Jan, only 17 instances were failed. 2 of them were related to colour contrast. Screenshots of other failed instances are attached below - 
https://www.loom.com/i/fb68b53ce98d4c41a4e73123e7f49fbd
https://loom.com/i/67a919f65fb345668bd77dd22dbfb576
</t>
  </si>
  <si>
    <t>UAT_PD_004</t>
  </si>
  <si>
    <t>Explore Rewards --&gt; Milestone Rewards/ Elite Rewards --&gt; Extra Link inside the tab content</t>
  </si>
  <si>
    <t xml:space="preserve">The Extra link present inside each tab content has no differenciation from the normal text content in terms of style </t>
  </si>
  <si>
    <t>https://www.loom.com/i/f7242b36f7e747fe9f2e26a581065b54</t>
  </si>
  <si>
    <t>https://www.loom.com/i/5e363939e5f9420abefb813cf5184527</t>
  </si>
  <si>
    <t>UAT_PD_005</t>
  </si>
  <si>
    <t>Mobile Phones --&gt; Network Privileges --&gt; Master Card --&gt; Check the Bank Logo &amp; the text content</t>
  </si>
  <si>
    <t>The text content overlaps with the bank logo present on the left. Also, in each tab, the gap between the bank logo and the text besides should be same.</t>
  </si>
  <si>
    <t>https://www.loom.com/i/5db587cfc97444a2bf6ed7928f2b2e23</t>
  </si>
  <si>
    <t>https://www.loom.com/i/82ec423a054e4608805ba95517ebba8b</t>
  </si>
  <si>
    <t>18/02/2026 - The issue is now resolved on devsit1 - 
https://loom.com/i/ef50b734ebb143e0b88b274b2dfcd528
https://loom.com/i/482e6c3110af4562b7959185334c7823
https://loom.com/i/730267527eb04860b5cd316008f1d6dd
13/02/2025 - This issue is resolved on HTML v50 - 1
29/01/2026 - Discussed on call with Namita ma'am this is always going to be an unordered list therefore overlapping issue wouldn't be there. But, the gap between the icon &amp; the text content is still not uniform and differs in case of each tab and when font size is increased/decreased. Check the recording - https://www.loom.com/share/04f18b61353e49d8b6e9185edadad260
05/01/2026 - Issue also occurring in the HTML v50 (changing the element from ul to ol)</t>
  </si>
  <si>
    <t>UAT_PD_006</t>
  </si>
  <si>
    <t>Functionality</t>
  </si>
  <si>
    <t>iPads / Tablets --&gt; Exclusive Privileges --&gt; + button --&gt; More Button</t>
  </si>
  <si>
    <t>For each card, after clicking on + button, clicking the more button that appears doesn't open the pop up model with more details in case of  iPad /Tablet devices</t>
  </si>
  <si>
    <t>https://www.loom.com/share/b1dd03fac451491a8f344be5282e8de4</t>
  </si>
  <si>
    <t>https://www.loom.com/share/9233a91f01474185879b2bc8fe67b67a</t>
  </si>
  <si>
    <t>29/01/2026 - Issue no longer occuring hence closing.
14/01/2026 - Cannot verify and close this because for now the more button is not present in case of any card.</t>
  </si>
  <si>
    <t>UAT_PD_007</t>
  </si>
  <si>
    <t>iPhone 14 Pro / iPhone X</t>
  </si>
  <si>
    <t>iPhone 14 Pro / iPhone X --&gt; Font size smallest --&gt; Key benefits</t>
  </si>
  <si>
    <t>For the mentioned devices, when the text size is smallest, the text goes very close to the card boundary. It should have some padding as margin. Check  2nd benefit - "Earn upto 50,000" in the screenshot</t>
  </si>
  <si>
    <t>https://www.loom.com/i/b4bfd9a7ec20430f9ce3a910c2459f62</t>
  </si>
  <si>
    <t>https://www.loom.com/i/f43f3b8086e44a32b8cfc63861532677</t>
  </si>
  <si>
    <t>Same as HTML</t>
  </si>
  <si>
    <t>20/02/2026</t>
  </si>
  <si>
    <t>20/02/2026 - The issue is resolved on devsit1 - https://loom.com/i/bfdb8a3f91a14982888b3a6dc481e99d
13/02/2026 - The issue is not resolved on HTML v50 - 1 https://www.loom.com/i/1041104a67cf4fa8a7ca8100e73d75dc
21/01/2026 - Issue can be noticed in card details for example SBI PRIME Card - https://www.loom.com/i/eec322a98efa4eabaa9dd98b09ad93c0
14/01/2026 - Tata Neu Infinity SBI Card - https://www.loom.com/i/4cfd037008044c2b8130dce4582861b1</t>
  </si>
  <si>
    <t>UAT_PD_008</t>
  </si>
  <si>
    <t>Explore Rewards --&gt; Milestones Rewards &amp; Elite Rewards tab --&gt; Content Class</t>
  </si>
  <si>
    <t>Text Content's class need to be updated.</t>
  </si>
  <si>
    <t>UAT_PD_009</t>
  </si>
  <si>
    <t>Touch screen users unable to zoom in or out on the page using the pinch gesture.</t>
  </si>
  <si>
    <t>This is a universal issue therefore keeping it open on the home page but closing it here as per Neha Jain's instructions</t>
  </si>
  <si>
    <t>UAT_PD_010</t>
  </si>
  <si>
    <t>Chrome, Edge</t>
  </si>
  <si>
    <t>Desktops, iPads / Tablets</t>
  </si>
  <si>
    <t>Icons</t>
  </si>
  <si>
    <t>Exclusive Privileges --&gt; Card icon on the top --&gt; Check if it gets clipped from the top</t>
  </si>
  <si>
    <t>Each of the card icon in the exclusive privileges gets clipped from the top. Check the expected vs actual result.</t>
  </si>
  <si>
    <t>https://www.loom.com/i/9f6628bcf1eb428b941b2d641035bcaf</t>
  </si>
  <si>
    <t>https://www.loom.com/i/851da11be2e34f5798a9bf3bd460a785</t>
  </si>
  <si>
    <t>UAT_PD_011</t>
  </si>
  <si>
    <t>Desktop, iPads / Tablets</t>
  </si>
  <si>
    <t>Label</t>
  </si>
  <si>
    <t>Exclusive Privileges --&gt; Add button to flip the card --&gt; More button label missing</t>
  </si>
  <si>
    <t>For each card, after it gets flipped, the add button is missing its label "More". Check the actual vs expected result.</t>
  </si>
  <si>
    <t>https://www.loom.com/i/ff8a2d7f78354ad4b3137415177fb97f</t>
  </si>
  <si>
    <t>https://www.loom.com/i/7f22cb56a24345839af3ee953b313651</t>
  </si>
  <si>
    <t>14/01/2026-Cannot verify and close this because for now the more button is not present in case of any card.</t>
  </si>
  <si>
    <t>UAT_PD_012</t>
  </si>
  <si>
    <t>Exclusive Privileges --&gt; Slider arrow on the left --&gt; Left slide icon missing gap from the container. Both left &amp; right slider button overlap with the container when focused on.</t>
  </si>
  <si>
    <t>The Exclusive Privileges's left slider button needs to have some gap from the container like it has on the right side. Also when focus on left or right slider button, it should not overlap with the container. Check the actual vs expected results screenshot.</t>
  </si>
  <si>
    <t>https://www.loom.com/i/47fbc335804b43069c94912e93f7702b</t>
  </si>
  <si>
    <t>https://www.loom.com/i/b763cc19ae664dddaf6eb02b27378ec5</t>
  </si>
  <si>
    <t>UAT_PD_013</t>
  </si>
  <si>
    <t>Firefox --&gt; Exclusive Privileges --&gt; Card icons are missing</t>
  </si>
  <si>
    <t>Only on firefox browser, the card icons do not appear on the top.</t>
  </si>
  <si>
    <t>https://www.loom.com/i/4c9b087ae68e45cc8266470a7ffeeef3</t>
  </si>
  <si>
    <t>UAT_PD_014</t>
  </si>
  <si>
    <t>All Slider sections (Exclusive Privileges, Product Videos, Similar Cards) --&gt; Slider dot colours</t>
  </si>
  <si>
    <t>Exclusive Privileges, Product Videos, Similar Cards section slider dots no longer have the same colour they used to have. Instead of unselected and selected slides having - #636363 &amp; #9f9494, they have #000000 &amp; #007aff</t>
  </si>
  <si>
    <t>https://www.loom.com/i/0382d1eb779f497d80de6f9b4926d8c1</t>
  </si>
  <si>
    <t>https://www.loom.com/i/ffeb59619f084c768c0a70dcfab731f5</t>
  </si>
  <si>
    <t>UAT_PD_015</t>
  </si>
  <si>
    <t>Product Videos --&gt; Left &amp; right slider button</t>
  </si>
  <si>
    <t>The left &amp; right slider buttons are now appearing on top of the videos</t>
  </si>
  <si>
    <t>https://www.loom.com/i/56f2a00b07e042cb82b3f90fddec8bd3</t>
  </si>
  <si>
    <t>https://www.loom.com/i/5ff7f628680e4550a058c25f91b8e58d</t>
  </si>
  <si>
    <t>UAT_PD_016</t>
  </si>
  <si>
    <t>Similar Cards --&gt; Left &amp; right slider buttons</t>
  </si>
  <si>
    <t>The left &amp; right slider buttons are now appearing on top of the cards</t>
  </si>
  <si>
    <t>https://www.loom.com/i/09c58f524e1343f89369d186dfd5f1e3</t>
  </si>
  <si>
    <t>https://www.loom.com/i/f2c06935ebac4f3bb27f762bf7b4441e</t>
  </si>
  <si>
    <t>UAT_PD_017</t>
  </si>
  <si>
    <t>Exclusive Privileges --&gt; Card --&gt; Bullet Points</t>
  </si>
  <si>
    <t>The content gets truncated with 3 dots (..) in the second line.</t>
  </si>
  <si>
    <t>https://www.loom.com/i/98603d40c9cc4e34922f256d7c004bb5</t>
  </si>
  <si>
    <t>https://www.loom.com/i/182c4dab9450449fb92eda1a36c73d2a</t>
  </si>
  <si>
    <t>UAT_PD_018</t>
  </si>
  <si>
    <t>Other Features --&gt; Drop down arrow position</t>
  </si>
  <si>
    <t>Each button's drop down arrow should be placed on the left (before its text) instead of being place on the right (after the text)</t>
  </si>
  <si>
    <t>https://www.loom.com/i/7b59151597464bdc9fab0998f92ab520</t>
  </si>
  <si>
    <t>https://www.loom.com/i/812070c3a86b4f53baa7203406f22163</t>
  </si>
  <si>
    <t>No longer occurring</t>
  </si>
  <si>
    <t>UAT_PD_019</t>
  </si>
  <si>
    <t>P0</t>
  </si>
  <si>
    <t>Similar Cards --&gt; Slider Layout</t>
  </si>
  <si>
    <t>The slider layout breaks. Check the actual vs expected result screenshots.</t>
  </si>
  <si>
    <t>https://www.loom.com/i/fe44fafb421d4c5196be4da9a4084431</t>
  </si>
  <si>
    <t>https://www.loom.com/i/a75a7356576b4376947f8dc1d0377c90</t>
  </si>
  <si>
    <t>UAT_PD_020</t>
  </si>
  <si>
    <t>Exclusive Privileges --&gt; All Cards --&gt; Check the bottom of the card having lengthy content.</t>
  </si>
  <si>
    <t>Content gets clipped from the bottom in case cards have lengthy content.</t>
  </si>
  <si>
    <t>https://www.loom.com/i/fa267c79766042ad8f236090f602634c</t>
  </si>
  <si>
    <t>23/02/2026 - The CSS changes will not be picked in this phase, content re-authoring will be done based on the failed instances report shared.
19/02/2026 - Deferred
16/02/2026 - As discussed in the 11th feb call, this should be decided by the content team how the content should be managed
Also logged in credit card page
Neha- Not able to reproduce in any of the mentioned pages</t>
  </si>
  <si>
    <t>05/03/2026 - As requested, we have a separate sheet named "ExclusivePrivileges TextOverlap" that has all the failed instances mentioned for the exclusive privileges text cropping from the bottom and we are using that sheet to track whether an instance is now resolved or not, therefore closing this bug.
23/02/2026 - All Failed instances have been listed in  a separate sheet named - "ExclusivePrivileges TextOverlap". As discussed on call, for the current release, it needs to be re-authored such that no instances fail.
13/02/2026 - Changing it to P3 for the time being, need to handle it through content as discussed on Bug Priority discussion call
09/02/2206 - Checked on all pages and found the issue is still not resolved. As user increases the font to large, the exclusive privilege card content gets cropped from the bottom in case of the follow pages - Tata Neu Plus SBI Card, Air India SBI Signature Card, Air India SBI Platinum Card, Landmark Rewards SBI Card, Etihad Guest SBI Card, BPCL SBI Card, BPCL SBI Card Octane, Club Vistara SBI Card, Club Vistara SBI Card Prime, IRCTC SBI Platinum Card, IRCTC SBI Card Premier, KrisFlyer SBI Card Apex, Tata Neu Infinity SBI Card, PhonePe SBI Card Purple, Indigo SBI Card Elite, Reliance SBI Card, Reliance SBI Card Prime, PhonePe SBI Card Select Black, Paytm SBI Card, SBI Card Prime, SBI Card Miles.
05/02/2026 - The issue is marked as fixed but is not resolved.
21/01/2026 - Till now 11 pages have been tested content wise and this issue has been found on 5 of them - SBI Card PRIME, SBI Card Miles, TATA NEU INFINITY SBI Card, Doctor's SBI Card, PhonePe SBI Card Purple, PhonePe SBI Card Select Black
https://www.loom.com/i/def342dbd94e4219a7c10b24d6b61e9d
https://www.loom.com/i/454a81daa24646478fc4f2e2001a7a93
https://www.loom.com/i/f6871f09c277426481b01c29e0e638b7
https://www.loom.com/i/b0811f9ba08d4079ace021e42aac0d89
https://www.loom.com/i/8befe6bff5ff43f388f4d44952e4bd64
https://www.loom.com/i/a1b1f0ff62d247d6831981700ba2d366</t>
  </si>
  <si>
    <t>UAT_PD_021</t>
  </si>
  <si>
    <t>Border</t>
  </si>
  <si>
    <t>Key Benefits --&gt; Mobile View --&gt; The radius for the border and the container</t>
  </si>
  <si>
    <t>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</si>
  <si>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</si>
  <si>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https://www.loom.com/i/b9694823de334b54b3729c813bde1120</t>
  </si>
  <si>
    <t>23/02/2026 - The issue is resolved on devsit1 - https://loom.com/i/dc2d66d441034afaacd01552de932042
13/02/2026 - The issue is not resolved on HTML v50 - 1 https://www.loom.com/i/1041104a67cf4fa8a7ca8100e73d75dc</t>
  </si>
  <si>
    <t>UAT_PD_022</t>
  </si>
  <si>
    <t>Windows Narrator --&gt; Product Videos Section --&gt; Focus on each video's play button</t>
  </si>
  <si>
    <t>When a blind user focuses on any of the video's play button, the narrator should announce the Video title before mentioning the play button for the blind user to know the play button is regarding which card video.</t>
  </si>
  <si>
    <t>https://www.loom.com/share/3942b1a55a5e4d28b4aeb07b632545dc</t>
  </si>
  <si>
    <t>30/01/2026 - As discussed on call, accessibility issues are to be kept on hold for now and to be picked in the next release.
21/01/2026 - When window's narrator focuses on any of the video play button, it annouces the index of the video and "Play Button". Instead, it should annouce the Title of the Video and then mention "Play button"</t>
  </si>
  <si>
    <t>UAT_PD_023</t>
  </si>
  <si>
    <t>Similar Cards --&gt; Gap between Benefit bullet points and the CTA button</t>
  </si>
  <si>
    <t>The gap between the benefits bullet points and CTA buttons is more than required and is noticeable in case of ipads / Tablets or in case of mid to large screen desktops</t>
  </si>
  <si>
    <t>https://www.loom.com/i/5e6dff1bfb3c4a3996c171db221fcc74</t>
  </si>
  <si>
    <t>23/02/2026 - The issue is resolved on devsit1 (In case of desktops &amp; iPads) - https://loom.com/i/4e559813e5cc414ea906ba78f30927ff
As discussed with Bharat on call, the issues is not fixed on mobile phones because of the height property still taking 130px height. He has fixed it and will be sending it across to get it implemented. Marking this issue as resolved for now and informing Arun sir.
13/02/2026 - The issue is resolved in case of desktops &amp; iPads but not in case of mobile phones on HTML v50 - 1</t>
  </si>
  <si>
    <t>UAT_PD_024</t>
  </si>
  <si>
    <t>Other Features &amp; Fees &amp; Charges --&gt; Expand to See More button</t>
  </si>
  <si>
    <t xml:space="preserve">Even when there are no more Features / FAQs or Charges to view, the expand to see more button still appears. It should only appear when there are more points to view. Also, a logic needs to be determined for the button to appear after how many points. </t>
  </si>
  <si>
    <t>https://www.loom.com/share/001e7758bb234ecc9c5b95559bed99dd</t>
  </si>
  <si>
    <t>25/02/2026 - This issue remains the same on devsit1 as mentioned in 9th Feb's remark - https://www.loom.com/share/269672b1df594e9989de887dd094ce66. The Other Feature's expand to see button appears even when there are up to or less than 5 features current examples (based on current content updated on devsit1) are - Tata Neu Plus SBI Card, Indigo, Elite SBI Card, Paytm SBI Credit Card. Also, "Fees" &amp; "Fees &amp; Charges" bullet points are not yet merged into one. Therefore this issue is going in SBI Team's bucket (changing it's platform from HTML/CSS to UAT and assigned to Neha Jain)
13/02/2026 - The issue is resolved on HTML - v50 - 1
09/02/2026 - The expand to see more button will only appear after 6 bullet points and the JS logic behind this would be fixed by Bharat. And as discussed earlier, the "Fees &amp; Charges" section bullet points will be moved to the "Fees" section above.
05/02/2026 - Based on Neha Laddha ma'am comment on call, the Fees and charges sub heading content is supposed to be shifted to "fees" sub heading.</t>
  </si>
  <si>
    <t>UAT_PD_025</t>
  </si>
  <si>
    <t>28/01/2026</t>
  </si>
  <si>
    <t>Light themed Pages --&gt; Dark Mode --&gt; Exclusive Privileges &amp; Similar Cards --&gt; Left &amp; Right Slider Arrows</t>
  </si>
  <si>
    <t>When user switches to dark mode, the left &amp; right slider arrows do not change their colour to a lighter one and as a result remains quite invisible. Tata Neu Infinity Card - https://sbi-sit1.sbicard.com/html/en/personal/credit-cards/tata-neu-infinity-sbi-card.html</t>
  </si>
  <si>
    <t>https://www.loom.com/i/fe61783ab35f4e108e983ca195fd1193</t>
  </si>
  <si>
    <t>23/02/2026 - The issue is resolved on devsit1 - https://loom.com/i/3c44087d35214293badfe9455ee3159b
18/02/2026 - The issue is only resolved in light themed cards but not on dark &amp; dark + golden themed cards - https://www.loom.com/share/df049fbc1a5f47daa6b0bbe0309775e8
13/02/2026 - The issue is resolved on HTML v50 - 1
30/01/2026 - This issue occurs in the HTML v54 as well, therefore changing the tagging of the issue to HTML/CSS</t>
  </si>
  <si>
    <t>UAT_PD_026</t>
  </si>
  <si>
    <t xml:space="preserve"> Light themed Pages --&gt; Accessibility Checker -https://accessibilityinsights.io/downloads/</t>
  </si>
  <si>
    <t>Apart from header (asscessibility issues for it logged separately in header footer page) The page fails 4 accessibility instances - Exclusive Privileges - + &amp; More button, Viewport maximum scaling &amp; image alt text for the "close-icon.svg"</t>
  </si>
  <si>
    <t>https://www.loom.com/i/a7755d4ca26b4aaa925bf929adc5be88</t>
  </si>
  <si>
    <t>30/01/2026 - As discussed on call, accessibility issues are to be kept on hold for now and to be picked in the next release.</t>
  </si>
  <si>
    <t>UAT_PD_027</t>
  </si>
  <si>
    <t>Keyboard Navigation --&gt; Explore Rewards - Tabs, Fees &amp; Charges - Fees &amp; charges &amp; FAQs Tabs, Other Features - Accordions</t>
  </si>
  <si>
    <t>While user navigates the website through keyboard, while the focus is on any of the elements mentioned in steps to reproduce, the element doesn't get the border indicating that the focus is currently on the element.</t>
  </si>
  <si>
    <t>https://www.loom.com/share/2c3165897d7d4c8e81a0b240bb34d120</t>
  </si>
  <si>
    <t>UAT_PD_028</t>
  </si>
  <si>
    <t>Keyboard Navigation --&gt; Similar Cards --&gt; Left &amp; Right Slider button</t>
  </si>
  <si>
    <t>User remains unable to get the focus on the left or right slider button whichever is in enabled state. While navigating through the keyboard, the logical flow order should be focus redirecting to the slider button that is in enabled state after the last slider dot.</t>
  </si>
  <si>
    <t>https://www.loom.com/share/79d3f4ba5dac48bebd916b3ed339dc65</t>
  </si>
  <si>
    <t>UAT_PD_029</t>
  </si>
  <si>
    <t>Similar Cards --&gt; Card Title in the slider</t>
  </si>
  <si>
    <t>In case of iPads / Tablets, if the card title is lengthy and gets wrapped to the 2nd line, the 2nd line gets clipped under the element present below.</t>
  </si>
  <si>
    <t>https://www.loom.com/i/0ff9a5ca12644a08aa706156ce90616b</t>
  </si>
  <si>
    <t>24/02/2026 - The issue is resolved on devsit1 - https://loom.com/i/7906aae89cfe425a922a9c836683fd1d
13/02/2026 - The issue is resolved on HTML v50 - 1</t>
  </si>
  <si>
    <t>UAT_PD_030</t>
  </si>
  <si>
    <t>Similar Cards --&gt; Slider</t>
  </si>
  <si>
    <t>If the screen width is between 768 px - 1023 px (iPads / Tablets), only a single card gets shown in the slider in one slide. But in the HTML, 2 cards get shown in a single slide.</t>
  </si>
  <si>
    <t>https://www.loom.com/i/4ecb254288ce482aab68cd3a87932a9f</t>
  </si>
  <si>
    <t>UAT_PD_031</t>
  </si>
  <si>
    <t>Light &amp; Dark Themed Cards --&gt; Explore Rewards &amp; Other Features Section --&gt; Section Heading colour</t>
  </si>
  <si>
    <t>In case of light &amp; dark themed cards, the Explore Rewards &amp; Other Features section heading is supposed to be White but has gone light blue now. White was chosen for this section heading to maintain contrast level with the background banner image</t>
  </si>
  <si>
    <t>https://www.loom.com/i/45710336484e492898caa259dc8ace90</t>
  </si>
  <si>
    <t>16/02/2026 - Fixed on devsit1
06-02-2026- Fixed and Verified on 7-8 pages</t>
  </si>
  <si>
    <t>17/02/2026 - Issue resolved on devsit1 - 
https://loom.com/i/e629947b31104ecbbac358c819e790fc
https://loom.com/i/1d9ed3fcdb9447c6a3c43e54a070ba83
13/02/2025 - Another fix regarding this has been given by Bharat, this should get fixed once that is implemented.
09/02/2026 -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05/02/2026 -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03/02/2026 - Bug initially only mentioned light themed pages and Explore rewards section only. But, after further observation, the same issue occurs in case of dark theme cards and for Other features section as well.</t>
  </si>
  <si>
    <t>UAT_PD_032</t>
  </si>
  <si>
    <t>Exclusive Privileges --&gt; Each Card --&gt; Bullet point dots</t>
  </si>
  <si>
    <t>The bullet point dots on the left of each point get clipped. In case of small screen desktops, noticeable when the font size is default or small. In case of mid or large screen desktops, noticeable in all font sizes. Same goes for ipads or tablets except, the bullet points completely get clipped when font size is the smallest.</t>
  </si>
  <si>
    <t>https://www.loom.com/i/8b8d00ecec164b22bd3de461eb7d5e95
https://www.loom.com/i/f6c0a336af30419e9e1e6ced8711a97d</t>
  </si>
  <si>
    <t>24/02/2026 - The issue is resolved of devsit1 - 
https://loom.com/i/ee4cc543e55947d8a8b0f6d58e6e60e4
https://loom.com/i/12ef01a8a50348e2a0312329a6575af2
https://loom.com/i/ffd22d39ee8a472e8b4effb4447f25bb
13/02/2026 - The issue is not resolved on HTML v50 - 1. Now the entire bullet points are getting cropped from the view in case of desktops</t>
  </si>
  <si>
    <t>UAT_PD_033</t>
  </si>
  <si>
    <t>Exclusive Privileges --&gt; Mobile Phones --&gt; + button to view more bullet points</t>
  </si>
  <si>
    <t>The label "More" is no longer present with the + butotn to view more bullet points in case of mobile phones and it is not clickable</t>
  </si>
  <si>
    <t>https://www.loom.com/i/ae8cc23bbe3a42bfa78f20098c6fc65a</t>
  </si>
  <si>
    <t>UAT_PD_034</t>
  </si>
  <si>
    <t>Other Features --&gt; Dark Mode --&gt; Expand to see more button</t>
  </si>
  <si>
    <t>The font color of the "Expand to see more" button goes white in case of dark mode instead of being "#0094D9" as in the HTML. Check the actual vs expected result</t>
  </si>
  <si>
    <t>https://www.loom.com/i/f24e847425ba41a7845a09bbc3421eae</t>
  </si>
  <si>
    <t>https://www.loom.com/i/2ac85be982f24df5a2ed3828b57f0e28</t>
  </si>
  <si>
    <t>03/02/2026 - As discussed on call, the font colour was changed purposefully to avoid failing the contrast level instance for accessibility. Upon Namita ma'am's confirmation, marking the bug as resolved.</t>
  </si>
  <si>
    <t>UAT_PD_035</t>
  </si>
  <si>
    <t>Fees &amp; Charges Section --&gt; Both Fee &amp; Charges &amp; FAQ Tabs --&gt; Constantly switch between light &amp; dark mode</t>
  </si>
  <si>
    <t>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</si>
  <si>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</si>
  <si>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18/02/2026 - The issue is resolved on devsit1 - https://www.loom.com/share/131bad91be55452c95cf90712fca5fcd
13/02/2026 - The issue is resolved on HTML v50 - 1</t>
  </si>
  <si>
    <t>UAT_PD_036</t>
  </si>
  <si>
    <t xml:space="preserve">Explore Rewards --&gt; Bottom Ribbon - "Also available in advantage variant" </t>
  </si>
  <si>
    <t>The ribbion is missing in the HTML of the 4 core cards where it should be - SBI Card Prime, SBI Card Elite, SimplyClick &amp; SimplySave</t>
  </si>
  <si>
    <t>https://www.loom.com/i/11ccb33eaaa1480db1a32762b6cd9192</t>
  </si>
  <si>
    <t>https://www.loom.com/i/d6e5ffee98e9405d895b5892e8d5bd32</t>
  </si>
  <si>
    <t>23/02/2026 - Fixed on PVT</t>
  </si>
  <si>
    <t xml:space="preserve">23/02/2026 - The issue is resolved on sbi-pvt - 
https://loom.com/i/62ec28abfecd4fe0a15c8699d39498ca
https://loom.com/i/6a273fb3a2954593a7cadc7b5d885a79
https://loom.com/i/995834b0209440559cea1e430197a93a
https://loom.com/i/14f087e674cb493d83cd56da4f5547f5
09/02/2026 - Content will be provided by Namita ma'am </t>
  </si>
  <si>
    <t>UAT_PD_037</t>
  </si>
  <si>
    <t>Mobile Phones --&gt; Air India SBI Platinum Card, Air India SBI Signature Card, Cashback SBI Card --&gt; Mobile footer menu wrap</t>
  </si>
  <si>
    <t>For the mentioned credit card pages, the mobile footer wrap menu is missing</t>
  </si>
  <si>
    <t>https://www.loom.com/share/88059e66fde94c09ab6b16ff8951444f</t>
  </si>
  <si>
    <t>23/02/2026 - Fixed on PVT
16/02/2026 - Fixed on devsit1</t>
  </si>
  <si>
    <t>23/02/2026 - The issue is resolved on sbi-pvt - 
https://loom.com/i/b31363c9c0384c3f837897c5392a6c02
https://loom.com/i/826616deb55b4cdf898fc0fb82a8c20f
https://loom.com/i/ff47f8d8d6d04e42bc15e82cd6b4df76
17/02/2026 - Instead of using the product details page mobile footer menu wrap, the home page's footer menu wrap is inserted in the pages mentioned in the bug. Compare them with rest of the pages as demonstrated in this screen recording - https://www.loom.com/share/9ff0d9776b0944ecab6e6595784a2593
13/02/2026 - Bharat needs to make a class for this so the team can control where this mobile navigation footer needs to appear and where not (on which page)</t>
  </si>
  <si>
    <t>UAT_PD_038</t>
  </si>
  <si>
    <t>Side Bar Menu --&gt; Best For --&gt; More + button</t>
  </si>
  <si>
    <t>Bottom margin below the card benefits block is missing.</t>
  </si>
  <si>
    <t>https://www.loom.com/i/14940677d12b447b82eb7466de497619</t>
  </si>
  <si>
    <t>https://www.loom.com/i/74f091501a3c49ed85d52c3b19662044</t>
  </si>
  <si>
    <t>23/02/2026 - As per Namita- we will look at that issue after post go-live</t>
  </si>
  <si>
    <t>23/02/2026 - As confirmed on call by Namita ma'am on 19th Feb, this issue can be picked after release. Therefore marking the issue on hold for this release.</t>
  </si>
  <si>
    <t>UAT_PD_039</t>
  </si>
  <si>
    <t>SBI Card Elite, IRCTC SBI Platinum Card --&gt; Similar Cards section</t>
  </si>
  <si>
    <t>The similar cards section is missing for both the mentioned pages.</t>
  </si>
  <si>
    <t>https://www.loom.com/i/0100c1b76f1d4f23bef4ef41ea438aaa
https://loom.com/i/a46048620a0748d78bf81513d06bcea3</t>
  </si>
  <si>
    <t>25/02/2026 - The issue is resolved on sbi-pvt - 
https://loom.com/i/bcc5334222444635959e8c3b9c1efd28
https://loom.com/i/ac79a2b3c78f41f28ce4dd56be4bb707
24/02/2026 - The issue is not resolved on devsit1</t>
  </si>
  <si>
    <t>UAT_PD_040</t>
  </si>
  <si>
    <t>Video Player</t>
  </si>
  <si>
    <t>devsit1 --&gt; All Pages --&gt; Product Videos --&gt; Play any video</t>
  </si>
  <si>
    <t>When user plays any video, the video player controls at the bottom get cropped from the pop up modal and the cross button on the top of the modal doesn't appear and a gridline appears instead</t>
  </si>
  <si>
    <t>https://www.loom.com/share/23ff13564c99469c88f3662e4680ea00</t>
  </si>
  <si>
    <t>https://loom.com/i/d55654955090449e9f088f6bb7abe359</t>
  </si>
  <si>
    <t xml:space="preserve">23/02/2026 - we cannot check this at our end </t>
  </si>
  <si>
    <t>25/02/2026 - The issue has been resolved on devsit1 - https://loom.com/i/7aa6c7b74a7e43c9b9a2bb9296732a0a
23/02/2026 - This was demonstrated on call and an attempt was made to try and reach "Prince" to check if it can be solved as no videos play on SBI Team's systems</t>
  </si>
  <si>
    <t>UAT_PD_041</t>
  </si>
  <si>
    <t>All Pages --&gt; Exclusive Privileges --&gt; Each card Icon</t>
  </si>
  <si>
    <t>The icons are not center aligned (both vertically &amp; horizontally) inside the circle. This is specially evident in case font size is increased or decreased</t>
  </si>
  <si>
    <t>https://www.loom.com/i/dcd71920c7404883a503a75f823eeb9d
https://www.loom.com/i/c3d3fa8e076a449a880e0248e4672459</t>
  </si>
  <si>
    <t>Phulvinder</t>
  </si>
  <si>
    <t>06/03/2026 - On sbi-pvt, some of exclusive privilege icons used are .png instead of .svg. Also, if the icons have a gap around them. their center alignment breaks. For this, we need to provide new icons to the SBI Team, therefore keeping this issue in our bucket by assigning in to our member Phulvinder Ji</t>
  </si>
  <si>
    <t>UAT_PD_042</t>
  </si>
  <si>
    <t>Product Videos --&gt; Play Any Video --&gt; Scroll up &amp; down</t>
  </si>
  <si>
    <t>While Video pop up is open, the page in the background gets scrolled</t>
  </si>
  <si>
    <t>https://www.loom.com/share/59ed2bf7cdaf4882b12b019681a5412c</t>
  </si>
  <si>
    <t>25/02/2026 - These are issues also occurring on HTML and as SBI team is not picking any more HTML issues in this release, this bug remains in HTML Team's bucket with its priority as P3</t>
  </si>
  <si>
    <t>UAT_PD_043</t>
  </si>
  <si>
    <t>Touch Devices</t>
  </si>
  <si>
    <t>Product Videos --&gt; Play Any Video --&gt; Click on the Video Pop up --&gt; Check the cross icon on the top right</t>
  </si>
  <si>
    <t>The cross button on the top right gets overlapped with the Settings icon on the top right</t>
  </si>
  <si>
    <t>https://www.loom.com/i/740f273ca5a748218e2126bcb67db36f</t>
  </si>
  <si>
    <t>UAT_PD_044</t>
  </si>
  <si>
    <t>Explore Rewards --&gt; Section Image --&gt; Benefit - Text Animation --&gt; Sub title (reward subtext) font size</t>
  </si>
  <si>
    <t>The Reward subtext doesn't adjust its font size when user increases or decreases the font</t>
  </si>
  <si>
    <t>https://www.loom.com/i/ecb40e911c7f4c13b352f8be33f0ba41</t>
  </si>
  <si>
    <t>UAT_PD_045</t>
  </si>
  <si>
    <t>KrisFlyer SBI Card Apex, Indigo SBI Card Elite, SBI Card Prime, Landmark Rewards, SBI Card Prime --&gt; Etihad Guest SBI Prmier Card, KrisFlyer SBI Card, SBI Card Miles Prime --&gt;Exclusive Privileges --&gt; Flip multiple card</t>
  </si>
  <si>
    <t>For all the pages mentioned in steps to reproduce, user can flip more than one card at the same time. If a card is already flipped and user flips another one, the previous one does unflip itself</t>
  </si>
  <si>
    <t>https://www.loom.com/share/5237b127a00f455283198e1559756ef9</t>
  </si>
  <si>
    <t>UAT_PD_046</t>
  </si>
  <si>
    <t>iPads Pro 11 inches (834px x 1194px) --&gt; Landscape mode --&gt; Similar Card Section --&gt; Check if more than 2 cards appear in each slide</t>
  </si>
  <si>
    <t>In case the devices' screen resolution is anywhere where between 1025px - 1201px, instead of only 2 cards appearing in each slide, 3 cards appear. As a result, due to less space available, the bullet points get truncated and the CTA labels get word wrapped to next line increasing the height of the CTA buttons</t>
  </si>
  <si>
    <t>https://www.loom.com/i/8188827e14e245a4a5ccdfb01a7d1d59</t>
  </si>
  <si>
    <t>UAT_PD_047</t>
  </si>
  <si>
    <t>All Pages --&gt; Side Bar --&gt; Best For --&gt; Milestone Privileges</t>
  </si>
  <si>
    <t>Where ever "Milestone Privileges" is used, it needs to be replaced with "Milestone Benefits"</t>
  </si>
  <si>
    <t>https://www.loom.com/i/3006560e6886487c8c22558a57c05e29</t>
  </si>
  <si>
    <t>10/03/2026 - This issue is fixed for SBI Card Elite, Flipkart SBI Card, SBI Card Prime, SBI Unnati are done. However, BPCL SBI Card Octane, IRCTC SBI Card Premier still show "Milestone Privielges" instead of "Milestone Benefits"</t>
  </si>
  <si>
    <t>UAT_PD_048</t>
  </si>
  <si>
    <t>Shadow Effect</t>
  </si>
  <si>
    <t>Dark &amp; Dark + Gold Pages --&gt; Similar Card Section --&gt; Card Face background shadow effect</t>
  </si>
  <si>
    <t>In case the page theme is dark then the card shadow in the background of the card faces need to be such that it is visible on the dark theme but at the same time doesn't interfere with the card outline in case then card has white or light colors in its card face image.</t>
  </si>
  <si>
    <t>https://www.loom.com/i/43e3b358ed054d07b689ece878353499</t>
  </si>
  <si>
    <t>UAT_PD_049</t>
  </si>
  <si>
    <t>Titan SBI Card --&gt; Mobile Phones --&gt; Exclusive Privileges --&gt; Reward Benefits</t>
  </si>
  <si>
    <t>+ More / - Less button is missing and all bullet points are shown by default.</t>
  </si>
  <si>
    <t>https://www.loom.com/i/ffff4f6d4029441ba2e99b4814a9b303</t>
  </si>
  <si>
    <t>UAT_PD_050</t>
  </si>
  <si>
    <t>Etihad Guest SBI Card &amp; Etihad Guest SBI Premier Card --&gt; Replacement Disclaimer section</t>
  </si>
  <si>
    <t>The Replacement Disclaimer needs to be updated on UAT for the mentioned pages</t>
  </si>
  <si>
    <t>https://www.loom.com/i/067f53a15eff42268d736063769c8805</t>
  </si>
  <si>
    <t>13/03/2026 - The issue is now resolved on devsit1 - https://loom.com/i/bf7848751f234453980e1b33e14615da
https://loom.com/i/9d6778566b26420d8df71df0ac70d3b7</t>
  </si>
  <si>
    <t>UAT_CP_001</t>
  </si>
  <si>
    <t>FIND YOUR PERFECT CARD section --&gt; Help me Choose &amp; Find Yourself</t>
  </si>
  <si>
    <t>Help me Choose &amp; Find Yourself tabs missing</t>
  </si>
  <si>
    <t>https://www.loom.com/i/dc6de221e9de4b4ab2203827c60b8f64</t>
  </si>
  <si>
    <t>https://www.loom.com/i/39fff6de6e984896b6669ca420f84d7d</t>
  </si>
  <si>
    <t>15/01/2026</t>
  </si>
  <si>
    <t>Right now we are going with a single tab as per the team on call</t>
  </si>
  <si>
    <t>UAT_CP_002</t>
  </si>
  <si>
    <t>Icon</t>
  </si>
  <si>
    <t>Own a SBI Card Today! --&gt; Get Your Card Instantly --&gt; Submit OTP --&gt; Application recieved GIF</t>
  </si>
  <si>
    <t>The Party Popper GIF doesn't load after application gets submitted successfully.</t>
  </si>
  <si>
    <t>https://www.loom.com/i/70d8e06fe799462889efbf308652abc2</t>
  </si>
  <si>
    <t>https://www.loom.com/i/5f6d412518c54d0ea1bba6f5d1e30960</t>
  </si>
  <si>
    <t>Bug on Hold because as per Neha on call, this section's development is in progress.</t>
  </si>
  <si>
    <t>UAT_CP_003</t>
  </si>
  <si>
    <t xml:space="preserve">Your Card. Your Way --&gt; Various Cards --&gt; Benefits &amp; CTA Buttons </t>
  </si>
  <si>
    <t>Benefits &amp; CTA buttons are missing for various cards.</t>
  </si>
  <si>
    <t>https://www.loom.com/i/4c6dea5f804f4135802743523bd700ba</t>
  </si>
  <si>
    <t>Need to discuss with Namita ma'am for "See Benefit" button placement. Apply Now is not required for some.</t>
  </si>
  <si>
    <t>06/02/2026 - See benefits position is approved by Namita ma'am on call
21/01/2026 - Now the Benefit bullet points and "See Benefits" CTA have appeared but the "Apply Now" button is still missing for some of the card. https://www.loom.com/i/e4d7baaca328443d93d4f655927d848b</t>
  </si>
  <si>
    <t>UAT_CP_004</t>
  </si>
  <si>
    <t>Already Applied section --&gt;&lt;div class="sun-block" aria-label="Switch into dark mode"&gt;</t>
  </si>
  <si>
    <t xml:space="preserve">Accessibility instance fails because - "aria-label attribute cannot be used on a div with no valid role attribute." </t>
  </si>
  <si>
    <t>https://www.loom.com/i/6ac549b4b46e41f88055846f175096b8</t>
  </si>
  <si>
    <t>UAT_CP_005</t>
  </si>
  <si>
    <t>Applied Already section --&gt; word "Already"</t>
  </si>
  <si>
    <t>The font colour of the word "Already" needs to be #0094D9 instead of white</t>
  </si>
  <si>
    <t>https://www.loom.com/i/9d0370c994a2426a98ee6f81a001a000</t>
  </si>
  <si>
    <t>https://www.loom.com/i/d80c7a00c260403ca44c7f3a047fd75e</t>
  </si>
  <si>
    <t>Not a bug as we already discussed that in the call</t>
  </si>
  <si>
    <t>We discussed why the colour couldn't be changed. But we still need to solve the issue. Can only close it if it doesn't need to be considered as an issue.</t>
  </si>
  <si>
    <t>UAT_CP_006</t>
  </si>
  <si>
    <t>Already Applied section --&gt; Sub Heading</t>
  </si>
  <si>
    <t>The extra question mark needs to be removed from the sub heading.</t>
  </si>
  <si>
    <t>https://www.loom.com/i/fd847789dafe4bebac76369015d02a71</t>
  </si>
  <si>
    <t>No longer occurring, hence marking the issue as resolved.</t>
  </si>
  <si>
    <t>UAT_CP_007</t>
  </si>
  <si>
    <t>Hero section's last slide --&gt; Press tab to move focus to the next element</t>
  </si>
  <si>
    <t>The element focus using tab is not following the logical order. After hero section, the "Featured" tab of "Your Card. Your Way." should have been focused but instead the hidden filter criteria get focused.</t>
  </si>
  <si>
    <t>https://www.loom.com/share/01bea74e1cda439ab71eeae877c5520a</t>
  </si>
  <si>
    <t>25/02/2026 - This is fixed on devsit1</t>
  </si>
  <si>
    <t>05/03/2026 - The issue was already marked as resolved on 2nd March 2026
02/03/2025 - The issue is resolved on sbi-pvt - https://www.loom.com/share/a6ebc779e2154957a962029ebc14e3e8
25/02/2026 - The issue is not yet resolved on devsit1 - https://www.loom.com/share/8fac5f7a5ac14c1ba08250dbd31e24b6
24/02/2026 - The issue is not yet resolved on devsit1</t>
  </si>
  <si>
    <t>UAT_CP_008</t>
  </si>
  <si>
    <t xml:space="preserve">Your Card. Your Way --&gt; Cards --&gt; Apply Now &amp; See Benefits CTA Buttons </t>
  </si>
  <si>
    <t>"Apply Now" button has the style of "See Benefits" button and vice versa. The styles need to be interchanged.</t>
  </si>
  <si>
    <t>https://www.loom.com/i/1a7afed79cb846bb8f324660dbcee2f6</t>
  </si>
  <si>
    <t>https://www.loom.com/i/a9f8bc9fc387444380d11ca4b99f3306</t>
  </si>
  <si>
    <t>Not a bug, this depends on the card content</t>
  </si>
  <si>
    <t>As per the Team's comment, marking the issue as resolved as it is now working fine for those cards that have both CTAs.</t>
  </si>
  <si>
    <t>UAT_CP_009</t>
  </si>
  <si>
    <t>Exclusivity. Elegance. Yours. --&gt; All Slides --&gt; See Benefits</t>
  </si>
  <si>
    <t>The arrow icon with the "See Benefits" hyperlink is missing.</t>
  </si>
  <si>
    <t>https://www.loom.com/i/226d3f6f67ac480791f3c4e970bf9fd6</t>
  </si>
  <si>
    <t>https://www.loom.com/i/4ca870837a6a41cabd620f2c36646071</t>
  </si>
  <si>
    <t>UAT_CP_010</t>
  </si>
  <si>
    <t>Exclusivity. Elegance. Yours. --&gt; 2nd &amp; 3rd Slide --&gt; Text Content alignment</t>
  </si>
  <si>
    <t>For 2nd &amp; 3rd Slides, the text content vertical alignment is more towards the bottom instead of being on the top center.</t>
  </si>
  <si>
    <t>https://www.loom.com/i/c3a63723df604d46a2f47352af02283e</t>
  </si>
  <si>
    <t>https://www.loom.com/i/834243ac649b479abf089c0900b8fd03</t>
  </si>
  <si>
    <t>Need Discussion</t>
  </si>
  <si>
    <t>Issue due to chat bot class - main.css 6 file</t>
  </si>
  <si>
    <t>9/02/2026 - Issue resolved - https://loom.com/i/6759c7fd990e40bc98d90a341f81f1dd</t>
  </si>
  <si>
    <t>UAT_CP_011</t>
  </si>
  <si>
    <t>Product Alert Carousel --&gt; Read Fraud Prevention Guideline</t>
  </si>
  <si>
    <t>https://www.loom.com/i/783233421ac84d4284a62aff1c53b93c</t>
  </si>
  <si>
    <t>https://www.loom.com/i/62614a17ace5415db491d1f79c860141</t>
  </si>
  <si>
    <t>UAT_CP_012</t>
  </si>
  <si>
    <t>Product Alert Carousel --&gt; Navigate through the slides using keyboard tab</t>
  </si>
  <si>
    <t>When user move forward or backward in the slider carousel, the focused slide doesn't get to the front and instead remains on the back</t>
  </si>
  <si>
    <t>https://www.loom.com/share/6c6d8ddaa76a42d1a1bbdc37bd2404d1</t>
  </si>
  <si>
    <t>UAT_CP_013</t>
  </si>
  <si>
    <t>Product Alert Carousel --&gt; Slider Dots</t>
  </si>
  <si>
    <t>The Product alert carousel's slider dots are not accessible through the keyboard</t>
  </si>
  <si>
    <t>UAT_CP_014</t>
  </si>
  <si>
    <t>Things you’ll need to Apply --&gt; All 3 Tabs --&gt; Get the focus on these using keyboard's tab</t>
  </si>
  <si>
    <t>When these tabs get focused using keyboard, they do not get the border highlight to show that they are focused on. However, if windows narrator is on, the border does appear.</t>
  </si>
  <si>
    <t>https://www.loom.com/i/72da5a83e15d488d8bdb1d9a19acf3c9</t>
  </si>
  <si>
    <t>UAT_CP_015</t>
  </si>
  <si>
    <t>Frequently Ask Questions --&gt; Expand any Question --&gt; Try to access any extra link in the answer through keyboard</t>
  </si>
  <si>
    <t>Keyboard users cannot access any extra link present inside the answer of any of the questions</t>
  </si>
  <si>
    <t>https://www.loom.com/i/d922762ca06f4a508f7032d5f38bde68</t>
  </si>
  <si>
    <t>UAT_CP_016</t>
  </si>
  <si>
    <t>Product Alert Carousel --&gt; All Touch Devices</t>
  </si>
  <si>
    <t>The slider positioning goes towards to right and out of the screen instead of being present in the center.</t>
  </si>
  <si>
    <t>https://www.loom.com/i/90ee089da3f446ef93a062a961268da2</t>
  </si>
  <si>
    <t>https://loom.com/i/91c260723ec24fd1b5e6470eaf0a2837</t>
  </si>
  <si>
    <t>Sachin</t>
  </si>
  <si>
    <t>Fixed on 12-02-2026</t>
  </si>
  <si>
    <t>19/02/2026</t>
  </si>
  <si>
    <t>19/02/2026 - The issue is resolved on devsit1 - https://loom.com/i/aa487897f68b4688b4388190f089cbc4
09/02/2026 - This issue is no longer occuring on devsit - https://loom.com/i/8e4f868a315d4c0a861ea7183fbc114f
But when checking on the benchmark HTML - 54v with devsit css copied to it, it behaves incorrectly for devices around width Actual Result - https://www.loom.com/i/79174709c5b54cedb405c4ef77ffdf51
In case of widths aroung 750px the stacked cards behind are not visible.
https://loom.com/i/e6a036e2127845008665d30f99ff8fb0</t>
  </si>
  <si>
    <t>UAT_CP_017</t>
  </si>
  <si>
    <t>Assistance Made Simple --&gt; iPads / Tablets --&gt; All 3 Containers --&gt; Span Text</t>
  </si>
  <si>
    <t>The text gets truncated with 3 dots from the end.</t>
  </si>
  <si>
    <t>https://www.loom.com/i/d5d7262522d148f6ae5ec77bd3a82599</t>
  </si>
  <si>
    <t>19/02/2026 - As there is only a limit to the content that can be accomodated in that space,the content was shorten keeping this in mind, copied the final content (updated) and put it on devsit1 to check, the issue doesn't occur hence closing - https://loom.com/i/50fbf74cf6ba465abcfb4ccac6c7f8d8
https://loom.com/i/91ad0fdac45d43b295508a510ba76045
11/02/2026 - The issue is as it is in case of iPads - https://www.loom.com/i/e82447758a9e45b3b81300dfb236e89d 
The issue is not resolved in HTML and is also found in case of mobile phones if font is increased to large - https://www.loom.com/i/e9da04f8003e47a792c92b6d7d41dbc0</t>
  </si>
  <si>
    <t>UAT_CP_018</t>
  </si>
  <si>
    <t>Your Card. Your Way --&gt; All Cards --&gt; Card shadow effect</t>
  </si>
  <si>
    <t>The shadow effect below each card doesn't adjust according to the aspect ratio/size of the uploaded image.</t>
  </si>
  <si>
    <t>https://www.loom.com/i/b7a23c4058d1437da9f99aff8896c45f</t>
  </si>
  <si>
    <t>https://www.loom.com/i/e13134e1070c4d72948f18c3c644b960</t>
  </si>
  <si>
    <t>Working fine on HTML</t>
  </si>
  <si>
    <t>06/02/2026 - The issue is no longer occurring. Hence closing the issue.</t>
  </si>
  <si>
    <t>UAT_CP_019</t>
  </si>
  <si>
    <t>Your Card. Your Way --&gt; Desktops / iPads --&gt; Vertical alignment of different card contents with each other.</t>
  </si>
  <si>
    <t>Some of the card may have more/lengthier content that others, this breaks the vertical alignment between the content &amp; CTA buttons of different cards wheen compared with each other side by side. This is necessary for a systematic and aligned view.</t>
  </si>
  <si>
    <t>https://www.loom.com/i/599f2b5dc9e74f87935f235b6b5dec33</t>
  </si>
  <si>
    <t>19/02/2026 - Issue is resolved on devsit1 - https://loom.com/i/dd08d2eb9b6649f79db755754b836adb
11/02/2026 - The issue has been checked on HTML v54 with UAT css and is resolved - https://loom.com/i/04ef081cfee84234bcc33e68bacf0915</t>
  </si>
  <si>
    <t>UAT_CP_020</t>
  </si>
  <si>
    <t>Your Card. Your Way --&gt; Each Card CTA Buttons --&gt; Gap between them</t>
  </si>
  <si>
    <t>The Gap between the Apply Now button and the See benefits button is more than required (in case of all devices). The width of both the buttons can be increased in all cases such that only the required amount of gap remains between them. Check the actual vs expected screenshots.</t>
  </si>
  <si>
    <t>https://www.loom.com/i/2c308fe2c6ca4138bee3a0fa907acabd</t>
  </si>
  <si>
    <t>https://www.loom.com/i/b20597f147864b6ab62f657cfffadc10</t>
  </si>
  <si>
    <t>19/02/2026 - Issue is resolved on devsit1 - https://loom.com/i/890b88473a2c413d9ec203f80f3e449d
11/02/2026 - The CTA width has only been adjusted for the first card - 
https://www.loom.com/i/04de0ed1f1904dbb9670fd289db0528e</t>
  </si>
  <si>
    <t>UAT_CP_021</t>
  </si>
  <si>
    <t>Exclusivity. Elegance. Yours. --&gt; All Slides Content</t>
  </si>
  <si>
    <t>The Title's bottom line text gets clipped from the bottom. Especially in case of large font</t>
  </si>
  <si>
    <t>https://www.loom.com/i/a8013e13ab7f4206a33a026469fce2b7</t>
  </si>
  <si>
    <t>19/02/2026 - Issue is resolved on devsit1 - https://loom.com/i/cf4f9e2b59534cb29b7adc88bd900f6c
11/02/2026 -  The issue has been checked on HTML v54 with UAT css and is resolved - https://loom.com/i/33a78849dddf4563be2c0e386e7160ca</t>
  </si>
  <si>
    <t>UAT_CP_022</t>
  </si>
  <si>
    <t>Exclusivity. Elegance. Yours. --&gt; All Slides --&gt; Title element</t>
  </si>
  <si>
    <t>Regardless if user increases or decreases the font size, the line height of the title element remains the same 36px. As a result, different line texts start to overlap with each other the size increased and do not maintain a standard gap between them in order to be clean and readable.</t>
  </si>
  <si>
    <t>https://www.loom.com/i/a5a434a3dda74a6299020c2ad538d8d9</t>
  </si>
  <si>
    <t>19/02/2026 = Issue is resolved on devsit1 - https://loom.com/i/4eb9bac9d12d476fa616fda70e413240
11/02/2026 -  The issue has been checked on HTML v54 with UAT css and is resolved -  https://loom.com/i/0fee1b4995de4725a8b8ec34d99aa0a9</t>
  </si>
  <si>
    <t>UAT_CP_023</t>
  </si>
  <si>
    <t>Height</t>
  </si>
  <si>
    <t>Find Your Perfect Card Section --&gt; Section's Height</t>
  </si>
  <si>
    <t>The section's height seems more than the what it is in the design reference. As a result, small or mid sized Desktops will never show the complete section on the screen frame and user would always have to scroll to view it completely. Size of images used and some padding can be reduced to decreased the size of the overall section.</t>
  </si>
  <si>
    <t>https://www.loom.com/i/1b4b6675f90546449fb438881cec8a5a</t>
  </si>
  <si>
    <t>https://loom.com/i/3bf3442af92e4b479619b484b03f3fd8</t>
  </si>
  <si>
    <t>The section height has been reduced as much as possible. Since this section contains two tabs, and the second tab’s HTML is coming from the home page, the height has been adjusted according to that component as much as feasible. Any further changes would also require updates on the home page.</t>
  </si>
  <si>
    <t>21/02/2026</t>
  </si>
  <si>
    <t>21/02/2026 - As confirmed by Arun sir on call (Sachin Present) - Namita ma'am confirmed that -  this issue is to be kept P3 for now as it can be picked in the next phase 
19/02/2026 - The issue is not yet solved (from HTML side as well) and needs to be discussed on call.
11/02/2026 - Issue still not resolved. As per Namita ma'am the section should fit having a complete view in the common desktop sizes such that user doesn't have to scroll up or down to view the section completely - https://loom.com/i/8868d1de2ecb4e90ba6fd16b737b96fc</t>
  </si>
  <si>
    <t>UAT_CP_024</t>
  </si>
  <si>
    <t>Already Applied section --&gt; Section Heading</t>
  </si>
  <si>
    <t>Question mark missing after "Already Applied" in the title</t>
  </si>
  <si>
    <t>https://www.loom.com/i/da2b3efb5f154e879798ca0b56835d9a</t>
  </si>
  <si>
    <t>UAT_CP_025</t>
  </si>
  <si>
    <t>Frequently Ask Questions --&gt; Expand any Question --&gt;Check if the blue border appears for the expanded container instead of being by default at the first question.</t>
  </si>
  <si>
    <t>The blue border are the question remains on the first question box always. Instead, it should only appear on the question box that gets expanded.</t>
  </si>
  <si>
    <t>https://www.loom.com/i/2895b651d1e440bb86a11656d83319bc</t>
  </si>
  <si>
    <t>20/02/2026 - The issue is resolved on devsit1 - https://www.loom.com/share/8f217498b43c45e98dd8b7ab9b635a35
19/02/2026 - The issue is not resolved on devsit1. On top of it, the question boxes are no longer expanding to display the answer - 
11/02/2026 - The issue has been checked on HTML v54 with UAT css and is resolved - https://loom.com/i/6b86a9e338ae4c688de5e63383caeef7</t>
  </si>
  <si>
    <t>UAT_CP_026</t>
  </si>
  <si>
    <t>Mobille Devices</t>
  </si>
  <si>
    <t>Assistance Made Simple --&gt; Mobile Devices --&gt; All 3 Containers</t>
  </si>
  <si>
    <t>The 3 containers in the grid do not have width divided between them equally and instead based on the content in them. As a result, the last container is noticeably narrower then the other two.</t>
  </si>
  <si>
    <t>https://www.loom.com/i/a749bfbc87334c12a4b339fb7f3e88c8</t>
  </si>
  <si>
    <t>Fixed it you can check</t>
  </si>
  <si>
    <t>19/02/2026 - The issue is resolved on devsit1 - https://loom.com/i/b84c108dd578491296e83feb02c28785
11/02/2026 - The issue has been checked on HTML v54 with UAT css and is resolved - https://loom.com/i/f1e70b7ec1d249b9b9a121db34d1d1b0</t>
  </si>
  <si>
    <t>UAT_CP_027</t>
  </si>
  <si>
    <t>Touch Devices --&gt; Your Card. Your Way. --&gt; Filters Menu</t>
  </si>
  <si>
    <t>In case of touch devices, while scrolling through the Filters menu that opens up, as soon as the scroll path of the menu is over, it shifts its position slighly upwards and at the bottom we can see the page in the background getting scrolled even when the filter menu is open.</t>
  </si>
  <si>
    <t>https://www.loom.com/share/4d3384536efd4d0bbecab9b7d9d32fdd</t>
  </si>
  <si>
    <t>25/02/2026 - As the issue occurs on real devices (demonstrated on call) and it works fine in case of HTML, therefore issue updated - Assigned to Neha Jain &amp; Platform changed from HTML/CSS to UAT
19/02/2026 - Issue still not resolved on devsit1 when checked on real mobile device - When user scrolls up and down after opening the filter, the a gap at the bottom of the filter modal can be noticed and through this, the page in the back getting scrolled is visible. This gets replicated especially if user performs any up or down swipe gesture outside the filter modal. Check the screen recording for better understanding - https://www.loom.com/share/ab3a30d24d924724bb5d146093bd71c9
11/02/2026 - The filter pop up now opens from the bottom without any gap but the page in the background still gets scrolled while the filter menu is open - https://www.loom.com/share/827b65e0881a497992ad8466ac432455</t>
  </si>
  <si>
    <t>UAT_CP_028</t>
  </si>
  <si>
    <t xml:space="preserve"> When user drags down the menu with touch gesture, the filter menu doesn't close.</t>
  </si>
  <si>
    <t>https://www.loom.com/i/79b55267c9e2420bbc78abaae1efee65</t>
  </si>
  <si>
    <t>Need Discussion updated on 12-02-2026. Need to imlement as feature.
fix is given in the doc on 16-02-2026</t>
  </si>
  <si>
    <t>25/02/2026 - As the slider has been replaced by a cross button and it is functional. The only problem is it doesn't have an icon therefore the issue couldn't be marked as closed. However, its priority is now changed from P1 to P2 and stage column updated to PVT from HTML/CSS and issue assigned to Neha Jain as icon has been provided.
19/02/2026 - The issue is not resolved on devsit1 - the cross button icon/image doesn't load - https://www.loom.com/i/33c22f5c301a4d74a55545cb2cf77cac
11/02/2026 - As per Namita ma'am on call, this issue needs to be fixed therefore opened again. Either implement the drag to close functionality on the pop up or provide a cross button instead of slide bar at the top.
06/02/2026 - As per Dev remark and after discussion on call with Sachin &amp; Arun sir. This is not being considered as an issue. Hence closing this one.</t>
  </si>
  <si>
    <t>UAT_CP_029</t>
  </si>
  <si>
    <t>Compare your Cards pop up --&gt; Choose cards with lengthy names</t>
  </si>
  <si>
    <t>Card Names &amp; placeholder "Select another card to compare" get truncated from the end with 3dots due to less space available in case of touch devices.</t>
  </si>
  <si>
    <t>https://www.loom.com/i/3d0e175d8bc940889f9671db8f11607c</t>
  </si>
  <si>
    <t>Need Discussion updated on 12-02-2026</t>
  </si>
  <si>
    <t>19/2/2026</t>
  </si>
  <si>
    <t>19/02/2026 - Issue resolved on devsit1 - https://loom.com/i/74b6d4e1a0bc400ebb2010b50cb51d55
13/02/2026 - The fix for this is yet to be given from Sachin's side.
11/02/2026 - As per Namita ma'am, the card titles should be free flowing even if it takes upto 4 lines and "Select another card to compare" needs to be  removed and instead the "Add" needs to be changed to "Add Card". If this suggested solution breaks anything then the placeholder "Select another card" needs to be replaced with something short.
https://www.loom.com/i/195256345b954747bc70e1e9fe410f72</t>
  </si>
  <si>
    <t>UAT_CP_030</t>
  </si>
  <si>
    <t>Your Cards. Your Way. --&gt; Each Card --&gt; Benefit Bullet points</t>
  </si>
  <si>
    <t>If card benefit point has more than 1 sentence the tick mark icon that acts as bullet for the point should always be aligned with the first line of the point. Check the actual vs expected result.</t>
  </si>
  <si>
    <t>https://www.loom.com/i/bf5a3bc1805441eda98a8a00558c8d5c</t>
  </si>
  <si>
    <t>https://www.loom.com/i/7d5dd03071a3446b81bc8e1f2e42ff13</t>
  </si>
  <si>
    <t>19/02/2026 - The issue is resolved on devsit1 - https://loom.com/i/6692292fcc9148bc8aee7f021d76b1a7
11/02/2026 - The issue has been checked on HTML v54 with UAT css and is resolved. - https://loom.com/i/5df14e58afae4594822cf0316a17b28d</t>
  </si>
  <si>
    <t>UAT_CP_031</t>
  </si>
  <si>
    <t>Your Cards. Your Way. --&gt; Filters Menu --&gt; Select any check box</t>
  </si>
  <si>
    <t>In case of desktop selecting any check box from the filter menu directly applies the filter as there is no "Apply" button but in case of touch devices, filter menu opens that has an "Apply Filter" button so the filter should not be applied until user clicks on the apply button.</t>
  </si>
  <si>
    <t>https://www.loom.com/share/0bb4e33fc96f44e587dcb4b4b509d682</t>
  </si>
  <si>
    <t>24/02/2026 - As discussed on call, this needs to be picked in the next release therefore changing it's status to "Hold"
20/02/2026 - As discussed on call with Arun sir (Sachin Present) Namita ma'am confirmed that this can be changed from P1 to P3.</t>
  </si>
  <si>
    <t>UAT_CP_032</t>
  </si>
  <si>
    <t>Exclusivity. Elegance. Yours. --&gt; All Slides --&gt; Title</t>
  </si>
  <si>
    <t>Lengthy title, card names and sub titles get truncated with 3 dots at the end. For example: check the 2nd slide's title.</t>
  </si>
  <si>
    <t>https://www.loom.com/i/b6acc34740454010afcca94c27306081</t>
  </si>
  <si>
    <t>25/02/2026 - Sachin's fix - " Fix was given as much as it can be reduced" was implemented as confirmed by Neha Laddha ma'am
Need Discussion updated on 12-02-2026,
Font size for all the three title, card &amp; sub-text to be reduced throught out, wee need to handle card title specially so that it should not trucate anyway.
Sachin - Fix was given as much as it can be reduced</t>
  </si>
  <si>
    <t>25/02/2026 - As suggested by Arun sir, the width of the container needs to be increased to properly solve this and this change will be picked in the next release therefore marking this issue as P3 for now and it remains in HTML team's bucket.
24/02/2026 - The QA remark mentioned on 10/02/2026 is still applicable
10/02/2026 - Font size slightly needs to be decreased as discussed on call with Namita ma'am to avoid this. This needs to be done for Card Names &amp; Subtitles as well.
06/02/2026 - Based on Dev Remark, content team will have to restrict content to be not more than 72 charactes.</t>
  </si>
  <si>
    <t>UAT_CP_033</t>
  </si>
  <si>
    <t>Product Alert Carousel --&gt; Try to drag/swipe through the slides</t>
  </si>
  <si>
    <t>Unlike other sliders on the page, the Product alert carousel slider doesn't slide if user tries to drag or swipe through it.</t>
  </si>
  <si>
    <t>https://www.loom.com/share/a54c2fb3b7f94e3a88e714d356920ea7</t>
  </si>
  <si>
    <t>19/02/2026 - The issue is resolved on devsit1 - https://www.loom.com/share/ce21adbb0bc14d85a9c8cc478a162e9c
11/02/2026 - The issue has been checked on HTML v54 with UAT css and is resolved. - https://www.loom.com/share/60a006d7b2f74381a17b7f0389388a9e
06/02/2026 - Issue remains the same</t>
  </si>
  <si>
    <t>UAT_CP_034</t>
  </si>
  <si>
    <t>Exclusivity. Elegance. Yours. --&gt; All Slides --&gt; The Diagonal Card Image</t>
  </si>
  <si>
    <t>The Diagonal Card Image touches the container or even gets slightly clipped from top &amp; bottom. Instead, it should have at least some padding gap</t>
  </si>
  <si>
    <t>https://www.loom.com/i/3ede1f0f5db8486db622173e75b4ac1d</t>
  </si>
  <si>
    <t xml:space="preserve">19/02/2026 - The issue is resolved on devsit1 - https://loom.com/i/72a12c0691464d6d825e451c5fc0341c
11/02/2026 - The issue has been checked on HTML v54 with UAT css and looks like this - https://loom.com/i/6d9e6ae265c747e1b975b675adeb5dc4 This was reviewed on call with Arun sir and Namita ma'am and confirmed that this would work. Therefore marking as fixed.
10/02/2026 - This issue only occurs on desktops below 1400px. </t>
  </si>
  <si>
    <t>UAT_CP_035</t>
  </si>
  <si>
    <t>Nu HMTL Checker - https://validator.nu/ --&gt; Website link</t>
  </si>
  <si>
    <t>The website has 1 error and 1 warning found by W3C HTML validator -1.)  Start tag seen without seeing a doctype first. Expected &lt;!DOCTYPE html&gt;. And, 2.) Consider adding a lang attribute to the html start tag to declare the language of this document.</t>
  </si>
  <si>
    <t>https://loom.com/i/fc95df927d7f42ddb77e4be96de5e28d</t>
  </si>
  <si>
    <t>24/02/2026 - As discussed on call, this needs to be picked in the next release therefore changing it's status to "Hold"</t>
  </si>
  <si>
    <t>UAT_CP_036</t>
  </si>
  <si>
    <t>Your Cards. Your Way. --&gt; Filters Menu --&gt; Benefits Criteria</t>
  </si>
  <si>
    <t>The Benefits criteria have a long extensive list of check boxes, some even duplicate. Only 8-9 Benefits are there. The list should only have those.</t>
  </si>
  <si>
    <t>https://www.loom.com/i/dd09a26be50847a7a59fc44c5d59d932</t>
  </si>
  <si>
    <t>UAT_CP_037</t>
  </si>
  <si>
    <t>Your Cards. Your Way. --&gt; Select any card type tab (Premium, Lifestyle, Rewards etc) --&gt; go to  Filters Menu --&gt;Reset All Button</t>
  </si>
  <si>
    <t>If the user clicks on the Reset All button, the card type tab should be default go to the "Featured" tab but instead it unselects all tabs. Check the actual vs expected behaviour in the screen recording.</t>
  </si>
  <si>
    <t>https://www.loom.com/share/759746e86a104fba85527fb7ac263806</t>
  </si>
  <si>
    <t>30/01/2026 - This bug was resolved on 21/01/2026 but was found to be occurring again on 30th Jan. Therefore reopening.
https://www.loom.com/i/59eedaa3a8954dedb875f1662232a5b6</t>
  </si>
  <si>
    <t>UAT_CP_038</t>
  </si>
  <si>
    <t>Assistance Made Simple --&gt; Contact Us, SMS, Whatsapp Connect</t>
  </si>
  <si>
    <t>Both title and sub title text below are now center aligned instead of being aligned to the left.</t>
  </si>
  <si>
    <t>https://www.loom.com/i/de018ab84bd24797a20c7e621b3f1753</t>
  </si>
  <si>
    <t>https://www.loom.com/i/8ce3268531194f7180e6fdce7b4e3d18</t>
  </si>
  <si>
    <t>23/02/2026 - Fixed on devsit1
16/02/2026 - Fixed on devsit1
Issue due to chat bot class - main.css 6 file</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</si>
  <si>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https://loom.com/i/e4f3ef9bcb0846909f07f1f368849e3f
24/02/2026 - The issue is no longer occuring but it was occuring due to ILA chatbot which is no longer present on devsit1. As informed on UAT Discussion call, can only close this issue if it doesn't occur even when chatbot ILA is present - https://loom.com/i/aabd1657779344dcafa3625349e73fd6
17/02/2026 - The issue is no longer occuring but it was occuring due to ILA chatbot which is no longer present on devsit1. As informed on UAT Discussion call, can only close this issue if it doesn't occur even when chatbot ILA is present - https://loom.com/i/aabd1657779344dcafa3625349e73fd6</t>
  </si>
  <si>
    <t>UAT_CP_039</t>
  </si>
  <si>
    <t>Where Privilege Meets Prestige --&gt; Each Slider --&gt; Title &amp; Sub Title</t>
  </si>
  <si>
    <t>Both title and sub title text are now center aligned. As per the benchmark and the design they are supposed to be left aligned. If this is changed intentionally, the CTA button below is getting mis-aligned because it is still aligned towards the left.</t>
  </si>
  <si>
    <t>https://www.loom.com/i/6c0fb8588e03499abc0e9e3bb2a9e5f0</t>
  </si>
  <si>
    <t>https://www.loom.com/i/81fff0d7160847ba91324a88c27557a6</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</si>
  <si>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https://loom.com/i/b432b45ef5e642f68bafef4c0321601b
24/02/2026 -The issue is no longer occuring but it was occuring due to ILA chatbot which is no longer present on devsit1. As informed on UAT Discussion call, can only close this issue if it doesn't occur even when chatbot ILA is present  - https://loom.com/i/984f2b4639ec4f089d0006b8eeb928b6
17/02/2026 -The issue is no longer occuring but it was occuring due to ILA chatbot which is no longer present on devsit1. As informed on UAT Discussion call, can only close this issue if it doesn't occur even when chatbot ILA is present  - https://loom.com/i/984f2b4639ec4f089d0006b8eeb928b6</t>
  </si>
  <si>
    <t>UAT_CP_040</t>
  </si>
  <si>
    <t>Applied Already section --&gt;Title &amp; Sub Title</t>
  </si>
  <si>
    <t>Both title and sub title text are now center aligned. As per the benchmark and the design they are supposed to be left aligned. If this is changed intentionally, the CTA buttons below are getting mis-aligned becausethey are still aligned towards the left.</t>
  </si>
  <si>
    <t>https://www.loom.com/i/65cbd352ceab4cabb0c7fa7e95a44ae9</t>
  </si>
  <si>
    <t>https://www.loom.com/i/f2cb47a339e4478681162a35be18f02f</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</si>
  <si>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https://loom.com/i/62016e4e2e4140b4b51eb441b1dfcab4
24/02/2026 - The issue is no longer occuring but it was occuring due to ILA chatbot which is no longer present on devsit1. As informed on UAT Discussion call, can only close this issue if it doesn't occur even when chatbot ILA is present -  https://loom.com/i/391686b9220042a1bea2f513152aea45
17/02/2026 - The issue is no longer occuring but it was occuring due to ILA chatbot which is no longer present on devsit1. As informed on UAT Discussion call, can only close this issue if it doesn't occur even when chatbot ILA is present -  https://loom.com/i/391686b9220042a1bea2f513152aea45</t>
  </si>
  <si>
    <t>UAT_CP_041</t>
  </si>
  <si>
    <t>Own a SBI Card Today! Section--&gt; Title &amp; Sub Title</t>
  </si>
  <si>
    <t>Both title and sub title text are now center aligned. As per the benchmark and the design they are supposed to be left aligned.</t>
  </si>
  <si>
    <t>https://www.loom.com/i/bf0bdddef77745f885be9fd9be3b7926</t>
  </si>
  <si>
    <t>https://www.loom.com/i/50b697e835cc43ef8be31ba4c59493a1</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</si>
  <si>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https://loom.com/i/5360585221af41fdb71223981a2eb89d
24/02/2026 - The issue is no longer occuring but it was occuring due to ILA chatbot which is no longer present on devsit1. As informed on UAT Discussion call, can only close this issue if it doesn't occur even when chatbot ILA is present  - https://loom.com/i/1fb5cf957b224567a6f6774bf70557ab
17/02/2026 - The issue is no longer occuring but it was occuring due to ILA chatbot which is no longer present on devsit1. As informed on UAT Discussion call, can only close this issue if it doesn't occur even when chatbot ILA is present  - https://loom.com/i/1fb5cf957b224567a6f6774bf70557ab</t>
  </si>
  <si>
    <t>UAT_CP_042</t>
  </si>
  <si>
    <t>A Card For Every Lifestyle --&gt; Select "Banking Partnerships" Tab --&gt; Check the filters menu</t>
  </si>
  <si>
    <t>When "Banking Partnerships tab is selected, the entire filters menu gets disabled.</t>
  </si>
  <si>
    <t>https://www.loom.com/i/d749f664749e4456ba5f96371ba741ff</t>
  </si>
  <si>
    <t>This was the requirement from SBI Team</t>
  </si>
  <si>
    <t>06/02/2026 - expected behaviour - as discussed on call with Namita ma'am</t>
  </si>
  <si>
    <t>UAT_CP_043</t>
  </si>
  <si>
    <t>A Card For Every Lifestyle --&gt; Filter Menu</t>
  </si>
  <si>
    <t>The filters menu is not scrollable on its own. User has to scroll entire page to access the remaining filter criteria</t>
  </si>
  <si>
    <t>https://www.loom.com/i/80b19d3b71d84e8ca16e63d5ef1a619e</t>
  </si>
  <si>
    <t>https://www.loom.com/i/fb26f1cc71f245a6832bd08ba185564f</t>
  </si>
  <si>
    <t>UAT_CP_044</t>
  </si>
  <si>
    <t>A Card For Every Lifestyle --&gt; Select a Category with long list of cards --&gt; Scroll down --&gt; Filter Menu --&gt; Tick any filter check box that reduces the number of cards.</t>
  </si>
  <si>
    <t>When user scrolls down the card grid, if applies any filter by clicking on the check box, filter gets applied but the section doesn't auto scroll to the top. As a result, the proceeding sections appear on the screen as soon as user applies a check box filter.</t>
  </si>
  <si>
    <t>https://www.loom.com/share/4bff73722cf64804b753042fbf0b4462</t>
  </si>
  <si>
    <t>25/02/2026 - We couldn't find this fix on any of the documents received.</t>
  </si>
  <si>
    <t>25/02/2026 - As the fix was not found in the documents shared, the issue remains in HTML Team's bucket but as the SBI Team is no longer picking any HTML fixes in this release, as requested by Arun sir, changed the priority of this bug to P3.
24/02/2026 - The HTML fix has not yet implemented on devsit1
11/02/2026 - The issue has been checked on HTML v54 with UAT css and is now not working at all - https://www.loom.com/share/99648268f5a84c6f9c825ff6d9f5f102
06/02/2026 - As soon as filter is applied, page auto scrolls to the top of the section. But, before it reaches the top, the sections at the bottom show up for a split second and then from their it goes to the top. If this auto scroll can be handled more gracefully, it would be better - https://www.loom.com/share/a396c22fcc6348fdba0ddd468969f920</t>
  </si>
  <si>
    <t>UAT_CP_045</t>
  </si>
  <si>
    <t>A Card For Every Lifestyle --&gt; Filter Menu --&gt; Criteria Check Boxes --&gt; Click on any criteria outside the area of check box or its label</t>
  </si>
  <si>
    <t>The clickable area of any of the filter criteria is extra instead of only remaining till the checkbox and it's label. User positions the mouse on the right side of the filter label still is able to check or uncheck the box by a click.</t>
  </si>
  <si>
    <t>https://www.loom.com/share/7920d2cf29c2440ca816a4e310b2b6af</t>
  </si>
  <si>
    <t>11/02/2026 - The issue has been checked on HTML v54 with UAT css and is now not working at all -  https://www.loom.com/share/a377be63bd974cf7a7f34422581f5ea8</t>
  </si>
  <si>
    <t>UAT_CP_046</t>
  </si>
  <si>
    <t>Keyboard Accessibility --&gt; Frquently Ask Questions --&gt; Get the focus on any of the questions tab or the Load More button</t>
  </si>
  <si>
    <t>When user focuses on any of the tabs or the load more button, the border implying the focus is on the element doesn't appear.</t>
  </si>
  <si>
    <t>https://www.loom.com/share/c0643edab463447fa6d13ef443a64f87</t>
  </si>
  <si>
    <t>UAT_CP_047</t>
  </si>
  <si>
    <t>Keyboard Accessibility --&gt; A Card For Every Lifestyle section --&gt; Each Card's Add to Compare check box &amp; "Own a SBI Card Today!" Section --&gt; "I authorize" Check Box</t>
  </si>
  <si>
    <t>When user focuses on any of the check boxes mentioned in the steps to reproduce column, the border implying that the element is in focus remains missing.</t>
  </si>
  <si>
    <t>https://www.loom.com/i/267cb9a44c8941e19de486d5955fa2b7
https://www.loom.com/i/b28d0a00130e435ca97440458cef990b</t>
  </si>
  <si>
    <t>It will be in separate doc where design of this section is changed</t>
  </si>
  <si>
    <t>26/02/2026 - Opening this bug just so that Sachin can get this when he applies filter for HTML/CSS while creating the document for the next release.
30/01/2026 - As discussed on call, accessibility issues are to be kept on hold for now and to be picked in the next release.
11/02/2026 - The issue has been checked on HTML v54 with UAT css and is now not working at all -  https://www.loom.com/share/8e71b3c06be842c0adb312babcdabd86</t>
  </si>
  <si>
    <t>UAT_CP_048</t>
  </si>
  <si>
    <t>Keyboard Accessibility --&gt; A Card For Every Lifestyle section --&gt; Tick the Add to Compare Check box --&gt; Get the tab focus on the "Compare your cards" pop up --&gt; Focus on the collapse, cross &amp; remove buttons in the pop up.</t>
  </si>
  <si>
    <t>While on the "Compare Your Cards" pop up, if the focus is on the collapse, cross &amp; remove buttons, they do not get the border implying the same.</t>
  </si>
  <si>
    <t>https://www.loom.com/share/e204f9f9d7de4cd58a14a6d5a86673db</t>
  </si>
  <si>
    <t>UAT_CP_049</t>
  </si>
  <si>
    <t>Keyboard Accessibility --&gt; A Card For Every Lifestyle section --&gt; Filters Menu --&gt; Get the focus on "Reset All" button</t>
  </si>
  <si>
    <t>When the tab focus comes to the "Reset All" button in the filter's menu, the border implying the focus remains missing.</t>
  </si>
  <si>
    <t>https://www.loom.com/i/dd114f54b96545a9ad4aedca6af2536d</t>
  </si>
  <si>
    <t>UAT_CP_050</t>
  </si>
  <si>
    <t>Keyboard Accessibility --&gt; A Card For Every Lifestyle section --&gt; Filters Menu --&gt; Try to expand any of the filter criteria that is in collapsed state</t>
  </si>
  <si>
    <t>While navigating through the filter's menu using keyboard, the focus never goes to the criteria that is currently collapsed. Hence, user remains unable to expand or collapse any of the filter criteria.</t>
  </si>
  <si>
    <t>https://www.loom.com/share/687b0315fe3f4f1e8c15a1ecf1b5105f</t>
  </si>
  <si>
    <t>UAT_CP_051</t>
  </si>
  <si>
    <t>A Card For Every Lifestyle --&gt; Load More button</t>
  </si>
  <si>
    <t>The clickable area of any of the Load More button is extra instead of only remaining till the checkbox and it's label. User positions the mouse far left or right from its label still is able to click on it.</t>
  </si>
  <si>
    <t>https://www.loom.com/i/75208dc218464586bd3fed706166e4cd</t>
  </si>
  <si>
    <t>11/02/2026 - The issue has been checked on HTML v54 with UAT css and is now not working at all - https://www.loom.com/share/88131f2db2814b828c4e9d628d6e438c</t>
  </si>
  <si>
    <t>UAT_CP_052</t>
  </si>
  <si>
    <t>All  Browsers</t>
  </si>
  <si>
    <t>Windows Narrator --&gt; "Own a SBI Card Today!" section --&gt; Focus on "GET YOUR CARD INSTANTLY" button when its in disabled state</t>
  </si>
  <si>
    <t>When user focuses on "GET YOUR CARD INSTANTLY" button, the narrator doesn't announce its current state "Enabled" or "Disabled". Visually challenged user will keep pressing enter thinking why the button work and will have no way to know whether it is enabled or disabled or why disabled.</t>
  </si>
  <si>
    <t>https://www.loom.com/share/d13d54a97fd5499d8eca513a629b9253</t>
  </si>
  <si>
    <t>UAT_CP_053</t>
  </si>
  <si>
    <t>Windows Narrator --&gt; Hero Section --&gt; Focus on the slider dots</t>
  </si>
  <si>
    <t>When user focuses on any of the slider dots, the windows narrator announces it twice.</t>
  </si>
  <si>
    <t>https://www.loom.com/share/15fd10fc7a74437d8dacd06c7d083693</t>
  </si>
  <si>
    <t>UAT_CP_054</t>
  </si>
  <si>
    <t>Edge</t>
  </si>
  <si>
    <t>Hero Section --&gt; Auto Slide --&gt; Notice the smoothness of slide transition</t>
  </si>
  <si>
    <t>In the Hero section, when the slide is changed or gets auto slided, the transition to the new slide is not smooth and feels slow/laggy or choppy in case of edge browsers.</t>
  </si>
  <si>
    <t>https://www.loom.com/share/f52c5c5d827e4357b4ac7c2c8e757c4a</t>
  </si>
  <si>
    <t>Will be covered in next release as there are too much of changes there in all html, css and js</t>
  </si>
  <si>
    <t>10/02/2026 - Only occurring in the QA's system, but not occuring in any of the latest devices therefore closing this issue as per discussion with namita ma'am on call</t>
  </si>
  <si>
    <t>UAT_CP_055</t>
  </si>
  <si>
    <t>Get Ready to Apply --&gt; Card Eligibility &amp; Documents Required Tabs</t>
  </si>
  <si>
    <t>3rd Tab is no longer has any label or content but user still gets to click and select it.</t>
  </si>
  <si>
    <t>https://www.loom.com/i/da4ffac6a7dd4028a8393b85a0c9a77c</t>
  </si>
  <si>
    <t>06-02-2026- Verified on desktop, mobile and ipad device</t>
  </si>
  <si>
    <t>09/02/2026 - The issue is resolved - https://loom.com/i/717c24bce6864e74b473b5f645c7e056
05/02/2026 - The issue still occurs - https://www.loom.com/share/7f993374053e4c7d92ef79155a25265e
04/02/2026 - The 3rd tab can no longer be selected like before but the hover action is still present. Check the recording - 
https://www.loom.com/share/5e608e77bca645138f8be74da5af7afb</t>
  </si>
  <si>
    <t>UAT_CP_056</t>
  </si>
  <si>
    <t>Large/Medium/Small</t>
  </si>
  <si>
    <t>A Card For Every Lifestyle --&gt; Add to Compare --&gt; Compare your Cards pop up --&gt; Increase or decrease the font size.</t>
  </si>
  <si>
    <t>Increasing and decreasing the font size doesn't change the size of the Card Titles, Remove Button, Add button in the "Compare Your Cards" pop up.</t>
  </si>
  <si>
    <t>https://www.loom.com/i/22fc14694e56460ea20e71fe027ad8d1</t>
  </si>
  <si>
    <t>19/02/2026 - The issue is resolved on devsit1 - https://www.loom.com/share/7821d20357914b2d89b8ecb24ec8240b
11/02/2026 - The issue has been checked on HTML v54 with UAT css and is resolved. - https://loom.com/i/9dff901221c74ad081b7c3b5e21d7195</t>
  </si>
  <si>
    <t>UAT_CP_057</t>
  </si>
  <si>
    <t xml:space="preserve">A Card For Every Lifestyle --&gt; Add to Compare --&gt; Compare your cards --&gt; Add a card with a lengthy title or notice the placeholder - "Select another card to compare" </t>
  </si>
  <si>
    <t>If the card added for comparison has a lengthy title, it gets truncated with 3 dots at the end. This is especially in case of small screens like mobile phone ipads. The placeholder "Select another card to compare" also gets truncated - in case of desktop, when font size is smallest. In case of mobile phones, any font size and in case of ipads/tablets, when font size is the largest</t>
  </si>
  <si>
    <t>https://www.loom.com/i/9bd0cf0ebfad477eb8812e6af53e1cc9</t>
  </si>
  <si>
    <t>23/02/2026 - Fixed on devsit1</t>
  </si>
  <si>
    <t>24/02/2026 - As per Namita ma'am, "Select another card to compare" needs to be  removed and instead, the "Add" needs to be changed to "Add Card". If this suggested solution breaks anything then the placeholder "Select another card" needs to be replaced with something short.</t>
  </si>
  <si>
    <t>UAT_CP_058</t>
  </si>
  <si>
    <t>Medium/Small</t>
  </si>
  <si>
    <t>A Card For Every Lifestyle --&gt; iPads / Tablets / Mobile (landscape) --&gt; Small font --&gt;  Featured tab besides the filter button</t>
  </si>
  <si>
    <t>The "Featured" tab besides the filters button slightly gets clipped from the left in case of iPads / Tablets or mobile phones (landscape) when the font size is reduced to smallest. In case of mobile phones (portrait mode) same happens in case of default font.</t>
  </si>
  <si>
    <t>https://www.loom.com/i/f18b1976ed76438aa7827ad33409c0ce</t>
  </si>
  <si>
    <t>https://www.loom.com/i/11b212d5a54f4497a5154a0d9d3a5746</t>
  </si>
  <si>
    <t>11/02/2026 -  The issue has been checked on HTML v54 with UAT css and is now not working. https://www.loom.com/i/1f9097de865542988de6493fbf9939b7</t>
  </si>
  <si>
    <t>UAT_CP_059</t>
  </si>
  <si>
    <t>Own a SBI Card Today! Section--&gt; Touch Devices --&gt; Input boxes --&gt; Fill the input boxes --&gt; Check the green tick mark's vertical alignment</t>
  </si>
  <si>
    <t>The green tick mark that appears as the input box gets filled need to be vertically center aligned in case of moble phones &amp; ipads / tablets</t>
  </si>
  <si>
    <t>https://www.loom.com/i/08b32296e8fe404593397329db0176a9</t>
  </si>
  <si>
    <t>09/02/2026 - Issue resolved - https://loom.com/i/620257a5ea984484b9437b0c11cdb329
05/02/2026 - 
In case of iPad mini, iPad, iPad Air or iPad Pro 11 inches, the tick mark is still not center aligned - https://www.loom.com/i/5227ffe974054d2d81da316dda25f43e</t>
  </si>
  <si>
    <t>UAT_CP_060</t>
  </si>
  <si>
    <t>Own a SBI Card Today! Section --&gt; Enter only the First Name --&gt; Check if the "Get Your Card Instantly" button gets activated</t>
  </si>
  <si>
    <t>Even though all 3 fields are required to be filled and the check box to be ticked before the form should get submitted, the "Get Your Card Instantly" button gets activated as soon as the first name is filled.</t>
  </si>
  <si>
    <t>https://www.loom.com/share/08d61d24bc474ed3a7490e9d11060259</t>
  </si>
  <si>
    <t>This is not a bug this is same as per the HTML but we fixed as per our discussion
- Start Number 012 not allowed
- CTA is not getting enabled if mandatory field is not filled
- Max limit implemented on first name and last name</t>
  </si>
  <si>
    <t>04/02/2026 - This was a bug because as per our discussion, input box validations were to be handled by the team</t>
  </si>
  <si>
    <t>UAT_CP_061</t>
  </si>
  <si>
    <t>Own a SBI Card Today! Section --&gt; Click the "Get Your Card Instantly" button to submit the form</t>
  </si>
  <si>
    <t>The form doesn't instantly get submitted and redirected to the next step that is to enter OTP. Sometimes it either takes a while if get submitted to move to the next step if at all. There could be a loader for indication that the form submittion is in progress.</t>
  </si>
  <si>
    <t>09/02/2026 - The issue is no longer occurring and no update whether we should have the loader or not therefore closing this issue until further notice - https://www.loom.com/share/4fd4a0b078ed46eca461bf1640849511
04/02/2026 - The delay did occur previously as evident in the screen recording. Therefore, this bug cannot be rejected. Also, even though the delay is now reduced significantly but still a some mili second of wait can be noticed. Need to discuss if we need to have a loader or not - as mentioned in the bug.</t>
  </si>
  <si>
    <t>UAT_CP_062</t>
  </si>
  <si>
    <t>Own a SBI Card Today! Section --&gt; Click the "Get Your Card Instantly" button to submit the form --&gt; Resend OTP button</t>
  </si>
  <si>
    <t>Even when the OTP is already requested and the user has to wait for 45 seconds as shown as the countdown besides the "Resend OTP" button, the button doesn't go to a disabled state.</t>
  </si>
  <si>
    <t>https://www.loom.com/i/bcd113c017c244138bcf64461c8e913b</t>
  </si>
  <si>
    <t>02/03/2026 - As confirmed by Namita ma'am on call, these issues mentioned in the QA remark below need to be picked after this release as it requires HTML/CSS changes as for now we are not picking it in this release.
26/02/2026 - SBI team confirms that the timer of 45 sec to be changed to 30 secs and Resend OTP disabled state UI first needs to be done from the HTML/CSS team first. Plus, they need a message to be displayed after user requests Resend OTP 5 times. As they do not have that message, the currently do not hide the Resend button after it is requested for 5 times.
25/02/2026 - Need to discuss with SBI Team whether they are going to implement this functionality
10/02/2026 - As discussed with Namita ma'am on call, Resend OTP needs to be disabled until the timer is over and the Resend OTP should only be available till 5th time. Timer should be 30 seconds instead of 45 seconds. Another field - Middle name needs to be added and the existing field - "Telephone Number" needs to be "Phone Number"
06/02/2026 - The "Resend OTP" button neither goes in disabled state nor disappears until the countdown finishes</t>
  </si>
  <si>
    <t>UAT_CP_063</t>
  </si>
  <si>
    <t>Own a SBI Card Today! Section --&gt; Click the "Get Your Card Instantly" button to submit the form --&gt; "Submit OTP" &amp; "Cancel &amp; go back" button</t>
  </si>
  <si>
    <t>The "Submit OTP" button doesn't seem to be functional. If incorrect OTP is sent, it doesn't throw any error. If correct OTP is entered, it doesn't proceed forward.</t>
  </si>
  <si>
    <t>https://www.loom.com/share/96d2651f27aa491eb93dd313d1ed387d</t>
  </si>
  <si>
    <t>23/02/2026 - WIP
Not able to reproduce, as we discussed on the call also</t>
  </si>
  <si>
    <t>24/02/2026 - As this issue had WIP comment in the dev remark therefore not verifying this.
09/02/2026 - Now when entering the correct OTP, error appears - "something went wrong" and then "OTP doesn't exist" - https://www.loom.com/share/276a2a25fb5a46e6a90fdaef2a86dfda
04/02/2026 - Even after entering the correct OTP and clicking on submit, the OTP doesn't get submitted and when incorrect OTP is entered, the alert prompt below the input boxes do not appear.
02/02/2026 - After discussion on call, when tried this on incognito mode, the correct OTP got submitted and the page was redirected to the sprints page to which Namita ma'am confirmed that sprint page redirection is not required.</t>
  </si>
  <si>
    <t>UAT_CP_064</t>
  </si>
  <si>
    <t>Keyboard Navigation --&gt; Own a SBI Card Today! Section --&gt; Click the "Get Your Card Instantly" button to submit the form --&gt; Enter OTP --&gt; Submit OTP button</t>
  </si>
  <si>
    <t>While user focuses on the "Submit OTP" button or the "Cancel &amp; Back" button using the keyboard, the focus border doesn't appear for both the buttons.</t>
  </si>
  <si>
    <t>https://www.loom.com/i/dd5666e2bd494e55bf154e7e827b2778</t>
  </si>
  <si>
    <t>UAT_CP_065</t>
  </si>
  <si>
    <t>Hero Section --&gt; Slide 1 --&gt; Title "EXCEPTIONAL PRIVILEGES FOR AN UNCOMPROMISING LIFESTYLE"</t>
  </si>
  <si>
    <t>As the slide 1 title is lengthy, a horizontal mis alignment is observed specially for it and not for other slides where it doesn't appear to be in center.</t>
  </si>
  <si>
    <t>https://www.loom.com/i/e52297f42d824d6982bccd03af871ea4</t>
  </si>
  <si>
    <t>Padding is reduced here 6/2/2026 in sides
12-02-2026 it should be removed from doc as content is going change</t>
  </si>
  <si>
    <t>19/02/2026 - The issue is resolved on devsit1 - https://loom.com/i/a283b18bcf624b76a0c49ae34be0ed48
10/02/2026 - For now, we need to replace the word "Uncompromised" with "Outstanding" as discussed with Namita ma'am</t>
  </si>
  <si>
    <t>UAT_CP_066</t>
  </si>
  <si>
    <t>Compare your Cards pop up --&gt; Scroll down to Product Alert Carousel Section --&gt; Slider dots</t>
  </si>
  <si>
    <t>While the compare your cards pop up is open and user scrolls down the page, the Product Alert Carousel slider dots overlap with the pop up.</t>
  </si>
  <si>
    <t>https://www.loom.com/i/fbac3f99cf134cb5b447000125bc5327</t>
  </si>
  <si>
    <t>19/02/2026 - The issue is resolved on devsit1 - https://loom.com/i/6a24b84cf7974eaaa430abf220612d61
11/02/2026 - The issue has been checked on HTML v54 with UAT css and is resolved. https://loom.com/i/ca7be021845d4bfb85740a179e2cde0b</t>
  </si>
  <si>
    <t>UAT_CP_067</t>
  </si>
  <si>
    <t>Dark Mode --&gt; Product Alert Carousel --&gt; Slider dots</t>
  </si>
  <si>
    <t>The slider dot colours do not change according to the dark mode and therefore they do not remain visible.</t>
  </si>
  <si>
    <t>https://www.loom.com/i/91bd58c986d4426ab9ca6142fba101a5</t>
  </si>
  <si>
    <t>19/02/2026 - The issue is resolved on devsit1 - https://loom.com/i/2307d20d7005481894a1c549d20d4b59
11/02/2026 - The issue has been checked on HTML v54 with UAT css and is resolved - https://loom.com/i/cc7cf1dc3f544f068d4eab755818fb74</t>
  </si>
  <si>
    <t>UAT_CP_068</t>
  </si>
  <si>
    <t>Frequently ask questions --&gt; Load More --&gt; Inc. or Dec. font size</t>
  </si>
  <si>
    <t>Font size of the load more button doesn't change as the user increases of decreases the font.</t>
  </si>
  <si>
    <t>https://www.loom.com/i/c431e98e07c44dceab4d0a6155ec4155</t>
  </si>
  <si>
    <t>19/02/2026 - The issue is resolved on devsit1 - https://loom.com/i/ae45ec481ad34005a24747d36d078313
11/02/2026 - The issue has been checked on HTML v54 with UAT css and is resolved - https://loom.com/i/a7976c66c2d14ce19871e1b4f0584df2</t>
  </si>
  <si>
    <t>UAT_CP_069</t>
  </si>
  <si>
    <t>Hero section --&gt; Mobile Devices --&gt; Each Slide --&gt; Titles, CTAs, KPIs --&gt; Inc. or Dec. font size</t>
  </si>
  <si>
    <t>Font size of the Titles, CTAs, KPIs do not change as the user increases of decreases the font.</t>
  </si>
  <si>
    <t>https://www.loom.com/i/4082cfefb27645df8684bc00534d1137</t>
  </si>
  <si>
    <t>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19/02/2026 - The issue is not yet solved (from HTML side as well) and needs to be discussed on call.
11/02/2026 - The issue has been checked on HTML v54 with UAT css and is now not working. The Title font in each slide doesn't adjust its font size in case of iPads / Tablets &amp; Mobile Phones - https://www.loom.com/share/45ce819abb1d435a8af7d83b2467bbbe</t>
  </si>
  <si>
    <t>UAT_CP_070</t>
  </si>
  <si>
    <t>Hero Section --&gt; Each slide's Title &amp; CTA Label --&gt; Inc. or Dec. font size</t>
  </si>
  <si>
    <t>Font size of the Titles &amp; CTA labels do not change as the user increases of decreases the font.</t>
  </si>
  <si>
    <t>https://www.loom.com/i/57e9c088d01c443eb6c98aab1eb5dd10</t>
  </si>
  <si>
    <t xml:space="preserve">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11/02/2026 - The issue has been checked on HTML v54 with UAT css and is now not working for mobile phones &amp; iPads/tablets. The title font sitll doesn't adjusts its size - https://www.loom.com/share/45ce819abb1d435a8af7d83b2467bbbe
06/02/2026 - The Title font no longer adjust their font size in any of the devices </t>
  </si>
  <si>
    <t>UAT_CP_071</t>
  </si>
  <si>
    <t>Find Your Perfect Card Section --&gt; Mobile Devices --&gt; Inc. or Dec. font size</t>
  </si>
  <si>
    <t>Title &amp; CTA button "Find Your Perfect Card" font sizes do not change.</t>
  </si>
  <si>
    <t>https://www.loom.com/i/351334bfcb0d4c9c869542b745ca02d3</t>
  </si>
  <si>
    <t>Fixed on HTML Given with fix</t>
  </si>
  <si>
    <t>24/02/2026 - The Title still doesn't adjusts it's font size when user increases or decreases it from the accessibility bar - https://www.loom.com/i/be51061ff3d5490499c6b0580d83d9ca
11/02/2026 - The issue has been checked on HTML v54 with UAT css and is now resolved. https://www.loom.com/i/3f59cbc82f85401b9de831e9269ed781</t>
  </si>
  <si>
    <t>UAT_CP_072</t>
  </si>
  <si>
    <t>Find Your Perfect Card section --&gt; CTA button "Find Your Perfect Card --&gt; Inc. or Dec font size</t>
  </si>
  <si>
    <t>Font size of the CTA button label doesn't change.</t>
  </si>
  <si>
    <t>https://www.loom.com/i/800da0b161784e67a2312fd38006ca2b</t>
  </si>
  <si>
    <t>24/02/2026 - The issue has been resolved on devsit1 - https://loom.com/i/bca18dc266e142f68808a0ade90073ae
11/02/2026 - The issue has been checked on HTML v54 with UAT css and is now resolved. https://loom.com/i/442164afec11400fb9eb65a525d1e4c1</t>
  </si>
  <si>
    <t>UAT_CP_073</t>
  </si>
  <si>
    <t>Own a SBI Card Today! --&gt; Didn't get the code?, Resend OTP &amp; Submit OTP button --&gt; Inc. or Dec. font size</t>
  </si>
  <si>
    <t>Didn't get the code? &amp; Resend OTP do not change their font size in case of all devices &amp; "Submit OTP" button label as well in case of iPads/ Tablets &amp; mobiles</t>
  </si>
  <si>
    <t>https://www.loom.com/i/9aa88144bf4c4e92b68538d48d6310c1</t>
  </si>
  <si>
    <t>24/02/2026 - The issues still exists in case of desktop, iPads / Tablets - The "Resend OTP" &amp; "Didn't get the code" do not adjust their font size - https://www.loom.com/i/df9ac28679cb442dbf5f481c957e8f8d
11/02/2026 - The issue has been checked on HTML v54 with UAT css and is now not working for iPads / Tablets and desktops. https://www.loom.com/share/1714fc5046bd4711aa793b099c51636f</t>
  </si>
  <si>
    <t>UAT_CP_074</t>
  </si>
  <si>
    <t>Applied Already? --&gt; Subtitle text and CTA button labels --&gt; Inc. or Dec. font size</t>
  </si>
  <si>
    <t>Subtitle text and CTA button labels do not change their font size in case of iPads / Tablets &amp; mobiles</t>
  </si>
  <si>
    <t>https://www.loom.com/i/b2797dbf58d4403ebb16c9ae16a814f9</t>
  </si>
  <si>
    <t>19/02/2026 - The issue is resolved on devsit1 - https://www.loom.com/share/dbe015aa158e4334a2be68697a6733df
11/02/2026 - The issue has been checked on HTML v54 with UAT css and is now resolved.  https://www.loom.com/i/bce048851cfe4f2299bf5cdc99ccf111</t>
  </si>
  <si>
    <t>UAT_CP_075</t>
  </si>
  <si>
    <t>Frequently Ask Questions --&gt; Mobile Phones --&gt; Section Title &amp; Questions &amp; Answers --&gt; Inc. or Dec. font size</t>
  </si>
  <si>
    <t>Section Title &amp; Questions &amp; Answers font do not change their font size in case of mobile phones.</t>
  </si>
  <si>
    <t>https://www.loom.com/i/b197ddab5d2c40189805f3062207a468</t>
  </si>
  <si>
    <t>19/02/2026 - The issue is resolved on devsit1 - https://loom.com/i/b35d331e09474c1fbf8a96e603704385
11/02/2026 - The issue has been checked on HTML v54 with UAT css and is now resolved.   https://loom.com/i/c59de654089f44779b472b09ffe1228c</t>
  </si>
  <si>
    <t>UAT_CP_076</t>
  </si>
  <si>
    <t>SBI Card Mobile App Section --&gt; Mobile Phones --&gt; Title --&gt; Inc. or Dec. Font Size</t>
  </si>
  <si>
    <t>Title doesn't change it's font size in case of mobile phones.</t>
  </si>
  <si>
    <t>https://www.loom.com/i/176a4dddde8a4b2d934a14c0cc70cabb</t>
  </si>
  <si>
    <t>19/02/2026 - The issue is resolved on devsit1 - https://loom.com/i/7f3d8309dc184721b8ac4ef2c3f8c00f
11/02/2026 -  The issue has been checked on HTML v54 with UAT css and is now resolved.   https://www.loom.com/i/0b108bbe114d4e60b821d38d9d26e330</t>
  </si>
  <si>
    <t>UAT_CP_077</t>
  </si>
  <si>
    <t>Assistance Made Simple Section --&gt; Mobile Phones --&gt; Title --&gt; Inc. or Dec. Font Size</t>
  </si>
  <si>
    <t>https://www.loom.com/i/89c27af4e84a40d4bedd36a73b21b083</t>
  </si>
  <si>
    <t>24/02/2026 - The issues is still not resolved on devsit1 - https://www.loom.com/i/fd4a1459d1534b8e805903ae68d93941
11/02/2026 - The issue has been checked on HTML v54 with UAT css and is now resolved. https://loom.com/i/fbc12646b34f4129ac28aa30c99b20f4</t>
  </si>
  <si>
    <t>UAT_CP_078</t>
  </si>
  <si>
    <t>SBI Card Mobile App --&gt; Mobiles Phones, iPads / Tablets --&gt; Extra Gap between Title &amp; SubTitle</t>
  </si>
  <si>
    <t>In case of screens having 481px - 768px width, extra gap is observed between the title &amp; the subtitle and the subtitle font does go larger in size then the title when font size is reduced because the subtitle font doesn't get adjusted accordingly. In all cases sub-title font needs to be lesser in size then title.</t>
  </si>
  <si>
    <t>https://www.loom.com/i/43e79d1afac2475e9029959b8a03b111</t>
  </si>
  <si>
    <t>20/2/2026</t>
  </si>
  <si>
    <t>20/02/2026 - After discussion &amp; confirmation on call by Arun sir (Sachin present) this issue is to be marked as P3 from P2.
19/02/2026 - The issue is not resolved on devsit1 - Font size hierarchy between Title &amp; subtitle breaks because the subtitle doesn't adjust its font size when user increases or decreases it but the title does. - https://www.loom.com/i/b6eacc22a4d54964be773d26fdb71e2c
11/02/2026 - The issue has been checked on HTML v54 and has not been resolved. https://loom.com/i/45ae7b46d8ea44a2bfd44d983bb645b7</t>
  </si>
  <si>
    <t>UAT_CP_079</t>
  </si>
  <si>
    <t>Own a SBI Card Today! Section --&gt; Fill all input boxes --&gt; Click on "Get Your Card Instantly" button --&gt; Click on "Cancel &amp; go back" button --&gt; Check if despite all input boxes being filled as it is if the button is in enabled or disabled state</t>
  </si>
  <si>
    <t>Case when user fills the form and proceeds to next step but then clicks on cancel &amp; go back button, the user lands on the 1st step again where all the input boxes are already filled but still the "Get your card instantly" button remains disabled until user focuses on any of the input box once.</t>
  </si>
  <si>
    <t>https://www.loom.com/share/f4ca0c8b238f4c6cab0fc47bf35bbd75</t>
  </si>
  <si>
    <t>06-02-2026- Requirement Changed, as per new requirement , tall the values in the form wiped out when we click on Go back</t>
  </si>
  <si>
    <t>06/02/2026 - 
Discussions were made on UAT call that this is expected behaviour and is as per the current production website therefore and if any change is required, it will be informed until then, need to keep this bug closed.
05/02/2026 - The issue still occurs - https://www.loom.com/share/27715ec18d5d4deb98242e03ebd0baae</t>
  </si>
  <si>
    <t>UAT_CP_080</t>
  </si>
  <si>
    <t>A Card For Every Lifestyle --&gt; Filter Menu --&gt; Div with ID- sidebar-filters</t>
  </si>
  <si>
    <t>Extra class px-8 has been added in the Div - sidebar-filters as a result the filter list has more padding then required. Compare the actual vs expected result screenshots.</t>
  </si>
  <si>
    <t>https://www.loom.com/i/b1dd1aa0ae314e7f8bd8c4fdd55914b3</t>
  </si>
  <si>
    <t>https://www.loom.com/i/6e7717945aad431cac2ae86baa7bc97c</t>
  </si>
  <si>
    <t xml:space="preserve">06-02-2026- Verified </t>
  </si>
  <si>
    <t>09/02/22026 - Issue resolved - https://loom.com/i/430322c78fb8453fa8dba4a34abccb58</t>
  </si>
  <si>
    <t>UAT_CP_081</t>
  </si>
  <si>
    <t>Own a SBI Card Today! --&gt; Submit a Form successfully --&gt; Click on submit another request --&gt; Check if the input boxes are still filled with the previous details --&gt; Fill the form with the same number again</t>
  </si>
  <si>
    <t>When user clicks on submit another request, Step 1 of the form appears again but with the same details already pre-filled. Also, if user submits the form with a mobile number that is already been submitted, then instead of "Application Received" it should say "Your application is already with us"</t>
  </si>
  <si>
    <t>https://www.loom.com/share/0bea1a7e88374c909f1522c40049ab03</t>
  </si>
  <si>
    <t>This is as per the existing functionality.</t>
  </si>
  <si>
    <t>06/02/2026 - Discussions were made on UAT call that this is expected behaviour and therefore needs to be closed. Hence closing.</t>
  </si>
  <si>
    <t>UAT_CP_082</t>
  </si>
  <si>
    <t>Hyperlink to CTA</t>
  </si>
  <si>
    <t>"Product alert banner" &amp; "Where Privilege meets prestige section" --&gt; Hyperlinks on each slide</t>
  </si>
  <si>
    <t>"Product alert banner" &amp; "Where Privilege meets prestige section" hyperlinks need to be changed to CTAs (Pill shaped action buttons used every were) as discussed and confirmed by Dheeraj, SBI team can use the CTA's HTML/CSS for these hyerlinks</t>
  </si>
  <si>
    <t>https://www.loom.com/i/75dec64d98be4a15bb79a625d44beb33</t>
  </si>
  <si>
    <t>23/02/2026 - We will pick this in next release</t>
  </si>
  <si>
    <t>24/02/2026 - As already confirmed on call, SBI Team will pick this up in the next release. therefore keeping this point on "Hold"
16/02/2026 - As discussed on UAT Discussion call - Neha Laddha ma'am cannot pick this change in the current release, therefore it's priority has been set to P3 in order to be picked in the later release.</t>
  </si>
  <si>
    <t>UAT_CP_083</t>
  </si>
  <si>
    <t>Mobile Phones --&gt; Scroll down till the Product Alert Banner section --&gt; Slider Dots --&gt; Mobile Footer wrap menu</t>
  </si>
  <si>
    <t>The Product Alert Banner section slider dots overlap on top of the mobile footer menu wrap in case of mobile phones.</t>
  </si>
  <si>
    <t>https://www.loom.com/i/5de83887328a405abd951657015dafd1</t>
  </si>
  <si>
    <t>19/02/2026 - The issue is resolved on devsit1 - https://loom.com/i/91655e31068e443291d56046c26b5a24</t>
  </si>
  <si>
    <t>UAT_CP_084</t>
  </si>
  <si>
    <t>Mobile Phones --&gt; Open the Add to Compare pop up --&gt; Open the Side Bar Menu</t>
  </si>
  <si>
    <t>The Side Bar menu's z index needs to be higher than the compare cards pop up in case of mobile so that the compare cards pop up doesn't overlap above the side bar menu.</t>
  </si>
  <si>
    <t>https://www.loom.com/i/a0f31eb0640f415880bba42a88674ab9</t>
  </si>
  <si>
    <t>19/02/2026 - The issue is resolved on devsit1 - https://loom.com/i/9483945f3ba44369a05ba11f5731f5b0</t>
  </si>
  <si>
    <t>UAT_CP_085</t>
  </si>
  <si>
    <t>13/2/2026</t>
  </si>
  <si>
    <t>Input Box</t>
  </si>
  <si>
    <t>Own a SBI Card Today! --&gt; Input boxes</t>
  </si>
  <si>
    <t>Another input box "Middle Name" needs to be added and the label &amp; placeholder for the input box "Telephone Number" needs to change to "Mobile Number". Bug added as requested by Namita ma'am</t>
  </si>
  <si>
    <t>https://loom.com/i/c2b3480f05ca471fac28b0e4eb0c4875</t>
  </si>
  <si>
    <t>25/02/2026 - The issue is resolved on devsit1 - https://loom.com/i/f7ffd4e6fb594248a62f7a82788c4bd0
24/02/2026 - This bug was present in the observation summary sheet shared on 23rd Feb but didn't had any remark or colour highlight that indicated whether it is fixed and needs to be checked. Therefore didn't verify this bug.</t>
  </si>
  <si>
    <t>UAT_CP_086</t>
  </si>
  <si>
    <t>Error Verbiage</t>
  </si>
  <si>
    <t>Own a SBI Card Today! --&gt; Input boxes (including OTP)  --&gt; Error prompts</t>
  </si>
  <si>
    <t>The error prompts and their verbiage that needs to appear below each input box in case of error needs to be implemented</t>
  </si>
  <si>
    <t>https://loom.com/i/7b390fc61cb74bb09b68f01b652137ef</t>
  </si>
  <si>
    <t>27/02/2026 - As per Neha Laddha, if the error verbiages are supposed to come below the input boxes, then they should've been included in the HTML as well. Currently only the boxes get Red Highlighted in case of error and the design is anyway going to change after this release. So, we much ignore this issue for this release
25/02/2026 - This is fixed on devsit1</t>
  </si>
  <si>
    <t>02/03/2026 - As confirmed by Namita ma'am on call, these issues mentioned in the QA remark below need to be picked after this release as it requires HTML/CSS changes as for now we are not picking it in this release.
27/02/2026 - Need Namita ma'am confirmation on Neha Laddha ma'am comment in the Dev Remark.
26/02/2026 - The issue is not resolved on devsit1 - https://loom.com/i/061ee743464e435ab55155b56479d015
24/02/2026 - This bug was present in the observation summary sheet shared on 23rd Feb but didn't had any remark or colour highlight that indicated whether it is fixed and needs to be checked. Therefore didn't verify this bug.</t>
  </si>
  <si>
    <t>UAT_CP_087</t>
  </si>
  <si>
    <t>Filter menu --&gt; Mobile Devices --&gt; Filter button</t>
  </si>
  <si>
    <t>The filter button needs to be labelled as "Apply"</t>
  </si>
  <si>
    <t>https://www.loom.com/i/f28f246587d34b11afdc71379e1e1bf3</t>
  </si>
  <si>
    <t>02/03/2026 - As confirmed by Namita ma'am. If only same text can be used for both Mobile &amp; Desktop Filter Menu then we should name it back to "Filter" instead of "Apply.
26/02/2026 - Sachin confirmed on UAT call that the Filter component for desktop &amp; for mobile are different therefore changing the label from "Filter" to "Apply" for mobile filter should not affect desktop's filter menu. But, Neha Laddha ma'am raised an arguement that it was not specified that both Filter Menus (Desktop &amp; Mobile) were to be authored differently and therefore they are linked together for authoring.
24/02/2026 - Verified this issue on sbi-pvt. Need to discuss this issue because now the Filters Menu heading is also changed to "Apply" instead of "Filter" in case of desktops - https://www.loom.com/i/a943157bf26c4864bb4d92dead404b33</t>
  </si>
  <si>
    <t>UAT_CP_088</t>
  </si>
  <si>
    <t>A Card for Every Lifestyle --&gt; Load More button at the bottom</t>
  </si>
  <si>
    <t>The "Load More..." label needs to be changed to "Load More"</t>
  </si>
  <si>
    <t>https://www.loom.com/i/def3b75a9b1a47aa86520455d83472b4</t>
  </si>
  <si>
    <t>25/02/2026 - The issue is resolved on sbi-pvt - https://loom.com/i/2ceae3f149b245e58b7fc15daee6a09a
24/02/2026 - The issue is resolved on devsit1 - https://loom.com/i/26b49b5f23504429a81958f63f0e350c</t>
  </si>
  <si>
    <t>UAT_CP_089</t>
  </si>
  <si>
    <t>14/02/2026</t>
  </si>
  <si>
    <t>Tab Style</t>
  </si>
  <si>
    <t>Get Ready to Apply --&gt; Dark Mode --&gt; Card Eligibility &amp; Documents Required Tabs --&gt; 1px border Grid line below the tabs</t>
  </si>
  <si>
    <t>In case of dark mode, the 1 px border grid line below the "Card Eligibility" &amp; "Documents Required" tab (things-need-tab-flex) border colour needs to be light so that it is visible as a grid line for the tabs.</t>
  </si>
  <si>
    <t>https://www.loom.com/i/1acfb87e26cc48a0b1100504bb904bc5</t>
  </si>
  <si>
    <t>UAT_CP_090</t>
  </si>
  <si>
    <t>CTA Word Wrap</t>
  </si>
  <si>
    <t>Desktops (1300px - 1700px width) --&gt; A Card for Every Lifestyle --&gt; Increase the font size to largest</t>
  </si>
  <si>
    <t>When user increases the font size to the largest, the CTA label gets word wrapped to next line in turn increasing the height of the CTA</t>
  </si>
  <si>
    <t>https://loom.com/i/d99da16497464bf69d4dd8087b710639</t>
  </si>
  <si>
    <t>UAT_CP_091</t>
  </si>
  <si>
    <t>Mobile Devices --&gt; Add to Compare --&gt; Add a lengthy, medium and short length title cards --&gt; Check the mis-aignment in the compare cards pop modal</t>
  </si>
  <si>
    <t>In case of mobile phones when credit cards of different title lengths are added, the alignment goes incorrect.</t>
  </si>
  <si>
    <t>https://www.loom.com/i/41ce7e2ca408418eae121288d803cfc3</t>
  </si>
  <si>
    <t>26/02/2026 - A request was made to Neha Laddha ma'am to take the fix of this bug that has come as a result of a previous bug fix but she confirmed that is not possible and it can only be picked in the next release. Therefore this needs to be marked as P3.</t>
  </si>
  <si>
    <t>UAT_CP_092</t>
  </si>
  <si>
    <t>iPhone 14 Pro</t>
  </si>
  <si>
    <t>Content Cropping</t>
  </si>
  <si>
    <t>iPhone 14 Pro or narrower devices --&gt; SBI Card Mobile App section --&gt; increase font to largest --&gt; Check the subtitle being overlapped under the section image on the right</t>
  </si>
  <si>
    <t>The subtitle gets overlapped by the section's image on the right in case when font size is largest and phone iphone 14 pro or narrower</t>
  </si>
  <si>
    <t>https://www.loom.com/i/5ec375ae95a740bfb0fca0956d831af1</t>
  </si>
  <si>
    <t>20/02/2026 - Issue Priority changed from P2 to P3 after discussion on call with Arun sir (Sachin Present)</t>
  </si>
  <si>
    <t>UAT_CP_093</t>
  </si>
  <si>
    <t>iPad Mini --&gt; Already Applied Section --&gt; Increase the font size to largest --&gt; Check the "Retrive Application" CTA getting overlapped with the image on the right side</t>
  </si>
  <si>
    <t>For iPad Mini, in case of largest font size, the 2nd CTA "Retrieve Application" gets overlapped by the image on the right side</t>
  </si>
  <si>
    <t>https://www.loom.com/i/f147fb5581b84671b985d57e4c220589</t>
  </si>
  <si>
    <t>UAT_CP_094</t>
  </si>
  <si>
    <t>Creatives</t>
  </si>
  <si>
    <t>Find Your Perfect Card --&gt; The credit card stack image</t>
  </si>
  <si>
    <t>Another image needs to be provided by the HTML Team where the dummy name &amp; card number is not present in the image and the first card in the stack is slightly more slanted.</t>
  </si>
  <si>
    <t>https://www.loom.com/i/83841c1e988341ba9ff72de3b76949a2</t>
  </si>
  <si>
    <t>13/03/2026 - The issue is resolved on sbi-pvt - https://loom.com/i/59ee2b55ad164528acd9b094c2385d7a
25/02/2026 - As the image regarding this is yet to be provided, this issue remains in HTML Team's bucket</t>
  </si>
  <si>
    <t>UAT_CP_095</t>
  </si>
  <si>
    <t>Hero Section --&gt; Slide 1 --&gt; Title --&gt; "EXCEPTIONAL PRIVILEGES FOR AN UNCOMPROMISED LIFESTYLE"</t>
  </si>
  <si>
    <t>The word "UNCOMPROMISING" needs to be "UNPARALLELED" as per the latest content file</t>
  </si>
  <si>
    <t>https://www.loom.com/i/e2f8cea5da1d4a7ab8bb84518f635a12</t>
  </si>
  <si>
    <t>05/03/2026 - The issue is resolved on sbi-pvt - https://loom.com/i/dd420a6fced0436b96b1e656a41cb054</t>
  </si>
  <si>
    <t>UAT_CP_096</t>
  </si>
  <si>
    <t>Hero Section --&gt; Slide 1 --&gt; 3rd KPI</t>
  </si>
  <si>
    <t>Instead of "27yrs+" it should be "27+ yrs". Also, instead of "Making Life Simple" it should be "of Making Life Simple"</t>
  </si>
  <si>
    <t>https://www.loom.com/i/ac035b43c90646419e9bab5e92324513</t>
  </si>
  <si>
    <t>05/03/2026 - Still not resolved on sbi-pvt - closed browser, opened incognito mode and cleared cache, cookies - https://loom.com/i/960179bba0ad4a3496ae78685e31517e</t>
  </si>
  <si>
    <t>UAT_CP_097</t>
  </si>
  <si>
    <t>A CARD FOR EVERY LIFESTYLE Section --&gt; Title</t>
  </si>
  <si>
    <t>As per the new content file, the "A CARD FOR EVERY LIFESTYLE" title needs to be changed to "A CARD DESIGNED AROUND YOU"</t>
  </si>
  <si>
    <t>https://www.loom.com/i/e9dfc3f49ce84eaaa9623dbfe64bfb7a</t>
  </si>
  <si>
    <t>05/03/2026 - Still not resolved on sbi-pvt - closed browser, opened incognito mode and cleared cache, cookies - https://loom.com/i/084b77b262cf4fba9ecb857e5fd2ec6f</t>
  </si>
  <si>
    <t>UAT_CP_098</t>
  </si>
  <si>
    <t>Find Your Perfect Card Section --&gt; Subtitle - Tell us what you need. We’ll match you to the perfect card</t>
  </si>
  <si>
    <t>It needs to be "Tell us" instead of "Tell Ys" and each word doesn't need to be capitalized, only the First word or each sentence needs to be capitalized</t>
  </si>
  <si>
    <t>https://www.loom.com/i/659506f0c9ba489ba3587f165889b3d3</t>
  </si>
  <si>
    <t>05/03/2026 - Still not resolved on sbi-pvt - closed browser, opened incognito mode and cleared cache, cookies - https://loom.com/i/c0987e1f08884ad29d728a80b901cfa3</t>
  </si>
  <si>
    <t>UAT_CP_099</t>
  </si>
  <si>
    <t>Where Privilege Meets Prestige --&gt; Aurum Card Slide --&gt; Title</t>
  </si>
  <si>
    <t>The Title needs to be "Turn every journey into a premium experience." instead of "Turn every flight into a first-class experience.</t>
  </si>
  <si>
    <t>https://www.loom.com/i/2fc360a12b1440fd9302aa08174acd7d</t>
  </si>
  <si>
    <t>26/02/2026 - The issue is no longer occurring. Hence closing - https://loom.com/i/b373f73d84f04ccbb6d07c2f929cce83</t>
  </si>
  <si>
    <t>UAT_CP_100</t>
  </si>
  <si>
    <t>Where Privilege Meets Prestige --&gt; KrisFlyer SBI Card Apex --&gt; Title</t>
  </si>
  <si>
    <t>The Title needs to be "Make every journey extraordinary." instead of "Turn every flight into a first-class experience."</t>
  </si>
  <si>
    <t>https://www.loom.com/i/9e3be3b562e640e18c36253c6c99ad3b</t>
  </si>
  <si>
    <t>26/02/2026 - The issue is no longer occurring. Hence closing - https://loom.com/i/7c227737959c45bc83715b3894ebaee8</t>
  </si>
  <si>
    <t>UAT_CP_101</t>
  </si>
  <si>
    <t>OWN A SBI CARD TODAY!--&gt; Title</t>
  </si>
  <si>
    <t>The Title needs to be "APPLY FOR AN SBI CREDIT CARD NOW!" instead of "Own a SBI Card Today!"</t>
  </si>
  <si>
    <t>https://www.loom.com/i/e66580e7870144658094f00389bb97bb</t>
  </si>
  <si>
    <t>05/03/2026 - The issue is resolved on sbi-pvt - https://loom.com/i/c1589ef4e15949adba15494939c76372</t>
  </si>
  <si>
    <t>UAT_CP_102</t>
  </si>
  <si>
    <t>Product Alert Carousel --&gt; 2nd Slide (Have You Activated Your New SBI Card?) --&gt; Banner Background Image</t>
  </si>
  <si>
    <t>The new background image needs to be used replacing the older one.</t>
  </si>
  <si>
    <t>https://www.loom.com/i/16b428057a2840d2858515575b53979e</t>
  </si>
  <si>
    <t>05/03/2026 - Still not resolved on sbi-pvt - closed browser, opened incognito mode and cleared cache, cookies  - https://loom.com/i/5aeb72d0cac8439991f199fb8c8d8880</t>
  </si>
  <si>
    <t>UAT_CP_103</t>
  </si>
  <si>
    <t>Product Alert Carousel --&gt; 2nd Slide (Have You Activated Your New SBI Card?) --&gt; Banner's Right Side Image</t>
  </si>
  <si>
    <t>The new right side image needs to be used replacing the older one.</t>
  </si>
  <si>
    <t>https://www.loom.com/i/2007b812c28141309bb07b9e1be1ffae</t>
  </si>
  <si>
    <t>UAT_CP_104</t>
  </si>
  <si>
    <t>Frequently Ask Questions --&gt; 1st Question (How to Apply for an SBI Card Online) --&gt; Answer</t>
  </si>
  <si>
    <t>The word "website" all across the answer needs to be capitalized and the word "team" in the "SBI Card team" as well.</t>
  </si>
  <si>
    <t>https://www.loom.com/i/cbe2dd7d529443749fc31c9ee46b56bf</t>
  </si>
  <si>
    <t>05/03/2026 - The issue is resolved on sbi-pvt</t>
  </si>
  <si>
    <t>UAT_CP_105</t>
  </si>
  <si>
    <t>Mobile Phones --&gt; Frequently Ask Questions --&gt; All answers --&gt; Bullet points</t>
  </si>
  <si>
    <t>The bullet dots in the answers do not appear in case of mobile phones</t>
  </si>
  <si>
    <t>https://www.loom.com/i/adf980ca316e4a069efde75032724e5a</t>
  </si>
  <si>
    <t>05/03/2026 - Still not resolved on sbi-pvt - closed browser, opened incognito mode and cleared cache, cookies - https://loom.com/i/f48e7aacb7704b8b9cf1dce21f5e3f7f</t>
  </si>
  <si>
    <t>UAT_CP_106</t>
  </si>
  <si>
    <t>Mobile Phones --&gt; Frequently Ask Questions --&gt; All answers --&gt; Bullet Points</t>
  </si>
  <si>
    <t>The bullet points need to have indentation gap</t>
  </si>
  <si>
    <t>https://www.loom.com/i/0c0749c7c8df4a8b8d49349845ca46bf</t>
  </si>
  <si>
    <t>UAT_CP_107</t>
  </si>
  <si>
    <t>Frequently Ask Questions --&gt; 1st Question (How to Apply for an SBI Card Online) --&gt; Answer --&gt; Bullet Point</t>
  </si>
  <si>
    <t>The bullet points have extra gap between them. Compare them with the bullet points of other bullet points</t>
  </si>
  <si>
    <t>https://www.loom.com/i/6f1f6f1fed8a4c688d93132e5043c005</t>
  </si>
  <si>
    <t>UAT_CP_108</t>
  </si>
  <si>
    <t>Frequently Ask Questions --&gt; 2nd Question (How to check my credit card eligibility?) --&gt; Answer</t>
  </si>
  <si>
    <t>The word "These" needs to be "There" in the second sentence as per the content file.</t>
  </si>
  <si>
    <t>https://www.loom.com/i/7e7536cb2fef4994abeba536fbeaa00f</t>
  </si>
  <si>
    <t>05/03/2026 - Th issue is resolved on sbi-pvt</t>
  </si>
  <si>
    <t>UAT_CP_109</t>
  </si>
  <si>
    <t>Frequently Ask Questions --&gt; 3rd  Question (What are the documents required to apply for an SBI Credit Card?) --&gt; Answer --&gt; 2nd bullet point</t>
  </si>
  <si>
    <t>The word "Adhar" needs to be "Aadhaar" as per the content file</t>
  </si>
  <si>
    <t>https://www.loom.com/i/df54c70db697438b8059742165810cb5</t>
  </si>
  <si>
    <t>UAT_CP_110</t>
  </si>
  <si>
    <t>Frequently Ask Questions --&gt; 3rd  Question (What are the documents required to apply for an SBI Credit Card?) --&gt; Answer --&gt; 3rd bullet point</t>
  </si>
  <si>
    <t>The word "maybe" needs to be "may be" as per the content file</t>
  </si>
  <si>
    <t>https://www.loom.com/i/0b2117d61f714940888b09e4ae6c4b33</t>
  </si>
  <si>
    <t>UAT_CP_111</t>
  </si>
  <si>
    <t>Frequently Ask Questions --&gt; 3rd  Question (What are the documents required to apply for an SBI Credit Card?) --&gt; Answer --&gt; Last Line</t>
  </si>
  <si>
    <t>comma missing between the word "documents" &amp; "click here"</t>
  </si>
  <si>
    <t>https://www.loom.com/i/c286f31df1244a49b12208dc7cd44808</t>
  </si>
  <si>
    <t>UAT_CP_112</t>
  </si>
  <si>
    <t>Frequently Ask Questions --&gt; 4th Question (How to track the status of a credit card application?) --&gt; Answer</t>
  </si>
  <si>
    <t>The word "that" needs to be "the". It should be "at the time" of applying for a card." &amp; "Click on the Track Button"</t>
  </si>
  <si>
    <t>https://www.loom.com/i/c43bd819dc4441a0a763697e5216d0d2</t>
  </si>
  <si>
    <t>UAT_CP_113</t>
  </si>
  <si>
    <t>Frequently Ask Questions --&gt; 6th Question (How to apply for an add-on credit card?) --&gt; Answer</t>
  </si>
  <si>
    <t>Words like "Add-on", "Documents" &amp; "Card" need to be capitalized where ever they are not</t>
  </si>
  <si>
    <t>https://loom.com/i/6339c541b28942049f2af56d82110457</t>
  </si>
  <si>
    <t>Not able to understand</t>
  </si>
  <si>
    <t>05/03/2026 - words like "add-on", "cards" &amp;  "documents" need to be capitalized.</t>
  </si>
  <si>
    <t>UAT_CP_114</t>
  </si>
  <si>
    <t>Frequently Ask Questions --&gt; 7th Question (What is the difference between a credit card and a debit card?)</t>
  </si>
  <si>
    <t>It needs to be " a debit card?" instead of simply "debit card?" in the question</t>
  </si>
  <si>
    <t>https://www.loom.com/i/6b1366eb20e7499983bff24782a59c32</t>
  </si>
  <si>
    <t>UAT_CP_115</t>
  </si>
  <si>
    <t>Frequently Ask Questions --&gt; 8th Question (What are cobrand credit cards and what are the different cobranded credit cards that SBI Card offers?)</t>
  </si>
  <si>
    <t>It needs to be "SBI Card" isn't of just "SBI"</t>
  </si>
  <si>
    <t>https://www.loom.com/i/0488610ab220496f8a4617dedc24e73f</t>
  </si>
  <si>
    <t>UAT_CP_116</t>
  </si>
  <si>
    <t>Frequently Ask Questions --&gt; 8th Question (What are cobrand credit cards and what are the different cobranded credit cards that SBI Card offers?) --&gt; Answer</t>
  </si>
  <si>
    <t>In the answer, the word "Cobrands" need to be "Cobrand" and "launched in partnership" instead of "launched in the partnership"</t>
  </si>
  <si>
    <t>https://www.loom.com/i/bd189aac7be54a8e87142ae19d1491cf</t>
  </si>
  <si>
    <t>UAT_CP_117</t>
  </si>
  <si>
    <t>Frequently Ask Questions --&gt; 9th Question (What is the minimum age limit to apply for a SBI Credit Card?) --&gt; 3rd Bullet point</t>
  </si>
  <si>
    <t>The word "limit" is not required as per the content file. It is " above the age of 25 years"</t>
  </si>
  <si>
    <t>https://www.loom.com/i/9266cf82462e4a7dba4f5f68079ff61d</t>
  </si>
  <si>
    <t>UAT_CP_118</t>
  </si>
  <si>
    <t>Frequently Ask Questions --&gt; 13th Question (What are the current offers available on SBI Credit Cards?) --&gt; Last Line</t>
  </si>
  <si>
    <t>The gap above the last line is missing.</t>
  </si>
  <si>
    <t>https://www.loom.com/i/2d5d28d071fc438f864dd2ff3813b70d</t>
  </si>
  <si>
    <t>UAT_CP_119</t>
  </si>
  <si>
    <t>SBI Credit Card Mobile App Section --&gt; Title</t>
  </si>
  <si>
    <t>The title needs to be "SBI CARD MOBILE APP" instead of "SBI Credit Card Mobile App"</t>
  </si>
  <si>
    <t>https://www.loom.com/i/4873a435444a4614b65e5c77a58565a9</t>
  </si>
  <si>
    <t>UAT_CP_120</t>
  </si>
  <si>
    <t>SBI Credit Card Mobile App Section --&gt; Sub-Title</t>
  </si>
  <si>
    <t>The sub-title needs to be "All Your Credit Card Services in One App" instead of "One App for Everything You Do"</t>
  </si>
  <si>
    <t>https://www.loom.com/i/c67d4507e6d44edd98bf44a3fc64f632</t>
  </si>
  <si>
    <t>UAT_CP_121</t>
  </si>
  <si>
    <t>Own a SBI Card Today --&gt; Check Box Disclaimer</t>
  </si>
  <si>
    <t>The check box disclaimer needs to be "I authorize SBICPSL &amp; its representatives to Call/SMS/Whatsapp me with reference to my Credit Card application and verify any information at Read More" in order to match with the disclaimer currently being used on production</t>
  </si>
  <si>
    <t>https://www.loom.com/i/a1dc9994bd6842448d6023c116e7e013</t>
  </si>
  <si>
    <t>UAT_CP_122</t>
  </si>
  <si>
    <t>Own a SBI Card Today --&gt; Mobile Number Input box --&gt; Enter only a single digit in the field --&gt; Click else where and check if it turns green</t>
  </si>
  <si>
    <t>The mobile number input box field turns green and the CTA button activates even if less than 10 digits are entered in it</t>
  </si>
  <si>
    <t>https://www.loom.com/share/c9caae2f9fe7474fac5bfe4d53dd8601</t>
  </si>
  <si>
    <t>05/03/2026 - The issue is resolved on devsit1. Will close this issue once it gets resolved on sbi-pvt - https://loom.com/i/8f27751bcdbc4a988fecf954fa4a9d8c</t>
  </si>
  <si>
    <t>UAT_CP_123</t>
  </si>
  <si>
    <t>Content Overlap</t>
  </si>
  <si>
    <t>Mobile Devices (width below 450px) --&gt; Own a SBI Card Today --&gt; Input box placeholders</t>
  </si>
  <si>
    <t>For mobile devices below 380px, all input box placholders will get overlapped from the right. For mobile devices with slighly wider screens, the 4 input box's placeholder "Enter Mobile Number" gets overlapped. As of now, this can only be handled by replacing with a shorter placeholder text.</t>
  </si>
  <si>
    <t>https://www.loom.com/i/19dd07b5d3f14d67a6c08ecd43dc0a92</t>
  </si>
  <si>
    <t>UAT_CP_124</t>
  </si>
  <si>
    <t>SBI Credit Card Mobile App Section --&gt; Section Image &amp; Background Image</t>
  </si>
  <si>
    <t>Instead of Catalogue Page's section image and background banner for this section that was being used, now the home page's images are being used</t>
  </si>
  <si>
    <t>https://www.loom.com/i/c00e393650454c8a972d45e9682b7e60</t>
  </si>
  <si>
    <t>13/03/2026 - The issue is resolved on sbi-pvt - https://loom.com/i/db1917cedb7543a1aee34528d87d4dc5</t>
  </si>
  <si>
    <t>UAT_CP_125</t>
  </si>
  <si>
    <t>Frequently Ask Questions --&gt; 4th Question --&gt; Answer --&gt; Home Page Hyperlink</t>
  </si>
  <si>
    <t>The Home Page hyperlink doesn't redirect to the home page.</t>
  </si>
  <si>
    <t>https://www.loom.com/i/6cd5ae3b8518464f9b67d9e7c061b409</t>
  </si>
  <si>
    <t>UAT_CP_126</t>
  </si>
  <si>
    <t>Frequently Ask Questions --&gt; 6th Question (How to apply for an add-on credit card?) --&gt; Answer --&gt; "the website" hyperlink</t>
  </si>
  <si>
    <t>The hyperlink redirection lead to "Page not found" as the link is incorrect</t>
  </si>
  <si>
    <t>https://www.loom.com/i/eb89ef870f854c359295f0a896c475c8</t>
  </si>
  <si>
    <t>UAT_CP_127</t>
  </si>
  <si>
    <t>Frequently Ask Questions --&gt; 7th Question (How do I upgrade to a new credit card? Do I have to apply for it again?) --&gt; Answer --&gt; "upgrade to a new credit card " hyperlink</t>
  </si>
  <si>
    <t>https://www.loom.com/i/cbba9b663dae467da76021b191db68c4</t>
  </si>
  <si>
    <t>UAT_CP_128</t>
  </si>
  <si>
    <t>Frequently Ask Questions --&gt; 13th Question (What are the current offers available on SBI Credit Cards?) --&gt; Answer --&gt; "click here" hyperlink</t>
  </si>
  <si>
    <t>https://www.loom.com/i/a8816c9c7f4e4c7f8c0feab64dfaa446</t>
  </si>
  <si>
    <t>UAT_CP_129</t>
  </si>
  <si>
    <t>Own a SBI Card Today --&gt; Disclaimer Check box --&gt; Read More</t>
  </si>
  <si>
    <t>No redirection added to the "Read More" Hyperlink</t>
  </si>
  <si>
    <t>https://www.loom.com/i/b736f9387be44a768cc9ed881a940752</t>
  </si>
  <si>
    <t>UAT_CP_130</t>
  </si>
  <si>
    <t>Product Alert Banner --&gt; Each Slider --&gt; Hyperlink --&gt; Arrow Icon SVG</t>
  </si>
  <si>
    <t>The arrow icon svg size doesn't adjust accordingly to mobile devices and instead, remains the same size as it does in case of desktops. As a result it appears slighly bigger than expected in case of mobile phones.It should be 11.86 x 8.9px in case of mobile phones. Check the actual vs expected screenshots.</t>
  </si>
  <si>
    <t>https://www.loom.com/i/f3b7db87c440464f9a45f4e12fba06b1</t>
  </si>
  <si>
    <t>https://loom.com/i/4d80276ac90441358166946168934370</t>
  </si>
  <si>
    <t>12/03/2026 - As per the Developer (Bharat) same icon/svg is to be used for both desktop &amp; touch devices and its size should get adjusted through CSS - something which is already being done in the benchmark version but not on UAT/PVT. Therefore this bug is in SBI Team's bucket.</t>
  </si>
  <si>
    <t>UAT_CP_131</t>
  </si>
  <si>
    <t>Where Privilege Meets Prestige --&gt; SBI Card Elite Slide --&gt; Sub title</t>
  </si>
  <si>
    <t>The sub title " Get rewarded with lounge access, entertainment perks, and premium privileges" gets truncated with 3 dots at the end due to limited space available</t>
  </si>
  <si>
    <t>https://www.loom.com/i/76229402b00c4cc7b0c672180e7a93aa</t>
  </si>
  <si>
    <t>UAT_CP_132</t>
  </si>
  <si>
    <t>Line Height</t>
  </si>
  <si>
    <t>Product Alert Banner --&gt; Each Slide --&gt; Title</t>
  </si>
  <si>
    <t>The line hieght of the title needs to be increased as it was done for "Where Privilege Meets Prestige" section in order to increase gap between lines for better readability</t>
  </si>
  <si>
    <t>https://www.loom.com/i/79aa724006164e438e4253c77090d3fa</t>
  </si>
  <si>
    <t>UAT_CP_133</t>
  </si>
  <si>
    <t>Hero Section --&gt; Each Slider --&gt; Explore More CTA</t>
  </si>
  <si>
    <t>Clicking on the "Explore More" CTA doesn't scroll down to the card list and apply the respective category filter</t>
  </si>
  <si>
    <t>https://www.loom.com/share/ad81b4386ca64a7aa78ab0c9d669b419</t>
  </si>
  <si>
    <t>UAT_CP_134</t>
  </si>
  <si>
    <t>Frequently Ask Questions --&gt; Question Box --&gt; Click on the already expanded question box</t>
  </si>
  <si>
    <t>User tries to collapse the already expanded question box by clicking on it or clicking on the minus button but it doesn't collapse and only does so when user expands any other question box</t>
  </si>
  <si>
    <t>https://www.loom.com/share/db9ed6eaf24c4c26b388c3a42fa85851</t>
  </si>
  <si>
    <t>05/03/2026 - The issue is resolved on devsit1. Will close this issue once it gets resolved on sbi-pvt - https://www.loom.com/share/3f41581103b747249fe67a16096940d8</t>
  </si>
  <si>
    <t>UAT_CP_135</t>
  </si>
  <si>
    <t>Scroll down the page until Secondary Header Menu disappears --&gt; Scroll up to make it appear again --&gt; Hover over the Login &amp; Help tabs on the top right --&gt; Check how the appear below the secondard header meany instead of appearing on top of it. --&gt; Check the same for language drop down as well</t>
  </si>
  <si>
    <t>When user scrolls up the page and the secondary header menu appears again, if user hovers over the Help or Login tab or opens the language drop down menu, instead of appearing on top of the header menu, it appears behind it</t>
  </si>
  <si>
    <t>https://www.loom.com/share/5ee96fffca1e431682751680b5eb9a6d</t>
  </si>
  <si>
    <t>UAT_CP_136</t>
  </si>
  <si>
    <t>A Card for Every Lifestyle --&gt; Landmark Rewards SBI Card Prime --&gt; 1st Key Benefit</t>
  </si>
  <si>
    <t>"on annual Fees payment" at the end of the first benefit needs to be removed as it is strike-through in the latest content file</t>
  </si>
  <si>
    <t>https://www.loom.com/i/be8bc6f4b9ac42acb8666343d840c596</t>
  </si>
  <si>
    <t>UAT_CP_137</t>
  </si>
  <si>
    <t>A Card for Every Lifestyle --&gt; Landmark Rewards SBI Card Prime --&gt; 2nd &amp; 3rd Key Benefit</t>
  </si>
  <si>
    <t>The word "complementary" needs to be removed from 2nd &amp; 3rd bullet as it is strike-through in the latest content file</t>
  </si>
  <si>
    <t>https://www.loom.com/i/e2db4633c3ca45c79ad2f6f62e6a964d</t>
  </si>
  <si>
    <t>UAT_CP_138</t>
  </si>
  <si>
    <t>Hero Section --&gt; 6th Banner missing</t>
  </si>
  <si>
    <t>A 6th Banner that has been shared needs to be added in the Hero section.</t>
  </si>
  <si>
    <t>https://www.loom.com/i/bce9bfe66cb04b1f9f3a7be980809c6b</t>
  </si>
  <si>
    <t>13/03/2026 - The 6th banner has been added on sbi-pvt - https://loom.com/i/b9dc0be325b447a99b78f4c9918fcdb3</t>
  </si>
  <si>
    <t>UAT_CP_139</t>
  </si>
  <si>
    <t>A Card for Every Lifestyle --&gt; AirIndia SBI Signature Card --&gt; Key Benefits --&gt; 1st Bullet point</t>
  </si>
  <si>
    <t>The 1st Key Benefit Bullet point should be "20,000 Reward Points on Joining" instead of "20,000 reward points on payment of joining fee".</t>
  </si>
  <si>
    <t>https://www.loom.com/i/df9e5be33f6446c5b7a6c4ea278d8b10</t>
  </si>
  <si>
    <t>UAT_CP_140</t>
  </si>
  <si>
    <t>A Card for Every Lifestyle --&gt; AirIndia SBI Signature Card --&gt; Key Benefits --&gt; 2nd Bullet point</t>
  </si>
  <si>
    <t>The 2nd Bullet point needs to be "Air India Maharaja Club Membership" instead of "Complimentary membership of Air India Maharaja Club"</t>
  </si>
  <si>
    <t>https://www.loom.com/i/4c81096836534fb7bd5c264a61e3659e</t>
  </si>
  <si>
    <t>UAT_CP_141</t>
  </si>
  <si>
    <t>A Card for Every Lifestyle --&gt; AirIndia SBI Signature Card --&gt; Key Benefits --&gt; 3rd Bullet point</t>
  </si>
  <si>
    <t>The 3rd bullet point needs to be "Reward Points on Air India Tickets" instead of "10 Reward Points per Rs. 100 spent on Air India tickets"</t>
  </si>
  <si>
    <t>https://www.loom.com/i/d1353c9d24fd462eb13428573fbe6226</t>
  </si>
  <si>
    <t>UAT_CP_142</t>
  </si>
  <si>
    <t>"Apply for an SBI Credit Card Now"  (Short Lead Form) --&gt; CTA Button "GET YOUR CARD INSTANTLY"</t>
  </si>
  <si>
    <t>The CTA button "GET YOUR CARD INSTANTLY"  label needs to be changed. to "Request a Call Back"</t>
  </si>
  <si>
    <t>https://www.loom.com/i/b1adf14867c9438c950e19f681696d6d</t>
  </si>
  <si>
    <t>13/03/2026 - The issue has been resolved on sbi-pvt - https://loom.com/i/715115c080db423ca856b1c6d0f6e702</t>
  </si>
  <si>
    <t>UAT_CP_143</t>
  </si>
  <si>
    <t xml:space="preserve">A Card for Every Lifestyle --&gt; Category Tabs </t>
  </si>
  <si>
    <t>2 new filter categories need to be added - "Super Premium" which will have - "- Aurum" and both KrisFlyer cards and there should be "All" Card tab that will show all the cards.</t>
  </si>
  <si>
    <t>https://www.loom.com/i/2dc1a2e71d46404782c0d13e9c439869</t>
  </si>
  <si>
    <t>UAT_CP_144</t>
  </si>
  <si>
    <t xml:space="preserve">Hero Section --&gt; Help me Choose CTA </t>
  </si>
  <si>
    <t>Click on "Help me Choose" CTA should redirect to the "Find Your Perfect Card" section</t>
  </si>
  <si>
    <t>https://www.loom.com/i/b68000d7b82140328abe4f552fcc3201</t>
  </si>
  <si>
    <t>-``</t>
  </si>
  <si>
    <t>UAT_CP_145</t>
  </si>
  <si>
    <t>A Card for Every Lifestyle --&gt; Card Image --&gt; Shadow effect in the background</t>
  </si>
  <si>
    <t>Each card needs to have a shadow effect behind it's card face image. Because, cards such as Indigo, Indigo Elite &amp; IRCTC SBI card have white colour in their card face which affects its outline as the background colour of the section is also white</t>
  </si>
  <si>
    <t>https://www.loom.com/i/18b06fc9e3bf4c6e95990fa86e26e3b6</t>
  </si>
  <si>
    <t>UAT_CP_146</t>
  </si>
  <si>
    <t xml:space="preserve">A Card for Every Lifestyle --&gt; Aurum Card --&gt; 1st Key Benefit </t>
  </si>
  <si>
    <t>The word "infection" is incorrect. It should be "Inflection Points" instead.</t>
  </si>
  <si>
    <t>https://www.loom.com/i/f64d5af0b7e04b5ab7235851cb7f93a6</t>
  </si>
  <si>
    <t>12/03/2026 - The issue has been resolved on sbi-pvt - https://www.loom.com/i/223ed345de4b4d8a848e14d77bf578af
12/03/2026 - the word "inflection" needs to be capitalized - "Inflection"</t>
  </si>
  <si>
    <t>UAT_CP_147</t>
  </si>
  <si>
    <t>A Card for Every Lifestyle --&gt; Load More</t>
  </si>
  <si>
    <t>Clicking on the load more loads one more row in the catalogue, for example, in case of desktop 3 cards in the next row get loaded but instead it should load 2 more rows which means 6 more cards should get loaded.</t>
  </si>
  <si>
    <t>https://www.loom.com/i/771b66983c1b4a1592102f9a243e6987</t>
  </si>
  <si>
    <t>UAT_CP_148</t>
  </si>
  <si>
    <t>Hero section --&gt; Cashback Slide (6th one currently) --&gt; Explore Cards CTA</t>
  </si>
  <si>
    <t>Clicking on the explore cards should scroll the section to the card listing section below with the "Cashback" tab selected.</t>
  </si>
  <si>
    <t>https://www.loom.com/i/2bb955640a0f412c8606c686d8ba6aec</t>
  </si>
  <si>
    <t>17/03/2026 - The issue has been resolved on sbifo-pvt - https://www.loom.com/share/667c47c7a73a49f59a330bd677b19bb1</t>
  </si>
  <si>
    <t>UAT_CP_149</t>
  </si>
  <si>
    <t>Hero section --&gt; Cashback Slide (6th one currently) --&gt; KPIs &amp; section Title</t>
  </si>
  <si>
    <t>The KPIs and the section title need to have the actual content instead of the dummy content currently used</t>
  </si>
  <si>
    <t>https://www.loom.com/i/de1d3db0242a46a58a76d342bf4d6748</t>
  </si>
  <si>
    <t>17/03/2026 - The issue has been resolved on sbifo-pvt - https://loom.com/i/8a6641285a754ce0a397917afadac532</t>
  </si>
  <si>
    <t>UAT_CP_150</t>
  </si>
  <si>
    <t>Where Privilege Meets Prestige --&gt; Aurum Card Slide</t>
  </si>
  <si>
    <t>The Title needs to be - "A bit like yourself, there's nothing quite like it." and the sub-title (below the Card Name) needs to be removed</t>
  </si>
  <si>
    <t>https://www.loom.com/i/46adf2def24e40bab1c424eeb9671a7f</t>
  </si>
  <si>
    <t>12/03/2026 - As Neha Jain ma'am informed on UAT Discussion call, the sub title cannot be removed as it is mandatory, therefore a new sub-title was given which has been updated. Therefore closing the issue - https://www.loom.com/i/7dffb216c94742aeb3d1432cc394f609</t>
  </si>
  <si>
    <t>UAT_CP_151</t>
  </si>
  <si>
    <t>Where Privilege Meets Prestige --&gt; Aurum Card Slide Banner</t>
  </si>
  <si>
    <t>The Banner image for the Aurum Card Slider needs to be updated</t>
  </si>
  <si>
    <t>https://www.loom.com/i/f857ce59d0fc4a8faea3973a91fa3800</t>
  </si>
  <si>
    <t>https://loom.com/i/9253e5fb6265479cae58f64b65cfa2e9</t>
  </si>
  <si>
    <t>13/03/2026 - The new banner has been updated but it's height is not consistent with other banners in case of desktops starting from 1400px - https://www.loom.com/i/a5e8cd86d88d418aa2c6d448a0e76087</t>
  </si>
  <si>
    <t>UAT_CP_152</t>
  </si>
  <si>
    <t>A Card for Every Lifestyle --&gt; Stay in any category tab other than Featured --&gt; Apply any check box filter criteria --&gt; Notice the filtered cards --&gt; Uncheck the filter criteria --&gt; Notice the card categories</t>
  </si>
  <si>
    <t>As soon as any filter criteria check box is selected from the filter's menu, along with that filter criteria, it also applies the "Featured" category filter no matter what category tab is currently selected on the top. And, we user unchecks the filter criteria, the criteria filter goes away but the "Featured" Category filter still remains. User has to change the category tab once in order to get the filter behaviour corrected. Check the screen recording for better understanding.</t>
  </si>
  <si>
    <t>https://www.loom.com/share/b8a112bf39904bc6bfcfc5d3a789578f</t>
  </si>
  <si>
    <t>UAT_CP_153</t>
  </si>
  <si>
    <t>A Card for Every Lifestyle --&gt; Travel &amp; Fuel --&gt; Club Vistara SBI Card Prime</t>
  </si>
  <si>
    <t>Club Vistara SBI Card PRIME image has gone incorrect.</t>
  </si>
  <si>
    <t>https://www.loom.com/i/33fca21953e94b9484d9cff0c6e8c00d</t>
  </si>
  <si>
    <t>13/03/2026 - The issue has been resolved on UAT Call on sbi-pvt - https://loom.com/i/f603c5ad45d141bcb87177fd83023fe1</t>
  </si>
  <si>
    <t>UAT_CP_154</t>
  </si>
  <si>
    <t>A Card for Every Lifestyle --&gt; Travel &amp; Fuel --&gt; SBI Card Unnati</t>
  </si>
  <si>
    <t>SBI Card Unnati's image is now broken</t>
  </si>
  <si>
    <t>https://www.loom.com/i/e9949b676694488889c064d7dde5c8ba</t>
  </si>
  <si>
    <t>13/03/2026 - The issue has been resolved on UAT Call on sbi-pvt - https://loom.com/i/f581ba47934342ba8f9d4ba8bc8de734</t>
  </si>
  <si>
    <t>UAT_CP_155</t>
  </si>
  <si>
    <t>A Card for Every Lifestyle --&gt; Category Filters Tab --&gt; Scroll down till card listing such that the header secondary menu wrap disappears --&gt; Scroll up slightly for the header menu wrap to appear again --&gt; Notice the Filter tab container shifting it's position</t>
  </si>
  <si>
    <t>As the secondary header menu wrap has to appear &amp; disappear according to user scrolling down and up the page. Because of it, the Category Filters tabs container on top of the card listing page has to change it's position and it needs to be smooth and without any delay on pvt. Notice the screen recording that has pvt &amp; benchmark html behaviour for the same.</t>
  </si>
  <si>
    <t>https://www.loom.com/share/bbdeed84a462411295df4f0600da81da</t>
  </si>
  <si>
    <t>16/03/2026</t>
  </si>
  <si>
    <t>16/03/2026 - The issue has been resolved - https://www.loom.com/share/e789a1d88ff64b128fe29e6484e47505</t>
  </si>
  <si>
    <t>UAT_CP_156</t>
  </si>
  <si>
    <t>A Card for Every Lifestyle --&gt; Filter Menu --&gt; Apply some filter criteria and also change category tabs --&gt; Click on Reset All Button --&gt; Check if the card list resets --&gt; Select any check box --&gt; Check if the count is incorrect</t>
  </si>
  <si>
    <t>After applying check box filters and changing category tab, when user clicks on "Reset All" button, the filter count goes 0, filter check boxes get unchecked, category tab switches to "Featured" but the card listing remains the same (filters remain applied). This is evident because the count starts right where it was before clicking to Reset All instead of count from 0 again.</t>
  </si>
  <si>
    <t>https://www.loom.com/share/60eaeb59747540109cfd5163db6475a4</t>
  </si>
  <si>
    <t>UAT_CP_157</t>
  </si>
  <si>
    <t>iPads/Tablets</t>
  </si>
  <si>
    <t>iPad/Tablet --&gt; Landscape mode --&gt; Tick any filter check boxes --&gt; rotate to portrait mode --&gt; Open the filter pop up modal --&gt; Check if the applied filter checkboxes appear as ticked --&gt; Tick some new check boxes --&gt; Rotate to landscape mode again --&gt; Check if the filter checkboxes ticked in portrait mode layout are ticked in landscape mode layout or not</t>
  </si>
  <si>
    <t>As we have different filter layouts - filter modal for below 1024px width and filter menu for 1024px width and above. When an iPad or Tablet user ticks any filter check box in any of the layout and then switches to different layout, the filter remains applied but the checkboxes go unchecked.</t>
  </si>
  <si>
    <t>https://www.loom.com/share/4b022bc92aba4e3cb4d5a696b19e5dd2</t>
  </si>
  <si>
    <t>UAT_CP_158</t>
  </si>
  <si>
    <t>Frequently Asked Questions --&gt; Section Heading</t>
  </si>
  <si>
    <t>The section title should be "FREQUENTLY ASKED QUESTIONS" instead of "FREQUENTLY ASK QUESTIONS"</t>
  </si>
  <si>
    <t>https://www.loom.com/i/577225b386744611b5197de7d6e9834c</t>
  </si>
  <si>
    <t>UAT_CP_159</t>
  </si>
  <si>
    <t>Header --&gt; Sub Navigation Menu --&gt; Credit Cards --&gt; Click on any category tab --&gt; Check if after landing on the catalogue page, it also auto scrolls to the category that was selected to reach the page</t>
  </si>
  <si>
    <t>From the header, if user selects any category to reach the catalogue page, after landing on the page, it doesn't auto-scroll to the card listing page. User remains on the Hero section of the page.</t>
  </si>
  <si>
    <t>https://www.loom.com/share/594b8431f653411a97d911fc3acfb340</t>
  </si>
  <si>
    <t>Platform</t>
  </si>
  <si>
    <t>Found on</t>
  </si>
  <si>
    <t>UAT_HF_001</t>
  </si>
  <si>
    <t>Product Details</t>
  </si>
  <si>
    <t>Mobile Phones --&gt; Scroll down --&gt; Check if the Mobile Menu (one with apply now button) at the bottom appears</t>
  </si>
  <si>
    <t>The mobile menu at the bottom of the screen for mobile users (one with apply button) that appears as user scrolls is missing. Check expected vs actual result screenshot for better understanding</t>
  </si>
  <si>
    <t>https://www.loom.com/i/d4f321de18a14f72924208c066145add</t>
  </si>
  <si>
    <t>https://www.loom.com/i/60b70e4e176f4e7dbb763a5a1e43e48a</t>
  </si>
  <si>
    <t>09/02/2026 - This is intented behavious not a bug as discussed with Namita ma'am on call. It was done purposely.</t>
  </si>
  <si>
    <t>UAT_HF_002</t>
  </si>
  <si>
    <t>Accessibility Bar --&gt; Font Increase/Decrease button</t>
  </si>
  <si>
    <t>The buttons are not vertically center aligned because of missing class "flex-align-center"</t>
  </si>
  <si>
    <t>https://www.loom.com/i/276d855d371f42b08bf5ccb2b3e2eec8</t>
  </si>
  <si>
    <t xml:space="preserve">5/1/2026 - The issue occurs on UAT but not in the benchmark version of the page because the header &amp; footer code is not up to date on UAT as it is in the benchmark version. </t>
  </si>
  <si>
    <t>UAT_HF_003</t>
  </si>
  <si>
    <t>Logo Menus (below accessibility bar) --&gt; Login --&gt; Fogot password &amp; New User? Register Now buttons</t>
  </si>
  <si>
    <t>Forgot password &amp; New User? Register Now buttons are too close together. Gap missing</t>
  </si>
  <si>
    <t>https://www.loom.com/i/8c05d3abdee74e8e890ee0fb7a4ff921</t>
  </si>
  <si>
    <t>https://www.loom.com/i/1a1c18fd03064c63a9f333f028ddd399</t>
  </si>
  <si>
    <t xml:space="preserve">24/02/2026 - Issue resolved on devsit1 - https://loom.com/i/0d1c8e9a88394ad89268ab9c6a0707a4
5/1/2026 - The issue occurs on UAT but not in the benchmark version of the page because the header &amp; footer code is not up to date on UAT as it is in the benchmark version. </t>
  </si>
  <si>
    <t>UAT_HF_004</t>
  </si>
  <si>
    <t>Accessibility with Keyboard --&gt; Accessibility Bar --&gt; Skip to main content, Theme &amp; font buttons</t>
  </si>
  <si>
    <t>The Skip to main content, Theme &amp; font buttons are not accessible through the keyboard</t>
  </si>
  <si>
    <t xml:space="preserve">13/02/2026 - As dicussed on Bug Priority call with Namita ma'am,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</si>
  <si>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UAT_HF_005</t>
  </si>
  <si>
    <t>Accessibility with Keyboard --&gt; Header--&gt; Login</t>
  </si>
  <si>
    <t>The login tab is not accessibile through the keyboard. User isn't able to get the focus on it and as a result the drop down as well cannot open</t>
  </si>
  <si>
    <t>UAT_HF_006</t>
  </si>
  <si>
    <t>Accessibility with Keyboard --&gt; Header Secondary Menu</t>
  </si>
  <si>
    <t>While moving focus from top to bottom using keyboard the focus for the secondary header menu drop downs get skipped</t>
  </si>
  <si>
    <t xml:space="preserve">13/02/2026 - As dicussed on Bug Priority call with Namita ma'am, we need to park the accessibility issues for now (for this release)  therefore status change to HOLD.
05/01/2026 - The issue occurs on UAT but not in the benchmark version of the page because the header &amp; footer code is not up to date on UAT as it is in the benchmark version. </t>
  </si>
  <si>
    <t>UAT_HF_007</t>
  </si>
  <si>
    <t>Accessibility with Keyboard --&gt; Header --&gt; Personal, Corporate, About SBI Card</t>
  </si>
  <si>
    <t>While moving focus from top to bottom using keyboard the focus doesn't move to header tabs besides the SBI logo</t>
  </si>
  <si>
    <t>UAT_HF_008</t>
  </si>
  <si>
    <t>Accessibility with Keyboard --&gt; Header--&gt; Help drop down</t>
  </si>
  <si>
    <t>User focuses on the Help tab but remains unable to open it by pressing enter or Alt + down arrow key</t>
  </si>
  <si>
    <t xml:space="preserve">13/02/2026 - As dicussed on Bug Priority call with Namita ma'a,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</si>
  <si>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UAT_HF_009</t>
  </si>
  <si>
    <t>Accessibility with Keyboard --&gt; Accessibility Bar --&gt; Language Drop Down</t>
  </si>
  <si>
    <t>User focuses on the Language tab but remains unable to open it by pressing enter or Alt + down arrow key</t>
  </si>
  <si>
    <t xml:space="preserve">13/02/2026 - As dicussed on Bug Priority call with Namita ma'am, we need to park the accessibility issues for now (for this release)  therefore status change to HOLD.
05/02/2026 - The issue occurs on UAT but not in the benchmark version of the page because the header &amp; footer code is not up to date on UAT as it is in the benchmark version. </t>
  </si>
  <si>
    <t>UAT_HF_010</t>
  </si>
  <si>
    <t>All Devices --&gt; Headers &amp; Footers</t>
  </si>
  <si>
    <t>The Header &amp; footer version 55 needs to be implemented on call pages, currently the older header &amp; footer version is present which does have UI or accessibility bug fixes that version 55 has. Due to this unable to further test the headers &amp; footers</t>
  </si>
  <si>
    <t>23/02/2026 - We will pick this after the release</t>
  </si>
  <si>
    <t>23/02/2026 - As already confirmed on UAT Discussion call, header footer v55 is to be picked in the next release. Therefore this bug needs to be kept on hold.</t>
  </si>
  <si>
    <t>UAT_HF_011</t>
  </si>
  <si>
    <t>Footer - Playstore &amp; App store Download button --&gt; iPads / Tablets</t>
  </si>
  <si>
    <t>No gap between the download from Playstore and Appstore button</t>
  </si>
  <si>
    <t>https://www.loom.com/i/1ddd8cdc199c4883a3111e69175dc38a</t>
  </si>
  <si>
    <t>https://www.loom.com/i/be2e637ee1e04b64ac5212cdfa4f2bd4</t>
  </si>
  <si>
    <t>23/02/2026 - The issue was already marked as resolved on 20/02/2026
20/02/2026 - The issue is resolved on devsit1 - https://www.loom.com/i/90dce47b9cda4d38978a4796abb5c802
13/02/2026 - Issue resolved on HTML v50-2 - https://loom.com/i/4ff39bd423d54e9e8327bc3f186b7d30</t>
  </si>
  <si>
    <t>UAT_HF_012</t>
  </si>
  <si>
    <t>iPads / Tablets --&gt;Header --&gt; Logo Menu sub header --&gt;  Login button</t>
  </si>
  <si>
    <t>In case of iPads / Tablets, the login button logo disappears.</t>
  </si>
  <si>
    <t>https://www.loom.com/i/7dbc1e00d0904745a3f99c6c237083eb</t>
  </si>
  <si>
    <t>https://www.loom.com/i/1916aaa00f2843b6ac38f012d311ce99</t>
  </si>
  <si>
    <t>24/02/2026 - Issue resolved on devsit1 - https://loom.com/i/ff174d8dbdb54526a826158602f9da73
13/02/2026 - Issue resolved on HTML v50-2 - https://loom.com/i/5a0f8a4a8fa6430885ceea7a26b88f0b</t>
  </si>
  <si>
    <t>UAT_HF_013</t>
  </si>
  <si>
    <t>Mobile Phones / iPads / Tablets --&gt; Header's Side Bar Menu --&gt; Dropdown</t>
  </si>
  <si>
    <t>None of the dropdowns expand or open the list upon tapping on them in case of catalogue page. (they work fine on all other pages)</t>
  </si>
  <si>
    <t>https://www.loom.com/share/e8ced555ab5340859d3aff68e1839cb4</t>
  </si>
  <si>
    <t>UAT_HF_014</t>
  </si>
  <si>
    <t>Width</t>
  </si>
  <si>
    <t>Mobile Phones / iPads / Tablets --&gt; Header's Side Bar Menu --&gt; Credit Cards, EMI &amp; More</t>
  </si>
  <si>
    <t>Bullet points for the mentioned dropdowns get word wrapped to next line even if there is plenty of space available in the same line.</t>
  </si>
  <si>
    <t>https://www.loom.com/i/cf551ea294ee4b55a8d18cf8edf42b81</t>
  </si>
  <si>
    <t>https://www.loom.com/i/ff2f114bf7a448a5a3ff14c1e4277a28</t>
  </si>
  <si>
    <t>UAT_HF_015</t>
  </si>
  <si>
    <t>iPads / Tablets --&gt; Header --&gt; Side Bar Menu</t>
  </si>
  <si>
    <t>Clicking on the side bar menu is not opening it. (In case of iPads or Tablets only)</t>
  </si>
  <si>
    <t>https://www.loom.com/share/2bb66231480847228aa6b2f8feb80dfb</t>
  </si>
  <si>
    <t>UAT_HF_016</t>
  </si>
  <si>
    <t>Desktops --&gt; Reduce the font size to smallest --&gt; Footer --&gt; Playstore and Appstore download buttons</t>
  </si>
  <si>
    <t>Gap between both the download button increases to more than required</t>
  </si>
  <si>
    <t>https://www.loom.com/i/7a8267c9357d42b69461fa3b2061eac7</t>
  </si>
  <si>
    <t>24/02/2026 - The issue is resolved on devsit1 - https://loom.com/i/e26ee874b4f94ef0ba663716b240f45b
13/02/2026 - Issue is not resolved on HTML v50-2 - https://www.loom.com/i/52cb787a19cf4cbc9e7d8ba82709f7b3</t>
  </si>
  <si>
    <t>UAT_HF_017</t>
  </si>
  <si>
    <t>Sticky Position</t>
  </si>
  <si>
    <t>Mobile Devices (iPhone 14 Pro) --&gt; Logo Menu Header</t>
  </si>
  <si>
    <t>For some mobile phones, for example - iPhone 14 Pro, while scrolling down, the logo-menus-wrap container gets overlapped by the above container appearing on top of it.</t>
  </si>
  <si>
    <t>https://www.loom.com/share/1f657ea4933f4df88ac807e895e964db</t>
  </si>
  <si>
    <t>24/02/2026 - The issue was already marked as resovled on 20/02/2026
20/02/2026 - The issue is resolved on devsit1
13/02/2026 - Issue not resolved on HTML v50-2</t>
  </si>
  <si>
    <t>UAT_HF_018</t>
  </si>
  <si>
    <t>Device width 767px --&gt; Sub Navigation menu</t>
  </si>
  <si>
    <t>Both Sub navigation menu &amp; footer mobile menu appear when the breakpoint is 767px</t>
  </si>
  <si>
    <t>https://www.loom.com/i/e2384a97a31c4687aacdc393c9b0a1c0</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</si>
  <si>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24/02/2026 - As discussed on call, we need to ignore this for the current release and pick this up in the next one. Therefore, it's priority is set to P3 and now changing it's status to "On Hold"
13/02/2026 - Issue is not resolved on HTML v50-2 - https://loom.com/i/05fd47f01565470ebf1580287096e879</t>
  </si>
  <si>
    <t>UAT_HF_019</t>
  </si>
  <si>
    <t>Touch Devices --&gt; Side bar menu --&gt; Do not open any drop down</t>
  </si>
  <si>
    <t>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</si>
  <si>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</si>
  <si>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</si>
  <si>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24/02/2026 - The issue was already marked as resovled on 20/02/2026
20/02/2026 - The issue is resolved on devsit1 - https://loom.com/i/3391c27d07db4ab6919bb573ec58df34
13/02/2026 - Issue is resolved on HTML v50-2 - https://loom.com/i/cfe964866e3a421d9b39654a55346b67</t>
  </si>
  <si>
    <t>UAT_HF_020</t>
  </si>
  <si>
    <t>Touch Devices --&gt; Side Bar Menu --&gt; Increase/Decrease the font</t>
  </si>
  <si>
    <t>As the user changes the font size, the following elements do not change their size and same type of element need to follow the same font size (for ex: all subtitles same font, all bullet points same font)  - 
1.) Personal, Corporate, Who We Are tabs on the tab. 
2.) Sub headings (heading just above the list in side the drop downs)
3.) Connect with Us Headings 
4.) All the icons present in the side bar menu</t>
  </si>
  <si>
    <t>https://www.loom.com/i/cfadde0fa47943dc84c5ee9f43cbf15b</t>
  </si>
  <si>
    <t>25/02/2026 - The issue remains the same as mentioned on 24th Feb remark. However, its priority has been changed to P3 as requested by Arun sir because the SBI Team is no longer picking any further HTML/CSS fixes.
24/02/2026 - The issue is resolved on devsit1 in case of mobile phones but not in case of iPads / Tablets. The "Personal", "Corporate" "About SBI Card" tab font &amp; subtitle font size still doesn't get adjusted - https://www.loom.com/share/efddccaeef004852b66e4e6abfcf6930
20/02/2026 - The issue is resolved on devsit1 in case of mobile phones but not in case of iPads / Tablets. The "Personal", "Corporate" "About SBI Card" tab font &amp; subtitle font size still doesn't get adjusted - https://www.loom.com/share/efddccaeef004852b66e4e6abfcf6930
13/02/2026 - Issue not resolved on HTML v50-2 - In case of iPads / Tablets, the "Personal", "Corporate", "Who We Are" Tabs still do not adjust their font size. The Subtitles under any accordion do not maintain the same font size among each other and do not adjust their font size - https://www.loom.com/i/fb86eb2490584daa946e22c29b8ffd7f</t>
  </si>
  <si>
    <t>UAT_HF_021</t>
  </si>
  <si>
    <t>Top of the page --&gt; Scroll down the page slowly--&gt; Notice the hero section's top while scrolling</t>
  </si>
  <si>
    <t>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</si>
  <si>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</si>
  <si>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13/02/2026 - Issue is not resolved on HTML v50-2</t>
  </si>
  <si>
    <t>UAT_HF_022</t>
  </si>
  <si>
    <t>Side bar menu --&gt; Do not open any drop down</t>
  </si>
  <si>
    <t>13/02/2026 Priority for this changed to P3 on UAT dicussion call after discussion with Namita ma'am &amp; Neha ma'am
09/02/2026 - expected behaviour as discussed on call. Not an issue</t>
  </si>
  <si>
    <t>UAT_HF_023</t>
  </si>
  <si>
    <t>Side bar menu --&gt; Mobile Footer Menu --&gt; Card Payment Tab</t>
  </si>
  <si>
    <t>09/02/2026 - Transferred this but to home page therefore closing here.</t>
  </si>
  <si>
    <t>UAT_HF_024</t>
  </si>
  <si>
    <t>21/06/2026</t>
  </si>
  <si>
    <t>Header &amp; Footer --&gt; Accessibility Checker (if extension doesn't work, can you chrome lighthouse)</t>
  </si>
  <si>
    <t>For Header &amp; Footer, 15 accessibility instances failed when tested with automated accessibility checker plug in - https://accessibilityinsights.io/</t>
  </si>
  <si>
    <t>https://www.loom.com/i/fc9eb4b1b5de4501b34e559560c2b26d
https://www.loom.com/i/7ab5f68567ca4f25af228f3c847aa552</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</si>
  <si>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13/02/2026 - As dicussed on Bug Priority call with Namita ma'a, we need to park the accessibility issues for now (for this release)  therefore status change to HOLD.</t>
  </si>
  <si>
    <t>UAT_HF_025</t>
  </si>
  <si>
    <t>Credit Card Pages</t>
  </si>
  <si>
    <t>Header &amp; Footer --&gt; Mobile Phone --&gt; The Mobile footer menu with "Apply Now" button</t>
  </si>
  <si>
    <t>The footer menu layout &amp; position is not as intended. It should be cylindrical shaped with rounded corners along with appropriate gap from the left, right &amp; bottom. Check the actual vs expected result.</t>
  </si>
  <si>
    <t>https://www.loom.com/i/51acabb27a034ffcbe713e4248313956</t>
  </si>
  <si>
    <t>https://www.loom.com/i/3b26990df0824d078a1794931f01d640</t>
  </si>
  <si>
    <t>09/02/2026 - This is intended behaviour as discussed on call with Namita ma'am therefore clsoing this issue.</t>
  </si>
  <si>
    <t>UAT_HF_026</t>
  </si>
  <si>
    <t>Header &amp; Footer --&gt; Mobile Phone --&gt; Scroll down through the Key benefits on to Exclusive Privileges section</t>
  </si>
  <si>
    <t>The "Apply Now" footer menu doesn't appear when user scrolls down beyond the "Key Benefits" section and half past "Exclusive Privileges" section Instead it should appear as soon as user reaches the "Exclusive Privileges" section</t>
  </si>
  <si>
    <t>https://www.loom.com/share/69288b6753cb4b739221fefa046a80c5</t>
  </si>
  <si>
    <t>09/02/2026 - This card cannot be applied online therefore this is intended behaviour. hence closing.</t>
  </si>
  <si>
    <t>UAT_HF_027</t>
  </si>
  <si>
    <t>Header &amp; Footer --&gt; Page Top --&gt; Stick Navigation Block in the main content section of the page</t>
  </si>
  <si>
    <t>In Firefox browser, from the page top, while user scrolls down, as the header secondary menu disappears, it takes noticeable time for the Sticky Navigation Block to adjust its position to the top of the section.</t>
  </si>
  <si>
    <t>https://www.loom.com/share/a59b44bd18f14461b7d5402946fa0620</t>
  </si>
  <si>
    <t>23/02/2026 - Not able to check</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</si>
  <si>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05/03/2025 - As the SBI Team is unable to check this on firefox, need to discuss what needs to be done for the bug.
24/02/2026 - Can only close the issue once it gets resolved</t>
  </si>
  <si>
    <t>UAT_HF_028</t>
  </si>
  <si>
    <t>Personal - Benefits Page</t>
  </si>
  <si>
    <t>Header &amp; Footer --&gt; Logo Menu Position --&gt; Gap above the logo menu while scrolling</t>
  </si>
  <si>
    <t>The position of the logo menu doesn't adjust correctly when the user scrolls and as a result a gap above the menu is observed.</t>
  </si>
  <si>
    <t>https://www.loom.com/i/91b619a6cb2342c6ad3a33f2b1e0c81d</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</si>
  <si>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https://loom.com/i/444213a86c3d421a948b7a0152f5b378</t>
  </si>
  <si>
    <t>UAT_HF_029</t>
  </si>
  <si>
    <t>Who We Are - About Us Page</t>
  </si>
  <si>
    <t>https://www.loom.com/i/267ce1b979ef4721ac4af875fc323470</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</si>
  <si>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https://loom.com/i/e5749e964b0044d59aaf7d1fc0ecb9ed</t>
  </si>
  <si>
    <t>UAT_HF_030</t>
  </si>
  <si>
    <t>Do Not Disturb Page</t>
  </si>
  <si>
    <t>https://www.loom.com/i/e0f4607538534ddca1aff1f1243f8ab6</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</si>
  <si>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https://loom.com/i/55ad71693c664dbb95218825237bba8a</t>
  </si>
  <si>
    <t>UAT_HF_031</t>
  </si>
  <si>
    <t>Header &amp; Footer --&gt; Breadcrumbs</t>
  </si>
  <si>
    <t>The breadcrumb position goes incorrect and starts to overlap with the section below by appearing above it.</t>
  </si>
  <si>
    <t>https://www.loom.com/i/8f583dd8578e4f21a39a9f4c234eec22</t>
  </si>
  <si>
    <t>23/02/2026 - This is the same as we receive from the HTML team</t>
  </si>
  <si>
    <t>10/03/2026 - As discussed on UAT call, Neha Laddha ma'am showed that this is because of revamp.css that bharat has given, therefore this issue is transferred to Bharat and marked as HTML/CSS.
05/03/2026 - As the issue is being marked as fixed but is not getting resolved, need to discuss on UAT call regarding the same.
24/02/2026 - Even though the position of the breadcrumb is fixed but it still overlaps with the Title of the top section - https://www.loom.com/i/9b44a4bf0cb6437489b500c0fddbb805</t>
  </si>
  <si>
    <t>UAT_HF_032</t>
  </si>
  <si>
    <t>The breakcrumb position goes incorrect and starts to overlap with the section below by appearing above it.</t>
  </si>
  <si>
    <t>https://www.loom.com/i/ef1319fd97c242cbae064cfbbec32da4</t>
  </si>
  <si>
    <t>24/02/2026 - The issue is resolved on devsit1 - https://loom.com/i/1a5a6a25a3bc43b4933ac77d2f8c26e6</t>
  </si>
  <si>
    <t>UAT_HF_033</t>
  </si>
  <si>
    <t>https://www.loom.com/i/871d8a6002714fba92dbcfe97d881988</t>
  </si>
  <si>
    <t>24/02/2026 - The issue is resolved on devsit1 - https://loom.com/i/54b6fbd3de21445aa39786530a5b1e7b</t>
  </si>
  <si>
    <t>UAT_HF_034</t>
  </si>
  <si>
    <t>All Old Pages - (Benefits, Do Not Disturb, About Us)</t>
  </si>
  <si>
    <t>Footer --&gt; Back to Top button --&gt; Not Available --&gt; Top Bar (Limited Offer - Amazon Gift Card) --&gt; Cross button --&gt; Back to Top button appears</t>
  </si>
  <si>
    <t>The Back to Top button remains missing above the footer but when a mobile user closes the top bar by clicking on the cross botton, it starts to appear above the logo menu container</t>
  </si>
  <si>
    <t>https://www.loom.com/share/14be5ec52cf54bfc9be17212a7023fc5</t>
  </si>
  <si>
    <t>24/02/2026 - The issue is resolved on devsit1 - https://www.loom.com/share/72dce57a1b4c4d9eaadbd10ce9e0d82a</t>
  </si>
  <si>
    <t>UAT_HF_035</t>
  </si>
  <si>
    <t>Header --&gt; Top Bar ( Limited Offer - Amazon Gift Card) --&gt; Skip to Main Content</t>
  </si>
  <si>
    <t>The "Skip to Main Content" button is missing</t>
  </si>
  <si>
    <t>https://www.loom.com/i/3b69d15a78f3450d87a10ed8796fa993</t>
  </si>
  <si>
    <t>The skip to main content button is missing intentionally as confirmed by Neha Laddha ma'am &amp; Namita ma'am on HTML Discussion call therefore closing this issues.</t>
  </si>
  <si>
    <t>UAT_HF_036</t>
  </si>
  <si>
    <t>Header --&gt; Change font to Large --&gt; Check the Top Bar block</t>
  </si>
  <si>
    <t>For screens having width anywhere between 767px to 800px, if user increases the font size, the "Skip to main menu", "Font +", "Font -", Dark Mode &amp; Language buttons/drop down shift to the next line.</t>
  </si>
  <si>
    <t>https://www.loom.com/i/41b0727a81294f05bef292fca4bf424d</t>
  </si>
  <si>
    <t>23/02/2026 - Unable to reproduce</t>
  </si>
  <si>
    <t>24/02/2026 - The issue is resolved on devsit1 - https://loom.com/i/646ff041fdca4f9da215cb689f15930d</t>
  </si>
  <si>
    <t>UAT_HF_037</t>
  </si>
  <si>
    <t>Header --&gt; Touch Devices --&gt; Side Bar Menu --&gt; Dropdowns --&gt; Bullet points</t>
  </si>
  <si>
    <t>Case when the bullet point in any dropdown goes more than 1 line, the bullet dot position goes vertically at the center of the lines. Instead, the bullet point dot should always be at the first line of the bullet.</t>
  </si>
  <si>
    <t>https://www.loom.com/i/81ddb2f3f5524e6c98d37981b5c59d91</t>
  </si>
  <si>
    <t>You can close this because it will always in one line as discussed in call with SBI Team</t>
  </si>
  <si>
    <t>13/02/2026 - Issue is not resolved on HTML v50-2 - https://loom.com/i/fd7022a044a54994b0f90cc3d6e75b9a
09/02/2026 - The &lt;br&gt; tag needs to be removed for "EMI &amp; More" accordion's list items.</t>
  </si>
  <si>
    <t>UAT_HF_038</t>
  </si>
  <si>
    <t>Header --&gt; Side Bar Menu --&gt; Dropdown, Footer --&gt; Dropdowns All other elements in header &amp; footer</t>
  </si>
  <si>
    <t>In case of real touch devices, a light blue colour on click effect can be noticed for each of the drop down. For all other elements, dotted border appears whenever they get clicked. Both of these behaviors do not occur on any of the new pages.</t>
  </si>
  <si>
    <t>https://www.loom.com/share/789bf132cca64b699aac9824398b6a53</t>
  </si>
  <si>
    <t>05/03/2026 - Please share the video recording if working fine on your end.
24/02/2026 - The issue has already been demonstrated on UAT Discussion call</t>
  </si>
  <si>
    <t>UAT_HF_039</t>
  </si>
  <si>
    <t>All New Pages</t>
  </si>
  <si>
    <t>Header --&gt; Logo Menu Container --&gt; Login Button</t>
  </si>
  <si>
    <t>The login button is missing between the search and the side bar menu in case of touch devices</t>
  </si>
  <si>
    <t>https://www.loom.com/i/5d340fb647d34cbbbcf8a3fbbd50782b</t>
  </si>
  <si>
    <t>24/02/2026 - The issue is resolved on devsit1 - https://loom.com/i/dbff6a1294f541fd91f822dc33a152df</t>
  </si>
  <si>
    <t>UAT_HF_040</t>
  </si>
  <si>
    <t>Error</t>
  </si>
  <si>
    <t>PVT --&gt; SBI Card Miles Elite --&gt; Header &amp; Footer</t>
  </si>
  <si>
    <t>The header &amp; footer doesn't load and throws - "an error occurred while processing this directive"</t>
  </si>
  <si>
    <t>https://www.loom.com/i/4f078a37557e4e4f96e661195bbd6a2e</t>
  </si>
  <si>
    <t>24/02/2026 - The issue is resolved on devsit1 - https://loom.com/i/40b55976c5a54eb18c884dc86849e10a</t>
  </si>
  <si>
    <t>UAT_HF_041</t>
  </si>
  <si>
    <t>Product Details &amp; Catalogue Page</t>
  </si>
  <si>
    <t>Mobile Phones --&gt; Mobile footer menu wrap at the bottom --&gt; Services</t>
  </si>
  <si>
    <t>Clicking on the services tab doesn't open the pop up modal as it does on the Home Page.</t>
  </si>
  <si>
    <t>https://www.loom.com/share/ff46c7a3f0d94c06b269ae43cb6d8409</t>
  </si>
  <si>
    <t>24/02/2026 - The issue is resolved on devsit1 - https://loom.com/i/9166b9a3e86f4df3b91975a2e49cae49
https://loom.com/i/43c035fad4214105a24f14adff33fc4b</t>
  </si>
  <si>
    <t>UAT_HF_042</t>
  </si>
  <si>
    <t>Header Secondary Meny wrap --&gt; Credit Cards --&gt; Premium &amp; Cashback category cards</t>
  </si>
  <si>
    <t>The word "Cards" need to be added after each category</t>
  </si>
  <si>
    <t>https://www.loom.com/i/e9561f0aeaa048fc8f6d37baf05f2224</t>
  </si>
  <si>
    <t>24/02/2026 - The issue is resolved on pvt - https://loom.com/i/26c8a312ce0a43c5b97c824d09aba78f</t>
  </si>
  <si>
    <t>UAT_HF_043</t>
  </si>
  <si>
    <t>Touch Devices --&gt; Header Containers --&gt; Scroll down the page --&gt; Check if the header containers disappear --&gt; Scroll up --&gt; Check if the appear again.</t>
  </si>
  <si>
    <t>As per Namita ma'am on SBI Daily Connect call, in case of touch devices, these three header containers should disappear while user is scrolling down and should only appear as soon as user scrolls up.</t>
  </si>
  <si>
    <t>https://www.loom.com/i/f695f83842cc4a3c80c01f157c77ffb6</t>
  </si>
  <si>
    <t>13/02/2026 - Fix for this has not yet sent.</t>
  </si>
  <si>
    <t>UAT_HF_044</t>
  </si>
  <si>
    <t>Touch Devices --&gt; Dark Mode --&gt; Side Bar Menu (hamburger menu)</t>
  </si>
  <si>
    <t xml:space="preserve">Even when the dark mode is enabled, the side bar menu remains as it it in the light mode </t>
  </si>
  <si>
    <t>https://loom.com/i/0cf8ba51849046e8bfab679f8ff84709</t>
  </si>
  <si>
    <t>25/02/2026 - The issue is not resolved because of the same reason as mentioned on 13th Feb and as this is HTML issue it is in HTML team's bucket but it's priority is changed to P3 as SBI Team is no longer taking any HTML Fixes - https://loom.com/i/31af5d7816114ac99bc9fdcfca5bf436
13/02/2026 - Now side bar menu also accomodates dark mode but one of the accordion image - "Credit Card" icon needs to be corrected - https://www.loom.com/i/4e59cca8c5db4dd88288eb91fac3c6da</t>
  </si>
  <si>
    <t>UAT_HF_045</t>
  </si>
  <si>
    <t>Touch Devices --&gt; Side Bar Menu --&gt; Connect with us social media buttons</t>
  </si>
  <si>
    <t>An extra gap is observed right below the social media icons which seems more than necessary.</t>
  </si>
  <si>
    <t>https://www.loom.com/i/ab0fb94a0cd945d88dacbc8c63505c71</t>
  </si>
  <si>
    <t>13/02/2026 - This issue is not occurring on real devices and only on emulator as demonstrated on call therefore closing this issue.
https://www.loom.com/share/45b575b8afb540eea52c5cf5afb9afbf</t>
  </si>
  <si>
    <t>UAT_HF_046</t>
  </si>
  <si>
    <t>Gridline</t>
  </si>
  <si>
    <t>Touch Devices --&gt; Side Bar Menu --&gt; More Links accordion</t>
  </si>
  <si>
    <t>A gridline / line separator between the "More Links" accordion &amp; "Connect with Us" heading is missing.</t>
  </si>
  <si>
    <t>https://www.loom.com/i/a33cfebc7a8c4e5aba0d11b6629b821a</t>
  </si>
  <si>
    <t>25/02/2026 - The issue is not resolved because of the same reason as mentioned on 13th Feb and as this is HTML issue it is in HTML team's bucket but it's priority is changed to P3 as SBI Team is no longer taking any HTML Fixes - https://loom.com/i/2f4bcf7d078c42c1aa21ba98a8fa07ec
13/02/2026 - Now the gridline between the "Important Links" &amp; "More Links" accordion appears brighter than the same gridline below because bottom gridline for above element and top gridline of bottom element overlap with each other and make it brighter - https://www.loom.com/i/d97c8149f30e4e11a7ec81fd4dc6d178</t>
  </si>
  <si>
    <t>UAT_HF_047</t>
  </si>
  <si>
    <t>iPads / Tablets --&gt; Side Bar Menu --&gt; Connect with us --&gt; Social Media buttons</t>
  </si>
  <si>
    <t>The social media bottons are too far from each other. The amount of gap current present between them needs to be reduced. They are fine in case of mobile phones</t>
  </si>
  <si>
    <t>https://www.loom.com/i/4b1ba9b07aa64595982197a62c2cff38</t>
  </si>
  <si>
    <t xml:space="preserve">20/02/2026 - Fixed on devsit1 </t>
  </si>
  <si>
    <t>20/02/2026 - The issue is resolved on devsit1 - https://loom.com/i/4fc069ca877d456cad400c8653e6e273</t>
  </si>
  <si>
    <t>UAT_HF_048</t>
  </si>
  <si>
    <t>Touch Devices --&gt; Side Bar Menu --&gt; Help Accordion</t>
  </si>
  <si>
    <t>When user opens the help accordion, it doesn't completely get in the view because it doesn't auto scroll after the accordion is expanded. Check video recording for better understanding.</t>
  </si>
  <si>
    <t>https://www.loom.com/share/13b5f4b248c741cd8e741454b2584999</t>
  </si>
  <si>
    <t>13/02/2026 - Fix for this has not yet received.</t>
  </si>
  <si>
    <t>UAT_HF_049</t>
  </si>
  <si>
    <t>Touch Devices --&gt; Side Bar Menu --&gt; "Credit Cards", "EMI &amp; More" &amp; "Pay" Icons</t>
  </si>
  <si>
    <t xml:space="preserve">Same icon is being used for these 3 accordions - "Credit Cards", "EMI &amp; More" &amp; "Pay" </t>
  </si>
  <si>
    <t>https://www.loom.com/i/2e9f12149ba041b783fd677fb6957fa2</t>
  </si>
  <si>
    <t>03/03/2026 - The issue is resolved on sbi-pvt - https://loom.com/i/6561b37bb8c0455ab633e2f5968b3c95
24/02/2026 - Verified this on PVT. The icons are correct but unable to resolve this issue until the size of all the icons get consistent. Currently some are larger while other are smaller when compared with each other - https://www.loom.com/i/06f4c6c0bf854ae580a2126a546d7ecf Icons of same size have been shared. They need to be implemented.</t>
  </si>
  <si>
    <t>UAT_HF_050</t>
  </si>
  <si>
    <t>Touch Devices --&gt; Open the Side Bar Menu --&gt; Click somewhere on the screen outside the side bar menu --&gt; Check if the side bar menu closes</t>
  </si>
  <si>
    <t>In case of touch devices, when the side bar menu is open and lets suppose user has scrolled down to the very bottom of it and now wants to close it. User would think clicking anywhere outside on the screen would close it but it doesn't. Instead user has to scroll up to the get to the cross button to close the pop up. It should also close if user touches anywhere else</t>
  </si>
  <si>
    <t>https://www.loom.com/share/56e0738d66ac4d9bbaf5bbbf0f9b9200</t>
  </si>
  <si>
    <t>UAT_HF_051</t>
  </si>
  <si>
    <t>Help Tab --&gt; Hover over the tab --&gt; pop up modal --&gt; Bullet point " Address Change"</t>
  </si>
  <si>
    <t>The bullet point needs to be "Address Change KYC" as per the header &amp; footer content file</t>
  </si>
  <si>
    <t>https://www.loom.com/i/5ca346dc8a024507859ffd07a62a91c0</t>
  </si>
  <si>
    <t>24/02/2026 - The issue is resolved on pvt - https://loom.com/i/57de699feee64cffa58d9b6d74c1e4b4</t>
  </si>
  <si>
    <t>UAT_HF_052</t>
  </si>
  <si>
    <t>Touch Devices --&gt; Try to find the login to account options and CTA related to it.</t>
  </si>
  <si>
    <t>"Login to Account" CTA,  "Forgot/UserID Password" as well as "New User? Register Now" hyperlinks &amp; quick links are missing in case of tablet's &amp; mobile phones. In case of mobile phones, the login button itself doesn't appear.</t>
  </si>
  <si>
    <t>https://www.loom.com/i/877fc2038f9f4d37888649b94f757eaf</t>
  </si>
  <si>
    <t>25/02/2025 - As discussed on call with Neha Laddha ma'am, these CTAs are already present in the login page where user gets redirected.</t>
  </si>
  <si>
    <t>02/03/2026 - As discussed with Namita ma'am on call, this is not an issue and is expected. Therefore, closing this.
24/02/2026 - The issue is not yet resolved</t>
  </si>
  <si>
    <t>UAT_HF_053</t>
  </si>
  <si>
    <t>Login</t>
  </si>
  <si>
    <t>Login Tab --&gt; Hover over the tab --&gt; pop up modal --&gt; Quick Links</t>
  </si>
  <si>
    <t>Hyperlink "Card Payments" needs to be "Pay your card dues" as per the header &amp; footer content file.</t>
  </si>
  <si>
    <t>https://www.loom.com/i/afb9cbba9df24c08825f1746129f2ccd</t>
  </si>
  <si>
    <t>24/02/2026 - The issue is resolved on pvt - https://loom.com/i/e62d038caa7e4ee1aa8e25dd9cfce474</t>
  </si>
  <si>
    <t>UAT_HF_054</t>
  </si>
  <si>
    <t>Login Tab --&gt;Forgot User ID / Password &amp; New User? Register Now Hyperlinks</t>
  </si>
  <si>
    <t>The "?" missing after "Forgot User ID / Password" and both the hyperlinks need to be in separate lines.</t>
  </si>
  <si>
    <t>https://www.loom.com/i/4bf691c6ef8d491eaa076bebf6f2a04f</t>
  </si>
  <si>
    <t>05/03/2026 - The issue was already marked as resolved on 3rd March 2026
03/03/2026 - The issue is resolved on sbi-pvt - https://www.loom.com/i/38d367478ef44346b4b08307413a3902
24/02/2026 - The issue is resolved of devsit1 - https://loom.com/i/430d231945cd46f2bcafe72543f42d06</t>
  </si>
  <si>
    <t>UAT_HF_055</t>
  </si>
  <si>
    <t>Accessibility Bar --&gt; "Skip to main content" button</t>
  </si>
  <si>
    <t xml:space="preserve"> button label is "--Skip to main content". It has extra hyphen "-"</t>
  </si>
  <si>
    <t>https://www.loom.com/i/88c39dcfebbc43d7bdc5a9677f35eedd</t>
  </si>
  <si>
    <t>05/03/2026 - The issue was already marked as resolved on 3rd March 2026
03/03/2026 - The issue is resolved on sbi-pvt - https://www.loom.com/i/47c7b62eb1eb457fa6b16e72e0b9d363
24/02/2026 - The issue is resolved on devsit1 - https://loom.com/i/d613e6db6ba44b1492bbd478255840aa</t>
  </si>
  <si>
    <t>UAT_HF_056</t>
  </si>
  <si>
    <t>Header Secondary Menu Wrap --&gt; Benefits Tab (Hover over it) --&gt; Bills Pay &amp; Recharge Tab</t>
  </si>
  <si>
    <t>The Bills Pay &amp; Recharge Tab icon doesn't match. Rs. symbol missing in the icon that is used.</t>
  </si>
  <si>
    <t>https://www.loom.com/i/f240b1d1842745bd947bd9a42b3cd978</t>
  </si>
  <si>
    <t>23/02/2026 - Need new icon</t>
  </si>
  <si>
    <t>24/02/2026 - The new icon has been provided as confirmed by Arun sir</t>
  </si>
  <si>
    <t>UAT_HF_057</t>
  </si>
  <si>
    <t>Footer --&gt; Important Links --&gt; Card Holder Terms &amp; Conditions</t>
  </si>
  <si>
    <t>"Card Holder Terms &amp; Conditions" hyperlink needs to be "Cardholder Agreement"</t>
  </si>
  <si>
    <t>https://www.loom.com/i/402c8e17377c4727918438aa3cc3e6da</t>
  </si>
  <si>
    <t>24/02/2026 - The issue is resolved on pvt - https://loom.com/i/8c503261bb5342f091ee49d03ef0016f</t>
  </si>
  <si>
    <t>UAT_HF_058</t>
  </si>
  <si>
    <t>Header Secondary Menu Wrap --&gt; EMI &amp; More &amp; Benefits Tab (Hover over it) --&gt; Quick Links --&gt; Track/Retrive Application &amp; Digitized Membership Kits Hyperlinks</t>
  </si>
  <si>
    <t>Track/Retrive Application &amp; Digitized Membership Kits hyperlink labels need to be changed to be - "Track/Retrieve My Application" &amp; "Digital Memership Kits"</t>
  </si>
  <si>
    <t>https://www.loom.com/i/124161e8f6a445fdbefc19dcbd5f8903</t>
  </si>
  <si>
    <t>24/02/2026 - The issue is resolved on pvt - https://loom.com/i/05cc03513e37469090769f8a1832edfa</t>
  </si>
  <si>
    <t>UAT_HF_059</t>
  </si>
  <si>
    <t xml:space="preserve">Header Secondary Menu Wrap --&gt; Credit Cards Tabs --&gt; Track/Retrive My Application </t>
  </si>
  <si>
    <t>Even as plenty of space avaible for the hyperlink "Track/Retrive My Application " to be in single line, it still takes 2 lines.</t>
  </si>
  <si>
    <t>https://www.loom.com/i/cefab591e0e74a93945127286bd2eb01</t>
  </si>
  <si>
    <t>23/02/2026 - As we discussed in the eve call, there is some space allocated to the redirection icon</t>
  </si>
  <si>
    <t>05/03/2026 - The issue was already marked as resolved on 24th Feb 2026
24/02/2026 - As discussed and shown on call by Neha Jain ma'am, we need to keep some space for the arrow icon that appears when user hovers on the hyperlink therefore the last word appears in the next line. This is not a bug therefore closing this issue.</t>
  </si>
  <si>
    <t>UAT_HF_060</t>
  </si>
  <si>
    <t>Home &amp; Product Details Page</t>
  </si>
  <si>
    <t>Side Bar Menu --&gt; All Accordions --&gt; Expand any of the accordion --&gt; Click on any other accordion --&gt; Notice that it collapses the already expanded accordion but doesn't open the one that was clicked.</t>
  </si>
  <si>
    <t>Home Page &amp; Product Details Page, on both pvt &amp; devsit1 URLs, while an accordion is expanded and another one is clicked, it collapses the currently open accordion but doesn't expand the new one that was clicked.</t>
  </si>
  <si>
    <t>https://www.loom.com/share/d4bdc6ca99b747328426dafbaf71026c</t>
  </si>
  <si>
    <t>05/03/2026 - The issue was already marked as resolved on 3rd March 2026
03/03/2026 - The issue is resolved on sbi-pvt
24/02/2026 - The issue is resolved on devsit1 - https://www.loom.com/share/528ca1ef80a84309b2ec6e09240fc549</t>
  </si>
  <si>
    <t>UAT_HF_061</t>
  </si>
  <si>
    <t>Header Secondary Menu Wrap --&gt; Deals &amp; Offers Tabs --&gt; Offers Terms &amp; Conditions</t>
  </si>
  <si>
    <t>Even as plenty of space avaible for the hyperlink "Offers Terms &amp; Conditions" to be in single line, it still takes 2 lines.</t>
  </si>
  <si>
    <t>https://www.loom.com/i/cff38c6cde1f490eb6ea2578ee215a1b</t>
  </si>
  <si>
    <t>05/03/2026 - The issue was already marked as resolved on 24th March 2026
24/02/2026 - As discussed and shown on call by Neha Jain ma'am, we need to keep some space for the arrow icon that appears when user hovers on the hyperlink therefore the last word appears in the next line. This is not a bug therefore closing this issue.</t>
  </si>
  <si>
    <t>UAT_HF_062</t>
  </si>
  <si>
    <t>ILA ChatBot</t>
  </si>
  <si>
    <t>Open Side Bar Menu in touch devices (or any other modal that appears on top of the page) --&gt; Check if the ILA chatbot overlaps above it</t>
  </si>
  <si>
    <t>In touch devices, if the side bar menu is opened, the ILA Chatbot pop up overlaps on top of it. The same is the case for Filters or compare cards pop up in catalogue page or Search Bar in the Header.</t>
  </si>
  <si>
    <t>https://loom.com/i/30de800ab12041888506e1501cfb1878</t>
  </si>
  <si>
    <t>UAT_HF_063</t>
  </si>
  <si>
    <t>QR Code</t>
  </si>
  <si>
    <t>Header --&gt; Click on the "Download our App" button --&gt; Check the QR code that appears</t>
  </si>
  <si>
    <t>The QR code appearing after clicking on the download our app button needs to be updated. Current QR code has the link - "https://rebrand.ly/sbicapp" whereas, new QR code has - "https://app.sbicard.com/newwebsitenudge". Check the actual vs expected screenshots</t>
  </si>
  <si>
    <t>https://www.loom.com/i/b159601dc02e4bc59f7d5f72deb8108a</t>
  </si>
  <si>
    <t>https://loom.com/i/78724836de00473d91d1f5c46ecdb7f5</t>
  </si>
  <si>
    <t>13/03/2026 - The issue is resolved on sbi-pvt - https://loom.com/i/8f835ef425a64b32833194bb16a22b08</t>
  </si>
  <si>
    <t>UAT_HF_064</t>
  </si>
  <si>
    <t xml:space="preserve">Header --&gt; Secondary Menu Wrap --&gt; Benefits </t>
  </si>
  <si>
    <t>Airport Lounge Access tab needs to be added in the benefits pop up modal as a tab</t>
  </si>
  <si>
    <t>UAT_HF_065</t>
  </si>
  <si>
    <t>Footer --&gt; All rights reserved at the bottom left</t>
  </si>
  <si>
    <t>Instead of "© 2025 SBI. All rights reserved" it should be "© 2026 SBI Card. All rights reserved"</t>
  </si>
  <si>
    <t>https://www.loom.com/i/4d47f7e150f04be7997076f702647feb</t>
  </si>
  <si>
    <t>17/03/2026 - As Neha Laddha ma'am later confirmed that we need to test everything based on sbifo-pvt instead of sbi-pvt and it is not yet resolved on sbipvt therefore keeping this issue open - https://loom.com/i/70263c9486714bb694e5ce58ff89337d
17/03/2026 - Neha Jain ma'am on UAT Call shared the content received from Namita ma'am regarding this as - "© 2026. All rights reserved". Up on no objection regarding this raised on call, closing this issue - https://loom.com/i/35b98754094c4c5095dbb8cab3dd1566</t>
  </si>
  <si>
    <t>UAT_HF_066</t>
  </si>
  <si>
    <t>From home page, click to go to catalogue page --&gt; Click on the back button of the browser to reach back to the home page --&gt; Hover over the credit cards tab in the header's secondary menu wrap</t>
  </si>
  <si>
    <t>From home page, if user goes to catalogue page and then clicks on the browser's back button and reaches back to the home page and hovers over the credit cards tab in the secondary header menu, the pop up modal that is supposed to appear when hovering doesn't appear.</t>
  </si>
  <si>
    <t>https://www.loom.com/share/6c00f2c3e2694858a560e58db7ccdb81</t>
  </si>
  <si>
    <t>Found On (Pages)</t>
  </si>
  <si>
    <t>UAT_CR_001</t>
  </si>
  <si>
    <t>Club Vistara SBI Card Prime, IRCTC SBI Platinum Card, OLA Money SBI Card, PhonePe SBI Card Purple, Indigo SBI Card Elite, Indigo SBI Card, PhonePe SBI Card Select Black</t>
  </si>
  <si>
    <t>Key Benefits --&gt; Container Grid --&gt; Images</t>
  </si>
  <si>
    <t>For all the pages mentioned in the found on column, some of the Images in the container do not appear.</t>
  </si>
  <si>
    <t>https://www.loom.com/i/3aea1cead9284fbb9bd70d12096c0094</t>
  </si>
  <si>
    <t>23/01/2026</t>
  </si>
  <si>
    <t>All the images do appear for now for all pages. If issue occurs again, will log a new bug mentioning the specific page where it occurs</t>
  </si>
  <si>
    <t>UAT_CR_002</t>
  </si>
  <si>
    <t>Desktops, iPads/Tablets</t>
  </si>
  <si>
    <t>All pages</t>
  </si>
  <si>
    <t>Desktop/Tablet --&gt; Page Top</t>
  </si>
  <si>
    <t>Header sub navigation wrap appearing on top of header containers.</t>
  </si>
  <si>
    <t>https://www.loom.com/i/89bcf6f456b045d49d85cca533e192c4</t>
  </si>
  <si>
    <t>The issue resolved for all the pages tested till now. If occurs again, will reopen the bug</t>
  </si>
  <si>
    <t>UAT_CR_003</t>
  </si>
  <si>
    <t>Any Device --&gt; Check the Key Benefits section</t>
  </si>
  <si>
    <t>The entire Key Benefits container doesn't load</t>
  </si>
  <si>
    <t>https://www.loom.com/i/fbd047c11cd245b19b23138787e23dd4</t>
  </si>
  <si>
    <t>UAT_CR_004</t>
  </si>
  <si>
    <t>Phonepe SBI Card Select Black, Indigo SBI Card, Indigo SBI Card Elite, PhonePE SBI Card Purple, Krisflyer SBI Card, OLA Money SBI Card, IRCTC SBI Card Premier, IRCTC SBI Platinum Card, Club Vistara SBI Card Prime</t>
  </si>
  <si>
    <t>Explore Rewards --&gt; Both Reward Benefits &amp; Milestone Benefits</t>
  </si>
  <si>
    <t>For all the pages mentioned, images do not appear on both the tabs for the section.</t>
  </si>
  <si>
    <t>https://www.loom.com/i/241bc7cea51d4111b878cdc109659584</t>
  </si>
  <si>
    <t>Images do appear for now for all pages. If disappears again, will log a new bug mentioning the specific page this time.</t>
  </si>
  <si>
    <t>UAT_CR_005</t>
  </si>
  <si>
    <t>PhonePe SBI Card Select Black, Indigo SBI Card, Phonepe SBI Card Purple, Krisflyer SBI Card, Ola Money SBI Card, IRCTC SBI Card Premier, IRCTC SBI Platinum Card, Club Vistara SBI Card Prime</t>
  </si>
  <si>
    <t>Other Features section --&gt; Section Image</t>
  </si>
  <si>
    <t>Other Features section's image missing</t>
  </si>
  <si>
    <t>https://www.loom.com/i/6751bf92fd224b7095c5183860f3f245</t>
  </si>
  <si>
    <t>UAT_CR_006</t>
  </si>
  <si>
    <t>OLA Money SBI Card, Krisflyer SBI Card, SBI Card Miles Elite, Reliance SBI Card, Reliance SBI Card Prime</t>
  </si>
  <si>
    <t>Scroll down below "Other Features" section</t>
  </si>
  <si>
    <t>For all the pages mentioned, the "Product Video" section missing</t>
  </si>
  <si>
    <t>https://loom.com/i/fea470f061dc494da572fed5b68344e5</t>
  </si>
  <si>
    <t>As informed on call, these cards do not have any video therefore video section will not be present. Hence Closing.</t>
  </si>
  <si>
    <t>UAT_CR_007</t>
  </si>
  <si>
    <t>Key Benefits --&gt; Right Most Image</t>
  </si>
  <si>
    <t>The image used is incorrect SBI Card Elite being a lifestyle golden theme card.</t>
  </si>
  <si>
    <t>https://www.loom.com/i/f030d23976d941be9e412ac35b3b6794</t>
  </si>
  <si>
    <t>https://www.loom.com/i/0b9c2b10d15449279bc29bb8ec4137cd</t>
  </si>
  <si>
    <t>UAT_CR_008</t>
  </si>
  <si>
    <t>Explore Rewards --&gt; Section Image</t>
  </si>
  <si>
    <t>The Section image is incorrect SBI Card Elite being a lifestyle golden theme card.</t>
  </si>
  <si>
    <t>https://www.loom.com/i/856c78bc300641e881d684e2cfd23273</t>
  </si>
  <si>
    <t>https://www.loom.com/i/d729703155714891b3713795ee49da2e</t>
  </si>
  <si>
    <t>UAT_CR_009</t>
  </si>
  <si>
    <t>Network Privileges --&gt; Section Image</t>
  </si>
  <si>
    <t>https://www.loom.com/i/a71eb70f74ae44748f5143cf6eb3f477</t>
  </si>
  <si>
    <t>https://www.loom.com/i/8e26b32ca7774251922bf5c1baf01466</t>
  </si>
  <si>
    <t>UAT_CR_010</t>
  </si>
  <si>
    <t>Other Features --&gt; Section Image</t>
  </si>
  <si>
    <t>https://www.loom.com/i/e779dab1820143d28438af4ca04d0fb4</t>
  </si>
  <si>
    <t>https://www.loom.com/i/0aa02ccf79ac4b419fe2adfefbf9596f</t>
  </si>
  <si>
    <t>UAT_CR_011</t>
  </si>
  <si>
    <t>Side Bar Menu --&gt; Background Image</t>
  </si>
  <si>
    <t>Side Bar Menu's Background image is incorrect.</t>
  </si>
  <si>
    <t>https://www.loom.com/i/f69ca5a0b1c840ce8d22ec978928ed51</t>
  </si>
  <si>
    <t>https://www.loom.com/i/147b28ffe90b435b87bb299177225405</t>
  </si>
  <si>
    <t>Need-Discussion</t>
  </si>
  <si>
    <t>29/01/2026 - A solution to this is yet to be decided as card specific side bar banner is a requirement.
27/01/2026 - We are not using any bg imagein the sidebar. We only select a theme and based on that, the colors are displayed on the page</t>
  </si>
  <si>
    <t>06/02/2026 - Have been asked to verify this issue on PVT now and the card specific banner image is uploaded there. If any specifc issue found in the image, will log a new bug as advised by Neha ma'am
23/01/2026 - Issue still persists - https://loom.com/i/9cb49cdc9ebd4201a550ef2325e1a3c5</t>
  </si>
  <si>
    <t>UAT_CR_012</t>
  </si>
  <si>
    <t>DOCTOR'S SBI CARD &amp; Doctors with IMA SBI Card</t>
  </si>
  <si>
    <t>https://www.loom.com/i/8d585bd763694e24bf8d6d5adf23fb0d</t>
  </si>
  <si>
    <t>https://loom.com/i/f72391bdcf20474aba970845ac0967ec</t>
  </si>
  <si>
    <t>Marking all combined pages bugs as resolved if the mentioned issue occurs in any of the pages will log a new page specific bug.</t>
  </si>
  <si>
    <t>UAT_CR_013</t>
  </si>
  <si>
    <t>https://www.loom.com/i/51c4be234fba4b878282541aadc85eaa</t>
  </si>
  <si>
    <t>https://loom.com/i/c98bb5b1ecdd4639854862421a9cf4ad</t>
  </si>
  <si>
    <t>Duplicate</t>
  </si>
  <si>
    <t>Duplicate of 12</t>
  </si>
  <si>
    <t>06/02/2026 - Have been asked to verify this issue on PVT now and the card specific banner image is uploaded there. If any specifc issue found in the image, will log a new bug as advised by Neha ma'am
23/01/2026 - The issue still persists - https://loom.com/i/ad2156d963bb42b499b6c1191c49000b</t>
  </si>
  <si>
    <t>UAT_CR_014</t>
  </si>
  <si>
    <t>https://www.loom.com/i/ec147138115248e0acf54c5a31746744</t>
  </si>
  <si>
    <t>https://loom.com/i/22eff35d30b8438dace8b835ea4e2d97</t>
  </si>
  <si>
    <t>06/02/2026 - Have been asked to verify this issue on PVT now and the card specific banner image is uploaded there. If any specifc issue found in the image, will log a new bug as advised by Neha ma'am
23/01/2026 - Issue still persists - https://loom.com/i/8c64824ec32247e0a6e00021478f8686</t>
  </si>
  <si>
    <t>UAT_CR_015</t>
  </si>
  <si>
    <t>https://www.loom.com/i/a5c3f477acee43bb96c8ceaca58438b2</t>
  </si>
  <si>
    <t>https://www.loom.com/i/288f54ff7ee24f9bbbb6eae190554af3</t>
  </si>
  <si>
    <t>06/02/2026 - Have been asked to verify this issue on PVT now and the card specific banner image is uploaded there. If any specifc issue found in the image, will log a new bug as advised by Neha ma'am
23/01/2026 - The issue still persists - https://loom.com/i/ad8036ed5d654efb90a166c2ac0f65f4</t>
  </si>
  <si>
    <t>UAT_CR_016</t>
  </si>
  <si>
    <t>All Browsres</t>
  </si>
  <si>
    <t xml:space="preserve">Apollo SBI Card Select, SBI Card Pulse, Tata Neu Infinity SBI Card, Krisflyer SBI Card Apex, Krisflyer SBI Card, </t>
  </si>
  <si>
    <t>Key benefits --&gt; Benefit containers --&gt; Text content</t>
  </si>
  <si>
    <t>The text content gets truncated with 3 dots at the end.</t>
  </si>
  <si>
    <t>https://www.loom.com/i/4c5e050eae824c2ca11016ec3b5c3746</t>
  </si>
  <si>
    <t>UAT_CR_017</t>
  </si>
  <si>
    <t>Key Benefits  --&gt; Notice the container getting covered by a single image.</t>
  </si>
  <si>
    <t xml:space="preserve"> Image supposed to be at the right most of the grid covers the entire grid container instead.</t>
  </si>
  <si>
    <t>https://www.loom.com/i/6db2c02a62d54f2198f53875fbcd1c41</t>
  </si>
  <si>
    <t>UAT_CR_018</t>
  </si>
  <si>
    <t>Side Bar Menu --&gt; More button --&gt; Text Sentence</t>
  </si>
  <si>
    <t>The "Shopping now comes with extra benefits" sentence at the end is not required as it has strike through in the content document. Check the content document and screenshot for better understanding.</t>
  </si>
  <si>
    <t>https://www.loom.com/i/0283f9aef00b4200b81ceb0b3c57bff2</t>
  </si>
  <si>
    <t>UAT_CR_019</t>
  </si>
  <si>
    <t>Exclusive Privileges --&gt; Reward Benefits --&gt; 3rd Bullet Point</t>
  </si>
  <si>
    <t>The 1.5% needs to be removed and only 1% needs to be kept as the 1.5% in the content document has a strike through</t>
  </si>
  <si>
    <t>https://www.loom.com/i/3d7dd662c6b7452c9db5b7e6f730201a</t>
  </si>
  <si>
    <t>09/02/2026 - As per updated content, bug is no longer valid, therefore closing.
23/01/2026 - As per Namita ma'am, content is constantly getting changed therefore need to keep all the content related issues aside. Hence kept on hold.</t>
  </si>
  <si>
    <t>UAT_CR_020</t>
  </si>
  <si>
    <t>Exclusive Privileges --&gt; Spend Based Reversal icon</t>
  </si>
  <si>
    <t>Spend Based Reversal icon is incorrect</t>
  </si>
  <si>
    <t>https://www.loom.com/i/606a9e9ee8294644b56c06cd0a4730a8</t>
  </si>
  <si>
    <t>Prerna</t>
  </si>
  <si>
    <t>17/02/2026 - Icon is correct as per the icon library</t>
  </si>
  <si>
    <t>17/02/2026 - As discussed on UAT Discussion Call, Neha Laddha &amp; Namita Gupta ma'am confirmed on call that the icon used is correct as per the icon library and this would be used everywhere. The icon shown in the latest content file for products page is incorrect therefore closing this issue.
09/02/2026 - The bug is valid as per the final content. Therefore opening it again.
23/02/2026 - As per Namita ma'am, content is constantly getting changed therefore need to keep all the content related issues aside which includes icons as well according to Arun sir. Hence kept on hold.</t>
  </si>
  <si>
    <t>UAT_CR_021</t>
  </si>
  <si>
    <t>Exclusive Privileges --&gt; Reward Benefits</t>
  </si>
  <si>
    <t>Reward Benefits icon doesn't match with the icon shown in the content file</t>
  </si>
  <si>
    <t>https://www.loom.com/i/9db5cf9d907a4fe78f63ca3f92cac762</t>
  </si>
  <si>
    <t>UAT_CR_022</t>
  </si>
  <si>
    <t>Mobile devices --&gt; Exclusive Privileges</t>
  </si>
  <si>
    <t>Exclusive privileges like Fuel Surchange Waiver and Spend Based Reversal are missing in case of mobile view. There should have been another slide that would contain these privileges details.</t>
  </si>
  <si>
    <t>https://www.loom.com/i/4f24ea6162044b75b015f279eef77af2</t>
  </si>
  <si>
    <t>UAT_CR_023</t>
  </si>
  <si>
    <t>Fee &amp; Charges --&gt; Annual Fee &amp; Renewal Fee</t>
  </si>
  <si>
    <t>Plus sign (+) is present twice and "+ taxes" is missing after the Renewal Fee Rs. 499</t>
  </si>
  <si>
    <t>https://www.loom.com/i/e75720eb3f2b4acfa9be6bc37aef7c37</t>
  </si>
  <si>
    <t>UAT_CR_024</t>
  </si>
  <si>
    <t>The image used is incorrect Tata Neu Plus SBI Card being a lifestyle but non golden theme card.</t>
  </si>
  <si>
    <t>https://www.loom.com/i/52255049238b463eac04cca6bbdd7e8d</t>
  </si>
  <si>
    <t>UAT_CR_025</t>
  </si>
  <si>
    <t>Meta (Page Header)</t>
  </si>
  <si>
    <t>Tata New Plus SBI Card --&gt; Check the website header on the browser</t>
  </si>
  <si>
    <t>The website header doesn't mention the card name and instead says "card-detail"</t>
  </si>
  <si>
    <t>https://www.loom.com/i/2a1a51749b6f4ddc996bc4bc108ef3ce</t>
  </si>
  <si>
    <t>06/02/2026 - Resolved on PVT
23/01/2026 - As per Neha ma'am, team has not received the meta details therefore it will not be updated on the UAT for now, needs to be kept on hold till then</t>
  </si>
  <si>
    <t>UAT_CR_026</t>
  </si>
  <si>
    <t>https://www.loom.com/i/e6b49662f18446c4987c1aa6bfd62a73</t>
  </si>
  <si>
    <t>06/02/2026 - Have been asked to verify this issue on PVT now and the card specific banner image is uploaded there. If any specifc issue found in the image, will log a new bug as advised by Neha ma'am
23/01/2026 - The issue still persists - https://loom.com/i/6fe51536e0364ac982ddb1214a0039c5</t>
  </si>
  <si>
    <t>UAT_CR_027</t>
  </si>
  <si>
    <t>All Browser</t>
  </si>
  <si>
    <t>The image used is incorrect Tata Neu Infinity SBI Card being a lifestyle but non golden theme card.</t>
  </si>
  <si>
    <t>https://www.loom.com/i/f7dd0f79690347cdb9e7360b5c55dba1</t>
  </si>
  <si>
    <t>UAT_CR_028</t>
  </si>
  <si>
    <t>The Benefit's last sentence gets truncated with 3 dots at the end.</t>
  </si>
  <si>
    <t>https://www.loom.com/i/5fd0cea97ffb4bb6b018cd6b6803df41</t>
  </si>
  <si>
    <t>UAT_CR_029</t>
  </si>
  <si>
    <t>Key Benefits --&gt; Reward Benefits  --&gt; Icon</t>
  </si>
  <si>
    <t>The icon used for the 2nd benefit (Reward Benefits) doesn't match with the icon in the content file.</t>
  </si>
  <si>
    <t>https://www.loom.com/i/a3cc7605d6ef4799825b7f416af803df</t>
  </si>
  <si>
    <t>UAT_CR_030</t>
  </si>
  <si>
    <t>Exclusive Privilegest --&gt; Reward Benefits --&gt; 1st 2nd &amp; 3rd Bullet points --&gt; text like "the" &amp; "Rse."</t>
  </si>
  <si>
    <t>The words/letter that are strike through (deleted) in the content file still present in the bullet points. Check screenshot for better understanding.</t>
  </si>
  <si>
    <t>https://www.loom.com/i/2076ac745e664027aa39316be4b31dcf</t>
  </si>
  <si>
    <t>09/02/2026 - The strike through word is "the" which even if included, doesn't change the meaning of the sentence and as discussed with Vijaita ma'am, one or two words if extra or do not match but the meaning of the sentence remains very much same then it can be ignored. Also, the Rse. has been corrected to Re. therefore closing this issue.
23/01/2026 - As per Namita ma'am, content is constantly getting changed therefore need to keep all the content related issues aside. Hence kept on hold.</t>
  </si>
  <si>
    <t>UAT_CR_031</t>
  </si>
  <si>
    <t>Exclusive privileges like International Lounge Benefits, Fuel Surcharge Waiver, Spend Based Reversal, Lowest Forex Markup. There should have been another slide that would contain these privileges details.</t>
  </si>
  <si>
    <t>https://www.loom.com/i/9c18410fb9cb4c1797772d0aa04e967e</t>
  </si>
  <si>
    <t>UAT_CR_032</t>
  </si>
  <si>
    <t>https://www.loom.com/i/43543f1d0c3246a3be901423c2a2aa78</t>
  </si>
  <si>
    <t>Fixed on pvt</t>
  </si>
  <si>
    <t>05/03/2026 - The issue is resolved on sbi-pvt - https://loom.com/i/3dd82c3a58ad4187874790c5bc5ec3ae
27/02/2026 - The icon doesn't match when verified with the icon library. Screenshot for the same has been updated in the screenshot section. This same icon is to be used for "Spend Based Reversal" Privilege all across the pages.
23/01/2026 - As per Namita ma'am, content is constantly getting changed therefore need to keep all the content related issues aside which includes icons as well according to Arun sir. Hence kept on hold.</t>
  </si>
  <si>
    <t>UAT_CR_033</t>
  </si>
  <si>
    <t>Exclusive Privileges --&gt; Internationa Lounge Benefits --&gt; Bullet Points</t>
  </si>
  <si>
    <t>The first bullet point doesn't match with the one written in the content file. Bullet points start to get clipped starting point 3 in desktops &amp; ipads/tablets.</t>
  </si>
  <si>
    <t>https://www.loom.com/i/94ed24df991d4497b14fc43e33bbd6f4</t>
  </si>
  <si>
    <t>UAT_CR_034</t>
  </si>
  <si>
    <t>Plus sign (+) is present twice and "+ taxes" is missing after the Renewal Fee Rs. 1499</t>
  </si>
  <si>
    <t>https://www.loom.com/i/f21763bc96f249eabae5beebbdcae735</t>
  </si>
  <si>
    <t>UAT_CR_035</t>
  </si>
  <si>
    <t>Tata Neu Infinity SBI Card--&gt; Check the website header on the browser</t>
  </si>
  <si>
    <t>The website header doesn't mention the card name and instead says "irctc-sbi-platinum-card"</t>
  </si>
  <si>
    <t>https://www.loom.com/i/c617398232e64925886d8bb90664d8ed</t>
  </si>
  <si>
    <t>UAT_CR_036</t>
  </si>
  <si>
    <t>SBI Card Pulse--&gt; Check the website header on the browser</t>
  </si>
  <si>
    <t>The website header doesn't mention the card name and instead says "card detail"</t>
  </si>
  <si>
    <t>https://www.loom.com/i/28efaaf5e19e41fabff50cfa786b4093</t>
  </si>
  <si>
    <t>23/01/2026 - As per Neha ma'am, team has not received the meta details therefore it will not be updated on the UAT for now, needs to be kept on hold till then</t>
  </si>
  <si>
    <t>UAT_CR_037</t>
  </si>
  <si>
    <t>Check the theme of SBI Card Pulse</t>
  </si>
  <si>
    <t>The Entire Page (section banners, icons etc) is not following the SBI Card Pulse's Dark Theme.</t>
  </si>
  <si>
    <t>https://www.loom.com/i/0182ac624ab64dda80dfeac298bb7d34</t>
  </si>
  <si>
    <t>https://www.loom.com/i/f27553d6edd848599526b405386a21f9</t>
  </si>
  <si>
    <t>UAT_CR_038</t>
  </si>
  <si>
    <t>https://www.loom.com/i/51add941ab554d9bbacdef1dcbddb9e2</t>
  </si>
  <si>
    <t>UAT_CR_039</t>
  </si>
  <si>
    <t>The image used is incorrect SBI Card Pulse being a lifestyle but non golden theme card.</t>
  </si>
  <si>
    <t>https://www.loom.com/i/22521583dcf646c8b30d2b7becd606fe</t>
  </si>
  <si>
    <t>UAT_CR_040</t>
  </si>
  <si>
    <t>https://www.loom.com/i/a0b18d960f724356a74c3d7cc4facc54</t>
  </si>
  <si>
    <t>UAT_CR_041</t>
  </si>
  <si>
    <t>Side Bar Menu --&gt; Best For --&gt; Comprehensive Insurance Cover</t>
  </si>
  <si>
    <t>The word "Comprehensive" being more than 9 alphabets gets truncated with 3 dots at the end.</t>
  </si>
  <si>
    <t>https://www.loom.com/i/f9acfe851efc414bbdea209e87a1b3b9</t>
  </si>
  <si>
    <t xml:space="preserve">Same as HTML </t>
  </si>
  <si>
    <t>28/01/2026 - As per the discussion on call with Neha laddha ma'am &amp; Namita ma'am, content needs to be reduced in order to avoid such issues therefore they need to be assigned to Arun.
23/01/2025 - The issue still persists</t>
  </si>
  <si>
    <t>UAT_CR_042</t>
  </si>
  <si>
    <t>Key Benefits --&gt; 2nd Benefit --&gt; Get Fraud Liability</t>
  </si>
  <si>
    <t>The word "Get" is strike through in the content file yet it is included in the sentence.</t>
  </si>
  <si>
    <t>https://www.loom.com/i/114e092a8cd84f4c96247fbd5d28bc56</t>
  </si>
  <si>
    <t>UAT_CR_043</t>
  </si>
  <si>
    <t xml:space="preserve">Exclusive Benefits --&gt; Each Card --&gt;  Click Here links </t>
  </si>
  <si>
    <t>Instead of "Click Here" being the hyperlink, the link appears separately which in turn results in content overflowing out of the cards.</t>
  </si>
  <si>
    <t>https://www.loom.com/i/a3645c10ac3c485bb25fbd438fdf439d</t>
  </si>
  <si>
    <t>UAT_CR_044</t>
  </si>
  <si>
    <t>Exclusive Benefits --&gt; Card Sequence</t>
  </si>
  <si>
    <t>The "Welcome Gifts" card should be first in sequence as per the content file.</t>
  </si>
  <si>
    <t>https://www.loom.com/i/1297ba3b0aba4d9a8c6ee22bc1832e8f</t>
  </si>
  <si>
    <t>UAT_CR_045</t>
  </si>
  <si>
    <t>Exclusive Benefits --&gt; Exclusive Rewards Card --&gt; 3rd Bullet point</t>
  </si>
  <si>
    <t>Space missing between "Points", "=" &amp; "Re."</t>
  </si>
  <si>
    <t>https://www.loom.com/i/0bf2d764dac9413b859809909c6d329d</t>
  </si>
  <si>
    <t>UAT_CR_046</t>
  </si>
  <si>
    <t>Exclusive privileges like Milestone Benefits, Comprehensive Insurance Cover, Lounge Benefits. There should have been another slide that would contain these privileges details.</t>
  </si>
  <si>
    <t>https://www.loom.com/i/2129ce6bb8f5481e9f6fe272a9a9668e</t>
  </si>
  <si>
    <t>UAT_CR_047</t>
  </si>
  <si>
    <t xml:space="preserve">Explore Rewards --&gt; Milestone Benefits </t>
  </si>
  <si>
    <t>https://www.loom.com/i/a862282b3a5c47e6be45a0c9eb77457d</t>
  </si>
  <si>
    <t>UAT_CR_048</t>
  </si>
  <si>
    <t>Fee &amp; Charges Section --&gt; Annual Fee &amp; Renewal Fee</t>
  </si>
  <si>
    <t>https://www.loom.com/i/f438b325fd5a43058e670e6c5a93baf1</t>
  </si>
  <si>
    <t>09/02/2026 - The issue is resolved now. Hence closing the issue.
23/01/206 - As per Namita ma'am, content is constantly getting changed therefore need to keep all the content related issues aside. Hence kept on hold.</t>
  </si>
  <si>
    <t>UAT_CR_049</t>
  </si>
  <si>
    <t>Fee &amp; Charges Section --&gt; Fee Tab --&gt; Fees &amp; Charges Heading --&gt; Terms &amp; Conditions Link</t>
  </si>
  <si>
    <t xml:space="preserve">Instead of the link separately being present, the words "Terms &amp; Conditions" should act as hyperlink. </t>
  </si>
  <si>
    <t>https://www.loom.com/i/78a969c02ba5405e994aafde832d2ad8</t>
  </si>
  <si>
    <t>UAT_CR_050</t>
  </si>
  <si>
    <t>Other Features --&gt; FlexyPay --&gt; 3rd Bullet Point</t>
  </si>
  <si>
    <t xml:space="preserve">Instead of the link separately being present, the words "Click here" should act as hyperlink. </t>
  </si>
  <si>
    <t>https://www.loom.com/i/3100379b7845431eb74bc357e88db11c</t>
  </si>
  <si>
    <t>UAT_CR_051</t>
  </si>
  <si>
    <t>SBI Card Miles Elite --&gt; Check the website header on the browser</t>
  </si>
  <si>
    <t>https://www.loom.com/i/e21f13e7c3aa47ce90b06799115059e4</t>
  </si>
  <si>
    <t>06/02/2026 - This issue is fixed on PVT.
23/01/2026 - As per Namita ma'am, the team hasn't recieved the meta details therefore this is not yet updated and needs to be kept on Hold</t>
  </si>
  <si>
    <t>UAT_CR_052</t>
  </si>
  <si>
    <t>Side Bar Menu --&gt; Best For --&gt; Milestone Benefits</t>
  </si>
  <si>
    <t>The word "Milestone" being  9 alphabets gets truncated with 3 dots at the end in case user increase the font size.</t>
  </si>
  <si>
    <t>https://www.loom.com/i/c297013ccccf49529bf070a408552cef</t>
  </si>
  <si>
    <t>UAT_CR_053</t>
  </si>
  <si>
    <t>https://www.loom.com/i/6442a03ded404301adb22bd6053a0496</t>
  </si>
  <si>
    <t>Large/Medium</t>
  </si>
  <si>
    <t>UAT_CR_054</t>
  </si>
  <si>
    <t>Exclusive Benefits --&gt; Reward benefits --&gt; 4th Bullet Point</t>
  </si>
  <si>
    <t>Space missing between "Click here" and "to view"</t>
  </si>
  <si>
    <t>https://www.loom.com/i/43795b2b055b41618ac4ec991a2690cb</t>
  </si>
  <si>
    <t>27/02/2026</t>
  </si>
  <si>
    <t>27/02/2026 - The issue is resolved on sbi-pvt
23/01/2026 - As per Namita ma'am, content is getting changed constantly, need to keep the issues on hold until content gets finalized</t>
  </si>
  <si>
    <t>UAT_CR_055</t>
  </si>
  <si>
    <t>Exclusive Privileges --&gt; Mobile View --&gt; Section Image</t>
  </si>
  <si>
    <t>https://www.loom.com/i/28422c1973a6489c829baf86471554c6</t>
  </si>
  <si>
    <t>UAT_CR_056</t>
  </si>
  <si>
    <t>Elite Card Fee &amp; Charges --&gt; Fee &amp; charges &amp; FAQ section icon images</t>
  </si>
  <si>
    <t>Both the tab images get streched. Check the actual vs expected result</t>
  </si>
  <si>
    <t>https://www.loom.com/i/9d304da990314f08b0bbabe4d80b85fc</t>
  </si>
  <si>
    <t>https://loom.com/i/dc56f7bc5efc4c9c9882902debbf1e2c</t>
  </si>
  <si>
    <t>UAT_CR_057</t>
  </si>
  <si>
    <t>Exclusive Privileges --&gt; Mobile View --&gt; Slider dots</t>
  </si>
  <si>
    <t>The border before and after slider dots is not required and the padding needs to be reduced from the bottom at least to match with the design.</t>
  </si>
  <si>
    <t>https://www.loom.com/i/fd6122bbe9c7477295f2e3ffbd37e47e</t>
  </si>
  <si>
    <t>https://www.loom.com/i/22ccbce210a941bd99dc9187b5a5c4bc</t>
  </si>
  <si>
    <t>18/02/2026 - The issue is resoled on devsit1 - 
https://loom.com/i/0ecf682e051c46cba49cf2f3a63a6ebc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https://loom.com/i/b74ae9e966b6485b824d3b37fc35c58b
23/01/2026 - The border at the bottom still appears. https://www.loom.com/i/20c50c8e05504d86ae1c1ffefaae4346</t>
  </si>
  <si>
    <t>UAT_CR_058</t>
  </si>
  <si>
    <t>Explore Rewards --&gt; Milestone Benefits --&gt; Reward benefit Bar &amp; Reward Points text on the image</t>
  </si>
  <si>
    <t>The Reward Benefits Bar &amp; Reward Points Text animation on the image is missing. Check the actual vs expected result.</t>
  </si>
  <si>
    <t>https://www.loom.com/i/c96e89c7f8b64143b8335f65bc484e78</t>
  </si>
  <si>
    <t>https://www.loom.com/i/c36fbec3c7cb4fa0ab2aa5dd342c1d6f</t>
  </si>
  <si>
    <t>UAT_CR_059</t>
  </si>
  <si>
    <t>Side Bar Menu --&gt; Best For --&gt; Milestone Privileges</t>
  </si>
  <si>
    <t>The word "Milestone" being  9 alphabets gets truncated with 3 dots at the end especially in case user increase the font size.</t>
  </si>
  <si>
    <t>https://www.loom.com/i/ebfac4918b834347833ff07103b44ea2</t>
  </si>
  <si>
    <t>In Progress</t>
  </si>
  <si>
    <t>To be worked on by Arun sir</t>
  </si>
  <si>
    <t>28/01/2026 - The issue still occurs in case of iPads / Tablets or mid size desktops (width around 1536px)
23/01/2026 - The issue still persists - https://loom.com/i/f88cfa7d876940a2b02ba55b69462332</t>
  </si>
  <si>
    <t>UAT_CR_060</t>
  </si>
  <si>
    <t>Exclusive Privileges --&gt; Exclusive Concierge Service --&gt; 2nd Bullet point</t>
  </si>
  <si>
    <t>Margin gap is not followed and the sentence touches the container border.</t>
  </si>
  <si>
    <t>https://www.loom.com/i/29a3d6758b8d4c40b87a3471f8c429d4</t>
  </si>
  <si>
    <t>25/02/2026 - The issue remains the same as mentioned in remark on 23rd Feb. But as the SBI Team is no longer taking any further HTML/CSS bug fixes this remains in HTML team bucket with its priority changed to P3 as requested by Arun sir.
23/02/2026 - Now the padding from the left side is more than required. This is because of both the child and the parent container having padding - 
https://www.loom.com/i/ab4cbd4ac2af412fb4382224e829167a
Fix for this has been provided
13/02/2026 - The issue is resolved on HTML v50 - 1
09/02/2026 - As the issue also occurs in the HTML/CSS benchmark therefore changing the tagging to HTML/CSS
05/02/2026 - The issue is not fixed and still happen. The bullet point is just shifted to the back of the card and there it still touches the card border when user increases the font to large. Margin gap/padding cannot be found - https://www.loom.com/i/8c14fb4a250244dda4b2c065d3c82d38
23/01/2026 - The issue still persists - https://loom.com/i/45fda04ef44747adab8618ffd061b6bd</t>
  </si>
  <si>
    <t>UAT_CR_061</t>
  </si>
  <si>
    <t>Pop up Modal Theme</t>
  </si>
  <si>
    <t>Exclusive Privileges --&gt;Add Button --&gt; More button --&gt; Pop up Modal</t>
  </si>
  <si>
    <t>The pop up modal that appears does not follow the dark theme.</t>
  </si>
  <si>
    <t>https://www.loom.com/i/9a48147ba88e45c882730286eac0387a</t>
  </si>
  <si>
    <t>18/02/2026 - The issue is resolved on devsit1- https://loom.com/i/5dc774ba3c164085adafddee9f90c354
13/02/2026 - As of today, this is fixed on Devsit1 as checked on call. Need to be moved to PVT as well
13/02/2026 - The issue is resolved on HTML v50 - 1</t>
  </si>
  <si>
    <t>UAT_CR_062</t>
  </si>
  <si>
    <t>Side Bar Menu --&gt; Tag line - "An Exclusive and Exquisitely Crafted Card for those Who Live Beyond Ordinary"</t>
  </si>
  <si>
    <t>Each word needs to be capitalized as it is in the content file (except for filler words)</t>
  </si>
  <si>
    <t>https://www.loom.com/i/16221f518dd44e2fa13f99f4ba08828c</t>
  </si>
  <si>
    <t>23/01/2026 - The issue still persists - https://loom.com/i/995b5f5543174d69a499d9b2ae7cf79a</t>
  </si>
  <si>
    <t>UAT_CR_063</t>
  </si>
  <si>
    <t>Exclusive Privileges --&gt; Milestone Privileges --&gt; 1st Bullet Point</t>
  </si>
  <si>
    <t>"Earn" needs to be removed. "/" slash after Rs. 12,500 needs to be removed.</t>
  </si>
  <si>
    <t>https://www.loom.com/i/1496f38524954fe4b77db21e44207c7b</t>
  </si>
  <si>
    <t>23/01/2026 - The issue still persists - https://loom.com/i/fc2775ca2d2b4c5f902c967149e0e436</t>
  </si>
  <si>
    <t>UAT_CR_064</t>
  </si>
  <si>
    <t>Exclusive Privileges --&gt;Elite Rewards --&gt; 3rd Bullet point</t>
  </si>
  <si>
    <t>It should be Re. instead of Rs. as it is only 1 Re.</t>
  </si>
  <si>
    <t>https://www.loom.com/i/5b603116c88249f8933693cdd6915560</t>
  </si>
  <si>
    <t>23/02/2026 - Fixed on devsit1
16/02/2026 - Fixed on devsit1 &amp; pvt</t>
  </si>
  <si>
    <t>05/03/2026 - The issue is resolved on sbi-pvt - https://loom.com/i/3dd82c3a58ad4187874790c5bc5ec3ae
24/02/2026 - The issue is still not resolved - https://www.loom.com/i/3253daf1ca9b43ac9251dcaec75d572b
17/02/2026 - The issue is still not resolved - https://www.loom.com/i/3253daf1ca9b43ac9251dcaec75d572b
09/02/2026 - Now the 2nd bullet point has Re. and 3rd bullet point has Rs. We need Re. for 1 Rupees and Rs. for more than 1 ruppee.
23/01/2026 - As per Namita ma'am, content is constantly getting changed therefore need to keep all the content related issues aside. Hence kept on hold.
The issue still persists - https://loom.com/i/3e3d8a17317449a5a8c416509e7b3bdf</t>
  </si>
  <si>
    <t>UAT_CR_065</t>
  </si>
  <si>
    <t>Exclusive Privileges --&gt; International Lounge Benefits --&gt;Flip the card</t>
  </si>
  <si>
    <t>After the card gets flipped, the card title doesn't maintain the margin gap from the left side. Especially in case of large font</t>
  </si>
  <si>
    <t>https://www.loom.com/i/f885c3f2eccc4b3dbca86855aea50914</t>
  </si>
  <si>
    <t>23/02/2026 - Now the padding from the right side is more than required. This is because of both the child and the parent container having padding 
18/02/2026 - The issue is resolved on devsit1 - https://loom.com/i/dccd676396134c3abd5137ca2d7b3587
13/02/2026 - The issue is resolved on HTML v50 - 1</t>
  </si>
  <si>
    <t>UAT_CR_066</t>
  </si>
  <si>
    <t>Exclusive Privileges --&gt; Mobile View --&gt; Milestone Benefits, Elite Rewards, International Lounge Program, ITC Silver Tier Membership</t>
  </si>
  <si>
    <t>When in mobile view, the More button is missing for the mentioned privileges in order for the user to view all the benefit points of each privilage in mobile view as well.</t>
  </si>
  <si>
    <t>https://www.loom.com/i/8639d35fb970411abc3c2c34125dc6f5</t>
  </si>
  <si>
    <t>UAT_CR_067</t>
  </si>
  <si>
    <t>Explore Rewards --&gt; Milestone Privileges --&gt; All 4 Bullet Points</t>
  </si>
  <si>
    <t>4th bullet point doesn't match with the content file. Word "Get" needs to be removed from 2nd &amp; 3rd bullet point. "/" slash needs to be removed after Rs. 12,500</t>
  </si>
  <si>
    <t>https://www.loom.com/i/fb960cbdfc7145dcbbdaa146488fc3a7</t>
  </si>
  <si>
    <t>09/02/2026 - The bug is resolved. No longer occuring
23/01/2026 - As per Namita ma'am, content is constantly getting changed therefore need to keep all the content related issues aside. Hence kept on hold.</t>
  </si>
  <si>
    <t>UAT_CR_068</t>
  </si>
  <si>
    <t>Explore Rewards --&gt; Elite Rewards --&gt; 4th Bullet Point</t>
  </si>
  <si>
    <t>The 4th bullet point is missing "(Extra service tax applicable)"</t>
  </si>
  <si>
    <t>https://www.loom.com/i/09a8d0bfea304019b5eaf326a66d348a</t>
  </si>
  <si>
    <t>UAT_CR_069</t>
  </si>
  <si>
    <t>Fee &amp; Charges --&gt; Annual &amp; Renewal Charges</t>
  </si>
  <si>
    <t>Space missing after colon ":" and after "Rs". Dot and space missing after "Rs". "+ taxes" missing after renewal fee</t>
  </si>
  <si>
    <t>https://www.loom.com/i/1c3a1776de3a495290b1b3d5299e49c4</t>
  </si>
  <si>
    <t>UAT_CR_070</t>
  </si>
  <si>
    <t>Fee &amp; Charges --&gt; FAQ Tab --&gt; 3rd Question</t>
  </si>
  <si>
    <t>The website - sbicard.com  needs to be a hyperlink</t>
  </si>
  <si>
    <t>https://www.loom.com/i/a9762e19f4bd4824a8063ae8b612c1bb</t>
  </si>
  <si>
    <t>UAT_CR_071</t>
  </si>
  <si>
    <t>Fee &amp; Charges --&gt; FAQ Tab --&gt; All Questions</t>
  </si>
  <si>
    <t>All Questions need to be in BOLD.</t>
  </si>
  <si>
    <t>https://www.loom.com/i/fde2f788187443c4a0600daf15ad9cf9</t>
  </si>
  <si>
    <t>UAT_CR_072</t>
  </si>
  <si>
    <t>Other Features --&gt; Contactless Advantages --&gt; Secure Transactions</t>
  </si>
  <si>
    <t>"payWave's" needs to be removed. It is already strike through in the content file. Only "PayWave's" should be present.</t>
  </si>
  <si>
    <t>https://www.loom.com/i/c4a23fb0fdee42179d397ca793533cee</t>
  </si>
  <si>
    <t>UAT_CR_073</t>
  </si>
  <si>
    <t>Other Features --&gt; Contactless Advantages --&gt; Add on Cards</t>
  </si>
  <si>
    <t>Space missing after "Add on cards" hyperlink</t>
  </si>
  <si>
    <t>https://www.loom.com/i/988a5f6fbaf54744b230271afe75e708</t>
  </si>
  <si>
    <t>UAT_CR_074</t>
  </si>
  <si>
    <t>Key Benefits --&gt; 1st Benefit --&gt; "Welcome e- Gift Voucher worth  Rs. 5,000"</t>
  </si>
  <si>
    <t>The "e Gift voucher" needs to be in BOLD</t>
  </si>
  <si>
    <t>https://www.loom.com/i/4da57fcd0f1948c88d51843748a76ad8</t>
  </si>
  <si>
    <t>https://www.loom.com/i/171eb1dae3e740e5b23d983a98eeefe0</t>
  </si>
  <si>
    <t>Neha</t>
  </si>
  <si>
    <t>Blocked</t>
  </si>
  <si>
    <t>Right now page is not opening</t>
  </si>
  <si>
    <t>09/02/2026 - As the word "E-gift" voucher is not bold in the final content file, therefore closing this issue.
23/01/2026 - As per Namita ma'am, content is constantly getting changed therefore need to keep all the content related issues aside. Hence kept on hold.</t>
  </si>
  <si>
    <t>UAT_CR_075</t>
  </si>
  <si>
    <t>Exclusive Privileges --&gt; Lounge Benefits</t>
  </si>
  <si>
    <t>"Click here for detailed Terms &amp; Conditions" is missing.</t>
  </si>
  <si>
    <t>https://www.loom.com/i/78ace2db7b7d49058e26f5eafc36e2b4</t>
  </si>
  <si>
    <t>UAT_CR_076</t>
  </si>
  <si>
    <t>Explore Rewards --&gt; Exclusive Rewards --&gt; Bullet points</t>
  </si>
  <si>
    <t>1st &amp; 2nd Bullet points do not exactly match with the content file and the 3rd bullet point is missing.</t>
  </si>
  <si>
    <t>https://www.loom.com/i/84232708c662410da49a54c90a39d8e1</t>
  </si>
  <si>
    <t>UAT_CR_077</t>
  </si>
  <si>
    <t>Explore Rewards --&gt; Milestone Benefits --&gt; Bullet points</t>
  </si>
  <si>
    <t>Each "lakh" word needs to be capitalized. "Get" word is missing from the 2nd bullet point.</t>
  </si>
  <si>
    <t>https://www.loom.com/i/8f30c6c2f1e348c0a5101f3169d66d8b</t>
  </si>
  <si>
    <t>UAT_CR_078</t>
  </si>
  <si>
    <t>https://www.loom.com/i/e194faec69e54db98f0e4fe45f09d9e1</t>
  </si>
  <si>
    <t>UAT_CR_079</t>
  </si>
  <si>
    <t>https://www.loom.com/i/02a7f225684d49be9d124b552a9c70ef</t>
  </si>
  <si>
    <t>UAT_CR_080</t>
  </si>
  <si>
    <t>The Section image is incorrect SBI Pulse Card being a lifestyle without golden theme card.</t>
  </si>
  <si>
    <t>https://www.loom.com/i/186913c3d91343eaa9bb68e179035606</t>
  </si>
  <si>
    <t>UAT_CR_081</t>
  </si>
  <si>
    <t>Exclusive Privileges --&gt; Mobile View --&gt; Health Benefits, Exclusive Benefits, Comprehensive Insurance Cover, Lounge Benefits</t>
  </si>
  <si>
    <t>When in mobile view, the More button is missing for the mentioned privileges in order for the user to view all the benefit points of each privilage in mobile view as well. Even if the more button is present, it only shows 1 more benefit instead of showing all of the pending ones.</t>
  </si>
  <si>
    <t>https://www.loom.com/i/d6e4b711059f43abb2f03112444b1d56</t>
  </si>
  <si>
    <t>UAT_CR_082</t>
  </si>
  <si>
    <t>UAT_CR_083</t>
  </si>
  <si>
    <t>https://www.loom.com/i/28342108ca4e48509060eaa0073aa7f6</t>
  </si>
  <si>
    <t>18/02/2026 - The issue is resolved on devsit1 - https://loom.com/i/2c74f8aa488643bb8e32fc6bbf2b32f1
13/02/2026 - The issue is resolved on HTML v50 -1 - https://loom.com/i/a10b1293cc784354bbe5ad7da9b99cf6
10/02/2026 - This is a template level fix and its original bug ID is - UAT_CR_057.</t>
  </si>
  <si>
    <t>UAT_CR_084</t>
  </si>
  <si>
    <t>https://www.loom.com/i/10256f5deb5348ba9abee2dce1c248af</t>
  </si>
  <si>
    <t>https://www.loom.com/i/720e59e66e2d4e769ee120f618f5e5bc</t>
  </si>
  <si>
    <t>UAT_CR_085</t>
  </si>
  <si>
    <t>Explore Rewards --&gt; Selected Tab style</t>
  </si>
  <si>
    <t>The select tab's style mis matches with the page theme.</t>
  </si>
  <si>
    <t>https://www.loom.com/i/3b931b287f0a475cb2fea121222f347c</t>
  </si>
  <si>
    <t>https://www.loom.com/i/f45c4539ac73491ea847c085226913bd</t>
  </si>
  <si>
    <t>23/02/2026 - The issue is resolved on devsit1 - https://loom.com/i/8b1b60b279854c4fa1e07914675c8c52
23/02/2026 - As discussed with Bharat regarding the tab font colour remaining megenta even in case of dark mode where as all title font colour switch to blue. Bharat says, as there was no guidelines on how the tab colour should be in case of dark &amp; light mode therefore it cannot be considered as bug but as an enhancement and he will be fixing and sending in the next css change but for now need to close this issue by informing Arun sir.
13/02/2026 - The issue is resolved in case of light mode but when switched to dark mode, the tabs do not change their colour to be consistent with the title font colours.</t>
  </si>
  <si>
    <t>UAT_CR_086</t>
  </si>
  <si>
    <t>Explore Rewards &amp; Other Features Section heading</t>
  </si>
  <si>
    <t>Both the section heading need to have blue font colour instead of white</t>
  </si>
  <si>
    <t>https://www.loom.com/i/a7c6f50f777b4d1996f7ba7c3c09a295</t>
  </si>
  <si>
    <t>https://www.loom.com/i/140bb9a345d442d985e7d9341272f455</t>
  </si>
  <si>
    <t>UAT_CR_087</t>
  </si>
  <si>
    <t>Both the section heading need to have the theme's font colour instead of white</t>
  </si>
  <si>
    <t>https://www.loom.com/i/ff2c777cc2884375bb0ec217aa9073b8</t>
  </si>
  <si>
    <t>https://www.loom.com/i/a891fe7a9e0f433385a3b206e199048f</t>
  </si>
  <si>
    <t>Not able to reproduce, previously page is not opening</t>
  </si>
  <si>
    <t>05/02/2026 - A consolidated bug already logged in the product details page therefore closing this one.
23/01/2026 - The issue still persists - https://loom.com/i/a3075df15f9d4e999f959271cd10d7ec</t>
  </si>
  <si>
    <t>UAT_CR_088</t>
  </si>
  <si>
    <t>Other Features --&gt; Contactless Advantages --&gt; First 3 Points</t>
  </si>
  <si>
    <t>The text before colon - "Tap &amp; Pay with Ease", "Fast &amp; Convenient", "Secure Transactions" for each bullet point needs to be BOLD</t>
  </si>
  <si>
    <t>https://www.loom.com/i/69b996d333de4cf5ae7e17dcc50ccfed</t>
  </si>
  <si>
    <t>UAT_CR_089</t>
  </si>
  <si>
    <t>Other Features --&gt; All The drop downs</t>
  </si>
  <si>
    <t>The text content colour needs to be white instead of grey</t>
  </si>
  <si>
    <t>https://www.loom.com/i/488773225307469d9f5bd5ad9e488d12</t>
  </si>
  <si>
    <t>18/02/2026 - The issues was already resolved as per the remark below.
10/02/2026 - As discussed with Namita ma'am on HTML bug priority call, this needs to be ignored. Hence marking it as resolved.</t>
  </si>
  <si>
    <t>UAT_CR_090</t>
  </si>
  <si>
    <t>Side Bar Menu --&gt; Credit Card Image</t>
  </si>
  <si>
    <t>The Credit Card image is smaller than required.</t>
  </si>
  <si>
    <t>https://www.loom.com/i/66d3d7195165409bb57ee15317a398bd</t>
  </si>
  <si>
    <t>https://www.loom.com/i/765cdf18065c4f79952e27faace01896</t>
  </si>
  <si>
    <t>18/02/2026 - The issue is resolved on devsit1 - https://loom.com/i/0975a587e36c4cf7920c41728b71bc5c</t>
  </si>
  <si>
    <t>UAT_CR_091</t>
  </si>
  <si>
    <t>Exclusive Privileges--&gt; Mobile Devices --&gt; Image</t>
  </si>
  <si>
    <t>The image used in case of mobile devices is incorrect SBI Card Miles being a Travel &amp; Fuel Card.</t>
  </si>
  <si>
    <t>https://www.loom.com/i/0e4cc9810f7e419dbd07366a8ce83139</t>
  </si>
  <si>
    <t>https://www.loom.com/i/f2d596f994274beeb2eccce42b446358</t>
  </si>
  <si>
    <t>UAT_CR_092</t>
  </si>
  <si>
    <t>Side Bar Menu --&gt; Best For --&gt; Milestone Benefits, Travel Privileges</t>
  </si>
  <si>
    <t>The word "Milestone" &amp; Privileges" being upto or more than 9 alphabets gets truncated with 3 dots at the end especially when user increases the font size.</t>
  </si>
  <si>
    <t>https://www.loom.com/i/895040f7df834440ac46b16d18d50a40</t>
  </si>
  <si>
    <t>23/01/2026 - The issue still persists - https://loom.com/i/fc4c6e12984d4e8d925e3f77ca1d4d33</t>
  </si>
  <si>
    <t>UAT_CR_093</t>
  </si>
  <si>
    <t>After the card gets flipped, the card title &amp; content doesn't maintain the margin gap from the ight side. Check the screenshot for better understanding.</t>
  </si>
  <si>
    <t>https://www.loom.com/i/027749196e1d42758399265f252c547c</t>
  </si>
  <si>
    <t>23/02/2026 - Now the padding from the right side is more than required. This is because of both the child and the parent container having padding 
13/02/2026 - The issue is resolved on HTML v50 - 1
28/01/2026 - As the issue also persists in the HTML benchmark version 50 therefore changing the defect type of this from "Padding" to "HTML/CSS"
23/01/2026 - The issue still persists - https://loom.com/i/fc4c6e12984d4e8d925e3f77ca1d4d33</t>
  </si>
  <si>
    <t>UAT_CR_094</t>
  </si>
  <si>
    <t>Exclusive Privileges --&gt; Mobile View --&gt; Miles Rewards, Milestone Benefits, International Travel Privileges</t>
  </si>
  <si>
    <t>https://www.loom.com/i/9c0afc60c04e42f686e4b4296a7c629d</t>
  </si>
  <si>
    <t>UAT_CR_095</t>
  </si>
  <si>
    <t>Fee &amp; Charges --&gt; FAQs --&gt; 2nd Question --&gt; Answer</t>
  </si>
  <si>
    <t>The 2nd Question's answer sentences do not exactly match with the content file.</t>
  </si>
  <si>
    <t>https://www.loom.com/i/58ce17e5c5634a01a3f33c8f2458b32d</t>
  </si>
  <si>
    <t>27/02/2026 - The issue is resolved on sbi-pvt
23/01/2026 - As per Namita ma'am, content is constantly getting changed therefore need to keep all the content related issues aside. Hence kept on hold.</t>
  </si>
  <si>
    <t>UAT_CR_096</t>
  </si>
  <si>
    <t>Other Featues --&gt; Contactless Advantages --&gt; 4th &amp; 5th Bullet Points</t>
  </si>
  <si>
    <t>Thr 4th &amp; 5th bullet points do not exactly match with the content file.</t>
  </si>
  <si>
    <t>https://www.loom.com/i/768f68a2a3e541dda516e76c1b252a6f</t>
  </si>
  <si>
    <t>UAT_CR_097</t>
  </si>
  <si>
    <t>Other Benefits --&gt; Flexipay --&gt; 3rd Bullet Point</t>
  </si>
  <si>
    <t>Greater than symbol needs to be removed before the hyperlink "Click Here"</t>
  </si>
  <si>
    <t>https://www.loom.com/i/8f73853fe391447da211aa06b40c5b63</t>
  </si>
  <si>
    <t>UAT_CR_098</t>
  </si>
  <si>
    <t>Explore Rewards --&gt; Milestone Rewards--&gt; Reward benefit Bar &amp; Reward Points text on the image</t>
  </si>
  <si>
    <t>https://www.loom.com/i/a6fbdf3079be4a85a69cf548da72a9b6</t>
  </si>
  <si>
    <t>https://www.loom.com/i/bc571ad8c48049969ce3727872008d0d</t>
  </si>
  <si>
    <t>Animation is old design</t>
  </si>
  <si>
    <t>23/01/2026 - The Bar and rewards instead of appearing on milestone benefits tab, it appears in miles rewards tab. https://loom.com/i/0b9afcdc98bf4b668da57d44d33e9141</t>
  </si>
  <si>
    <t>UAT_CR_099</t>
  </si>
  <si>
    <t>Exclusive Privileges --&gt; Mobile View --&gt; Image</t>
  </si>
  <si>
    <t>The image used is incorrect Tata Neu Plus SBI Card being a lifestyle and a non golden theme card.</t>
  </si>
  <si>
    <t>https://www.loom.com/i/c071618b6c194e12954efb2e27ec5fd4</t>
  </si>
  <si>
    <t>UAT_CR_100</t>
  </si>
  <si>
    <t>Side Bar menu --&gt; iPads / Tablets --&gt;  Best For --&gt; Welcome Benefits</t>
  </si>
  <si>
    <t>In case of iPads / Tablets, the word "Welcome" gets truncated with 3 dots at the end if the font is increased to large size.</t>
  </si>
  <si>
    <t>https://www.loom.com/i/92cdbf228c704508b3087dd03be95e37</t>
  </si>
  <si>
    <t>The issue still persists</t>
  </si>
  <si>
    <t>UAT_CR_101</t>
  </si>
  <si>
    <t>Exclusive Privileges --&gt; Welcome Gifts --&gt; 1st Bullet point.</t>
  </si>
  <si>
    <t>It should be "Re." instead of "Rse."</t>
  </si>
  <si>
    <t>https://www.loom.com/i/2d2ab5473bbe44468f0fb97f55508675</t>
  </si>
  <si>
    <t>09/02/2026 - The bug is fixed and no longer occuring hence closing.
23/02/2026 - As per Namita ma'am, content is constantly getting changed therefore need to keep all the content related issues aside which includes icons as well according to Arun sir. Hence kept on hold.</t>
  </si>
  <si>
    <t>UAT_CR_102</t>
  </si>
  <si>
    <t>Exclusive Privileges --&gt; Domestic Lounge Benefits --&gt; 2nd bullet point</t>
  </si>
  <si>
    <t>The 2nd bullet point - "click here to know about participating Domestic Lounges" is missing.</t>
  </si>
  <si>
    <t>https://www.loom.com/i/fb9b9a313f1d414c90dfa305523173b3</t>
  </si>
  <si>
    <t>UAT_CR_103</t>
  </si>
  <si>
    <t>Exclusive Privileges --&gt; Mobile View --&gt; Reward Benefits, Domestic Lounge Benefits</t>
  </si>
  <si>
    <t>https://www.loom.com/i/423b690b37c54c0d90a7f7940b6b1a0b</t>
  </si>
  <si>
    <t>UAT_CR_104</t>
  </si>
  <si>
    <t xml:space="preserve">Fees &amp; Charges --&gt; Fees &amp; Charges --&gt; Fees --&gt; 3rd Bullet Point </t>
  </si>
  <si>
    <t>The word "Card" is missing in the 3rd Bullet point.</t>
  </si>
  <si>
    <t>https://www.loom.com/i/9745b5dd0ad142b49bcd4c6b7b19a7db</t>
  </si>
  <si>
    <t>UAT_CR_105</t>
  </si>
  <si>
    <t>https://www.loom.com/i/cd725397177048f99d405496d52a201e</t>
  </si>
  <si>
    <t>UAT_CR_106</t>
  </si>
  <si>
    <t>Other Features --&gt; Contactless Advantages --&gt; 1st, 2nd &amp; 3rd Bullet points</t>
  </si>
  <si>
    <t>For each bullet point, the words before the colon ":" -  "Tap &amp; Pay with Ease" , "Fast &amp; Convenient", "Secure Transactions" need to be bold as per the content file.</t>
  </si>
  <si>
    <t>https://www.loom.com/i/86465d42ed5a467f8dd0093e85682842</t>
  </si>
  <si>
    <t>UAT_CR_107</t>
  </si>
  <si>
    <t>iPads / Tablets --&gt; Other Features --&gt; Contactless Advantages --&gt; Open the drop down</t>
  </si>
  <si>
    <t>In case of iPads / Tablets, the right side text gets overlapped by the section image present on the right. This is esepecially evident in case of large font.</t>
  </si>
  <si>
    <t>https://www.loom.com/i/a067b5ad1abc43a495284afbba1030b8</t>
  </si>
  <si>
    <t>27/02/2026 - The issue is resolved on sbi-pvt - https://loom.com/i/6af959763c9343b6b7491f4ec64d141c
26/02/2026 - This issue is to be checked by Sampreet as soon as the latest assests file is received from the designer
25/02/2026 - The issue is resolved on devsit1 but as it is a creatives bug and not UI, therefore can only close once this gets closed on PVT
24/02/2026 - The issue is not resolved on devsit1 - https://loom.com/i/28c847a358974269ab8723e6723c10f7
13/02/2026 - The issue still not resolved on HTML v50 - 1 https://loom.com/i/0578408f381643b59df0666e26d9ac4e
23/01/2026 - The issue still persists - https://loom.com/i/c0c0de439acb405db7b785901b8416e7</t>
  </si>
  <si>
    <t>UAT_CR_108</t>
  </si>
  <si>
    <t>https://www.loom.com/i/6abda8072cd44360a947508f23bedaa0</t>
  </si>
  <si>
    <t>Duplicate of 94</t>
  </si>
  <si>
    <t>25/02/2026 - As a consolidated bug regarding all rewards category is already logged and open - UAT_CR_288 therefore closing this issue.
24/02/2026 - The issue is not resolved on devsit1 - https://loom.com/i/179b1c3877e34f5997009fabf71232b8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https://loom.com/i/5d372962fd8b4c01ba1f4547a18100f8</t>
  </si>
  <si>
    <t>UAT_CR_109</t>
  </si>
  <si>
    <t>Exclusive Privileges --&gt; Welcome Gifts --&gt; 1st &amp; 4th Bullet point.</t>
  </si>
  <si>
    <t>https://www.loom.com/i/a491a83c1ae14ab59f6b918340b90c27</t>
  </si>
  <si>
    <t>UAT_CR_110</t>
  </si>
  <si>
    <t>Exclusive Privileges --&gt; Internationa Lounge Benefits --&gt;Flip the card</t>
  </si>
  <si>
    <t>After the card gets flipped, the card title doesn't maintain the margin gap from the left side. Check the screenshot for better understanding.</t>
  </si>
  <si>
    <t>https://www.loom.com/i/ceca21fbd74a4aa081dce1a41b1a28e4</t>
  </si>
  <si>
    <t>17/02/2026 - Fixed on devsit1
Duplicate of 94</t>
  </si>
  <si>
    <t>17/02/2026 - Issue resolved on devsit1 - https://loom.com/i/bf5b17999ae445d9acaf67ebfd563cd0</t>
  </si>
  <si>
    <t>UAT_CR_111</t>
  </si>
  <si>
    <t>Exclusive Privileges --&gt; Reward Benefits --&gt; Icon</t>
  </si>
  <si>
    <t>The reward benefits icon in the exclusive privileges slide doesn't exactly match with the icon in the content file.</t>
  </si>
  <si>
    <t>https://www.loom.com/i/1e6139f1c6f44567ba9ecb11061be441</t>
  </si>
  <si>
    <t>27/02/2026 - The issue is being marked as resolved because as discussed with Namita ma'am and Neha Laddha ma'am on UAT discussion call, this icon needs to be uniform on all pages and in some pages content file, ribbon with star is used and in some normal star therefore we've decided to go with normal star as it is in the icon library.
23/01/2026 - As per Namita ma'am, content is constantly getting changed therefore need to keep all the content related issues aside which includes icons as well according to Arun sir. Hence kept on hold.</t>
  </si>
  <si>
    <t>UAT_CR_112</t>
  </si>
  <si>
    <t>Exclusive Privileges --&gt; Mobile View --&gt; Reward Benefits, International Lounge Benefits</t>
  </si>
  <si>
    <t>https://www.loom.com/i/53df38ff0bf84a9fbf40df54b261ee59</t>
  </si>
  <si>
    <t>UAT_CR_113</t>
  </si>
  <si>
    <t>https://www.loom.com/i/e4b0c1aac4af40ce95a976145b0110bf</t>
  </si>
  <si>
    <t>UAT_CR_114</t>
  </si>
  <si>
    <t>Other Features --&gt; Add on Cards --&gt; Bullet Points</t>
  </si>
  <si>
    <t>https://www.loom.com/i/ada493958fcc40b9a2d24b636cde3bc7</t>
  </si>
  <si>
    <t>27/02/2026 - The issue is resolved on sbi-pvt
As per Namita ma'am, content is constantly getting changed therefore need to keep all the content related issues aside. Hence kept on hold.</t>
  </si>
  <si>
    <t>UAT_CR_115</t>
  </si>
  <si>
    <t>iPads / Tablets --&gt; Other Features --&gt; Flexipay EMI --&gt; Open the drop down</t>
  </si>
  <si>
    <t>https://www.loom.com/i/1c8af9de03e84293bb37bb83b5cbfd7d</t>
  </si>
  <si>
    <t>27/02/2026 - The issue is resolved on sbi-pvt - https://loom.com/i/704ba53179034db59d2ac1c7ab291216
25/02/2026 - The issue is resolved on devsit1 but as it is a creatives bug and not UI, therefore can only close once this gets closed on PVT
24/02/2026 - The issue is not resolved on devsit1 - https://loom.com/i/97aca9187345464f8123a832957b1884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https://loom.com/i/a32d00c2faac460ba39024ad0d93ea71</t>
  </si>
  <si>
    <t>UAT_CR_116</t>
  </si>
  <si>
    <t>Gradiance effect remains missing the way image is set in the container. In the design, the image starts with purple colour gradiance from the top right and then goes to green and blue.Similarly, transition to orange colour gradiance is missing at the bottom left.</t>
  </si>
  <si>
    <t>https://www.loom.com/i/3f0913cb8efb4be59d2e46a1d0066c52</t>
  </si>
  <si>
    <t>https://www.loom.com/i/f200b28b7b124eb5922ceba7cd80eb06</t>
  </si>
  <si>
    <t>10/02/2026 - As discussed with Namita ma'am on HTML bug priority call, this needs to be ignored. Hence marking it as resolved.</t>
  </si>
  <si>
    <t>UAT_CR_117</t>
  </si>
  <si>
    <t>The credit card image size is smaller than required. Check the acutal vs expected result screenshto</t>
  </si>
  <si>
    <t>https://www.loom.com/i/01f32dd3e9b14ab1af20b4b2e88eed40</t>
  </si>
  <si>
    <t>https://www.loom.com/i/cd7a50c9e6274c98b39235e6bad14b53</t>
  </si>
  <si>
    <t>UAT_CR_118</t>
  </si>
  <si>
    <t>Side Bar Menu --&gt; Best For --&gt; Milestone Privileges, Prime Rewards</t>
  </si>
  <si>
    <t>Word "Milestone" &amp; "Privileges" being  9 alphabets get truncated with 3 dots at the end. Also, the word "Rewards" especially  in case user increase the font size.</t>
  </si>
  <si>
    <t>https://www.loom.com/i/cf32ad38036347009d04977c63ad22b6</t>
  </si>
  <si>
    <t>28/01/2025</t>
  </si>
  <si>
    <t>UAT_CR_119</t>
  </si>
  <si>
    <t>Exclusive Privileges --&gt; Lounge Benefits --&gt;Flip the card</t>
  </si>
  <si>
    <t>After the card gets flipped, the card content doesn't maintain the margin gap from the left side. Check the screenshot for better understanding.</t>
  </si>
  <si>
    <t>https://www.loom.com/i/5f32e936c493457798dfcf2655ba5055</t>
  </si>
  <si>
    <t>23/02/2026  - Fixed on devsit1
17/02/2026 - Fixed on devsit1
Duplicate of 94</t>
  </si>
  <si>
    <t>23/02/2026 - Now the padding from the left side is more than required. This is because of both the child and the parent container having padding -  https://www.loom.com/i/452e49177198420aa62e7f6518adf73e
Fix for this has been provided
17/02/2026 - Now the content (bullet points) have more than required padding from the right hand side - https://www.loom.com/i/38f8a499cdda47cd9d5d7785e177c28b</t>
  </si>
  <si>
    <t>UAT_CR_120</t>
  </si>
  <si>
    <t>Line Separator Style</t>
  </si>
  <si>
    <t>Other Features --&gt; Line separator below each drop down</t>
  </si>
  <si>
    <t>The line separator colour needs to be "#5879AD" or "#FFFFFF"  as per the design instead of being grey</t>
  </si>
  <si>
    <t>https://www.loom.com/i/78c611a8911843b2b0f593acf2f17f73</t>
  </si>
  <si>
    <t>https://www.loom.com/i/8c2de6591ba94ebfa5ba89e22b5ff37c</t>
  </si>
  <si>
    <t>18/02/2026 - The issue is resolved on devsit1 - https://loom.com/i/b9c4a96d9cc544ba8238ffa5195f1acb
13/02/2026 - The issue is resolved on HTML v50 - 1 https://loom.com/i/0d6f1aa19f8f4febb2c55e9d976d4def</t>
  </si>
  <si>
    <t>UAT_CR_121</t>
  </si>
  <si>
    <t>The selected tab font &amp; bar colour is blue instead of being white as per the design</t>
  </si>
  <si>
    <t>https://www.loom.com/i/591368931db54b4ea1d72e39cc63a462</t>
  </si>
  <si>
    <t>https://www.loom.com/i/9bc0939ab0224e4aa85e6d90a724a680</t>
  </si>
  <si>
    <t>23/02/2026 - The issue is resolved on devsit1 - https://loom.com/i/78fc9eb1567b43bf91679f006c8eba80
13/02/2026 - The issue is resolved on HTML v50 - 1</t>
  </si>
  <si>
    <t>UAT_CR_122</t>
  </si>
  <si>
    <t>Exclusive Privileges --&gt; Mobile View --&gt; Slider --&gt; Check the side that has only 1 or 2 Benefit Categories</t>
  </si>
  <si>
    <t>In case the Exclusive privilage slide only has 1 or 2 benefit category instead of 3 then there needs to be a placeholder image which is missing. Check the actual vs expected result screenshots.</t>
  </si>
  <si>
    <t>https://www.loom.com/i/5b4fe79b5bf541808f0667f1cdd41804</t>
  </si>
  <si>
    <t>https://www.loom.com/i/0390a2ff0ea741a0b1d84a9e3a6946be</t>
  </si>
  <si>
    <t>18/02/2026 - This issue is already resolved as mentioned in the remark below.
28/01/2026 - The issue no longer found on the randomly tested pages. If start to appear again or found on any of the page, will log a separate issue mentioning the page.
23/01/2026 - The issue still persists - - https://www.loom.com/i/8bd6fa539d1a424bb09a2dad32ffec06</t>
  </si>
  <si>
    <t>UAT_CR_123</t>
  </si>
  <si>
    <t>https://www.loom.com/i/be1df9149d1944fcbf4d28a31dcbc05f</t>
  </si>
  <si>
    <t>https://www.loom.com/i/5f1af53178d94058a9f5439211449e02</t>
  </si>
  <si>
    <t>Duplicate of 99</t>
  </si>
  <si>
    <t>23/01/2026 - Instead of the bar and benefits appearing in the "Milestone Benefits" tab, it appears in the "Prime Benefits" tab - https://loom.com/i/0da4f9a6ea16478494ea89b6bfcfc3e9</t>
  </si>
  <si>
    <t>UAT_CR_124</t>
  </si>
  <si>
    <t>Terms &amp; Documents --&gt; Each Tab --&gt; Label --&gt; Font Family</t>
  </si>
  <si>
    <t>The font family of each tab label's font is "Sans - Serif" instead of "Roboto". Check the actual vs expected result or the design.</t>
  </si>
  <si>
    <t>https://www.loom.com/i/852576844ace429a9f7cddd586c28399</t>
  </si>
  <si>
    <t>https://www.loom.com/i/7dd4bfc778764b6da8299667b205c844</t>
  </si>
  <si>
    <t>23/02/2026 - Issue due to chat bot class
16/02/2026 - Fixed on devsit1
Issue due to chat bot class - main.css 6 file</t>
  </si>
  <si>
    <t xml:space="preserve">11/03/2026 - The issue is resolved on devsit1 for all pages- https://www.loom.com/share/e8ff311bedaf4dfc86349dac5f3a83ce
 Will close this issue once it gets resolved on sbi-pvt
24/02/2026 - The issue is yet to be resolved and is with the chat bot team (SBI)
17/02/2026 - Issue is marked as fixed on devsit1 but is still not resolved on devsit1 - https://loom.com/i/53bf4536a6c44812bcce36cd8f4ad24d
28/01/2026 - The issues cannot be found on HTML Benchmark version
23/01/2026 - The issue still persists </t>
  </si>
  <si>
    <t>UAT_CR_125</t>
  </si>
  <si>
    <t>Slider Dot Style</t>
  </si>
  <si>
    <t>Product Videos section &amp; Exclusive Privileges Section --&gt; Slider dots --&gt; Compare them with "Similar Card" section slider dots</t>
  </si>
  <si>
    <t>Different slider dot styles are being followed - "Similar Cards" section slider style matches the design but the "Product Video" &amp; "Exclusive Privileges" section slider follow different style.</t>
  </si>
  <si>
    <t>https://www.loom.com/i/6b8d517755384ec38998d241287a29e5</t>
  </si>
  <si>
    <t>18/02/2026 - The issue is resolved on devsit1 - https://loom.com/i/85920992642541949725062c8a81c1bc
13/02/2026 - The issue is resolved on HTML v50 - 1
10/02/2026 - The slider dots need to be the same style as what we have given for the home page as discussed with Namita ma'am</t>
  </si>
  <si>
    <t>UAT_CR_126</t>
  </si>
  <si>
    <t>https://www.loom.com/i/fe10ba9a329b48c7abb0c76a46a0a3cc</t>
  </si>
  <si>
    <t>https://www.loom.com/i/f5de89629419411eb34428fabef2576d</t>
  </si>
  <si>
    <t>Shivani</t>
  </si>
  <si>
    <t>27/02/2026 - The latest content file doesn't indicate that these words need to be bold. Therefore bug is no longer valid..
23/01/2026 - The issue still persists</t>
  </si>
  <si>
    <t>UAT_CR_127</t>
  </si>
  <si>
    <t>Exclusive Privileges --&gt; Lounge Benefits --&gt; 2nd Bullet Point</t>
  </si>
  <si>
    <t>We can have space before and after each slash "/" for better separation of links in order to improve readability</t>
  </si>
  <si>
    <t>https://www.loom.com/i/04dae9aa4a6747e7b73c3d2f6e9dab2e</t>
  </si>
  <si>
    <t>UAT_CR_128</t>
  </si>
  <si>
    <t>Exclusive Privileges --&gt; Birthday Benefits --&gt; 1st  Bullet Point</t>
  </si>
  <si>
    <t>Bracket is not closed at the end of the first bullet point.</t>
  </si>
  <si>
    <t>https://www.loom.com/i/ac98c95f5d8d4a298eb40a63f3344220</t>
  </si>
  <si>
    <t>UAT_CR_129</t>
  </si>
  <si>
    <t>Exclusive Privileges --&gt; ITC Silver Tier membership --&gt; Icon</t>
  </si>
  <si>
    <t>The icon doesn't match with the icon present in the content file.</t>
  </si>
  <si>
    <t>https://www.loom.com/i/efbb3d2a725b4935a5a8a5636d99263a</t>
  </si>
  <si>
    <t>27/02/2026 - As there is no icon for this in the icon library, taking into reference the icon used in the latest content file for this card and based on that, this bug needs to be "Open"
23/01/2026 - As per Namita ma'am, content is constantly getting changed therefore need to keep all the content related issues aside which includes icons as well according to Arun sir. Hence kept on hold.</t>
  </si>
  <si>
    <t>UAT_CR_130</t>
  </si>
  <si>
    <t>Network Privileges --&gt; Amex --&gt; 2nd Bullet Point</t>
  </si>
  <si>
    <t>Instead of only "Click Here" being the Hyperlink, the entire bullet point is highlighted as a hyperlink.</t>
  </si>
  <si>
    <t>https://www.loom.com/i/30a71894eac245d196925ecf0562940f</t>
  </si>
  <si>
    <t>UAT_CR_131</t>
  </si>
  <si>
    <t>Network Privileges --&gt; Tabs - Mastercard &amp; American Express</t>
  </si>
  <si>
    <t>Tab headings need to be corrected. "Master Card" needs to be "Mastercard" and "AmEx" needs to be "American Express" as it is in the content file</t>
  </si>
  <si>
    <t>https://www.loom.com/i/a522df5259494f21b820f6390d7b54e3</t>
  </si>
  <si>
    <t>UAT_CR_132</t>
  </si>
  <si>
    <t>https://www.loom.com/i/c5383f90888940769a0fa0c8656c4e17</t>
  </si>
  <si>
    <t>UAT_CR_133</t>
  </si>
  <si>
    <t>Fees &amp; Charges --&gt; FAQ --&gt; 1st Question --&gt; Answer</t>
  </si>
  <si>
    <t>Instead of Rs. 2,999 + taxes, it is written Rs. 4,999 + taxes</t>
  </si>
  <si>
    <t>https://www.loom.com/i/34aff10bd4764f8a8aedb0b3cfbd8270</t>
  </si>
  <si>
    <t>UAT_CR_134</t>
  </si>
  <si>
    <t>https://www.loom.com/i/866c65de27024845b02593f3f052b888</t>
  </si>
  <si>
    <t>UAT_CR_135</t>
  </si>
  <si>
    <t>Gridline Color</t>
  </si>
  <si>
    <t>Key Benefits --&gt; Mobile View --&gt; Vertical Gridline of the container</t>
  </si>
  <si>
    <t>The vertical gridline has different colour than the borders of the container.</t>
  </si>
  <si>
    <t>https://www.loom.com/i/5550a13345fd409a89583e09d4d792a7</t>
  </si>
  <si>
    <t>18/02/2026 - The issue is resolved on devsit1 - https://loom.com/i/bb6cb6401099489d84bac28a1f4ede65
13/02/2026 - Issue is resolved on HTML v50 - 1 https://loom.com/i/a609a0b6b18f4331a786a560dde0240c</t>
  </si>
  <si>
    <t>UAT_CR_136</t>
  </si>
  <si>
    <t>The border before the slider dots is not required and the padding needs to be reduced from the bottom at least to match with the design.</t>
  </si>
  <si>
    <t>https://www.loom.com/i/992fc605aa8147a1b0178bc0343ac523</t>
  </si>
  <si>
    <t>https://www.loom.com/i/8a6c51c0e64340139990907fc2f8dfe1</t>
  </si>
  <si>
    <t>17/02/2026 - Issue resolved on devsit1 - https://loom.com/i/ae1fd14d05f34d7592f0e6ce2beaeca6</t>
  </si>
  <si>
    <t>UAT_CR_137</t>
  </si>
  <si>
    <t>Exclusive Privileges --&gt; Mobile View --&gt; Prime Rewards, Milestone Benefits, Lounge Access</t>
  </si>
  <si>
    <t>https://www.loom.com/i/22362980bd4e475e89be0dc68f9a40df</t>
  </si>
  <si>
    <t>UAT_CR_138</t>
  </si>
  <si>
    <t>Terms &amp; Documents section --&gt; All 4 Tabs --&gt; Compare them in desktop and then in mobile view</t>
  </si>
  <si>
    <t>Tab style differs in case of Desktop/tablet and in case of mobile</t>
  </si>
  <si>
    <t>https://www.loom.com/i/bbdb613ef75e4c1ab2001b48d438de85</t>
  </si>
  <si>
    <t>As per the Developers, this style change is intentional</t>
  </si>
  <si>
    <t>UAT_CR_139</t>
  </si>
  <si>
    <t>Side Bar Menu --&gt; Card Image</t>
  </si>
  <si>
    <t>The card image is no longer appearing.</t>
  </si>
  <si>
    <t>https://www.loom.com/i/90ed0efe953c482ebd83b5a305973fba</t>
  </si>
  <si>
    <t>UAT_CR_140</t>
  </si>
  <si>
    <t>20/01/2026</t>
  </si>
  <si>
    <t>Doctor's SBI Card (In Association with IMA)</t>
  </si>
  <si>
    <t>The image used is incorrect for the being a lifestyle and a non golden theme card.</t>
  </si>
  <si>
    <t>https://www.loom.com/i/2b6f26284e8c455a872eaf0207c392f5</t>
  </si>
  <si>
    <t>UAT_CR_141</t>
  </si>
  <si>
    <t>https://www.loom.com/i/69be1737972d46b8be0366e50312a5eb</t>
  </si>
  <si>
    <t>UAT_CR_142</t>
  </si>
  <si>
    <t>Side Bar Menu --&gt; Best For --&gt; "Professional Indemnity Insurance", "Milestone Benefits"</t>
  </si>
  <si>
    <t>Words "Professional Indemnity Insurance", "Milestone Benefits" being  9 alphabets get truncated with 3 dots at the end especially  in case user increase the font size.</t>
  </si>
  <si>
    <t>https://www.loom.com/i/c2a2609e09364afc9dbb4182ec5783c9</t>
  </si>
  <si>
    <t>To be worked up on by Arun sir</t>
  </si>
  <si>
    <t>23/01/2025</t>
  </si>
  <si>
    <t>28/01/2026 - Check on iPads / Tablets or mid sized desktops (width around 1536px)
23/01/2025 - The issue still persists</t>
  </si>
  <si>
    <t>UAT_CR_143</t>
  </si>
  <si>
    <t>Exclusive Privileges --&gt; Welcome Gifts --&gt; 1st bullet point --&gt; "Yatra.com"</t>
  </si>
  <si>
    <t>"Yatra.com" could have been a hyperlink.</t>
  </si>
  <si>
    <t>https://www.loom.com/i/f274996ae7d944fdafb91b31c1f96f03</t>
  </si>
  <si>
    <t>27/02//2026</t>
  </si>
  <si>
    <t>27/02/2026 - As per the latest content file, the word "Yatra.com" is not a hyperlink, therefore this bug is not valid.
23/01/2026 - As per Namita ma'am, content is constantly getting changed therefore need to keep all the content related issues aside. Hence kept on hold.</t>
  </si>
  <si>
    <t>UAT_CR_144</t>
  </si>
  <si>
    <t>Exclusive Privileges --&gt; Reward Points --&gt; 5th Bullet point</t>
  </si>
  <si>
    <t>"Rs." needs to be "Re." as it is only 1 rupee</t>
  </si>
  <si>
    <t>https://www.loom.com/i/e4a7415f01344450b36b5f2586dcd90f</t>
  </si>
  <si>
    <t>UAT_CR_145</t>
  </si>
  <si>
    <t>Exclusive Privileges --&gt; Milestone Benefits --&gt; 1st Bullet Point</t>
  </si>
  <si>
    <t>"Yatra.com" could be a hyperlink. A space before and after each slash "/" could be inserted for better readability.</t>
  </si>
  <si>
    <t>https://www.loom.com/i/ab0aed8084234f79889c22396a507dfa</t>
  </si>
  <si>
    <t>09/02/2026 - Even if we ignore "yatra.com" to be a hyperlink, a space between each forward slash "/" needs to be inserted as in the final content file for better readability.
23/01/2026 - As per Namita ma'am, content is constantly getting changed therefore need to keep all the content related issues aside. Hence kept on hold.</t>
  </si>
  <si>
    <t>UAT_CR_146</t>
  </si>
  <si>
    <t>Exclusive Privileges --&gt; Mobile View --&gt; Professional Indemnity Insurance, Reward Points, International Lounge Program</t>
  </si>
  <si>
    <t>https://www.loom.com/i/8553c9421ba8405d89f64f913bde88d4</t>
  </si>
  <si>
    <t>UAT_CR_147</t>
  </si>
  <si>
    <t>Exclusive Privileges --&gt; Mobile View --&gt; Slider Dots</t>
  </si>
  <si>
    <t>The gap between the benefit content and the slider dot is noticeably less. Check the actual vs expected screenshots.</t>
  </si>
  <si>
    <t>https://www.loom.com/i/bc3dcaae290746eda1ed21456fd073f0</t>
  </si>
  <si>
    <t>https://www.loom.com/i/ad67688854ea4d52a7081f815d18847a</t>
  </si>
  <si>
    <t>18/02/2026 - The issue is resoled on devsit1 - 
https://loom.com/i/1d794cd70ba74781838bf33199c2d8ce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https://loom.com/i/d305bbb826d04f368b0786e9795e161f
06/02/2026 - Gap above and below the slider dots should be same currently it is very close to the content from above and bottom has extra gap
23/01/2026 - The issue still persists</t>
  </si>
  <si>
    <t>UAT_CR_148</t>
  </si>
  <si>
    <t>Explore Rewards --&gt; Reward Points --&gt; 1st &amp; 2nd Bullet point</t>
  </si>
  <si>
    <t>The word "Get" could be removed from 1st &amp; 2nd bullet point as they are not present in the content file.</t>
  </si>
  <si>
    <t>https://www.loom.com/i/3409d02ac3e24537914e5e01814ce5fd</t>
  </si>
  <si>
    <t>09/02/2026 - As per the final content file, all bullet points match word by word therefore closing this issue.
23/01/2026 - As per Namita ma'am, content is constantly getting changed therefore need to keep all the content related issues aside. Hence kept on hold.</t>
  </si>
  <si>
    <t>UAT_CR_149</t>
  </si>
  <si>
    <t>Other Features --&gt; Contactless Advantages --&gt; 4th &amp; 5th Bullet Point</t>
  </si>
  <si>
    <t>The 4th &amp; 5th bullet point does not match the content file</t>
  </si>
  <si>
    <t>https://www.loom.com/i/2383007d3fc9467cb7d8a8f36fad881b</t>
  </si>
  <si>
    <t>09/02/2026 - "Please" is the extra word added in the sentence that is not present in the final content file. However, Vijaita mentioned that a single word difference can be ignored if it doesn't change the meaning of the sentence by any way. Therefore marking this issue as resolved.
23/01/2026 - As per Namita ma'am, content is constantly getting changed therefore need to keep all the content related issues aside. Hence kept on hold.</t>
  </si>
  <si>
    <t>UAT_CR_150</t>
  </si>
  <si>
    <t>Other Features --&gt; Contactless Advantages --&gt; The bullet point sequence</t>
  </si>
  <si>
    <t>The "Fast &amp; Convenient" should be 2nd in sequence and "Secure Transactions" 3rd but its the opposite currently.</t>
  </si>
  <si>
    <t>https://www.loom.com/i/fe719a2deb784beaa0aa868774b99a65</t>
  </si>
  <si>
    <t>16/02/2026 - The issue is now resolved on pvt - https://loom.com/i/b65af43dfc8b49e798bc7c50258885b5
09/02/2026 - As per the final content file as well, this bug for maintaining the bullet point sequence is valid therefore changing the status from "Hold" to "Open"
23/02/2026 - As per Namita ma'am, content is constantly getting changed therefore need to keep all the content related issues aside. Hence kept on hold.</t>
  </si>
  <si>
    <t>UAT_CR_151</t>
  </si>
  <si>
    <t>https://www.loom.com/i/575947c5f8124910ae8728bbe7d5f724</t>
  </si>
  <si>
    <t>https://www.loom.com/i/d0519249f14b4401ada267a5fa96628c</t>
  </si>
  <si>
    <t>23/01/2026 - The issue still persists - https://loom.com/i/cd1079a77b644fa48ba69269527f8d0e</t>
  </si>
  <si>
    <t>UAT_CR_152</t>
  </si>
  <si>
    <t>Desktops (1024px - 1280px)</t>
  </si>
  <si>
    <t>Side Bar Menu --&gt; Devices between (1024 - 1280px width) --&gt; Card Title</t>
  </si>
  <si>
    <t>For devices around 1024 - 1280px width, the card title gets truncated with 3 dots especially in case of large font.</t>
  </si>
  <si>
    <t>https://www.loom.com/i/a41646ce221941889968a233dbce21c2</t>
  </si>
  <si>
    <t>To be decided whether to change words in the content or to have some HTML/CSS fix</t>
  </si>
  <si>
    <t>30/01/2026 - Content needs to be reduced currently available space is not sufficient for the content to be shown in large font. In case of small font, if it gets truncated even with space available that is because of the width set to 60% &amp; 80% in case of desktops &amp; ipads/tablets which needs to be removed.
23/01/2026 - The issue still persists</t>
  </si>
  <si>
    <t>UAT_CR_153</t>
  </si>
  <si>
    <t>iPads / Tablets --&gt; Other Features --&gt;Flexipay EMI --&gt; Open the drop down</t>
  </si>
  <si>
    <t>https://www.loom.com/i/ab857c3fd5df4049accb272724a1aef5</t>
  </si>
  <si>
    <t>sam as HTML</t>
  </si>
  <si>
    <t>27/02/2026 - The issue is resolved on sbi-pvt - https://loom.com/i/1ba417970e4f4e5e847f70f8286d77fe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</si>
  <si>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UAT_CR_154</t>
  </si>
  <si>
    <t>Side Bar Menu --&gt; Sub Title below the Card Title</t>
  </si>
  <si>
    <t>Each word needs to be capitalized as it is in the content</t>
  </si>
  <si>
    <t>https://www.loom.com/i/562910e1d5fa4859b109c587c23ca099</t>
  </si>
  <si>
    <t>24/02/2026 - The issue is resolved on sbi-pvt - https://loom.com/i/7fb0b268146b49699fd589dc7aeae1e1
09/02/2026 - This bug is valid as per the final content file as well. Therefore changing the status from "Hold" to "Open"
23/01/2026 - As per Namita ma'am, content is constantly getting changed therefore need to keep all the content related issues aside. Hence kept on hold.</t>
  </si>
  <si>
    <t>UAT_CR_155</t>
  </si>
  <si>
    <t>https://www.loom.com/i/d25a05b60199429196c7a7767111c28b</t>
  </si>
  <si>
    <t>UAT_CR_156</t>
  </si>
  <si>
    <t>https://www.loom.com/i/b18f7548681f4af19a8d11698d39d08f</t>
  </si>
  <si>
    <t>UAT_CR_157</t>
  </si>
  <si>
    <t>https://www.loom.com/i/1f77644eab65480abda038b9e10f970f</t>
  </si>
  <si>
    <t>UAT_CR_158</t>
  </si>
  <si>
    <t>Side Bar Menu --&gt; Best For --&gt; More button --&gt; Sentence</t>
  </si>
  <si>
    <t>The benefit sentence that appears after clicking on more button doesn't match completely with the content file.</t>
  </si>
  <si>
    <t>https://www.loom.com/i/31fd70c864654a98b04428de5905d7d1`</t>
  </si>
  <si>
    <t>09/02/2026 - Issue resolved.
23/01/2026 - As per Namita ma'am, content is constantly getting changed therefore need to keep all the content related issues aside. Hence kept on hold.</t>
  </si>
  <si>
    <t>UAT_CR_159</t>
  </si>
  <si>
    <t>Exclusive Privileges --&gt; Professional Indemnity Insurance --&gt;4th bullet point.</t>
  </si>
  <si>
    <t>It needs to be "Rs." instead of "Rrs."</t>
  </si>
  <si>
    <t>https://www.loom.com/i/3bebba6f1dcf473e8f05af468aa237e9</t>
  </si>
  <si>
    <t>UAT_CR_160</t>
  </si>
  <si>
    <t>Exclusive Privileges --&gt; Professional Indemnity Insurance --&gt; 1st bullet point.</t>
  </si>
  <si>
    <t>All across the other pages, "click here" becomes the hyperlink instead of only "here". Same should be followed here as well.</t>
  </si>
  <si>
    <t>https://www.loom.com/i/4e748316d3d74f948d9b57648760bbf6</t>
  </si>
  <si>
    <t>UAT_CR_161</t>
  </si>
  <si>
    <t>https://www.loom.com/i/e9a82053b1e8493a9c3daa1781adb81f</t>
  </si>
  <si>
    <t>UAT_CR_162</t>
  </si>
  <si>
    <t>Exclusive Privileges --&gt; Milestone Benefits --&gt; 1st bullet point</t>
  </si>
  <si>
    <t>Yatra.com can be a hyperlink. Also, space can be added between each forward slash "/" for better readability.</t>
  </si>
  <si>
    <t>https://www.loom.com/i/4e5f6886ee1e4626878ff4049f158853</t>
  </si>
  <si>
    <t>UAT_CR_163</t>
  </si>
  <si>
    <t>Exclusive Privileges --&gt; Milestone Benefits</t>
  </si>
  <si>
    <t>2nd Benefit point present in the content file is missed and need to be added.</t>
  </si>
  <si>
    <t>https://www.loom.com/i/2d454e9ab0d24a9887c4cb91f39aa7ab</t>
  </si>
  <si>
    <t>UAT_CR_164</t>
  </si>
  <si>
    <t>Exclusive Privileges --&gt; International Lounge Program  --&gt;2nd Bullet Point</t>
  </si>
  <si>
    <t>"international airport lounge" - each word needs to be capitalized as it is in the content file.</t>
  </si>
  <si>
    <t>https://www.loom.com/i/6ca429628f7242eabcb19e7cf41701c4</t>
  </si>
  <si>
    <t>UAT_CR_165</t>
  </si>
  <si>
    <t>Desktops (Above 1500px width)</t>
  </si>
  <si>
    <t>Exclusive Privileges --&gt; Desktops (Above 1500px width) --&gt; Professional Indemnity Insurance</t>
  </si>
  <si>
    <t>In case of desktops above 1500px width, lengthy card titles like - "Professional Indemnity Insurance" get truncated when the font size is increased.</t>
  </si>
  <si>
    <t>https://www.loom.com/i/848358d5b1c2478d9280e112327d4cc0</t>
  </si>
  <si>
    <t>UAT_CR_166</t>
  </si>
  <si>
    <t>Exclusive Privileges --&gt; Desktops (Above 1500px width) --&gt; International Lounge Program</t>
  </si>
  <si>
    <t>In case of desktops above 1500px width, lengthy card title like - "International Lounge Program" doesn't get the margin gap on the left side of the container. The card content also doesn't follow margin gap in case of some small screen desktops or ipads.</t>
  </si>
  <si>
    <t>https://www.loom.com/i/41b1059ca95e44538b4d327ec989bd31</t>
  </si>
  <si>
    <t>23/02/2026 - The issue is resolved on devsit1 - https://loom.com/i/64fba99ce3284c13bd37a3c11f9556c4
13/02/2026 - The issue is resolved on HTML v50 - 1</t>
  </si>
  <si>
    <t>UAT_CR_167</t>
  </si>
  <si>
    <t>Exclusive Privileges --&gt; Fuel Surcharge Waiver</t>
  </si>
  <si>
    <t>2nd bullet point present in the content file for Fuel Surcharge Waiver is missing.</t>
  </si>
  <si>
    <t>https://www.loom.com/i/871af47834a84b91accbd03fe4105dfc</t>
  </si>
  <si>
    <t>UAT_CR_168</t>
  </si>
  <si>
    <t>Exclusive Privileges --&gt; Domestic Airport Lounge" --&gt; 1st Bullet Point.</t>
  </si>
  <si>
    <t>"domestic airport lounge" needs to be capitalized</t>
  </si>
  <si>
    <t>https://www.loom.com/i/0bdaf97e04454c2c85481287e65a3568</t>
  </si>
  <si>
    <t>UAT_CR_169</t>
  </si>
  <si>
    <t>https://www.loom.com/i/f560b484cfa041379fe94958c5b77049</t>
  </si>
  <si>
    <t>UAT_CR_170</t>
  </si>
  <si>
    <t>Explore Rewards --&gt; Reward Points --&gt; 2nd Bullet Point</t>
  </si>
  <si>
    <t>"i.e. 1st July" needs to be removed as it is not in the content file.</t>
  </si>
  <si>
    <t>https://www.loom.com/i/943a31911432400cbef657ae40414f8f</t>
  </si>
  <si>
    <t>UAT_CR_171</t>
  </si>
  <si>
    <t>Explore Rewards --&gt; Milestone Benefits --&gt; 1st Bullet Point</t>
  </si>
  <si>
    <t>The 1st Bullet point doesn't match with the content file.</t>
  </si>
  <si>
    <t>https://www.loom.com/i/7c168baf2e6246c18e8c325e5b1af158</t>
  </si>
  <si>
    <t>UAT_CR_172</t>
  </si>
  <si>
    <t>https://www.loom.com/i/afd68fa9698340cd9d9f632f52f358cf</t>
  </si>
  <si>
    <t>23/01/2026 - The Bar &amp; benefits appear in the "Reward Points" tab instead of "Milestone Privileges" tab - https://loom.com/i/efa51e0f7a9e4f12b5932a6e5c2cccce</t>
  </si>
  <si>
    <t>UAT_CR_173</t>
  </si>
  <si>
    <t>Fees &amp; Charges --&gt; FAQ --&gt; 1st &amp; 2nd Questions' Answers</t>
  </si>
  <si>
    <t>The 1st &amp; 2nd Questions' answers are incorrect.</t>
  </si>
  <si>
    <t>https://www.loom.com/i/b5e037d03c7e476c9b30fe497e7c1c58</t>
  </si>
  <si>
    <t>UAT_CR_174</t>
  </si>
  <si>
    <t>iPads / Tablets --&gt; Other Features --&gt;Contactless Advantages --&gt; Open the drop down</t>
  </si>
  <si>
    <t>https://www.loom.com/i/151d7cb3698e4eefb48fa759f0b3c48b</t>
  </si>
  <si>
    <t>27/02/2026 - The issue is resolved on sbi-pvt - https://loom.com/i/4ea57c96410b4141adf7e7bf103a83b1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</si>
  <si>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UAT_CR_175</t>
  </si>
  <si>
    <t>https://www.loom.com/i/5568866abcff41be997db8498a125fcc</t>
  </si>
  <si>
    <t>09/02/2026 - Both the bullet points do not have the word "Please" but as discussed with Vijeta one time, it can be ignored if the sentence miss any word that doesn't effect the meaning of the sentence a slightest bit. Therefore closing this issue.
23/01/2026 - As per Namita ma'am, content is constantly getting changed therefore need to keep all the content related issues aside. Hence kept on hold.</t>
  </si>
  <si>
    <t>UAT_CR_176</t>
  </si>
  <si>
    <t>https://www.loom.com/i/2e9d0f912b2a49dfae91fd0bb613d7a5</t>
  </si>
  <si>
    <t>UAT_CR_177</t>
  </si>
  <si>
    <t>Other Features --&gt; Contactless Advantages --&gt;Tap &amp; Pay with Ease</t>
  </si>
  <si>
    <t>"in association with IMA" in the bracket needs to be removed as it is not the Doctor's card in association with IMA</t>
  </si>
  <si>
    <t>https://www.loom.com/i/542d62144eec456cb955e353024b2919</t>
  </si>
  <si>
    <t>UAT_CR_178</t>
  </si>
  <si>
    <t>Other Features --&gt; Flexipay EMI --&gt;3rd Bullet Point</t>
  </si>
  <si>
    <t>Word "EMI" is missing from the bullet point.</t>
  </si>
  <si>
    <t>https://www.loom.com/i/9a9d5c5fe3d54b4490a17492fd653fb6</t>
  </si>
  <si>
    <t>UAT_CR_179</t>
  </si>
  <si>
    <t>https://www.loom.com/i/a107035ddd0f48299a764b54682df3c3</t>
  </si>
  <si>
    <t>06/02/2026 - Have been asked to verify this issue on PVT now and the card specific banner image is uploaded there. If any specifc issue found in the image, will log a new bug as advised by Neha ma'am
23/01/2026 - The issue still persists -  https://loom.com/i/6d5186ca422f4c189bbc4cff5c354e06</t>
  </si>
  <si>
    <t>UAT_CR_180</t>
  </si>
  <si>
    <t>https://www.loom.com/i/2a0d29f334794e1fb837078bee21eb5c</t>
  </si>
  <si>
    <t>06/02/2026 - Have been asked to verify this issue on PVT now and the card specific banner image is uploaded there. If any specifc issue found in the image, will log a new bug as advised by Neha ma'am
23/01/2026 - The issue still persists - https://loom.com/i/e6cfcbb3a9044acfad0c68b17982a5a8</t>
  </si>
  <si>
    <t>UAT_CR_181</t>
  </si>
  <si>
    <t>Side Bar Menu --&gt; Card Title</t>
  </si>
  <si>
    <t>Instead of "In Association with IMA" in the card title, it should simply be "IMA" in the bracket.</t>
  </si>
  <si>
    <t>https://www.loom.com/i/122f45ec960148658890353fd33baecf</t>
  </si>
  <si>
    <t>09/02/2026 - As per the final content file, the card's name is written in full therefore this bug is not valid. Hence closing.
23/01/2026 - As per Namita ma'am, content is constantly getting changed therefore need to keep all the content related issues aside. Hence kept on hold.</t>
  </si>
  <si>
    <t>UAT_CR_182</t>
  </si>
  <si>
    <t>https://www.loom.com/i/cbb9bfa406c647b0aea7665b66bc7fca</t>
  </si>
  <si>
    <t>06/02/2026 - Have been asked to verify this issue on PVT now and the card specific banner image is uploaded there. If any specifc issue found in the image, will log a new bug as advised by Neha ma'am
23/01/2026 - The issue still persists - https://loom.com/i/0cc64fdcc4ca42619770fef8df4c4423</t>
  </si>
  <si>
    <t>UAT_CR_183</t>
  </si>
  <si>
    <t>Side Bar Menu --&gt; Best For --&gt; "Cashback Benefits", "Contactless"</t>
  </si>
  <si>
    <t>Words "Cashback Benefits", "Contactless" being  9 alphabets get truncated with 3 dots at the end especially  in case user increase the font size.</t>
  </si>
  <si>
    <t>https://www.loom.com/i/e31b7adfb13a475fabd565b8b8913c52</t>
  </si>
  <si>
    <t>UAT_CR_184</t>
  </si>
  <si>
    <t>Exclusive Privileges --&gt; Welcome Benefits --&gt; 1st Bullet Points</t>
  </si>
  <si>
    <t>Word "Flipkart" needs to be capitalized</t>
  </si>
  <si>
    <t>https://www.loom.com/i/bce9d88cca2c4b59b594e19f68021a74</t>
  </si>
  <si>
    <t>09/02/2026 - Issue resolved now. No longer occuring.
23/01/2026 - As per Namita ma'am, content is constantly getting changed therefore need to keep all the content related issues aside. Hence kept on hold.</t>
  </si>
  <si>
    <t>UAT_CR_185</t>
  </si>
  <si>
    <t>Exclusive Privileges --&gt; Speed Based Renewal --&gt; 1st Bullet Points</t>
  </si>
  <si>
    <t>Instead of "3.5 Lakh" it needs to be "3.5 Lakhs"</t>
  </si>
  <si>
    <t>https://www.loom.com/i/6d5bb28b9b6b49608f066c7893f7419b</t>
  </si>
  <si>
    <t>UAT_CR_186</t>
  </si>
  <si>
    <t>Exclusive Privileges --&gt; Welcome Benefits &amp; Card Cashback</t>
  </si>
  <si>
    <t>Welcome Benefits &amp; "Card Cashback" card icons do not match with the content file.</t>
  </si>
  <si>
    <t>https://www.loom.com/i/2c4adae353f747698e7a336e64ff7896</t>
  </si>
  <si>
    <t>27/02/2026 - As per the icon library received, these icons are correct on sbi-pvt. Therefore closing the issue.
23/01/2026 - As per Namita ma'am, content is getting changed constantly, need to keep the issues on hold until content gets finalized</t>
  </si>
  <si>
    <t>UAT_CR_187</t>
  </si>
  <si>
    <t>Fees &amp; Charges --&gt; Fees &amp; Charges --&gt; Fees --&gt; 2nd Bullet Point</t>
  </si>
  <si>
    <t>It needs to be "year" instead of "yar"</t>
  </si>
  <si>
    <t>https://www.loom.com/i/ad57d24456b44c2d85186ae70c68b398</t>
  </si>
  <si>
    <t>UAT_CR_188</t>
  </si>
  <si>
    <t>Fees &amp; Charges --&gt; Fees &amp; Charges --&gt;1st Bullet point</t>
  </si>
  <si>
    <t>The word "Card" after "Add-on" is missing</t>
  </si>
  <si>
    <t>https://www.loom.com/i/d8dca39d16c24631834c651e1bd2dffa</t>
  </si>
  <si>
    <t>UAT_CR_189</t>
  </si>
  <si>
    <t>https://www.loom.com/i/20117722017c4e569d3994476cf53d1a</t>
  </si>
  <si>
    <t>UAT_CR_190</t>
  </si>
  <si>
    <t>Other Features --&gt; Balance Transfer on EMI --&gt; 2nd Bullet Point</t>
  </si>
  <si>
    <t>Instead of "SBI Card PRIME" it should be "Flipkart SBI Card"</t>
  </si>
  <si>
    <t>https://www.loom.com/i/90a4647021bb4d7c873f447fa8377dab</t>
  </si>
  <si>
    <t>UAT_CR_191</t>
  </si>
  <si>
    <t>Other Features --&gt; Contactless Advantages --&gt; 1st Bullet Point</t>
  </si>
  <si>
    <t>It should be "Flipkart SBI Card" instead of "Etihad Guest SBI Card</t>
  </si>
  <si>
    <t>https://www.loom.com/i/5a5f90848ea14527874b827fb6cf5860</t>
  </si>
  <si>
    <t>UAT_CR_192</t>
  </si>
  <si>
    <t>Other Features --&gt; iPads/Tablets --&gt; Contactless Advantages --&gt; Expand the drop down</t>
  </si>
  <si>
    <t>https://www.loom.com/i/045c5964877f45fea472c902f2103bc2</t>
  </si>
  <si>
    <t>25/02/2026 - As a consolidated bug regarding all rewards category is already logged and open - UAT_CR_197 therefore closing this issue.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</si>
  <si>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UAT_CR_193</t>
  </si>
  <si>
    <t>Exclusive Privileges --&gt; Mobile View --&gt; Card Cashback</t>
  </si>
  <si>
    <t>https://www.loom.com/i/6a70acfa1afa40f0908a3643efdd2517</t>
  </si>
  <si>
    <t>UAT_CR_194</t>
  </si>
  <si>
    <t>https://www.loom.com/i/1c3b4443261b438a8721135abf66332d</t>
  </si>
  <si>
    <t>06/02/2026 - Have been asked to verify this issue on PVT now and the card specific banner image is uploaded there. If any specifc issue found in the image, will log a new bug as advised by Neha ma'am
23/01/2026 - The issue still persists - https://loom.com/i/89a919dd28c64470b7cb698ad17bfec8</t>
  </si>
  <si>
    <t>UAT_CR_195</t>
  </si>
  <si>
    <t>Word "Milestone" being  9 alphabets gets truncated with 3 dots at the end especially  in case user increase the font size.</t>
  </si>
  <si>
    <t>https://www.loom.com/i/9511df6db9e745cfa48a1f8ec98e79ee</t>
  </si>
  <si>
    <t>UAT_CR_196</t>
  </si>
  <si>
    <t>Exclusive Privileges --&gt; Desktops (Above 1500px width) --&gt; Exclusive Milestone Benefits, Fuel Surcharge Waiver</t>
  </si>
  <si>
    <t>In case of desktops above 1500px width, lengthy card titles like - "Exclusive Milestone Benefits" , "Fuel Surcharge Waiver" get truncated when the font size is largest or the smallest.</t>
  </si>
  <si>
    <t>https://www.loom.com/i/dd4805c0c3dd44c58f2d54be8f60bd80</t>
  </si>
  <si>
    <t>UAT_CR_197</t>
  </si>
  <si>
    <t>All Rewards Category Cards</t>
  </si>
  <si>
    <t>iPads / Tablets --&gt; Other Features --&gt;Contactless Advantages, Flexipay EMI --&gt; Open the drop down</t>
  </si>
  <si>
    <t>https://www.loom.com/i/32fc065e3128428fa00d15a96a37e2cf</t>
  </si>
  <si>
    <t>12/03/2026 - Issue resolved on sbi-pvt (on UAT Discussion Call itself) - https://loom.com/i/b97dd4b2454c40d7acab612aa2ecc625
https://loom.com/i/e498465d086f43c6b5a270da8226ebb1
27/02/2026 - Instead of the new image without the blue gradiance background being used, the old image is still used. As a result, text and image overlap for the following pages - Ola Money, PhonePe SBI Card Purple, PhonePe SBI Card Select Black
https://loom.com/i/97a991fda0514f24bd1b8e5b2b76063a
25/02/2026 - The image size is incorrect, new images (small ones) provided are of resolution 701 x 613px but these images are - 987 x 888px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</si>
  <si>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UAT_CR_198</t>
  </si>
  <si>
    <t>Exclusive Privileges --&gt; Mobile View --&gt; PhonePe Rewards</t>
  </si>
  <si>
    <t>https://www.loom.com/i/67e7b4e1577543d8b858f290927230fd</t>
  </si>
  <si>
    <t>UAT_CR_199</t>
  </si>
  <si>
    <t>https://www.loom.com/i/ca3db6cecca34145a1252f813aeac75a</t>
  </si>
  <si>
    <t>Prince</t>
  </si>
  <si>
    <t>23/02/2026 - The issue is resoled on devsit1 - 
https://loom.com/i/74badb14668e4c1089e806824c6df7e1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t>
  </si>
  <si>
    <t>UAT_CR_200</t>
  </si>
  <si>
    <t>Side Bar Menu --&gt; Card Title --&gt; Sub Title Sentence.</t>
  </si>
  <si>
    <t>Card Sub-title sentence needs to have words capitalized (except for filler word). Also, the word "Spends" is missing at the end.</t>
  </si>
  <si>
    <t>https://www.loom.com/i/85cd3a1e198447e9867eeb5fe2c4b7df</t>
  </si>
  <si>
    <t>05/03/2026 - The word "spends" is still not capitalized - https://www.loom.com/i/31500c7e0bd74567af7b473570d23599
27/02/2026 - The issue still exists when checked with the latest content file therefore this issue remains open.
23/01/2026 - As per Namita ma'am, content is constantly getting changed therefore need to keep all the content related issues aside. Hence kept on hold.</t>
  </si>
  <si>
    <t>UAT_CR_201</t>
  </si>
  <si>
    <t>Key Benefits --&gt; 2nd Benefit point --&gt; Text Sentence</t>
  </si>
  <si>
    <t>The word "eligible" should not be present as per the content file</t>
  </si>
  <si>
    <t>https://www.loom.com/i/99e6be4024774a0d85040de013d540ae</t>
  </si>
  <si>
    <t>UAT_CR_202</t>
  </si>
  <si>
    <t>Exclusive Privileges --&gt; Welcome Benefits --&gt; Icon</t>
  </si>
  <si>
    <t>The "Welcome Benefits" icon is incorrect.</t>
  </si>
  <si>
    <t>https://www.loom.com/i/23a6b56d4ee24ef4ba18f49c40efae00</t>
  </si>
  <si>
    <t>27/02/2026 - The issue is resolved on sbi-pvt when checked as per the latest icon library.
23/01/2026 - As per Namita ma'am, content is constantly getting changed therefore need to keep all the content related issues aside which includes icons as well according to Arun sir. Hence kept on hold.</t>
  </si>
  <si>
    <t>UAT_CR_203</t>
  </si>
  <si>
    <t>Explore Benefits --&gt; Exclusive Milestone Benefits --&gt; 1st Bullet Point</t>
  </si>
  <si>
    <t>word "voucher" needs to be capitalized and "lakh" need to be "lakhs"</t>
  </si>
  <si>
    <t>https://www.loom.com/i/c7a99a82ab8b4633a25c3d35677beacd</t>
  </si>
  <si>
    <t>UAT_CR_204</t>
  </si>
  <si>
    <t>Explore Rewards --&gt; Exclusive Milestone Benefits --&gt; Reward benefit Bar &amp; Reward Points text on the image</t>
  </si>
  <si>
    <t>https://www.loom.com/i/57efb2d0848e424baf29c1f516026ae8</t>
  </si>
  <si>
    <t>https://www.loom.com/i/9fac12dfd9944b81b5013896ef83d58e</t>
  </si>
  <si>
    <t>23/01/2026 - The Bar &amp; Benefits appear in the "PhonePe Rewards" tab instead of "Milestone Rewards" https://loom.com/i/b784916dcd724b428ac2e47ce0d2e38d</t>
  </si>
  <si>
    <t>UAT_CR_205</t>
  </si>
  <si>
    <t>Fees &amp; Charges --&gt; Fee --&gt; 2nd &amp; 3rd Bullet Point</t>
  </si>
  <si>
    <t>"from second year onwards" is missing from the 2nd Bullet Point. Word "Card" is missing in the 3rd Bullet Point.</t>
  </si>
  <si>
    <t>https://www.loom.com/i/883c98fc0b85469a99382ee4a1a1aeea</t>
  </si>
  <si>
    <t>UAT_CR_206</t>
  </si>
  <si>
    <t>Other Features --&gt; Cash Access Across the World --&gt; Visa / Mastercard / American Express</t>
  </si>
  <si>
    <t>Space before &amp; after each forward slash "/" can be added for better readability</t>
  </si>
  <si>
    <t>https://www.loom.com/i/46e7b602077a4bc39f8de45c9685c57e</t>
  </si>
  <si>
    <t>UAT_CR_207</t>
  </si>
  <si>
    <t>https://www.loom.com/i/1268a6f953da4c9ab309758d6c11a723</t>
  </si>
  <si>
    <t>06/02/2026 - Have been asked to verify this issue on PVT now and the card specific banner image is uploaded there. If any specifc issue found in the image, will log a new bug as advised by Neha ma'am
23/01/2026 - The issue still persists - https://loom.com/i/f7af6d1bdca14101b082f60c3d2b0502</t>
  </si>
  <si>
    <t>UAT_CR_208</t>
  </si>
  <si>
    <t>Terms &amp; Documents --&gt; All 4 Tabs</t>
  </si>
  <si>
    <t>Each tab background fill is not white but greyish in the design. Check the actual vs expected result screenshot.</t>
  </si>
  <si>
    <t>https://www.loom.com/i/073c445aee89416ba30a797f25ee27a4</t>
  </si>
  <si>
    <t>https://www.loom.com/i/c94e2e1fe4d74817962e8a1a08bb8670</t>
  </si>
  <si>
    <t>09/02/2026 - As discussed with the Designer, the grey colour used in the design is a mistake and the white colour used in the HTML is correct. Therefore closing this issue.
06/02/2026 - Maybe designer intentionally kept the bg fill different in case of dark theme.</t>
  </si>
  <si>
    <t>UAT_CR_209</t>
  </si>
  <si>
    <t>Other Features --&gt; Line Separator below each drop down</t>
  </si>
  <si>
    <t>The line separator colour needs to be "#445675" instead of dark grey in order to be more visible and match with design.</t>
  </si>
  <si>
    <t>https://www.loom.com/i/91e2c52e198249c98603b31302292c8f</t>
  </si>
  <si>
    <t>https://www.loom.com/i/b6750f6e45bb47c2aefac506d5c411f4</t>
  </si>
  <si>
    <t>20/02/2026 - The issue is resolved on devsit1 - https://www.loom.com/i/9669b453062e463b8352adeea55bff80
13/02/2026 - The issue is resolved on HTML v50 - 1 - https://loom.com/i/b6707563271d4c8e8312c0a19db3ac71
09/02/2026 - As the issue also occurs in the HTML/CSS benchmark therefore changing the tagging to HTML/CSS
23/01/2026 - The issue still persists</t>
  </si>
  <si>
    <t>UAT_CR_210</t>
  </si>
  <si>
    <t>Exclusive Privileges, Product Videos --&gt; Slider Dots</t>
  </si>
  <si>
    <t>Different slider dot styles are being followed - "Similar Cards" section slider style matches the design but the "Exclusive Privileges" &amp; "Product Video" section slider follow different style.</t>
  </si>
  <si>
    <t>https://www.loom.com/i/91bbdb9f2c03457297bd9111979bb0ea</t>
  </si>
  <si>
    <t>https://www.loom.com/i/f6d03e12268c49c7bfe55b35b6ec2f9f</t>
  </si>
  <si>
    <t>23/02/2026 - The issue is resolved on devsit1 - https://www.loom.com/i/7bf7c2c6846144c0afc7e2393a581c4a
13/02/2026 - The issue is resolved on HTML v50 - 1</t>
  </si>
  <si>
    <t>UAT_CR_211</t>
  </si>
  <si>
    <t>Exclusive Privileges --&gt; Desktops (Above 1500px width) --&gt; Exclusive Milestones, International Lounge, Domestic Lounge, Exclusive Milestones, Fuel Surcharge Waiver</t>
  </si>
  <si>
    <t>In case of desktops above 1500px width, lengthy card titles like - Exclusive Milestones, International Lounge, Domestic Lounge, Exclusive Milestones, Fuel Surcharge Waiver get truncated when the font size is largest or the smallest.</t>
  </si>
  <si>
    <t>https://www.loom.com/i/c6103de0685645efa6a8d4ae4f01bd44</t>
  </si>
  <si>
    <t>UAT_CR_212</t>
  </si>
  <si>
    <t>Side Bar Menu --&gt; Best For --&gt; Exclusive Milestone Benefits, PhonePe Rewards</t>
  </si>
  <si>
    <t>Words "Exclusive Milestone" being  9 alphabets get truncated with 3 dots at the end especially  in case user increase the font size.  "PhonePe Rewards" also gets truncated in case of iPads / Tablets - Large font</t>
  </si>
  <si>
    <t>https://www.loom.com/i/059ffaa087a748799f80982b4c1c7b2c</t>
  </si>
  <si>
    <t>UAT_CR_213</t>
  </si>
  <si>
    <t>Key Benefits --&gt; iPads / Tablets --&gt; 3rd Benefit</t>
  </si>
  <si>
    <t>The 3rd benefit - "Complimentary membership to Priority Pass Program worth $99" gets truncated at the end of the sentence in case of iPads / Tablet if the font is set to large.</t>
  </si>
  <si>
    <t>https://www.loom.com/i/bb73be98a6274f11bd46af9dec1a7aa8</t>
  </si>
  <si>
    <t>UAT_CR_214</t>
  </si>
  <si>
    <t>Side Bar Menu --&gt; Card Image Size</t>
  </si>
  <si>
    <t>In case of mobile phones, the card image size appears larger than required. Check the actual vs expected result or compare it with other card pages.</t>
  </si>
  <si>
    <t>https://www.loom.com/i/892118fc72584bfdaee5c731f6dc327d</t>
  </si>
  <si>
    <t>https://www.loom.com/i/bda96027a2e04544bfcf93b4fc99f16d</t>
  </si>
  <si>
    <t>UAT_CR_215</t>
  </si>
  <si>
    <t>https://www.loom.com/i/32f1d055d8064a2c98d8f53ab4fd796b</t>
  </si>
  <si>
    <t>https://www.loom.com/i/51bce9bf93de4ffaa0e6af262fba09ea</t>
  </si>
  <si>
    <t>23/02/2026 - The issue is resolved on devsit1 - https://loom.com/i/3730ba67dce54060b2ab4a4ae86f80ea
13/02/2026 - Issue is resolved on HTML v50 - 1 https://loom.com/i/485e4f6c73a94386991fc08063cb4911
09/02/2026 - As the issue also occurs in the HTML/CSS benchmark therefore changing the tagging to HTML/CSS
23/01/2026 - The issue still persists</t>
  </si>
  <si>
    <t>UAT_CR_216</t>
  </si>
  <si>
    <t>The border after the slider dots is not required and the padding needs to be reduced from the bottom and increased from the top  to match with the design.</t>
  </si>
  <si>
    <t>https://www.loom.com/i/f5fd35603956484aab55b98fd82c05cf</t>
  </si>
  <si>
    <t>https://www.loom.com/i/760d0bed6bc740c0b85263c0ed67847e</t>
  </si>
  <si>
    <t>23/02/2026 - The issue is resoled on devsit1 - 
https://loom.com/i/d8f5f6c49da9423ca9e4f66a74fde32f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https://loom.com/i/5ffa0f77df3548ebbbf30c1a7f28dbe5
09/02/2026 - As the issue also occurs in the HTML/CSS benchmark therefore changing the tagging to HTML/CSS
23/01/2026 - The issue still persists</t>
  </si>
  <si>
    <t>UAT_CR_217</t>
  </si>
  <si>
    <t>Terms &amp; Documents --&gt; Mobile View --&gt; Arrow Icon colour</t>
  </si>
  <si>
    <t>The Arrow icon colour needs to match the font colour in order to be as per the design and to be more visible.</t>
  </si>
  <si>
    <t>https://www.loom.com/i/3a21c6c1364e44fb87143e3613d8470a</t>
  </si>
  <si>
    <t>https://www.loom.com/i/fea2475112454db68cfcea3a385fb1a3</t>
  </si>
  <si>
    <t>23/01/2026 - The issue still persists</t>
  </si>
  <si>
    <t>UAT_CR_218</t>
  </si>
  <si>
    <t>Key Benefits --&gt; 3rd Benefit Point</t>
  </si>
  <si>
    <t>The 3rd Benefit point is incorrect and doesn't match the content file.</t>
  </si>
  <si>
    <t>https://www.loom.com/i/46bf133089e5464b9f828551d169dc94</t>
  </si>
  <si>
    <t>05/03/2026 - The strike-through words need to be removed from the sentence - https://www.loom.com/i/02bec349ac5443f8bdafdee8624eea3d
27/02/2026 - As per the latest content file, the 3rd bullet point should be "Priority Pass Program Membership worth $99"
23/01/2026 - As per Namita ma'am, content is constantly getting changed therefore need to keep all the content related issues aside. Hence kept on hold.</t>
  </si>
  <si>
    <t>UAT_CR_219</t>
  </si>
  <si>
    <t>Exclusive Privileges --&gt; Welcome Benefits --&gt; 1st Bullet point</t>
  </si>
  <si>
    <t>It needs to be "e-Gift Card" instead of "gift card", "Rs. 1,500" instead of "Rs. 500" and "T&amp;Cs" instead of "T&amp;C"</t>
  </si>
  <si>
    <t>https://www.loom.com/i/bb66ac7a38504cd78010dc5faf0e3af4</t>
  </si>
  <si>
    <t>27/02/2026 - Issue resolved on sbi-pvt.
23/02/2026 - As per Namita ma'am, content is constantly getting changed therefore need to keep all the content related issues aside. Hence kept on hold.</t>
  </si>
  <si>
    <t>UAT_CR_220</t>
  </si>
  <si>
    <t>Desktops, iPads, Tablets</t>
  </si>
  <si>
    <t>Exclusive Privileges --&gt; + button --&gt; More button --&gt; Pop-up Modal</t>
  </si>
  <si>
    <t>The pop-up modal also needs have the dark theme instead of being similar to the light theme.</t>
  </si>
  <si>
    <t>https://www.loom.com/i/74619c88c0b84a82a1e4c9cf3ed237b1</t>
  </si>
  <si>
    <t>23/02/2026 - The issue is resolved on devsit1 - https://loom.com/i/9ef189cd0dc84ff88de53dfe4a064598
13/02/2026 - The issue is resolved on HTML v50 - 1</t>
  </si>
  <si>
    <t>UAT_CR_221</t>
  </si>
  <si>
    <t>Exclusive Privileges --&gt; Exclusive Milestone Benefits --&gt; 1st Bullet Point.</t>
  </si>
  <si>
    <t>It should be "e-Voucher" instead of "voucher", "Rs. 5,000" instead of "Rs. 3,000" and "Rs. 5 lakhs" instead of "Rs. 3 lakhs"</t>
  </si>
  <si>
    <t>https://www.loom.com/i/68bcd424fa714fc0b4b6bd1057e960d9</t>
  </si>
  <si>
    <t>27/02/2026 - Issue resolved on sbi-pvt.
23/01/2026 - As per Namita ma'am, content is constantly getting changed therefore need to keep all the content related issues aside. Hence kept on hold.</t>
  </si>
  <si>
    <t>UAT_CR_222</t>
  </si>
  <si>
    <t>Exclusive Privileges --&gt; Welcome Benefits, PhonePe Rewards</t>
  </si>
  <si>
    <t>The icons used for Welcome Benefits, PhonePe Rewards cards are incorrect.</t>
  </si>
  <si>
    <t>https://www.loom.com/i/5f862b06c5cc4ffba61019d81f50754d</t>
  </si>
  <si>
    <t>27/02/2026 - The issue is still not resolved for "PhonePe Rewards" icon - https://www.loom.com/i/7cb571121f4547e5b1cf90508ce0cf83
23/01/2026 - As per Namita ma'am, content is constantly getting changed therefore need to keep all the content related issues aside which includes icons as well according to Arun sir. Hence kept on hold.</t>
  </si>
  <si>
    <t>UAT_CR_223</t>
  </si>
  <si>
    <t>Exclusive Privileges --&gt; Annual Fee Reversal</t>
  </si>
  <si>
    <t>Instead of "Rs. 1 lakh" it needs to be "Rs. 3 lakhs"</t>
  </si>
  <si>
    <t>https://www.loom.com/i/d0240298db6d44ea8c81b134d2b3b8b9</t>
  </si>
  <si>
    <t>27/02/2026 - Issue is resolved on sbi-pvt
As per Namita ma'am, content is constantly getting changed therefore need to keep all the content related issues aside. Hence kept on hold.</t>
  </si>
  <si>
    <t>UAT_CR_224</t>
  </si>
  <si>
    <t>It needs to be "Rs. 4,000" instead of "Rs. 3,000"</t>
  </si>
  <si>
    <t>https://www.loom.com/i/6809a6214730494eb4f424155d981946</t>
  </si>
  <si>
    <t>UAT_CR_225</t>
  </si>
  <si>
    <t>https://www.loom.com/i/0ea088638d5b426aacf6ced4efb7991e</t>
  </si>
  <si>
    <t>UAT_CR_226</t>
  </si>
  <si>
    <t>https://www.loom.com/i/71c87ed6cc0844b9b36925c89889c4cf</t>
  </si>
  <si>
    <t>https://www.loom.com/i/27efca44dffd4d73a7a8c2d626aef705</t>
  </si>
  <si>
    <t>23/01/2026 - The issue still persists - https://loom.com/i/c3d460a4f52a4c148b592bb8ccae0a06</t>
  </si>
  <si>
    <t>UAT_CR_227</t>
  </si>
  <si>
    <t>Explore Rewards --&gt; Exclusive Milestone Benefits --&gt; 2nd Bullet Point</t>
  </si>
  <si>
    <t>2nd Bullet point is not present in the content file. Hence, need to be removed.</t>
  </si>
  <si>
    <t>https://www.loom.com/i/3f6bae8ffdd14c4a898d28a947764981</t>
  </si>
  <si>
    <t>UAT_CR_228</t>
  </si>
  <si>
    <t>Fee &amp; Charges --&gt; Fees --&gt; 2nd &amp; 3rd Bullet Points</t>
  </si>
  <si>
    <t>https://www.loom.com/i/53ed3b0e7fcb4e74a4f7b336eba1c544</t>
  </si>
  <si>
    <t>UAT_CR_229</t>
  </si>
  <si>
    <t>Fees &amp; charges --&gt; Annual Fee &amp; Renewal Fee</t>
  </si>
  <si>
    <t>"+" symbol appears twice instead of appearing once</t>
  </si>
  <si>
    <t>https://www.loom.com/i/33e12aa3eb2d41c9a3c2469589bc8b70</t>
  </si>
  <si>
    <t>27/02/2026 = The issue is resolved on sbi-pvt
23/01/2026 - As per Namita ma'am, content is constantly getting changed therefore need to keep all the content related issues aside. Hence kept on hold.</t>
  </si>
  <si>
    <t>UAT_CR_230</t>
  </si>
  <si>
    <t>Fees &amp; Charges --&gt; FAQ --&gt; 2nd Question</t>
  </si>
  <si>
    <t>The word "international" needs to be capitalized</t>
  </si>
  <si>
    <t>https://www.loom.com/i/9055c8e9a6454f37986c87ed0f725906</t>
  </si>
  <si>
    <t>27/02/2026 - As per the latest content file, the word "international" is not capitalized therefore this bug is no longer valid. Hence resolving.
23/01/2026 - As per Namita ma'am, content is constantly getting changed therefore need to keep all the content related issues aside. Hence kept on hold.</t>
  </si>
  <si>
    <t>UAT_CR_231</t>
  </si>
  <si>
    <t>Other Features --&gt; Cash Access Across the World --&gt; Drop down --&gt; Bullet Point</t>
  </si>
  <si>
    <t>Need to check with the content team why "Visa / Mastercard / American Express" is not mentioned in the content file because it seems right that the author has included it in the website.</t>
  </si>
  <si>
    <t>https://www.loom.com/i/e56455163bc14e9b96b175ff4f1650c1</t>
  </si>
  <si>
    <t>05/03/2026 - "Visa/Mastercard/American Express " needs to be removed from the bullet point - https://www.loom.com/i/684968fa1c1a486d8fc02084362ae83b
27/02/2026 - As per the latest content file, the text "Visa/Mastercard/American Express" should not be present in the bullet point.
23/01/2026 - As per Namita ma'am, content is constantly getting changed therefore need to keep all the content related issues aside. Hence kept on hold.</t>
  </si>
  <si>
    <t>UAT_CR_232</t>
  </si>
  <si>
    <t>Product Video section --&gt; Videos</t>
  </si>
  <si>
    <t>All Product Video have the same title and only 1 of the link works. Content file doesn't mention the number of videos and the title or thumbnail they should have</t>
  </si>
  <si>
    <t>https://www.loom.com/i/ce18e01a8c1b4fdb94eb26d73176756b</t>
  </si>
  <si>
    <t>As per Namita ma'am, content is constantly getting changed therefore need to keep all the content related issues aside. Hence kept on hold.</t>
  </si>
  <si>
    <t>UAT_CR_233</t>
  </si>
  <si>
    <t>All Product Video have the same title. Content file doesn't mention the number of videos and the title or thumbnail they should have</t>
  </si>
  <si>
    <t>https://www.loom.com/i/55d0616e7c274de7bb52e701fc7fa54d</t>
  </si>
  <si>
    <t>09/02/2026 - The video content like URLs, thumbnails &amp; title are not shared in the final content file yet.
23/01/2026 - As per Namita ma'am, content is constantly getting changed therefore need to keep all the content related issues aside. Hence kept on hold.</t>
  </si>
  <si>
    <t>UAT_CR_234</t>
  </si>
  <si>
    <t>https://www.loom.com/i/69bf5022614d4b7db46306f0f658bbcb</t>
  </si>
  <si>
    <t>UAT_CR_235</t>
  </si>
  <si>
    <t>All Product Video has "SBI Card Prime" as title instead of "SBI Card Pulse". Content file doesn't mention the number of videos and the title or thumbnail they should have</t>
  </si>
  <si>
    <t>https://www.loom.com/i/18897e5fe0914e7e9f98529ae7b595d7</t>
  </si>
  <si>
    <t>09/02/2026 - The videos, their title, thumbnail are not yet received in the final content file.
23/01/2026 - As per Namita ma'am, content is constantly getting changed therefore need to keep all the content related issues aside. Hence kept on hold.</t>
  </si>
  <si>
    <t>UAT_CR_236</t>
  </si>
  <si>
    <t>https://www.loom.com/i/88ae1ae5572546ec925c7abe77248f2f</t>
  </si>
  <si>
    <t>UAT_CR_237</t>
  </si>
  <si>
    <t>https://www.loom.com/i/70fee7c7b5584279bb14e68d70ad3e61</t>
  </si>
  <si>
    <t>UAT_CR_238</t>
  </si>
  <si>
    <t>Doctor's SBI Card Video are being used for the card. Same video present in the slider twice. Content file doesn't mention the number of videos and the title or thumbnail they should have.</t>
  </si>
  <si>
    <t>https://www.loom.com/i/c1a18573d20f400e8c3e55618e57127f</t>
  </si>
  <si>
    <t>09/02/2026 - No reference file received to check what videos with what title &amp; thumbnail should be present in the section for this page.
23/01/2026 - As per Namita ma'am, content is constantly getting changed therefore need to keep all the content related issues aside. Hence kept on hold.</t>
  </si>
  <si>
    <t>UAT_CR_239</t>
  </si>
  <si>
    <t>Same video present in the slider twice. Content file doesn't mention the number of videos and the title or thumbnail they should have</t>
  </si>
  <si>
    <t>https://www.loom.com/i/a1f49007dc3b4c4eb7a2358e38381283</t>
  </si>
  <si>
    <t>09/02/2026 - No reference received regarding what videos should be present on this page with what title &amp; thumbnail.
As per Namita ma'am, content is constantly getting changed therefore need to keep all the content related issues aside. Hence kept on hold.</t>
  </si>
  <si>
    <t>UAT_CR_240</t>
  </si>
  <si>
    <t>https://www.loom.com/i/c63944611b0a4eb3a410f5308f6f0299</t>
  </si>
  <si>
    <t>09/02/2026 - Still no reference received to check what product videos with what title &amp; thumbnail should be present.
23/01/2026 - As per Namita ma'am, content is constantly getting changed therefore need to keep all the content related issues aside. Hence kept on hold.</t>
  </si>
  <si>
    <t>UAT_CR_241</t>
  </si>
  <si>
    <t>Any Product Video that is actually a youtube short doesn't open up on the website after clicking, in order to view it, user can only right click and select "open in a new tab"</t>
  </si>
  <si>
    <t>https://www.loom.com/share/b46e3a6e49ce4a31a156ea71e357cee0</t>
  </si>
  <si>
    <t>To be decided whether youtube shorts is to be allowed to get uploaded or not. If yes, then HTML needs to be fixed.</t>
  </si>
  <si>
    <t>18/02/2026 - The issue is resolved on devsit1 - https://www.loom.com/share/23ff13564c99469c88f3662e4680ea00
13/02/2026 - Issue fixed as per the Developer but unable to test on HTML v50 - 1 due to video player configurations therefore had to keep status as "Pending" until it's seen as working
06/02/2026 - Youtube shorts still do not get played</t>
  </si>
  <si>
    <t>UAT_CR_242</t>
  </si>
  <si>
    <t>Exclusive Privileges --&gt; Desktops --&gt; Prime Rewards, Milestone Benefits</t>
  </si>
  <si>
    <t>Case when user increases the font size, the bullet points for the mentioned privileges cards get clipped from the bottom.</t>
  </si>
  <si>
    <t>https://www.loom.com/i/def342dbd94e4219a7c10b24d6b61e9d</t>
  </si>
  <si>
    <t>16/02/2026 - As discussed with Namita, to be decided whether need to handle this content wise or get a fix on HTML/CSS
To be decided whether need to handle this content wise or get a fix on HTML/CSS</t>
  </si>
  <si>
    <t>24/02/2026 - As a consolidated issue is already open in Product Details Sheet. Plus, a sheet "ExclusivePrivileges TextOverlap" has been created mentioning all the failed instances therefore closing this issue here.
29/01/2026 - Exclusive Privileges section has been developed according to the requirements that were shared regarding it earlier. The way it is developed currently, there is no way for us to handle bullet points getting clipped from the bottom. The content author needs to keep in mind that max to max 8 lines of space is available for bullet points in case in case font is large and card title takes up to 2 lines. 10 lines available in case of single line card title. On each card, bullet points should be added keeping this in mind. If not to be handled content wise then rework on the section would be required.
23/01/2026 - The issue still persists - https://loom.com/i/af3166282b6b4e7cb85084e8034219d6</t>
  </si>
  <si>
    <t>UAT_CR_243</t>
  </si>
  <si>
    <t>Exclusive Privileges --&gt; Desktops --&gt; Miles Rewards, International Travel Privileges</t>
  </si>
  <si>
    <t>https://www.loom.com/i/454a81daa24646478fc4f2e2001a7a93</t>
  </si>
  <si>
    <t>23/02/2026 - We received the HTML fix on 18-02-2026. So we will pick up the change once we will complete all the HTML fixes till 16th
16/02/2026 - As discussed with Namita, to be decided whether need to handle this content wise or get a fix on HTML/CSS
Duplicate of 243</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</si>
  <si>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 - https://loom.com/i/18a1cbe078a14a748b3470106a328921</t>
  </si>
  <si>
    <t>UAT_CR_244</t>
  </si>
  <si>
    <t>Exclusive Privileges --&gt; Desktops --&gt; Reward Benefits</t>
  </si>
  <si>
    <t>https://www.loom.com/i/f6871f09c277426481b01c29e0e638b7</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</si>
  <si>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https://loom.com/i/3d589d87609a433381325e3d6c0f9b26</t>
  </si>
  <si>
    <t>UAT_CR_245</t>
  </si>
  <si>
    <t>Exclusive Privileges --&gt; Desktops --&gt; Reward Points</t>
  </si>
  <si>
    <t>https://www.loom.com/i/b0811f9ba08d4079ace021e42aac0d89</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</si>
  <si>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https://loom.com/i/0ccc2908f0c74ed79aea92d8aebde547</t>
  </si>
  <si>
    <t>UAT_CR_246</t>
  </si>
  <si>
    <t>Exclusive Privileges --&gt; Desktops --&gt; PhonePe Rewards</t>
  </si>
  <si>
    <t>https://www.loom.com/i/8befe6bff5ff43f388f4d44952e4bd64</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</si>
  <si>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https://loom.com/i/b77c4ad12d5a46f5b7ab701cad830698</t>
  </si>
  <si>
    <t>UAT_CR_247</t>
  </si>
  <si>
    <t>https://www.loom.com/i/a1b1f0ff62d247d6831981700ba2d366</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</si>
  <si>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https://loom.com/i/9cedd59fae364fe196c6c62e613be863</t>
  </si>
  <si>
    <t>UAT_CR_248</t>
  </si>
  <si>
    <t>Other Features --&gt; Contactless Advantages --&gt; 1st Bullet point</t>
  </si>
  <si>
    <t>The card name should be "SBI Card Pulse" instead of "SBI Card Elite Pulse"</t>
  </si>
  <si>
    <t>https://www.loom.com/i/cf2390b8ae0e4005a13ab5ec1e2143af</t>
  </si>
  <si>
    <t>UAT_CR_249</t>
  </si>
  <si>
    <t>Exclusive Privileges --&gt; Card Container minimum height</t>
  </si>
  <si>
    <t>If the content is less, the height of the card containers in the grid also get reduced. They should have a minimum height as well that helps maintain their narrow and elongated view as observed in the design.</t>
  </si>
  <si>
    <t>https://www.loom.com/i/98ba76c3fd0045bf88f81d274c87a92a</t>
  </si>
  <si>
    <t>https://www.loom.com/i/cd88c6785d004ee4a3127ad84330a665</t>
  </si>
  <si>
    <t>20/02/2026 - The issue is resolved on devsit1. As a proof, attaching the screenshots of devsit1 where its implemented and pvt where currently it is not implemented. In devsit, it takes fixed height regardless of content inside and in pvt it has max-height property which adjusts the height according to the content but doesn't let it exceed the maximum height set.
devsit1 - https://loom.com/i/7abee0e9a2d04c288ca70fcc6130298e
pvt - https://loom.com/i/d9943cf6469447788275af909fd60f15
13/02/2026 - The card heights are increased in desktops &amp; ipads but the content container's height doesn't get increased accordingly. For example: In case of iPads / Tablets (iPad Mini) The content container height is approx 50% of the card height which results in content getting cropped even when plenty of space is available. HTML v50 - 1 screenshot - https://www.loom.com/i/42a618486b614bdca594ff4245bc2f28</t>
  </si>
  <si>
    <t>UAT_CR_250</t>
  </si>
  <si>
    <t>22/01/2026</t>
  </si>
  <si>
    <t>SBI Card Cashback</t>
  </si>
  <si>
    <t>Side Bar Menu --&gt; Best For --&gt; Cashback Benefits, Contactless Advantages</t>
  </si>
  <si>
    <t xml:space="preserve">Words like - Cashback Benefits, Contactless Advantages having 9 alphabets get truncated with 3 dots at the end especially  in case user increase the font size. </t>
  </si>
  <si>
    <t>https://www.loom.com/i/ed2bdb65388f4ed8a81a68c3c9b17baa</t>
  </si>
  <si>
    <t>UAT_CR_251</t>
  </si>
  <si>
    <t>Side Bar Menu --&gt; iPads / Tablets --&gt; Background Image --&gt; Card Title</t>
  </si>
  <si>
    <t>The floral image on the left overlaps with the Card title in the side bar menu in case of devices between 768px - 1300px width</t>
  </si>
  <si>
    <t>https://www.loom.com/i/0f8cae3cce00443788cd58ad17b561eb</t>
  </si>
  <si>
    <t>18/02/2026 - The issue was already marked as closed as per the remark below.
10/02/2026 - As discussed with Namita ma'am on HTML bug priority call, this needs to be ignored. Hence marking it as resolved.</t>
  </si>
  <si>
    <t>UAT_CR_252</t>
  </si>
  <si>
    <t>Explore Rewards --&gt; Section Image --&gt; Milestone Benefits appear on the image.</t>
  </si>
  <si>
    <t>These milestones should only be present with the image in case the card has "Milestone Benefits" or "Milestone Rewards" but SBI Card Cashback only has "Card Cashback" still milestones appear on the image.</t>
  </si>
  <si>
    <t>https://www.loom.com/i/df0788edf60d440b89026c6f253866cc</t>
  </si>
  <si>
    <t>16/02/2026 - Please check on PVT
Duplicate of 123</t>
  </si>
  <si>
    <t>17/02/2026 - As discussed on UAT Discussion Call, Namita ma'am confirmed that a request came to add "Fee Waiver of 2 Lakhs" therefore it is added. Hence closing the issue.
17/02/2026 - The issue is still not resolved on pvt - https://www.loom.com/i/efbf87df1dd84ac88212f71b9e3d78ff</t>
  </si>
  <si>
    <t>UAT_CR_253</t>
  </si>
  <si>
    <t>Key Benefits &amp; Exclusive Privileges section --&gt; Background Image</t>
  </si>
  <si>
    <t>Left bottom &amp; top right of the image doesn't match with the image in the design. Especially in case of mobile devices, exclusive privilege section image is cropped and doesn't blend in properly</t>
  </si>
  <si>
    <t>https://www.loom.com/i/67128e9dc7b542cc90eecec3ce2405f5</t>
  </si>
  <si>
    <t>https://www.loom.com/i/0f48e34cbc62473fb1b767cce9e1fa8c</t>
  </si>
  <si>
    <t>09/02/2026 - Clsoing the bug after discussion on scrum call
06/02/2026 - The image used for the page and the one in the design look different. We can close this bug if client doesn't have an issue</t>
  </si>
  <si>
    <t>UAT_CR_254</t>
  </si>
  <si>
    <t>Side Bar Menu --&gt; Floral Image on the left &amp; right</t>
  </si>
  <si>
    <t>Both the floral image on the left and right of the side bar menu seem very dull when compared with the design. Check the actual vs expected result</t>
  </si>
  <si>
    <t>https://www.loom.com/i/43e14d30fa0f489bbfa8bd65d2452362</t>
  </si>
  <si>
    <t>https://www.loom.com/i/52a684d6551347c6a47f2356d5b802bd</t>
  </si>
  <si>
    <t>UAT_CR_255</t>
  </si>
  <si>
    <t>Exclusive Privileges --&gt; Rupee coin at the right side</t>
  </si>
  <si>
    <t xml:space="preserve"> Rupee coin at the right side are inverted, new banner image with the rupee coins corrected needs to be provided by the designer</t>
  </si>
  <si>
    <t>https://www.loom.com/i/53bf4430ead84696b197b44f625d44f1</t>
  </si>
  <si>
    <t>https://www.loom.com/i/d6b79eb2355741c28f1f2f9991827f5f</t>
  </si>
  <si>
    <t>18/02/2026 - The issue is resolved on devsit1 - https://loom.com/i/b6b40b626c634b3abc42a1e9de603917
13/02/2026 - The issues is resolved on HTML v50 - 1. Correct image is to be provided by the designer.
https://loom.com/i/ff22711eb8ab4a5b94f485b352d2b05d</t>
  </si>
  <si>
    <t>UAT_CR_256</t>
  </si>
  <si>
    <t>Side Bar Menu --&gt; Best For --&gt; More button --&gt; Sentence below</t>
  </si>
  <si>
    <t>The "Best For" sentence that appears after clicking more button doesn't match the updated content file</t>
  </si>
  <si>
    <t>https://www.loom.com/i/90c7ddf284d347329bfc150ef8bc9c49</t>
  </si>
  <si>
    <t>UAT_CR_257</t>
  </si>
  <si>
    <t>Side Bar Menu --&gt; Background image</t>
  </si>
  <si>
    <t>The card specific background image is not used and the default light theme side bar menu image is used.</t>
  </si>
  <si>
    <t>https://www.loom.com/i/845e4e6b5c864401856ca19306075dc9</t>
  </si>
  <si>
    <t>06/02/2026 - Have been asked to verify this issue on PVT now and the card specific banner image is uploaded there. If any specifc issue found in the image, will log a new bug as advised by Neha ma'am</t>
  </si>
  <si>
    <t>UAT_CR_258</t>
  </si>
  <si>
    <t>https://www.loom.com/i/9c336b8ec1ba4b69ab8ee977bc30f7cc</t>
  </si>
  <si>
    <t>UAT_CR_259</t>
  </si>
  <si>
    <t>https://www.loom.com/i/bebb259b14064cbbbfd8a787e9e2cb0b</t>
  </si>
  <si>
    <t>UAT_CR_260</t>
  </si>
  <si>
    <t>The size of the credit card image is smaller than required. Check the actual vs expected result</t>
  </si>
  <si>
    <t>https://www.loom.com/i/e0c92bafc5524202a2fe13eaa848fc7c</t>
  </si>
  <si>
    <t>https://loom.com/i/6f4884d3fd4648488080a45acd115559</t>
  </si>
  <si>
    <t>UAT_CR_261</t>
  </si>
  <si>
    <t>https://www.loom.com/i/7039bcd90ac44793a385c7d9ff64c504</t>
  </si>
  <si>
    <t>UAT_CR_262</t>
  </si>
  <si>
    <t>https://www.loom.com/i/c58d89cd40f6402ca14639e806ccfb8b</t>
  </si>
  <si>
    <t>UAT_CR_263</t>
  </si>
  <si>
    <t>Entire Page --&gt; Theme</t>
  </si>
  <si>
    <t>Incorrect theme is being followed for the page. BPCL SBI Card Octane should have the Dark theme. Instead it has the Dark + Pulse card theme.</t>
  </si>
  <si>
    <t>https://loom.com/i/2ecffda2331f4e399754e3092cab57c7</t>
  </si>
  <si>
    <t>https://loom.com/i/73bf2203a39348128e143d400e0289e8</t>
  </si>
  <si>
    <t>The issue was there as evident in the screenshot but is no longer appearing therefore resolved.</t>
  </si>
  <si>
    <t>UAT_CR_264</t>
  </si>
  <si>
    <t>https://www.loom.com/i/7b3599d79a6c426eb63d5d5b66bed197</t>
  </si>
  <si>
    <t>UAT_CR_265</t>
  </si>
  <si>
    <t>https://www.loom.com/i/f75c8e032f5246f6b703361e97859c4a</t>
  </si>
  <si>
    <t>UAT_CR_266</t>
  </si>
  <si>
    <t>https://www.loom.com/i/2bac8df5d0094e6295f97bb5a8c3896f</t>
  </si>
  <si>
    <t>UAT_CR_267</t>
  </si>
  <si>
    <t>https://www.loom.com/i/333e5f190e014d2c92ed79705229d247</t>
  </si>
  <si>
    <t>UAT_CR_268</t>
  </si>
  <si>
    <t>https://www.loom.com/i/e352494a26aa47758fb722dcda216f2c</t>
  </si>
  <si>
    <t>UAT_CR_269</t>
  </si>
  <si>
    <t>Paytm SBI Card Select Paytm SBI Card</t>
  </si>
  <si>
    <t>Side Bar Menu --&gt; Background --&gt; Floral image on the left &amp; right</t>
  </si>
  <si>
    <t>The floral image on the left &amp; right are very light in colour as a result not sufficiently visible when compared with the result expected. Check the screenshots.</t>
  </si>
  <si>
    <t>https://www.loom.com/i/830255571527446ab9855ed476dc4d7c</t>
  </si>
  <si>
    <t>https://www.loom.com/i/cdd4472af1df4a339d7c5aa07c894d81</t>
  </si>
  <si>
    <t>25/02/2026 - The updated floral images has been sent to SBI Team, therefore assigning this issue to Neha Jain &amp; changing the platform column from HTML/CSS to PVT
13/02/2026 - This is due to opacity of the image kept to 50% intentionally so the Credit card title is readable in case the floral image overlaps with it. The designer has provided brighter floral images such that they do not look as much dull as they currently do when opacity is reduced. Screenshot of how it should look - https://loom.com/i/f7c079165d88467da1fe4f580158b040</t>
  </si>
  <si>
    <t>UAT_CR_270</t>
  </si>
  <si>
    <t>https://www.loom.com/i/cd903bada5514f019f4876cc55cce7e2</t>
  </si>
  <si>
    <t>UAT_CR_271</t>
  </si>
  <si>
    <t>https://www.loom.com/i/f8a1d7d3f8dd438ca62cec80cd73e4ea</t>
  </si>
  <si>
    <t>UAT_CR_272</t>
  </si>
  <si>
    <t>https://www.loom.com/i/abe4e96d68424340aa7bdb1a724814af</t>
  </si>
  <si>
    <t>UAT_CR_273</t>
  </si>
  <si>
    <t>https://www.loom.com/i/21486ccb818649bfad32f33a9e1a9ce2</t>
  </si>
  <si>
    <t>UAT_CR_274</t>
  </si>
  <si>
    <t>Sections</t>
  </si>
  <si>
    <t>Cashback, Air India SBI Signature, Air India SBI Platinum</t>
  </si>
  <si>
    <t>Entire Page --&gt; Check if any sections of the page appear</t>
  </si>
  <si>
    <t>SBI Cashback Card - https://sbi-sit1.sbicard.com/html/en/personal/credit-cards/cashback-sbi-card.html
Air India SBI Signature Card - https://sbi-sit1.sbicard.com/html/en/personal/credit-cards/air-india-sbi-signature-card.html
Air India SBI Platinum Card - https://sbi-sit1.sbicard.com/html/en/personal/credit-cards/air-india-sbi-platinum-card.html</t>
  </si>
  <si>
    <t>https://loom.com/i/b6e0810a9f474576a00af294f820e0ef</t>
  </si>
  <si>
    <t>Page is not appearing</t>
  </si>
  <si>
    <t>UAT_CR_275</t>
  </si>
  <si>
    <t>Unnati SBI Card</t>
  </si>
  <si>
    <t>https://www.loom.com/i/e20fcd89883b45febcd8cca2b64e4df2</t>
  </si>
  <si>
    <t>UAT_CR_276</t>
  </si>
  <si>
    <t>https://www.loom.com/i/1e32b1e72a384724bd3cf976d3b30193</t>
  </si>
  <si>
    <t>UAT_CR_277</t>
  </si>
  <si>
    <t>Explore Rewards --&gt; Any tab other than milestone rewards</t>
  </si>
  <si>
    <t>For rewards other than milestone, no bar and text needed on the image and instead a center positioned image need to be used.</t>
  </si>
  <si>
    <t>https://www.loom.com/i/a773a3165c4e42e1803283ba3b0f8b05</t>
  </si>
  <si>
    <t>25/02/2026 - There are no milestones content for text animation received for the cards therefore we used the center aligned image.
23/02/2026 - Fixed on devsit1</t>
  </si>
  <si>
    <t>27/02/2026 - As the initial issue is now resolved, closing this one and logging a separate issue for the remark mentioned below because as per Neha Laddha ma'am, they didn't receive the milestone text animation content so there was nothing to upload, as a result they had to use center aligned images even in case of milestone benefit.
24/02/2026 - This is not a UI issue but a creatives issue instead. Therefore, this can only be closed when it works as expected and as of now that is not the case as these 2 cards still have this issue on pvt - 
Air India SBI Signature Card - 
https://loom.com/i/ccd2289dfc824f158ae12ea106cea061
Club Vistara SBI Card -
https://loom.com/i/854c4a4ba1984c41a2fa4ad70bd99733
10/02/2026 - When checked few of the credit card URLs, some had milestones appearing in tab other than milestone benefits -https://www.loom.com/i/27cae345a1e04065a4847eaedad528e2</t>
  </si>
  <si>
    <t>UAT_CR_278</t>
  </si>
  <si>
    <t>https://www.loom.com/i/e1e1fc51527a48f7b4b876722ef5e605</t>
  </si>
  <si>
    <t>UAT_CR_279</t>
  </si>
  <si>
    <t>https://www.loom.com/i/06611fb8b5c2449f87ac29bea13a72a9</t>
  </si>
  <si>
    <t>UAT_CR_280</t>
  </si>
  <si>
    <t>https://www.loom.com/i/6278b43926c74b3ab8ef87c542dc12d9</t>
  </si>
  <si>
    <t>UAT_CR_281</t>
  </si>
  <si>
    <t>https://www.loom.com/i/854098eaef124193b2af23dc723d3308</t>
  </si>
  <si>
    <t>UAT_CR_282</t>
  </si>
  <si>
    <t>KrisFyler SBI Card</t>
  </si>
  <si>
    <t>https://www.loom.com/i/9a2e0f41530b45809dc962021bb4bc97</t>
  </si>
  <si>
    <t>UAT_CR_283</t>
  </si>
  <si>
    <t>The floral image on the left &amp; right are very light in colour as a result not sufficiently bright when compared with the result expected. Check the screenshots. Same issue persists in Krisflyer Apex card - https://sbi-sit1.sbicard.com/html/en/personal/credit-cards/krisflyer-sbi-card-apex.html</t>
  </si>
  <si>
    <t>https://www.loom.com/i/59128d7a7b0f49d2ab379c4d40d5dfc0</t>
  </si>
  <si>
    <t>https://www.loom.com/i/8c4245cbb1824cd187d66ebed82bb295</t>
  </si>
  <si>
    <t>UAT_CR_284</t>
  </si>
  <si>
    <t>The card specific background image is not used and the default dark + gold theme side bar menu image is used.</t>
  </si>
  <si>
    <t>https://www.loom.com/i/3cbe6117a137476d9606592b9b304de5</t>
  </si>
  <si>
    <t>UAT_CR_285</t>
  </si>
  <si>
    <t>Devices above 1800px width --&gt; Side Bar Menu --&gt; Background image</t>
  </si>
  <si>
    <t>The background image doesn't adjust appropriately for devices above 1800px width, as a result only the coconut tree in the image is visible and not anything else.</t>
  </si>
  <si>
    <t>https://www.loom.com/i/ce7b48105b7344dfb2bc917b901bef67</t>
  </si>
  <si>
    <t>https://www.loom.com/i/db914844b35845d192834973058b6a79</t>
  </si>
  <si>
    <t>18/02/2026 - The issue is resolved on devsit1 - https://loom.com/i/2779d05612d6415a8e002c0b15a5b75a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
06/02/2026 - Another image for extra large screens should be created</t>
  </si>
  <si>
    <t>UAT_CR_286</t>
  </si>
  <si>
    <t>https://www.loom.com/i/cea774152789409089a30e3561e73b4e</t>
  </si>
  <si>
    <t>UAT_CR_287</t>
  </si>
  <si>
    <t>Shopping Cards Category Pages</t>
  </si>
  <si>
    <t>Other Features section --&gt; Section image on the right</t>
  </si>
  <si>
    <t>The section image is too big to fit in the section in case of desktops &amp; ipads / Tablets. It gets clipped from the top or bottom. Also, if the content is reduced or user decreases the font size, the section height reduces accordingly so the image size should be such that in all scenarios it doesn't get clipped.</t>
  </si>
  <si>
    <t>https://www.loom.com/i/05f684dc40e2419db2043c9a6fae1158</t>
  </si>
  <si>
    <t>23/02/2026 - Fixed on devsit1
Small size image required</t>
  </si>
  <si>
    <t>12/03/2026 - The issue is resolved on sbi-pvt - https://loom.com/i/295d53d6a0934c1f9fbaa90d1b19a8c5
27/02/2026 - The Landmark Rewards SBI Card still has the old image that gets cropped - https://loom.com/i/573de4ae5364450aab6d83f4dcd24553
24/02/2026 - This not a UI issue but a creatives issue instead. Therefore, it needs to be resolved on pvt in order to get closed and it is currently not as expected on pvt. Also, Even though new small images are used, they still get cropped if font size is reduced, in case of the following cards - 
Landmark Rewards SBI Card Prime - https://loom.com/i/e7d0feceba0e49c7b75cc45309873493
Landmark Rewards SBI Card - https://loom.com/i/573de4ae5364450aab6d83f4dcd24553
09/02/2026 - The image has already been provided
05/02/2026 - The issue is reproducable - https://www.loom.com/i/729b0293946b44f58b843cf50828ff30</t>
  </si>
  <si>
    <t>UAT_CR_288</t>
  </si>
  <si>
    <t>Travel &amp; Fuel Category Pages</t>
  </si>
  <si>
    <t>https://www.loom.com/i/4bf0dc0c418242e6b3e4306a697cf67b</t>
  </si>
  <si>
    <t>27/02/2026 - The issue is resolved on sbi-pvt - https://loom.com/i/bb625555096b47949a7e95396e17b812
24/02/2026 -  This not a UI issue but a creatives issue instead. Therefore, it needs to be resolved on pvt.
09/02/2026 - The image has already been provided
05/02/2026 - The issue is reproducable - https://www.loom.com/i/65713d7f3ab2433984c6d5408edb256e</t>
  </si>
  <si>
    <t>UAT_CR_289</t>
  </si>
  <si>
    <t>All Pages with Milestone Benefits</t>
  </si>
  <si>
    <t>Explore Rewards --&gt; Milestone Benefits --&gt; Subtitle text on the image</t>
  </si>
  <si>
    <t>Subtitle text starts to overlap the image causing readability issue</t>
  </si>
  <si>
    <t>https://www.loom.com/i/4f0c3905833a4d66954e4e76da0d9af9</t>
  </si>
  <si>
    <t>05/03/2026 - The issue was already marked as resolved on 2nd March 2026
02/03/2026 - The issue is being marked as resolved because as instructed by Arun sir, I needed to list all instances where the overlapping still happens, therefore a new sheet - "Explore Cards Text Overlap" has been added in the workbook that contains all the failed instances.
20/02/2026 - As discussed on UAT discussion call with Neha Jain &amp; Durga ma'am, they cannot update the latest content on devsit1 and this fix currently only exists on devsit1 therefore it can only be verified when the devsit1 fixes are carried forward to pvt.
20/02/2026 - The issue is fixed on devsit. However, devsit has center aligned images even in case of milestone benefits therefore the text is overlapping anyway. It cannot be determined whether or not it will overlap with the correct images until they are used - https://www.loom.com/i/b245a6f47bd64233adc010c7951b3ec3
13/02/2026 - Unable to test this as cannot change text due to constantly changing text animation. However, they way the element is getting hightlighted, it seems like there is still the chance of the text slightly getting overlaped on the image on the right - https://www.loom.com/share/172f88b5309a4e10ae4df947b801dd1b</t>
  </si>
  <si>
    <t>UAT_CR_290</t>
  </si>
  <si>
    <t>Milestone Bar</t>
  </si>
  <si>
    <t>Explore Rewards --&gt; Milestone Benefits --&gt; Progress Bar below the image</t>
  </si>
  <si>
    <t>In case of a single milestone, the bar tick appears at the start without any label which also cannot be animated as being filled from left to right.</t>
  </si>
  <si>
    <t>https://www.loom.com/i/580ed19f2a4e4426aa31f5e362dbaf76</t>
  </si>
  <si>
    <t>UAT_CR_291</t>
  </si>
  <si>
    <t xml:space="preserve">Indigo SBI Card Elite, Indigo SBI Card </t>
  </si>
  <si>
    <t>PVT --&gt; Indigo SBI Card Elite, Indigo SBI Card --&gt; Side Bar Banner</t>
  </si>
  <si>
    <t>The left or right floral images go missing in case of iPads/tablets, desktops and for large screens around 1920px or above, the left floral image UI breaks</t>
  </si>
  <si>
    <t>https://www.loom.com/i/b51721dc0a914016a5042a0cb4de97ed</t>
  </si>
  <si>
    <t>27/02/2026 - The issue is resolved on pvt - 
https://loom.com/i/e330b8f5c9ff4d4eb77cd9e2209ed01c
https://loom.com/i/98e97ffd41654475a7f9c37029587e58
13/02/2026 - This is because the floral images where not separate and were a part of the banner image for the mentioned pages, designer has shared separate floral images that need to be implemented</t>
  </si>
  <si>
    <t>UAT_CR_292</t>
  </si>
  <si>
    <t>KrisFlyer SBI Card Apex  Paytm Select SBI Card, PhonePe SBI Card Select Black</t>
  </si>
  <si>
    <t>PVT --&gt; KrisFlyer SBI Card Apex  &amp; PayTM Select SBI Card --&gt; Explore Rewards --&gt; Section Image</t>
  </si>
  <si>
    <t>The section image is incorrect. Lifestyle golden theme image is used instead of Travel &amp; Fuel category image for KrisFlyer &amp; Rewards image for Paytm Select SBI Card&amp; PhonePe Black Card</t>
  </si>
  <si>
    <t>05/03/2026 - The issue is resolved on sbi-pvt - 
PhonePe SBI Card Select Black - https://loom.com/i/f55a2a9e23914ada973179a26263da23
PayTM SBI Card Select - https://loom.com/i/9ed25bfc9e1f4927aefd33d6f5e730d4
KrisFlyer SBI Card Apex - https://loom.com/i/faa6cec1e80f426f8350e1ed2afd0e98
27/02/2026 - The issue is not resolved on sbi-pvt yet.
24/02/2026 -  This not a UI issue but a creatives issue instead. Therefore, it needs to be resolved on pvt in order to get closed.</t>
  </si>
  <si>
    <t>UAT_CR_293</t>
  </si>
  <si>
    <t>Mobile Phones, iPads / Tablets</t>
  </si>
  <si>
    <t xml:space="preserve">IRCTC SBI Card Premier </t>
  </si>
  <si>
    <t xml:space="preserve">PVT --&gt; IRCTC SBI Card Premier --&gt; Side bar menu --&gt;Banner image. </t>
  </si>
  <si>
    <t>The image goes blank/white in case of mobile phones, iPads / Tablets</t>
  </si>
  <si>
    <t>https://www.loom.com/i/07941be196234d4f922ebb44199c2f5f</t>
  </si>
  <si>
    <t>16/02/2026 - Fixed on PVT</t>
  </si>
  <si>
    <t>17/02/2026 - The issue is resolved on pvt - https://loom.com/i/8a8546c9fcfb4295801f92a6e25e0c33</t>
  </si>
  <si>
    <t>UAT_CR_294</t>
  </si>
  <si>
    <t>PVT --&gt; IRCTC SBI Card Premier --&gt; Side bar menu --&gt; Banner image</t>
  </si>
  <si>
    <t>The sidebar banner image doesn't exactly match with the image in the assest file because it gets cropped from the top</t>
  </si>
  <si>
    <t>https://www.loom.com/i/b44c47656b1f42089514d6a0911291bd</t>
  </si>
  <si>
    <t>17/02/2026 - The issue is resolved on pvt - https://loom.com/i/131906a6a3db440bb48477adce7cb4f3
12/02/2026 - The image used in case of desktop is incorrect - Tablet image is being used. Instead, the images with new nomenclature needs to be implemented for each respective device.</t>
  </si>
  <si>
    <t>UAT_CR_295</t>
  </si>
  <si>
    <t>IRCTC SBI Platinum card</t>
  </si>
  <si>
    <t>PVT --&gt; IRCTC SBI Platinum card --&gt; Side bar menu --&gt; Banner image</t>
  </si>
  <si>
    <t>https://www.loom.com/i/0b102355215b4f089ce7d9f880079b1f</t>
  </si>
  <si>
    <t>23/02/2026 - Fixed on PVT
16/02/2026 - Fixed on PVT</t>
  </si>
  <si>
    <t>24/02/2026 - The issue is resolved on sbi-pvt - https://loom.com/i/ea740be3514c489c95e48b5f5330b990
17/02/2026 - The issue is still not resolved on pvt - https://loom.com/i/0b85104521e148229dfc20d683b14bb5</t>
  </si>
  <si>
    <t>UAT_CR_296</t>
  </si>
  <si>
    <t>PVT --&gt; All Credit Card Pages --&gt; Side Bar Menu --&gt; Credit Card Image</t>
  </si>
  <si>
    <t xml:space="preserve">All the credit card images should be the updated ones decided to use for the production instead of the dummy images that were being used till now. Dummy images have dummy names &amp; numbers like on cards - Flipkart SBI Card, Reliance SBI Card, Reliance SBI Card PRIME, Air India SBI Platinum, Etihad Guest SBI Premier Card, Club Vistara SBI Card PRIME, KRISFLYER SBI CARD, SBI Unnati Card, </t>
  </si>
  <si>
    <t>https://www.loom.com/i/1a499222c3034e60b7b449b06a35e861</t>
  </si>
  <si>
    <t>05/03/2026 - For all the mentioned cards, the dummy names &amp; numbers are still on the credit card images that are being used. New credit card faces have these dummy info removed and that needs to be used - https://www.loom.com/share/ddcf296e266c40498d5ad90b37ac0f77
27/02/2026 - The issue is still not resolved on sbi-pvt
24/02/2026 - This is a creatives issue rather than a UI issue therefore it can only be closed if fixed on PVT instead of devsit1. However, started when checking on devsti1, it wasn't fixed there as well - 
Air India SBI Platinum Card - 
https://loom.com/i/04c5033cd71542a4880cc5b3086e9366
Landmark Rewards SBI Card SELECT - 
https://loom.com/i/f4600f5e11d4461795e7ea0c33d76843
LANDMARK REWARDS SBI Card - 
https://loom.com/i/660f7fa10e2f491d9782c01c0df375d9
Landmark Rewards SBI Card Prime - https://loom.com/i/e4d7d21b14c24145b21522680a803dbc</t>
  </si>
  <si>
    <t>UAT_CR_297</t>
  </si>
  <si>
    <t>PVT --&gt; Flipkart --&gt; iPads / Tablets --&gt; Side Bar Menu</t>
  </si>
  <si>
    <t>The image gets cropped such that the "F" of flipkart is moved to the right instead of being at the center in case of iPads / Tablets</t>
  </si>
  <si>
    <t>https://www.loom.com/i/c79c0bd2a0b54a3f92ebe5442f9fd03b</t>
  </si>
  <si>
    <t>25/02/2026 - As discussed on call, the "F" in the side bar menu was getting cropped incorrectly due to a css property - background-size:cover which is now changed to contain instead of cover so the cropping has improved. However, the "F" in the banner image can not always come in the center - https://loom.com/i/28523a22f058448db718e0282cfcf5da
24/02/2026 - The bug is part of "Ob Summary(19/02/2026) but doesn't have any dev remark therefore no update can be shared regarding it.</t>
  </si>
  <si>
    <t>UAT_CR_298</t>
  </si>
  <si>
    <t>Large Screen Desktops</t>
  </si>
  <si>
    <t>PVT --&gt; All Credit Card Pages --&gt; Large screen Desktops (1920px or above) Side Bar Menu --&gt; Banner Images</t>
  </si>
  <si>
    <t>Need to have a separate image to use for large screen desktops as currently when normal size desktop images are used, they both loose quality and get cropped incorrectly.</t>
  </si>
  <si>
    <t>https://www.loom.com/i/1f9ee89c0cb9402ab06a65f3442e42c5</t>
  </si>
  <si>
    <t>27/02/2026 - The issue is resolved on sbi-pvt - https://loom.com/i/641d2fb2e34c4ca0a4396d8a14946778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t>
  </si>
  <si>
    <t>UAT_CR_299</t>
  </si>
  <si>
    <t>Exclusive Privileges --&gt; Mid/Large screen desktops &amp; iPads --&gt; Each card's title</t>
  </si>
  <si>
    <t>The width of the Title element of each card is not 100%. Instead, it is 80% in case of medium/large screen desktops and 50% in case of iPads. As a result, the title content goes to the next line even when there is plenty of space availble in the first line itself.</t>
  </si>
  <si>
    <t>https://loom.com/i/fc54eba201534b0e88e35d0dd691adde
https://loom.com/i/19d5f64f23104105b34196a0bf73807a</t>
  </si>
  <si>
    <t xml:space="preserve">23/02/2026 - The issue is resolved on devsit1 - https://www.loom.com/share/38df4673dd70425cbc75f109b3c19eb8
13/02/2026 - The issue is still not resolved in case of desktops more than 1400px width. Only resolved in case of iPads. On HTML v50 - 1 - https://www.loom.com/i/94bdb24e73c8429383b4b53230ef197d
</t>
  </si>
  <si>
    <t>UAT_CR_300</t>
  </si>
  <si>
    <t>All Dark Theme Pages</t>
  </si>
  <si>
    <t>PVT --&gt; All Dark Theme Pages --&gt; Tablets --&gt; Banner Image</t>
  </si>
  <si>
    <t>In case of tablets, the side bar banner image get cropped because of a css property - background-size: cover and due to this the image doesn't show up properly in iPads. In the screenshot columns, due to maintain clickability, only one of the mentioned pages' expected vs actual result screenshot is attached</t>
  </si>
  <si>
    <t>https://loom.com/i/d837ddaac0d8409381b53291313c81f5</t>
  </si>
  <si>
    <t>https://loom.com/i/331a311dae0a4f35969a4509a441a338</t>
  </si>
  <si>
    <t>24/02/2026 - Issue is resolved on devsit1 - https://www.loom.com/share/73e395e23d41485d8a9b605cf518d2d1
13/02/2026 - Ad discussed on call, this issue was because of the background-size: cover property in css only for dark without golden theme cards and therefore it cropped the images incorrectly  in case of iPads / Tablet screens. The property is now removed and this issue is fixed on HTML v50 - 1</t>
  </si>
  <si>
    <t>UAT_CR_301</t>
  </si>
  <si>
    <t>Paytm SBI Card, Landmark Rewards SBI Card Select, Landmark Rewards SBI Card, Landmark Rewards Prime, SBI Card Unnati</t>
  </si>
  <si>
    <t>PVT --&gt; Explore Rewards --&gt; Milestone Benefits --&gt; Bar position below the image</t>
  </si>
  <si>
    <t>Case when there is only 1 milestone, only a single bar tick/dot appears on the bar and that too without any label. As a result, the positioning of the bar goes away from the image instead of sticking at the bottom of it. As discussed on UAT discussion call, same milestone is to be shown twice with the same label in order to increase bar ticks for bar animation and correct positioning and therefore this bugs is marked as a content bug (Durga ma'am mentioned)</t>
  </si>
  <si>
    <t>https://www.loom.com/i/7f046b31401e4a34909a186d5479452f</t>
  </si>
  <si>
    <t>05/03/2026 - The issue is resolved on sbi-pvt - https://www.loom.com/i/1a2a04fe2c5d4f6ca0678af7852e34be
24/02/2026 - This is a pvt issue therefore can only be closed when fixed on PVT. Although, as of now this is not even fixed on devsit1 - https://www.loom.com/share/32b05733046743fdb73e6b41de87016a</t>
  </si>
  <si>
    <t>UAT_CR_302</t>
  </si>
  <si>
    <t>SBI Cashback card</t>
  </si>
  <si>
    <t xml:space="preserve">Explore Rewards --&gt; Card Cashback tab --&gt; </t>
  </si>
  <si>
    <t>On the "Card Cashback" tab, the Milestone reward images and text animation is used which is only supposed to come for "Milestone Benefits" Tab</t>
  </si>
  <si>
    <t>https://loom.com/i/17e0209838aa47ec8350868eba7ad895</t>
  </si>
  <si>
    <t>16/03/2026 - As was confirmed on UAT Discussion call by Namita ma'am earlier this month that the text animation was authored specially for this tab even though it is not a milestone benefit tab therefore this is not a bug, hence closing this issue.
24/02/2026 - The bug is part of "Ob Summary(19/02/2026) but doesn't have any dev remark therefore no update can be shared regarding it.</t>
  </si>
  <si>
    <t>UAT_CR_303</t>
  </si>
  <si>
    <t>Air India SBI Signature Card, Air India SBI Platinum Card, Club Vistara SBI Card, IRCTC SBI Platinum Card</t>
  </si>
  <si>
    <t>PVT --&gt; Mentioned Pages --&gt; Explore Rewards --&gt; Milestone Benefits</t>
  </si>
  <si>
    <t>Center aligned image is used which is incorrect and the milestone text animation is missing on the image</t>
  </si>
  <si>
    <t>https://www.loom.com/i/eb095c97e791434ea14e37c02c8f6979
https://loom.com/i/ccd2289dfc824f158ae12ea106cea061
https://loom.com/i/854c4a4ba1984c41a2fa4ad70bd99733</t>
  </si>
  <si>
    <t>05/03/2026 - Now correct images are being used for all the mentioned cards. However, for the cards where milestones text animation or bar doesn't appear, it is because it isn't present in the master sorting sheet. Such instances are already reported in the dedicated sheet "ExploreCards TextOverlap" therefore closing this issue here - https://loom.com/i/4aa76efb757b45c784fa7b2adb7d792b
24/02/2026 - The bug is part of "Ob Summary(19/02/2026) but doesn't have any dev remark therefore no update can be shared regarding it.</t>
  </si>
  <si>
    <t>UAT_CR_304</t>
  </si>
  <si>
    <t xml:space="preserve">IRCTC SBI Platinum Card </t>
  </si>
  <si>
    <t>PVT --&gt;  Explore Rewards --&gt; Milestone Benefits</t>
  </si>
  <si>
    <t>The bar and the milestone reward text animation on the image is missing</t>
  </si>
  <si>
    <t>https://www.loom.com/i/4e2a554613d04b5ca2d0e2a9ff97f40d</t>
  </si>
  <si>
    <t>24/02/2026 - The bug is part of "Ob Summary(19/02/2026) but doesn't have any dev remark therefore no update can be shared regarding it.</t>
  </si>
  <si>
    <t>UAT_CR_305</t>
  </si>
  <si>
    <t xml:space="preserve">PVT --&gt; Explore Rewards --&gt; Milestone Benefits </t>
  </si>
  <si>
    <t>Instead of the Bar &amp; the benefits text animation appearing in the milestone benefits tab image, it appears on the "Reward Benefits" tab image.</t>
  </si>
  <si>
    <t>https://www.loom.com/i/0dde967ca36d4faeaa4a991e49e30482</t>
  </si>
  <si>
    <t>UAT_CR_306</t>
  </si>
  <si>
    <t>Bar Positioning</t>
  </si>
  <si>
    <t>Apollo SBI Card Select, Doctor's SBI Card, Docter's SBI Card (IMA),  BPCL Octane, PhonePe SBI Card Black. Paytm Select SBI Card, Etihad Guest SBI Card, KrisFlyer SBI Card</t>
  </si>
  <si>
    <t>PVT --&gt; Mentioned Cards --&gt; Explore Rewards --&gt; Tab Image --&gt; Bar positioning</t>
  </si>
  <si>
    <t>Case when there are only 2 dot/bar ticks, the bar position is noticed to be slightly above the image instead being at the exact bottom. Notice how the image bottom is visible below the bar and compare with the actual vs expected result.</t>
  </si>
  <si>
    <t>https://www.loom.com/i/958e3606a8d64cfa88f2122a50fb3b4e</t>
  </si>
  <si>
    <t>https://www.loom.com/i/ca465be3ab7840ecb69cc5aafff39f94</t>
  </si>
  <si>
    <t>05/03/2026 - The issue is still not resolved - https://loom.com/i/cea54cc11b054c61a064261499275267
24/02/2026 - The issue is not yet resolved on devsit1 - https://www.loom.com/share/dc5be34a2a864c42bed74e794d9baeb6  However, as it issue occurs in case user increases or decreases the font or in case of iPads as shown in the recording.</t>
  </si>
  <si>
    <t>UAT_CR_307</t>
  </si>
  <si>
    <t>PVT --&gt; All Pages --&gt; Similar Cards section</t>
  </si>
  <si>
    <t>The logic behind the cards present in each page's similar cards section needs to be such that only same category card that fall under the same annual fee range should appear. Currently this logic is not implemented.Even if category logic gets followed, annual fee logic doesn't Example screenshot attached.</t>
  </si>
  <si>
    <t>https://loom.com/i/1ec7b39065b34346b8160f7f150a994a</t>
  </si>
  <si>
    <t>25/02/2026 - Fixed on devsit1 
23/02/2026 - Need Discussion</t>
  </si>
  <si>
    <t>05/03/2026 - As requested, a separate sheet named "Similar Cards Test Cases" have been created with all expected results and their current status, therefore marking this issue as resolved - https://loom.com/i/cc0ecce782cf4980beeb07ded467af8a
24/02/2026 - As this issue is marked as need discussion instead of fixed therefore didn't verify this.</t>
  </si>
  <si>
    <t>UAT_CR_308</t>
  </si>
  <si>
    <t>Same card that is currently open, also appears in the similar cards slide. A card cannot be a similar card for itself.</t>
  </si>
  <si>
    <t>https://www.loom.com/i/34ba63e164cc40d9a7a399a7778e6bd4</t>
  </si>
  <si>
    <t>05/03/2026 - The issue is resolved on sbi-pvt
24/02/2026 - The issue is resolved on devsit1. However, as this is a PVT issue therefore it can only be resolved once it gets resolved on pvt</t>
  </si>
  <si>
    <t>UAT_CR_309</t>
  </si>
  <si>
    <t>All Pages other than Plain Light theme</t>
  </si>
  <si>
    <t>Any page that doesn't have plain light theme --&gt; Other Features --&gt; Section Image --&gt; Compare the image with other images in other themes (in all devices)</t>
  </si>
  <si>
    <t>The "Other Features" section image isn't in a layout like flex or grid and is instead in an absolute position according to its parent container. Now, the values in the CSS Properties for the image container like "top", "right" &amp; "width" defines the image's size and position. These values are found to be different when light theme cards are compared with dark theme (with or without golden - including core cards). As a result, section image's size and position appear better in light theme cards and not in any other theme. Light theme CSS for the image needs to be copied for dark themes as well.</t>
  </si>
  <si>
    <t>https://www.loom.com/i/1d143d1826054f11810e8fb1b8095659</t>
  </si>
  <si>
    <t>25/02/2026 - As SBI Team is no longer picking any HTML/CSS fixes, this issue remains in HTML team's bucket but as requested by Arun sir, its priority has been changed to P3
16/02/2026 - As discussed on the UAT discussion call, Neha Laddha ma'am is not picking any CSS changes right now because release is scheduled for 19th Feb. Therefore it is marked as P3 and the SBI team will request for a fix regarding this in the next release only.</t>
  </si>
  <si>
    <t>UAT_CR_310</t>
  </si>
  <si>
    <t>Side Bar Menu --&gt; Best For --&gt; More button --&gt; Benefit sentence</t>
  </si>
  <si>
    <t>The Benefit sentence needs to be updated to "Shop and enjoy exclusive perks across Tata Neu and partner Tata brands." as per the latest content file</t>
  </si>
  <si>
    <t>https://www.loom.com/i/787f87bd8fd04d5e81bc31d5e8da43c4</t>
  </si>
  <si>
    <t>UAT_CR_311</t>
  </si>
  <si>
    <t>Key Benefits --&gt; 2nd Benefit</t>
  </si>
  <si>
    <t>The word "of" needs to be removed from the sentence "Annual Fee reversal on Rs. 1 lakh of annual spends"</t>
  </si>
  <si>
    <t>https://www.loom.com/i/9c9e07da41134c8ea746613e97735c10</t>
  </si>
  <si>
    <t>UAT_CR_312</t>
  </si>
  <si>
    <t>Explore Rewards --&gt; Reward Benefits Tab --&gt; All Bullet Points</t>
  </si>
  <si>
    <t>The 2% &amp; 5% needs to be removed from the 1st &amp; 2nd Bullet point. The 3rd bullet point needs to match with the point in the content file. 4th &amp; 5th Bullet points need to be removed.</t>
  </si>
  <si>
    <t>https://www.loom.com/i/51ea24900bf54ef686b3f78f0a0f49a7</t>
  </si>
  <si>
    <t>UAT_CR_313</t>
  </si>
  <si>
    <t>Exclusive Privileges --&gt; Spend Based Reversal --&gt; Icon</t>
  </si>
  <si>
    <t>The icon used is not correct as per the icon library. Check the screenshot</t>
  </si>
  <si>
    <t>https://www.loom.com/i/e5dc6dac332d402bbae45b2e16dc6844</t>
  </si>
  <si>
    <t>05/03/2026 - The issue is resolved on sbi-pvt - https://loom.com/i/957b9379c460422ba2f7acf0b2e46222</t>
  </si>
  <si>
    <t>UAT_CR_314</t>
  </si>
  <si>
    <t>Missing Content</t>
  </si>
  <si>
    <t>Exclusive Privileges --&gt; Reward Benefits --&gt; 4th Bullet point</t>
  </si>
  <si>
    <t>In case of mobile phones, the 4th bullet point goes missing for the Reward Benefits Privileges</t>
  </si>
  <si>
    <t>https://www.loom.com/i/fa7ad2fa2a6f45bbb577e3eec6d61dc7</t>
  </si>
  <si>
    <t>12/03/2026 - The issue has been checked on randomly picked credit card pages on sbi-pvt  - SBI card Prime, Club Vistara SBI Card, Titan SBI Card, SimplyClick &amp; SimplySave SBI Card, Shaurya Cards, Tata Neu Plus SBI Card, etc and has been found resolved - https://loom.com/i/0a03957c5d02403a853b57ef1c3fe23e
09/03/2026 - This bug was initially only for Tata Neu Plus SBI Card but when SBI Team confirmed that the way this section is made is - All the bullet points that are present in the front and back of each exclusive privileges card will appear in the mobile view as well but not the extra bullet points that are in the pop up modal that appear when user further clicks on more. Namita ma'am confirmed that this needs to be handled because there are T&amp;Cs in the bullet points that appear at the very last and they need to be included, to this Neha Laddha ma'am confirmed she will get this checked and will share an updated, till then need to consider this bug as a consolidated bug (something that needs to be fixed for all pages wherever it occurs and should be kept open)
05/03/2026 - HTML has Static content therefore cannot refer it regarding this. Plus, this was earlier working fine therefore needs to be discussed.</t>
  </si>
  <si>
    <t>UAT_CR_315</t>
  </si>
  <si>
    <t>Terms &amp; Documents Section --&gt; Most Important Terms &amp; Conditions Tab</t>
  </si>
  <si>
    <t>Clicking on the "Most Important Terms &amp; Conditions" Tab throws an error as it has incorrect link for redirection</t>
  </si>
  <si>
    <t>https://www.loom.com/i/ea8c423a1eb841c49c4bb0aa15a886f5</t>
  </si>
  <si>
    <t>05/03/2026 - As per the master sorting card excel sheet, the redirection should be to this link - https://www.sbicard.com/sbi-card-en/assets/docs/pdf/most-important-terms-and-conditions/mitc-english.pdf</t>
  </si>
  <si>
    <t>UAT_CR_316</t>
  </si>
  <si>
    <t xml:space="preserve">Apollo SBI Card Select, Flipkart SBI Card, Apollo SBI Card, Paytm SBI Card Select, SBI Card Prime </t>
  </si>
  <si>
    <t>For the mentioned cards, the image used as the section image is incorrect. The purple podium image is only to be used in case of Cashback SBI Card</t>
  </si>
  <si>
    <t>https://loom.com/i/fd4c189bffd14ed4a90a5b612fac45b4</t>
  </si>
  <si>
    <t>05/03/2026 - The issue is resolved on sbi-pvt - https://loom.com/i/0da17ac954b5447e8d115ab3907adef1</t>
  </si>
  <si>
    <t>UAT_CR_317</t>
  </si>
  <si>
    <t>Key Benefits --&gt; Image</t>
  </si>
  <si>
    <t>SBI Card Pulse being a core card has its own key benefits image but the default lifestyle theme image is being used.</t>
  </si>
  <si>
    <t>https://www.loom.com/i/c22fa40f2c08486fb0f4a5ec5bfc6799</t>
  </si>
  <si>
    <t>05/03/2026 - The issue is resolved on sbi-pvt - https://loom.com/i/9627ab4258534653baa2e364d3d3ceb3</t>
  </si>
  <si>
    <t>UAT_CR_318</t>
  </si>
  <si>
    <t>Exclusive Privileges --&gt; Mobile Phones --&gt; Image</t>
  </si>
  <si>
    <t>https://www.loom.com/i/ca1e8691a8eb4c43aa313176dddf3938</t>
  </si>
  <si>
    <t>05/03/2026 - The issue is resolved on sbi-pvt - https://loom.com/i/cc0ecce782cf4980beeb07ded467af8a</t>
  </si>
  <si>
    <t>UAT_CR_319</t>
  </si>
  <si>
    <t>A different image that doesn't have the background gradiance effect would be required as the current image's gradiance effect doesn't blend in well with the section's background colour</t>
  </si>
  <si>
    <t>https://www.loom.com/i/994b645b817c4e82872c88d12070e9db</t>
  </si>
  <si>
    <t>UAT_CR_320</t>
  </si>
  <si>
    <t>Side Bar --&gt; Banner Image</t>
  </si>
  <si>
    <t>The Banner image used in incorrect. Instead of SBI Card Miles Elite's Banner image (core card). The new image provided for SBI Card Miles should be used.</t>
  </si>
  <si>
    <t>https://www.loom.com/i/7f0b3bb7c7d94904bbfe02f543b111b5</t>
  </si>
  <si>
    <t>09/02/2026 - The issue is resolved on sbi-pvt on call by Neha Laddha ma'am - https://loom.com/i/c8bdbfafaf534724859202efdf6b6444</t>
  </si>
  <si>
    <t>UAT_CR_321</t>
  </si>
  <si>
    <t>Side Bar --&gt; iPads / Tablets --&gt; Landscape Mode --&gt; Banner Image</t>
  </si>
  <si>
    <t>The Side bar image doesn't contain itself in the entire side bar space and instead gets repeated in case of iPads / Tablets landscape mode.</t>
  </si>
  <si>
    <t>https://www.loom.com/share/935ba775e89f45eab397cf48fcc0eca0</t>
  </si>
  <si>
    <t>UAT_CR_322</t>
  </si>
  <si>
    <t xml:space="preserve"> Mobile Phones</t>
  </si>
  <si>
    <t>Side Bar --&gt; Mobile Phones --&gt; Landscape Mode --&gt; Banner Image</t>
  </si>
  <si>
    <t>The Side bar image gets cropped incorrectly and its elements are not properly visible in case of Mobile Phones in landscape mode</t>
  </si>
  <si>
    <t>https://www.loom.com/share/643f8c089526416ca8917e6efccab2ef</t>
  </si>
  <si>
    <t>UAT_CR_323</t>
  </si>
  <si>
    <t>Explore Rewards --&gt; Reward Benefits Tab --&gt; Image on the right</t>
  </si>
  <si>
    <t>Image for the Reward Benefits tab is incorrect. Instead of right aligned image, center aligned image needs to be used</t>
  </si>
  <si>
    <t>https://www.loom.com/i/1017a48d628e48b5ab85870c8ff048ab</t>
  </si>
  <si>
    <t>UAT_CR_324</t>
  </si>
  <si>
    <t>Explore Rewards --&gt; Reward Benefits --&gt; Section's Image on the right</t>
  </si>
  <si>
    <t>Shaurya SBI Card is a shopping card as per the card theme tracker we've been following for all the cards till now. Therefore, the shopping card's explore rewards image should be used.</t>
  </si>
  <si>
    <t>https://www.loom.com/i/18c237a848664e9da13fcfa7202d0a24</t>
  </si>
  <si>
    <t>UAT_CR_325</t>
  </si>
  <si>
    <t>Explore Rewards --&gt; Both Tabs --&gt; Section's Image</t>
  </si>
  <si>
    <t>Titan SBI Card being a shopping card as per the card theme tracker we've been following, the image in the explore rewards section should be used accordingly. Please check the screenshot.</t>
  </si>
  <si>
    <t>https://www.loom.com/i/5571d31c46b44c039b289f0148ddb095</t>
  </si>
  <si>
    <t>UAT_CR_326</t>
  </si>
  <si>
    <t>Other Features --&gt; Section's Image</t>
  </si>
  <si>
    <t>Titan SBI Card being a shopping card as per the card theme tracker we've been following, the image in Other Features section should be used accordingly. Please check the screenshot.</t>
  </si>
  <si>
    <t>https://www.loom.com/i/ca82b16029674a5b92ce7f48a3ad4f6c</t>
  </si>
  <si>
    <t>UAT_CR_327</t>
  </si>
  <si>
    <t>Key Benefits --&gt; Section Image</t>
  </si>
  <si>
    <t>Titan SBI Card being a shopping card as per the card theme tracker we've been following, the image in Key Benefits section should be used accordingly. Please check the screenshot.</t>
  </si>
  <si>
    <t>https://www.loom.com/i/f54122bf6c1044c9bd2579fde44cc472</t>
  </si>
  <si>
    <t>UAT_CR_328</t>
  </si>
  <si>
    <t>Mobile Phones --&gt; Exclusive Privileges --&gt; Section Image</t>
  </si>
  <si>
    <t>Titan SBI Card being a shopping card as per the card theme tracker we've been following, the image in Exclusive Privileges section in case of mobile phones should be used accordingly. Please check the screenshot.</t>
  </si>
  <si>
    <t>https://www.loom.com/i/f9d9b3de04aa4ccd9e2fe5c8044c5fbc</t>
  </si>
  <si>
    <t>UAT_CR_329</t>
  </si>
  <si>
    <t>Entire Page Theme</t>
  </si>
  <si>
    <t>SimplySAVE SBI Card being a core card has it's own theme instead of plain light theme. The same needs to be followed.</t>
  </si>
  <si>
    <t>https://loom.com/i/6f8acd44ed524434a9e4e74b02db9534</t>
  </si>
  <si>
    <t>https://loom.com/i/bdd7db005c2d4a8b87a69f298e81333c</t>
  </si>
  <si>
    <t>09/03/2026 - It is only resolved on sbifo-pvt but not on sbi-pvt - https://loom.com/i/4c1d78042a714fb685fc49879b4b44eb</t>
  </si>
  <si>
    <t>UAT_CR_330</t>
  </si>
  <si>
    <t>SimplyCLICK SBI Card being a core card has it's own theme instead of plain light theme. The same needs to be followed.</t>
  </si>
  <si>
    <t>https://loom.com/i/51686056e2cc47dea365a43b1b80bea7</t>
  </si>
  <si>
    <t>https://loom.com/i/1093d8e1f08f410c8af5b544cdcd2bd2</t>
  </si>
  <si>
    <t>09/03/2026 - The issue is resolved on sbi-pvt - https://loom.com/i/83a97ae4b3c64a318aed7d22d6765303</t>
  </si>
  <si>
    <t>UAT_CR_331</t>
  </si>
  <si>
    <t>Side Bar --&gt; Best For --&gt; Benefits --&gt; "Cashback Benefits", "Contactless Advantage"</t>
  </si>
  <si>
    <t>"Cashback Benefits", "Contactless Advantage" needs to be replaced with "Myntra Cashback", "Flipkart Cashback"</t>
  </si>
  <si>
    <t>https://www.loom.com/i/c6a7e68b25df43f59920429cbb005b35</t>
  </si>
  <si>
    <t>10/03/2026 - The issue is resolved on sbi-pvt - https://loom.com/i/eb72b780dddd4a969a26c69b03eb6363</t>
  </si>
  <si>
    <t>UAT_CR_332</t>
  </si>
  <si>
    <t>Key Benefits &amp; Exclusive Privileges Section Background Image --&gt; Image bottom</t>
  </si>
  <si>
    <t>The combined background image of the mentioned section has slider dots in the image itself. This needs to be corrected and sent to the SBI Team. Check the screenshot.</t>
  </si>
  <si>
    <t>https://www.loom.com/i/2c984bfe189141d8b66b416bab52dda2</t>
  </si>
  <si>
    <t>UAT_CR_333</t>
  </si>
  <si>
    <t>SimplyClick &amp; SimplySave SBI Card</t>
  </si>
  <si>
    <t>Other Features Section --&gt; Image on the Right</t>
  </si>
  <si>
    <t>The other features section image appears smaller in size when compared with the other cards in the shopping category. Check the screen recording.</t>
  </si>
  <si>
    <t>https://www.loom.com/share/b36e824267b04154b480c4f55f0e9b85</t>
  </si>
  <si>
    <t>12/03/2026 - As discussed in the UAT Discussion Call, this is because of the core card css class that gets applied on the image due to which same image appears normal on other pages but smaller on these 2 core cards. Therefore, this issue has been changed from PVT to HTML and as SBI Team is no longer picking any HTML/CSS fixes, therefore need to mark this issue as P3.</t>
  </si>
  <si>
    <t>UAT_CR_334</t>
  </si>
  <si>
    <t>Side Bar Banner Image</t>
  </si>
  <si>
    <t>The side bar image appears extra white in case of desktops and remains not found in case of touch devices. Check the actual vs expected result screenshots</t>
  </si>
  <si>
    <t>https://loom.com/i/eceaed4cfe504346938dd586b2d2d6b6
https://www.loom.com/i/26d276fb3cad47a297709e514ff96fa7</t>
  </si>
  <si>
    <t>https://loom.com/i/f603c4b6d6074f479f5e1d081604d2a3</t>
  </si>
  <si>
    <t>13/03/2026 - The issue has been resolved on UAT call on sbi-pvt - https://loom.com/i/ebc43714690e4500bbfb2b5bfa5ac182</t>
  </si>
  <si>
    <t>UAT_CR_335</t>
  </si>
  <si>
    <t>Product Videos section heading</t>
  </si>
  <si>
    <t>Instead of "Product Benefits" the heading should be "Product VIDEOS"</t>
  </si>
  <si>
    <t>https://www.loom.com/i/2c76cdc7775844419d304381a636b017</t>
  </si>
  <si>
    <t>UAT_CR_336</t>
  </si>
  <si>
    <t>Product Videos --&gt; 4th Video Thumbnail</t>
  </si>
  <si>
    <t>Due to the 4th video thumbnail aspect ratio not being consistent with the other thumbnail, it breaks the alignment</t>
  </si>
  <si>
    <t>https://www.loom.com/i/bb03412f169c4f048ff057b293919125</t>
  </si>
  <si>
    <t>UAT_CR_337</t>
  </si>
  <si>
    <t>Terms &amp; Documents section --&gt; Heading</t>
  </si>
  <si>
    <t>It should be "Documents" instead of "Document" in the section heading.</t>
  </si>
  <si>
    <t>UAT_CR_338</t>
  </si>
  <si>
    <t xml:space="preserve">Other Features section --&gt; Heading </t>
  </si>
  <si>
    <t>The word "Other" needs to be capitalized.</t>
  </si>
  <si>
    <t>17/03/2026 - The issue has been resolved on sbi-pvt - https://loom.com/i/bf05938d78ca46d3865399d195726c8d</t>
  </si>
  <si>
    <t>UAT_CR_339</t>
  </si>
  <si>
    <t>Credit Card Fees &amp; Charges section --&gt; Heading</t>
  </si>
  <si>
    <t>It should only be "Credit Card" instead of "Credit Cards" in the section heading.</t>
  </si>
  <si>
    <t>UAT_CR_340</t>
  </si>
  <si>
    <t>Ola Money SBI Card,  Paytm SBI Card, Paytm SBI Card Select</t>
  </si>
  <si>
    <t>Credit Card Fees &amp; Charges section --&gt; Joining &amp; Renewal Fee</t>
  </si>
  <si>
    <t>The Joining Fee should be written first followed by the Renewal Fee in the next line.</t>
  </si>
  <si>
    <t>UAT_CR_341</t>
  </si>
  <si>
    <t>The section heading is missing - "Credit Card". Unlike other credit card pages, here this section's title is simply written "Fees &amp; Charges"</t>
  </si>
  <si>
    <t>UAT_CR_342</t>
  </si>
  <si>
    <t>Credit Card Fees &amp; Charges --&gt; FAQs tab</t>
  </si>
  <si>
    <t>The Tab label should be "FAQs" instead of "FAQ's"</t>
  </si>
  <si>
    <t>Credit Card</t>
  </si>
  <si>
    <t>Cards to appear</t>
  </si>
  <si>
    <t>Cards Occurrence</t>
  </si>
  <si>
    <t>Card Sequence</t>
  </si>
  <si>
    <t>SBI Card Miles Elite
IndiGo SBI Card ELITE
Etihad Guest SBI Premier Card
Air India SBI Signature Card</t>
  </si>
  <si>
    <t>13/03/2026 - Card sequence issue resolved - https://loom.com/i/58358181db4d443ab212df996347b707
08/03/2026 - Card sequence doesn't match</t>
  </si>
  <si>
    <t>SimplyCLICK SBI Card
Flipkart SBI Card
Tata Neu Infinity SBI Card
Tata Neu Plus SBI Card
PhonePe SBI Card SELECT BLACK
PhonePe SBI Card PURPLE</t>
  </si>
  <si>
    <t>10/03/2026 - Implemented and closed.
06/03/2026 - As no cards clear the conditions to appear in the similar cards section for this card, the cards mentioned in the "cards to appear" section should be entered manually as per Namita ma'am</t>
  </si>
  <si>
    <t>Tata Neu Infinity SBI Card
PhonePe SBI Card SELECT BLACK
Apollo SBI Card SELECT
Paytm SBI Card SELECT
Shaurya Select SBI Card
Doctor's SBI Card (in association with IMA)</t>
  </si>
  <si>
    <t>SBI Card ELITE
SBI Card Miles Elite
IndiGo SBI Card ELITE
Etihad Guest SBI Premier Card</t>
  </si>
  <si>
    <t>13//03/2026 - Card sequence issue resolved - https://loom.com/i/5403273a6c4b4b5c842dee46540c66c7
08/03/2026 - Card sequence doesn't match</t>
  </si>
  <si>
    <t>IndiGo SBI Card
IRCTC SBI Card Premier
SBI Card MILES
BPCL SBI Card OCTANE
Club Vistara SBI Card
Etihad Guest SBI Card</t>
  </si>
  <si>
    <t>SBI Card PULSE
PhonePe SBI Card SELECT BLACK
Paytm SBI Card SELECT
Shaurya Select SBI Card</t>
  </si>
  <si>
    <t>CASHBACK SBI Card
SimplyCLICK SBI Card
Tata Neu Infinity SBI Card
Tata Neu Plus SBI Card
PhonePe SBI Card SELECT BLACK
PhonePe SBI Card PURPLE</t>
  </si>
  <si>
    <t>13/03/2026 - The issue is resolved on sbi-pvt - https://loom.com/i/124fb85548c74ac99f08048fc88d0481
06/03/2026 - As no cards clear the conditions to appear in the similar cards section for this card, the cards mentioned in the "cards to appear" section should be entered manually as per Namita ma'am</t>
  </si>
  <si>
    <t>SimplyCLICK SBI Card
SimplySAVE SBI Card
Reliance SBI Card
Paytm SBI Card
OLA Money SBI Card
Tata Card</t>
  </si>
  <si>
    <t>09/03/2026 - After receiving the updated master sorting sheet, this card occurences are correct as per the new sheet.
05/03/2026 - SBI Card Unnati is not present and instead Tata Card is included. Tata Card is no where to be found in the master soring list</t>
  </si>
  <si>
    <t>SBI Card PRIME
KrisFlyer SBI Card
SBI Card MILES PRIME
Titan SBI Card
Reliance SBI Card PRIME
Club Vistara SBI Card PRIME</t>
  </si>
  <si>
    <t>13/03/2026 - Card sequence issue is resolved - https://loom.com/i/82e037a82ff04bea89b125e5eb69f512
08/03/2026 - Card sequence doesn't match</t>
  </si>
  <si>
    <t>IndiGo SBI Card
IRCTC SBI Card Premier
SBI Card MILES
BPCL SBI Card OCTANE
Club Vistara SBI Card
Air India SBI Platinum Card</t>
  </si>
  <si>
    <t>SBI Card PULSE
Tata Neu Infinity SBI Card
Doctor's SBI Card (in association with IMA)</t>
  </si>
  <si>
    <t>SBI Card ELITE
SBI Card PRIME
BPCL SBI Card OCTANE</t>
  </si>
  <si>
    <t>11/03/2026 - Issue resolved on sbi-pvt - https://loom.com/i/aa71068983cd439abb44380d9f548628
06/03/2026 - As no cards clear the conditions to appear in the similar cards section for this card, the cards mentioned in the "cards to appear" section should be entered manually as per Namita ma'am</t>
  </si>
  <si>
    <t>SBI Card ELITE
SBI Card Miles Elite
IndiGo SBI Card ELITE
Air India SBI Signature Card</t>
  </si>
  <si>
    <t>13/03/2026 - The issue is resolved on sbi-pvt - https://loom.com/i/92db7daf7ecd49c5bde12055aebc58ff
08/03/2026 - Card sequence doesn't match</t>
  </si>
  <si>
    <t>SBI Card PULSE
Tata Neu Infinity SBI Card
Doctor's SBI Card</t>
  </si>
  <si>
    <t>IndiGo SBI Card
IRCTC SBI Card Premier
SBI Card MILES
Club Vistara SBI Card
Etihad Guest SBI Card
Air India SBI Platinum Card</t>
  </si>
  <si>
    <t>IndiGo SBI Card
IRCTC SBI Card Premier
SBI Card MILES
BPCL SBI Card OCTANE
Etihad Guest SBI Card
Air India SBI Platinum Card</t>
  </si>
  <si>
    <t>SimplyCLICK SBI Card
PhonePe SBI Card PURPLE
Paytm SBI Card</t>
  </si>
  <si>
    <t>13/03/2026 - Issue is resolved on sbi-pvt - https://loom.com/i/0372e33905dd4f2aa67bf3780ce4610f
08/03/2026 - The Simply Save Card is not supposed to be in the section because it doesn't come in the rewards category</t>
  </si>
  <si>
    <t>SBI Card PRIME
KrisFlyer SBI Card
SBI Card MILES PRIME
Titan SBI Card
Reliance SBI Card PRIME
Landmark Rewards SBI Card PRIME</t>
  </si>
  <si>
    <t>13/03/2026 - The issue is resolved on sbi-pvt - https://loom.com/i/0e2b447cbc8d4d5eb6acf2486b06569a
08/03/2026 - Card sequence doesn't match</t>
  </si>
  <si>
    <t>IndiGo SBI Card
IRCTC SBI Card Premier
SBI Card MILES</t>
  </si>
  <si>
    <t>13/03/2026 - The issue is resolved on sbi-pvt - https://loom.com/i/90e0f9b92c7c4fc7bd40b910cb703234
06/03/2026 - As no cards clear the conditions to appear in the similar cards section for this card, the cards mentioned in the "cards to appear" section should be entered manually as per Namita ma'am</t>
  </si>
  <si>
    <t>IndiGo SBI Card
SBI Card MILES
BPCL SBI Card OCTANE
Club Vistara SBI Card
Etihad Guest SBI Card
Air India SBI Platinum Card</t>
  </si>
  <si>
    <t>SimplyCLICK SBI Card
SimplySAVE SBI Card
Reliance SBI Card
Paytm SBI Card
Landmark Rewards SBI Card
Tata Card</t>
  </si>
  <si>
    <t>SBI Card PRIME
SBI Card MILES PRIME
Titan SBI Card
Reliance SBI Card PRIME
Landmark Rewards SBI Card PRIME
Club Vistara SBI Card PRIME</t>
  </si>
  <si>
    <t>13/03/2026 - The card sequence issue is resolved on sbi-pvt - https://loom.com/i/7b1f44418077447cbec0f98288f07e9b
08/03/2026 - Card sequence doesn't match</t>
  </si>
  <si>
    <t>TATA NEU Infinity SBI Card</t>
  </si>
  <si>
    <t>SBI Card PULSE
PhonePe SBI Card SELECT BLACK
Doctor's SBI Card (in association with IMA)
Doctor's SBI Card</t>
  </si>
  <si>
    <t>SimplyCLICK SBI Card
Tata Neu Plus SBI Card
Paytm SBI Card
Apollo SBI Card</t>
  </si>
  <si>
    <t>13/03/2026 - Issue is resolved on sbi-pvt - https://loom.com/i/2e8df92117724e9f90d321f86f28b2ec
08/03/2026 - SimplySAVE card doesn't come in rewards or cashback category so it should not come in this card's similar cards section</t>
  </si>
  <si>
    <t>SBI Card PULSE
PhonePe SBI Card SELECT BLACK
Apollo SBI Card SELECT
Landmark Rewards SBI Card SELECT
Shaurya Select SBI Card</t>
  </si>
  <si>
    <t>SBI Card ELITE
IndiGo SBI Card ELITE
Etihad Guest SBI Premier Card
Air India SBI Signature Card</t>
  </si>
  <si>
    <t>SBI Card ELITE
SBI Card Miles Elite
Etihad Guest SBI Premier Card
Air India SBI Signature Card</t>
  </si>
  <si>
    <t>SimplyCLICK SBI Card
SimplySAVE SBI Card
Paytm SBI Card
Landmark Rewards SBI Card
OLA Money SBI Card
Tata Card</t>
  </si>
  <si>
    <t>Reliance SBI card prime</t>
  </si>
  <si>
    <t>SBI Card PRIME
KrisFlyer SBI Card
SBI Card MILES PRIME
Titan SBI Card
Landmark Rewards SBI Card PRIME
Club Vistara SBI Card PRIME</t>
  </si>
  <si>
    <t>13/03/2026 - The card sequence issue is resolved - https://loom.com/i/1412a9d541384a69a8855c1d6bd8dc55
08/03/2026 - Card sequence doesn't match</t>
  </si>
  <si>
    <t>IRCTC SBI Card Premier
SBI Card MILES
BPCL SBI Card OCTANE
Club Vistara SBI Card
Etihad Guest SBI Card
Air India SBI Platinum Card</t>
  </si>
  <si>
    <t>SBI Card PULSE
Tata Neu Infinity SBI Card
Apollo SBI Card SELECT
Paytm SBI Card SELECT
Shaurya Select SBI Card</t>
  </si>
  <si>
    <t>SimplyCLICK SBI Card
SimplySAVE SBI Card
PhonePe SBI Card PURPLE
Reliance SBI Card
Landmark Rewards SBI Card
OLA Money SBI Card</t>
  </si>
  <si>
    <t>KrisFlyer SBI Card
SBI Card MILES PRIME
Titan SBI Card
Reliance SBI Card PRIME
Landmark Rewards SBI Card PRIME
Club Vistara SBI Card PRIME</t>
  </si>
  <si>
    <t>13/03/2026 - The card sequence issue is resolved - https://loom.com/i/ab10db45f71248278a7f06ff0874e01a
08/03/2026 - Card sequence doesn't match</t>
  </si>
  <si>
    <t>IndiGo SBI Card
IRCTC SBI Card Premier
BPCL SBI Card OCTANE
Club Vistara SBI Card
Etihad Guest SBI Card
Air India SBI Platinum Card</t>
  </si>
  <si>
    <t>SBI Card Miles PRIME</t>
  </si>
  <si>
    <t>SBI Card PRIME
KrisFlyer SBI Card
Titan SBI Card
Reliance SBI Card PRIME
Landmark Rewards SBI Card PRIME
Club Vistara SBI Card PRIME</t>
  </si>
  <si>
    <t>13/03/2026 - The issue is resolved on sbi-pvt - https://loom.com/i/7a0e1fe363c440c49e3c5956419d4856</t>
  </si>
  <si>
    <t>SimplyCLICK SBI Card
SimplySAVE SBI Card
Reliance SBI Card
Paytm SBI Card
Landmark Rewards SBI Card
OLA Money SBI Card</t>
  </si>
  <si>
    <t>13/03/2026 - The issue is resolved on sbi-pvt - https://loom.com/i/82d0951fd55f47ee89c8b0751840d74e
08/03/2026 - Simlar Cards section is missing</t>
  </si>
  <si>
    <t>Simply CLICK SBI Card</t>
  </si>
  <si>
    <t>SimplySAVE SBI Card
PhonePe SBI Card PURPLE
Reliance SBI Card
Paytm SBI Card
Landmark Rewards SBI Card
OLA Money SBI Card</t>
  </si>
  <si>
    <t>Simply SAVE SBI Card</t>
  </si>
  <si>
    <t>SimplyCLICK SBI Card
Reliance SBI Card
Paytm SBI Card
Landmark Rewards SBI Card
OLA Money SBI Card
Tata Card</t>
  </si>
  <si>
    <t>PhonePe SBI Card Purple should not be in the section and instead Tata Card should be present</t>
  </si>
  <si>
    <t>SBI Card PRIME
KrisFlyer SBI Card
SBI Card MILES PRIME
Reliance SBI Card PRIME
Landmark Rewards SBI Card PRIME
Club Vistara SBI Card PRIME</t>
  </si>
  <si>
    <t>SBI Card PRIME
SBI Card PULSE
Shaurya Select SBI Card
Apollo SBI Card</t>
  </si>
  <si>
    <t>13/03/2026 - The issue is resolved on sbi-pvt - https://loom.com/i/d256c0cf825a44939e2ad0e583639883
06/03/2026 - As no cards clear the conditions to appear in the similar cards section for this card, the cards mentioned in the "cards to appear" section should be entered manually as per Namita ma'am</t>
  </si>
  <si>
    <t>SBI Card PULSE
PhonePe SBI Card SELECT BLACK
Apollo SBI Card SELECT
Paytm SBI Card SELECT</t>
  </si>
  <si>
    <t>Filter Type</t>
  </si>
  <si>
    <t>Criteria</t>
  </si>
  <si>
    <t>Cards</t>
  </si>
  <si>
    <t>Filter Status</t>
  </si>
  <si>
    <t>Sequence Status</t>
  </si>
  <si>
    <t>Remark</t>
  </si>
  <si>
    <t>TAGS</t>
  </si>
  <si>
    <t>Premium</t>
  </si>
  <si>
    <t>SBI Card ELITE
SBI Card PRIME
SBI Card MILES PRIME</t>
  </si>
  <si>
    <t>10/03/2026 - Issue resolved. Test Cases passed.
30/01/2026 - Cashback card also appears when Premium Tag Filter is applied and the sequence (Newest to Oldest) is not followed - 
https://www.loom.com/i/d42e355d750142b987274a2377065f4e</t>
  </si>
  <si>
    <t xml:space="preserve">D- Column : Cashback card tag was best selling Premium Tag has removed and updated the Tag </t>
  </si>
  <si>
    <t>Popular</t>
  </si>
  <si>
    <t>SBI Card PULSE
IRCTC SBI Card Premier
Landmark Rewards SBI Card PRIME
BPCL SBI Card</t>
  </si>
  <si>
    <t>10/03/2026 - Sequence issue resolved.
30/01/2026 - The sequence (Newest to Oldest) is not followed -
https://loom.com/i/c51fc9c5878c4d99809e5f9f6dd4843f</t>
  </si>
  <si>
    <t>New Launch</t>
  </si>
  <si>
    <t>IndiGo SBI Card ELITE
IndiGo SBI Card
Tata Neu Infinity SBI Card
PhonePe SBI Card PURPLE</t>
  </si>
  <si>
    <t xml:space="preserve">10/03/2026 - Sequence issue resolved.
30/01/2026 - The sequence (Newest to Oldest) is not followed </t>
  </si>
  <si>
    <t>Trending</t>
  </si>
  <si>
    <t>Flipkart SBI Card
Tata Neu Plus SBI Card
PhonePe SBI Card SELECT BLACK
BPCL SBI Card OCTANE</t>
  </si>
  <si>
    <t>10/03/2026 - Sequence issue resolved.</t>
  </si>
  <si>
    <t>Exclusive</t>
  </si>
  <si>
    <t>KrisFlyer SBI Card
KrisFlyer SBI Card Apex
Titan SBI Card
Doctor's SBI Card (in association with IMA)</t>
  </si>
  <si>
    <t>10/03/2026 - Sequence issue resolved.
30/01/2026 - Titan SBI Card not found as it is not yet made but the sequence (Newest to Oldest) is not followed
https://www.loom.com/i/adbcad62714842be93335e385aefe9e0</t>
  </si>
  <si>
    <t>Super Premium</t>
  </si>
  <si>
    <t>16/3/2026</t>
  </si>
  <si>
    <t>16/03/2026 - Issue resolved - https://loom.com/i/0c498426308c426dac83aff56ac170c4
10/03/2026 - Aurum card doesn't appear when super premium tag is applied.
30/01/2026 - Aurum Card is not found - 
https://www.loom.com/i/3a1f1907902d4a7284fd4547aa992c8f</t>
  </si>
  <si>
    <t>Best Selling</t>
  </si>
  <si>
    <t>CASHBACK SBI Card
SimplyCLICK SBI Card
SimplySAVE SBI Card</t>
  </si>
  <si>
    <t>16/03/2026 - The sequence issue is resolved - https://loom.com/i/03abcdb012714df2a9e2bebca0c1c86e
10/03/2026 - Cashback SBI Card should appear before SimplyClick &amp; SimplySave Card
30/01/2026 - The Best Selling Tag check box itself is missing for the Tag List in the Filter Menu - 
https://www.loom.com/i/d156f4ead6b44054898a8ecc8a0de58f</t>
  </si>
  <si>
    <t>D- Column : Best selling Tag box has been added and updated</t>
  </si>
  <si>
    <t>Recommended</t>
  </si>
  <si>
    <t>SBI Card Miles Elite
IRCTC SBI Platinum Card</t>
  </si>
  <si>
    <t>CATAGORY</t>
  </si>
  <si>
    <t>Featured</t>
  </si>
  <si>
    <t>CASHBACK SBI Card
SBI Card ELITE
SimplyCLICK SBI Card
SBI Card PRIME
SBI Card Miles Elite
SimplySAVE SBI Card
SBI Card PULSE</t>
  </si>
  <si>
    <t>16/03/2026 - Filter &amp; card sequencing, both issues resolved - https://loom.com/i/79946a6c731843cfb93ceb2e1285ecac
10/03/2026 - Etihad Guest SBI Premier Card should not be present. Also, the cards should appear in the same sequence as mentioned in the 2nd column.
30/01/2026 - SimplyClick SBI Card &amp; SimplySAVE SBI Card missing and that's okay as they are not yet made but Eitihad Guest SBI Premier Card should not appear as per the master sheet. Also, Sequence (Newest to Oldest) not being followed - 
https://loom.com/i/b669c9f5dc6d4304b0bdf508d4ccd8cc</t>
  </si>
  <si>
    <t>As per master file Etihad Guest SBI Premier card has featured 
category</t>
  </si>
  <si>
    <t>SBI Card ELITE
SBI Card PRIME
SBI Card Miles Elite
Aurum Card
IndiGo SBI Card ELITE
KrisFlyer SBI Card
KrisFlyer SBI Card Apex
SBI Card MILES PRIME
Titan SBI Card
Reliance SBI Card PRIME
Landmark Rewards SBI Card PRIME
Etihad Guest SBI Premier Card
Club Vistara SBI Card PRIME
Air India SBI Signature Card
Tata Card SELECT</t>
  </si>
  <si>
    <t>12/03/2026 - Sequence issue resolved
10/03/2026 - The SBI Card Miles Elite should be 3rd in the sequence being a core card.
30/01/2026 - Aurum &amp; Titan SBI Card missing as they are not yet made but Club Vistara SBI Card should not be present in case of Premium Category, TATA Card Select should be present - 
https://www.loom.com/i/55e9aa0f8c5e4ed8bf6b428e37ffd885</t>
  </si>
  <si>
    <t>D-Column : Club vistara SBI card premium category has removed 
and Published</t>
  </si>
  <si>
    <t>Lifestyle</t>
  </si>
  <si>
    <t>SBI Card ELITE
SBI Card PULSE
Tata Neu Plus SBI Card
Tata Neu Infinity SBI Card
Titan SBI Card
Doctor's SBI Card
Doctor's SBI Card (in association with IMA)</t>
  </si>
  <si>
    <t>10/03/2026 - Tata Neu Plus SBI Card should appear before Tata Neu Infinity SBI card and Doctor's SBI Card should appear before Doctor's SBI card (In Association with IMA)
30/01/2026 - Titan SBI Card is missing as it is not yet made but  the sequence is not being followed - 
https://loom.com/i/764efa5b903f4d42a496d3063f23e9c9</t>
  </si>
  <si>
    <t>Rewards</t>
  </si>
  <si>
    <t>SimplyCLICK SBI Card
SBI Card PRIME
SBI Card PULSE
PhonePe SBI Card SELECT BLACK
PhonePe SBI Card PURPLE
Apollo SBI Card SELECT
Paytm SBI Card
Paytm SBI Card SELECT
Shaurya Select SBI Card
Shaurya SBI Card
Apollo SBI Card</t>
  </si>
  <si>
    <t>12/03/2026 - Shaurya SBI Card's date is 19th Sept 2019
10/03/2026 - Shaurya SBI Card should be 4th in sequence
30/01/2026 - SimplyCLICK SBI Card, Shaurya SBI Card, Shaurya Select SBI Card missing as they are not yet made but the sequence is not being followed.</t>
  </si>
  <si>
    <t>D-Column : Club vistara SBI card premium category has removed</t>
  </si>
  <si>
    <t>Cashback</t>
  </si>
  <si>
    <t>CASHBACK SBI Card
Flipkart SBI Card
Tata Neu Plus SBI Card
Tata Neu Infinity SBI Card
PhonePe SBI Card SELECT BLACK
PhonePe SBI Card PURPLE</t>
  </si>
  <si>
    <t>10/03/2026 - The sequence issue has been resolved.
04/02/2026 - Sequence is not being followed.
30/01/2026 - Sequence is not being followed.</t>
  </si>
  <si>
    <t>and Published</t>
  </si>
  <si>
    <t>Shopping</t>
  </si>
  <si>
    <t>CASHBACK SBI Card
SimplyCLICK SBI Card
SimplySAVE SBI Card
Flipkart SBI Card
Reliance SBI Card PRIME
Reliance SBI Card
Landmark Rewards SBI Card PRIME
Paytm SBI Card SELECT
Paytm SBI Card
Landmark Rewards SBI Card
Landmark Rewards SBI Card SELECT
OLA Money SBI Card
Tata Card
Tata Card SELECT
SBI Card Unnati</t>
  </si>
  <si>
    <t>16/03/2026 - The sequence issue is resolved - https://loom.com/i/57c842f884f9441ea8e348f6871f2377
10/03/2026 - Cashback should appear 1st in sequence
30/01/2026 - SimplyCLICK SBI Card, SimplySAVE SBI Card are missing which is fine as they are not yet made but the sequence is not being followed.</t>
  </si>
  <si>
    <t>Travel &amp; Fuel</t>
  </si>
  <si>
    <t>SBI Card Miles Elite
IndiGo SBI Card ELITE
IndiGo SBI Card
IRCTC SBI Card Premier
KrisFlyer SBI Card
KrisFlyer SBI Card Apex
SBI Card MILES PRIME
SBI Card MILES
BPCL SBI Card
BPCL SBI Card OCTANE
Etihad Guest SBI Premier Card
Club Vistara SBI Card PRIME
Air India SBI Signature Card
IRCTC SBI Platinum Card
Club Vistara SBI Card
Etihad Guest SBI Card
Air India SBI Platinum Card</t>
  </si>
  <si>
    <t>10/03/2026 - SBI Card Miles Elite should be 1st in sequence and SBI Card Miles should be 8th in sequence
30/01/2026 - All cards appear but the sequence is incorrect.</t>
  </si>
  <si>
    <t>Banking Partnerships</t>
  </si>
  <si>
    <t>Bank of Maharashtra SimplySAVE SBI Card
Bank of Maharashtra SBI Card ELITE
Bank of Maharashtra SBI Card PRIME
UCO Bank SBI Card ELITE
PSB SBI Card ELITE
PSB SimplySAVE SBI Card
PSB SBI Card PRIME
UCO Bank SBI Card PRIME
Central Bank of India SBI Card Prime
City Union Bank SBI Card PRIME
Karnataka Bank SBI Card PRIME
Karnataka Bank SimplySAVE SBI Card
South Indian Bank SBI Card PRIME
South Indian Bank SimplySAVE SBI Card
South Indian Bank SBI Platinum Credit Card
Central Bank of India SBI Card ELITE
City Union Bank SimplySAVE SBI Card
Central Bank Of India SimplySave SBI Card
UCO Bank SimplySAVE SBI Card
Karur Vysya Bank - SBI Card
KVB SBI Card ELITE
KVB SBI Card PRIME
KVB SimplySAVE SBI Card
KVB SBI Signature Card
Karur Vysya Bank - SBI Platinum Credit Card</t>
  </si>
  <si>
    <t>10/03/2026 - All Cards Present in correct sequence
30/01/2026 - Only Bank of Maharashtra Card appears which is fine as other cards are not yet made - 
https://loom.com/i/baa66d7c29da4110ba7a10c6f8b31c0d</t>
  </si>
  <si>
    <t>BENEFITS</t>
  </si>
  <si>
    <t>CASHBACK SBI Card
Flipkart SBI Card
Tata Neu Infinity SBI Card
Tata Neu Plus SBI Card
Titan SBI Card
Paytm SBI Card SELECT
Paytm SBI Card</t>
  </si>
  <si>
    <t>10/03/2026 - The sequence issue is resolved.
30/01/2026 - Titan card is missing but that is fine as it is not yet made but the sequence of cards is still not being followed - 
https://loom.com/i/b4d0c199013b44e3bdfbb8516bccf2f5</t>
  </si>
  <si>
    <t>Airport Lounge Access</t>
  </si>
  <si>
    <t>SBI Card ELITE
SBI Card PRIME
SBI Card Miles Elite
SBI Card PULSE
Aurum Card
IndiGo SBI Card ELITE
IndiGo SBI Card
Tata Neu Plus SBI Card
Tata Neu Infinity SBI Card
PhonePe SBI Card SELECT BLACK
Apollo SBI Card SELECT
KrisFlyer SBI Card
KrisFlyer SBI Card Apex
SBI Card MILES PRIME
SBI Card MILES
Titan SBI Card
Reliance SBI Card PRIME
Landmark Rewards SBI Card PRIME
BPCL SBI Card OCTANE
Etihad Guest SBI Premier Card
Club Vistara SBI Card PRIME
Air India SBI Signature Card
Paytm SBI Card SELECT
Club Vistara SBI Card
Shaurya Select SBI Card
Etihad Guest SBI Card
Doctor's SBI Card
Doctor's SBI Card (in association with IMA)
Air India SBI Platinum Card</t>
  </si>
  <si>
    <t>12/03/2026 - The sequence issue is now resolved
10/03/2026 - SBI Card Miles Elite should appear 3rd in the sequence being a core card instead of SBI Card Miles.
30/01/2026 - Aurum Card, Titan SBI Card, Shaurya Select SBI Card are missing but not a problem as they are not yet made but the sequence is not being followed.</t>
  </si>
  <si>
    <t>Movie Tickets</t>
  </si>
  <si>
    <t>SBI Card ELITE
Aurum Card
Reliance SBI Card PRIME</t>
  </si>
  <si>
    <t>16/03/2026 - Aurum card has started to appear when the benefit - "Movie Ticket" is selected - https://loom.com/i/7d4ad7474d9c47149d53effce9c57717
10/03/2026 - Aurum card doesn't appear when "Movie Ticket" Benefit filter is applied.
30/01/2026 - Aurum Card is missng but not a problem as it is not yet made but the sequence is not being followed.</t>
  </si>
  <si>
    <t>Milestone benefits</t>
  </si>
  <si>
    <t>SBI Card ELITE
SimplyCLICK SBI Card
SBI Card PRIME
SBI Card Miles Elite
SBI Card PULSE
Aurum Card
IndiGo SBI Card ELITE
IndiGo SBI Card
PhonePe SBI Card SELECT BLACK
PhonePe SBI Card PURPLE
IRCTC SBI Card Premier
Apollo SBI Card SELECT
KrisFlyer SBI Card
KrisFlyer SBI Card Apex
SBI Card MILES PRIME
SBI Card MILES
Titan SBI Card
Reliance SBI Card PRIME
Reliance SBI Card
Landmark Rewards SBI Card PRIME
BPCL SBI Card OCTANE
Etihad Guest SBI Premier Card
Club Vistara SBI Card PRIME
Paytm SBI Card
Paytm SBI Card SELECT
Landmark Rewards SBI Card
Landmark Rewards SBI Card SELECT
Club Vistara SBI Card
Shaurya Select SBI Card
Tata Card SELECT
Etihad Guest SBI Card
Doctor's SBI Card
Doctor's SBI Card (in association with IMA)
SBI Card Unnati</t>
  </si>
  <si>
    <t>16/03/2026 - Issue resolved - https://loom.com/i/7aa1a0167e664b528a9659b9d252b6b1
https://loom.com/i/f69340402efc4e29be437ae6978de923
https://loom.com/i/e0e1e97e64d54c0baf27678cd6d4ff77
10/03/2026 - Aurum card, TATA Card Select doesn't appear when "Milestone Benefits" filter is applied. When we change SBI Card Miles Elite to a core card and SBI card Miles to a normal card, the sequence will get fixed automatically
30/01/2026 - Aurum Card, SimplyCLICK SBI Card, Titan SBI Card, Shaurya Select SBI Card are missing but that's fine as they are not yet made but the sequence of cards is incorrect</t>
  </si>
  <si>
    <t>Online Spends</t>
  </si>
  <si>
    <t>CASHBACK SBI Card
SimplyCLICK SBI Card
Flipkart SBI Card
Tata Neu Plus SBI Card
Tata Neu Infinity SBI Card
PhonePe SBI Card SELECT BLACK
PhonePe SBI Card PURPLE
Titan SBI Card
Reliance SBI Card PRIME
Reliance SBI Card
Landmark Rewards SBI Card PRIME
Landmark Rewards SBI Card
Landmark Rewards SBI Card SELECT</t>
  </si>
  <si>
    <t>16/03/2026 - The sequence issue is resolved - https://loom.com/i/0cc695bb33da4fd590a10968743c59a3
10/03/2026 - The sequence issue will get resolved once Cashback SBI Card starts to appear before SimplyClick SBI Card
30/01/2026 - SimplyCLICK SBI Card &amp; Titan SBI Card are missing as they are not yet made but the Landmark Rewards SBI Card PRIME is made and still missing. Also, the sequence is not being followed -
https://loom.com/i/b16d910d1e334a2aaf1629c39f667b10</t>
  </si>
  <si>
    <t>Landmark Rewards SBI Card Prime online spends added and published</t>
  </si>
  <si>
    <t>Co-branded Perks</t>
  </si>
  <si>
    <t>IndiGo SBI Card ELITE
IndiGo SBI Card
Flipkart SBI Card
Tata Neu Plus SBI Card
Tata Neu Infinity SBI Card
PhonePe SBI Card SELECT BLACK
PhonePe SBI Card PURPLE
IRCTC SBI Card Premier
Apollo SBI Card SELECT
KrisFlyer SBI Card
KrisFlyer SBI Card Apex
Titan SBI Card
Reliance SBI Card PRIME
Reliance SBI Card
Landmark Rewards SBI Card PRIME
BPCL SBI Card
BPCL SBI Card OCTANE
Etihad Guest SBI Premier Card
Club Vistara SBI Card PRIME
Air India SBI Signature Card
Paytm SBI Card
Paytm SBI Card SELECT
IRCTC SBI Platinum Card
Landmark Rewards SBI Card
Landmark Rewards SBI Card SELECT
Club Vistara SBI Card
OLA Money SBI Card
Tata Card SELECT
Etihad Guest SBI Card
Apollo SBI Card
Air India SBI Platinum Card</t>
  </si>
  <si>
    <t>16/03/2026 - Tata Card Select now appears when the benefit "Co-Branded Perks" is selected - https://loom.com/i/39879f3541d94f35b0d02f5fe1da08c9
10/03/2026 - Tata Card Select is missing when "Co-Branded Perks" benefit is selected in filter menu.
30/01/2026 - Titan card is missing but that is fine as it is not yet made but the sequence of cards is still not being followed</t>
  </si>
  <si>
    <t>UPI Payments</t>
  </si>
  <si>
    <t>SBI Card ELITE
SBI Card PRIME
SBI Card Miles Elite
SimplySAVE SBI Card
IndiGo SBI Card ELITE
IndiGo SBI Card
Tata Neu Infinity SBI Card
Tata Neu Plus SBI Card
PhonePe SBI Card SELECT BLACK
PhonePe SBI Card PURPLE
IRCTC SBI Card Premier
Apollo SBI Card SELECT
SBI Card MILES PRIME
SBI Card MILES
Titan SBI Card
Reliance SBI Card PRIME
Reliance SBI Card
Landmark Rewards SBI Card PRIME
BPCL SBI Card
BPCL SBI Card OCTANE
Paytm SBI Card
Paytm SBI Card SELECT
IRCTC SBI Platinum Card
Landmark Rewards SBI Card
Landmark Rewards SBI Card SELECT
Shaurya Select SBI Card
Shaurya SBI Card
OLA Money SBI Card
Apollo SBI Card</t>
  </si>
  <si>
    <t>16/03/2026 - The sequence has been corrected - https://loom.com/i/e6e39b076ad149468fc7601747e4a5ba
10/03/2026 - Once the SBI Card Miles Elite is changed to a core card instead of SBI Card Miles, that sequence would get resolved to.
30/01/2026 - SimplySAVE SBI Card, Titan SBI Card, Shaurya Select SBI Card, Shaurya SBI Card are missing but that's fine as they are not yet made. But, the sequence of the cards are not being followed.</t>
  </si>
  <si>
    <t>Golf Benefits</t>
  </si>
  <si>
    <t>16/03/2026 - Aurum card now appears when "Golf Benefit" is selected - https://loom.com/i/34c8192e81334c17ab1aa1c67110dd07
10/03/2026 - The "Golf Benefits" filter when applied, doesn't filter out cards accordingly. Only Aurum card has golf benefit.</t>
  </si>
  <si>
    <t>Concierge Services</t>
  </si>
  <si>
    <t>Aurum Card
SBI Card ELITE</t>
  </si>
  <si>
    <t>16/03/2026 - Aurum card now appears when "Concierge Servicrs" benefit is applied - https://loom.com/i/39a78334db86410d9633971304916482
10/3/2026 - Aurum Card doesn't appear when "Concierge Services" benefit is applied.
30/01/2026 - Aurum Card is missng but not a problem as it is not yet made</t>
  </si>
  <si>
    <t>MONTHLY INCOME</t>
  </si>
  <si>
    <t>Less than 50K</t>
  </si>
  <si>
    <t>CASHBACK SBI Card
SimplyCLICK SBI Card
SimplySAVE SBI Card
Flipkart SBI Card
Tata Neu Plus SBI Card
PhonePe SBI Card PURPLE
Reliance SBI Card
BPCL SBI Card
Paytm SBI Card
IRCTC SBI Platinum Card
Landmark Rewards SBI Card
Shaurya Select SBI Card
OLA Money SBI Card
Tata Card
Apollo SBI Card
SBI Card Unnati</t>
  </si>
  <si>
    <t>17/03/2026 - The card filter &amp; sequence issue is resolved - https://loom.com/i/dd32df5d9b874f16b47246827d6be3e4
16/03/2026 - The cards still do not get filtered when "Less than 50K" filter is applied - https://loom.com/i/bbc38b674b0b424a82d2c2d0592c0968
10/03/2026 - The cards do not get filtered when Less than 50K filter is applied.
02/02/2026 - The less than 50K filter criteria doesn't filter out the cards accordingly. Many cards that do not fall under this criteria also appear in the results - 
https://loom.com/i/79379234c8d244d79fb8e9a36a5c9326</t>
  </si>
  <si>
    <t>Need to check</t>
  </si>
  <si>
    <t>50 to 99 K</t>
  </si>
  <si>
    <t>SBI Card PRIME
SBI Card PULSE
IndiGo SBI Card
Tata Neu Infinity SBI Card
PhonePe SBI Card SELECT BLACK
IRCTC SBI Card Premier
Apollo SBI Card SELECT
KrisFlyer SBI Card
SBI Card MILES PRIME
SBI Card MILES
Titan SBI Card
Reliance SBI Card PRIME
Landmark Rewards SBI Card PRIME
BPCL SBI Card OCTANE
Club Vistara SBI Card PRIME
Paytm SBI Card SELECT
Landmark Rewards SBI Card SELECT
Club Vistara SBI Card
Shaurya SBI Card
Tata Card SELECT
Etihad Guest SBI Card
Doctor's SBI Card (in association with IMA)
Doctor's SBI Card
Air India SBI Platinum Card</t>
  </si>
  <si>
    <t>16/03/2026 - Tata Card Select now appears and SBI Card Miles has been updated to be a core card. Both Sequence &amp; Filter issue resolved - https://loom.com/i/cd031cb3f1f4467fb7f65089c39f0fdc
10/03/2026 - Tata Card Select is missing. SBI Card Miles sequence would get corrected once it is removed as a core card.
02/02/2026 Only Titan SBI Card &amp; Shaurya SBI card are not present but its fine as they are not yet made. But the card sequence (newest to oldest) is not being followed.</t>
  </si>
  <si>
    <t>1 L to 2 L</t>
  </si>
  <si>
    <t>SBI Card ELITE
SBI Card Miles Elite
IndiGo SBI Card ELITE
Etihad Guest SBI Premier Card
Air India SBI Signature Card</t>
  </si>
  <si>
    <t>17/03/2026 - The card filter &amp; sequence issue is resolved - https://loom.com/i/2b56129edee3470086e67b83d91d1d5c
16/03/2026 - The cards still do not get filtered when 1L to 2L Filter criteria is applied - https://loom.com/i/1daf24d4eff044068169e9df2b38b201
10/03/2026 - The cards do not get filtered when 1L to 2L filter is applied.
02/02/2026 - The 1L - 2L filter criteria doesn't filter out the cards accordingly. Many cards that do not fall under this criteria also appear in the results - 
https://loom.com/i/3950020bd118491da318692ce6d5034d</t>
  </si>
  <si>
    <t>Above 2 L</t>
  </si>
  <si>
    <t>Aurum Card
KrisFlyer SBI Card Apex</t>
  </si>
  <si>
    <t>17/03/2026 - The card filter &amp; sequence issue is resolved - https://loom.com/i/afceec42d95c485da21eaf380fc4d9f1
16/03/2026 - The cards still do not get filtered when filter "Above 2L" is applied - https://loom.com/i/fa070999ad1f4b10be35086777c88b30
10/03/2026 - The cards do not get filtered when above 2L Filter is applied. There are only 2 cards that are supposed to appear when this filter is applied.
02/02/2026 - The Above 2L filter criteria doesn't filter out the cards accordingly. Many cards that do not fall under this criteria also appear in the results - 
https://loom.com/i/031dc058eae341c8932e6c773921ee8f</t>
  </si>
  <si>
    <t>ANNUAL FEES</t>
  </si>
  <si>
    <t>0 - 500</t>
  </si>
  <si>
    <t>SimplyCLICK SBI Card
SimplySAVE SBI Card
Flipkart SBI Card
Tata Neu Plus SBI Card
PhonePe SBI Card PURPLE
Reliance SBI Card
BPCL SBI Card
Paytm SBI Card
IRCTC SBI Platinum Card
Landmark Rewards SBI Card
Shaurya SBI Card
OLA Money SBI Card
Tata Card
Apollo SBI Card
SBI Card Unnati</t>
  </si>
  <si>
    <t>02/02/2026 - SimplyCLICK SBI Card, SimplySAVE SBI Card &amp; Shaurya SBI Card are not present but its fine as they are not yet made. However, an extra card - "Bank of Maharashtra SBI Card ELITE" is present which is not in this Annual Fee criteria as per the master sheet.
https://www.loom.com/i/15c0b51c90ec4438b16197b6b6a2ac69</t>
  </si>
  <si>
    <t>"D-Column : Bank of maharastra SBI card elite is testing card
we created for testing purpose( we haven't added any income
ranges"</t>
  </si>
  <si>
    <t>501 - 1000</t>
  </si>
  <si>
    <t>1001 - 1500</t>
  </si>
  <si>
    <t>SBI Card PULSE
IndiGo SBI Card
Tata Neu Infinity SBI Card
PhonePe SBI Card SELECT BLACK
IRCTC SBI Card Premier
Apollo SBI Card SELECT
SBI Card MILES
BPCL SBI Card OCTANE
Paytm SBI Card SELECT
Landmark Rewards SBI Card SELECT
Club Vistara SBI Card
Shaurya Select SBI Card
Etihad Guest SBI Card
Doctor's SBI Card (in association with IMA)
Doctor's SBI Card
Air India SBI Platinum Card</t>
  </si>
  <si>
    <t>16/03/2026 - The sequence issue has now been resolved - https://loom.com/i/e5017850f8ec4907a97c262b4cc37c45
10/03/2026 - Sequence will get resolved once SBI Card Miles is removed as a core card.
02/02/2026 - Shaurya Select SBI Card is not present but its fine because it is not yet made. However, the card sequence - (Newest to Oldest) is not being followed.</t>
  </si>
  <si>
    <t>1501 - 3000</t>
  </si>
  <si>
    <t>SBI Card PRIME
KrisFlyer SBI Card
SBI Card MILES PRIME
Titan SBI Card
Reliance SBI Card PRIME
Landmark Rewards SBI Card PRIME
Club Vistara SBI Card PRIME
Tata Card SELECT</t>
  </si>
  <si>
    <t>10/03/2026 - The sequence issue is resolved.
02/02/2026 - Titan SBI Card is not present but its fine because it is not yet made. However, the card sequence - (Newest to Oldest) is not being followed.</t>
  </si>
  <si>
    <t>3001 - 5000</t>
  </si>
  <si>
    <t>12/03/2026 - Sequence issue is resolved
10/03/2026 - Sequence will get resolved once SBI Card Miles Elite is updated as a core card
02/02/2026 - The card sequence (Newest to Oldest) is not being followed.</t>
  </si>
  <si>
    <t>Above 5000</t>
  </si>
  <si>
    <t>10/03/2026 - Aurum card added, issue resolved.
02/02/2026 - Aurum Card is not present but its fine because it is not yet made. The card sequence - (Newest to Oldest) can only be tested if more than one card is present.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</si>
</sst>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6">
    <font>
      <sz val="11.0"/>
      <color theme="1"/>
      <name val="Aptos Narrow"/>
      <scheme val="minor"/>
    </font>
    <font>
      <b/>
      <sz val="11.0"/>
      <color theme="1"/>
      <name val="Aptos Narrow"/>
    </font>
    <font>
      <sz val="11.0"/>
      <color theme="1"/>
      <name val="Aptos Narrow"/>
    </font>
    <font/>
    <font>
      <u/>
      <sz val="11.0"/>
      <color theme="10"/>
      <name val="Aptos Narrow"/>
    </font>
    <font>
      <u/>
      <sz val="11.0"/>
      <color theme="10"/>
      <name val="Aptos Narrow"/>
    </font>
    <font>
      <u/>
      <sz val="11.0"/>
      <color theme="10"/>
      <name val="Aptos Narrow"/>
    </font>
    <font>
      <u/>
      <sz val="11.0"/>
      <color theme="1"/>
      <name val="Aptos Narrow"/>
    </font>
    <font>
      <sz val="11.0"/>
      <color rgb="FF000000"/>
      <name val="Calibri"/>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sz val="11.0"/>
      <color rgb="FF000000"/>
      <name val="Aptos Narrow"/>
    </font>
    <font>
      <b/>
      <sz val="12.0"/>
      <color rgb="FF000000"/>
      <name val="Inherit"/>
    </font>
    <font>
      <b/>
      <sz val="11.0"/>
      <color rgb="FF000000"/>
      <name val="Aptos Narrow"/>
    </font>
    <font>
      <u/>
      <sz val="11.0"/>
      <color theme="1"/>
      <name val="Aptos Narrow"/>
    </font>
    <font>
      <sz val="11.0"/>
      <color rgb="FF0070C0"/>
      <name val="Aptos Narrow"/>
    </font>
    <font>
      <sz val="11.0"/>
      <color rgb="FF242424"/>
      <name val="Aptos Narrow"/>
    </font>
    <font>
      <sz val="11.0"/>
      <color rgb="FFFFFFFF"/>
      <name val="Aptos Narrow"/>
    </font>
    <font>
      <sz val="11.0"/>
      <color rgb="FFFFFFFF"/>
      <name val="Calibri"/>
    </font>
    <font>
      <u/>
      <sz val="11.0"/>
      <color theme="10"/>
      <name val="Aptos Narrow"/>
    </font>
    <font>
      <u/>
      <sz val="11.0"/>
      <color theme="1"/>
      <name val="Aptos Narrow"/>
    </font>
    <font>
      <u/>
      <sz val="11.0"/>
      <color theme="10"/>
      <name val="Aptos Narrow"/>
    </font>
    <font>
      <u/>
      <sz val="11.0"/>
      <color theme="10"/>
      <name val="Aptos Narrow"/>
    </font>
    <font>
      <u/>
      <sz val="11.0"/>
      <color theme="10"/>
      <name val="Aptos Narrow"/>
    </font>
    <font>
      <u/>
      <sz val="11.0"/>
      <color theme="1"/>
      <name val="Aptos Narrow"/>
    </font>
    <font>
      <u/>
      <sz val="11.0"/>
      <color rgb="FF467886"/>
      <name val="Aptos Narrow"/>
    </font>
    <font>
      <u/>
      <sz val="11.0"/>
      <color rgb="FF467886"/>
      <name val="Aptos Narrow"/>
    </font>
    <font>
      <u/>
      <sz val="11.0"/>
      <color rgb="FF000000"/>
      <name val="Aptos Narrow"/>
    </font>
    <font>
      <sz val="11.0"/>
      <color theme="0"/>
      <name val="Aptos Narrow"/>
    </font>
    <font>
      <u/>
      <sz val="11.0"/>
      <color theme="1"/>
      <name val="Aptos Narrow"/>
    </font>
    <font>
      <u/>
      <sz val="11.0"/>
      <color theme="10"/>
      <name val="Aptos Narrow"/>
    </font>
    <font>
      <u/>
      <sz val="11.0"/>
      <color theme="1"/>
      <name val="Aptos Narrow"/>
    </font>
    <font>
      <sz val="10.0"/>
      <color theme="1"/>
      <name val="Arial"/>
    </font>
    <font>
      <sz val="10.0"/>
      <color rgb="FF000000"/>
      <name val="Arial"/>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color theme="1"/>
      <name val="Aptos Narrow"/>
      <scheme val="minor"/>
    </font>
    <font>
      <u/>
      <sz val="11.0"/>
      <color theme="1"/>
      <name val="Aptos Narrow"/>
    </font>
    <font>
      <u/>
      <sz val="11.0"/>
      <color theme="10"/>
      <name val="Aptos Narrow"/>
    </font>
    <font>
      <u/>
      <sz val="11.0"/>
      <color theme="10"/>
      <name val="Aptos Narrow"/>
    </font>
    <font>
      <u/>
      <sz val="11.0"/>
      <color theme="10"/>
      <name val="Aptos Narrow"/>
    </font>
  </fonts>
  <fills count="17">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8ED873"/>
        <bgColor rgb="FF8ED873"/>
      </patternFill>
    </fill>
    <fill>
      <patternFill patternType="solid">
        <fgColor rgb="FFC6E0B4"/>
        <bgColor rgb="FFC6E0B4"/>
      </patternFill>
    </fill>
    <fill>
      <patternFill patternType="solid">
        <fgColor rgb="FF8ED973"/>
        <bgColor rgb="FF8ED973"/>
      </patternFill>
    </fill>
    <fill>
      <patternFill patternType="solid">
        <fgColor rgb="FFF5C6AB"/>
        <bgColor rgb="FFF5C6AB"/>
      </patternFill>
    </fill>
    <fill>
      <patternFill patternType="solid">
        <fgColor rgb="FFBFBFBF"/>
        <bgColor rgb="FFBFBFBF"/>
      </patternFill>
    </fill>
    <fill>
      <patternFill patternType="solid">
        <fgColor rgb="FF0070C0"/>
        <bgColor rgb="FF0070C0"/>
      </patternFill>
    </fill>
    <fill>
      <patternFill patternType="solid">
        <fgColor theme="9"/>
        <bgColor theme="9"/>
      </patternFill>
    </fill>
    <fill>
      <patternFill patternType="solid">
        <fgColor rgb="FFFF0000"/>
        <bgColor rgb="FFFF0000"/>
      </patternFill>
    </fill>
    <fill>
      <patternFill patternType="solid">
        <fgColor rgb="FFC0E4F5"/>
        <bgColor rgb="FFC0E4F5"/>
      </patternFill>
    </fill>
    <fill>
      <patternFill patternType="solid">
        <fgColor theme="0"/>
        <bgColor theme="0"/>
      </patternFill>
    </fill>
    <fill>
      <patternFill patternType="solid">
        <fgColor rgb="FFFFCCCC"/>
        <bgColor rgb="FFFFCCCC"/>
      </patternFill>
    </fill>
    <fill>
      <patternFill patternType="solid">
        <fgColor rgb="FF00B050"/>
        <bgColor rgb="FF00B050"/>
      </patternFill>
    </fill>
  </fills>
  <borders count="3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right/>
      <top style="thin">
        <color rgb="FF000000"/>
      </top>
      <bottom/>
    </border>
    <border>
      <left/>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rder>
    <border>
      <left style="thin">
        <color rgb="FFCCCCCC"/>
      </left>
      <right style="thin">
        <color rgb="FF000000"/>
      </right>
      <top/>
      <bottom style="thin">
        <color rgb="FF000000"/>
      </bottom>
    </border>
    <border>
      <left style="thin">
        <color rgb="FFCCCCCC"/>
      </left>
      <right/>
      <top/>
      <bottom style="thin">
        <color rgb="FF000000"/>
      </bottom>
    </border>
    <border>
      <left style="thin">
        <color rgb="FFCCCCCC"/>
      </left>
      <right style="thin">
        <color rgb="FF000000"/>
      </right>
      <bottom style="thin">
        <color rgb="FF000000"/>
      </bottom>
    </border>
    <border>
      <left style="thin">
        <color rgb="FFCCCCCC"/>
      </left>
      <right style="thin">
        <color rgb="FF000000"/>
      </right>
      <top style="thin">
        <color rgb="FFCCCCCC"/>
      </top>
      <bottom style="thin">
        <color rgb="FF000000"/>
      </bottom>
    </border>
    <border>
      <left/>
      <right style="thin">
        <color rgb="FF000000"/>
      </right>
      <top style="thin">
        <color rgb="FF000000"/>
      </top>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1"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1" fillId="3" fontId="1" numFmtId="0" xfId="0" applyAlignment="1" applyBorder="1" applyFont="1">
      <alignment horizontal="center" vertical="center"/>
    </xf>
    <xf borderId="3"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3" numFmtId="0" xfId="0" applyBorder="1" applyFont="1"/>
    <xf borderId="5" fillId="0" fontId="3" numFmtId="0" xfId="0" applyBorder="1" applyFont="1"/>
    <xf borderId="1" fillId="2" fontId="2" numFmtId="0" xfId="0" applyAlignment="1" applyBorder="1" applyFont="1">
      <alignment horizontal="center" vertical="center"/>
    </xf>
    <xf borderId="3" fillId="0" fontId="1" numFmtId="0" xfId="0" applyAlignment="1" applyBorder="1" applyFont="1">
      <alignment horizontal="center" vertical="center"/>
    </xf>
    <xf borderId="6" fillId="0" fontId="2" numFmtId="0" xfId="0" applyAlignment="1" applyBorder="1" applyFont="1">
      <alignment horizontal="center"/>
    </xf>
    <xf borderId="1" fillId="0" fontId="2" numFmtId="0" xfId="0" applyAlignment="1" applyBorder="1" applyFont="1">
      <alignment horizontal="center"/>
    </xf>
    <xf borderId="7" fillId="0" fontId="2" numFmtId="0" xfId="0" applyAlignment="1" applyBorder="1" applyFont="1">
      <alignment horizontal="center" vertical="center"/>
    </xf>
    <xf borderId="6" fillId="0" fontId="2" numFmtId="0" xfId="0" applyAlignment="1" applyBorder="1" applyFont="1">
      <alignment horizontal="center" vertical="center"/>
    </xf>
    <xf borderId="1" fillId="0" fontId="2" numFmtId="0" xfId="0" applyAlignment="1" applyBorder="1" applyFont="1">
      <alignment horizontal="left"/>
    </xf>
    <xf borderId="8" fillId="0" fontId="2" numFmtId="0" xfId="0" applyAlignment="1" applyBorder="1" applyFont="1">
      <alignment horizontal="center" vertical="center"/>
    </xf>
    <xf borderId="9" fillId="2" fontId="2" numFmtId="0" xfId="0" applyAlignment="1" applyBorder="1" applyFont="1">
      <alignment horizontal="center" vertical="center"/>
    </xf>
    <xf borderId="10" fillId="2" fontId="2" numFmtId="0" xfId="0" applyAlignment="1" applyBorder="1" applyFont="1">
      <alignment horizontal="center" vertical="center"/>
    </xf>
    <xf borderId="1" fillId="0" fontId="2" numFmtId="0" xfId="0" applyBorder="1" applyFont="1"/>
    <xf borderId="1" fillId="0" fontId="1" numFmtId="0" xfId="0" applyAlignment="1" applyBorder="1" applyFont="1">
      <alignment horizontal="center" vertical="center"/>
    </xf>
    <xf borderId="9" fillId="3" fontId="1" numFmtId="0" xfId="0" applyAlignment="1" applyBorder="1" applyFont="1">
      <alignment horizontal="center" vertical="center"/>
    </xf>
    <xf borderId="11" fillId="3" fontId="1" numFmtId="0" xfId="0" applyAlignment="1" applyBorder="1" applyFont="1">
      <alignment horizontal="center" vertical="center"/>
    </xf>
    <xf borderId="12" fillId="3" fontId="1" numFmtId="0" xfId="0" applyAlignment="1" applyBorder="1" applyFont="1">
      <alignment horizontal="center" vertical="center"/>
    </xf>
    <xf borderId="13" fillId="3" fontId="1" numFmtId="0" xfId="0" applyAlignment="1" applyBorder="1" applyFont="1">
      <alignment horizontal="center" vertical="center"/>
    </xf>
    <xf borderId="10" fillId="3" fontId="1" numFmtId="0" xfId="0" applyAlignment="1" applyBorder="1" applyFont="1">
      <alignment horizontal="center" vertical="center"/>
    </xf>
    <xf borderId="14" fillId="0" fontId="2" numFmtId="0" xfId="0" applyAlignment="1" applyBorder="1" applyFont="1">
      <alignment horizontal="left" vertical="center"/>
    </xf>
    <xf borderId="3" fillId="0" fontId="4" numFmtId="0" xfId="0" applyAlignment="1" applyBorder="1" applyFont="1">
      <alignment horizontal="left" vertical="center"/>
    </xf>
    <xf borderId="9" fillId="4" fontId="5" numFmtId="0" xfId="0" applyAlignment="1" applyBorder="1" applyFill="1" applyFont="1">
      <alignment horizontal="left" vertical="center"/>
    </xf>
    <xf borderId="14" fillId="0" fontId="2" numFmtId="0" xfId="0" applyAlignment="1" applyBorder="1" applyFont="1">
      <alignment horizontal="center" vertical="center"/>
    </xf>
    <xf borderId="6" fillId="0" fontId="2" numFmtId="0" xfId="0" applyAlignment="1" applyBorder="1" applyFont="1">
      <alignment vertical="center"/>
    </xf>
    <xf borderId="1" fillId="0" fontId="2" numFmtId="0" xfId="0" applyAlignment="1" applyBorder="1" applyFont="1">
      <alignment horizontal="left" vertical="top"/>
    </xf>
    <xf borderId="1" fillId="0" fontId="2" numFmtId="0" xfId="0" applyAlignment="1" applyBorder="1" applyFont="1">
      <alignment horizontal="left" vertical="center"/>
    </xf>
    <xf borderId="1" fillId="0" fontId="6" numFmtId="0" xfId="0" applyBorder="1" applyFont="1"/>
    <xf borderId="3" fillId="0" fontId="2" numFmtId="0" xfId="0" applyAlignment="1" applyBorder="1" applyFont="1">
      <alignment horizontal="center" vertical="center"/>
    </xf>
    <xf borderId="15" fillId="0" fontId="2" numFmtId="0" xfId="0" applyAlignment="1" applyBorder="1" applyFont="1">
      <alignment horizontal="center" vertical="center"/>
    </xf>
    <xf borderId="6" fillId="0" fontId="2" numFmtId="0" xfId="0" applyAlignment="1" applyBorder="1" applyFont="1">
      <alignment horizontal="left" vertical="center"/>
    </xf>
    <xf borderId="1" fillId="0" fontId="7" numFmtId="0" xfId="0" applyAlignment="1" applyBorder="1" applyFont="1">
      <alignment horizontal="left" shrinkToFit="0" vertical="top" wrapText="1"/>
    </xf>
    <xf borderId="16" fillId="0" fontId="2" numFmtId="0" xfId="0" applyAlignment="1" applyBorder="1" applyFont="1">
      <alignment horizontal="center" vertical="center"/>
    </xf>
    <xf borderId="13" fillId="5" fontId="2" numFmtId="0" xfId="0" applyAlignment="1" applyBorder="1" applyFill="1" applyFont="1">
      <alignment horizontal="left" vertical="center"/>
    </xf>
    <xf borderId="7" fillId="0" fontId="2" numFmtId="0" xfId="0" applyAlignment="1" applyBorder="1" applyFont="1">
      <alignment horizontal="left" vertical="center"/>
    </xf>
    <xf borderId="17" fillId="0" fontId="2" numFmtId="0" xfId="0" applyAlignment="1" applyBorder="1" applyFont="1">
      <alignment horizontal="center" vertical="center"/>
    </xf>
    <xf borderId="18" fillId="0" fontId="2" numFmtId="0" xfId="0" applyAlignment="1" applyBorder="1" applyFont="1">
      <alignment horizontal="center" vertical="center"/>
    </xf>
    <xf borderId="1" fillId="0" fontId="8" numFmtId="0" xfId="0" applyAlignment="1" applyBorder="1" applyFont="1">
      <alignment horizontal="center"/>
    </xf>
    <xf borderId="0" fillId="0" fontId="2" numFmtId="0" xfId="0" applyAlignment="1" applyFont="1">
      <alignment vertical="top"/>
    </xf>
    <xf borderId="7" fillId="0" fontId="9" numFmtId="0" xfId="0" applyAlignment="1" applyBorder="1" applyFont="1">
      <alignment horizontal="left" vertical="center"/>
    </xf>
    <xf borderId="1" fillId="0" fontId="2" numFmtId="0" xfId="0" applyAlignment="1" applyBorder="1" applyFont="1">
      <alignment horizontal="left" shrinkToFit="0" vertical="top" wrapText="1"/>
    </xf>
    <xf borderId="16" fillId="0" fontId="2" numFmtId="0" xfId="0" applyAlignment="1" applyBorder="1" applyFont="1">
      <alignment horizontal="left" vertical="center"/>
    </xf>
    <xf borderId="7" fillId="0" fontId="10" numFmtId="0" xfId="0" applyBorder="1" applyFont="1"/>
    <xf borderId="5" fillId="0" fontId="2" numFmtId="0" xfId="0" applyAlignment="1" applyBorder="1" applyFont="1">
      <alignment horizontal="center" vertical="center"/>
    </xf>
    <xf borderId="18" fillId="0" fontId="2" numFmtId="0" xfId="0" applyAlignment="1" applyBorder="1" applyFont="1">
      <alignment horizontal="left" vertical="center"/>
    </xf>
    <xf borderId="19" fillId="0" fontId="2" numFmtId="0" xfId="0" applyAlignment="1" applyBorder="1" applyFont="1">
      <alignment horizontal="center" vertical="center"/>
    </xf>
    <xf borderId="20" fillId="0" fontId="2" numFmtId="0" xfId="0" applyAlignment="1" applyBorder="1" applyFont="1">
      <alignment horizontal="center" vertical="center"/>
    </xf>
    <xf borderId="8" fillId="0" fontId="2" numFmtId="0" xfId="0" applyAlignment="1" applyBorder="1" applyFont="1">
      <alignment horizontal="left" vertical="center"/>
    </xf>
    <xf borderId="9" fillId="4" fontId="11" numFmtId="0" xfId="0" applyAlignment="1" applyBorder="1" applyFont="1">
      <alignment horizontal="left" shrinkToFit="0" vertical="center" wrapText="1"/>
    </xf>
    <xf borderId="15" fillId="0" fontId="2" numFmtId="0" xfId="0" applyAlignment="1" applyBorder="1" applyFont="1">
      <alignment vertical="center"/>
    </xf>
    <xf borderId="5" fillId="0" fontId="12" numFmtId="0" xfId="0" applyAlignment="1" applyBorder="1" applyFont="1">
      <alignment horizontal="left" vertical="center"/>
    </xf>
    <xf borderId="1" fillId="0" fontId="13" numFmtId="0" xfId="0" applyAlignment="1" applyBorder="1" applyFont="1">
      <alignment horizontal="left" vertical="center"/>
    </xf>
    <xf borderId="8" fillId="0" fontId="14" numFmtId="0" xfId="0" applyAlignment="1" applyBorder="1" applyFont="1">
      <alignment horizontal="left" vertical="center"/>
    </xf>
    <xf borderId="15" fillId="0" fontId="2" numFmtId="0" xfId="0" applyAlignment="1" applyBorder="1" applyFont="1">
      <alignment horizontal="left" vertical="center"/>
    </xf>
    <xf borderId="3" fillId="0" fontId="2" numFmtId="0" xfId="0" applyAlignment="1" applyBorder="1" applyFont="1">
      <alignment horizontal="left" vertical="top"/>
    </xf>
    <xf borderId="0" fillId="0" fontId="2" numFmtId="0" xfId="0" applyAlignment="1" applyFont="1">
      <alignment vertical="center"/>
    </xf>
    <xf borderId="1" fillId="5" fontId="2" numFmtId="0" xfId="0" applyAlignment="1" applyBorder="1" applyFont="1">
      <alignment horizontal="left" vertical="center"/>
    </xf>
    <xf borderId="1" fillId="0" fontId="15" numFmtId="0" xfId="0" applyAlignment="1" applyBorder="1" applyFont="1">
      <alignment horizontal="left"/>
    </xf>
    <xf borderId="1" fillId="0" fontId="2" numFmtId="0" xfId="0" applyAlignment="1" applyBorder="1" applyFont="1">
      <alignment vertical="center"/>
    </xf>
    <xf borderId="1" fillId="0" fontId="2" numFmtId="0" xfId="0" applyAlignment="1" applyBorder="1" applyFont="1">
      <alignment horizontal="center" shrinkToFit="0" vertical="center" wrapText="1"/>
    </xf>
    <xf borderId="6" fillId="0" fontId="2" numFmtId="0" xfId="0" applyAlignment="1" applyBorder="1" applyFont="1">
      <alignment horizontal="center" vertical="top"/>
    </xf>
    <xf borderId="1" fillId="0" fontId="2" numFmtId="0" xfId="0" applyAlignment="1" applyBorder="1" applyFont="1">
      <alignment horizontal="center" vertical="top"/>
    </xf>
    <xf borderId="3" fillId="0" fontId="2" numFmtId="0" xfId="0" applyAlignment="1" applyBorder="1" applyFont="1">
      <alignment horizontal="left" vertical="center"/>
    </xf>
    <xf borderId="3" fillId="0" fontId="16" numFmtId="0" xfId="0" applyAlignment="1" applyBorder="1" applyFont="1">
      <alignment horizontal="left"/>
    </xf>
    <xf borderId="3" fillId="0" fontId="2" numFmtId="0" xfId="0" applyAlignment="1" applyBorder="1" applyFont="1">
      <alignment horizontal="center" shrinkToFit="0" vertical="center" wrapText="1"/>
    </xf>
    <xf borderId="15" fillId="0" fontId="2" numFmtId="0" xfId="0" applyAlignment="1" applyBorder="1" applyFont="1">
      <alignment horizontal="center" vertical="top"/>
    </xf>
    <xf borderId="3" fillId="0" fontId="2" numFmtId="0" xfId="0" applyAlignment="1" applyBorder="1" applyFont="1">
      <alignment vertical="center"/>
    </xf>
    <xf borderId="0" fillId="0" fontId="2" numFmtId="0" xfId="0" applyAlignment="1" applyFont="1">
      <alignment horizontal="left" vertical="center"/>
    </xf>
    <xf borderId="0" fillId="0" fontId="17" numFmtId="0" xfId="0" applyAlignment="1" applyFont="1">
      <alignment horizontal="left" vertical="center"/>
    </xf>
    <xf borderId="0" fillId="0" fontId="2" numFmtId="0" xfId="0" applyAlignment="1" applyFont="1">
      <alignment horizontal="left" vertical="top"/>
    </xf>
    <xf borderId="0" fillId="0" fontId="1" numFmtId="0" xfId="0" applyFont="1"/>
    <xf borderId="0" fillId="0" fontId="18" numFmtId="0" xfId="0" applyFont="1"/>
    <xf borderId="0" fillId="0" fontId="2" numFmtId="0" xfId="0" applyFont="1"/>
    <xf borderId="7" fillId="0" fontId="2" numFmtId="164" xfId="0" applyAlignment="1" applyBorder="1" applyFont="1" applyNumberFormat="1">
      <alignment horizontal="center"/>
    </xf>
    <xf borderId="7" fillId="0" fontId="2" numFmtId="0" xfId="0" applyBorder="1" applyFont="1"/>
    <xf borderId="1" fillId="4" fontId="19" numFmtId="0" xfId="0" applyAlignment="1" applyBorder="1" applyFont="1">
      <alignment horizontal="left"/>
    </xf>
    <xf borderId="14" fillId="0" fontId="2" numFmtId="0" xfId="0" applyAlignment="1" applyBorder="1" applyFont="1">
      <alignment horizontal="center"/>
    </xf>
    <xf borderId="7" fillId="0" fontId="20" numFmtId="0" xfId="0" applyBorder="1" applyFont="1"/>
    <xf borderId="14" fillId="0" fontId="20" numFmtId="0" xfId="0" applyAlignment="1" applyBorder="1" applyFont="1">
      <alignment horizontal="center"/>
    </xf>
    <xf borderId="7" fillId="0" fontId="2" numFmtId="0" xfId="0" applyAlignment="1" applyBorder="1" applyFont="1">
      <alignment horizontal="center"/>
    </xf>
    <xf borderId="1" fillId="6" fontId="21" numFmtId="0" xfId="0" applyAlignment="1" applyBorder="1" applyFill="1" applyFont="1">
      <alignment horizontal="left"/>
    </xf>
    <xf borderId="0" fillId="0" fontId="2" numFmtId="0" xfId="0" applyAlignment="1" applyFont="1">
      <alignment horizontal="center"/>
    </xf>
    <xf borderId="0" fillId="0" fontId="2" numFmtId="0" xfId="0" applyAlignment="1" applyFont="1">
      <alignment horizontal="left"/>
    </xf>
    <xf borderId="1" fillId="3" fontId="22" numFmtId="0" xfId="0" applyAlignment="1" applyBorder="1" applyFont="1">
      <alignment horizontal="center"/>
    </xf>
    <xf borderId="10" fillId="3" fontId="22" numFmtId="0" xfId="0" applyAlignment="1" applyBorder="1" applyFont="1">
      <alignment horizontal="center"/>
    </xf>
    <xf borderId="1" fillId="7" fontId="20" numFmtId="0" xfId="0" applyAlignment="1" applyBorder="1" applyFill="1" applyFont="1">
      <alignment horizontal="left" vertical="center"/>
    </xf>
    <xf borderId="1" fillId="7" fontId="20" numFmtId="0" xfId="0" applyAlignment="1" applyBorder="1" applyFont="1">
      <alignment horizontal="center"/>
    </xf>
    <xf borderId="1" fillId="7" fontId="20" numFmtId="0" xfId="0" applyAlignment="1" applyBorder="1" applyFont="1">
      <alignment horizontal="left"/>
    </xf>
    <xf borderId="10" fillId="7" fontId="20" numFmtId="0" xfId="0" applyAlignment="1" applyBorder="1" applyFont="1">
      <alignment horizontal="center"/>
    </xf>
    <xf borderId="10" fillId="4" fontId="20" numFmtId="0" xfId="0" applyAlignment="1" applyBorder="1" applyFont="1">
      <alignment horizontal="left"/>
    </xf>
    <xf borderId="1" fillId="0" fontId="2" numFmtId="164" xfId="0" applyAlignment="1" applyBorder="1" applyFont="1" applyNumberFormat="1">
      <alignment horizontal="center"/>
    </xf>
    <xf borderId="1" fillId="8" fontId="20" numFmtId="0" xfId="0" applyAlignment="1" applyBorder="1" applyFill="1" applyFont="1">
      <alignment horizontal="left" vertical="center"/>
    </xf>
    <xf borderId="1" fillId="8" fontId="20" numFmtId="0" xfId="0" applyAlignment="1" applyBorder="1" applyFont="1">
      <alignment horizontal="center"/>
    </xf>
    <xf borderId="1" fillId="8" fontId="20" numFmtId="0" xfId="0" applyAlignment="1" applyBorder="1" applyFont="1">
      <alignment horizontal="left"/>
    </xf>
    <xf borderId="10" fillId="8" fontId="20" numFmtId="0" xfId="0" applyAlignment="1" applyBorder="1" applyFont="1">
      <alignment horizontal="center"/>
    </xf>
    <xf borderId="10" fillId="4" fontId="20" numFmtId="0" xfId="0" applyAlignment="1" applyBorder="1" applyFont="1">
      <alignment horizontal="left" vertical="center"/>
    </xf>
    <xf borderId="2" fillId="7" fontId="20" numFmtId="0" xfId="0" applyAlignment="1" applyBorder="1" applyFont="1">
      <alignment horizontal="left" vertical="center"/>
    </xf>
    <xf borderId="2" fillId="7" fontId="20" numFmtId="0" xfId="0" applyAlignment="1" applyBorder="1" applyFont="1">
      <alignment horizontal="center"/>
    </xf>
    <xf borderId="2" fillId="7" fontId="20" numFmtId="0" xfId="0" applyAlignment="1" applyBorder="1" applyFont="1">
      <alignment horizontal="left"/>
    </xf>
    <xf borderId="11" fillId="7" fontId="20" numFmtId="0" xfId="0" applyAlignment="1" applyBorder="1" applyFont="1">
      <alignment horizontal="center"/>
    </xf>
    <xf borderId="11" fillId="4" fontId="20" numFmtId="0" xfId="0" applyAlignment="1" applyBorder="1" applyFont="1">
      <alignment horizontal="left"/>
    </xf>
    <xf borderId="6" fillId="0" fontId="2" numFmtId="0" xfId="0" applyAlignment="1" applyBorder="1" applyFont="1">
      <alignment horizontal="left"/>
    </xf>
    <xf borderId="1" fillId="0" fontId="2" numFmtId="0" xfId="0" applyAlignment="1" applyBorder="1" applyFont="1">
      <alignment horizontal="center" shrinkToFit="0" vertical="top" wrapText="1"/>
    </xf>
    <xf borderId="1" fillId="0" fontId="2" numFmtId="164" xfId="0" applyAlignment="1" applyBorder="1" applyFont="1" applyNumberFormat="1">
      <alignment horizontal="center" shrinkToFit="0" vertical="top" wrapText="1"/>
    </xf>
    <xf borderId="1" fillId="0" fontId="20" numFmtId="0" xfId="0" applyAlignment="1" applyBorder="1" applyFont="1">
      <alignment horizontal="left" vertical="center"/>
    </xf>
    <xf borderId="3" fillId="0" fontId="2" numFmtId="0" xfId="0" applyAlignment="1" applyBorder="1" applyFont="1">
      <alignment horizontal="center"/>
    </xf>
    <xf borderId="3" fillId="0" fontId="2" numFmtId="0" xfId="0" applyAlignment="1" applyBorder="1" applyFont="1">
      <alignment horizontal="left"/>
    </xf>
    <xf borderId="15" fillId="0" fontId="2" numFmtId="0" xfId="0" applyAlignment="1" applyBorder="1" applyFont="1">
      <alignment horizontal="left"/>
    </xf>
    <xf borderId="1" fillId="3" fontId="22" numFmtId="0" xfId="0" applyAlignment="1" applyBorder="1" applyFont="1">
      <alignment horizontal="center" shrinkToFit="0" vertical="center" wrapText="1"/>
    </xf>
    <xf borderId="1" fillId="3" fontId="22" numFmtId="0" xfId="0" applyAlignment="1" applyBorder="1" applyFont="1">
      <alignment horizontal="center" shrinkToFit="0" vertical="top" wrapText="1"/>
    </xf>
    <xf borderId="1" fillId="0" fontId="20"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1" fillId="0" fontId="23" numFmtId="0" xfId="0" applyAlignment="1" applyBorder="1" applyFont="1">
      <alignment horizontal="left" shrinkToFit="0" vertical="center" wrapText="1"/>
    </xf>
    <xf borderId="1" fillId="0" fontId="20" numFmtId="0" xfId="0" applyBorder="1" applyFont="1"/>
    <xf borderId="3" fillId="0" fontId="20" numFmtId="0" xfId="0" applyAlignment="1" applyBorder="1" applyFont="1">
      <alignment horizontal="left" shrinkToFit="0" vertical="top" wrapText="1"/>
    </xf>
    <xf borderId="3" fillId="0" fontId="2" numFmtId="0" xfId="0" applyAlignment="1" applyBorder="1" applyFont="1">
      <alignment horizontal="left" shrinkToFit="0" vertical="center" wrapText="1"/>
    </xf>
    <xf borderId="3" fillId="0" fontId="20" numFmtId="0" xfId="0" applyAlignment="1" applyBorder="1" applyFont="1">
      <alignment horizontal="left" shrinkToFit="0" vertical="center" wrapText="1"/>
    </xf>
    <xf borderId="3" fillId="0" fontId="2" numFmtId="0" xfId="0" applyAlignment="1" applyBorder="1" applyFont="1">
      <alignment horizontal="left" shrinkToFit="0" vertical="top" wrapText="1"/>
    </xf>
    <xf borderId="6" fillId="0" fontId="20" numFmtId="0" xfId="0" applyAlignment="1" applyBorder="1" applyFont="1">
      <alignment horizontal="left" vertical="center"/>
    </xf>
    <xf borderId="0" fillId="0" fontId="2" numFmtId="0" xfId="0" applyAlignment="1" applyFont="1">
      <alignment horizontal="left" shrinkToFit="0" vertical="top" wrapText="1"/>
    </xf>
    <xf borderId="1" fillId="3" fontId="22" numFmtId="0" xfId="0" applyAlignment="1" applyBorder="1" applyFont="1">
      <alignment horizontal="center" vertical="center"/>
    </xf>
    <xf borderId="1" fillId="0" fontId="24" numFmtId="0" xfId="0" applyAlignment="1" applyBorder="1" applyFont="1">
      <alignment shrinkToFit="0" wrapText="1"/>
    </xf>
    <xf borderId="1" fillId="0" fontId="2" numFmtId="164" xfId="0" applyAlignment="1" applyBorder="1" applyFont="1" applyNumberFormat="1">
      <alignment horizontal="center" vertical="center"/>
    </xf>
    <xf borderId="1" fillId="0" fontId="24"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0" fontId="20" numFmtId="0" xfId="0" applyAlignment="1" applyBorder="1" applyFont="1">
      <alignment horizontal="center" vertical="center"/>
    </xf>
    <xf borderId="1" fillId="0" fontId="20" numFmtId="0" xfId="0" applyAlignment="1" applyBorder="1" applyFont="1">
      <alignment horizontal="center"/>
    </xf>
    <xf borderId="6" fillId="0" fontId="20" numFmtId="0" xfId="0" applyAlignment="1" applyBorder="1" applyFont="1">
      <alignment horizontal="center"/>
    </xf>
    <xf borderId="1" fillId="4" fontId="20" numFmtId="0" xfId="0" applyAlignment="1" applyBorder="1" applyFont="1">
      <alignment horizontal="left"/>
    </xf>
    <xf borderId="1" fillId="9" fontId="20" numFmtId="0" xfId="0" applyAlignment="1" applyBorder="1" applyFill="1" applyFont="1">
      <alignment horizontal="left" vertical="center"/>
    </xf>
    <xf borderId="1" fillId="9" fontId="20" numFmtId="0" xfId="0" applyAlignment="1" applyBorder="1" applyFont="1">
      <alignment horizontal="center" vertical="center"/>
    </xf>
    <xf borderId="1" fillId="9" fontId="20" numFmtId="0" xfId="0" applyAlignment="1" applyBorder="1" applyFont="1">
      <alignment horizontal="center"/>
    </xf>
    <xf borderId="10" fillId="9" fontId="20" numFmtId="0" xfId="0" applyAlignment="1" applyBorder="1" applyFont="1">
      <alignment horizontal="center"/>
    </xf>
    <xf borderId="1" fillId="9" fontId="20" numFmtId="0" xfId="0" applyAlignment="1" applyBorder="1" applyFont="1">
      <alignment horizontal="left"/>
    </xf>
    <xf borderId="10" fillId="9" fontId="2" numFmtId="0" xfId="0" applyAlignment="1" applyBorder="1" applyFont="1">
      <alignment horizontal="left" vertical="top"/>
    </xf>
    <xf borderId="1" fillId="9" fontId="2" numFmtId="0" xfId="0" applyAlignment="1" applyBorder="1" applyFont="1">
      <alignment horizontal="center" vertical="top"/>
    </xf>
    <xf borderId="1" fillId="9" fontId="2" numFmtId="0" xfId="0" applyAlignment="1" applyBorder="1" applyFont="1">
      <alignment horizontal="center"/>
    </xf>
    <xf borderId="13" fillId="9" fontId="20" numFmtId="0" xfId="0" applyAlignment="1" applyBorder="1" applyFont="1">
      <alignment horizontal="left"/>
    </xf>
    <xf borderId="10" fillId="9" fontId="2" numFmtId="0" xfId="0" applyAlignment="1" applyBorder="1" applyFont="1">
      <alignment horizontal="left" shrinkToFit="0" vertical="top" wrapText="1"/>
    </xf>
    <xf borderId="6" fillId="0" fontId="20" numFmtId="0" xfId="0" applyAlignment="1" applyBorder="1" applyFont="1">
      <alignment horizontal="left"/>
    </xf>
    <xf borderId="6" fillId="0" fontId="2" numFmtId="0" xfId="0" applyAlignment="1" applyBorder="1" applyFont="1">
      <alignment horizontal="left" shrinkToFit="0" vertical="top" wrapText="1"/>
    </xf>
    <xf borderId="6" fillId="0" fontId="2" numFmtId="0" xfId="0" applyAlignment="1" applyBorder="1" applyFont="1">
      <alignment horizontal="left" vertical="top"/>
    </xf>
    <xf borderId="14" fillId="0" fontId="20" numFmtId="0" xfId="0" applyAlignment="1" applyBorder="1" applyFont="1">
      <alignment horizontal="left"/>
    </xf>
    <xf borderId="1" fillId="9" fontId="2" numFmtId="0" xfId="0" applyAlignment="1" applyBorder="1" applyFont="1">
      <alignment horizontal="left" vertical="center"/>
    </xf>
    <xf borderId="1" fillId="9" fontId="2" numFmtId="0" xfId="0" applyAlignment="1" applyBorder="1" applyFont="1">
      <alignment horizontal="left"/>
    </xf>
    <xf borderId="1" fillId="9" fontId="2" numFmtId="0" xfId="0" applyAlignment="1" applyBorder="1" applyFont="1">
      <alignment horizontal="center" vertical="center"/>
    </xf>
    <xf borderId="1" fillId="0" fontId="2" numFmtId="3" xfId="0" applyAlignment="1" applyBorder="1" applyFont="1" applyNumberFormat="1">
      <alignment horizontal="center"/>
    </xf>
    <xf borderId="2" fillId="9" fontId="2" numFmtId="0" xfId="0" applyAlignment="1" applyBorder="1" applyFont="1">
      <alignment horizontal="left"/>
    </xf>
    <xf borderId="1" fillId="0" fontId="2" numFmtId="3" xfId="0" applyAlignment="1" applyBorder="1" applyFont="1" applyNumberFormat="1">
      <alignment horizontal="left"/>
    </xf>
    <xf borderId="6" fillId="0" fontId="25" numFmtId="0" xfId="0" applyAlignment="1" applyBorder="1" applyFont="1">
      <alignment horizontal="left"/>
    </xf>
    <xf borderId="3" fillId="0" fontId="2" numFmtId="0" xfId="0" applyAlignment="1" applyBorder="1" applyFont="1">
      <alignment horizontal="center" shrinkToFit="0" vertical="top" wrapText="1"/>
    </xf>
    <xf borderId="15" fillId="0" fontId="2" numFmtId="0" xfId="0" applyAlignment="1" applyBorder="1" applyFont="1">
      <alignment horizontal="left" shrinkToFit="0" vertical="top" wrapText="1"/>
    </xf>
    <xf borderId="1" fillId="9" fontId="2" numFmtId="0" xfId="0" applyAlignment="1" applyBorder="1" applyFont="1">
      <alignment horizontal="left" vertical="top"/>
    </xf>
    <xf borderId="21" fillId="9" fontId="2" numFmtId="0" xfId="0" applyBorder="1" applyFont="1"/>
    <xf borderId="1" fillId="9" fontId="2" numFmtId="0" xfId="0" applyAlignment="1" applyBorder="1" applyFont="1">
      <alignment horizontal="left" shrinkToFit="0" vertical="top" wrapText="1"/>
    </xf>
    <xf borderId="0" fillId="0" fontId="2" numFmtId="0" xfId="0" applyAlignment="1" applyFont="1">
      <alignment horizontal="center" vertical="top"/>
    </xf>
    <xf borderId="1" fillId="3" fontId="1"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1" fillId="10" fontId="26" numFmtId="0" xfId="0" applyAlignment="1" applyBorder="1" applyFill="1" applyFont="1">
      <alignment horizontal="center" vertical="center"/>
    </xf>
    <xf borderId="1" fillId="10" fontId="27" numFmtId="0" xfId="0" applyAlignment="1" applyBorder="1" applyFont="1">
      <alignment horizontal="center" vertical="center"/>
    </xf>
    <xf borderId="2" fillId="10" fontId="26" numFmtId="0" xfId="0" applyAlignment="1" applyBorder="1" applyFont="1">
      <alignment horizontal="center" vertical="center"/>
    </xf>
    <xf borderId="11" fillId="10" fontId="26" numFmtId="0" xfId="0" applyAlignment="1" applyBorder="1" applyFont="1">
      <alignment horizontal="center" vertical="center"/>
    </xf>
    <xf borderId="10" fillId="10" fontId="26" numFmtId="0" xfId="0" applyAlignment="1" applyBorder="1" applyFont="1">
      <alignment horizontal="center" vertical="center"/>
    </xf>
    <xf borderId="6" fillId="0" fontId="2" numFmtId="164" xfId="0" applyAlignment="1" applyBorder="1" applyFont="1" applyNumberFormat="1">
      <alignment horizontal="center" vertical="center"/>
    </xf>
    <xf borderId="1" fillId="0" fontId="28" numFmtId="0" xfId="0" applyAlignment="1" applyBorder="1" applyFont="1">
      <alignment horizontal="center" vertical="center"/>
    </xf>
    <xf borderId="5" fillId="0" fontId="2" numFmtId="0" xfId="0" applyAlignment="1" applyBorder="1" applyFont="1">
      <alignment horizontal="left" vertical="center"/>
    </xf>
    <xf borderId="15" fillId="0" fontId="2" numFmtId="164" xfId="0" applyAlignment="1" applyBorder="1" applyFont="1" applyNumberFormat="1">
      <alignment horizontal="center" vertical="center"/>
    </xf>
    <xf borderId="6" fillId="0" fontId="29" numFmtId="0" xfId="0" applyAlignment="1" applyBorder="1" applyFont="1">
      <alignment horizontal="left" vertical="center"/>
    </xf>
    <xf borderId="19" fillId="0" fontId="2" numFmtId="0" xfId="0" applyAlignment="1" applyBorder="1" applyFont="1">
      <alignment horizontal="left" vertical="top"/>
    </xf>
    <xf borderId="4" fillId="0" fontId="20" numFmtId="0" xfId="0" applyAlignment="1" applyBorder="1" applyFont="1">
      <alignment horizontal="left" vertical="center"/>
    </xf>
    <xf borderId="1" fillId="11" fontId="2" numFmtId="0" xfId="0" applyAlignment="1" applyBorder="1" applyFill="1" applyFont="1">
      <alignment horizontal="center" vertical="center"/>
    </xf>
    <xf borderId="10" fillId="11" fontId="2" numFmtId="0" xfId="0" applyAlignment="1" applyBorder="1" applyFont="1">
      <alignment horizontal="center" vertical="center"/>
    </xf>
    <xf borderId="9" fillId="11" fontId="2" numFmtId="0" xfId="0" applyAlignment="1" applyBorder="1" applyFont="1">
      <alignment horizontal="left" vertical="center"/>
    </xf>
    <xf borderId="1" fillId="11" fontId="2" numFmtId="0" xfId="0" applyAlignment="1" applyBorder="1" applyFont="1">
      <alignment horizontal="left" vertical="center"/>
    </xf>
    <xf borderId="1" fillId="11" fontId="30" numFmtId="0" xfId="0" applyAlignment="1" applyBorder="1" applyFont="1">
      <alignment horizontal="left" vertical="center"/>
    </xf>
    <xf borderId="9" fillId="11" fontId="2" numFmtId="0" xfId="0" applyAlignment="1" applyBorder="1" applyFont="1">
      <alignment horizontal="center" vertical="center"/>
    </xf>
    <xf borderId="1" fillId="11" fontId="2" numFmtId="0" xfId="0" applyAlignment="1" applyBorder="1" applyFont="1">
      <alignment vertical="center"/>
    </xf>
    <xf borderId="10" fillId="11" fontId="2" numFmtId="164" xfId="0" applyAlignment="1" applyBorder="1" applyFont="1" applyNumberFormat="1">
      <alignment horizontal="center" vertical="center"/>
    </xf>
    <xf borderId="10" fillId="11" fontId="2" numFmtId="0" xfId="0" applyAlignment="1" applyBorder="1" applyFont="1">
      <alignment horizontal="left" vertical="top"/>
    </xf>
    <xf borderId="21" fillId="11" fontId="2" numFmtId="0" xfId="0" applyAlignment="1" applyBorder="1" applyFont="1">
      <alignment vertical="center"/>
    </xf>
    <xf borderId="3" fillId="0" fontId="20" numFmtId="0" xfId="0" applyAlignment="1" applyBorder="1" applyFont="1">
      <alignment horizontal="center"/>
    </xf>
    <xf quotePrefix="1" borderId="6" fillId="0" fontId="20" numFmtId="0" xfId="0" applyAlignment="1" applyBorder="1" applyFont="1">
      <alignment horizontal="center"/>
    </xf>
    <xf borderId="7" fillId="0" fontId="20" numFmtId="0" xfId="0" applyAlignment="1" applyBorder="1" applyFont="1">
      <alignment horizontal="left"/>
    </xf>
    <xf borderId="1" fillId="0" fontId="20" numFmtId="0" xfId="0" applyAlignment="1" applyBorder="1" applyFont="1">
      <alignment horizontal="left"/>
    </xf>
    <xf quotePrefix="1" borderId="1" fillId="0" fontId="20" numFmtId="0" xfId="0" applyAlignment="1" applyBorder="1" applyFont="1">
      <alignment horizontal="left" vertical="center"/>
    </xf>
    <xf borderId="20" fillId="0" fontId="2" numFmtId="0" xfId="0" applyAlignment="1" applyBorder="1" applyFont="1">
      <alignment horizontal="left" vertical="center"/>
    </xf>
    <xf borderId="0" fillId="0" fontId="2" numFmtId="164" xfId="0" applyAlignment="1" applyFont="1" applyNumberFormat="1">
      <alignment horizontal="center" vertical="center"/>
    </xf>
    <xf borderId="0" fillId="0" fontId="20" numFmtId="0" xfId="0" applyAlignment="1" applyFont="1">
      <alignment horizontal="left"/>
    </xf>
    <xf borderId="3" fillId="0" fontId="2" numFmtId="164" xfId="0" applyAlignment="1" applyBorder="1" applyFont="1" applyNumberFormat="1">
      <alignment horizontal="center" vertical="center"/>
    </xf>
    <xf borderId="15" fillId="0" fontId="2" numFmtId="0" xfId="0" applyAlignment="1" applyBorder="1" applyFont="1">
      <alignment horizontal="left" vertical="top"/>
    </xf>
    <xf borderId="4" fillId="0" fontId="2" numFmtId="0" xfId="0" applyAlignment="1" applyBorder="1" applyFont="1">
      <alignment horizontal="center" vertical="center"/>
    </xf>
    <xf borderId="4" fillId="0" fontId="2" numFmtId="164" xfId="0" applyAlignment="1" applyBorder="1" applyFont="1" applyNumberFormat="1">
      <alignment horizontal="center" vertical="center"/>
    </xf>
    <xf borderId="4" fillId="0" fontId="2" numFmtId="0" xfId="0" applyAlignment="1" applyBorder="1" applyFont="1">
      <alignment horizontal="left" vertical="center"/>
    </xf>
    <xf borderId="4" fillId="0" fontId="31" numFmtId="0" xfId="0" applyAlignment="1" applyBorder="1" applyFont="1">
      <alignment horizontal="left" vertical="center"/>
    </xf>
    <xf borderId="4" fillId="0" fontId="2" numFmtId="0" xfId="0" applyAlignment="1" applyBorder="1" applyFont="1">
      <alignment horizontal="left" vertical="top"/>
    </xf>
    <xf borderId="22" fillId="11" fontId="2" numFmtId="0" xfId="0" applyAlignment="1" applyBorder="1" applyFont="1">
      <alignment horizontal="center" vertical="center"/>
    </xf>
    <xf borderId="22" fillId="11" fontId="2" numFmtId="0" xfId="0" applyAlignment="1" applyBorder="1" applyFont="1">
      <alignment horizontal="left" vertical="center"/>
    </xf>
    <xf borderId="22" fillId="11" fontId="32" numFmtId="0" xfId="0" applyAlignment="1" applyBorder="1" applyFont="1">
      <alignment horizontal="left" vertical="center"/>
    </xf>
    <xf borderId="23" fillId="11" fontId="2" numFmtId="0" xfId="0" applyAlignment="1" applyBorder="1" applyFont="1">
      <alignment horizontal="center" vertical="center"/>
    </xf>
    <xf borderId="23" fillId="11" fontId="2" numFmtId="0" xfId="0" applyAlignment="1" applyBorder="1" applyFont="1">
      <alignment horizontal="left" vertical="top"/>
    </xf>
    <xf borderId="6" fillId="0" fontId="33" numFmtId="0" xfId="0" applyAlignment="1" applyBorder="1" applyFont="1">
      <alignment horizontal="left" vertical="top"/>
    </xf>
    <xf quotePrefix="1" borderId="1" fillId="0" fontId="20" numFmtId="0" xfId="0" applyAlignment="1" applyBorder="1" applyFont="1">
      <alignment horizontal="center" vertical="center"/>
    </xf>
    <xf borderId="1" fillId="0" fontId="34" numFmtId="0" xfId="0" applyAlignment="1" applyBorder="1" applyFont="1">
      <alignment horizontal="left" vertical="center"/>
    </xf>
    <xf borderId="6" fillId="0" fontId="20" numFmtId="0" xfId="0" applyAlignment="1" applyBorder="1" applyFont="1">
      <alignment horizontal="center" vertical="center"/>
    </xf>
    <xf borderId="3" fillId="0" fontId="20" numFmtId="0" xfId="0" applyAlignment="1" applyBorder="1" applyFont="1">
      <alignment horizontal="center" vertical="center"/>
    </xf>
    <xf quotePrefix="1" borderId="3" fillId="0" fontId="20" numFmtId="0" xfId="0" applyAlignment="1" applyBorder="1" applyFont="1">
      <alignment horizontal="center" vertical="center"/>
    </xf>
    <xf borderId="3" fillId="0" fontId="20" numFmtId="0" xfId="0" applyAlignment="1" applyBorder="1" applyFont="1">
      <alignment horizontal="left" vertical="center"/>
    </xf>
    <xf borderId="3" fillId="0" fontId="35" numFmtId="0" xfId="0" applyAlignment="1" applyBorder="1" applyFont="1">
      <alignment horizontal="left" vertical="center"/>
    </xf>
    <xf quotePrefix="1" borderId="3" fillId="0" fontId="20" numFmtId="0" xfId="0" applyAlignment="1" applyBorder="1" applyFont="1">
      <alignment horizontal="left" vertical="center"/>
    </xf>
    <xf borderId="3" fillId="0" fontId="20" numFmtId="0" xfId="0" applyAlignment="1" applyBorder="1" applyFont="1">
      <alignment vertical="center"/>
    </xf>
    <xf borderId="15" fillId="0" fontId="20" numFmtId="0" xfId="0" applyAlignment="1" applyBorder="1" applyFont="1">
      <alignment horizontal="center" vertical="center"/>
    </xf>
    <xf borderId="15" fillId="0" fontId="20" numFmtId="0" xfId="0" applyAlignment="1" applyBorder="1" applyFont="1">
      <alignment horizontal="left" vertical="center"/>
    </xf>
    <xf borderId="1" fillId="0" fontId="20" numFmtId="164" xfId="0" applyAlignment="1" applyBorder="1" applyFont="1" applyNumberFormat="1">
      <alignment horizontal="center" vertical="center"/>
    </xf>
    <xf borderId="1" fillId="0" fontId="20" numFmtId="0" xfId="0" applyAlignment="1" applyBorder="1" applyFont="1">
      <alignment vertical="center"/>
    </xf>
    <xf borderId="4" fillId="0" fontId="20" numFmtId="0" xfId="0" applyAlignment="1" applyBorder="1" applyFont="1">
      <alignment horizontal="center" vertical="center"/>
    </xf>
    <xf borderId="4" fillId="0" fontId="20" numFmtId="164" xfId="0" applyAlignment="1" applyBorder="1" applyFont="1" applyNumberFormat="1">
      <alignment horizontal="center" vertical="center"/>
    </xf>
    <xf quotePrefix="1" borderId="4" fillId="0" fontId="20" numFmtId="0" xfId="0" applyAlignment="1" applyBorder="1" applyFont="1">
      <alignment horizontal="center" vertical="center"/>
    </xf>
    <xf borderId="4" fillId="0" fontId="20" numFmtId="0" xfId="0" applyAlignment="1" applyBorder="1" applyFont="1">
      <alignment vertical="center"/>
    </xf>
    <xf borderId="4" fillId="0" fontId="2" numFmtId="0" xfId="0" applyBorder="1" applyFont="1"/>
    <xf borderId="5" fillId="0" fontId="20" numFmtId="0" xfId="0" applyAlignment="1" applyBorder="1" applyFont="1">
      <alignment horizontal="center" vertical="center"/>
    </xf>
    <xf borderId="5" fillId="0" fontId="20" numFmtId="164" xfId="0" applyAlignment="1" applyBorder="1" applyFont="1" applyNumberFormat="1">
      <alignment horizontal="center" vertical="center"/>
    </xf>
    <xf quotePrefix="1" borderId="5" fillId="0" fontId="20" numFmtId="0" xfId="0" applyAlignment="1" applyBorder="1" applyFont="1">
      <alignment horizontal="center" vertical="center"/>
    </xf>
    <xf borderId="5" fillId="0" fontId="20" numFmtId="0" xfId="0" applyAlignment="1" applyBorder="1" applyFont="1">
      <alignment horizontal="left" vertical="center"/>
    </xf>
    <xf quotePrefix="1" borderId="5" fillId="0" fontId="36" numFmtId="0" xfId="0" applyAlignment="1" applyBorder="1" applyFont="1">
      <alignment horizontal="left" vertical="center"/>
    </xf>
    <xf borderId="5" fillId="0" fontId="2" numFmtId="0" xfId="0" applyAlignment="1" applyBorder="1" applyFont="1">
      <alignment horizontal="left" vertical="top"/>
    </xf>
    <xf borderId="24" fillId="0" fontId="2" numFmtId="0" xfId="0" applyAlignment="1" applyBorder="1" applyFont="1">
      <alignment horizontal="center" vertical="center"/>
    </xf>
    <xf borderId="5" fillId="0" fontId="2" numFmtId="164" xfId="0" applyAlignment="1" applyBorder="1" applyFont="1" applyNumberFormat="1">
      <alignment horizontal="center" vertical="center"/>
    </xf>
    <xf borderId="6" fillId="0" fontId="2" numFmtId="0" xfId="0" applyBorder="1" applyFont="1"/>
    <xf borderId="1" fillId="12" fontId="37" numFmtId="0" xfId="0" applyAlignment="1" applyBorder="1" applyFill="1" applyFont="1">
      <alignment horizontal="center" vertical="center"/>
    </xf>
    <xf borderId="1" fillId="13" fontId="2" numFmtId="0" xfId="0" applyAlignment="1" applyBorder="1" applyFill="1" applyFont="1">
      <alignment horizontal="center" vertical="center"/>
    </xf>
    <xf borderId="1" fillId="11" fontId="2" numFmtId="0" xfId="0" applyAlignment="1" applyBorder="1" applyFont="1">
      <alignment vertical="top"/>
    </xf>
    <xf borderId="1" fillId="11" fontId="2" numFmtId="164" xfId="0" applyAlignment="1" applyBorder="1" applyFont="1" applyNumberFormat="1">
      <alignment horizontal="center" vertical="center"/>
    </xf>
    <xf borderId="1" fillId="11" fontId="2" numFmtId="0" xfId="0" applyAlignment="1" applyBorder="1" applyFont="1">
      <alignment horizontal="left" vertical="top"/>
    </xf>
    <xf borderId="10" fillId="11" fontId="2" numFmtId="0" xfId="0" applyBorder="1" applyFont="1"/>
    <xf borderId="1" fillId="11" fontId="20" numFmtId="0" xfId="0" applyAlignment="1" applyBorder="1" applyFont="1">
      <alignment horizontal="left" vertical="top"/>
    </xf>
    <xf borderId="1" fillId="11" fontId="38" numFmtId="0" xfId="0" applyAlignment="1" applyBorder="1" applyFont="1">
      <alignment horizontal="left" vertical="top"/>
    </xf>
    <xf borderId="1" fillId="14" fontId="2" numFmtId="0" xfId="0" applyAlignment="1" applyBorder="1" applyFill="1" applyFont="1">
      <alignment horizontal="center" vertical="center"/>
    </xf>
    <xf borderId="3" fillId="0" fontId="20" numFmtId="0" xfId="0" applyAlignment="1" applyBorder="1" applyFont="1">
      <alignment horizontal="left"/>
    </xf>
    <xf borderId="6" fillId="0" fontId="20" numFmtId="164" xfId="0" applyAlignment="1" applyBorder="1" applyFont="1" applyNumberFormat="1">
      <alignment horizontal="center"/>
    </xf>
    <xf borderId="1" fillId="0" fontId="20" numFmtId="164" xfId="0" applyAlignment="1" applyBorder="1" applyFont="1" applyNumberFormat="1">
      <alignment horizontal="center"/>
    </xf>
    <xf borderId="5" fillId="0" fontId="20" numFmtId="0" xfId="0" applyAlignment="1" applyBorder="1" applyFont="1">
      <alignment horizontal="left"/>
    </xf>
    <xf borderId="1" fillId="14" fontId="2" numFmtId="0" xfId="0" applyAlignment="1" applyBorder="1" applyFont="1">
      <alignment horizontal="left" vertical="center"/>
    </xf>
    <xf borderId="1" fillId="15" fontId="2" numFmtId="0" xfId="0" applyAlignment="1" applyBorder="1" applyFill="1" applyFont="1">
      <alignment horizontal="center" vertical="center"/>
    </xf>
    <xf borderId="1" fillId="15" fontId="2" numFmtId="0" xfId="0" applyAlignment="1" applyBorder="1" applyFont="1">
      <alignment horizontal="left" vertical="center"/>
    </xf>
    <xf borderId="1" fillId="15" fontId="39" numFmtId="0" xfId="0" applyAlignment="1" applyBorder="1" applyFont="1">
      <alignment horizontal="left" vertical="center"/>
    </xf>
    <xf borderId="1" fillId="15" fontId="2" numFmtId="0" xfId="0" applyAlignment="1" applyBorder="1" applyFont="1">
      <alignment horizontal="left" vertical="top"/>
    </xf>
    <xf borderId="10" fillId="15" fontId="2" numFmtId="0" xfId="0" applyBorder="1" applyFont="1"/>
    <xf borderId="1" fillId="15" fontId="2" numFmtId="164" xfId="0" applyAlignment="1" applyBorder="1" applyFont="1" applyNumberFormat="1">
      <alignment horizontal="center" vertical="center"/>
    </xf>
    <xf borderId="1" fillId="0" fontId="40" numFmtId="0" xfId="0" applyAlignment="1" applyBorder="1" applyFont="1">
      <alignment horizontal="left" vertical="top"/>
    </xf>
    <xf borderId="21" fillId="11" fontId="2" numFmtId="0" xfId="0" applyBorder="1" applyFont="1"/>
    <xf borderId="15" fillId="0" fontId="2" numFmtId="0" xfId="0" applyBorder="1" applyFont="1"/>
    <xf borderId="1" fillId="11" fontId="2" numFmtId="0" xfId="0" applyAlignment="1" applyBorder="1" applyFont="1">
      <alignment horizontal="center"/>
    </xf>
    <xf borderId="1" fillId="15" fontId="2" numFmtId="0" xfId="0" applyAlignment="1" applyBorder="1" applyFont="1">
      <alignment horizontal="center"/>
    </xf>
    <xf borderId="21" fillId="15" fontId="2" numFmtId="0" xfId="0" applyBorder="1" applyFont="1"/>
    <xf borderId="3" fillId="0" fontId="2" numFmtId="0" xfId="0" applyBorder="1" applyFont="1"/>
    <xf borderId="5" fillId="0" fontId="2" numFmtId="0" xfId="0" applyAlignment="1" applyBorder="1" applyFont="1">
      <alignment horizontal="center"/>
    </xf>
    <xf borderId="19" fillId="0" fontId="2" numFmtId="0" xfId="0" applyAlignment="1" applyBorder="1" applyFont="1">
      <alignment horizontal="left" vertical="center"/>
    </xf>
    <xf borderId="17" fillId="0" fontId="2" numFmtId="0" xfId="0" applyAlignment="1" applyBorder="1" applyFont="1">
      <alignment horizontal="left" vertical="center"/>
    </xf>
    <xf borderId="3" fillId="0" fontId="41" numFmtId="164" xfId="0" applyAlignment="1" applyBorder="1" applyFont="1" applyNumberFormat="1">
      <alignment horizontal="center" readingOrder="1" vertical="center"/>
    </xf>
    <xf borderId="3" fillId="0" fontId="42" numFmtId="0" xfId="0" applyAlignment="1" applyBorder="1" applyFont="1">
      <alignment horizontal="center" readingOrder="1" vertical="center"/>
    </xf>
    <xf borderId="3" fillId="0" fontId="41" numFmtId="0" xfId="0" applyAlignment="1" applyBorder="1" applyFont="1">
      <alignment horizontal="center" readingOrder="1" vertical="center"/>
    </xf>
    <xf quotePrefix="1" borderId="3" fillId="0" fontId="41" numFmtId="0" xfId="0" applyAlignment="1" applyBorder="1" applyFont="1">
      <alignment horizontal="center" readingOrder="1" vertical="center"/>
    </xf>
    <xf borderId="3" fillId="0" fontId="41" numFmtId="0" xfId="0" applyAlignment="1" applyBorder="1" applyFont="1">
      <alignment horizontal="left" readingOrder="1" vertical="center"/>
    </xf>
    <xf borderId="3" fillId="0" fontId="43" numFmtId="0" xfId="0" applyAlignment="1" applyBorder="1" applyFont="1">
      <alignment horizontal="left" readingOrder="1" vertical="center"/>
    </xf>
    <xf borderId="3" fillId="0" fontId="41" numFmtId="0" xfId="0" applyAlignment="1" applyBorder="1" applyFont="1">
      <alignment horizontal="left" readingOrder="1" vertical="center"/>
    </xf>
    <xf borderId="1" fillId="0" fontId="41" numFmtId="164" xfId="0" applyAlignment="1" applyBorder="1" applyFont="1" applyNumberFormat="1">
      <alignment horizontal="center" readingOrder="1" vertical="center"/>
    </xf>
    <xf borderId="1" fillId="0" fontId="42" numFmtId="0" xfId="0" applyAlignment="1" applyBorder="1" applyFont="1">
      <alignment horizontal="center" readingOrder="1" vertical="center"/>
    </xf>
    <xf borderId="1" fillId="0" fontId="41" numFmtId="0" xfId="0" applyAlignment="1" applyBorder="1" applyFont="1">
      <alignment horizontal="center" readingOrder="1" vertical="center"/>
    </xf>
    <xf quotePrefix="1" borderId="1" fillId="0" fontId="41" numFmtId="0" xfId="0" applyAlignment="1" applyBorder="1" applyFont="1">
      <alignment horizontal="center" readingOrder="1" vertical="center"/>
    </xf>
    <xf borderId="1" fillId="0" fontId="41" numFmtId="0" xfId="0" applyAlignment="1" applyBorder="1" applyFont="1">
      <alignment horizontal="left" readingOrder="1" vertical="center"/>
    </xf>
    <xf borderId="1" fillId="0" fontId="44" numFmtId="0" xfId="0" applyAlignment="1" applyBorder="1" applyFont="1">
      <alignment horizontal="left" readingOrder="1" vertical="center"/>
    </xf>
    <xf borderId="4" fillId="0" fontId="41" numFmtId="164" xfId="0" applyAlignment="1" applyBorder="1" applyFont="1" applyNumberFormat="1">
      <alignment horizontal="center" readingOrder="1" vertical="center"/>
    </xf>
    <xf borderId="4" fillId="0" fontId="42" numFmtId="0" xfId="0" applyAlignment="1" applyBorder="1" applyFont="1">
      <alignment horizontal="center" readingOrder="1" vertical="center"/>
    </xf>
    <xf borderId="4" fillId="0" fontId="41" numFmtId="0" xfId="0" applyAlignment="1" applyBorder="1" applyFont="1">
      <alignment horizontal="center" readingOrder="1" vertical="center"/>
    </xf>
    <xf quotePrefix="1" borderId="4" fillId="0" fontId="41" numFmtId="0" xfId="0" applyAlignment="1" applyBorder="1" applyFont="1">
      <alignment horizontal="center" readingOrder="1" vertical="center"/>
    </xf>
    <xf borderId="4" fillId="0" fontId="41" numFmtId="0" xfId="0" applyAlignment="1" applyBorder="1" applyFont="1">
      <alignment horizontal="left" readingOrder="1" vertical="center"/>
    </xf>
    <xf borderId="4" fillId="0" fontId="45" numFmtId="0" xfId="0" applyAlignment="1" applyBorder="1" applyFont="1">
      <alignment horizontal="left" readingOrder="1" vertical="center"/>
    </xf>
    <xf borderId="4" fillId="0" fontId="2" numFmtId="0" xfId="0" applyAlignment="1" applyBorder="1" applyFont="1">
      <alignment horizontal="center"/>
    </xf>
    <xf borderId="25" fillId="14" fontId="41" numFmtId="164" xfId="0" applyAlignment="1" applyBorder="1" applyFont="1" applyNumberFormat="1">
      <alignment horizontal="center" readingOrder="1" vertical="center"/>
    </xf>
    <xf borderId="25" fillId="14" fontId="41" numFmtId="0" xfId="0" applyAlignment="1" applyBorder="1" applyFont="1">
      <alignment horizontal="center" readingOrder="1" vertical="center"/>
    </xf>
    <xf quotePrefix="1" borderId="26" fillId="14" fontId="41" numFmtId="0" xfId="0" applyAlignment="1" applyBorder="1" applyFont="1">
      <alignment horizontal="center" readingOrder="1" vertical="center"/>
    </xf>
    <xf quotePrefix="1" borderId="22" fillId="14" fontId="41" numFmtId="0" xfId="0" applyAlignment="1" applyBorder="1" applyFont="1">
      <alignment horizontal="center" readingOrder="1" vertical="center"/>
    </xf>
    <xf borderId="25" fillId="14" fontId="41" numFmtId="0" xfId="0" applyAlignment="1" applyBorder="1" applyFont="1">
      <alignment horizontal="left" readingOrder="1" vertical="center"/>
    </xf>
    <xf borderId="25" fillId="14" fontId="46" numFmtId="0" xfId="0" applyAlignment="1" applyBorder="1" applyFont="1">
      <alignment horizontal="left" readingOrder="1" vertical="center"/>
    </xf>
    <xf borderId="27" fillId="0" fontId="41" numFmtId="0" xfId="0" applyAlignment="1" applyBorder="1" applyFont="1">
      <alignment horizontal="left" readingOrder="1" vertical="center"/>
    </xf>
    <xf borderId="28" fillId="14" fontId="41" numFmtId="164" xfId="0" applyAlignment="1" applyBorder="1" applyFont="1" applyNumberFormat="1">
      <alignment horizontal="center" readingOrder="1" vertical="center"/>
    </xf>
    <xf quotePrefix="1" borderId="28" fillId="14" fontId="41" numFmtId="0" xfId="0" applyAlignment="1" applyBorder="1" applyFont="1">
      <alignment horizontal="center" readingOrder="1" vertical="center"/>
    </xf>
    <xf borderId="28" fillId="14" fontId="41" numFmtId="0" xfId="0" applyAlignment="1" applyBorder="1" applyFont="1">
      <alignment horizontal="left" readingOrder="1" vertical="center"/>
    </xf>
    <xf borderId="28" fillId="14" fontId="47" numFmtId="0" xfId="0" applyAlignment="1" applyBorder="1" applyFont="1">
      <alignment horizontal="left" readingOrder="1" vertical="center"/>
    </xf>
    <xf borderId="28" fillId="0" fontId="48" numFmtId="0" xfId="0" applyAlignment="1" applyBorder="1" applyFont="1">
      <alignment horizontal="left" readingOrder="1" vertical="center"/>
    </xf>
    <xf borderId="3" fillId="0" fontId="49" numFmtId="0" xfId="0" applyAlignment="1" applyBorder="1" applyFont="1">
      <alignment horizontal="center" vertical="center"/>
    </xf>
    <xf borderId="5" fillId="0" fontId="50" numFmtId="0" xfId="0" applyAlignment="1" applyBorder="1" applyFont="1">
      <alignment horizontal="center" vertical="center"/>
    </xf>
    <xf borderId="5" fillId="0" fontId="2" numFmtId="0" xfId="0" applyBorder="1" applyFont="1"/>
    <xf borderId="24" fillId="0" fontId="2" numFmtId="0" xfId="0" applyAlignment="1" applyBorder="1" applyFont="1">
      <alignment horizontal="left" vertical="top"/>
    </xf>
    <xf borderId="19" fillId="0" fontId="2" numFmtId="164" xfId="0" applyAlignment="1" applyBorder="1" applyFont="1" applyNumberFormat="1">
      <alignment horizontal="center" vertical="center"/>
    </xf>
    <xf borderId="24" fillId="0" fontId="2" numFmtId="164" xfId="0" applyAlignment="1" applyBorder="1" applyFont="1" applyNumberFormat="1">
      <alignment horizontal="center" vertical="center"/>
    </xf>
    <xf borderId="0" fillId="0" fontId="51" numFmtId="0" xfId="0" applyFont="1"/>
    <xf borderId="29" fillId="10" fontId="27" numFmtId="0" xfId="0" applyAlignment="1" applyBorder="1" applyFont="1">
      <alignment horizontal="center" vertical="center"/>
    </xf>
    <xf borderId="1" fillId="0" fontId="52" numFmtId="0" xfId="0" applyAlignment="1" applyBorder="1" applyFont="1">
      <alignment horizontal="left" vertical="center"/>
    </xf>
    <xf borderId="10" fillId="15" fontId="2" numFmtId="0" xfId="0" applyAlignment="1" applyBorder="1" applyFont="1">
      <alignment horizontal="center"/>
    </xf>
    <xf borderId="1" fillId="0" fontId="53" numFmtId="0" xfId="0" applyAlignment="1" applyBorder="1" applyFont="1">
      <alignment horizontal="left" vertical="top"/>
    </xf>
    <xf borderId="1" fillId="0" fontId="20" numFmtId="0" xfId="0" applyAlignment="1" applyBorder="1" applyFont="1">
      <alignment horizontal="center" vertical="top"/>
    </xf>
    <xf borderId="1" fillId="0" fontId="20" numFmtId="0" xfId="0" applyAlignment="1" applyBorder="1" applyFont="1">
      <alignment horizontal="left" vertical="top"/>
    </xf>
    <xf borderId="21" fillId="15" fontId="2" numFmtId="0" xfId="0" applyAlignment="1" applyBorder="1" applyFont="1">
      <alignment horizontal="left"/>
    </xf>
    <xf borderId="10" fillId="15" fontId="2" numFmtId="0" xfId="0" applyAlignment="1" applyBorder="1" applyFont="1">
      <alignment horizontal="center" vertical="center"/>
    </xf>
    <xf borderId="9" fillId="15" fontId="2" numFmtId="0" xfId="0" applyAlignment="1" applyBorder="1" applyFont="1">
      <alignment horizontal="left" vertical="center"/>
    </xf>
    <xf borderId="21" fillId="15" fontId="54" numFmtId="0" xfId="0" applyAlignment="1" applyBorder="1" applyFont="1">
      <alignment horizontal="left" vertical="center"/>
    </xf>
    <xf borderId="1" fillId="3" fontId="22" numFmtId="0" xfId="0" applyAlignment="1" applyBorder="1" applyFont="1">
      <alignment horizontal="center" shrinkToFit="0" wrapText="1"/>
    </xf>
    <xf borderId="0" fillId="0" fontId="2" numFmtId="0" xfId="0" applyAlignment="1" applyFont="1">
      <alignment horizontal="center" shrinkToFit="0" wrapText="1"/>
    </xf>
    <xf borderId="1" fillId="0" fontId="20" numFmtId="0" xfId="0" applyAlignment="1" applyBorder="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shrinkToFit="0" vertical="top" wrapText="1"/>
    </xf>
    <xf borderId="1" fillId="0" fontId="20" numFmtId="0" xfId="0" applyAlignment="1" applyBorder="1" applyFont="1">
      <alignment horizontal="left" shrinkToFit="0" wrapText="1"/>
    </xf>
    <xf borderId="1" fillId="0" fontId="20" numFmtId="0" xfId="0" applyAlignment="1" applyBorder="1" applyFont="1">
      <alignment horizontal="left" shrinkToFit="0" vertical="top" wrapText="1"/>
    </xf>
    <xf borderId="0" fillId="0" fontId="2" numFmtId="0" xfId="0" applyAlignment="1" applyFont="1">
      <alignment horizontal="left" shrinkToFit="0" vertical="center" wrapText="1"/>
    </xf>
    <xf borderId="1" fillId="16" fontId="2" numFmtId="0" xfId="0" applyAlignment="1" applyBorder="1" applyFill="1" applyFont="1">
      <alignment horizontal="center" vertical="center"/>
    </xf>
    <xf borderId="6" fillId="0" fontId="2" numFmtId="0" xfId="0" applyAlignment="1" applyBorder="1" applyFont="1">
      <alignment horizontal="left" shrinkToFit="0" vertical="center" wrapText="1"/>
    </xf>
    <xf borderId="6" fillId="0" fontId="2" numFmtId="0" xfId="0" applyAlignment="1" applyBorder="1" applyFont="1">
      <alignment horizontal="center" shrinkToFit="0" vertical="center" wrapText="1"/>
    </xf>
    <xf borderId="1" fillId="0" fontId="20" numFmtId="0" xfId="0" applyAlignment="1" applyBorder="1" applyFont="1">
      <alignment shrinkToFit="0" wrapText="1"/>
    </xf>
    <xf borderId="1" fillId="0" fontId="20" numFmtId="0" xfId="0" applyAlignment="1" applyBorder="1" applyFont="1">
      <alignment shrinkToFit="0" vertical="center" wrapText="1"/>
    </xf>
    <xf borderId="15" fillId="0" fontId="2" numFmtId="0" xfId="0" applyAlignment="1" applyBorder="1" applyFont="1">
      <alignment horizontal="center" shrinkToFit="0" vertical="center" wrapText="1"/>
    </xf>
    <xf borderId="3" fillId="0" fontId="20" numFmtId="0" xfId="0" applyAlignment="1" applyBorder="1" applyFont="1">
      <alignment shrinkToFit="0" wrapText="1"/>
    </xf>
    <xf borderId="24" fillId="0" fontId="2" numFmtId="0" xfId="0" applyAlignment="1" applyBorder="1" applyFont="1">
      <alignment horizontal="center" shrinkToFit="0" vertical="center" wrapText="1"/>
    </xf>
    <xf borderId="4" fillId="0" fontId="20" numFmtId="0" xfId="0" applyBorder="1" applyFont="1"/>
    <xf borderId="0" fillId="0" fontId="2" numFmtId="0" xfId="0" applyAlignment="1" applyFont="1">
      <alignment horizontal="center" shrinkToFit="0" vertical="center" wrapText="1"/>
    </xf>
    <xf borderId="0" fillId="0" fontId="20" numFmtId="0" xfId="0" applyAlignment="1" applyFont="1">
      <alignment vertical="center"/>
    </xf>
    <xf borderId="0" fillId="0" fontId="20" numFmtId="0" xfId="0" applyAlignment="1" applyFont="1">
      <alignment shrinkToFit="0" vertical="center" wrapText="1"/>
    </xf>
    <xf borderId="21" fillId="11" fontId="2" numFmtId="0" xfId="0" applyAlignment="1" applyBorder="1" applyFont="1">
      <alignment horizontal="left" vertical="center"/>
    </xf>
    <xf borderId="21" fillId="11" fontId="2" numFmtId="0" xfId="0" applyAlignment="1" applyBorder="1" applyFont="1">
      <alignment horizontal="center" vertical="center"/>
    </xf>
    <xf borderId="10" fillId="11" fontId="2" numFmtId="0" xfId="0" applyAlignment="1" applyBorder="1" applyFont="1">
      <alignment vertical="center"/>
    </xf>
    <xf borderId="21" fillId="11" fontId="2" numFmtId="164" xfId="0" applyAlignment="1" applyBorder="1" applyFont="1" applyNumberFormat="1">
      <alignment horizontal="center" vertical="center"/>
    </xf>
    <xf borderId="1" fillId="11" fontId="55" numFmtId="0" xfId="0" applyAlignment="1" applyBorder="1" applyFont="1">
      <alignment horizontal="center" vertical="center"/>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-1638300</xdr:colOff>
      <xdr:row>0</xdr:row>
      <xdr:rowOff>-381000</xdr:rowOff>
    </xdr:from>
    <xdr:ext cx="38100" cy="0"/>
    <xdr:sp>
      <xdr:nvSpPr>
        <xdr:cNvPr id="3" name="Shape 3"/>
        <xdr:cNvSpPr txBox="1"/>
      </xdr:nvSpPr>
      <xdr:spPr>
        <a:xfrm>
          <a:off x="5346000" y="3780000"/>
          <a:ext cx="0" cy="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Arial"/>
              <a:ea typeface="Arial"/>
              <a:cs typeface="Arial"/>
              <a:sym typeface="Arial"/>
            </a:rPr>
            <a:t>The HTML/CSS open bugs count shown </a:t>
          </a:r>
          <a:r>
            <a:rPr b="0" i="0" lang="en-US" sz="1100" u="none" strike="noStrike">
              <a:solidFill>
                <a:srgbClr val="000000"/>
              </a:solidFill>
              <a:latin typeface="Arial"/>
              <a:ea typeface="Arial"/>
              <a:cs typeface="Arial"/>
              <a:sym typeface="Arial"/>
            </a:rPr>
            <a:t>in the left matrix i</a:t>
          </a:r>
          <a:r>
            <a:rPr lang="en-US" sz="1100">
              <a:latin typeface="Arial"/>
              <a:ea typeface="Arial"/>
              <a:cs typeface="Arial"/>
              <a:sym typeface="Arial"/>
            </a:rPr>
            <a:t>s in respect to them being present on the UAT/PVT website. This Table </a:t>
          </a:r>
          <a:r>
            <a:rPr b="0" i="0" lang="en-US" sz="1100" u="none" strike="noStrike">
              <a:solidFill>
                <a:srgbClr val="000000"/>
              </a:solidFill>
              <a:latin typeface="Arial"/>
              <a:ea typeface="Arial"/>
              <a:cs typeface="Arial"/>
              <a:sym typeface="Arial"/>
            </a:rPr>
            <a:t>below </a:t>
          </a:r>
          <a:r>
            <a:rPr lang="en-US" sz="1100">
              <a:latin typeface="Arial"/>
              <a:ea typeface="Arial"/>
              <a:cs typeface="Arial"/>
              <a:sym typeface="Arial"/>
            </a:rPr>
            <a:t>is to check whether their fixes have been delivered or are</a:t>
          </a:r>
          <a:r>
            <a:rPr b="0" i="0" lang="en-US" sz="1100" u="none" strike="noStrike">
              <a:solidFill>
                <a:srgbClr val="000000"/>
              </a:solidFill>
              <a:latin typeface="Arial"/>
              <a:ea typeface="Arial"/>
              <a:cs typeface="Arial"/>
              <a:sym typeface="Arial"/>
            </a:rPr>
            <a:t> </a:t>
          </a:r>
          <a:r>
            <a:rPr lang="en-US" sz="1100">
              <a:latin typeface="Arial"/>
              <a:ea typeface="Arial"/>
              <a:cs typeface="Arial"/>
              <a:sym typeface="Arial"/>
            </a:rPr>
            <a:t>pending or reopen on HTML Team</a:t>
          </a:r>
          <a:r>
            <a:rPr b="0" i="0" lang="en-US" sz="1100" u="none" strike="noStrike">
              <a:solidFill>
                <a:srgbClr val="000000"/>
              </a:solidFill>
              <a:latin typeface="Arial"/>
              <a:ea typeface="Arial"/>
              <a:cs typeface="Arial"/>
              <a:sym typeface="Arial"/>
            </a:rPr>
            <a:t>'</a:t>
          </a:r>
          <a:r>
            <a:rPr lang="en-US" sz="1100">
              <a:latin typeface="Arial"/>
              <a:ea typeface="Arial"/>
              <a:cs typeface="Arial"/>
              <a:sym typeface="Arial"/>
            </a:rPr>
            <a:t>s side.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38100</xdr:rowOff>
    </xdr:from>
    <xdr:ext cx="3981450" cy="838200"/>
    <xdr:sp>
      <xdr:nvSpPr>
        <xdr:cNvPr id="4" name="Shape 4"/>
        <xdr:cNvSpPr txBox="1"/>
      </xdr:nvSpPr>
      <xdr:spPr>
        <a:xfrm>
          <a:off x="3355275" y="3360900"/>
          <a:ext cx="3981450" cy="838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FF0000"/>
              </a:solidFill>
              <a:latin typeface="Arial"/>
              <a:ea typeface="Arial"/>
              <a:cs typeface="Arial"/>
              <a:sym typeface="Arial"/>
            </a:rPr>
            <a:t>Red</a:t>
          </a:r>
          <a:r>
            <a:rPr b="0" i="0" lang="en-US" sz="1100" u="none" strike="noStrike">
              <a:solidFill>
                <a:srgbClr val="000000"/>
              </a:solidFill>
              <a:latin typeface="Arial"/>
              <a:ea typeface="Arial"/>
              <a:cs typeface="Arial"/>
              <a:sym typeface="Arial"/>
            </a:rPr>
            <a:t> - Incorrect Icon Used</a:t>
          </a:r>
          <a:endParaRPr b="0" i="0" sz="1100" u="none" strike="noStrike">
            <a:solidFill>
              <a:schemeClr val="accent2"/>
            </a:solidFill>
            <a:latin typeface="Arial"/>
            <a:ea typeface="Arial"/>
            <a:cs typeface="Arial"/>
            <a:sym typeface="Arial"/>
          </a:endParaRPr>
        </a:p>
        <a:p>
          <a:pPr indent="0" lvl="0" marL="0" rtl="0" algn="l">
            <a:spcBef>
              <a:spcPts val="0"/>
            </a:spcBef>
            <a:spcAft>
              <a:spcPts val="0"/>
            </a:spcAft>
            <a:buNone/>
          </a:pPr>
          <a:r>
            <a:rPr b="0" i="0" lang="en-US" sz="1100" u="none" strike="noStrike">
              <a:solidFill>
                <a:schemeClr val="accent2"/>
              </a:solidFill>
              <a:latin typeface="Arial"/>
              <a:ea typeface="Arial"/>
              <a:cs typeface="Arial"/>
              <a:sym typeface="Arial"/>
            </a:rPr>
            <a:t>Orange</a:t>
          </a:r>
          <a:r>
            <a:rPr b="0" i="0" lang="en-US" sz="1100" u="none" strike="noStrike">
              <a:solidFill>
                <a:srgbClr val="000000"/>
              </a:solidFill>
              <a:latin typeface="Arial"/>
              <a:ea typeface="Arial"/>
              <a:cs typeface="Arial"/>
              <a:sym typeface="Arial"/>
            </a:rPr>
            <a:t> - Incorrect format - png instead of svg</a:t>
          </a:r>
          <a:endParaRPr b="1" i="0" sz="1100" u="none" strike="noStrike">
            <a:solidFill>
              <a:srgbClr val="FFC00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FFC000"/>
              </a:solidFill>
              <a:latin typeface="Arial"/>
              <a:ea typeface="Arial"/>
              <a:cs typeface="Arial"/>
              <a:sym typeface="Arial"/>
            </a:rPr>
            <a:t>Yellow</a:t>
          </a:r>
          <a:r>
            <a:rPr b="0" i="0" lang="en-US" sz="1100" u="none" strike="noStrike">
              <a:solidFill>
                <a:srgbClr val="000000"/>
              </a:solidFill>
              <a:latin typeface="Arial"/>
              <a:ea typeface="Arial"/>
              <a:cs typeface="Arial"/>
              <a:sym typeface="Arial"/>
            </a:rPr>
            <a:t> - Privilege heading doesn't match with content file</a:t>
          </a:r>
          <a:endParaRPr b="1" i="0" sz="1100" u="none" strike="noStrike">
            <a:solidFill>
              <a:srgbClr val="0070C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0070C0"/>
              </a:solidFill>
              <a:latin typeface="Arial"/>
              <a:ea typeface="Arial"/>
              <a:cs typeface="Arial"/>
              <a:sym typeface="Arial"/>
            </a:rPr>
            <a:t>Blue</a:t>
          </a:r>
          <a:r>
            <a:rPr b="0" i="0" lang="en-US" sz="1100" u="none" strike="noStrike">
              <a:solidFill>
                <a:srgbClr val="000000"/>
              </a:solidFill>
              <a:latin typeface="Arial"/>
              <a:ea typeface="Arial"/>
              <a:cs typeface="Arial"/>
              <a:sym typeface="Arial"/>
            </a:rPr>
            <a:t> - Everything as expected</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preet Pancholiya" id="{df8bbb03-0fcf-454a-909e-973cbbed521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1" dT="2026-02-13T17:48:53.00" personId="{df8bbb03-0fcf-454a-909e-973cbbed5210}" id="{dce949d0-bc46-45c8-99b9-d49fca3555a6}" done="0">
    <x18tc:text xml:space="preserve">In order to check how many fixes provided and how many pending from HTML Team, check the table on the right.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sbi-devsit1.sbicard.com/html/en/personal/credit-cards/bpcl-sbi-card-octane.html" TargetMode="External"/><Relationship Id="rId42" Type="http://schemas.openxmlformats.org/officeDocument/2006/relationships/hyperlink" Target="https://sbi-devsit1.sbicard.com/html/en/personal/credit-cards/club-vistara-sbi-card.html" TargetMode="External"/><Relationship Id="rId41" Type="http://schemas.openxmlformats.org/officeDocument/2006/relationships/hyperlink" Target="https://sbi-pvt.sbicard.com/html/en/personal/credit-cards/club-vistara-sbi-card.html" TargetMode="External"/><Relationship Id="rId44" Type="http://schemas.openxmlformats.org/officeDocument/2006/relationships/hyperlink" Target="https://sbi-devsit1.sbicard.com/html/en/personal/credit-cards/apollo-sbi-card.html" TargetMode="External"/><Relationship Id="rId43" Type="http://schemas.openxmlformats.org/officeDocument/2006/relationships/hyperlink" Target="https://sbi-pvt.sbicard.com/html/en/personal/credit-cards/apollo-sbi-card.html" TargetMode="External"/><Relationship Id="rId46" Type="http://schemas.openxmlformats.org/officeDocument/2006/relationships/hyperlink" Target="https://sbi-devsit1.sbicard.com/html/en/personal/credit-cards/club-vistara-sbi-card-prime.html" TargetMode="External"/><Relationship Id="rId45" Type="http://schemas.openxmlformats.org/officeDocument/2006/relationships/hyperlink" Target="https://sbi-pvt.sbicard.com/html/en/personal/credit-cards/club-vistara-sbi-card-prime.html" TargetMode="External"/><Relationship Id="rId107" Type="http://schemas.openxmlformats.org/officeDocument/2006/relationships/hyperlink" Target="https://sbi-pvt.sbicard.com/en/personal/credit-cards/city-union-bank-sbi-card-prime.html" TargetMode="External"/><Relationship Id="rId106" Type="http://schemas.openxmlformats.org/officeDocument/2006/relationships/hyperlink" Target="https://sbi-pvt.sbicard.com/en/personal/credit-cards/central-bank-of-india-simplysave-sbi-card.html" TargetMode="External"/><Relationship Id="rId105" Type="http://schemas.openxmlformats.org/officeDocument/2006/relationships/hyperlink" Target="https://sbi-pvt.sbicard.com/en/personal/credit-cards/central-bank-of-india-prime-card.html" TargetMode="External"/><Relationship Id="rId104" Type="http://schemas.openxmlformats.org/officeDocument/2006/relationships/hyperlink" Target="https://sbi-pvt.sbicard.com/en/personal/credit-cards/central-bank-of-india-elite-card.html" TargetMode="External"/><Relationship Id="rId109" Type="http://schemas.openxmlformats.org/officeDocument/2006/relationships/hyperlink" Target="https://sbi-pvt.sbicard.com/en/personal/credit-cards/karnataka-bank-sbi-card-prime.html" TargetMode="External"/><Relationship Id="rId108" Type="http://schemas.openxmlformats.org/officeDocument/2006/relationships/hyperlink" Target="https://sbi-pvt.sbicard.com/en/personal/credit-cards/city-union-bank-simplysave-sbi-card.html" TargetMode="External"/><Relationship Id="rId48" Type="http://schemas.openxmlformats.org/officeDocument/2006/relationships/hyperlink" Target="https://sbi-devsit1.sbicard.com/html/en/personal/credit-cards/irctc-sbi-platinum-card.html" TargetMode="External"/><Relationship Id="rId47" Type="http://schemas.openxmlformats.org/officeDocument/2006/relationships/hyperlink" Target="https://sbi-pvt.sbicard.com/html/en/personal/credit-cards/irctc-sbi-platinum-card.html" TargetMode="External"/><Relationship Id="rId49" Type="http://schemas.openxmlformats.org/officeDocument/2006/relationships/hyperlink" Target="https://sbi-pvt.sbicard.com/html/en/personal/credit-cards/irctc-premier-card.html" TargetMode="External"/><Relationship Id="rId103" Type="http://schemas.openxmlformats.org/officeDocument/2006/relationships/hyperlink" Target="https://sbi-pvt.sbicard.com/en/personal/credit-cards/uco-bank-simplysave-sbi-card.html" TargetMode="External"/><Relationship Id="rId102" Type="http://schemas.openxmlformats.org/officeDocument/2006/relationships/hyperlink" Target="https://sbi-pvt.sbicard.com/en/personal/credit-cards/uco-bank-sbi-card-prime.html" TargetMode="External"/><Relationship Id="rId101" Type="http://schemas.openxmlformats.org/officeDocument/2006/relationships/hyperlink" Target="https://sbi-pvt.sbicard.com/en/personal/credit-cards/uco-bank-sbi-card-elite.html" TargetMode="External"/><Relationship Id="rId100" Type="http://schemas.openxmlformats.org/officeDocument/2006/relationships/hyperlink" Target="https://sbi-pvt.sbicard.com/en/personal/credit-cards/psb-simplysave-sbi-card.html" TargetMode="External"/><Relationship Id="rId31" Type="http://schemas.openxmlformats.org/officeDocument/2006/relationships/hyperlink" Target="https://sbi-pvt.sbicard.com/html/en/personal/credit-cards/doctors-sbi-card.html" TargetMode="External"/><Relationship Id="rId30" Type="http://schemas.openxmlformats.org/officeDocument/2006/relationships/hyperlink" Target="https://sbi-devsit1.sbicard.com/html/en/personal/credit-cards/etihad-guest-sbi-card.html" TargetMode="External"/><Relationship Id="rId33" Type="http://schemas.openxmlformats.org/officeDocument/2006/relationships/hyperlink" Target="https://sbi-pvt.sbicard.com/html/en/personal/credit-cards/bpcl-sbi-card.html" TargetMode="External"/><Relationship Id="rId32" Type="http://schemas.openxmlformats.org/officeDocument/2006/relationships/hyperlink" Target="https://sbi-devsit1.sbicard.com/html/en/personal/credit-cards/doctors-sbi-card.html" TargetMode="External"/><Relationship Id="rId35" Type="http://schemas.openxmlformats.org/officeDocument/2006/relationships/hyperlink" Target="https://sbi-pvt.sbicard.com/html/en/personal/credit-cards/etihad-guest-sbi-premier-card.html" TargetMode="External"/><Relationship Id="rId34" Type="http://schemas.openxmlformats.org/officeDocument/2006/relationships/hyperlink" Target="https://sbi-devsit1.sbicard.com/html/en/personal/credit-cards/bpcl-sbi-card.html" TargetMode="External"/><Relationship Id="rId37" Type="http://schemas.openxmlformats.org/officeDocument/2006/relationships/hyperlink" Target="https://sbi-pvt.sbicard.com/html/en/personal/credit-cards/doctors-ima-sbi-card.html" TargetMode="External"/><Relationship Id="rId36" Type="http://schemas.openxmlformats.org/officeDocument/2006/relationships/hyperlink" Target="https://sbi-devsit1.sbicard.com/html/en/personal/credit-cards/etihad-guest-sbi-premier-card.html" TargetMode="External"/><Relationship Id="rId39" Type="http://schemas.openxmlformats.org/officeDocument/2006/relationships/hyperlink" Target="https://sbi-pvt.sbicard.com/html/en/personal/credit-cards/bpcl-sbi-card-octane.html" TargetMode="External"/><Relationship Id="rId38" Type="http://schemas.openxmlformats.org/officeDocument/2006/relationships/hyperlink" Target="https://sbi-devsit1.sbicard.com/html/en/personal/credit-cards/doctors-ima-sbi-card.html" TargetMode="External"/><Relationship Id="rId20" Type="http://schemas.openxmlformats.org/officeDocument/2006/relationships/hyperlink" Target="https://sbi-devsit1.sbicard.com/html/en/personal/credit-cards/apollo-sbi-card-select.html"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sbi-pvt.sbicard.com/html/en/personal/credit-cards/flipkart-sbi-card.html" TargetMode="External"/><Relationship Id="rId24" Type="http://schemas.openxmlformats.org/officeDocument/2006/relationships/hyperlink" Target="https://sbi-devsit1.sbicard.com/html/en/personal/credit-cards/landmark-sbi-card-select.html" TargetMode="External"/><Relationship Id="rId23" Type="http://schemas.openxmlformats.org/officeDocument/2006/relationships/hyperlink" Target="https://sbi-pvt.sbicard.com/html/en/personal/credit-cards/landmark-sbi-card-select.html" TargetMode="External"/><Relationship Id="rId26" Type="http://schemas.openxmlformats.org/officeDocument/2006/relationships/hyperlink" Target="https://sbi-devsit1.sbicard.com/html/en/personal/credit-cards/landmark-rewards-sbi-card.html" TargetMode="External"/><Relationship Id="rId25" Type="http://schemas.openxmlformats.org/officeDocument/2006/relationships/hyperlink" Target="https://sbi-pvt.sbicard.com/html/en/personal/credit-cards/landmark-sbi-card.html" TargetMode="External"/><Relationship Id="rId120" Type="http://schemas.openxmlformats.org/officeDocument/2006/relationships/drawing" Target="../drawings/drawing2.xml"/><Relationship Id="rId28" Type="http://schemas.openxmlformats.org/officeDocument/2006/relationships/hyperlink" Target="https://sbi-devsit1.sbicard.com/html/en/personal/credit-cards/landmark-sbi-card-prime.html" TargetMode="External"/><Relationship Id="rId27" Type="http://schemas.openxmlformats.org/officeDocument/2006/relationships/hyperlink" Target="https://sbi-pvt.sbicard.com/html/en/personal/credit-cards/landmark-sbi-card-prime.html" TargetMode="External"/><Relationship Id="rId29" Type="http://schemas.openxmlformats.org/officeDocument/2006/relationships/hyperlink" Target="https://sbi-pvt.sbicard.com/html/en/personal/credit-cards/etihad-guest-sbi-card.html" TargetMode="External"/><Relationship Id="rId95" Type="http://schemas.openxmlformats.org/officeDocument/2006/relationships/hyperlink" Target="https://sbi-pvt.sbicard.com/en/personal/credit-cards/bom-sbi-card-elite.html" TargetMode="External"/><Relationship Id="rId94" Type="http://schemas.openxmlformats.org/officeDocument/2006/relationships/hyperlink" Target="https://sbi-pvt.sbicard.com/en/personal/credit-cards/shaurya-select-sbi-card.html" TargetMode="External"/><Relationship Id="rId97" Type="http://schemas.openxmlformats.org/officeDocument/2006/relationships/hyperlink" Target="https://sbi-pvt.sbicard.com/en/personal/credit-cards/bom-sbi-card-prime.html" TargetMode="External"/><Relationship Id="rId96" Type="http://schemas.openxmlformats.org/officeDocument/2006/relationships/hyperlink" Target="https://sbi-pvt.sbicard.com/en/personal/credit-cards/bom-simplysave-sbi-card.html" TargetMode="External"/><Relationship Id="rId11" Type="http://schemas.openxmlformats.org/officeDocument/2006/relationships/hyperlink" Target="https://sbi-pvt.sbicard.com/html/en/personal/credit-cards/cashback-sbi-card.html" TargetMode="External"/><Relationship Id="rId99" Type="http://schemas.openxmlformats.org/officeDocument/2006/relationships/hyperlink" Target="https://sbi-pvt.sbicard.com/en/personal/credit-cards/psb-sbi-card-prime.html" TargetMode="External"/><Relationship Id="rId10" Type="http://schemas.openxmlformats.org/officeDocument/2006/relationships/hyperlink" Target="https://sbi-devsit1.sbicard.com/html/en/personal/credit-cards/sbi-card-elite.html" TargetMode="External"/><Relationship Id="rId98" Type="http://schemas.openxmlformats.org/officeDocument/2006/relationships/hyperlink" Target="https://sbi-pvt.sbicard.com/en/personal/credit-cards/psb-sbi-card-elite.html" TargetMode="External"/><Relationship Id="rId13" Type="http://schemas.openxmlformats.org/officeDocument/2006/relationships/hyperlink" Target="https://sbi-pvt.sbicard.com/html/en/personal/credit-cards/sbi-card-pulse.html" TargetMode="External"/><Relationship Id="rId12" Type="http://schemas.openxmlformats.org/officeDocument/2006/relationships/hyperlink" Target="https://sbi-devsit1.sbicard.com/html/en/personal/credit-cards/cashback-sbi-card.html" TargetMode="External"/><Relationship Id="rId91" Type="http://schemas.openxmlformats.org/officeDocument/2006/relationships/hyperlink" Target="https://sbi-pvt.sbicard.com/en/personal/credit-cards/simplysave-sbi-card.html" TargetMode="External"/><Relationship Id="rId90" Type="http://schemas.openxmlformats.org/officeDocument/2006/relationships/hyperlink" Target="https://sbi-pvt.sbicard.com/en/personal/credit-cards/simplyclick-sbi-card.html" TargetMode="External"/><Relationship Id="rId93" Type="http://schemas.openxmlformats.org/officeDocument/2006/relationships/hyperlink" Target="https://sbi-pvt.sbicard.com/en/personal/credit-cards/shaurya-sbi-card.html" TargetMode="External"/><Relationship Id="rId92" Type="http://schemas.openxmlformats.org/officeDocument/2006/relationships/hyperlink" Target="https://sbi-pvt.sbicard.com/en/personal/credit-cards/titan-sbi-card.html" TargetMode="External"/><Relationship Id="rId118" Type="http://schemas.openxmlformats.org/officeDocument/2006/relationships/hyperlink" Target="https://sbi-pvt.sbicard.com/en/personal/credit-cards/karur-vysya-bank-sbi-signature-credit-card.html" TargetMode="External"/><Relationship Id="rId117" Type="http://schemas.openxmlformats.org/officeDocument/2006/relationships/hyperlink" Target="https://sbi-pvt.sbicard.com/en/personal/credit-cards/karur-vysya-bank-sbi-card-simplysave.html" TargetMode="External"/><Relationship Id="rId116" Type="http://schemas.openxmlformats.org/officeDocument/2006/relationships/hyperlink" Target="https://sbi-pvt.sbicard.com/en/personal/credit-cards/karur-vysya-bank-sbi-card-prime.html" TargetMode="External"/><Relationship Id="rId115" Type="http://schemas.openxmlformats.org/officeDocument/2006/relationships/hyperlink" Target="https://sbi-pvt.sbicard.com/en/personal/credit-cards/karur-vysya-bank-sbi-card-elite.html" TargetMode="External"/><Relationship Id="rId119" Type="http://schemas.openxmlformats.org/officeDocument/2006/relationships/hyperlink" Target="https://sbi-pvt.sbicard.com/en/personal/credit-cards/karur-vysya-bank-sbi-platinum-credit-card.html" TargetMode="External"/><Relationship Id="rId15" Type="http://schemas.openxmlformats.org/officeDocument/2006/relationships/hyperlink" Target="https://sbi-pvt.sbicard.com/html/en/personal/credit-cards/air-india-sbi-signature-card.html" TargetMode="External"/><Relationship Id="rId110" Type="http://schemas.openxmlformats.org/officeDocument/2006/relationships/hyperlink" Target="https://sbi-pvt.sbicard.com/en/personal/credit-cards/karnataka-bank-simplysave-sbi-card.html" TargetMode="External"/><Relationship Id="rId14" Type="http://schemas.openxmlformats.org/officeDocument/2006/relationships/hyperlink" Target="https://sbi-devsit1.sbicard.com/html/en/personal/credit-cards/sbi-card-pulse.html" TargetMode="External"/><Relationship Id="rId17" Type="http://schemas.openxmlformats.org/officeDocument/2006/relationships/hyperlink" Target="https://sbi-pvt.sbicard.com/html/en/personal/credit-cards/air-india-sbi-platinum-card.html" TargetMode="External"/><Relationship Id="rId16" Type="http://schemas.openxmlformats.org/officeDocument/2006/relationships/hyperlink" Target="https://sbi-devsit1.sbicard.com/html/en/personal/credit-cards/air-india-sbi-signature-card.html" TargetMode="External"/><Relationship Id="rId19" Type="http://schemas.openxmlformats.org/officeDocument/2006/relationships/hyperlink" Target="https://sbi-pvt.sbicard.com/html/en/personal/credit-cards/apollo-sbi-card-select.html" TargetMode="External"/><Relationship Id="rId114" Type="http://schemas.openxmlformats.org/officeDocument/2006/relationships/hyperlink" Target="https://sbi-pvt.sbicard.com/en/personal/credit-cards/karur-vysya-bank-sbi-card-gold.html" TargetMode="External"/><Relationship Id="rId18" Type="http://schemas.openxmlformats.org/officeDocument/2006/relationships/hyperlink" Target="https://sbi-devsit1.sbicard.com/html/en/personal/credit-cards/air-india-sbi-platinum-card.html" TargetMode="External"/><Relationship Id="rId113" Type="http://schemas.openxmlformats.org/officeDocument/2006/relationships/hyperlink" Target="https://sbi-pvt.sbicard.com/en/personal/credit-cards/south-indian-bank-simplysave-sbi-card.html" TargetMode="External"/><Relationship Id="rId112" Type="http://schemas.openxmlformats.org/officeDocument/2006/relationships/hyperlink" Target="https://sbi-pvt.sbicard.com/en/personal/credit-cards/south-india-bank-sbi-platinum-card.html" TargetMode="External"/><Relationship Id="rId111" Type="http://schemas.openxmlformats.org/officeDocument/2006/relationships/hyperlink" Target="https://sbi-pvt.sbicard.com/en/personal/credit-cards/south-indian-bank-sbi-card-prime.html" TargetMode="External"/><Relationship Id="rId84" Type="http://schemas.openxmlformats.org/officeDocument/2006/relationships/hyperlink" Target="https://sbi-devsit1.sbicard.com/html/en/personal/credit-cards/sbi-card-unnati.html" TargetMode="External"/><Relationship Id="rId83" Type="http://schemas.openxmlformats.org/officeDocument/2006/relationships/hyperlink" Target="https://sbi-pvt.sbicard.com/html/en/personal/credit-cards/sbi-card-unnati.html" TargetMode="External"/><Relationship Id="rId86" Type="http://schemas.openxmlformats.org/officeDocument/2006/relationships/hyperlink" Target="https://sbi-pvt.sbicard.com/en/who-we-are/about-us.page" TargetMode="External"/><Relationship Id="rId85" Type="http://schemas.openxmlformats.org/officeDocument/2006/relationships/hyperlink" Target="https://sbi-pvt.sbicard.com/en/personal/credit-cards.page" TargetMode="External"/><Relationship Id="rId88" Type="http://schemas.openxmlformats.org/officeDocument/2006/relationships/hyperlink" Target="https://sbi-pvt.sbicard.com/en/do-not-disturb.page" TargetMode="External"/><Relationship Id="rId87" Type="http://schemas.openxmlformats.org/officeDocument/2006/relationships/hyperlink" Target="https://sbi-pvt.sbicard.com/en/who-we-are/esg.page" TargetMode="External"/><Relationship Id="rId89" Type="http://schemas.openxmlformats.org/officeDocument/2006/relationships/hyperlink" Target="https://sbi-pvt.sbicard.com/en/personal/benefits.page" TargetMode="External"/><Relationship Id="rId80" Type="http://schemas.openxmlformats.org/officeDocument/2006/relationships/hyperlink" Target="https://sbi-devsit1.sbicard.com/html/en/personal/credit-cards/sbi-card-miles.html" TargetMode="External"/><Relationship Id="rId82" Type="http://schemas.openxmlformats.org/officeDocument/2006/relationships/hyperlink" Target="https://sbi-devsit1.sbicard.com/html/en/personal/credit-cards/sbi-card-miles-prime.html" TargetMode="External"/><Relationship Id="rId81" Type="http://schemas.openxmlformats.org/officeDocument/2006/relationships/hyperlink" Target="https://sbi-pvt.sbicard.com/html/en/personal/credit-cards/sbi-card-miles-prime.html" TargetMode="External"/><Relationship Id="rId1" Type="http://schemas.openxmlformats.org/officeDocument/2006/relationships/hyperlink" Target="https://sbi-pvt.sbicard.com/html/en/home.html" TargetMode="External"/><Relationship Id="rId2" Type="http://schemas.openxmlformats.org/officeDocument/2006/relationships/hyperlink" Target="https://sbi-devsit1.sbicard.com/html/en/home.html" TargetMode="External"/><Relationship Id="rId3" Type="http://schemas.openxmlformats.org/officeDocument/2006/relationships/hyperlink" Target="https://sbi-devsit1.sbicard.com/html/en/reliancesbicard.html" TargetMode="External"/><Relationship Id="rId4" Type="http://schemas.openxmlformats.org/officeDocument/2006/relationships/hyperlink" Target="https://sbi-pvt.sbicard.com/en/personal/credit-cards.html" TargetMode="External"/><Relationship Id="rId9" Type="http://schemas.openxmlformats.org/officeDocument/2006/relationships/hyperlink" Target="https://sbi-pvt.sbicard.com/html/en/personal/credit-cards/sbi-card-elite.html" TargetMode="External"/><Relationship Id="rId5" Type="http://schemas.openxmlformats.org/officeDocument/2006/relationships/hyperlink" Target="https://sbi-devsit1.sbicard.com/en/personal/credit-cards.html" TargetMode="External"/><Relationship Id="rId6" Type="http://schemas.openxmlformats.org/officeDocument/2006/relationships/hyperlink" Target="https://sbi-sit1.sbicard.com/html/en/personal/credit-cards.html" TargetMode="External"/><Relationship Id="rId7" Type="http://schemas.openxmlformats.org/officeDocument/2006/relationships/hyperlink" Target="https://sbi-pvt.sbicard.com/html/en/personal/credit-cards/tata-neu-plus-sbi-card.html" TargetMode="External"/><Relationship Id="rId8" Type="http://schemas.openxmlformats.org/officeDocument/2006/relationships/hyperlink" Target="https://sbi-devsit1.sbicard.com/html/en/personal/credit-cards/tata-neu-plus-sbi-card.html" TargetMode="External"/><Relationship Id="rId73" Type="http://schemas.openxmlformats.org/officeDocument/2006/relationships/hyperlink" Target="https://sbi-pvt.sbicard.com/html/en/personal/credit-cards/phonepe-sbi-card-select-black.html" TargetMode="External"/><Relationship Id="rId72" Type="http://schemas.openxmlformats.org/officeDocument/2006/relationships/hyperlink" Target="https://sbi-devsit1.sbicard.com/html/en/personal/credit-cards/reliance-sbi-card-prime.html" TargetMode="External"/><Relationship Id="rId75" Type="http://schemas.openxmlformats.org/officeDocument/2006/relationships/hyperlink" Target="https://sbi-pvt.sbicard.com/html/en/personal/credit-cards/paytm-sbi-card.html" TargetMode="External"/><Relationship Id="rId74" Type="http://schemas.openxmlformats.org/officeDocument/2006/relationships/hyperlink" Target="https://sbi-devsit1.sbicard.com/html/en/personal/credit-cards/phonepe-sbi-card-select-black.html" TargetMode="External"/><Relationship Id="rId77" Type="http://schemas.openxmlformats.org/officeDocument/2006/relationships/hyperlink" Target="https://sbi-pvt.sbicard.com/html/en/personal/credit-cards/sbi-card-prime.html" TargetMode="External"/><Relationship Id="rId76" Type="http://schemas.openxmlformats.org/officeDocument/2006/relationships/hyperlink" Target="https://sbi-devsit1.sbicard.com/html/en/personal/credit-cards/paytm-sbi-card.html" TargetMode="External"/><Relationship Id="rId79" Type="http://schemas.openxmlformats.org/officeDocument/2006/relationships/hyperlink" Target="https://sbi-pvt.sbicard.com/html/en/personal/credit-cards/sbi-card-miles.html" TargetMode="External"/><Relationship Id="rId78" Type="http://schemas.openxmlformats.org/officeDocument/2006/relationships/hyperlink" Target="https://sbi-devsit1.sbicard.com/html/en/personal/credit-cards/sbi-card-prime.html" TargetMode="External"/><Relationship Id="rId71" Type="http://schemas.openxmlformats.org/officeDocument/2006/relationships/hyperlink" Target="https://sbi-pvt.sbicard.com/html/en/personal/credit-cards/reliance-sbi-card-prime.html" TargetMode="External"/><Relationship Id="rId70" Type="http://schemas.openxmlformats.org/officeDocument/2006/relationships/hyperlink" Target="https://sbi-devsit1.sbicard.com/html/en/personal/credit-cards/indigo-sbi-card.html" TargetMode="External"/><Relationship Id="rId62" Type="http://schemas.openxmlformats.org/officeDocument/2006/relationships/hyperlink" Target="https://sbi-devsit1.sbicard.com/html/en/personal/credit-cards/paytm-sbi-card-select.html" TargetMode="External"/><Relationship Id="rId61" Type="http://schemas.openxmlformats.org/officeDocument/2006/relationships/hyperlink" Target="https://sbi-pvt.sbicard.com/html/en/personal/credit-cards/paytm-sbi-card-select.html" TargetMode="External"/><Relationship Id="rId64" Type="http://schemas.openxmlformats.org/officeDocument/2006/relationships/hyperlink" Target="https://sbi-devsit1.sbicard.com/html/en/personal/credit-cards/sbi-card-miles-elite.html" TargetMode="External"/><Relationship Id="rId63" Type="http://schemas.openxmlformats.org/officeDocument/2006/relationships/hyperlink" Target="https://sbi-pvt.sbicard.com/html/en/personal/credit-cards/sbi-card-miles-elite.html" TargetMode="External"/><Relationship Id="rId66" Type="http://schemas.openxmlformats.org/officeDocument/2006/relationships/hyperlink" Target="https://sbi-devsit1.sbicard.com/html/en/personal/credit-cards/indigo-sbi-card-elite.html" TargetMode="External"/><Relationship Id="rId65" Type="http://schemas.openxmlformats.org/officeDocument/2006/relationships/hyperlink" Target="https://sbi-pvt.sbicard.com/html/en/personal/credit-cards/indigo-sbi-card-elite.html" TargetMode="External"/><Relationship Id="rId68" Type="http://schemas.openxmlformats.org/officeDocument/2006/relationships/hyperlink" Target="https://sbi-devsit1.sbicard.com/html/en/personal/credit-cards/reliance-sbi-card.html" TargetMode="External"/><Relationship Id="rId67" Type="http://schemas.openxmlformats.org/officeDocument/2006/relationships/hyperlink" Target="https://sbi-pvt.sbicard.com/html/en/personal/credit-cards/reliance-sbi-card.html" TargetMode="External"/><Relationship Id="rId60" Type="http://schemas.openxmlformats.org/officeDocument/2006/relationships/hyperlink" Target="https://sbi-devsit1.sbicard.com/html/en/personal/credit-cards/phonepe-sbi-card-purple.html" TargetMode="External"/><Relationship Id="rId69" Type="http://schemas.openxmlformats.org/officeDocument/2006/relationships/hyperlink" Target="https://sbi-pvt.sbicard.com/html/en/personal/credit-cards/indigo-sbi-card.html" TargetMode="External"/><Relationship Id="rId51" Type="http://schemas.openxmlformats.org/officeDocument/2006/relationships/hyperlink" Target="https://sbi-pvt.sbicard.com/html/en/personal/credit-cards/ola-money-sbi-card.html" TargetMode="External"/><Relationship Id="rId50" Type="http://schemas.openxmlformats.org/officeDocument/2006/relationships/hyperlink" Target="https://sbi-devsit1.sbicard.com/html/en/personal/credit-cards/irctc-premier-card.html" TargetMode="External"/><Relationship Id="rId53" Type="http://schemas.openxmlformats.org/officeDocument/2006/relationships/hyperlink" Target="https://sbi-pvt.sbicard.com/html/en/personal/credit-cards/krisflyer-sbi-card.html" TargetMode="External"/><Relationship Id="rId52" Type="http://schemas.openxmlformats.org/officeDocument/2006/relationships/hyperlink" Target="https://sbi-devsit1.sbicard.com/html/en/personal/credit-cards/ola-money-sbi-card.html" TargetMode="External"/><Relationship Id="rId55" Type="http://schemas.openxmlformats.org/officeDocument/2006/relationships/hyperlink" Target="https://sbi-pvt.sbicard.com/html/en/personal/credit-cards/krisflyer-sbi-card-apex.html" TargetMode="External"/><Relationship Id="rId54" Type="http://schemas.openxmlformats.org/officeDocument/2006/relationships/hyperlink" Target="https://sbi-devsit1.sbicard.com/html/en/personal/credit-cards/krisflyer-sbi-card.html" TargetMode="External"/><Relationship Id="rId57" Type="http://schemas.openxmlformats.org/officeDocument/2006/relationships/hyperlink" Target="https://sbi-pvt.sbicard.com/html/en/personal/credit-cards/tata-neu-infinity-sbi-card.html" TargetMode="External"/><Relationship Id="rId56" Type="http://schemas.openxmlformats.org/officeDocument/2006/relationships/hyperlink" Target="https://sbi-devsit1.sbicard.com/html/en/personal/credit-cards/krisflyer-sbi-card-apex.html" TargetMode="External"/><Relationship Id="rId59" Type="http://schemas.openxmlformats.org/officeDocument/2006/relationships/hyperlink" Target="https://sbi-pvt.sbicard.com/html/en/personal/credit-cards/phonepe-sbi-card-purple.html" TargetMode="External"/><Relationship Id="rId58" Type="http://schemas.openxmlformats.org/officeDocument/2006/relationships/hyperlink" Target="https://sbi-devsit1.sbicard.com/html/en/personal/credit-cards/tata-neu-infinity-sbi-card.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sbi-devsit1.sbicard.com/en/faq/nominee-details.page" TargetMode="External"/><Relationship Id="rId42" Type="http://schemas.openxmlformats.org/officeDocument/2006/relationships/hyperlink" Target="https://sbi-devsit1.sbicard.com/en/faq/tierstatus-faq.page" TargetMode="External"/><Relationship Id="rId41" Type="http://schemas.openxmlformats.org/officeDocument/2006/relationships/hyperlink" Target="https://sbi-devsit1.sbicard.com/en/faq/covid19-dispute-faq.page" TargetMode="External"/><Relationship Id="rId44" Type="http://schemas.openxmlformats.org/officeDocument/2006/relationships/hyperlink" Target="https://sbi-devsit1.sbicard.com/en/faq/arogya-plus.page" TargetMode="External"/><Relationship Id="rId43" Type="http://schemas.openxmlformats.org/officeDocument/2006/relationships/hyperlink" Target="https://sbi-devsit1.sbicard.com/en/faq/missed-call-service.page" TargetMode="External"/><Relationship Id="rId46" Type="http://schemas.openxmlformats.org/officeDocument/2006/relationships/hyperlink" Target="https://sit-devsit1.sbicard.com/en/faq/update-contact-details.page" TargetMode="External"/><Relationship Id="rId45" Type="http://schemas.openxmlformats.org/officeDocument/2006/relationships/hyperlink" Target="https://sbi-devsit1.sbicard.com/en/faq/club-vistara-sbi-card-faq.page" TargetMode="External"/><Relationship Id="rId107" Type="http://schemas.openxmlformats.org/officeDocument/2006/relationships/hyperlink" Target="https://www.sbicard.com/en/faq/lost-stolen-reissue-replace-cards.page" TargetMode="External"/><Relationship Id="rId106" Type="http://schemas.openxmlformats.org/officeDocument/2006/relationships/hyperlink" Target="https://www.sbicard.com/en/faq/travel-Itinerary-faq.page" TargetMode="External"/><Relationship Id="rId105" Type="http://schemas.openxmlformats.org/officeDocument/2006/relationships/hyperlink" Target="https://www.sbicard.com/en/faq/ckyc-faq.page" TargetMode="External"/><Relationship Id="rId104" Type="http://schemas.openxmlformats.org/officeDocument/2006/relationships/hyperlink" Target="https://www.sbicard.com/en/faq/personal-details-change.page" TargetMode="External"/><Relationship Id="rId109" Type="http://schemas.openxmlformats.org/officeDocument/2006/relationships/hyperlink" Target="https://www.sbicard.com/en/faq/cancellation-of-bt.page" TargetMode="External"/><Relationship Id="rId108" Type="http://schemas.openxmlformats.org/officeDocument/2006/relationships/hyperlink" Target="https://www.sbicard.com/en/faq/transaction-usage-and-limits.page" TargetMode="External"/><Relationship Id="rId48" Type="http://schemas.openxmlformats.org/officeDocument/2006/relationships/hyperlink" Target="https://sit-devsit1.sbicard.com/en/faq/credit-balance-refund-faq.page" TargetMode="External"/><Relationship Id="rId47" Type="http://schemas.openxmlformats.org/officeDocument/2006/relationships/hyperlink" Target="https://sit-devsit1.sbicard.com/en/faq/sbi-card-online-security.page" TargetMode="External"/><Relationship Id="rId49" Type="http://schemas.openxmlformats.org/officeDocument/2006/relationships/hyperlink" Target="https://sit-devsit1.sbicard.com/en/faq/do-not-disturb.page" TargetMode="External"/><Relationship Id="rId103" Type="http://schemas.openxmlformats.org/officeDocument/2006/relationships/hyperlink" Target="https://www.sbicard.com/en/faq/sbi-card-online.page" TargetMode="External"/><Relationship Id="rId102" Type="http://schemas.openxmlformats.org/officeDocument/2006/relationships/hyperlink" Target="https://www.sbicard.com/en/faq/balance-transfer.page" TargetMode="External"/><Relationship Id="rId101" Type="http://schemas.openxmlformats.org/officeDocument/2006/relationships/hyperlink" Target="https://www.sbicard.com/en/faq/lifeline.page" TargetMode="External"/><Relationship Id="rId100" Type="http://schemas.openxmlformats.org/officeDocument/2006/relationships/hyperlink" Target="https://www.sbicard.com/en/faq/bom-sbi-secured-co-brand-card-program-discontinuation.page" TargetMode="External"/><Relationship Id="rId31" Type="http://schemas.openxmlformats.org/officeDocument/2006/relationships/hyperlink" Target="https://sbi-devsit1.sbicard.com/en/faq/cibil-related-issues.page" TargetMode="External"/><Relationship Id="rId30" Type="http://schemas.openxmlformats.org/officeDocument/2006/relationships/hyperlink" Target="https://sbi-devsit1.sbicard.com/en/faq/card-blocking-unblocking.page" TargetMode="External"/><Relationship Id="rId33" Type="http://schemas.openxmlformats.org/officeDocument/2006/relationships/hyperlink" Target="https://sbi-devsit1.sbicard.com/en/faq/earning-reward-points.page" TargetMode="External"/><Relationship Id="rId32" Type="http://schemas.openxmlformats.org/officeDocument/2006/relationships/hyperlink" Target="https://sbi-devsit1.sbicard.com/en/faq/closing-of-credit-card-account.page" TargetMode="External"/><Relationship Id="rId35" Type="http://schemas.openxmlformats.org/officeDocument/2006/relationships/hyperlink" Target="https://sbi-devsit1.sbicard.com/en/faq/joining-milestone-rewards.page" TargetMode="External"/><Relationship Id="rId181" Type="http://schemas.openxmlformats.org/officeDocument/2006/relationships/drawing" Target="../drawings/drawing3.xml"/><Relationship Id="rId34" Type="http://schemas.openxmlformats.org/officeDocument/2006/relationships/hyperlink" Target="https://sbi-devsit1.sbicard.com/en/faq/ivr-one-time-password-otp.page" TargetMode="External"/><Relationship Id="rId180" Type="http://schemas.openxmlformats.org/officeDocument/2006/relationships/hyperlink" Target="https://sbi-devsit1.sbicard.com/en/personal/benefits/easy-access-channels/whatsapp.page" TargetMode="External"/><Relationship Id="rId37" Type="http://schemas.openxmlformats.org/officeDocument/2006/relationships/hyperlink" Target="https://sbi-devsit1.sbicard.com/en/faq/offers-on-cards.page" TargetMode="External"/><Relationship Id="rId176" Type="http://schemas.openxmlformats.org/officeDocument/2006/relationships/hyperlink" Target="https://www.sbicard.com/en/calculator/irctc/irctc-calculator.page" TargetMode="External"/><Relationship Id="rId36" Type="http://schemas.openxmlformats.org/officeDocument/2006/relationships/hyperlink" Target="https://sbi-devsit1.sbicard.com/en/faq/motor-private-car-insurance-policy.page" TargetMode="External"/><Relationship Id="rId175" Type="http://schemas.openxmlformats.org/officeDocument/2006/relationships/hyperlink" Target="https://www.sbicard.com/en/merchant-e-mandate-list.page" TargetMode="External"/><Relationship Id="rId39" Type="http://schemas.openxmlformats.org/officeDocument/2006/relationships/hyperlink" Target="https://sbi-devsit1.sbicard.com/en/faq/cashback-sbi-card-faq.page" TargetMode="External"/><Relationship Id="rId174" Type="http://schemas.openxmlformats.org/officeDocument/2006/relationships/hyperlink" Target="https://www.sbicard.com/en/personal/rewards/reward-reward-detail.page" TargetMode="External"/><Relationship Id="rId38" Type="http://schemas.openxmlformats.org/officeDocument/2006/relationships/hyperlink" Target="https://sbi-devsit1.sbicard.com/en/faq/payment-enquiry.page" TargetMode="External"/><Relationship Id="rId173" Type="http://schemas.openxmlformats.org/officeDocument/2006/relationships/hyperlink" Target="https://www.sbicard.com/en/unclaimed-credit-balance.page" TargetMode="External"/><Relationship Id="rId179" Type="http://schemas.openxmlformats.org/officeDocument/2006/relationships/hyperlink" Target="https://www.sbicard.com/en/kyc-renewal.page" TargetMode="External"/><Relationship Id="rId178" Type="http://schemas.openxmlformats.org/officeDocument/2006/relationships/hyperlink" Target="https://www.sbicard.com/en/resolution-framework-2-0-policy.page" TargetMode="External"/><Relationship Id="rId177" Type="http://schemas.openxmlformats.org/officeDocument/2006/relationships/hyperlink" Target="https://www.sbicard.com/en/address-change-kyc.page" TargetMode="External"/><Relationship Id="rId20" Type="http://schemas.openxmlformats.org/officeDocument/2006/relationships/hyperlink" Target="https://sbi-devsit1.sbicard.com/en/faq/paynet-pay-online.page" TargetMode="External"/><Relationship Id="rId22" Type="http://schemas.openxmlformats.org/officeDocument/2006/relationships/hyperlink" Target="https://sbi-devsit1.sbicard.com/en/faq/mastercard-moneysend.page" TargetMode="External"/><Relationship Id="rId21" Type="http://schemas.openxmlformats.org/officeDocument/2006/relationships/hyperlink" Target="https://sbi-devsit1.sbicard.com/en/faq/pay-via-mobile-app.page" TargetMode="External"/><Relationship Id="rId24" Type="http://schemas.openxmlformats.org/officeDocument/2006/relationships/hyperlink" Target="https://sbi-devsit1.sbicard.com/en/faq/bbps-faq.page" TargetMode="External"/><Relationship Id="rId23" Type="http://schemas.openxmlformats.org/officeDocument/2006/relationships/hyperlink" Target="https://sbi-devsit1.sbicard.com/en/faq/cheque-drop-box.page" TargetMode="External"/><Relationship Id="rId129" Type="http://schemas.openxmlformats.org/officeDocument/2006/relationships/hyperlink" Target="https://sbi-devsit1.sbicard.com/en/personal/digitized-membership-kits.page" TargetMode="External"/><Relationship Id="rId128" Type="http://schemas.openxmlformats.org/officeDocument/2006/relationships/hyperlink" Target="https://sbi-devsit1.sbicard.com/en/forms-central.page" TargetMode="External"/><Relationship Id="rId127" Type="http://schemas.openxmlformats.org/officeDocument/2006/relationships/hyperlink" Target="https://sbi-devsit1.sbicard.com/en/personal/benefits/utility-bill-payments/top-up-and-recharge.page" TargetMode="External"/><Relationship Id="rId126" Type="http://schemas.openxmlformats.org/officeDocument/2006/relationships/hyperlink" Target="https://sbi-devsit1.sbicard.com/en/video/product-videos.page" TargetMode="External"/><Relationship Id="rId26" Type="http://schemas.openxmlformats.org/officeDocument/2006/relationships/hyperlink" Target="https://sbi-devsit1.sbicard.com/en/faq/debit-card.page" TargetMode="External"/><Relationship Id="rId121" Type="http://schemas.openxmlformats.org/officeDocument/2006/relationships/hyperlink" Target="https://sbi-devsit1.sbicard.com/en/eapply/track-credit-card-application.page" TargetMode="External"/><Relationship Id="rId25" Type="http://schemas.openxmlformats.org/officeDocument/2006/relationships/hyperlink" Target="https://sbi-devsit1.sbicard.com/en/faq/sbi-atm.page" TargetMode="External"/><Relationship Id="rId120" Type="http://schemas.openxmlformats.org/officeDocument/2006/relationships/hyperlink" Target="https://sbi-devsit1.sbicard.com/en/personal/pay.page.page" TargetMode="External"/><Relationship Id="rId28" Type="http://schemas.openxmlformats.org/officeDocument/2006/relationships/hyperlink" Target="https://sbi-devsit1.sbicard.com/en/faq/arogya-premier-policy.page" TargetMode="External"/><Relationship Id="rId27" Type="http://schemas.openxmlformats.org/officeDocument/2006/relationships/hyperlink" Target="https://sbi-devsit1.sbicard.com/en/faq/address-updation.page" TargetMode="External"/><Relationship Id="rId125" Type="http://schemas.openxmlformats.org/officeDocument/2006/relationships/hyperlink" Target="https://sbi-devsit1.sbicard.com/en/personal/benefits/lower-interest-option/balance-transfer-on-emi.page" TargetMode="External"/><Relationship Id="rId29" Type="http://schemas.openxmlformats.org/officeDocument/2006/relationships/hyperlink" Target="https://sbi-devsit1.sbicard.com/en/faq/bt-on-emi.page" TargetMode="External"/><Relationship Id="rId124" Type="http://schemas.openxmlformats.org/officeDocument/2006/relationships/hyperlink" Target="https://sbi-devsit1.sbicard.com/en/personal/digital-platform-updates.page" TargetMode="External"/><Relationship Id="rId123" Type="http://schemas.openxmlformats.org/officeDocument/2006/relationships/hyperlink" Target="https://sbi-devsit1.sbicard.com/en/credit-bureau-faqs.page" TargetMode="External"/><Relationship Id="rId122" Type="http://schemas.openxmlformats.org/officeDocument/2006/relationships/hyperlink" Target="https://sbi-devsit1.sbicard.com/en/personal/benefits/insurance-products-sbicard.page" TargetMode="External"/><Relationship Id="rId95" Type="http://schemas.openxmlformats.org/officeDocument/2006/relationships/hyperlink" Target="https://www.sbicard.com/en/faq/accident-shield.page" TargetMode="External"/><Relationship Id="rId94" Type="http://schemas.openxmlformats.org/officeDocument/2006/relationships/hyperlink" Target="https://www.sbicard.com/en/faq/hospital-daily-cash.page" TargetMode="External"/><Relationship Id="rId97" Type="http://schemas.openxmlformats.org/officeDocument/2006/relationships/hyperlink" Target="https://www.sbicard.com/en/faq/international-limit.page" TargetMode="External"/><Relationship Id="rId96" Type="http://schemas.openxmlformats.org/officeDocument/2006/relationships/hyperlink" Target="https://www.sbicard.com/en/faq/available-credit-limit.page" TargetMode="External"/><Relationship Id="rId11" Type="http://schemas.openxmlformats.org/officeDocument/2006/relationships/hyperlink" Target="https://sbi-devsit1.sbicard.com/en/faq/add-on-card.page" TargetMode="External"/><Relationship Id="rId99" Type="http://schemas.openxmlformats.org/officeDocument/2006/relationships/hyperlink" Target="https://www.sbicard.com/en/faq/Central-Bank-of-India-SBI-Card-Program-discontinuation.page" TargetMode="External"/><Relationship Id="rId10" Type="http://schemas.openxmlformats.org/officeDocument/2006/relationships/hyperlink" Target="https://sbi-devsit1.sbicard.com/en/faq/kyc-norms.page" TargetMode="External"/><Relationship Id="rId98" Type="http://schemas.openxmlformats.org/officeDocument/2006/relationships/hyperlink" Target="https://www.sbicard.com/en/faq/sbi-auto-debit.page" TargetMode="External"/><Relationship Id="rId13" Type="http://schemas.openxmlformats.org/officeDocument/2006/relationships/hyperlink" Target="https://sit-devsit1.sbicard.com/en/fair-practice-code.page" TargetMode="External"/><Relationship Id="rId12" Type="http://schemas.openxmlformats.org/officeDocument/2006/relationships/hyperlink" Target="https://sbi-devsit1.sbicard.com/en/tataneu-eapply.page" TargetMode="External"/><Relationship Id="rId91" Type="http://schemas.openxmlformats.org/officeDocument/2006/relationships/hyperlink" Target="https://www.sbicard.com/en/faq/critical-illness-insurance-policy.page" TargetMode="External"/><Relationship Id="rId90" Type="http://schemas.openxmlformats.org/officeDocument/2006/relationships/hyperlink" Target="https://www.sbicard.com/en/faq/complimentary-trident-privilege-membership.page" TargetMode="External"/><Relationship Id="rId93" Type="http://schemas.openxmlformats.org/officeDocument/2006/relationships/hyperlink" Target="https://www.sbicard.com/en/faq/travel-insurance.page" TargetMode="External"/><Relationship Id="rId92" Type="http://schemas.openxmlformats.org/officeDocument/2006/relationships/hyperlink" Target="https://www.sbicard.com/en/faq/interest-charges-calculation.page" TargetMode="External"/><Relationship Id="rId118" Type="http://schemas.openxmlformats.org/officeDocument/2006/relationships/hyperlink" Target="https://sbi-devsit1.sbicard.com/en/video/web-onboarding.page" TargetMode="External"/><Relationship Id="rId117" Type="http://schemas.openxmlformats.org/officeDocument/2006/relationships/hyperlink" Target="https://sbi-devsit1.sbicard.com/en/personal/benefits/lower-interest-option/flexi-pay.page" TargetMode="External"/><Relationship Id="rId116" Type="http://schemas.openxmlformats.org/officeDocument/2006/relationships/hyperlink" Target="https://sbi-devsit1.sbicard.com/en/credit-score.page" TargetMode="External"/><Relationship Id="rId115" Type="http://schemas.openxmlformats.org/officeDocument/2006/relationships/hyperlink" Target="https://sbi-devsit1.sbicard.com/en/request-for-proposal.page" TargetMode="External"/><Relationship Id="rId119" Type="http://schemas.openxmlformats.org/officeDocument/2006/relationships/hyperlink" Target="https://sbi-devsit1.sbicard.com/en/grievance-redressal-policy.page" TargetMode="External"/><Relationship Id="rId15" Type="http://schemas.openxmlformats.org/officeDocument/2006/relationships/hyperlink" Target="https://sbi-devsit1.sbicard.com/en/faq/national-automated-clearing-house.page" TargetMode="External"/><Relationship Id="rId110" Type="http://schemas.openxmlformats.org/officeDocument/2006/relationships/hyperlink" Target="https://www.sbicard.com/en/faq/electronic-bill-payment.page" TargetMode="External"/><Relationship Id="rId14" Type="http://schemas.openxmlformats.org/officeDocument/2006/relationships/hyperlink" Target="https://sbi-devsit1.sbicard.com/en/faq/neft-payment.page" TargetMode="External"/><Relationship Id="rId17" Type="http://schemas.openxmlformats.org/officeDocument/2006/relationships/hyperlink" Target="https://sbi-devsit1.sbicard.com/en/faq/over-the-counter-payment.page" TargetMode="External"/><Relationship Id="rId16" Type="http://schemas.openxmlformats.org/officeDocument/2006/relationships/hyperlink" Target="https://sbi-devsit1.sbicard.com/en/faq/visa-credit-card-pay.page" TargetMode="External"/><Relationship Id="rId19" Type="http://schemas.openxmlformats.org/officeDocument/2006/relationships/hyperlink" Target="https://sbi-devsit1.sbicard.com/en/faq/upi.page" TargetMode="External"/><Relationship Id="rId114" Type="http://schemas.openxmlformats.org/officeDocument/2006/relationships/hyperlink" Target="https://sbi-devsit1.sbicard.com/en/order-of-payment-settlement.page" TargetMode="External"/><Relationship Id="rId18" Type="http://schemas.openxmlformats.org/officeDocument/2006/relationships/hyperlink" Target="https://sbi-devsit1.sbicard.com/en/faq/pay-via-yono.page" TargetMode="External"/><Relationship Id="rId113" Type="http://schemas.openxmlformats.org/officeDocument/2006/relationships/hyperlink" Target="https://sbi-devsit1.sbicard.com/en/sitemap.page" TargetMode="External"/><Relationship Id="rId112" Type="http://schemas.openxmlformats.org/officeDocument/2006/relationships/hyperlink" Target="https://sbi-devsit1.sbicard.com/en/tnc.page" TargetMode="External"/><Relationship Id="rId111" Type="http://schemas.openxmlformats.org/officeDocument/2006/relationships/hyperlink" Target="https://www.sbicard.com/en/faq/touch-id-mobile-app.page" TargetMode="External"/><Relationship Id="rId84" Type="http://schemas.openxmlformats.org/officeDocument/2006/relationships/hyperlink" Target="https://www.sbicard.com/en/faq/rewards-information.page" TargetMode="External"/><Relationship Id="rId83" Type="http://schemas.openxmlformats.org/officeDocument/2006/relationships/hyperlink" Target="https://www.sbicard.com/en/faq/covid-19-regulatory-package.page" TargetMode="External"/><Relationship Id="rId86" Type="http://schemas.openxmlformats.org/officeDocument/2006/relationships/hyperlink" Target="https://www.sbicard.com/en/faq/sampoorn-cancer-suraksha.page" TargetMode="External"/><Relationship Id="rId85" Type="http://schemas.openxmlformats.org/officeDocument/2006/relationships/hyperlink" Target="https://www.sbicard.com/en/faq/cancellation-of-bt-on-emi.page" TargetMode="External"/><Relationship Id="rId88" Type="http://schemas.openxmlformats.org/officeDocument/2006/relationships/hyperlink" Target="https://www.sbicard.com/en/faq/resolution-plan-2-0.page" TargetMode="External"/><Relationship Id="rId150" Type="http://schemas.openxmlformats.org/officeDocument/2006/relationships/hyperlink" Target="https://www.sbicard.com/en/personal/benefits/utility-bill-payments/visa-bill.page" TargetMode="External"/><Relationship Id="rId87" Type="http://schemas.openxmlformats.org/officeDocument/2006/relationships/hyperlink" Target="https://www.sbicard.com/en/faq/poorna-suraksha.page" TargetMode="External"/><Relationship Id="rId89" Type="http://schemas.openxmlformats.org/officeDocument/2006/relationships/hyperlink" Target="https://www.sbicard.com/en/faq/order-of-payment-settlement.page" TargetMode="External"/><Relationship Id="rId80" Type="http://schemas.openxmlformats.org/officeDocument/2006/relationships/hyperlink" Target="https://www.sbicard.com/en/faq/account-upgrade.page" TargetMode="External"/><Relationship Id="rId82" Type="http://schemas.openxmlformats.org/officeDocument/2006/relationships/hyperlink" Target="https://www.sbicard.com/en/faq/allahabad-sbi-card-program-discontinuation.page" TargetMode="External"/><Relationship Id="rId81" Type="http://schemas.openxmlformats.org/officeDocument/2006/relationships/hyperlink" Target="https://www.sbicard.com/en/faq/fees-and-charges.page" TargetMode="External"/><Relationship Id="rId1" Type="http://schemas.openxmlformats.org/officeDocument/2006/relationships/hyperlink" Target="https://sbi-devsit1.sbicard.com/en/security.page" TargetMode="External"/><Relationship Id="rId2" Type="http://schemas.openxmlformats.org/officeDocument/2006/relationships/hyperlink" Target="https://sbi-devsit1.sbicard.com/en/eapply.page" TargetMode="External"/><Relationship Id="rId3" Type="http://schemas.openxmlformats.org/officeDocument/2006/relationships/hyperlink" Target="https://sbi-devsit1.sbicard.com/en/most-important-terms-and-conditions.page" TargetMode="External"/><Relationship Id="rId149" Type="http://schemas.openxmlformats.org/officeDocument/2006/relationships/hyperlink" Target="https://www.sbicard.com/en/personal/benefits/money-simplified/atm-cash.page" TargetMode="External"/><Relationship Id="rId4" Type="http://schemas.openxmlformats.org/officeDocument/2006/relationships/hyperlink" Target="https://sbi-devsit1.sbicard.com/en/personal/benefits/encash.page" TargetMode="External"/><Relationship Id="rId148" Type="http://schemas.openxmlformats.org/officeDocument/2006/relationships/hyperlink" Target="https://www.sbicard.com/en/personal/benefits/card-upgrade.page" TargetMode="External"/><Relationship Id="rId9" Type="http://schemas.openxmlformats.org/officeDocument/2006/relationships/hyperlink" Target="https://sbi-devsit1.sbicard.com/en/faq/flexipay.page" TargetMode="External"/><Relationship Id="rId143" Type="http://schemas.openxmlformats.org/officeDocument/2006/relationships/hyperlink" Target="https://sbi-devsit1.sbicard.com/en/offer-terms-conditions.page" TargetMode="External"/><Relationship Id="rId142" Type="http://schemas.openxmlformats.org/officeDocument/2006/relationships/hyperlink" Target="https://sbi-devsit1.sbicard.com/en/disclaimer.page" TargetMode="External"/><Relationship Id="rId141" Type="http://schemas.openxmlformats.org/officeDocument/2006/relationships/hyperlink" Target="https://sbi-devsit1.sbicard.com/en/personal/credit-cards.page" TargetMode="External"/><Relationship Id="rId140" Type="http://schemas.openxmlformats.org/officeDocument/2006/relationships/hyperlink" Target="https://sbi-devsit1.sbicard.com/en/personal/credit-cards/compare-cards.page" TargetMode="External"/><Relationship Id="rId5" Type="http://schemas.openxmlformats.org/officeDocument/2006/relationships/hyperlink" Target="https://sbi-devsit1.sbicard.com/en/tokenisation.page" TargetMode="External"/><Relationship Id="rId147" Type="http://schemas.openxmlformats.org/officeDocument/2006/relationships/hyperlink" Target="https://sbi-devsit1.sbicard.com/en/personal/rewards.page" TargetMode="External"/><Relationship Id="rId6" Type="http://schemas.openxmlformats.org/officeDocument/2006/relationships/hyperlink" Target="https://sbi-devsit1.sbicard.com/en/personal/benefits/add-on-card.page" TargetMode="External"/><Relationship Id="rId146" Type="http://schemas.openxmlformats.org/officeDocument/2006/relationships/hyperlink" Target="https://sbi-devsit1.sbicard.com/en/personal/benefits/lower-interest-option/balance-transfer.page" TargetMode="External"/><Relationship Id="rId7" Type="http://schemas.openxmlformats.org/officeDocument/2006/relationships/hyperlink" Target="https://sbi-devsit1.sbicard.com/en/contact-us/personal.page" TargetMode="External"/><Relationship Id="rId145" Type="http://schemas.openxmlformats.org/officeDocument/2006/relationships/hyperlink" Target="https://sbi-devsit1.sbicard.com/en/personal/benefits.page" TargetMode="External"/><Relationship Id="rId8" Type="http://schemas.openxmlformats.org/officeDocument/2006/relationships/hyperlink" Target="https://sbi-devsit1.sbicard.com/en/personal/credit-cards/simplyfier.page" TargetMode="External"/><Relationship Id="rId144" Type="http://schemas.openxmlformats.org/officeDocument/2006/relationships/hyperlink" Target="https://sbi-devsit1.sbicard.com/en/personal/benefits/easy-access-channels/mobile-app.page" TargetMode="External"/><Relationship Id="rId73" Type="http://schemas.openxmlformats.org/officeDocument/2006/relationships/hyperlink" Target="https://www.sbicard.com/en/faq/pin-generation.page" TargetMode="External"/><Relationship Id="rId72" Type="http://schemas.openxmlformats.org/officeDocument/2006/relationships/hyperlink" Target="https://www.sbicard.com/en/faq/arogya-top-up.page" TargetMode="External"/><Relationship Id="rId75" Type="http://schemas.openxmlformats.org/officeDocument/2006/relationships/hyperlink" Target="https://www.sbicard.com/en/faq/federal-sbi-secured-co-brand-card-program-discontinuation.page" TargetMode="External"/><Relationship Id="rId74" Type="http://schemas.openxmlformats.org/officeDocument/2006/relationships/hyperlink" Target="https://www.sbicard.com/en/faq/simply-sms.page" TargetMode="External"/><Relationship Id="rId77" Type="http://schemas.openxmlformats.org/officeDocument/2006/relationships/hyperlink" Target="https://www.sbicard.com/en/faq/authentication-declined-card-not-Identified.page" TargetMode="External"/><Relationship Id="rId76" Type="http://schemas.openxmlformats.org/officeDocument/2006/relationships/hyperlink" Target="https://www.sbicard.com/en/faq/device-linking-mobile-app.page" TargetMode="External"/><Relationship Id="rId79" Type="http://schemas.openxmlformats.org/officeDocument/2006/relationships/hyperlink" Target="https://www.sbicard.com/en/faq/card-upgrade-process.page" TargetMode="External"/><Relationship Id="rId78" Type="http://schemas.openxmlformats.org/officeDocument/2006/relationships/hyperlink" Target="https://www.sbicard.com/en/faq/balance-outstanding-amount-due.page" TargetMode="External"/><Relationship Id="rId71" Type="http://schemas.openxmlformats.org/officeDocument/2006/relationships/hyperlink" Target="https://www.sbicard.com/en/faq/reward-points-redemption.page" TargetMode="External"/><Relationship Id="rId70" Type="http://schemas.openxmlformats.org/officeDocument/2006/relationships/hyperlink" Target="https://www.sbicard.com/en/faq/statement-billing-related.page" TargetMode="External"/><Relationship Id="rId139" Type="http://schemas.openxmlformats.org/officeDocument/2006/relationships/hyperlink" Target="https://sbi-devsit1.sbicard.com/en/personal/pay.page" TargetMode="External"/><Relationship Id="rId138" Type="http://schemas.openxmlformats.org/officeDocument/2006/relationships/hyperlink" Target="https://sbi-devsit1.sbicard.com/en/blog/home.page" TargetMode="External"/><Relationship Id="rId137" Type="http://schemas.openxmlformats.org/officeDocument/2006/relationships/hyperlink" Target="https://www.sbicard.com/en/faq.page" TargetMode="External"/><Relationship Id="rId132" Type="http://schemas.openxmlformats.org/officeDocument/2006/relationships/hyperlink" Target="https://www.sbicard.com/en/home.page" TargetMode="External"/><Relationship Id="rId131" Type="http://schemas.openxmlformats.org/officeDocument/2006/relationships/hyperlink" Target="https://www.sbicard.com/en/personal/offers.page" TargetMode="External"/><Relationship Id="rId130" Type="http://schemas.openxmlformats.org/officeDocument/2006/relationships/hyperlink" Target="https://sbi-devsit1.sbicard.com/en/customer-notices.page" TargetMode="External"/><Relationship Id="rId136" Type="http://schemas.openxmlformats.org/officeDocument/2006/relationships/hyperlink" Target="https://www.sbicard.com/en/cardholder-agreement.page" TargetMode="External"/><Relationship Id="rId135" Type="http://schemas.openxmlformats.org/officeDocument/2006/relationships/hyperlink" Target="https://sbi-devsit1.sbicard.com/en/do-not-disturb.page" TargetMode="External"/><Relationship Id="rId134" Type="http://schemas.openxmlformats.org/officeDocument/2006/relationships/hyperlink" Target="https://sbi-devsit1.sbicard.com/en/privacy-policy.page" TargetMode="External"/><Relationship Id="rId133" Type="http://schemas.openxmlformats.org/officeDocument/2006/relationships/hyperlink" Target="https://sbi-devsit1.sbicard.com/en/personal/visa-offers.page" TargetMode="External"/><Relationship Id="rId62" Type="http://schemas.openxmlformats.org/officeDocument/2006/relationships/hyperlink" Target="https://www.sbicard.com/en/faq/reissue-replacement-of-cards.page" TargetMode="External"/><Relationship Id="rId61" Type="http://schemas.openxmlformats.org/officeDocument/2006/relationships/hyperlink" Target="https://www.sbicard.com/en/faq/complimentary-priority-pass-membership.page" TargetMode="External"/><Relationship Id="rId64" Type="http://schemas.openxmlformats.org/officeDocument/2006/relationships/hyperlink" Target="https://www.sbicard.com/en/faq/reactivation-of-account.page" TargetMode="External"/><Relationship Id="rId63" Type="http://schemas.openxmlformats.org/officeDocument/2006/relationships/hyperlink" Target="https://www.sbicard.com/en/faq/initiating-sbi-card-online.page" TargetMode="External"/><Relationship Id="rId66" Type="http://schemas.openxmlformats.org/officeDocument/2006/relationships/hyperlink" Target="https://www.sbicard.com/en/faq/health-insurance-policy.page" TargetMode="External"/><Relationship Id="rId172" Type="http://schemas.openxmlformats.org/officeDocument/2006/relationships/hyperlink" Target="https://www.sbicard.com/en/personal/linking-of-pan-with-aadhaar.page" TargetMode="External"/><Relationship Id="rId65" Type="http://schemas.openxmlformats.org/officeDocument/2006/relationships/hyperlink" Target="https://www.sbicard.com/en/faq/mobile-app.page" TargetMode="External"/><Relationship Id="rId171" Type="http://schemas.openxmlformats.org/officeDocument/2006/relationships/hyperlink" Target="https://www.sbicard.com/en/personal/rewards/reward-detail.page" TargetMode="External"/><Relationship Id="rId68" Type="http://schemas.openxmlformats.org/officeDocument/2006/relationships/hyperlink" Target="https://www.sbicard.com/en/faq/card-activation-dispatch.page" TargetMode="External"/><Relationship Id="rId170" Type="http://schemas.openxmlformats.org/officeDocument/2006/relationships/hyperlink" Target="https://www.sbicard.com/en/personal/benefits/digital-payments/bharat-qr-pay.page" TargetMode="External"/><Relationship Id="rId67" Type="http://schemas.openxmlformats.org/officeDocument/2006/relationships/hyperlink" Target="https://www.sbicard.com/en/faq/bt-on-other-sbi-cards.page" TargetMode="External"/><Relationship Id="rId60" Type="http://schemas.openxmlformats.org/officeDocument/2006/relationships/hyperlink" Target="https://www.sbicard.com/en/faq/bt-on-emi-on-other-sbi-cards.page" TargetMode="External"/><Relationship Id="rId165" Type="http://schemas.openxmlformats.org/officeDocument/2006/relationships/hyperlink" Target="https://www.sbicard.com/en/video/demovideo.page" TargetMode="External"/><Relationship Id="rId69" Type="http://schemas.openxmlformats.org/officeDocument/2006/relationships/hyperlink" Target="https://www.sbicard.com/en/faq/transferred-accounts.page" TargetMode="External"/><Relationship Id="rId164" Type="http://schemas.openxmlformats.org/officeDocument/2006/relationships/hyperlink" Target="https://www.sbicard.com/en/webform/escalate-login.page" TargetMode="External"/><Relationship Id="rId163" Type="http://schemas.openxmlformats.org/officeDocument/2006/relationships/hyperlink" Target="https://www.sbicard.com/en/contact-us/corporate.page" TargetMode="External"/><Relationship Id="rId162" Type="http://schemas.openxmlformats.org/officeDocument/2006/relationships/hyperlink" Target="https://www.sbicard.com/en/webform/write-to-us.page" TargetMode="External"/><Relationship Id="rId169" Type="http://schemas.openxmlformats.org/officeDocument/2006/relationships/hyperlink" Target="https://www.sbicard.com/en/personal/benefits/digital-payments/contactless-sbi-card.page" TargetMode="External"/><Relationship Id="rId168" Type="http://schemas.openxmlformats.org/officeDocument/2006/relationships/hyperlink" Target="https://www.sbicard.com/en/personal/offers/offer-detail.page" TargetMode="External"/><Relationship Id="rId167" Type="http://schemas.openxmlformats.org/officeDocument/2006/relationships/hyperlink" Target="https://www.sbicard.com/en/personal/benefits/digital-payments/sbi-card-pay.page" TargetMode="External"/><Relationship Id="rId166" Type="http://schemas.openxmlformats.org/officeDocument/2006/relationships/hyperlink" Target="https://www.sbicard.com/en/blog/detail.page" TargetMode="External"/><Relationship Id="rId51" Type="http://schemas.openxmlformats.org/officeDocument/2006/relationships/hyperlink" Target="https://sit-devsit1.sbicard.com/en/faq/online-application.page" TargetMode="External"/><Relationship Id="rId50" Type="http://schemas.openxmlformats.org/officeDocument/2006/relationships/hyperlink" Target="https://sit-devsit1.sbicard.com/en/faq/complimentary-club-vistara-membership.page" TargetMode="External"/><Relationship Id="rId53" Type="http://schemas.openxmlformats.org/officeDocument/2006/relationships/hyperlink" Target="https://sit-devsit1.sbicard.com/en/faq/credit-limit-increase.page" TargetMode="External"/><Relationship Id="rId52" Type="http://schemas.openxmlformats.org/officeDocument/2006/relationships/hyperlink" Target="https://sit-devsit1.sbicard.com/en/faq/individual-personal-accident-policy.page" TargetMode="External"/><Relationship Id="rId55" Type="http://schemas.openxmlformats.org/officeDocument/2006/relationships/hyperlink" Target="https://sit-devsit1.sbicard.com/en/faq/cpp.page" TargetMode="External"/><Relationship Id="rId161" Type="http://schemas.openxmlformats.org/officeDocument/2006/relationships/hyperlink" Target="https://www.sbicard.com/en/personal/benefits/easy-access-channels/digital-platforms.page" TargetMode="External"/><Relationship Id="rId54" Type="http://schemas.openxmlformats.org/officeDocument/2006/relationships/hyperlink" Target="https://sit-devsit1.sbicard.com/en/faq/kyc-faq.page" TargetMode="External"/><Relationship Id="rId160" Type="http://schemas.openxmlformats.org/officeDocument/2006/relationships/hyperlink" Target="https://www.sbicard.com/en/personal/benefits/easy-access-channels/whatsapp.page" TargetMode="External"/><Relationship Id="rId57" Type="http://schemas.openxmlformats.org/officeDocument/2006/relationships/hyperlink" Target="https://sbi-devsit1.sbicard.com/en/faq/whatsapp-opt-in.page" TargetMode="External"/><Relationship Id="rId56" Type="http://schemas.openxmlformats.org/officeDocument/2006/relationships/hyperlink" Target="https://sbi-devsit1.sbicard.com/en/faq/smart-cash.page" TargetMode="External"/><Relationship Id="rId159" Type="http://schemas.openxmlformats.org/officeDocument/2006/relationships/hyperlink" Target="https://www.sbicard.com/en/personal/benefits/easy-access-channels/website.page" TargetMode="External"/><Relationship Id="rId59" Type="http://schemas.openxmlformats.org/officeDocument/2006/relationships/hyperlink" Target="https://sit-devsit1.sbicard.com/en/faq/utility-bill-payment.page" TargetMode="External"/><Relationship Id="rId154" Type="http://schemas.openxmlformats.org/officeDocument/2006/relationships/hyperlink" Target="https://www.sbicard.com/en/personal/benefits/easy-access-channels/yono.page" TargetMode="External"/><Relationship Id="rId58" Type="http://schemas.openxmlformats.org/officeDocument/2006/relationships/hyperlink" Target="https://sit-devsit1.sbicard.com/en/faq/transaction-status.page" TargetMode="External"/><Relationship Id="rId153" Type="http://schemas.openxmlformats.org/officeDocument/2006/relationships/hyperlink" Target="https://www.sbicard.com/en/personal/benefits/easy-access-channels/simply-sms.page" TargetMode="External"/><Relationship Id="rId152" Type="http://schemas.openxmlformats.org/officeDocument/2006/relationships/hyperlink" Target="https://www.sbicard.com/en/personal/benefits/utility-bill-payments/pay-fast.page" TargetMode="External"/><Relationship Id="rId151" Type="http://schemas.openxmlformats.org/officeDocument/2006/relationships/hyperlink" Target="https://www.sbicard.com/en/personal/benefits/utility-bill-payments/auto-bill-pay.page" TargetMode="External"/><Relationship Id="rId158" Type="http://schemas.openxmlformats.org/officeDocument/2006/relationships/hyperlink" Target="https://www.sbicard.com/en/personal/benefits/easy-access-channels/chatbot.page" TargetMode="External"/><Relationship Id="rId157" Type="http://schemas.openxmlformats.org/officeDocument/2006/relationships/hyperlink" Target="https://www.sbicard.com/en/personal/benefits/utility-bill-payments/register-and-pay.page" TargetMode="External"/><Relationship Id="rId156" Type="http://schemas.openxmlformats.org/officeDocument/2006/relationships/hyperlink" Target="https://www.sbicard.com/en/personal/benefits/utility-bill-payments/recurring-e-mandates.page" TargetMode="External"/><Relationship Id="rId155" Type="http://schemas.openxmlformats.org/officeDocument/2006/relationships/hyperlink" Target="https://www.sbicard.com/en/personal/benefits/easy-access-channels/missed-call-service.pag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shorts/9W-yd2nKbIY%09https:/www.youtube.com/shorts/NFFdaffkdy8%09https:/www.youtube.com/shorts/NFFdaffkdy8" TargetMode="External"/><Relationship Id="rId2" Type="http://schemas.openxmlformats.org/officeDocument/2006/relationships/hyperlink" Target="https://www.youtube.com/watch?v=8x2fWFLDk2k%09https://www.youtube.com/watch?v=FoZaQr9zHSY"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loom.com/share/35d75fe354f24896ac1633ab903d5a14" TargetMode="External"/><Relationship Id="rId42" Type="http://schemas.openxmlformats.org/officeDocument/2006/relationships/hyperlink" Target="https://www.loom.com/i/863baa9243d345638053e66e53270c89" TargetMode="External"/><Relationship Id="rId41" Type="http://schemas.openxmlformats.org/officeDocument/2006/relationships/hyperlink" Target="https://www.loom.com/share/a3c08127bd6b4925b6367a00cb81af41" TargetMode="External"/><Relationship Id="rId44" Type="http://schemas.openxmlformats.org/officeDocument/2006/relationships/hyperlink" Target="https://www.loom.com/share/025756db13e64e34a34e9eaff97ec898" TargetMode="External"/><Relationship Id="rId43" Type="http://schemas.openxmlformats.org/officeDocument/2006/relationships/hyperlink" Target="https://loom.com/i/3008f106ed3f4d4d9217e6447a9e2b49" TargetMode="External"/><Relationship Id="rId46" Type="http://schemas.openxmlformats.org/officeDocument/2006/relationships/hyperlink" Target="https://www.loom.com/i/1873e807643b46f0ac070479fbe65bd8" TargetMode="External"/><Relationship Id="rId45" Type="http://schemas.openxmlformats.org/officeDocument/2006/relationships/hyperlink" Target="https://www.loom.com/i/e857ce20a8cf4000b4045bf7d1aabc18" TargetMode="External"/><Relationship Id="rId107" Type="http://schemas.openxmlformats.org/officeDocument/2006/relationships/hyperlink" Target="https://www.loom.com/i/e3c702628cf343d19569f7ac21710879" TargetMode="External"/><Relationship Id="rId106" Type="http://schemas.openxmlformats.org/officeDocument/2006/relationships/hyperlink" Target="https://loom.com/i/750be550b91b49cc93073dac5406259a" TargetMode="External"/><Relationship Id="rId105" Type="http://schemas.openxmlformats.org/officeDocument/2006/relationships/hyperlink" Target="https://www.loom.com/i/99024be70ecd4e1daac64d3e8b899fd8" TargetMode="External"/><Relationship Id="rId104" Type="http://schemas.openxmlformats.org/officeDocument/2006/relationships/hyperlink" Target="https://www.loom.com/i/0e461c5a36954fda9a5dfcdb3a38a188" TargetMode="External"/><Relationship Id="rId109" Type="http://schemas.openxmlformats.org/officeDocument/2006/relationships/hyperlink" Target="https://www.loom.com/share/48e73d1ce62e4bf5a68a6f43d2261b24" TargetMode="External"/><Relationship Id="rId108" Type="http://schemas.openxmlformats.org/officeDocument/2006/relationships/hyperlink" Target="https://www.loom.com/i/488bc5c5a7e942d1bf98f5730b2ac3e4" TargetMode="External"/><Relationship Id="rId48" Type="http://schemas.openxmlformats.org/officeDocument/2006/relationships/hyperlink" Target="https://www.loom.com/i/fa8b46f9971c408485832567392263f6" TargetMode="External"/><Relationship Id="rId47" Type="http://schemas.openxmlformats.org/officeDocument/2006/relationships/hyperlink" Target="https://www.loom.com/i/7eafab8959874d71a5ef09ec36fa3065" TargetMode="External"/><Relationship Id="rId49" Type="http://schemas.openxmlformats.org/officeDocument/2006/relationships/hyperlink" Target="https://www.loom.com/i/b30517249e0849009c1eeae64a16455c" TargetMode="External"/><Relationship Id="rId103" Type="http://schemas.openxmlformats.org/officeDocument/2006/relationships/hyperlink" Target="https://www.loom.com/i/c236a42fd1d64c47a4fc53c6240419ab" TargetMode="External"/><Relationship Id="rId102" Type="http://schemas.openxmlformats.org/officeDocument/2006/relationships/hyperlink" Target="https://www.loom.com/i/bf53b35007be40c7bb9b54bba120ac0d" TargetMode="External"/><Relationship Id="rId101" Type="http://schemas.openxmlformats.org/officeDocument/2006/relationships/hyperlink" Target="https://www.loom.com/i/f42c59343bb84b1dad754b394818912f" TargetMode="External"/><Relationship Id="rId100" Type="http://schemas.openxmlformats.org/officeDocument/2006/relationships/hyperlink" Target="https://www.loom.com/i/24df780a55cd41279f29ae75a8eb3e77" TargetMode="External"/><Relationship Id="rId31" Type="http://schemas.openxmlformats.org/officeDocument/2006/relationships/hyperlink" Target="https://www.loom.com/i/484f454f70c14e6c8d08e53e091434cc" TargetMode="External"/><Relationship Id="rId30" Type="http://schemas.openxmlformats.org/officeDocument/2006/relationships/hyperlink" Target="https://www.loom.com/i/a5d03755f6054d99b0b58836285286c1" TargetMode="External"/><Relationship Id="rId33" Type="http://schemas.openxmlformats.org/officeDocument/2006/relationships/hyperlink" Target="https://www.loom.com/i/6c36f4f670804c0d925e80afc1b84959" TargetMode="External"/><Relationship Id="rId32" Type="http://schemas.openxmlformats.org/officeDocument/2006/relationships/hyperlink" Target="https://www.loom.com/i/3e5e557e289949cba05e13ebfb056923" TargetMode="External"/><Relationship Id="rId35" Type="http://schemas.openxmlformats.org/officeDocument/2006/relationships/hyperlink" Target="https://www.loom.com/share/006cd6d170f543d69c537db3521839ca" TargetMode="External"/><Relationship Id="rId34" Type="http://schemas.openxmlformats.org/officeDocument/2006/relationships/hyperlink" Target="https://www.loom.com/share/85e0f9dfd7564da9805b1d0f6bff3777" TargetMode="External"/><Relationship Id="rId37" Type="http://schemas.openxmlformats.org/officeDocument/2006/relationships/hyperlink" Target="https://www.loom.com/share/0ae4a5e75624469aacd7ccad0328f559" TargetMode="External"/><Relationship Id="rId36" Type="http://schemas.openxmlformats.org/officeDocument/2006/relationships/hyperlink" Target="https://www.loom.com/share/3f5775bf043e4d63987a231a5817eb39" TargetMode="External"/><Relationship Id="rId39" Type="http://schemas.openxmlformats.org/officeDocument/2006/relationships/hyperlink" Target="https://www.loom.com/share/c77b77f98b9641d1a8cf54a94e85706e" TargetMode="External"/><Relationship Id="rId38" Type="http://schemas.openxmlformats.org/officeDocument/2006/relationships/hyperlink" Target="https://www.loom.com/share/7ebb6a8eba124d14a7982e709aebabf5" TargetMode="External"/><Relationship Id="rId20" Type="http://schemas.openxmlformats.org/officeDocument/2006/relationships/hyperlink" Target="https://www.loom.com/i/01d085c9b09f46f5bc174e6755603939" TargetMode="External"/><Relationship Id="rId22" Type="http://schemas.openxmlformats.org/officeDocument/2006/relationships/hyperlink" Target="https://www.loom.com/i/b06f7779551a45ea95c40fa802cc38df" TargetMode="External"/><Relationship Id="rId21" Type="http://schemas.openxmlformats.org/officeDocument/2006/relationships/hyperlink" Target="https://www.loom.com/share/22501c7eb8a44162beeb8d6e41eb2ee3" TargetMode="External"/><Relationship Id="rId24" Type="http://schemas.openxmlformats.org/officeDocument/2006/relationships/hyperlink" Target="https://www.loom.com/i/3d2cb3beb01b4d628f240567295ab062" TargetMode="External"/><Relationship Id="rId23" Type="http://schemas.openxmlformats.org/officeDocument/2006/relationships/hyperlink" Target="https://www.loom.com/i/8ffe8404b9a448b98c08b71e62fc6180" TargetMode="External"/><Relationship Id="rId129" Type="http://schemas.openxmlformats.org/officeDocument/2006/relationships/hyperlink" Target="https://www.loom.com/i/fec8f497649840e2b39f8b7f5a3270bd" TargetMode="External"/><Relationship Id="rId128" Type="http://schemas.openxmlformats.org/officeDocument/2006/relationships/hyperlink" Target="https://www.loom.com/i/5821568fc4bc4d97a293a9a63aed3751" TargetMode="External"/><Relationship Id="rId127" Type="http://schemas.openxmlformats.org/officeDocument/2006/relationships/hyperlink" Target="https://www.loom.com/i/b99e16c264864a21b1e96e208153348c" TargetMode="External"/><Relationship Id="rId126" Type="http://schemas.openxmlformats.org/officeDocument/2006/relationships/hyperlink" Target="https://www.loom.com/i/a341f414e37c4d9db1526fbba860da5d" TargetMode="External"/><Relationship Id="rId26" Type="http://schemas.openxmlformats.org/officeDocument/2006/relationships/hyperlink" Target="https://www.loom.com/i/b790d08b26fe4b6ca95c5a94cc678f9a" TargetMode="External"/><Relationship Id="rId121" Type="http://schemas.openxmlformats.org/officeDocument/2006/relationships/hyperlink" Target="https://www.loom.com/i/8df20cbb3d0b438ab6347f7c6366b7c0" TargetMode="External"/><Relationship Id="rId25" Type="http://schemas.openxmlformats.org/officeDocument/2006/relationships/hyperlink" Target="https://www.loom.com/i/bcd7751566004a89b70d982ab67fb7d5" TargetMode="External"/><Relationship Id="rId120" Type="http://schemas.openxmlformats.org/officeDocument/2006/relationships/hyperlink" Target="https://www.loom.com/i/227c365c180a44f7baf93acab20edda3" TargetMode="External"/><Relationship Id="rId28" Type="http://schemas.openxmlformats.org/officeDocument/2006/relationships/hyperlink" Target="https://www.loom.com/i/581b541551e64b71af595c91ae7a8e45" TargetMode="External"/><Relationship Id="rId27" Type="http://schemas.openxmlformats.org/officeDocument/2006/relationships/hyperlink" Target="https://www.loom.com/i/2f310b6193f7458c90c8cc96268dd8a9" TargetMode="External"/><Relationship Id="rId125" Type="http://schemas.openxmlformats.org/officeDocument/2006/relationships/hyperlink" Target="https://www.loom.com/i/64f1f85a5cad436ba678dc322efc3be1" TargetMode="External"/><Relationship Id="rId29" Type="http://schemas.openxmlformats.org/officeDocument/2006/relationships/hyperlink" Target="https://www.loom.com/i/a0dd5753ba1049348f2ee49d453a2cf5" TargetMode="External"/><Relationship Id="rId124" Type="http://schemas.openxmlformats.org/officeDocument/2006/relationships/hyperlink" Target="https://www.loom.com/i/a364af0e08e040e196b893f95699598f" TargetMode="External"/><Relationship Id="rId123" Type="http://schemas.openxmlformats.org/officeDocument/2006/relationships/hyperlink" Target="https://www.loom.com/i/9d6f8ef9089446b0bbdaca98349b73b4" TargetMode="External"/><Relationship Id="rId122" Type="http://schemas.openxmlformats.org/officeDocument/2006/relationships/hyperlink" Target="https://www.loom.com/i/e803dc3247ef4f85abaa1044ace5b2f5" TargetMode="External"/><Relationship Id="rId95" Type="http://schemas.openxmlformats.org/officeDocument/2006/relationships/hyperlink" Target="https://www.loom.com/i/cd241fcbffb4427d8c8e25e14ca8a62b" TargetMode="External"/><Relationship Id="rId94" Type="http://schemas.openxmlformats.org/officeDocument/2006/relationships/hyperlink" Target="https://www.loom.com/i/035b537bd2594cc6a6b57832d3d53539" TargetMode="External"/><Relationship Id="rId97" Type="http://schemas.openxmlformats.org/officeDocument/2006/relationships/hyperlink" Target="https://www.loom.com/i/022bccaa2a92471a9a6bb707b697d188" TargetMode="External"/><Relationship Id="rId96" Type="http://schemas.openxmlformats.org/officeDocument/2006/relationships/hyperlink" Target="https://www.loom.com/i/f198086095f94599a48f31f7d659a703" TargetMode="External"/><Relationship Id="rId11" Type="http://schemas.openxmlformats.org/officeDocument/2006/relationships/hyperlink" Target="https://www.loom.com/i/2c94f61d86f64978b40ca8a7c458cbe2" TargetMode="External"/><Relationship Id="rId99" Type="http://schemas.openxmlformats.org/officeDocument/2006/relationships/hyperlink" Target="https://www.loom.com/i/1a335e4dc7c4483a89235977aa84bb55" TargetMode="External"/><Relationship Id="rId10" Type="http://schemas.openxmlformats.org/officeDocument/2006/relationships/hyperlink" Target="https://www.loom.com/i/6a9e0b6b469343ea8e4054c10d311181" TargetMode="External"/><Relationship Id="rId98" Type="http://schemas.openxmlformats.org/officeDocument/2006/relationships/hyperlink" Target="https://www.loom.com/i/6a6905fe10b144aea721b95ca38f103c" TargetMode="External"/><Relationship Id="rId13" Type="http://schemas.openxmlformats.org/officeDocument/2006/relationships/hyperlink" Target="https://www.loom.com/i/8600e596fee8408b86ebb80afaf9d66b" TargetMode="External"/><Relationship Id="rId12" Type="http://schemas.openxmlformats.org/officeDocument/2006/relationships/hyperlink" Target="https://www.loom.com/share/bf4392f7317348f1abffc55e9c80a4f9" TargetMode="External"/><Relationship Id="rId91" Type="http://schemas.openxmlformats.org/officeDocument/2006/relationships/hyperlink" Target="https://www.loom.com/i/d6530acb55cc40749b435ecce71c3f8a" TargetMode="External"/><Relationship Id="rId90" Type="http://schemas.openxmlformats.org/officeDocument/2006/relationships/hyperlink" Target="https://www.loom.com/i/00878465f6e648c8874d2a37563c421c" TargetMode="External"/><Relationship Id="rId93" Type="http://schemas.openxmlformats.org/officeDocument/2006/relationships/hyperlink" Target="https://www.loom.com/i/1806bd5eabd645f3b121b0d1b0064800" TargetMode="External"/><Relationship Id="rId92" Type="http://schemas.openxmlformats.org/officeDocument/2006/relationships/hyperlink" Target="https://www.loom.com/i/c0e01c8bf5e44cca9a1dbcf75f2b61ea" TargetMode="External"/><Relationship Id="rId118" Type="http://schemas.openxmlformats.org/officeDocument/2006/relationships/hyperlink" Target="https://www.loom.com/i/5e76c5eeb7d04417814021df83aa4cef" TargetMode="External"/><Relationship Id="rId117" Type="http://schemas.openxmlformats.org/officeDocument/2006/relationships/hyperlink" Target="https://www.loom.com/i/7185f01309a04653b08bffd1d283582b" TargetMode="External"/><Relationship Id="rId116" Type="http://schemas.openxmlformats.org/officeDocument/2006/relationships/hyperlink" Target="https://www.loom.com/i/2b56126a00c44267b5ab98e76e7643ef" TargetMode="External"/><Relationship Id="rId115" Type="http://schemas.openxmlformats.org/officeDocument/2006/relationships/hyperlink" Target="https://www.loom.com/share/827f43fdea79414f9b32d40b282f352f" TargetMode="External"/><Relationship Id="rId119" Type="http://schemas.openxmlformats.org/officeDocument/2006/relationships/hyperlink" Target="https://www.loom.com/i/74b1c08289694cdc92309d81369c1dd5" TargetMode="External"/><Relationship Id="rId15" Type="http://schemas.openxmlformats.org/officeDocument/2006/relationships/hyperlink" Target="https://www.loom.com/i/0fbd3f45a9224042a11bc65b05792b52" TargetMode="External"/><Relationship Id="rId110" Type="http://schemas.openxmlformats.org/officeDocument/2006/relationships/hyperlink" Target="https://www.loom.com/i/b8f0a0016aa04aea8c65e59dca691b51" TargetMode="External"/><Relationship Id="rId14" Type="http://schemas.openxmlformats.org/officeDocument/2006/relationships/hyperlink" Target="https://www.loom.com/i/f2b3570ea5384656ae18443a1d74a5c8" TargetMode="External"/><Relationship Id="rId17" Type="http://schemas.openxmlformats.org/officeDocument/2006/relationships/hyperlink" Target="https://www.loom.com/i/2829e877e37f4dd291ba21cc57f34a1d" TargetMode="External"/><Relationship Id="rId16" Type="http://schemas.openxmlformats.org/officeDocument/2006/relationships/hyperlink" Target="https://www.loom.com/i/bc368accb1b943a9b2f0b15fd8d68453" TargetMode="External"/><Relationship Id="rId19" Type="http://schemas.openxmlformats.org/officeDocument/2006/relationships/hyperlink" Target="https://www.loom.com/share/eac148037b914cbd9eec7212438fa8f4" TargetMode="External"/><Relationship Id="rId114" Type="http://schemas.openxmlformats.org/officeDocument/2006/relationships/hyperlink" Target="https://www.loom.com/i/479b2fb3128d4747b9d674642b725757" TargetMode="External"/><Relationship Id="rId18" Type="http://schemas.openxmlformats.org/officeDocument/2006/relationships/hyperlink" Target="https://www.loom.com/i/346ad77bb3c446189e36810cbfa03b9b" TargetMode="External"/><Relationship Id="rId113" Type="http://schemas.openxmlformats.org/officeDocument/2006/relationships/hyperlink" Target="https://www.loom.com/i/8405a475a8af429fb1d9ba6c43957244" TargetMode="External"/><Relationship Id="rId112" Type="http://schemas.openxmlformats.org/officeDocument/2006/relationships/hyperlink" Target="https://www.loom.com/i/479b2fb3128d4747b9d674642b725757" TargetMode="External"/><Relationship Id="rId111" Type="http://schemas.openxmlformats.org/officeDocument/2006/relationships/hyperlink" Target="https://www.loom.com/i/8405a475a8af429fb1d9ba6c43957244" TargetMode="External"/><Relationship Id="rId84" Type="http://schemas.openxmlformats.org/officeDocument/2006/relationships/hyperlink" Target="https://www.loom.com/share/f99b37eb669c4af495d55cc87948d185" TargetMode="External"/><Relationship Id="rId83" Type="http://schemas.openxmlformats.org/officeDocument/2006/relationships/hyperlink" Target="https://www.loom.com/i/d35eb320b0164a7ba6d9535589da4f98" TargetMode="External"/><Relationship Id="rId86" Type="http://schemas.openxmlformats.org/officeDocument/2006/relationships/hyperlink" Target="https://www.loom.com/i/e3dca667271a40498d27e312bdcaef6a" TargetMode="External"/><Relationship Id="rId85" Type="http://schemas.openxmlformats.org/officeDocument/2006/relationships/hyperlink" Target="https://www.loom.com/share/6294cf1f89af4c4dbd1661f7f98aa754" TargetMode="External"/><Relationship Id="rId88" Type="http://schemas.openxmlformats.org/officeDocument/2006/relationships/hyperlink" Target="https://www.loom.com/i/67305defc68c43289bc5e4b0d7530b36" TargetMode="External"/><Relationship Id="rId87" Type="http://schemas.openxmlformats.org/officeDocument/2006/relationships/hyperlink" Target="https://www.loom.com/i/3f42df8244f844e2bc3652099c42f925" TargetMode="External"/><Relationship Id="rId89" Type="http://schemas.openxmlformats.org/officeDocument/2006/relationships/hyperlink" Target="https://www.loom.com/i/306db704e66b40bca44fce12a086e84d" TargetMode="External"/><Relationship Id="rId80" Type="http://schemas.openxmlformats.org/officeDocument/2006/relationships/hyperlink" Target="https://www.loom.com/i/ddcaf26c43cc42988e6020e1aa070218" TargetMode="External"/><Relationship Id="rId82" Type="http://schemas.openxmlformats.org/officeDocument/2006/relationships/hyperlink" Target="https://www.loom.com/i/2b28fc5dcd494ad1941c24d458a76d80" TargetMode="External"/><Relationship Id="rId81" Type="http://schemas.openxmlformats.org/officeDocument/2006/relationships/hyperlink" Target="https://www.loom.com/i/20687d24b37a462e85cd0bc9f7f74dda" TargetMode="External"/><Relationship Id="rId1" Type="http://schemas.openxmlformats.org/officeDocument/2006/relationships/hyperlink" Target="https://www.loom.com/i/639996bc50564a43a90d170ae2d29ef3" TargetMode="External"/><Relationship Id="rId2" Type="http://schemas.openxmlformats.org/officeDocument/2006/relationships/hyperlink" Target="https://www.loom.com/i/fb314dbf047d49f9aae513fdc6c19f6d" TargetMode="External"/><Relationship Id="rId3" Type="http://schemas.openxmlformats.org/officeDocument/2006/relationships/hyperlink" Target="https://www.loom.com/i/1535338797a640818268f54c45502abe" TargetMode="External"/><Relationship Id="rId4" Type="http://schemas.openxmlformats.org/officeDocument/2006/relationships/hyperlink" Target="https://www.loom.com/i/7e6a7962e45b47d2aa3e92bb4e937575" TargetMode="External"/><Relationship Id="rId9" Type="http://schemas.openxmlformats.org/officeDocument/2006/relationships/hyperlink" Target="https://www.loom.com/i/82e5bf95e8844c63bf46b835f71fd14d" TargetMode="External"/><Relationship Id="rId142" Type="http://schemas.openxmlformats.org/officeDocument/2006/relationships/drawing" Target="../drawings/drawing9.xml"/><Relationship Id="rId141" Type="http://schemas.openxmlformats.org/officeDocument/2006/relationships/hyperlink" Target="https://www.loom.com/i/445689084b6f4d71a381282687b84e74" TargetMode="External"/><Relationship Id="rId140" Type="http://schemas.openxmlformats.org/officeDocument/2006/relationships/hyperlink" Target="https://loom.com/i/24611b47f990442b910ad3ef05b8281a" TargetMode="External"/><Relationship Id="rId5" Type="http://schemas.openxmlformats.org/officeDocument/2006/relationships/hyperlink" Target="https://www.loom.com/i/e8b4f2b1f78648929e16bb6c178ae667" TargetMode="External"/><Relationship Id="rId6" Type="http://schemas.openxmlformats.org/officeDocument/2006/relationships/hyperlink" Target="https://www.loom.com/i/2e59ef7046a94dcfae326052b9e99505" TargetMode="External"/><Relationship Id="rId7" Type="http://schemas.openxmlformats.org/officeDocument/2006/relationships/hyperlink" Target="https://www.loom.com/i/1dc7142a6c724ef99605d571e9212c01" TargetMode="External"/><Relationship Id="rId8" Type="http://schemas.openxmlformats.org/officeDocument/2006/relationships/hyperlink" Target="https://www.loom.com/i/0992af6606c2460e868e1e4a3c3e2211" TargetMode="External"/><Relationship Id="rId73" Type="http://schemas.openxmlformats.org/officeDocument/2006/relationships/hyperlink" Target="https://www.loom.com/i/427df69b61ba4710a2d6f67408b5c180" TargetMode="External"/><Relationship Id="rId72" Type="http://schemas.openxmlformats.org/officeDocument/2006/relationships/hyperlink" Target="https://www.loom.com/i/3259934058874ddea44bf261d4b14673" TargetMode="External"/><Relationship Id="rId75" Type="http://schemas.openxmlformats.org/officeDocument/2006/relationships/hyperlink" Target="https://www.loom.com/i/856607508af74c31804d30321fdcc054" TargetMode="External"/><Relationship Id="rId74" Type="http://schemas.openxmlformats.org/officeDocument/2006/relationships/hyperlink" Target="https://www.loom.com/i/b00f5dea19e1416b83ffc0ea81bbf397" TargetMode="External"/><Relationship Id="rId77" Type="http://schemas.openxmlformats.org/officeDocument/2006/relationships/hyperlink" Target="https://www.loom.com/i/8ff99cc7b8834a00b4f72083b9289831" TargetMode="External"/><Relationship Id="rId76" Type="http://schemas.openxmlformats.org/officeDocument/2006/relationships/hyperlink" Target="https://www.loom.com/i/6d57455155d446e2823deb349a16340a" TargetMode="External"/><Relationship Id="rId79" Type="http://schemas.openxmlformats.org/officeDocument/2006/relationships/hyperlink" Target="https://www.loom.com/share/4bee97879c714c7d8fa72ac3b7a9370e" TargetMode="External"/><Relationship Id="rId78" Type="http://schemas.openxmlformats.org/officeDocument/2006/relationships/hyperlink" Target="https://www.loom.com/i/aa84c333aaa04b559ccd572223ed60d8" TargetMode="External"/><Relationship Id="rId71" Type="http://schemas.openxmlformats.org/officeDocument/2006/relationships/hyperlink" Target="https://www.loom.com/share/306f639482044f4a9903fc0117ffb4ba" TargetMode="External"/><Relationship Id="rId70" Type="http://schemas.openxmlformats.org/officeDocument/2006/relationships/hyperlink" Target="https://www.loom.com/i/df05d851e94e495bb7775bef18514ea0" TargetMode="External"/><Relationship Id="rId139" Type="http://schemas.openxmlformats.org/officeDocument/2006/relationships/hyperlink" Target="https://www.loom.com/i/759f413a9c1645d39c7911dc3a38a51d" TargetMode="External"/><Relationship Id="rId138" Type="http://schemas.openxmlformats.org/officeDocument/2006/relationships/hyperlink" Target="https://loom.com/i/db67b891c1ad4b16a4d5f08bb5c3dfd0" TargetMode="External"/><Relationship Id="rId137" Type="http://schemas.openxmlformats.org/officeDocument/2006/relationships/hyperlink" Target="https://www.loom.com/i/2b2f4170a0124151be6102fd62235e16" TargetMode="External"/><Relationship Id="rId132" Type="http://schemas.openxmlformats.org/officeDocument/2006/relationships/hyperlink" Target="https://www.loom.com/i/13aaff76a8fd4d9f9be70d18c634a4ee" TargetMode="External"/><Relationship Id="rId131" Type="http://schemas.openxmlformats.org/officeDocument/2006/relationships/hyperlink" Target="https://www.loom.com/i/d6dabd9d92914a8fa3210c680eee5981" TargetMode="External"/><Relationship Id="rId130" Type="http://schemas.openxmlformats.org/officeDocument/2006/relationships/hyperlink" Target="https://www.loom.com/i/4264578d36aa45e1becb36cdb9e124d1" TargetMode="External"/><Relationship Id="rId136" Type="http://schemas.openxmlformats.org/officeDocument/2006/relationships/hyperlink" Target="https://www.loom.com/i/e378f7927a6342349a151bfaced5b963" TargetMode="External"/><Relationship Id="rId135" Type="http://schemas.openxmlformats.org/officeDocument/2006/relationships/hyperlink" Target="https://www.loom.com/i/dd189fbc9c394819acd7190d4293fd0e" TargetMode="External"/><Relationship Id="rId134" Type="http://schemas.openxmlformats.org/officeDocument/2006/relationships/hyperlink" Target="https://www.loom.com/i/21a5db17148e43e1ad7b3264d21d56cd" TargetMode="External"/><Relationship Id="rId133" Type="http://schemas.openxmlformats.org/officeDocument/2006/relationships/hyperlink" Target="https://www.loom.com/i/87d5d30e6a0d4bfaaf5df3128ca238cd" TargetMode="External"/><Relationship Id="rId62" Type="http://schemas.openxmlformats.org/officeDocument/2006/relationships/hyperlink" Target="https://www.loom.com/share/bad4caeb20c64073b55dfe88e8dd3dc7" TargetMode="External"/><Relationship Id="rId61" Type="http://schemas.openxmlformats.org/officeDocument/2006/relationships/hyperlink" Target="https://www.loom.com/share/ccdc86ff4f684b80b7413253787ca8df" TargetMode="External"/><Relationship Id="rId64" Type="http://schemas.openxmlformats.org/officeDocument/2006/relationships/hyperlink" Target="https://www.loom.com/i/8352a6da1cda46c29316598af1c0e83f" TargetMode="External"/><Relationship Id="rId63" Type="http://schemas.openxmlformats.org/officeDocument/2006/relationships/hyperlink" Target="https://www.loom.com/i/5969a50519904960ac4cdd7e386c84bd" TargetMode="External"/><Relationship Id="rId66" Type="http://schemas.openxmlformats.org/officeDocument/2006/relationships/hyperlink" Target="https://www.loom.com/i/dae1d0d1d8954e04bb1aa2a9226c2452" TargetMode="External"/><Relationship Id="rId65" Type="http://schemas.openxmlformats.org/officeDocument/2006/relationships/hyperlink" Target="https://www.loom.com/i/c8d88adb160a4b54923abd27077bc0ea" TargetMode="External"/><Relationship Id="rId68" Type="http://schemas.openxmlformats.org/officeDocument/2006/relationships/hyperlink" Target="https://www.loom.com/share/f75e9662c33d499496e96647a351f15b" TargetMode="External"/><Relationship Id="rId67" Type="http://schemas.openxmlformats.org/officeDocument/2006/relationships/hyperlink" Target="https://www.loom.com/i/927d9b387b964e8b8bd9ec368004fb42" TargetMode="External"/><Relationship Id="rId60" Type="http://schemas.openxmlformats.org/officeDocument/2006/relationships/hyperlink" Target="https://www.loom.com/i/d9a8ebde62a24fa88e87d51901da9397" TargetMode="External"/><Relationship Id="rId69" Type="http://schemas.openxmlformats.org/officeDocument/2006/relationships/hyperlink" Target="https://www.loom.com/i/bb1afaf2795d400fb82c66f4781330ea" TargetMode="External"/><Relationship Id="rId51" Type="http://schemas.openxmlformats.org/officeDocument/2006/relationships/hyperlink" Target="https://www.loom.com/i/e6fb2d266b874b6f92bf27983fe03722" TargetMode="External"/><Relationship Id="rId50" Type="http://schemas.openxmlformats.org/officeDocument/2006/relationships/hyperlink" Target="https://www.loom.com/i/8f972c2c00f840f3a9241a2d4931592e" TargetMode="External"/><Relationship Id="rId53" Type="http://schemas.openxmlformats.org/officeDocument/2006/relationships/hyperlink" Target="https://www.loom.com/i/aef5df14c0b5480db573272b1dd693d9" TargetMode="External"/><Relationship Id="rId52" Type="http://schemas.openxmlformats.org/officeDocument/2006/relationships/hyperlink" Target="https://www.loom.com/i/3959031ca198497082f1a2d4e17be648" TargetMode="External"/><Relationship Id="rId55" Type="http://schemas.openxmlformats.org/officeDocument/2006/relationships/hyperlink" Target="https://www.loom.com/i/2140543c3a454da5ad22b97f637348c6" TargetMode="External"/><Relationship Id="rId54" Type="http://schemas.openxmlformats.org/officeDocument/2006/relationships/hyperlink" Target="https://www.loom.com/i/da829f531c194a189ad1b06751332106" TargetMode="External"/><Relationship Id="rId57" Type="http://schemas.openxmlformats.org/officeDocument/2006/relationships/hyperlink" Target="https://www.loom.com/share/1813107823a94ecf84cadf43cb4c6035" TargetMode="External"/><Relationship Id="rId56" Type="http://schemas.openxmlformats.org/officeDocument/2006/relationships/hyperlink" Target="https://www.loom.com/share/0ff02178b38247419bc35ff623b2dc8f" TargetMode="External"/><Relationship Id="rId59" Type="http://schemas.openxmlformats.org/officeDocument/2006/relationships/hyperlink" Target="https://www.loom.com/i/77441823919944959862bbffbf5f1bb9" TargetMode="External"/><Relationship Id="rId58" Type="http://schemas.openxmlformats.org/officeDocument/2006/relationships/hyperlink" Target="https://www.loom.com/i/b9aaa4ba83ce452196a852cf8b384f2e"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loom.com/share/001e7758bb234ecc9c5b95559bed99dd" TargetMode="External"/><Relationship Id="rId42" Type="http://schemas.openxmlformats.org/officeDocument/2006/relationships/hyperlink" Target="https://www.loom.com/i/a7755d4ca26b4aaa925bf929adc5be88" TargetMode="External"/><Relationship Id="rId41" Type="http://schemas.openxmlformats.org/officeDocument/2006/relationships/hyperlink" Target="https://www.loom.com/i/fe61783ab35f4e108e983ca195fd1193" TargetMode="External"/><Relationship Id="rId44" Type="http://schemas.openxmlformats.org/officeDocument/2006/relationships/hyperlink" Target="https://www.loom.com/share/79d3f4ba5dac48bebd916b3ed339dc65" TargetMode="External"/><Relationship Id="rId43" Type="http://schemas.openxmlformats.org/officeDocument/2006/relationships/hyperlink" Target="https://www.loom.com/share/2c3165897d7d4c8e81a0b240bb34d120" TargetMode="External"/><Relationship Id="rId46" Type="http://schemas.openxmlformats.org/officeDocument/2006/relationships/hyperlink" Target="https://www.loom.com/i/4ecb254288ce482aab68cd3a87932a9f" TargetMode="External"/><Relationship Id="rId45" Type="http://schemas.openxmlformats.org/officeDocument/2006/relationships/hyperlink" Target="https://www.loom.com/i/0ff9a5ca12644a08aa706156ce90616b" TargetMode="External"/><Relationship Id="rId48" Type="http://schemas.openxmlformats.org/officeDocument/2006/relationships/hyperlink" Target="https://www.loom.com/i/ae8cc23bbe3a42bfa78f20098c6fc65a" TargetMode="External"/><Relationship Id="rId47" Type="http://schemas.openxmlformats.org/officeDocument/2006/relationships/hyperlink" Target="https://www.loom.com/i/45710336484e492898caa259dc8ace90" TargetMode="External"/><Relationship Id="rId49" Type="http://schemas.openxmlformats.org/officeDocument/2006/relationships/hyperlink" Target="https://www.loom.com/i/f24e847425ba41a7845a09bbc3421eae" TargetMode="External"/><Relationship Id="rId31" Type="http://schemas.openxmlformats.org/officeDocument/2006/relationships/hyperlink" Target="https://www.loom.com/i/7b59151597464bdc9fab0998f92ab520" TargetMode="External"/><Relationship Id="rId30" Type="http://schemas.openxmlformats.org/officeDocument/2006/relationships/hyperlink" Target="https://www.loom.com/i/182c4dab9450449fb92eda1a36c73d2a" TargetMode="External"/><Relationship Id="rId33" Type="http://schemas.openxmlformats.org/officeDocument/2006/relationships/hyperlink" Target="https://www.loom.com/i/fe44fafb421d4c5196be4da9a4084431" TargetMode="External"/><Relationship Id="rId32" Type="http://schemas.openxmlformats.org/officeDocument/2006/relationships/hyperlink" Target="https://www.loom.com/i/812070c3a86b4f53baa7203406f22163" TargetMode="External"/><Relationship Id="rId35" Type="http://schemas.openxmlformats.org/officeDocument/2006/relationships/hyperlink" Target="https://www.loom.com/i/fa267c79766042ad8f236090f602634c" TargetMode="External"/><Relationship Id="rId34" Type="http://schemas.openxmlformats.org/officeDocument/2006/relationships/hyperlink" Target="https://www.loom.com/i/a75a7356576b4376947f8dc1d0377c90" TargetMode="External"/><Relationship Id="rId37" Type="http://schemas.openxmlformats.org/officeDocument/2006/relationships/hyperlink" Target="https://www.loom.com/i/b9694823de334b54b3729c813bde1120" TargetMode="External"/><Relationship Id="rId36" Type="http://schemas.openxmlformats.org/officeDocument/2006/relationships/hyperlink" Target="https://www.loom.com/i/32047c808e0944688915762bd38d9e45" TargetMode="External"/><Relationship Id="rId39" Type="http://schemas.openxmlformats.org/officeDocument/2006/relationships/hyperlink" Target="https://www.loom.com/i/5e6dff1bfb3c4a3996c171db221fcc74" TargetMode="External"/><Relationship Id="rId38" Type="http://schemas.openxmlformats.org/officeDocument/2006/relationships/hyperlink" Target="https://www.loom.com/share/3942b1a55a5e4d28b4aeb07b632545dc" TargetMode="External"/><Relationship Id="rId20" Type="http://schemas.openxmlformats.org/officeDocument/2006/relationships/hyperlink" Target="https://www.loom.com/i/47fbc335804b43069c94912e93f7702b" TargetMode="External"/><Relationship Id="rId22" Type="http://schemas.openxmlformats.org/officeDocument/2006/relationships/hyperlink" Target="https://www.loom.com/i/4c9b087ae68e45cc8266470a7ffeeef3" TargetMode="External"/><Relationship Id="rId21" Type="http://schemas.openxmlformats.org/officeDocument/2006/relationships/hyperlink" Target="https://www.loom.com/i/b763cc19ae664dddaf6eb02b27378ec5" TargetMode="External"/><Relationship Id="rId24" Type="http://schemas.openxmlformats.org/officeDocument/2006/relationships/hyperlink" Target="https://www.loom.com/i/ffeb59619f084c768c0a70dcfab731f5" TargetMode="External"/><Relationship Id="rId23" Type="http://schemas.openxmlformats.org/officeDocument/2006/relationships/hyperlink" Target="https://www.loom.com/i/0382d1eb779f497d80de6f9b4926d8c1" TargetMode="External"/><Relationship Id="rId26" Type="http://schemas.openxmlformats.org/officeDocument/2006/relationships/hyperlink" Target="https://www.loom.com/i/5ff7f628680e4550a058c25f91b8e58d" TargetMode="External"/><Relationship Id="rId25" Type="http://schemas.openxmlformats.org/officeDocument/2006/relationships/hyperlink" Target="https://www.loom.com/i/56f2a00b07e042cb82b3f90fddec8bd3" TargetMode="External"/><Relationship Id="rId28" Type="http://schemas.openxmlformats.org/officeDocument/2006/relationships/hyperlink" Target="https://www.loom.com/i/f2c06935ebac4f3bb27f762bf7b4441e" TargetMode="External"/><Relationship Id="rId27" Type="http://schemas.openxmlformats.org/officeDocument/2006/relationships/hyperlink" Target="https://www.loom.com/i/09c58f524e1343f89369d186dfd5f1e3" TargetMode="External"/><Relationship Id="rId29" Type="http://schemas.openxmlformats.org/officeDocument/2006/relationships/hyperlink" Target="https://www.loom.com/i/98603d40c9cc4e34922f256d7c004bb5" TargetMode="External"/><Relationship Id="rId11" Type="http://schemas.openxmlformats.org/officeDocument/2006/relationships/hyperlink" Target="https://www.loom.com/i/b4bfd9a7ec20430f9ce3a910c2459f62" TargetMode="External"/><Relationship Id="rId10" Type="http://schemas.openxmlformats.org/officeDocument/2006/relationships/hyperlink" Target="https://www.loom.com/share/9233a91f01474185879b2bc8fe67b67a" TargetMode="External"/><Relationship Id="rId13" Type="http://schemas.openxmlformats.org/officeDocument/2006/relationships/hyperlink" Target="https://www.loom.com/i/4cfd037008044c2b8130dce4582861b1" TargetMode="External"/><Relationship Id="rId12" Type="http://schemas.openxmlformats.org/officeDocument/2006/relationships/hyperlink" Target="https://www.loom.com/i/f43f3b8086e44a32b8cfc63861532677" TargetMode="External"/><Relationship Id="rId15" Type="http://schemas.openxmlformats.org/officeDocument/2006/relationships/hyperlink" Target="https://www.loom.com/share/7ebb6a8eba124d14a7982e709aebabf5" TargetMode="External"/><Relationship Id="rId14" Type="http://schemas.openxmlformats.org/officeDocument/2006/relationships/hyperlink" Target="https://www.loom.com/i/f7242b36f7e747fe9f2e26a581065b54" TargetMode="External"/><Relationship Id="rId17" Type="http://schemas.openxmlformats.org/officeDocument/2006/relationships/hyperlink" Target="https://www.loom.com/i/851da11be2e34f5798a9bf3bd460a785" TargetMode="External"/><Relationship Id="rId16" Type="http://schemas.openxmlformats.org/officeDocument/2006/relationships/hyperlink" Target="https://www.loom.com/i/9f6628bcf1eb428b941b2d641035bcaf" TargetMode="External"/><Relationship Id="rId19" Type="http://schemas.openxmlformats.org/officeDocument/2006/relationships/hyperlink" Target="https://www.loom.com/i/7f22cb56a24345839af3ee953b313651" TargetMode="External"/><Relationship Id="rId18" Type="http://schemas.openxmlformats.org/officeDocument/2006/relationships/hyperlink" Target="https://www.loom.com/i/ff8a2d7f78354ad4b3137415177fb97f" TargetMode="External"/><Relationship Id="rId1" Type="http://schemas.openxmlformats.org/officeDocument/2006/relationships/hyperlink" Target="https://www.loom.com/i/ce0f5b4506c54c1485193ac63386ac2a" TargetMode="External"/><Relationship Id="rId2" Type="http://schemas.openxmlformats.org/officeDocument/2006/relationships/hyperlink" Target="https://www.loom.com/i/2710ccd82d5140c3becbf753e4a1c986" TargetMode="External"/><Relationship Id="rId3" Type="http://schemas.openxmlformats.org/officeDocument/2006/relationships/hyperlink" Target="https://loom.com/i/d21c7dc820e74a57a85afc2947a714be" TargetMode="External"/><Relationship Id="rId4" Type="http://schemas.openxmlformats.org/officeDocument/2006/relationships/hyperlink" Target="https://www.loom.com/i/fb68b53ce98d4c41a4e73123e7f49fbd" TargetMode="External"/><Relationship Id="rId9" Type="http://schemas.openxmlformats.org/officeDocument/2006/relationships/hyperlink" Target="https://www.loom.com/share/b1dd03fac451491a8f344be5282e8de4" TargetMode="External"/><Relationship Id="rId5" Type="http://schemas.openxmlformats.org/officeDocument/2006/relationships/hyperlink" Target="https://www.loom.com/i/f7242b36f7e747fe9f2e26a581065b54" TargetMode="External"/><Relationship Id="rId6" Type="http://schemas.openxmlformats.org/officeDocument/2006/relationships/hyperlink" Target="https://www.loom.com/i/5e363939e5f9420abefb813cf5184527" TargetMode="External"/><Relationship Id="rId7" Type="http://schemas.openxmlformats.org/officeDocument/2006/relationships/hyperlink" Target="https://www.loom.com/i/5db587cfc97444a2bf6ed7928f2b2e23" TargetMode="External"/><Relationship Id="rId8" Type="http://schemas.openxmlformats.org/officeDocument/2006/relationships/hyperlink" Target="https://www.loom.com/i/82ec423a054e4608805ba95517ebba8b" TargetMode="External"/><Relationship Id="rId62" Type="http://schemas.openxmlformats.org/officeDocument/2006/relationships/hyperlink" Target="https://www.loom.com/share/5237b127a00f455283198e1559756ef9" TargetMode="External"/><Relationship Id="rId61" Type="http://schemas.openxmlformats.org/officeDocument/2006/relationships/hyperlink" Target="https://www.loom.com/i/ecb40e911c7f4c13b352f8be33f0ba41" TargetMode="External"/><Relationship Id="rId64" Type="http://schemas.openxmlformats.org/officeDocument/2006/relationships/hyperlink" Target="https://www.loom.com/i/3006560e6886487c8c22558a57c05e29" TargetMode="External"/><Relationship Id="rId63" Type="http://schemas.openxmlformats.org/officeDocument/2006/relationships/hyperlink" Target="https://www.loom.com/i/8188827e14e245a4a5ccdfb01a7d1d59" TargetMode="External"/><Relationship Id="rId66" Type="http://schemas.openxmlformats.org/officeDocument/2006/relationships/hyperlink" Target="https://www.loom.com/i/ffff4f6d4029441ba2e99b4814a9b303" TargetMode="External"/><Relationship Id="rId65" Type="http://schemas.openxmlformats.org/officeDocument/2006/relationships/hyperlink" Target="https://www.loom.com/i/43e3b358ed054d07b689ece878353499" TargetMode="External"/><Relationship Id="rId68" Type="http://schemas.openxmlformats.org/officeDocument/2006/relationships/drawing" Target="../drawings/drawing10.xml"/><Relationship Id="rId67" Type="http://schemas.openxmlformats.org/officeDocument/2006/relationships/hyperlink" Target="https://www.loom.com/i/067f53a15eff42268d736063769c8805" TargetMode="External"/><Relationship Id="rId60" Type="http://schemas.openxmlformats.org/officeDocument/2006/relationships/hyperlink" Target="https://www.loom.com/i/740f273ca5a748218e2126bcb67db36f" TargetMode="External"/><Relationship Id="rId51" Type="http://schemas.openxmlformats.org/officeDocument/2006/relationships/hyperlink" Target="https://www.loom.com/share/5eb1a725fad547c0a6c0da13eeeae05e" TargetMode="External"/><Relationship Id="rId50" Type="http://schemas.openxmlformats.org/officeDocument/2006/relationships/hyperlink" Target="https://www.loom.com/i/2ac85be982f24df5a2ed3828b57f0e28" TargetMode="External"/><Relationship Id="rId53" Type="http://schemas.openxmlformats.org/officeDocument/2006/relationships/hyperlink" Target="https://www.loom.com/i/d6e5ffee98e9405d895b5892e8d5bd32" TargetMode="External"/><Relationship Id="rId52" Type="http://schemas.openxmlformats.org/officeDocument/2006/relationships/hyperlink" Target="https://www.loom.com/i/11ccb33eaaa1480db1a32762b6cd9192" TargetMode="External"/><Relationship Id="rId55" Type="http://schemas.openxmlformats.org/officeDocument/2006/relationships/hyperlink" Target="https://www.loom.com/i/14940677d12b447b82eb7466de497619" TargetMode="External"/><Relationship Id="rId54" Type="http://schemas.openxmlformats.org/officeDocument/2006/relationships/hyperlink" Target="https://www.loom.com/share/88059e66fde94c09ab6b16ff8951444f" TargetMode="External"/><Relationship Id="rId57" Type="http://schemas.openxmlformats.org/officeDocument/2006/relationships/hyperlink" Target="https://www.loom.com/share/23ff13564c99469c88f3662e4680ea00" TargetMode="External"/><Relationship Id="rId56" Type="http://schemas.openxmlformats.org/officeDocument/2006/relationships/hyperlink" Target="https://www.loom.com/i/74f091501a3c49ed85d52c3b19662044" TargetMode="External"/><Relationship Id="rId59" Type="http://schemas.openxmlformats.org/officeDocument/2006/relationships/hyperlink" Target="https://www.loom.com/share/59ed2bf7cdaf4882b12b019681a5412c" TargetMode="External"/><Relationship Id="rId58" Type="http://schemas.openxmlformats.org/officeDocument/2006/relationships/hyperlink" Target="https://loom.com/i/d55654955090449e9f088f6bb7abe359"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loom.com/i/3d0e175d8bc940889f9671db8f11607c" TargetMode="External"/><Relationship Id="rId42" Type="http://schemas.openxmlformats.org/officeDocument/2006/relationships/hyperlink" Target="https://www.loom.com/i/7d5dd03071a3446b81bc8e1f2e42ff13" TargetMode="External"/><Relationship Id="rId41" Type="http://schemas.openxmlformats.org/officeDocument/2006/relationships/hyperlink" Target="https://www.loom.com/i/bf5a3bc1805441eda98a8a00558c8d5c" TargetMode="External"/><Relationship Id="rId44" Type="http://schemas.openxmlformats.org/officeDocument/2006/relationships/hyperlink" Target="https://www.loom.com/i/b6acc34740454010afcca94c27306081" TargetMode="External"/><Relationship Id="rId43" Type="http://schemas.openxmlformats.org/officeDocument/2006/relationships/hyperlink" Target="https://www.loom.com/share/0bb4e33fc96f44e587dcb4b4b509d682" TargetMode="External"/><Relationship Id="rId46" Type="http://schemas.openxmlformats.org/officeDocument/2006/relationships/hyperlink" Target="https://www.loom.com/i/3ede1f0f5db8486db622173e75b4ac1d" TargetMode="External"/><Relationship Id="rId45" Type="http://schemas.openxmlformats.org/officeDocument/2006/relationships/hyperlink" Target="https://www.loom.com/share/a54c2fb3b7f94e3a88e714d356920ea7" TargetMode="External"/><Relationship Id="rId107" Type="http://schemas.openxmlformats.org/officeDocument/2006/relationships/hyperlink" Target="https://www.loom.com/i/def3b75a9b1a47aa86520455d83472b4" TargetMode="External"/><Relationship Id="rId106" Type="http://schemas.openxmlformats.org/officeDocument/2006/relationships/hyperlink" Target="https://www.loom.com/i/f28f246587d34b11afdc71379e1e1bf3" TargetMode="External"/><Relationship Id="rId105" Type="http://schemas.openxmlformats.org/officeDocument/2006/relationships/hyperlink" Target="https://loom.com/i/7b390fc61cb74bb09b68f01b652137ef" TargetMode="External"/><Relationship Id="rId104" Type="http://schemas.openxmlformats.org/officeDocument/2006/relationships/hyperlink" Target="https://loom.com/i/c2b3480f05ca471fac28b0e4eb0c4875" TargetMode="External"/><Relationship Id="rId109" Type="http://schemas.openxmlformats.org/officeDocument/2006/relationships/hyperlink" Target="https://loom.com/i/d99da16497464bf69d4dd8087b710639" TargetMode="External"/><Relationship Id="rId108" Type="http://schemas.openxmlformats.org/officeDocument/2006/relationships/hyperlink" Target="https://www.loom.com/i/1acfb87e26cc48a0b1100504bb904bc5" TargetMode="External"/><Relationship Id="rId48" Type="http://schemas.openxmlformats.org/officeDocument/2006/relationships/hyperlink" Target="https://www.loom.com/i/dd09a26be50847a7a59fc44c5d59d932" TargetMode="External"/><Relationship Id="rId47" Type="http://schemas.openxmlformats.org/officeDocument/2006/relationships/hyperlink" Target="https://loom.com/i/fc95df927d7f42ddb77e4be96de5e28d" TargetMode="External"/><Relationship Id="rId49" Type="http://schemas.openxmlformats.org/officeDocument/2006/relationships/hyperlink" Target="https://www.loom.com/share/759746e86a104fba85527fb7ac263806" TargetMode="External"/><Relationship Id="rId103" Type="http://schemas.openxmlformats.org/officeDocument/2006/relationships/hyperlink" Target="https://www.loom.com/i/a0f31eb0640f415880bba42a88674ab9" TargetMode="External"/><Relationship Id="rId102" Type="http://schemas.openxmlformats.org/officeDocument/2006/relationships/hyperlink" Target="https://www.loom.com/i/5de83887328a405abd951657015dafd1" TargetMode="External"/><Relationship Id="rId101" Type="http://schemas.openxmlformats.org/officeDocument/2006/relationships/hyperlink" Target="https://www.loom.com/i/75dec64d98be4a15bb79a625d44beb33" TargetMode="External"/><Relationship Id="rId100" Type="http://schemas.openxmlformats.org/officeDocument/2006/relationships/hyperlink" Target="https://www.loom.com/share/0bea1a7e88374c909f1522c40049ab03" TargetMode="External"/><Relationship Id="rId31" Type="http://schemas.openxmlformats.org/officeDocument/2006/relationships/hyperlink" Target="https://www.loom.com/i/a8013e13ab7f4206a33a026469fce2b7" TargetMode="External"/><Relationship Id="rId30" Type="http://schemas.openxmlformats.org/officeDocument/2006/relationships/hyperlink" Target="https://www.loom.com/i/b20597f147864b6ab62f657cfffadc10" TargetMode="External"/><Relationship Id="rId33" Type="http://schemas.openxmlformats.org/officeDocument/2006/relationships/hyperlink" Target="https://www.loom.com/i/1b4b6675f90546449fb438881cec8a5a" TargetMode="External"/><Relationship Id="rId32" Type="http://schemas.openxmlformats.org/officeDocument/2006/relationships/hyperlink" Target="https://www.loom.com/i/a5a434a3dda74a6299020c2ad538d8d9" TargetMode="External"/><Relationship Id="rId182" Type="http://schemas.openxmlformats.org/officeDocument/2006/relationships/drawing" Target="../drawings/drawing11.xml"/><Relationship Id="rId35" Type="http://schemas.openxmlformats.org/officeDocument/2006/relationships/hyperlink" Target="https://www.loom.com/i/da2b3efb5f154e879798ca0b56835d9a" TargetMode="External"/><Relationship Id="rId181" Type="http://schemas.openxmlformats.org/officeDocument/2006/relationships/hyperlink" Target="https://www.loom.com/share/594b8431f653411a97d911fc3acfb340" TargetMode="External"/><Relationship Id="rId34" Type="http://schemas.openxmlformats.org/officeDocument/2006/relationships/hyperlink" Target="https://loom.com/i/3bf3442af92e4b479619b484b03f3fd8" TargetMode="External"/><Relationship Id="rId180" Type="http://schemas.openxmlformats.org/officeDocument/2006/relationships/hyperlink" Target="https://www.loom.com/i/577225b386744611b5197de7d6e9834c" TargetMode="External"/><Relationship Id="rId37" Type="http://schemas.openxmlformats.org/officeDocument/2006/relationships/hyperlink" Target="https://www.loom.com/i/a749bfbc87334c12a4b339fb7f3e88c8" TargetMode="External"/><Relationship Id="rId176" Type="http://schemas.openxmlformats.org/officeDocument/2006/relationships/hyperlink" Target="https://www.loom.com/i/e9949b676694488889c064d7dde5c8ba" TargetMode="External"/><Relationship Id="rId36" Type="http://schemas.openxmlformats.org/officeDocument/2006/relationships/hyperlink" Target="https://www.loom.com/i/2895b651d1e440bb86a11656d83319bc" TargetMode="External"/><Relationship Id="rId175" Type="http://schemas.openxmlformats.org/officeDocument/2006/relationships/hyperlink" Target="https://www.loom.com/i/33fca21953e94b9484d9cff0c6e8c00d" TargetMode="External"/><Relationship Id="rId39" Type="http://schemas.openxmlformats.org/officeDocument/2006/relationships/hyperlink" Target="https://www.loom.com/i/79b55267c9e2420bbc78abaae1efee65" TargetMode="External"/><Relationship Id="rId174" Type="http://schemas.openxmlformats.org/officeDocument/2006/relationships/hyperlink" Target="https://www.loom.com/share/b8a112bf39904bc6bfcfc5d3a789578f" TargetMode="External"/><Relationship Id="rId38" Type="http://schemas.openxmlformats.org/officeDocument/2006/relationships/hyperlink" Target="https://www.loom.com/share/4d3384536efd4d0bbecab9b7d9d32fdd" TargetMode="External"/><Relationship Id="rId173" Type="http://schemas.openxmlformats.org/officeDocument/2006/relationships/hyperlink" Target="https://loom.com/i/9253e5fb6265479cae58f64b65cfa2e9" TargetMode="External"/><Relationship Id="rId179" Type="http://schemas.openxmlformats.org/officeDocument/2006/relationships/hyperlink" Target="https://www.loom.com/share/4b022bc92aba4e3cb4d5a696b19e5dd2" TargetMode="External"/><Relationship Id="rId178" Type="http://schemas.openxmlformats.org/officeDocument/2006/relationships/hyperlink" Target="https://www.loom.com/share/60eaeb59747540109cfd5163db6475a4" TargetMode="External"/><Relationship Id="rId177" Type="http://schemas.openxmlformats.org/officeDocument/2006/relationships/hyperlink" Target="https://www.loom.com/share/bbdeed84a462411295df4f0600da81da" TargetMode="External"/><Relationship Id="rId20" Type="http://schemas.openxmlformats.org/officeDocument/2006/relationships/hyperlink" Target="https://www.loom.com/share/6c6d8ddaa76a42d1a1bbdc37bd2404d1" TargetMode="External"/><Relationship Id="rId22" Type="http://schemas.openxmlformats.org/officeDocument/2006/relationships/hyperlink" Target="https://www.loom.com/i/d922762ca06f4a508f7032d5f38bde68" TargetMode="External"/><Relationship Id="rId21" Type="http://schemas.openxmlformats.org/officeDocument/2006/relationships/hyperlink" Target="https://www.loom.com/i/72da5a83e15d488d8bdb1d9a19acf3c9" TargetMode="External"/><Relationship Id="rId24" Type="http://schemas.openxmlformats.org/officeDocument/2006/relationships/hyperlink" Target="https://loom.com/i/91c260723ec24fd1b5e6470eaf0a2837" TargetMode="External"/><Relationship Id="rId23" Type="http://schemas.openxmlformats.org/officeDocument/2006/relationships/hyperlink" Target="https://www.loom.com/i/90ee089da3f446ef93a062a961268da2" TargetMode="External"/><Relationship Id="rId129" Type="http://schemas.openxmlformats.org/officeDocument/2006/relationships/hyperlink" Target="https://www.loom.com/i/df54c70db697438b8059742165810cb5" TargetMode="External"/><Relationship Id="rId128" Type="http://schemas.openxmlformats.org/officeDocument/2006/relationships/hyperlink" Target="https://www.loom.com/i/7e7536cb2fef4994abeba536fbeaa00f" TargetMode="External"/><Relationship Id="rId127" Type="http://schemas.openxmlformats.org/officeDocument/2006/relationships/hyperlink" Target="https://www.loom.com/i/6f1f6f1fed8a4c688d93132e5043c005" TargetMode="External"/><Relationship Id="rId126" Type="http://schemas.openxmlformats.org/officeDocument/2006/relationships/hyperlink" Target="https://www.loom.com/i/0c0749c7c8df4a8b8d49349845ca46bf" TargetMode="External"/><Relationship Id="rId26" Type="http://schemas.openxmlformats.org/officeDocument/2006/relationships/hyperlink" Target="https://www.loom.com/i/b7a23c4058d1437da9f99aff8896c45f" TargetMode="External"/><Relationship Id="rId121" Type="http://schemas.openxmlformats.org/officeDocument/2006/relationships/hyperlink" Target="https://www.loom.com/i/16b428057a2840d2858515575b53979e" TargetMode="External"/><Relationship Id="rId25" Type="http://schemas.openxmlformats.org/officeDocument/2006/relationships/hyperlink" Target="https://www.loom.com/i/d5d7262522d148f6ae5ec77bd3a82599" TargetMode="External"/><Relationship Id="rId120" Type="http://schemas.openxmlformats.org/officeDocument/2006/relationships/hyperlink" Target="https://www.loom.com/i/e66580e7870144658094f00389bb97bb" TargetMode="External"/><Relationship Id="rId28" Type="http://schemas.openxmlformats.org/officeDocument/2006/relationships/hyperlink" Target="https://www.loom.com/i/599f2b5dc9e74f87935f235b6b5dec33" TargetMode="External"/><Relationship Id="rId27" Type="http://schemas.openxmlformats.org/officeDocument/2006/relationships/hyperlink" Target="https://www.loom.com/i/e13134e1070c4d72948f18c3c644b960" TargetMode="External"/><Relationship Id="rId125" Type="http://schemas.openxmlformats.org/officeDocument/2006/relationships/hyperlink" Target="https://loom.com/i/f48e7aacb7704b8b9cf1dce21f5e3f7f" TargetMode="External"/><Relationship Id="rId29" Type="http://schemas.openxmlformats.org/officeDocument/2006/relationships/hyperlink" Target="https://www.loom.com/i/2c308fe2c6ca4138bee3a0fa907acabd" TargetMode="External"/><Relationship Id="rId124" Type="http://schemas.openxmlformats.org/officeDocument/2006/relationships/hyperlink" Target="https://www.loom.com/i/adf980ca316e4a069efde75032724e5a" TargetMode="External"/><Relationship Id="rId123" Type="http://schemas.openxmlformats.org/officeDocument/2006/relationships/hyperlink" Target="https://www.loom.com/i/cbe2dd7d529443749fc31c9ee46b56bf" TargetMode="External"/><Relationship Id="rId122" Type="http://schemas.openxmlformats.org/officeDocument/2006/relationships/hyperlink" Target="https://www.loom.com/i/2007b812c28141309bb07b9e1be1ffae" TargetMode="External"/><Relationship Id="rId95" Type="http://schemas.openxmlformats.org/officeDocument/2006/relationships/hyperlink" Target="https://www.loom.com/i/89c27af4e84a40d4bedd36a73b21b083" TargetMode="External"/><Relationship Id="rId94" Type="http://schemas.openxmlformats.org/officeDocument/2006/relationships/hyperlink" Target="https://www.loom.com/i/176a4dddde8a4b2d934a14c0cc70cabb" TargetMode="External"/><Relationship Id="rId97" Type="http://schemas.openxmlformats.org/officeDocument/2006/relationships/hyperlink" Target="https://www.loom.com/share/f4ca0c8b238f4c6cab0fc47bf35bbd75" TargetMode="External"/><Relationship Id="rId96" Type="http://schemas.openxmlformats.org/officeDocument/2006/relationships/hyperlink" Target="https://www.loom.com/i/43e79d1afac2475e9029959b8a03b111" TargetMode="External"/><Relationship Id="rId11" Type="http://schemas.openxmlformats.org/officeDocument/2006/relationships/hyperlink" Target="https://www.loom.com/i/1a7afed79cb846bb8f324660dbcee2f6" TargetMode="External"/><Relationship Id="rId99" Type="http://schemas.openxmlformats.org/officeDocument/2006/relationships/hyperlink" Target="https://www.loom.com/i/6e7717945aad431cac2ae86baa7bc97c" TargetMode="External"/><Relationship Id="rId10" Type="http://schemas.openxmlformats.org/officeDocument/2006/relationships/hyperlink" Target="https://www.loom.com/share/01bea74e1cda439ab71eeae877c5520a" TargetMode="External"/><Relationship Id="rId98" Type="http://schemas.openxmlformats.org/officeDocument/2006/relationships/hyperlink" Target="https://www.loom.com/i/b1dd1aa0ae314e7f8bd8c4fdd55914b3" TargetMode="External"/><Relationship Id="rId13" Type="http://schemas.openxmlformats.org/officeDocument/2006/relationships/hyperlink" Target="https://www.loom.com/i/226d3f6f67ac480791f3c4e970bf9fd6" TargetMode="External"/><Relationship Id="rId12" Type="http://schemas.openxmlformats.org/officeDocument/2006/relationships/hyperlink" Target="https://www.loom.com/i/a9f8bc9fc387444380d11ca4b99f3306" TargetMode="External"/><Relationship Id="rId91" Type="http://schemas.openxmlformats.org/officeDocument/2006/relationships/hyperlink" Target="https://www.loom.com/i/9aa88144bf4c4e92b68538d48d6310c1" TargetMode="External"/><Relationship Id="rId90" Type="http://schemas.openxmlformats.org/officeDocument/2006/relationships/hyperlink" Target="https://www.loom.com/i/800da0b161784e67a2312fd38006ca2b" TargetMode="External"/><Relationship Id="rId93" Type="http://schemas.openxmlformats.org/officeDocument/2006/relationships/hyperlink" Target="https://www.loom.com/i/b197ddab5d2c40189805f3062207a468" TargetMode="External"/><Relationship Id="rId92" Type="http://schemas.openxmlformats.org/officeDocument/2006/relationships/hyperlink" Target="https://www.loom.com/i/b2797dbf58d4403ebb16c9ae16a814f9" TargetMode="External"/><Relationship Id="rId118" Type="http://schemas.openxmlformats.org/officeDocument/2006/relationships/hyperlink" Target="https://www.loom.com/i/2fc360a12b1440fd9302aa08174acd7d" TargetMode="External"/><Relationship Id="rId117" Type="http://schemas.openxmlformats.org/officeDocument/2006/relationships/hyperlink" Target="https://www.loom.com/i/659506f0c9ba489ba3587f165889b3d3" TargetMode="External"/><Relationship Id="rId116" Type="http://schemas.openxmlformats.org/officeDocument/2006/relationships/hyperlink" Target="https://www.loom.com/i/e9dfc3f49ce84eaaa9623dbfe64bfb7a" TargetMode="External"/><Relationship Id="rId115" Type="http://schemas.openxmlformats.org/officeDocument/2006/relationships/hyperlink" Target="https://www.loom.com/i/ac035b43c90646419e9bab5e92324513" TargetMode="External"/><Relationship Id="rId119" Type="http://schemas.openxmlformats.org/officeDocument/2006/relationships/hyperlink" Target="https://www.loom.com/i/9e3be3b562e640e18c36253c6c99ad3b" TargetMode="External"/><Relationship Id="rId15" Type="http://schemas.openxmlformats.org/officeDocument/2006/relationships/hyperlink" Target="https://www.loom.com/i/c3a63723df604d46a2f47352af02283e" TargetMode="External"/><Relationship Id="rId110" Type="http://schemas.openxmlformats.org/officeDocument/2006/relationships/hyperlink" Target="https://www.loom.com/i/41ce7e2ca408418eae121288d803cfc3" TargetMode="External"/><Relationship Id="rId14" Type="http://schemas.openxmlformats.org/officeDocument/2006/relationships/hyperlink" Target="https://www.loom.com/i/4ca870837a6a41cabd620f2c36646071" TargetMode="External"/><Relationship Id="rId17" Type="http://schemas.openxmlformats.org/officeDocument/2006/relationships/hyperlink" Target="https://www.loom.com/i/783233421ac84d4284a62aff1c53b93c" TargetMode="External"/><Relationship Id="rId16" Type="http://schemas.openxmlformats.org/officeDocument/2006/relationships/hyperlink" Target="https://www.loom.com/i/834243ac649b479abf089c0900b8fd03" TargetMode="External"/><Relationship Id="rId19" Type="http://schemas.openxmlformats.org/officeDocument/2006/relationships/hyperlink" Target="https://www.loom.com/share/6c6d8ddaa76a42d1a1bbdc37bd2404d1" TargetMode="External"/><Relationship Id="rId114" Type="http://schemas.openxmlformats.org/officeDocument/2006/relationships/hyperlink" Target="https://www.loom.com/i/e2f8cea5da1d4a7ab8bb84518f635a12" TargetMode="External"/><Relationship Id="rId18" Type="http://schemas.openxmlformats.org/officeDocument/2006/relationships/hyperlink" Target="https://www.loom.com/i/62614a17ace5415db491d1f79c860141" TargetMode="External"/><Relationship Id="rId113" Type="http://schemas.openxmlformats.org/officeDocument/2006/relationships/hyperlink" Target="https://www.loom.com/i/83841c1e988341ba9ff72de3b76949a2" TargetMode="External"/><Relationship Id="rId112" Type="http://schemas.openxmlformats.org/officeDocument/2006/relationships/hyperlink" Target="https://www.loom.com/i/f147fb5581b84671b985d57e4c220589" TargetMode="External"/><Relationship Id="rId111" Type="http://schemas.openxmlformats.org/officeDocument/2006/relationships/hyperlink" Target="https://www.loom.com/i/5ec375ae95a740bfb0fca0956d831af1" TargetMode="External"/><Relationship Id="rId84" Type="http://schemas.openxmlformats.org/officeDocument/2006/relationships/hyperlink" Target="https://www.loom.com/i/fbac3f99cf134cb5b447000125bc5327" TargetMode="External"/><Relationship Id="rId83" Type="http://schemas.openxmlformats.org/officeDocument/2006/relationships/hyperlink" Target="https://www.loom.com/i/e52297f42d824d6982bccd03af871ea4" TargetMode="External"/><Relationship Id="rId86" Type="http://schemas.openxmlformats.org/officeDocument/2006/relationships/hyperlink" Target="https://www.loom.com/i/c431e98e07c44dceab4d0a6155ec4155" TargetMode="External"/><Relationship Id="rId85" Type="http://schemas.openxmlformats.org/officeDocument/2006/relationships/hyperlink" Target="https://www.loom.com/i/91bd58c986d4426ab9ca6142fba101a5" TargetMode="External"/><Relationship Id="rId88" Type="http://schemas.openxmlformats.org/officeDocument/2006/relationships/hyperlink" Target="https://www.loom.com/i/57e9c088d01c443eb6c98aab1eb5dd10" TargetMode="External"/><Relationship Id="rId150" Type="http://schemas.openxmlformats.org/officeDocument/2006/relationships/hyperlink" Target="https://www.loom.com/i/f3b7db87c440464f9a45f4e12fba06b1" TargetMode="External"/><Relationship Id="rId87" Type="http://schemas.openxmlformats.org/officeDocument/2006/relationships/hyperlink" Target="https://www.loom.com/i/4082cfefb27645df8684bc00534d1137" TargetMode="External"/><Relationship Id="rId89" Type="http://schemas.openxmlformats.org/officeDocument/2006/relationships/hyperlink" Target="https://www.loom.com/i/351334bfcb0d4c9c869542b745ca02d3" TargetMode="External"/><Relationship Id="rId80" Type="http://schemas.openxmlformats.org/officeDocument/2006/relationships/hyperlink" Target="https://www.loom.com/i/bcd113c017c244138bcf64461c8e913b" TargetMode="External"/><Relationship Id="rId82" Type="http://schemas.openxmlformats.org/officeDocument/2006/relationships/hyperlink" Target="https://www.loom.com/i/dd5666e2bd494e55bf154e7e827b2778" TargetMode="External"/><Relationship Id="rId81" Type="http://schemas.openxmlformats.org/officeDocument/2006/relationships/hyperlink" Target="https://www.loom.com/share/96d2651f27aa491eb93dd313d1ed387d" TargetMode="External"/><Relationship Id="rId1" Type="http://schemas.openxmlformats.org/officeDocument/2006/relationships/hyperlink" Target="https://www.loom.com/i/dc6de221e9de4b4ab2203827c60b8f64" TargetMode="External"/><Relationship Id="rId2" Type="http://schemas.openxmlformats.org/officeDocument/2006/relationships/hyperlink" Target="https://www.loom.com/i/39fff6de6e984896b6669ca420f84d7d" TargetMode="External"/><Relationship Id="rId3" Type="http://schemas.openxmlformats.org/officeDocument/2006/relationships/hyperlink" Target="https://www.loom.com/i/70d8e06fe799462889efbf308652abc2" TargetMode="External"/><Relationship Id="rId149" Type="http://schemas.openxmlformats.org/officeDocument/2006/relationships/hyperlink" Target="https://www.loom.com/i/b736f9387be44a768cc9ed881a940752" TargetMode="External"/><Relationship Id="rId4" Type="http://schemas.openxmlformats.org/officeDocument/2006/relationships/hyperlink" Target="https://www.loom.com/i/5f6d412518c54d0ea1bba6f5d1e30960" TargetMode="External"/><Relationship Id="rId148" Type="http://schemas.openxmlformats.org/officeDocument/2006/relationships/hyperlink" Target="https://www.loom.com/i/a8816c9c7f4e4c7f8c0feab64dfaa446" TargetMode="External"/><Relationship Id="rId9" Type="http://schemas.openxmlformats.org/officeDocument/2006/relationships/hyperlink" Target="https://www.loom.com/i/fd847789dafe4bebac76369015d02a71" TargetMode="External"/><Relationship Id="rId143" Type="http://schemas.openxmlformats.org/officeDocument/2006/relationships/hyperlink" Target="https://www.loom.com/i/19dd07b5d3f14d67a6c08ecd43dc0a92" TargetMode="External"/><Relationship Id="rId142" Type="http://schemas.openxmlformats.org/officeDocument/2006/relationships/hyperlink" Target="https://www.loom.com/share/c9caae2f9fe7474fac5bfe4d53dd8601" TargetMode="External"/><Relationship Id="rId141" Type="http://schemas.openxmlformats.org/officeDocument/2006/relationships/hyperlink" Target="https://www.loom.com/i/a1dc9994bd6842448d6023c116e7e013" TargetMode="External"/><Relationship Id="rId140" Type="http://schemas.openxmlformats.org/officeDocument/2006/relationships/hyperlink" Target="https://www.loom.com/i/c67d4507e6d44edd98bf44a3fc64f632" TargetMode="External"/><Relationship Id="rId5" Type="http://schemas.openxmlformats.org/officeDocument/2006/relationships/hyperlink" Target="https://www.loom.com/i/4c6dea5f804f4135802743523bd700ba" TargetMode="External"/><Relationship Id="rId147" Type="http://schemas.openxmlformats.org/officeDocument/2006/relationships/hyperlink" Target="https://www.loom.com/i/cbba9b663dae467da76021b191db68c4" TargetMode="External"/><Relationship Id="rId6" Type="http://schemas.openxmlformats.org/officeDocument/2006/relationships/hyperlink" Target="https://www.loom.com/i/6ac549b4b46e41f88055846f175096b8" TargetMode="External"/><Relationship Id="rId146" Type="http://schemas.openxmlformats.org/officeDocument/2006/relationships/hyperlink" Target="https://www.loom.com/i/eb89ef870f854c359295f0a896c475c8" TargetMode="External"/><Relationship Id="rId7" Type="http://schemas.openxmlformats.org/officeDocument/2006/relationships/hyperlink" Target="https://www.loom.com/i/9d0370c994a2426a98ee6f81a001a000" TargetMode="External"/><Relationship Id="rId145" Type="http://schemas.openxmlformats.org/officeDocument/2006/relationships/hyperlink" Target="https://www.loom.com/i/6cd5ae3b8518464f9b67d9e7c061b409" TargetMode="External"/><Relationship Id="rId8" Type="http://schemas.openxmlformats.org/officeDocument/2006/relationships/hyperlink" Target="https://www.loom.com/i/d80c7a00c260403ca44c7f3a047fd75e" TargetMode="External"/><Relationship Id="rId144" Type="http://schemas.openxmlformats.org/officeDocument/2006/relationships/hyperlink" Target="https://www.loom.com/i/c00e393650454c8a972d45e9682b7e60" TargetMode="External"/><Relationship Id="rId73" Type="http://schemas.openxmlformats.org/officeDocument/2006/relationships/hyperlink" Target="https://www.loom.com/i/22fc14694e56460ea20e71fe027ad8d1" TargetMode="External"/><Relationship Id="rId72" Type="http://schemas.openxmlformats.org/officeDocument/2006/relationships/hyperlink" Target="https://www.loom.com/i/da4ffac6a7dd4028a8393b85a0c9a77c" TargetMode="External"/><Relationship Id="rId75" Type="http://schemas.openxmlformats.org/officeDocument/2006/relationships/hyperlink" Target="https://www.loom.com/i/f18b1976ed76438aa7827ad33409c0ce" TargetMode="External"/><Relationship Id="rId74" Type="http://schemas.openxmlformats.org/officeDocument/2006/relationships/hyperlink" Target="https://www.loom.com/i/9bd0cf0ebfad477eb8812e6af53e1cc9" TargetMode="External"/><Relationship Id="rId77" Type="http://schemas.openxmlformats.org/officeDocument/2006/relationships/hyperlink" Target="https://www.loom.com/i/08b32296e8fe404593397329db0176a9" TargetMode="External"/><Relationship Id="rId76" Type="http://schemas.openxmlformats.org/officeDocument/2006/relationships/hyperlink" Target="https://www.loom.com/i/11b212d5a54f4497a5154a0d9d3a5746" TargetMode="External"/><Relationship Id="rId79" Type="http://schemas.openxmlformats.org/officeDocument/2006/relationships/hyperlink" Target="https://www.loom.com/share/08d61d24bc474ed3a7490e9d11060259" TargetMode="External"/><Relationship Id="rId78" Type="http://schemas.openxmlformats.org/officeDocument/2006/relationships/hyperlink" Target="https://www.loom.com/share/08d61d24bc474ed3a7490e9d11060259" TargetMode="External"/><Relationship Id="rId71" Type="http://schemas.openxmlformats.org/officeDocument/2006/relationships/hyperlink" Target="https://www.loom.com/share/f52c5c5d827e4357b4ac7c2c8e757c4a" TargetMode="External"/><Relationship Id="rId70" Type="http://schemas.openxmlformats.org/officeDocument/2006/relationships/hyperlink" Target="https://www.loom.com/share/15fd10fc7a74437d8dacd06c7d083693" TargetMode="External"/><Relationship Id="rId139" Type="http://schemas.openxmlformats.org/officeDocument/2006/relationships/hyperlink" Target="https://www.loom.com/i/4873a435444a4614b65e5c77a58565a9" TargetMode="External"/><Relationship Id="rId138" Type="http://schemas.openxmlformats.org/officeDocument/2006/relationships/hyperlink" Target="https://www.loom.com/i/2d5d28d071fc438f864dd2ff3813b70d" TargetMode="External"/><Relationship Id="rId137" Type="http://schemas.openxmlformats.org/officeDocument/2006/relationships/hyperlink" Target="https://www.loom.com/i/9266cf82462e4a7dba4f5f68079ff61d" TargetMode="External"/><Relationship Id="rId132" Type="http://schemas.openxmlformats.org/officeDocument/2006/relationships/hyperlink" Target="https://www.loom.com/i/c43bd819dc4441a0a763697e5216d0d2" TargetMode="External"/><Relationship Id="rId131" Type="http://schemas.openxmlformats.org/officeDocument/2006/relationships/hyperlink" Target="https://www.loom.com/i/c286f31df1244a49b12208dc7cd44808" TargetMode="External"/><Relationship Id="rId130" Type="http://schemas.openxmlformats.org/officeDocument/2006/relationships/hyperlink" Target="https://www.loom.com/i/0b2117d61f714940888b09e4ae6c4b33" TargetMode="External"/><Relationship Id="rId136" Type="http://schemas.openxmlformats.org/officeDocument/2006/relationships/hyperlink" Target="https://www.loom.com/i/bd189aac7be54a8e87142ae19d1491cf" TargetMode="External"/><Relationship Id="rId135" Type="http://schemas.openxmlformats.org/officeDocument/2006/relationships/hyperlink" Target="https://www.loom.com/i/0488610ab220496f8a4617dedc24e73f" TargetMode="External"/><Relationship Id="rId134" Type="http://schemas.openxmlformats.org/officeDocument/2006/relationships/hyperlink" Target="https://www.loom.com/i/6b1366eb20e7499983bff24782a59c32" TargetMode="External"/><Relationship Id="rId133" Type="http://schemas.openxmlformats.org/officeDocument/2006/relationships/hyperlink" Target="https://loom.com/i/6339c541b28942049f2af56d82110457" TargetMode="External"/><Relationship Id="rId62" Type="http://schemas.openxmlformats.org/officeDocument/2006/relationships/hyperlink" Target="https://www.loom.com/share/4bff73722cf64804b753042fbf0b4462" TargetMode="External"/><Relationship Id="rId61" Type="http://schemas.openxmlformats.org/officeDocument/2006/relationships/hyperlink" Target="https://www.loom.com/i/fb26f1cc71f245a6832bd08ba185564f" TargetMode="External"/><Relationship Id="rId64" Type="http://schemas.openxmlformats.org/officeDocument/2006/relationships/hyperlink" Target="https://www.loom.com/share/c0643edab463447fa6d13ef443a64f87" TargetMode="External"/><Relationship Id="rId63" Type="http://schemas.openxmlformats.org/officeDocument/2006/relationships/hyperlink" Target="https://www.loom.com/share/7920d2cf29c2440ca816a4e310b2b6af" TargetMode="External"/><Relationship Id="rId66" Type="http://schemas.openxmlformats.org/officeDocument/2006/relationships/hyperlink" Target="https://www.loom.com/i/dd114f54b96545a9ad4aedca6af2536d" TargetMode="External"/><Relationship Id="rId172" Type="http://schemas.openxmlformats.org/officeDocument/2006/relationships/hyperlink" Target="https://www.loom.com/i/f857ce59d0fc4a8faea3973a91fa3800" TargetMode="External"/><Relationship Id="rId65" Type="http://schemas.openxmlformats.org/officeDocument/2006/relationships/hyperlink" Target="https://www.loom.com/share/e204f9f9d7de4cd58a14a6d5a86673db" TargetMode="External"/><Relationship Id="rId171" Type="http://schemas.openxmlformats.org/officeDocument/2006/relationships/hyperlink" Target="https://www.loom.com/i/46adf2def24e40bab1c424eeb9671a7f" TargetMode="External"/><Relationship Id="rId68" Type="http://schemas.openxmlformats.org/officeDocument/2006/relationships/hyperlink" Target="https://www.loom.com/i/75208dc218464586bd3fed706166e4cd" TargetMode="External"/><Relationship Id="rId170" Type="http://schemas.openxmlformats.org/officeDocument/2006/relationships/hyperlink" Target="https://www.loom.com/i/de1d3db0242a46a58a76d342bf4d6748" TargetMode="External"/><Relationship Id="rId67" Type="http://schemas.openxmlformats.org/officeDocument/2006/relationships/hyperlink" Target="https://www.loom.com/share/687b0315fe3f4f1e8c15a1ecf1b5105f" TargetMode="External"/><Relationship Id="rId60" Type="http://schemas.openxmlformats.org/officeDocument/2006/relationships/hyperlink" Target="https://www.loom.com/i/80b19d3b71d84e8ca16e63d5ef1a619e" TargetMode="External"/><Relationship Id="rId165" Type="http://schemas.openxmlformats.org/officeDocument/2006/relationships/hyperlink" Target="https://www.loom.com/i/b68000d7b82140328abe4f552fcc3201" TargetMode="External"/><Relationship Id="rId69" Type="http://schemas.openxmlformats.org/officeDocument/2006/relationships/hyperlink" Target="https://www.loom.com/share/d13d54a97fd5499d8eca513a629b9253" TargetMode="External"/><Relationship Id="rId164" Type="http://schemas.openxmlformats.org/officeDocument/2006/relationships/hyperlink" Target="https://www.loom.com/i/2dc1a2e71d46404782c0d13e9c439869" TargetMode="External"/><Relationship Id="rId163" Type="http://schemas.openxmlformats.org/officeDocument/2006/relationships/hyperlink" Target="https://www.loom.com/i/b1adf14867c9438c950e19f681696d6d" TargetMode="External"/><Relationship Id="rId162" Type="http://schemas.openxmlformats.org/officeDocument/2006/relationships/hyperlink" Target="https://www.loom.com/i/d1353c9d24fd462eb13428573fbe6226" TargetMode="External"/><Relationship Id="rId169" Type="http://schemas.openxmlformats.org/officeDocument/2006/relationships/hyperlink" Target="https://www.loom.com/i/2bb955640a0f412c8606c686d8ba6aec" TargetMode="External"/><Relationship Id="rId168" Type="http://schemas.openxmlformats.org/officeDocument/2006/relationships/hyperlink" Target="https://www.loom.com/i/771b66983c1b4a1592102f9a243e6987" TargetMode="External"/><Relationship Id="rId167" Type="http://schemas.openxmlformats.org/officeDocument/2006/relationships/hyperlink" Target="https://www.loom.com/i/f64d5af0b7e04b5ab7235851cb7f93a6" TargetMode="External"/><Relationship Id="rId166" Type="http://schemas.openxmlformats.org/officeDocument/2006/relationships/hyperlink" Target="https://www.loom.com/i/18b06fc9e3bf4c6e95990fa86e26e3b6" TargetMode="External"/><Relationship Id="rId51" Type="http://schemas.openxmlformats.org/officeDocument/2006/relationships/hyperlink" Target="https://www.loom.com/i/8ce3268531194f7180e6fdce7b4e3d18" TargetMode="External"/><Relationship Id="rId50" Type="http://schemas.openxmlformats.org/officeDocument/2006/relationships/hyperlink" Target="https://www.loom.com/i/de018ab84bd24797a20c7e621b3f1753" TargetMode="External"/><Relationship Id="rId53" Type="http://schemas.openxmlformats.org/officeDocument/2006/relationships/hyperlink" Target="https://www.loom.com/i/81fff0d7160847ba91324a88c27557a6" TargetMode="External"/><Relationship Id="rId52" Type="http://schemas.openxmlformats.org/officeDocument/2006/relationships/hyperlink" Target="https://www.loom.com/i/6c0fb8588e03499abc0e9e3bb2a9e5f0" TargetMode="External"/><Relationship Id="rId55" Type="http://schemas.openxmlformats.org/officeDocument/2006/relationships/hyperlink" Target="https://www.loom.com/i/f2cb47a339e4478681162a35be18f02f" TargetMode="External"/><Relationship Id="rId161" Type="http://schemas.openxmlformats.org/officeDocument/2006/relationships/hyperlink" Target="https://www.loom.com/i/4c81096836534fb7bd5c264a61e3659e" TargetMode="External"/><Relationship Id="rId54" Type="http://schemas.openxmlformats.org/officeDocument/2006/relationships/hyperlink" Target="https://www.loom.com/i/65cbd352ceab4cabb0c7fa7e95a44ae9" TargetMode="External"/><Relationship Id="rId160" Type="http://schemas.openxmlformats.org/officeDocument/2006/relationships/hyperlink" Target="https://www.loom.com/i/df9e5be33f6446c5b7a6c4ea278d8b10" TargetMode="External"/><Relationship Id="rId57" Type="http://schemas.openxmlformats.org/officeDocument/2006/relationships/hyperlink" Target="https://www.loom.com/i/50b697e835cc43ef8be31ba4c59493a1" TargetMode="External"/><Relationship Id="rId56" Type="http://schemas.openxmlformats.org/officeDocument/2006/relationships/hyperlink" Target="https://www.loom.com/i/bf0bdddef77745f885be9fd9be3b7926" TargetMode="External"/><Relationship Id="rId159" Type="http://schemas.openxmlformats.org/officeDocument/2006/relationships/hyperlink" Target="https://www.loom.com/i/bce9bfe66cb04b1f9f3a7be980809c6b" TargetMode="External"/><Relationship Id="rId59" Type="http://schemas.openxmlformats.org/officeDocument/2006/relationships/hyperlink" Target="https://www.loom.com/i/d749f664749e4456ba5f96371ba741ff" TargetMode="External"/><Relationship Id="rId154" Type="http://schemas.openxmlformats.org/officeDocument/2006/relationships/hyperlink" Target="https://www.loom.com/share/ad81b4386ca64a7aa78ab0c9d669b419" TargetMode="External"/><Relationship Id="rId58" Type="http://schemas.openxmlformats.org/officeDocument/2006/relationships/hyperlink" Target="https://loom.com/i/1fb5cf957b224567a6f6774bf70557ab" TargetMode="External"/><Relationship Id="rId153" Type="http://schemas.openxmlformats.org/officeDocument/2006/relationships/hyperlink" Target="https://www.loom.com/i/79aa724006164e438e4253c77090d3fa" TargetMode="External"/><Relationship Id="rId152" Type="http://schemas.openxmlformats.org/officeDocument/2006/relationships/hyperlink" Target="https://www.loom.com/i/76229402b00c4cc7b0c672180e7a93aa" TargetMode="External"/><Relationship Id="rId151" Type="http://schemas.openxmlformats.org/officeDocument/2006/relationships/hyperlink" Target="https://loom.com/i/4d80276ac90441358166946168934370" TargetMode="External"/><Relationship Id="rId158" Type="http://schemas.openxmlformats.org/officeDocument/2006/relationships/hyperlink" Target="https://www.loom.com/i/e2db4633c3ca45c79ad2f6f62e6a964d" TargetMode="External"/><Relationship Id="rId157" Type="http://schemas.openxmlformats.org/officeDocument/2006/relationships/hyperlink" Target="https://www.loom.com/i/be8bc6f4b9ac42acb8666343d840c596" TargetMode="External"/><Relationship Id="rId156" Type="http://schemas.openxmlformats.org/officeDocument/2006/relationships/hyperlink" Target="https://www.loom.com/share/5ee96fffca1e431682751680b5eb9a6d" TargetMode="External"/><Relationship Id="rId155" Type="http://schemas.openxmlformats.org/officeDocument/2006/relationships/hyperlink" Target="https://www.loom.com/share/db9ed6eaf24c4c26b388c3a42fa85851"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loom.com/i/871d8a6002714fba92dbcfe97d881988" TargetMode="External"/><Relationship Id="rId42" Type="http://schemas.openxmlformats.org/officeDocument/2006/relationships/hyperlink" Target="https://www.loom.com/i/3b69d15a78f3450d87a10ed8796fa993" TargetMode="External"/><Relationship Id="rId41" Type="http://schemas.openxmlformats.org/officeDocument/2006/relationships/hyperlink" Target="https://www.loom.com/share/14be5ec52cf54bfc9be17212a7023fc5" TargetMode="External"/><Relationship Id="rId44" Type="http://schemas.openxmlformats.org/officeDocument/2006/relationships/hyperlink" Target="https://www.loom.com/i/81ddb2f3f5524e6c98d37981b5c59d91" TargetMode="External"/><Relationship Id="rId43" Type="http://schemas.openxmlformats.org/officeDocument/2006/relationships/hyperlink" Target="https://www.loom.com/i/41b0727a81294f05bef292fca4bf424d" TargetMode="External"/><Relationship Id="rId46" Type="http://schemas.openxmlformats.org/officeDocument/2006/relationships/hyperlink" Target="https://www.loom.com/i/5d340fb647d34cbbbcf8a3fbbd50782b" TargetMode="External"/><Relationship Id="rId45" Type="http://schemas.openxmlformats.org/officeDocument/2006/relationships/hyperlink" Target="https://www.loom.com/share/789bf132cca64b699aac9824398b6a53" TargetMode="External"/><Relationship Id="rId48" Type="http://schemas.openxmlformats.org/officeDocument/2006/relationships/hyperlink" Target="https://www.loom.com/i/4f078a37557e4e4f96e661195bbd6a2e" TargetMode="External"/><Relationship Id="rId47" Type="http://schemas.openxmlformats.org/officeDocument/2006/relationships/hyperlink" Target="https://sbifo-pvt.sbicard.com/html/en/personal/credit-cards/sbi-card-miles-elite.html" TargetMode="External"/><Relationship Id="rId49" Type="http://schemas.openxmlformats.org/officeDocument/2006/relationships/hyperlink" Target="https://www.loom.com/share/ff46c7a3f0d94c06b269ae43cb6d8409" TargetMode="External"/><Relationship Id="rId31" Type="http://schemas.openxmlformats.org/officeDocument/2006/relationships/hyperlink" Target="https://sbi-devsit1.sbicard.com/en/who-we-are/about-us.page" TargetMode="External"/><Relationship Id="rId30" Type="http://schemas.openxmlformats.org/officeDocument/2006/relationships/hyperlink" Target="https://www.loom.com/i/91b619a6cb2342c6ad3a33f2b1e0c81d" TargetMode="External"/><Relationship Id="rId33" Type="http://schemas.openxmlformats.org/officeDocument/2006/relationships/hyperlink" Target="https://sbi-devsit1.sbicard.com/en/do-not-disturb.page" TargetMode="External"/><Relationship Id="rId32" Type="http://schemas.openxmlformats.org/officeDocument/2006/relationships/hyperlink" Target="https://www.loom.com/i/267ce1b979ef4721ac4af875fc323470" TargetMode="External"/><Relationship Id="rId35" Type="http://schemas.openxmlformats.org/officeDocument/2006/relationships/hyperlink" Target="https://sbi-devsit1.sbicard.com/en/personal/benefits.page" TargetMode="External"/><Relationship Id="rId34" Type="http://schemas.openxmlformats.org/officeDocument/2006/relationships/hyperlink" Target="https://www.loom.com/i/e0f4607538534ddca1aff1f1243f8ab6" TargetMode="External"/><Relationship Id="rId37" Type="http://schemas.openxmlformats.org/officeDocument/2006/relationships/hyperlink" Target="https://sbi-devsit1.sbicard.com/en/who-we-are/about-us.page" TargetMode="External"/><Relationship Id="rId36" Type="http://schemas.openxmlformats.org/officeDocument/2006/relationships/hyperlink" Target="https://www.loom.com/i/8f583dd8578e4f21a39a9f4c234eec22" TargetMode="External"/><Relationship Id="rId39" Type="http://schemas.openxmlformats.org/officeDocument/2006/relationships/hyperlink" Target="https://sbi-devsit1.sbicard.com/en/do-not-disturb.page" TargetMode="External"/><Relationship Id="rId38" Type="http://schemas.openxmlformats.org/officeDocument/2006/relationships/hyperlink" Target="https://www.loom.com/i/ef1319fd97c242cbae064cfbbec32da4" TargetMode="External"/><Relationship Id="rId20" Type="http://schemas.openxmlformats.org/officeDocument/2006/relationships/hyperlink" Target="https://www.loom.com/share/10df6176adf4477f8acfda1f30a3c7cf" TargetMode="External"/><Relationship Id="rId22" Type="http://schemas.openxmlformats.org/officeDocument/2006/relationships/hyperlink" Target="https://www.loom.com/i/4d735842f8dd4262bbdc3a65808f02d6" TargetMode="External"/><Relationship Id="rId21" Type="http://schemas.openxmlformats.org/officeDocument/2006/relationships/hyperlink" Target="https://www.loom.com/i/a7e93358b65d402ba4a25ed8d607f0a4" TargetMode="External"/><Relationship Id="rId24" Type="http://schemas.openxmlformats.org/officeDocument/2006/relationships/hyperlink" Target="https://www.loom.com/i/51acabb27a034ffcbe713e4248313956" TargetMode="External"/><Relationship Id="rId23" Type="http://schemas.openxmlformats.org/officeDocument/2006/relationships/hyperlink" Target="https://www.loom.com/i/aa84c333aaa04b559ccd572223ed60d8" TargetMode="External"/><Relationship Id="rId26" Type="http://schemas.openxmlformats.org/officeDocument/2006/relationships/hyperlink" Target="https://sbi-devsit1.sbicard.com/html/en/personal/credit-cards/phonepe-sbi-card-select-black.html" TargetMode="External"/><Relationship Id="rId25" Type="http://schemas.openxmlformats.org/officeDocument/2006/relationships/hyperlink" Target="https://www.loom.com/i/3b26990df0824d078a1794931f01d640" TargetMode="External"/><Relationship Id="rId28" Type="http://schemas.openxmlformats.org/officeDocument/2006/relationships/hyperlink" Target="https://www.loom.com/share/a59b44bd18f14461b7d5402946fa0620" TargetMode="External"/><Relationship Id="rId27" Type="http://schemas.openxmlformats.org/officeDocument/2006/relationships/hyperlink" Target="https://www.loom.com/share/69288b6753cb4b739221fefa046a80c5" TargetMode="External"/><Relationship Id="rId29" Type="http://schemas.openxmlformats.org/officeDocument/2006/relationships/hyperlink" Target="https://sbi-devsit1.sbicard.com/en/personal/benefits.page" TargetMode="External"/><Relationship Id="rId11" Type="http://schemas.openxmlformats.org/officeDocument/2006/relationships/hyperlink" Target="https://www.loom.com/i/cf551ea294ee4b55a8d18cf8edf42b81" TargetMode="External"/><Relationship Id="rId10" Type="http://schemas.openxmlformats.org/officeDocument/2006/relationships/hyperlink" Target="https://www.loom.com/share/e8ced555ab5340859d3aff68e1839cb4" TargetMode="External"/><Relationship Id="rId13" Type="http://schemas.openxmlformats.org/officeDocument/2006/relationships/hyperlink" Target="https://www.loom.com/share/2bb66231480847228aa6b2f8feb80dfb" TargetMode="External"/><Relationship Id="rId12" Type="http://schemas.openxmlformats.org/officeDocument/2006/relationships/hyperlink" Target="https://www.loom.com/i/ff2f114bf7a448a5a3ff14c1e4277a28" TargetMode="External"/><Relationship Id="rId15" Type="http://schemas.openxmlformats.org/officeDocument/2006/relationships/hyperlink" Target="https://www.loom.com/share/1f657ea4933f4df88ac807e895e964db" TargetMode="External"/><Relationship Id="rId14" Type="http://schemas.openxmlformats.org/officeDocument/2006/relationships/hyperlink" Target="https://www.loom.com/i/7a8267c9357d42b69461fa3b2061eac7" TargetMode="External"/><Relationship Id="rId17" Type="http://schemas.openxmlformats.org/officeDocument/2006/relationships/hyperlink" Target="https://www.loom.com/i/a7e93358b65d402ba4a25ed8d607f0a4" TargetMode="External"/><Relationship Id="rId16" Type="http://schemas.openxmlformats.org/officeDocument/2006/relationships/hyperlink" Target="https://www.loom.com/i/e2384a97a31c4687aacdc393c9b0a1c0" TargetMode="External"/><Relationship Id="rId19" Type="http://schemas.openxmlformats.org/officeDocument/2006/relationships/hyperlink" Target="https://www.loom.com/i/cfadde0fa47943dc84c5ee9f43cbf15b" TargetMode="External"/><Relationship Id="rId18" Type="http://schemas.openxmlformats.org/officeDocument/2006/relationships/hyperlink" Target="https://www.loom.com/i/4d735842f8dd4262bbdc3a65808f02d6" TargetMode="External"/><Relationship Id="rId1" Type="http://schemas.openxmlformats.org/officeDocument/2006/relationships/hyperlink" Target="https://www.loom.com/i/d4f321de18a14f72924208c066145add" TargetMode="External"/><Relationship Id="rId2" Type="http://schemas.openxmlformats.org/officeDocument/2006/relationships/hyperlink" Target="https://www.loom.com/i/60b70e4e176f4e7dbb763a5a1e43e48a" TargetMode="External"/><Relationship Id="rId3" Type="http://schemas.openxmlformats.org/officeDocument/2006/relationships/hyperlink" Target="https://www.loom.com/i/276d855d371f42b08bf5ccb2b3e2eec8" TargetMode="External"/><Relationship Id="rId4" Type="http://schemas.openxmlformats.org/officeDocument/2006/relationships/hyperlink" Target="https://www.loom.com/i/8c05d3abdee74e8e890ee0fb7a4ff921" TargetMode="External"/><Relationship Id="rId9" Type="http://schemas.openxmlformats.org/officeDocument/2006/relationships/hyperlink" Target="https://www.loom.com/i/1916aaa00f2843b6ac38f012d311ce99" TargetMode="External"/><Relationship Id="rId5" Type="http://schemas.openxmlformats.org/officeDocument/2006/relationships/hyperlink" Target="https://www.loom.com/i/1a1c18fd03064c63a9f333f028ddd399" TargetMode="External"/><Relationship Id="rId6" Type="http://schemas.openxmlformats.org/officeDocument/2006/relationships/hyperlink" Target="https://www.loom.com/i/1ddd8cdc199c4883a3111e69175dc38a" TargetMode="External"/><Relationship Id="rId7" Type="http://schemas.openxmlformats.org/officeDocument/2006/relationships/hyperlink" Target="https://www.loom.com/i/be2e637ee1e04b64ac5212cdfa4f2bd4" TargetMode="External"/><Relationship Id="rId8" Type="http://schemas.openxmlformats.org/officeDocument/2006/relationships/hyperlink" Target="https://www.loom.com/i/7dbc1e00d0904745a3f99c6c237083eb" TargetMode="External"/><Relationship Id="rId73" Type="http://schemas.openxmlformats.org/officeDocument/2006/relationships/hyperlink" Target="https://www.loom.com/i/4d47f7e150f04be7997076f702647feb" TargetMode="External"/><Relationship Id="rId72" Type="http://schemas.openxmlformats.org/officeDocument/2006/relationships/hyperlink" Target="https://loom.com/i/78724836de00473d91d1f5c46ecdb7f5" TargetMode="External"/><Relationship Id="rId75" Type="http://schemas.openxmlformats.org/officeDocument/2006/relationships/drawing" Target="../drawings/drawing12.xml"/><Relationship Id="rId74" Type="http://schemas.openxmlformats.org/officeDocument/2006/relationships/hyperlink" Target="https://www.loom.com/share/6c00f2c3e2694858a560e58db7ccdb81" TargetMode="External"/><Relationship Id="rId71" Type="http://schemas.openxmlformats.org/officeDocument/2006/relationships/hyperlink" Target="https://www.loom.com/i/b159601dc02e4bc59f7d5f72deb8108a" TargetMode="External"/><Relationship Id="rId70" Type="http://schemas.openxmlformats.org/officeDocument/2006/relationships/hyperlink" Target="https://loom.com/i/30de800ab12041888506e1501cfb1878" TargetMode="External"/><Relationship Id="rId62" Type="http://schemas.openxmlformats.org/officeDocument/2006/relationships/hyperlink" Target="https://www.loom.com/i/4bf691c6ef8d491eaa076bebf6f2a04f" TargetMode="External"/><Relationship Id="rId61" Type="http://schemas.openxmlformats.org/officeDocument/2006/relationships/hyperlink" Target="https://www.loom.com/i/afb9cbba9df24c08825f1746129f2ccd" TargetMode="External"/><Relationship Id="rId64" Type="http://schemas.openxmlformats.org/officeDocument/2006/relationships/hyperlink" Target="https://www.loom.com/i/f240b1d1842745bd947bd9a42b3cd978" TargetMode="External"/><Relationship Id="rId63" Type="http://schemas.openxmlformats.org/officeDocument/2006/relationships/hyperlink" Target="https://www.loom.com/i/88c39dcfebbc43d7bdc5a9677f35eedd" TargetMode="External"/><Relationship Id="rId66" Type="http://schemas.openxmlformats.org/officeDocument/2006/relationships/hyperlink" Target="https://www.loom.com/i/124161e8f6a445fdbefc19dcbd5f8903" TargetMode="External"/><Relationship Id="rId65" Type="http://schemas.openxmlformats.org/officeDocument/2006/relationships/hyperlink" Target="https://www.loom.com/i/402c8e17377c4727918438aa3cc3e6da" TargetMode="External"/><Relationship Id="rId68" Type="http://schemas.openxmlformats.org/officeDocument/2006/relationships/hyperlink" Target="https://www.loom.com/share/d4bdc6ca99b747328426dafbaf71026c" TargetMode="External"/><Relationship Id="rId67" Type="http://schemas.openxmlformats.org/officeDocument/2006/relationships/hyperlink" Target="https://www.loom.com/i/cefab591e0e74a93945127286bd2eb01" TargetMode="External"/><Relationship Id="rId60" Type="http://schemas.openxmlformats.org/officeDocument/2006/relationships/hyperlink" Target="https://www.loom.com/i/877fc2038f9f4d37888649b94f757eaf" TargetMode="External"/><Relationship Id="rId69" Type="http://schemas.openxmlformats.org/officeDocument/2006/relationships/hyperlink" Target="https://www.loom.com/i/cff38c6cde1f490eb6ea2578ee215a1b" TargetMode="External"/><Relationship Id="rId51" Type="http://schemas.openxmlformats.org/officeDocument/2006/relationships/hyperlink" Target="https://www.loom.com/i/f695f83842cc4a3c80c01f157c77ffb6" TargetMode="External"/><Relationship Id="rId50" Type="http://schemas.openxmlformats.org/officeDocument/2006/relationships/hyperlink" Target="https://www.loom.com/i/e9561f0aeaa048fc8f6d37baf05f2224" TargetMode="External"/><Relationship Id="rId53" Type="http://schemas.openxmlformats.org/officeDocument/2006/relationships/hyperlink" Target="https://www.loom.com/i/ab0fb94a0cd945d88dacbc8c63505c71" TargetMode="External"/><Relationship Id="rId52" Type="http://schemas.openxmlformats.org/officeDocument/2006/relationships/hyperlink" Target="https://loom.com/i/0cf8ba51849046e8bfab679f8ff84709" TargetMode="External"/><Relationship Id="rId55" Type="http://schemas.openxmlformats.org/officeDocument/2006/relationships/hyperlink" Target="https://www.loom.com/i/4b1ba9b07aa64595982197a62c2cff38" TargetMode="External"/><Relationship Id="rId54" Type="http://schemas.openxmlformats.org/officeDocument/2006/relationships/hyperlink" Target="https://www.loom.com/i/a33cfebc7a8c4e5aba0d11b6629b821a" TargetMode="External"/><Relationship Id="rId57" Type="http://schemas.openxmlformats.org/officeDocument/2006/relationships/hyperlink" Target="https://www.loom.com/i/2e9f12149ba041b783fd677fb6957fa2" TargetMode="External"/><Relationship Id="rId56" Type="http://schemas.openxmlformats.org/officeDocument/2006/relationships/hyperlink" Target="https://www.loom.com/share/13b5f4b248c741cd8e741454b2584999" TargetMode="External"/><Relationship Id="rId59" Type="http://schemas.openxmlformats.org/officeDocument/2006/relationships/hyperlink" Target="https://www.loom.com/i/5ca346dc8a024507859ffd07a62a91c0" TargetMode="External"/><Relationship Id="rId58" Type="http://schemas.openxmlformats.org/officeDocument/2006/relationships/hyperlink" Target="https://www.loom.com/share/56e0738d66ac4d9bbaf5bbbf0f9b9200"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sbi-devsit1.sbicard.com/html/en/personal/credit-cards/sbi-card-pulse.html" TargetMode="External"/><Relationship Id="rId194" Type="http://schemas.openxmlformats.org/officeDocument/2006/relationships/hyperlink" Target="https://www.loom.com/i/69be1737972d46b8be0366e50312a5eb" TargetMode="External"/><Relationship Id="rId193" Type="http://schemas.openxmlformats.org/officeDocument/2006/relationships/hyperlink" Target="https://www.loom.com/i/2b6f26284e8c455a872eaf0207c392f5" TargetMode="External"/><Relationship Id="rId192" Type="http://schemas.openxmlformats.org/officeDocument/2006/relationships/hyperlink" Target="https://sbi-devsit1.sbicard.com/html/en/personal/credit-cards/doctors-with-ima-sbi-card.html" TargetMode="External"/><Relationship Id="rId191" Type="http://schemas.openxmlformats.org/officeDocument/2006/relationships/hyperlink" Target="https://www.loom.com/i/90ed0efe953c482ebd83b5a305973fba" TargetMode="External"/><Relationship Id="rId187" Type="http://schemas.openxmlformats.org/officeDocument/2006/relationships/hyperlink" Target="https://www.loom.com/i/8a6c51c0e64340139990907fc2f8dfe1" TargetMode="External"/><Relationship Id="rId186" Type="http://schemas.openxmlformats.org/officeDocument/2006/relationships/hyperlink" Target="https://www.loom.com/i/992fc605aa8147a1b0178bc0343ac523" TargetMode="External"/><Relationship Id="rId185" Type="http://schemas.openxmlformats.org/officeDocument/2006/relationships/hyperlink" Target="https://www.loom.com/i/5550a13345fd409a89583e09d4d792a7" TargetMode="External"/><Relationship Id="rId184" Type="http://schemas.openxmlformats.org/officeDocument/2006/relationships/hyperlink" Target="https://www.loom.com/i/866c65de27024845b02593f3f052b888" TargetMode="External"/><Relationship Id="rId189" Type="http://schemas.openxmlformats.org/officeDocument/2006/relationships/hyperlink" Target="https://www.loom.com/i/bbdb613ef75e4c1ab2001b48d438de85" TargetMode="External"/><Relationship Id="rId188" Type="http://schemas.openxmlformats.org/officeDocument/2006/relationships/hyperlink" Target="https://www.loom.com/i/22362980bd4e475e89be0dc68f9a40df" TargetMode="External"/><Relationship Id="rId183" Type="http://schemas.openxmlformats.org/officeDocument/2006/relationships/hyperlink" Target="https://www.loom.com/i/34aff10bd4764f8a8aedb0b3cfbd8270" TargetMode="External"/><Relationship Id="rId182" Type="http://schemas.openxmlformats.org/officeDocument/2006/relationships/hyperlink" Target="https://www.loom.com/i/c5383f90888940769a0fa0c8656c4e17" TargetMode="External"/><Relationship Id="rId181" Type="http://schemas.openxmlformats.org/officeDocument/2006/relationships/hyperlink" Target="https://sbi-devsit1.sbicard.com/html/en/personal/credit-cards/sbi-card-elite.html" TargetMode="External"/><Relationship Id="rId180" Type="http://schemas.openxmlformats.org/officeDocument/2006/relationships/hyperlink" Target="https://www.loom.com/i/a522df5259494f21b820f6390d7b54e3" TargetMode="External"/><Relationship Id="rId176" Type="http://schemas.openxmlformats.org/officeDocument/2006/relationships/hyperlink" Target="https://www.loom.com/i/04dae9aa4a6747e7b73c3d2f6e9dab2e" TargetMode="External"/><Relationship Id="rId297" Type="http://schemas.openxmlformats.org/officeDocument/2006/relationships/hyperlink" Target="https://www.loom.com/i/3f6bae8ffdd14c4a898d28a947764981" TargetMode="External"/><Relationship Id="rId175" Type="http://schemas.openxmlformats.org/officeDocument/2006/relationships/hyperlink" Target="https://www.loom.com/i/f5de89629419411eb34428fabef2576d" TargetMode="External"/><Relationship Id="rId296" Type="http://schemas.openxmlformats.org/officeDocument/2006/relationships/hyperlink" Target="https://loom.com/i/c3d460a4f52a4c148b592bb8ccae0a06" TargetMode="External"/><Relationship Id="rId174" Type="http://schemas.openxmlformats.org/officeDocument/2006/relationships/hyperlink" Target="https://www.loom.com/i/fe10ba9a329b48c7abb0c76a46a0a3cc" TargetMode="External"/><Relationship Id="rId295" Type="http://schemas.openxmlformats.org/officeDocument/2006/relationships/hyperlink" Target="https://www.loom.com/i/27efca44dffd4d73a7a8c2d626aef705" TargetMode="External"/><Relationship Id="rId173" Type="http://schemas.openxmlformats.org/officeDocument/2006/relationships/hyperlink" Target="https://www.loom.com/i/6b8d517755384ec38998d241287a29e5" TargetMode="External"/><Relationship Id="rId294" Type="http://schemas.openxmlformats.org/officeDocument/2006/relationships/hyperlink" Target="https://www.loom.com/i/71c87ed6cc0844b9b36925c89889c4cf" TargetMode="External"/><Relationship Id="rId179" Type="http://schemas.openxmlformats.org/officeDocument/2006/relationships/hyperlink" Target="https://www.loom.com/i/30a71894eac245d196925ecf0562940f" TargetMode="External"/><Relationship Id="rId178" Type="http://schemas.openxmlformats.org/officeDocument/2006/relationships/hyperlink" Target="https://www.loom.com/i/efbb3d2a725b4935a5a8a5636d99263a" TargetMode="External"/><Relationship Id="rId299" Type="http://schemas.openxmlformats.org/officeDocument/2006/relationships/hyperlink" Target="https://www.loom.com/i/33e12aa3eb2d41c9a3c2469589bc8b70" TargetMode="External"/><Relationship Id="rId177" Type="http://schemas.openxmlformats.org/officeDocument/2006/relationships/hyperlink" Target="https://www.loom.com/i/ac98c95f5d8d4a298eb40a63f3344220" TargetMode="External"/><Relationship Id="rId298" Type="http://schemas.openxmlformats.org/officeDocument/2006/relationships/hyperlink" Target="https://www.loom.com/i/53ed3b0e7fcb4e74a4f7b336eba1c544" TargetMode="External"/><Relationship Id="rId198" Type="http://schemas.openxmlformats.org/officeDocument/2006/relationships/hyperlink" Target="https://www.loom.com/i/ab0aed8084234f79889c22396a507dfa" TargetMode="External"/><Relationship Id="rId197" Type="http://schemas.openxmlformats.org/officeDocument/2006/relationships/hyperlink" Target="https://www.loom.com/i/e4a7415f01344450b36b5f2586dcd90f" TargetMode="External"/><Relationship Id="rId196" Type="http://schemas.openxmlformats.org/officeDocument/2006/relationships/hyperlink" Target="https://www.loom.com/i/f274996ae7d944fdafb91b31c1f96f03" TargetMode="External"/><Relationship Id="rId195" Type="http://schemas.openxmlformats.org/officeDocument/2006/relationships/hyperlink" Target="https://www.loom.com/i/c2a2609e09364afc9dbb4182ec5783c9" TargetMode="External"/><Relationship Id="rId199" Type="http://schemas.openxmlformats.org/officeDocument/2006/relationships/hyperlink" Target="https://www.loom.com/i/8553c9421ba8405d89f64f913bde88d4" TargetMode="External"/><Relationship Id="rId150" Type="http://schemas.openxmlformats.org/officeDocument/2006/relationships/hyperlink" Target="https://www.loom.com/i/53df38ff0bf84a9fbf40df54b261ee59" TargetMode="External"/><Relationship Id="rId271" Type="http://schemas.openxmlformats.org/officeDocument/2006/relationships/hyperlink" Target="https://www.loom.com/i/91e2c52e198249c98603b31302292c8f" TargetMode="External"/><Relationship Id="rId392" Type="http://schemas.openxmlformats.org/officeDocument/2006/relationships/hyperlink" Target="https://www.loom.com/i/06611fb8b5c2449f87ac29bea13a72a9" TargetMode="External"/><Relationship Id="rId270" Type="http://schemas.openxmlformats.org/officeDocument/2006/relationships/hyperlink" Target="https://www.loom.com/i/c94e2e1fe4d74817962e8a1a08bb8670" TargetMode="External"/><Relationship Id="rId391" Type="http://schemas.openxmlformats.org/officeDocument/2006/relationships/hyperlink" Target="https://sbi-devsit1.sbicard.com/html/en/personal/credit-cards/landmark-sbi-card-prime.html" TargetMode="External"/><Relationship Id="rId390" Type="http://schemas.openxmlformats.org/officeDocument/2006/relationships/hyperlink" Target="https://www.loom.com/i/e1e1fc51527a48f7b4b876722ef5e605" TargetMode="External"/><Relationship Id="rId1" Type="http://schemas.openxmlformats.org/officeDocument/2006/relationships/hyperlink" Target="https://www.loom.com/i/3aea1cead9284fbb9bd70d12096c0094" TargetMode="External"/><Relationship Id="rId2" Type="http://schemas.openxmlformats.org/officeDocument/2006/relationships/hyperlink" Target="https://www.loom.com/i/89bcf6f456b045d49d85cca533e192c4" TargetMode="External"/><Relationship Id="rId3" Type="http://schemas.openxmlformats.org/officeDocument/2006/relationships/hyperlink" Target="https://sbi-devsit1.sbicard.com/html/en/personal/credit-cards/irctc-premier-card.html" TargetMode="External"/><Relationship Id="rId149" Type="http://schemas.openxmlformats.org/officeDocument/2006/relationships/hyperlink" Target="https://www.loom.com/i/1e6139f1c6f44567ba9ecb11061be441" TargetMode="External"/><Relationship Id="rId4" Type="http://schemas.openxmlformats.org/officeDocument/2006/relationships/hyperlink" Target="https://www.loom.com/i/fbd047c11cd245b19b23138787e23dd4" TargetMode="External"/><Relationship Id="rId148" Type="http://schemas.openxmlformats.org/officeDocument/2006/relationships/hyperlink" Target="https://www.loom.com/i/ceca21fbd74a4aa081dce1a41b1a28e4" TargetMode="External"/><Relationship Id="rId269" Type="http://schemas.openxmlformats.org/officeDocument/2006/relationships/hyperlink" Target="https://www.loom.com/i/073c445aee89416ba30a797f25ee27a4" TargetMode="External"/><Relationship Id="rId9" Type="http://schemas.openxmlformats.org/officeDocument/2006/relationships/hyperlink" Target="https://www.loom.com/i/f030d23976d941be9e412ac35b3b6794" TargetMode="External"/><Relationship Id="rId143" Type="http://schemas.openxmlformats.org/officeDocument/2006/relationships/hyperlink" Target="https://www.loom.com/i/a067b5ad1abc43a495284afbba1030b8" TargetMode="External"/><Relationship Id="rId264" Type="http://schemas.openxmlformats.org/officeDocument/2006/relationships/hyperlink" Target="https://www.loom.com/i/57efb2d0848e424baf29c1f516026ae8" TargetMode="External"/><Relationship Id="rId385" Type="http://schemas.openxmlformats.org/officeDocument/2006/relationships/hyperlink" Target="https://www.loom.com/i/e20fcd89883b45febcd8cca2b64e4df2" TargetMode="External"/><Relationship Id="rId142" Type="http://schemas.openxmlformats.org/officeDocument/2006/relationships/hyperlink" Target="https://www.loom.com/i/86465d42ed5a467f8dd0093e85682842" TargetMode="External"/><Relationship Id="rId263" Type="http://schemas.openxmlformats.org/officeDocument/2006/relationships/hyperlink" Target="https://www.loom.com/i/c7a99a82ab8b4633a25c3d35677beacd" TargetMode="External"/><Relationship Id="rId384" Type="http://schemas.openxmlformats.org/officeDocument/2006/relationships/hyperlink" Target="https://sbi-devsit1.sbicard.com/html/en/personal/credit-cards/sbi-card-unnati.html" TargetMode="External"/><Relationship Id="rId141" Type="http://schemas.openxmlformats.org/officeDocument/2006/relationships/hyperlink" Target="https://www.loom.com/i/cd725397177048f99d405496d52a201e" TargetMode="External"/><Relationship Id="rId262" Type="http://schemas.openxmlformats.org/officeDocument/2006/relationships/hyperlink" Target="https://www.loom.com/i/23a6b56d4ee24ef4ba18f49c40efae00" TargetMode="External"/><Relationship Id="rId383" Type="http://schemas.openxmlformats.org/officeDocument/2006/relationships/hyperlink" Target="https://loom.com/i/b6e0810a9f474576a00af294f820e0ef" TargetMode="External"/><Relationship Id="rId140" Type="http://schemas.openxmlformats.org/officeDocument/2006/relationships/hyperlink" Target="https://www.loom.com/i/9745b5dd0ad142b49bcd4c6b7b19a7db" TargetMode="External"/><Relationship Id="rId261" Type="http://schemas.openxmlformats.org/officeDocument/2006/relationships/hyperlink" Target="https://www.loom.com/i/99e6be4024774a0d85040de013d540ae" TargetMode="External"/><Relationship Id="rId382" Type="http://schemas.openxmlformats.org/officeDocument/2006/relationships/hyperlink" Target="https://www.loom.com/i/21486ccb818649bfad32f33a9e1a9ce2" TargetMode="External"/><Relationship Id="rId5" Type="http://schemas.openxmlformats.org/officeDocument/2006/relationships/hyperlink" Target="https://www.loom.com/i/241bc7cea51d4111b878cdc109659584" TargetMode="External"/><Relationship Id="rId147" Type="http://schemas.openxmlformats.org/officeDocument/2006/relationships/hyperlink" Target="https://sbi-devsit1.sbicard.com/html/en/personal/credit-cards/tata-neu-infinity-sbi-card.html" TargetMode="External"/><Relationship Id="rId268" Type="http://schemas.openxmlformats.org/officeDocument/2006/relationships/hyperlink" Target="https://www.loom.com/i/1268a6f953da4c9ab309758d6c11a723" TargetMode="External"/><Relationship Id="rId389" Type="http://schemas.openxmlformats.org/officeDocument/2006/relationships/hyperlink" Target="https://sbi-devsit1.sbicard.com/html/en/personal/credit-cards/landmark-rewards-sbi-card.html" TargetMode="External"/><Relationship Id="rId6" Type="http://schemas.openxmlformats.org/officeDocument/2006/relationships/hyperlink" Target="https://www.loom.com/i/6751bf92fd224b7095c5183860f3f245" TargetMode="External"/><Relationship Id="rId146" Type="http://schemas.openxmlformats.org/officeDocument/2006/relationships/hyperlink" Target="https://www.loom.com/i/a491a83c1ae14ab59f6b918340b90c27" TargetMode="External"/><Relationship Id="rId267" Type="http://schemas.openxmlformats.org/officeDocument/2006/relationships/hyperlink" Target="https://www.loom.com/i/46e7b602077a4bc39f8de45c9685c57e" TargetMode="External"/><Relationship Id="rId388" Type="http://schemas.openxmlformats.org/officeDocument/2006/relationships/hyperlink" Target="https://www.loom.com/i/a773a3165c4e42e1803283ba3b0f8b05" TargetMode="External"/><Relationship Id="rId7" Type="http://schemas.openxmlformats.org/officeDocument/2006/relationships/hyperlink" Target="https://loom.com/i/fea470f061dc494da572fed5b68344e5" TargetMode="External"/><Relationship Id="rId145" Type="http://schemas.openxmlformats.org/officeDocument/2006/relationships/hyperlink" Target="https://www.loom.com/i/6abda8072cd44360a947508f23bedaa0" TargetMode="External"/><Relationship Id="rId266" Type="http://schemas.openxmlformats.org/officeDocument/2006/relationships/hyperlink" Target="https://www.loom.com/i/883c98fc0b85469a99382ee4a1a1aeea" TargetMode="External"/><Relationship Id="rId387" Type="http://schemas.openxmlformats.org/officeDocument/2006/relationships/hyperlink" Target="https://www.loom.com/i/1e32b1e72a384724bd3cf976d3b30193" TargetMode="External"/><Relationship Id="rId8" Type="http://schemas.openxmlformats.org/officeDocument/2006/relationships/hyperlink" Target="https://sbi-devsit1.sbicard.com/html/en/personal/credit-cards/sbi-card-elite.html" TargetMode="External"/><Relationship Id="rId144" Type="http://schemas.openxmlformats.org/officeDocument/2006/relationships/hyperlink" Target="https://sbi-devsit1.sbicard.com/html/en/personal/credit-cards/sbi-card-miles.html" TargetMode="External"/><Relationship Id="rId265" Type="http://schemas.openxmlformats.org/officeDocument/2006/relationships/hyperlink" Target="https://www.loom.com/i/9fac12dfd9944b81b5013896ef83d58e" TargetMode="External"/><Relationship Id="rId386" Type="http://schemas.openxmlformats.org/officeDocument/2006/relationships/hyperlink" Target="https://sbi-devsit1.sbicard.com/html/en/personal/credit-cards/sbi-card-miles-prime.html" TargetMode="External"/><Relationship Id="rId260" Type="http://schemas.openxmlformats.org/officeDocument/2006/relationships/hyperlink" Target="https://www.loom.com/i/85cd3a1e198447e9867eeb5fe2c4b7df" TargetMode="External"/><Relationship Id="rId381" Type="http://schemas.openxmlformats.org/officeDocument/2006/relationships/hyperlink" Target="https://sbi-devsit1.sbicard.com/html/en/personal/credit-cards/reliance-sbi-card-prime.html" TargetMode="External"/><Relationship Id="rId380" Type="http://schemas.openxmlformats.org/officeDocument/2006/relationships/hyperlink" Target="https://www.loom.com/i/abe4e96d68424340aa7bdb1a724814af" TargetMode="External"/><Relationship Id="rId139" Type="http://schemas.openxmlformats.org/officeDocument/2006/relationships/hyperlink" Target="https://www.loom.com/i/423b690b37c54c0d90a7f7940b6b1a0b" TargetMode="External"/><Relationship Id="rId138" Type="http://schemas.openxmlformats.org/officeDocument/2006/relationships/hyperlink" Target="https://www.loom.com/i/fb9b9a313f1d414c90dfa305523173b3" TargetMode="External"/><Relationship Id="rId259" Type="http://schemas.openxmlformats.org/officeDocument/2006/relationships/hyperlink" Target="https://www.loom.com/i/ad67688854ea4d52a7081f815d18847a" TargetMode="External"/><Relationship Id="rId137" Type="http://schemas.openxmlformats.org/officeDocument/2006/relationships/hyperlink" Target="https://www.loom.com/i/2d2ab5473bbe44468f0fb97f55508675" TargetMode="External"/><Relationship Id="rId258" Type="http://schemas.openxmlformats.org/officeDocument/2006/relationships/hyperlink" Target="https://www.loom.com/i/ca3db6cecca34145a1252f813aeac75a" TargetMode="External"/><Relationship Id="rId379" Type="http://schemas.openxmlformats.org/officeDocument/2006/relationships/hyperlink" Target="https://sbi-devsit1.sbicard.com/html/en/personal/credit-cards/indigo-sbi-card.html" TargetMode="External"/><Relationship Id="rId132" Type="http://schemas.openxmlformats.org/officeDocument/2006/relationships/hyperlink" Target="https://www.loom.com/i/8f73853fe391447da211aa06b40c5b63" TargetMode="External"/><Relationship Id="rId253" Type="http://schemas.openxmlformats.org/officeDocument/2006/relationships/hyperlink" Target="https://www.loom.com/i/1c3b4443261b438a8721135abf66332d" TargetMode="External"/><Relationship Id="rId374" Type="http://schemas.openxmlformats.org/officeDocument/2006/relationships/hyperlink" Target="https://www.loom.com/i/cdd4472af1df4a339d7c5aa07c894d81" TargetMode="External"/><Relationship Id="rId131" Type="http://schemas.openxmlformats.org/officeDocument/2006/relationships/hyperlink" Target="https://www.loom.com/i/768f68a2a3e541dda516e76c1b252a6f" TargetMode="External"/><Relationship Id="rId252" Type="http://schemas.openxmlformats.org/officeDocument/2006/relationships/hyperlink" Target="https://www.loom.com/i/6a70acfa1afa40f0908a3643efdd2517" TargetMode="External"/><Relationship Id="rId373" Type="http://schemas.openxmlformats.org/officeDocument/2006/relationships/hyperlink" Target="https://www.loom.com/i/830255571527446ab9855ed476dc4d7c" TargetMode="External"/><Relationship Id="rId130" Type="http://schemas.openxmlformats.org/officeDocument/2006/relationships/hyperlink" Target="https://www.loom.com/i/58ce17e5c5634a01a3f33c8f2458b32d" TargetMode="External"/><Relationship Id="rId251" Type="http://schemas.openxmlformats.org/officeDocument/2006/relationships/hyperlink" Target="https://www.loom.com/i/045c5964877f45fea472c902f2103bc2" TargetMode="External"/><Relationship Id="rId372" Type="http://schemas.openxmlformats.org/officeDocument/2006/relationships/hyperlink" Target="https://www.loom.com/i/e352494a26aa47758fb722dcda216f2c" TargetMode="External"/><Relationship Id="rId250" Type="http://schemas.openxmlformats.org/officeDocument/2006/relationships/hyperlink" Target="https://www.loom.com/i/5a5f90848ea14527874b827fb6cf5860" TargetMode="External"/><Relationship Id="rId371" Type="http://schemas.openxmlformats.org/officeDocument/2006/relationships/hyperlink" Target="https://sbi-devsit1.sbicard.com/html/en/personal/credit-cards/irctc-premier-card.html" TargetMode="External"/><Relationship Id="rId136" Type="http://schemas.openxmlformats.org/officeDocument/2006/relationships/hyperlink" Target="https://www.loom.com/i/92cdbf228c704508b3087dd03be95e37" TargetMode="External"/><Relationship Id="rId257" Type="http://schemas.openxmlformats.org/officeDocument/2006/relationships/hyperlink" Target="https://www.loom.com/i/67e7b4e1577543d8b858f290927230fd" TargetMode="External"/><Relationship Id="rId378" Type="http://schemas.openxmlformats.org/officeDocument/2006/relationships/hyperlink" Target="https://www.loom.com/i/f8a1d7d3f8dd438ca62cec80cd73e4ea" TargetMode="External"/><Relationship Id="rId135" Type="http://schemas.openxmlformats.org/officeDocument/2006/relationships/hyperlink" Target="https://www.loom.com/i/c071618b6c194e12954efb2e27ec5fd4" TargetMode="External"/><Relationship Id="rId256" Type="http://schemas.openxmlformats.org/officeDocument/2006/relationships/hyperlink" Target="https://www.loom.com/i/32fc065e3128428fa00d15a96a37e2cf" TargetMode="External"/><Relationship Id="rId377" Type="http://schemas.openxmlformats.org/officeDocument/2006/relationships/hyperlink" Target="https://sbi-devsit1.sbicard.com/html/en/personal/credit-cards/reliance-sbi-card.html" TargetMode="External"/><Relationship Id="rId134" Type="http://schemas.openxmlformats.org/officeDocument/2006/relationships/hyperlink" Target="https://www.loom.com/i/bc571ad8c48049969ce3727872008d0d" TargetMode="External"/><Relationship Id="rId255" Type="http://schemas.openxmlformats.org/officeDocument/2006/relationships/hyperlink" Target="https://www.loom.com/i/dd4805c0c3dd44c58f2d54be8f60bd80" TargetMode="External"/><Relationship Id="rId376" Type="http://schemas.openxmlformats.org/officeDocument/2006/relationships/hyperlink" Target="https://www.loom.com/i/cd903bada5514f019f4876cc55cce7e2" TargetMode="External"/><Relationship Id="rId133" Type="http://schemas.openxmlformats.org/officeDocument/2006/relationships/hyperlink" Target="https://www.loom.com/i/a6fbdf3079be4a85a69cf548da72a9b6" TargetMode="External"/><Relationship Id="rId254" Type="http://schemas.openxmlformats.org/officeDocument/2006/relationships/hyperlink" Target="https://www.loom.com/i/9511df6db9e745cfa48a1f8ec98e79ee" TargetMode="External"/><Relationship Id="rId375" Type="http://schemas.openxmlformats.org/officeDocument/2006/relationships/hyperlink" Target="https://sbi-devsit1.sbicard.com/html/en/personal/credit-cards/indigo-sbi-card-elite.html" TargetMode="External"/><Relationship Id="rId172" Type="http://schemas.openxmlformats.org/officeDocument/2006/relationships/hyperlink" Target="https://www.loom.com/i/7dd4bfc778764b6da8299667b205c844" TargetMode="External"/><Relationship Id="rId293" Type="http://schemas.openxmlformats.org/officeDocument/2006/relationships/hyperlink" Target="https://www.loom.com/i/0ea088638d5b426aacf6ced4efb7991e" TargetMode="External"/><Relationship Id="rId171" Type="http://schemas.openxmlformats.org/officeDocument/2006/relationships/hyperlink" Target="https://www.loom.com/i/852576844ace429a9f7cddd586c28399" TargetMode="External"/><Relationship Id="rId292" Type="http://schemas.openxmlformats.org/officeDocument/2006/relationships/hyperlink" Target="https://www.loom.com/i/6809a6214730494eb4f424155d981946" TargetMode="External"/><Relationship Id="rId170" Type="http://schemas.openxmlformats.org/officeDocument/2006/relationships/hyperlink" Target="https://www.loom.com/i/5f1af53178d94058a9f5439211449e02" TargetMode="External"/><Relationship Id="rId291" Type="http://schemas.openxmlformats.org/officeDocument/2006/relationships/hyperlink" Target="https://www.loom.com/i/d0240298db6d44ea8c81b134d2b3b8b9" TargetMode="External"/><Relationship Id="rId290" Type="http://schemas.openxmlformats.org/officeDocument/2006/relationships/hyperlink" Target="https://www.loom.com/i/5f862b06c5cc4ffba61019d81f50754d" TargetMode="External"/><Relationship Id="rId165" Type="http://schemas.openxmlformats.org/officeDocument/2006/relationships/hyperlink" Target="https://www.loom.com/i/9bc0939ab0224e4aa85e6d90a724a680" TargetMode="External"/><Relationship Id="rId286" Type="http://schemas.openxmlformats.org/officeDocument/2006/relationships/hyperlink" Target="https://www.loom.com/i/46bf133089e5464b9f828551d169dc94" TargetMode="External"/><Relationship Id="rId164" Type="http://schemas.openxmlformats.org/officeDocument/2006/relationships/hyperlink" Target="https://www.loom.com/i/591368931db54b4ea1d72e39cc63a462" TargetMode="External"/><Relationship Id="rId285" Type="http://schemas.openxmlformats.org/officeDocument/2006/relationships/hyperlink" Target="https://www.loom.com/i/fea2475112454db68cfcea3a385fb1a3" TargetMode="External"/><Relationship Id="rId163" Type="http://schemas.openxmlformats.org/officeDocument/2006/relationships/hyperlink" Target="https://www.loom.com/i/8c2de6591ba94ebfa5ba89e22b5ff37c" TargetMode="External"/><Relationship Id="rId284" Type="http://schemas.openxmlformats.org/officeDocument/2006/relationships/hyperlink" Target="https://www.loom.com/i/3a21c6c1364e44fb87143e3613d8470a" TargetMode="External"/><Relationship Id="rId162" Type="http://schemas.openxmlformats.org/officeDocument/2006/relationships/hyperlink" Target="https://www.loom.com/i/78c611a8911843b2b0f593acf2f17f73" TargetMode="External"/><Relationship Id="rId283" Type="http://schemas.openxmlformats.org/officeDocument/2006/relationships/hyperlink" Target="https://www.loom.com/i/760d0bed6bc740c0b85263c0ed67847e" TargetMode="External"/><Relationship Id="rId169" Type="http://schemas.openxmlformats.org/officeDocument/2006/relationships/hyperlink" Target="https://www.loom.com/i/be1df9149d1944fcbf4d28a31dcbc05f" TargetMode="External"/><Relationship Id="rId168" Type="http://schemas.openxmlformats.org/officeDocument/2006/relationships/hyperlink" Target="https://sbi-devsit1.sbicard.com/html/en/personal/credit-cards/sbi-card-prime.html" TargetMode="External"/><Relationship Id="rId289" Type="http://schemas.openxmlformats.org/officeDocument/2006/relationships/hyperlink" Target="https://www.loom.com/i/68bcd424fa714fc0b4b6bd1057e960d9" TargetMode="External"/><Relationship Id="rId167" Type="http://schemas.openxmlformats.org/officeDocument/2006/relationships/hyperlink" Target="https://www.loom.com/i/0390a2ff0ea741a0b1d84a9e3a6946be" TargetMode="External"/><Relationship Id="rId288" Type="http://schemas.openxmlformats.org/officeDocument/2006/relationships/hyperlink" Target="https://www.loom.com/i/74619c88c0b84a82a1e4c9cf3ed237b1" TargetMode="External"/><Relationship Id="rId166" Type="http://schemas.openxmlformats.org/officeDocument/2006/relationships/hyperlink" Target="https://www.loom.com/i/5b4fe79b5bf541808f0667f1cdd41804" TargetMode="External"/><Relationship Id="rId287" Type="http://schemas.openxmlformats.org/officeDocument/2006/relationships/hyperlink" Target="https://www.loom.com/i/bb66ac7a38504cd78010dc5faf0e3af4" TargetMode="External"/><Relationship Id="rId161" Type="http://schemas.openxmlformats.org/officeDocument/2006/relationships/hyperlink" Target="https://www.loom.com/i/5f32e936c493457798dfcf2655ba5055" TargetMode="External"/><Relationship Id="rId282" Type="http://schemas.openxmlformats.org/officeDocument/2006/relationships/hyperlink" Target="https://www.loom.com/i/f5fd35603956484aab55b98fd82c05cf" TargetMode="External"/><Relationship Id="rId160" Type="http://schemas.openxmlformats.org/officeDocument/2006/relationships/hyperlink" Target="https://www.loom.com/i/cf32ad38036347009d04977c63ad22b6" TargetMode="External"/><Relationship Id="rId281" Type="http://schemas.openxmlformats.org/officeDocument/2006/relationships/hyperlink" Target="https://www.loom.com/i/51bce9bf93de4ffaa0e6af262fba09ea" TargetMode="External"/><Relationship Id="rId280" Type="http://schemas.openxmlformats.org/officeDocument/2006/relationships/hyperlink" Target="https://www.loom.com/i/32f1d055d8064a2c98d8f53ab4fd796b" TargetMode="External"/><Relationship Id="rId159" Type="http://schemas.openxmlformats.org/officeDocument/2006/relationships/hyperlink" Target="https://www.loom.com/i/cd7a50c9e6274c98b39235e6bad14b53" TargetMode="External"/><Relationship Id="rId154" Type="http://schemas.openxmlformats.org/officeDocument/2006/relationships/hyperlink" Target="https://www.loom.com/i/1c8af9de03e84293bb37bb83b5cbfd7d" TargetMode="External"/><Relationship Id="rId275" Type="http://schemas.openxmlformats.org/officeDocument/2006/relationships/hyperlink" Target="https://www.loom.com/i/c6103de0685645efa6a8d4ae4f01bd44" TargetMode="External"/><Relationship Id="rId396" Type="http://schemas.openxmlformats.org/officeDocument/2006/relationships/hyperlink" Target="https://www.loom.com/i/854098eaef124193b2af23dc723d3308" TargetMode="External"/><Relationship Id="rId153" Type="http://schemas.openxmlformats.org/officeDocument/2006/relationships/hyperlink" Target="https://sbi-pvt.sbicard.com/html/en/personal/credit-cards/tata-neu-infinity-sbi-card.html" TargetMode="External"/><Relationship Id="rId274" Type="http://schemas.openxmlformats.org/officeDocument/2006/relationships/hyperlink" Target="https://www.loom.com/i/f6d03e12268c49c7bfe55b35b6ec2f9f" TargetMode="External"/><Relationship Id="rId395" Type="http://schemas.openxmlformats.org/officeDocument/2006/relationships/hyperlink" Target="https://sbi-devsit1.sbicard.com/html/en/personal/credit-cards/ola-money-sbi-card.html" TargetMode="External"/><Relationship Id="rId152" Type="http://schemas.openxmlformats.org/officeDocument/2006/relationships/hyperlink" Target="https://www.loom.com/i/ada493958fcc40b9a2d24b636cde3bc7" TargetMode="External"/><Relationship Id="rId273" Type="http://schemas.openxmlformats.org/officeDocument/2006/relationships/hyperlink" Target="https://www.loom.com/i/91bbdb9f2c03457297bd9111979bb0ea" TargetMode="External"/><Relationship Id="rId394" Type="http://schemas.openxmlformats.org/officeDocument/2006/relationships/hyperlink" Target="https://www.loom.com/i/6278b43926c74b3ab8ef87c542dc12d9" TargetMode="External"/><Relationship Id="rId151" Type="http://schemas.openxmlformats.org/officeDocument/2006/relationships/hyperlink" Target="https://www.loom.com/i/e4b0c1aac4af40ce95a976145b0110bf" TargetMode="External"/><Relationship Id="rId272" Type="http://schemas.openxmlformats.org/officeDocument/2006/relationships/hyperlink" Target="https://www.loom.com/i/b6750f6e45bb47c2aefac506d5c411f4" TargetMode="External"/><Relationship Id="rId393" Type="http://schemas.openxmlformats.org/officeDocument/2006/relationships/hyperlink" Target="https://sbi-devsit1.sbicard.com/html/en/personal/credit-cards/irctc-sbi-platinum-card.html" TargetMode="External"/><Relationship Id="rId158" Type="http://schemas.openxmlformats.org/officeDocument/2006/relationships/hyperlink" Target="https://www.loom.com/i/01f32dd3e9b14ab1af20b4b2e88eed40" TargetMode="External"/><Relationship Id="rId279" Type="http://schemas.openxmlformats.org/officeDocument/2006/relationships/hyperlink" Target="https://www.loom.com/i/bda96027a2e04544bfcf93b4fc99f16d" TargetMode="External"/><Relationship Id="rId157" Type="http://schemas.openxmlformats.org/officeDocument/2006/relationships/hyperlink" Target="https://www.loom.com/i/f200b28b7b124eb5922ceba7cd80eb06" TargetMode="External"/><Relationship Id="rId278" Type="http://schemas.openxmlformats.org/officeDocument/2006/relationships/hyperlink" Target="https://www.loom.com/i/892118fc72584bfdaee5c731f6dc327d" TargetMode="External"/><Relationship Id="rId399" Type="http://schemas.openxmlformats.org/officeDocument/2006/relationships/hyperlink" Target="https://sbi-devsit1.sbicard.com/html/en/personal/credit-cards/krisflyer-sbi-card.html" TargetMode="External"/><Relationship Id="rId156" Type="http://schemas.openxmlformats.org/officeDocument/2006/relationships/hyperlink" Target="https://www.loom.com/i/3f0913cb8efb4be59d2e46a1d0066c52" TargetMode="External"/><Relationship Id="rId277" Type="http://schemas.openxmlformats.org/officeDocument/2006/relationships/hyperlink" Target="https://www.loom.com/i/bb73be98a6274f11bd46af9dec1a7aa8" TargetMode="External"/><Relationship Id="rId398" Type="http://schemas.openxmlformats.org/officeDocument/2006/relationships/hyperlink" Target="https://www.loom.com/i/9a2e0f41530b45809dc962021bb4bc97" TargetMode="External"/><Relationship Id="rId155" Type="http://schemas.openxmlformats.org/officeDocument/2006/relationships/hyperlink" Target="https://sbi-devsit1.sbicard.com/html/en/personal/credit-cards/sbi-card-prime.html" TargetMode="External"/><Relationship Id="rId276" Type="http://schemas.openxmlformats.org/officeDocument/2006/relationships/hyperlink" Target="https://www.loom.com/i/059ffaa087a748799f80982b4c1c7b2c" TargetMode="External"/><Relationship Id="rId397" Type="http://schemas.openxmlformats.org/officeDocument/2006/relationships/hyperlink" Target="https://sbi-devsit1.sbicard.com/html/en/personal/credit-cards/krisflyer-sbi-card.html" TargetMode="External"/><Relationship Id="rId40" Type="http://schemas.openxmlformats.org/officeDocument/2006/relationships/hyperlink" Target="https://www.loom.com/i/e75720eb3f2b4acfa9be6bc37aef7c37" TargetMode="External"/><Relationship Id="rId42" Type="http://schemas.openxmlformats.org/officeDocument/2006/relationships/hyperlink" Target="https://www.loom.com/i/2a1a51749b6f4ddc996bc4bc108ef3ce" TargetMode="External"/><Relationship Id="rId41" Type="http://schemas.openxmlformats.org/officeDocument/2006/relationships/hyperlink" Target="https://www.loom.com/i/52255049238b463eac04cca6bbdd7e8d" TargetMode="External"/><Relationship Id="rId44" Type="http://schemas.openxmlformats.org/officeDocument/2006/relationships/hyperlink" Target="https://www.loom.com/i/e6b49662f18446c4987c1aa6bfd62a73" TargetMode="External"/><Relationship Id="rId43" Type="http://schemas.openxmlformats.org/officeDocument/2006/relationships/hyperlink" Target="https://sbi-sit1.sbicard.com/html/en/personal/credit-cards/tata-neu-infinity-sbi-card.html" TargetMode="External"/><Relationship Id="rId46" Type="http://schemas.openxmlformats.org/officeDocument/2006/relationships/hyperlink" Target="https://www.loom.com/i/5fd0cea97ffb4bb6b018cd6b6803df41" TargetMode="External"/><Relationship Id="rId45" Type="http://schemas.openxmlformats.org/officeDocument/2006/relationships/hyperlink" Target="https://www.loom.com/i/f7dd0f79690347cdb9e7360b5c55dba1" TargetMode="External"/><Relationship Id="rId48" Type="http://schemas.openxmlformats.org/officeDocument/2006/relationships/hyperlink" Target="https://www.loom.com/i/2076ac745e664027aa39316be4b31dcf" TargetMode="External"/><Relationship Id="rId47" Type="http://schemas.openxmlformats.org/officeDocument/2006/relationships/hyperlink" Target="https://www.loom.com/i/a3cc7605d6ef4799825b7f416af803df" TargetMode="External"/><Relationship Id="rId49" Type="http://schemas.openxmlformats.org/officeDocument/2006/relationships/hyperlink" Target="https://www.loom.com/i/9c18410fb9cb4c1797772d0aa04e967e" TargetMode="External"/><Relationship Id="rId31" Type="http://schemas.openxmlformats.org/officeDocument/2006/relationships/hyperlink" Target="https://www.loom.com/i/4c5e050eae824c2ca11016ec3b5c3746" TargetMode="External"/><Relationship Id="rId30" Type="http://schemas.openxmlformats.org/officeDocument/2006/relationships/hyperlink" Target="https://www.loom.com/i/288f54ff7ee24f9bbbb6eae190554af3" TargetMode="External"/><Relationship Id="rId33" Type="http://schemas.openxmlformats.org/officeDocument/2006/relationships/hyperlink" Target="https://sbi-devsit1.sbicard.com/html/en/personal/credit-cards/irctc-premier-card.html" TargetMode="External"/><Relationship Id="rId32" Type="http://schemas.openxmlformats.org/officeDocument/2006/relationships/hyperlink" Target="https://www.loom.com/i/4c5e050eae824c2ca11016ec3b5c3746" TargetMode="External"/><Relationship Id="rId35" Type="http://schemas.openxmlformats.org/officeDocument/2006/relationships/hyperlink" Target="https://www.loom.com/i/0283f9aef00b4200b81ceb0b3c57bff2" TargetMode="External"/><Relationship Id="rId34" Type="http://schemas.openxmlformats.org/officeDocument/2006/relationships/hyperlink" Target="https://www.loom.com/i/6db2c02a62d54f2198f53875fbcd1c41" TargetMode="External"/><Relationship Id="rId37" Type="http://schemas.openxmlformats.org/officeDocument/2006/relationships/hyperlink" Target="https://www.loom.com/i/606a9e9ee8294644b56c06cd0a4730a8" TargetMode="External"/><Relationship Id="rId36" Type="http://schemas.openxmlformats.org/officeDocument/2006/relationships/hyperlink" Target="https://www.loom.com/i/3d7dd662c6b7452c9db5b7e6f730201a" TargetMode="External"/><Relationship Id="rId39" Type="http://schemas.openxmlformats.org/officeDocument/2006/relationships/hyperlink" Target="https://www.loom.com/i/4f24ea6162044b75b015f279eef77af2" TargetMode="External"/><Relationship Id="rId38" Type="http://schemas.openxmlformats.org/officeDocument/2006/relationships/hyperlink" Target="https://www.loom.com/i/9db5cf9d907a4fe78f63ca3f92cac762" TargetMode="External"/><Relationship Id="rId20" Type="http://schemas.openxmlformats.org/officeDocument/2006/relationships/hyperlink" Target="https://www.loom.com/i/8d585bd763694e24bf8d6d5adf23fb0d"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loom.com/i/f72391bdcf20474aba970845ac0967ec" TargetMode="External"/><Relationship Id="rId24" Type="http://schemas.openxmlformats.org/officeDocument/2006/relationships/hyperlink" Target="https://loom.com/i/c98bb5b1ecdd4639854862421a9cf4ad" TargetMode="External"/><Relationship Id="rId23" Type="http://schemas.openxmlformats.org/officeDocument/2006/relationships/hyperlink" Target="https://www.loom.com/i/51c4be234fba4b878282541aadc85eaa" TargetMode="External"/><Relationship Id="rId409" Type="http://schemas.openxmlformats.org/officeDocument/2006/relationships/hyperlink" Target="https://www.loom.com/i/05f684dc40e2419db2043c9a6fae1158" TargetMode="External"/><Relationship Id="rId404" Type="http://schemas.openxmlformats.org/officeDocument/2006/relationships/hyperlink" Target="https://sbi-devsit1.sbicard.com/html/en/personal/credit-cards/sbi-card-miles-elite.html" TargetMode="External"/><Relationship Id="rId403" Type="http://schemas.openxmlformats.org/officeDocument/2006/relationships/hyperlink" Target="https://www.loom.com/i/3cbe6117a137476d9606592b9b304de5" TargetMode="External"/><Relationship Id="rId402" Type="http://schemas.openxmlformats.org/officeDocument/2006/relationships/hyperlink" Target="https://sbi-devsit1.sbicard.com/html/en/personal/credit-cards/krisflyer-sbi-card-apex.html" TargetMode="External"/><Relationship Id="rId401" Type="http://schemas.openxmlformats.org/officeDocument/2006/relationships/hyperlink" Target="https://www.loom.com/i/8c4245cbb1824cd187d66ebed82bb295" TargetMode="External"/><Relationship Id="rId408" Type="http://schemas.openxmlformats.org/officeDocument/2006/relationships/hyperlink" Target="https://www.loom.com/i/cea774152789409089a30e3561e73b4e" TargetMode="External"/><Relationship Id="rId407" Type="http://schemas.openxmlformats.org/officeDocument/2006/relationships/hyperlink" Target="https://sbi-devsit1.sbicard.com/html/en/personal/credit-cards/paytm-sbi-card.html" TargetMode="External"/><Relationship Id="rId406" Type="http://schemas.openxmlformats.org/officeDocument/2006/relationships/hyperlink" Target="https://www.loom.com/i/db914844b35845d192834973058b6a79" TargetMode="External"/><Relationship Id="rId405" Type="http://schemas.openxmlformats.org/officeDocument/2006/relationships/hyperlink" Target="https://www.loom.com/i/ce7b48105b7344dfb2bc917b901bef67" TargetMode="External"/><Relationship Id="rId26" Type="http://schemas.openxmlformats.org/officeDocument/2006/relationships/hyperlink" Target="https://www.loom.com/i/ec147138115248e0acf54c5a31746744" TargetMode="External"/><Relationship Id="rId25" Type="http://schemas.openxmlformats.org/officeDocument/2006/relationships/hyperlink" Target="https://sbi-devsit1.sbicard.com/html/en/personal/credit-cards/phonepe-sbi-card-select-black.html" TargetMode="External"/><Relationship Id="rId28" Type="http://schemas.openxmlformats.org/officeDocument/2006/relationships/hyperlink" Target="https://sbi-sit1.sbicard.com/html/en/personal/credit-cards/phonepe-sbi-card-purple.html" TargetMode="External"/><Relationship Id="rId27" Type="http://schemas.openxmlformats.org/officeDocument/2006/relationships/hyperlink" Target="https://loom.com/i/22eff35d30b8438dace8b835ea4e2d97" TargetMode="External"/><Relationship Id="rId400" Type="http://schemas.openxmlformats.org/officeDocument/2006/relationships/hyperlink" Target="https://www.loom.com/i/59128d7a7b0f49d2ab379c4d40d5dfc0" TargetMode="External"/><Relationship Id="rId29" Type="http://schemas.openxmlformats.org/officeDocument/2006/relationships/hyperlink" Target="https://www.loom.com/i/a5c3f477acee43bb96c8ceaca58438b2" TargetMode="External"/><Relationship Id="rId11" Type="http://schemas.openxmlformats.org/officeDocument/2006/relationships/hyperlink" Target="https://www.loom.com/i/856c78bc300641e881d684e2cfd23273" TargetMode="External"/><Relationship Id="rId10" Type="http://schemas.openxmlformats.org/officeDocument/2006/relationships/hyperlink" Target="https://www.loom.com/i/0b9c2b10d15449279bc29bb8ec4137cd" TargetMode="External"/><Relationship Id="rId13" Type="http://schemas.openxmlformats.org/officeDocument/2006/relationships/hyperlink" Target="https://www.loom.com/i/a71eb70f74ae44748f5143cf6eb3f477" TargetMode="External"/><Relationship Id="rId12" Type="http://schemas.openxmlformats.org/officeDocument/2006/relationships/hyperlink" Target="https://www.loom.com/i/d729703155714891b3713795ee49da2e" TargetMode="External"/><Relationship Id="rId15" Type="http://schemas.openxmlformats.org/officeDocument/2006/relationships/hyperlink" Target="https://www.loom.com/i/e779dab1820143d28438af4ca04d0fb4" TargetMode="External"/><Relationship Id="rId14" Type="http://schemas.openxmlformats.org/officeDocument/2006/relationships/hyperlink" Target="https://www.loom.com/i/8e26b32ca7774251922bf5c1baf01466" TargetMode="External"/><Relationship Id="rId17" Type="http://schemas.openxmlformats.org/officeDocument/2006/relationships/hyperlink" Target="https://sbi-devsit1.sbicard.com/html/en/personal/credit-cards/tata-neu-plus-sbi-card.html" TargetMode="External"/><Relationship Id="rId16" Type="http://schemas.openxmlformats.org/officeDocument/2006/relationships/hyperlink" Target="https://www.loom.com/i/0aa02ccf79ac4b419fe2adfefbf9596f" TargetMode="External"/><Relationship Id="rId19" Type="http://schemas.openxmlformats.org/officeDocument/2006/relationships/hyperlink" Target="https://www.loom.com/i/147b28ffe90b435b87bb299177225405" TargetMode="External"/><Relationship Id="rId18" Type="http://schemas.openxmlformats.org/officeDocument/2006/relationships/hyperlink" Target="https://www.loom.com/i/f69ca5a0b1c840ce8d22ec978928ed51" TargetMode="External"/><Relationship Id="rId84" Type="http://schemas.openxmlformats.org/officeDocument/2006/relationships/hyperlink" Target="https://www.loom.com/i/ebfac4918b834347833ff07103b44ea2" TargetMode="External"/><Relationship Id="rId83" Type="http://schemas.openxmlformats.org/officeDocument/2006/relationships/hyperlink" Target="https://www.loom.com/i/c36fbec3c7cb4fa0ab2aa5dd342c1d6f" TargetMode="External"/><Relationship Id="rId86" Type="http://schemas.openxmlformats.org/officeDocument/2006/relationships/hyperlink" Target="https://www.loom.com/i/9a48147ba88e45c882730286eac0387a" TargetMode="External"/><Relationship Id="rId85" Type="http://schemas.openxmlformats.org/officeDocument/2006/relationships/hyperlink" Target="https://www.loom.com/i/29a3d6758b8d4c40b87a3471f8c429d4" TargetMode="External"/><Relationship Id="rId88" Type="http://schemas.openxmlformats.org/officeDocument/2006/relationships/hyperlink" Target="https://www.loom.com/i/1496f38524954fe4b77db21e44207c7b" TargetMode="External"/><Relationship Id="rId87" Type="http://schemas.openxmlformats.org/officeDocument/2006/relationships/hyperlink" Target="https://www.loom.com/i/16221f518dd44e2fa13f99f4ba08828c" TargetMode="External"/><Relationship Id="rId89" Type="http://schemas.openxmlformats.org/officeDocument/2006/relationships/hyperlink" Target="https://www.loom.com/i/5b603116c88249f8933693cdd6915560" TargetMode="External"/><Relationship Id="rId80" Type="http://schemas.openxmlformats.org/officeDocument/2006/relationships/hyperlink" Target="https://www.loom.com/i/fd6122bbe9c7477295f2e3ffbd37e47e" TargetMode="External"/><Relationship Id="rId82" Type="http://schemas.openxmlformats.org/officeDocument/2006/relationships/hyperlink" Target="https://www.loom.com/i/c96e89c7f8b64143b8335f65bc484e78" TargetMode="External"/><Relationship Id="rId81" Type="http://schemas.openxmlformats.org/officeDocument/2006/relationships/hyperlink" Target="https://www.loom.com/i/22ccbce210a941bd99dc9187b5a5c4bc" TargetMode="External"/><Relationship Id="rId73" Type="http://schemas.openxmlformats.org/officeDocument/2006/relationships/hyperlink" Target="https://www.loom.com/i/e21f13e7c3aa47ce90b06799115059e4" TargetMode="External"/><Relationship Id="rId72" Type="http://schemas.openxmlformats.org/officeDocument/2006/relationships/hyperlink" Target="https://sbi-devsit1.sbicard.com/html/en/personal/credit-cards/sbi-card-miles-elite.html" TargetMode="External"/><Relationship Id="rId75" Type="http://schemas.openxmlformats.org/officeDocument/2006/relationships/hyperlink" Target="https://www.loom.com/i/6442a03ded404301adb22bd6053a0496" TargetMode="External"/><Relationship Id="rId74" Type="http://schemas.openxmlformats.org/officeDocument/2006/relationships/hyperlink" Target="https://www.loom.com/i/c297013ccccf49529bf070a408552cef" TargetMode="External"/><Relationship Id="rId77" Type="http://schemas.openxmlformats.org/officeDocument/2006/relationships/hyperlink" Target="https://www.loom.com/i/28422c1973a6489c829baf86471554c6" TargetMode="External"/><Relationship Id="rId76" Type="http://schemas.openxmlformats.org/officeDocument/2006/relationships/hyperlink" Target="https://www.loom.com/i/43795b2b055b41618ac4ec991a2690cb" TargetMode="External"/><Relationship Id="rId79" Type="http://schemas.openxmlformats.org/officeDocument/2006/relationships/hyperlink" Target="https://loom.com/i/dc56f7bc5efc4c9c9882902debbf1e2c" TargetMode="External"/><Relationship Id="rId78" Type="http://schemas.openxmlformats.org/officeDocument/2006/relationships/hyperlink" Target="https://www.loom.com/i/9d304da990314f08b0bbabe4d80b85fc" TargetMode="External"/><Relationship Id="rId71" Type="http://schemas.openxmlformats.org/officeDocument/2006/relationships/hyperlink" Target="https://www.loom.com/i/3100379b7845431eb74bc357e88db11c" TargetMode="External"/><Relationship Id="rId70" Type="http://schemas.openxmlformats.org/officeDocument/2006/relationships/hyperlink" Target="https://www.loom.com/i/78a969c02ba5405e994aafde832d2ad8" TargetMode="External"/><Relationship Id="rId62" Type="http://schemas.openxmlformats.org/officeDocument/2006/relationships/hyperlink" Target="https://www.loom.com/i/f9acfe851efc414bbdea209e87a1b3b9" TargetMode="External"/><Relationship Id="rId61" Type="http://schemas.openxmlformats.org/officeDocument/2006/relationships/hyperlink" Target="https://www.loom.com/i/a0b18d960f724356a74c3d7cc4facc54" TargetMode="External"/><Relationship Id="rId64" Type="http://schemas.openxmlformats.org/officeDocument/2006/relationships/hyperlink" Target="https://www.loom.com/i/a3645c10ac3c485bb25fbd438fdf439d" TargetMode="External"/><Relationship Id="rId63" Type="http://schemas.openxmlformats.org/officeDocument/2006/relationships/hyperlink" Target="https://www.loom.com/i/114e092a8cd84f4c96247fbd5d28bc56" TargetMode="External"/><Relationship Id="rId66" Type="http://schemas.openxmlformats.org/officeDocument/2006/relationships/hyperlink" Target="https://www.loom.com/i/0bf2d764dac9413b859809909c6d329d" TargetMode="External"/><Relationship Id="rId65" Type="http://schemas.openxmlformats.org/officeDocument/2006/relationships/hyperlink" Target="https://www.loom.com/i/1297ba3b0aba4d9a8c6ee22bc1832e8f" TargetMode="External"/><Relationship Id="rId68" Type="http://schemas.openxmlformats.org/officeDocument/2006/relationships/hyperlink" Target="https://www.loom.com/i/a862282b3a5c47e6be45a0c9eb77457d" TargetMode="External"/><Relationship Id="rId67" Type="http://schemas.openxmlformats.org/officeDocument/2006/relationships/hyperlink" Target="https://www.loom.com/i/2129ce6bb8f5481e9f6fe272a9a9668e" TargetMode="External"/><Relationship Id="rId60" Type="http://schemas.openxmlformats.org/officeDocument/2006/relationships/hyperlink" Target="https://www.loom.com/i/22521583dcf646c8b30d2b7becd606fe" TargetMode="External"/><Relationship Id="rId69" Type="http://schemas.openxmlformats.org/officeDocument/2006/relationships/hyperlink" Target="https://www.loom.com/i/f438b325fd5a43058e670e6c5a93baf1" TargetMode="External"/><Relationship Id="rId51" Type="http://schemas.openxmlformats.org/officeDocument/2006/relationships/hyperlink" Target="https://www.loom.com/i/94ed24df991d4497b14fc43e33bbd6f4" TargetMode="External"/><Relationship Id="rId50" Type="http://schemas.openxmlformats.org/officeDocument/2006/relationships/hyperlink" Target="https://www.loom.com/i/43543f1d0c3246a3be901423c2a2aa78" TargetMode="External"/><Relationship Id="rId53" Type="http://schemas.openxmlformats.org/officeDocument/2006/relationships/hyperlink" Target="https://sbi-devsit1.sbicard.com/html/en/personal/credit-cards/tata-neu-infinity-sbi-card.html" TargetMode="External"/><Relationship Id="rId52" Type="http://schemas.openxmlformats.org/officeDocument/2006/relationships/hyperlink" Target="https://www.loom.com/i/f21763bc96f249eabae5beebbdcae735" TargetMode="External"/><Relationship Id="rId55" Type="http://schemas.openxmlformats.org/officeDocument/2006/relationships/hyperlink" Target="https://sbi-devsit1.sbicard.com/html/en/personal/credit-cards/sbi-card-pulse.html" TargetMode="External"/><Relationship Id="rId54" Type="http://schemas.openxmlformats.org/officeDocument/2006/relationships/hyperlink" Target="https://www.loom.com/i/c617398232e64925886d8bb90664d8ed" TargetMode="External"/><Relationship Id="rId57" Type="http://schemas.openxmlformats.org/officeDocument/2006/relationships/hyperlink" Target="https://www.loom.com/i/0182ac624ab64dda80dfeac298bb7d34" TargetMode="External"/><Relationship Id="rId56" Type="http://schemas.openxmlformats.org/officeDocument/2006/relationships/hyperlink" Target="https://www.loom.com/i/28efaaf5e19e41fabff50cfa786b4093" TargetMode="External"/><Relationship Id="rId59" Type="http://schemas.openxmlformats.org/officeDocument/2006/relationships/hyperlink" Target="https://www.loom.com/i/51add941ab554d9bbacdef1dcbddb9e2" TargetMode="External"/><Relationship Id="rId58" Type="http://schemas.openxmlformats.org/officeDocument/2006/relationships/hyperlink" Target="https://www.loom.com/i/f27553d6edd848599526b405386a21f9" TargetMode="External"/><Relationship Id="rId107" Type="http://schemas.openxmlformats.org/officeDocument/2006/relationships/hyperlink" Target="https://www.loom.com/i/d6e4b711059f43abb2f03112444b1d56" TargetMode="External"/><Relationship Id="rId228" Type="http://schemas.openxmlformats.org/officeDocument/2006/relationships/hyperlink" Target="https://www.loom.com/i/7c168baf2e6246c18e8c325e5b1af158" TargetMode="External"/><Relationship Id="rId349" Type="http://schemas.openxmlformats.org/officeDocument/2006/relationships/hyperlink" Target="https://sbi-devsit1.sbicard.com/html/en/personal/credit-cards/landmark-sbi-card-select.html" TargetMode="External"/><Relationship Id="rId106" Type="http://schemas.openxmlformats.org/officeDocument/2006/relationships/hyperlink" Target="https://www.loom.com/i/186913c3d91343eaa9bb68e179035606" TargetMode="External"/><Relationship Id="rId227" Type="http://schemas.openxmlformats.org/officeDocument/2006/relationships/hyperlink" Target="https://www.loom.com/i/943a31911432400cbef657ae40414f8f" TargetMode="External"/><Relationship Id="rId348" Type="http://schemas.openxmlformats.org/officeDocument/2006/relationships/hyperlink" Target="https://www.loom.com/i/845e4e6b5c864401856ca19306075dc9" TargetMode="External"/><Relationship Id="rId105" Type="http://schemas.openxmlformats.org/officeDocument/2006/relationships/hyperlink" Target="https://www.loom.com/i/02a7f225684d49be9d124b552a9c70ef" TargetMode="External"/><Relationship Id="rId226" Type="http://schemas.openxmlformats.org/officeDocument/2006/relationships/hyperlink" Target="https://www.loom.com/i/f560b484cfa041379fe94958c5b77049" TargetMode="External"/><Relationship Id="rId347" Type="http://schemas.openxmlformats.org/officeDocument/2006/relationships/hyperlink" Target="https://sbi-devsit1.sbicard.com/html/en/personal/credit-cards/apollo-sbi-card-select.html" TargetMode="External"/><Relationship Id="rId104" Type="http://schemas.openxmlformats.org/officeDocument/2006/relationships/hyperlink" Target="https://www.loom.com/i/e194faec69e54db98f0e4fe45f09d9e1" TargetMode="External"/><Relationship Id="rId225" Type="http://schemas.openxmlformats.org/officeDocument/2006/relationships/hyperlink" Target="https://www.loom.com/i/0bdaf97e04454c2c85481287e65a3568" TargetMode="External"/><Relationship Id="rId346" Type="http://schemas.openxmlformats.org/officeDocument/2006/relationships/hyperlink" Target="https://www.loom.com/i/90c7ddf284d347329bfc150ef8bc9c49" TargetMode="External"/><Relationship Id="rId109" Type="http://schemas.openxmlformats.org/officeDocument/2006/relationships/hyperlink" Target="https://loom.com/i/dc56f7bc5efc4c9c9882902debbf1e2c" TargetMode="External"/><Relationship Id="rId108" Type="http://schemas.openxmlformats.org/officeDocument/2006/relationships/hyperlink" Target="https://www.loom.com/i/9d304da990314f08b0bbabe4d80b85fc" TargetMode="External"/><Relationship Id="rId229" Type="http://schemas.openxmlformats.org/officeDocument/2006/relationships/hyperlink" Target="https://www.loom.com/i/afd68fa9698340cd9d9f632f52f358cf" TargetMode="External"/><Relationship Id="rId220" Type="http://schemas.openxmlformats.org/officeDocument/2006/relationships/hyperlink" Target="https://www.loom.com/i/2d454e9ab0d24a9887c4cb91f39aa7ab" TargetMode="External"/><Relationship Id="rId341" Type="http://schemas.openxmlformats.org/officeDocument/2006/relationships/hyperlink" Target="https://www.loom.com/i/0f48e34cbc62473fb1b767cce9e1fa8c" TargetMode="External"/><Relationship Id="rId462" Type="http://schemas.openxmlformats.org/officeDocument/2006/relationships/drawing" Target="../drawings/drawing13.xml"/><Relationship Id="rId340" Type="http://schemas.openxmlformats.org/officeDocument/2006/relationships/hyperlink" Target="https://www.loom.com/i/67128e9dc7b542cc90eecec3ce2405f5" TargetMode="External"/><Relationship Id="rId461" Type="http://schemas.openxmlformats.org/officeDocument/2006/relationships/hyperlink" Target="https://www.loom.com/i/bb03412f169c4f048ff057b293919125" TargetMode="External"/><Relationship Id="rId460" Type="http://schemas.openxmlformats.org/officeDocument/2006/relationships/hyperlink" Target="https://www.loom.com/i/2c76cdc7775844419d304381a636b017" TargetMode="External"/><Relationship Id="rId103" Type="http://schemas.openxmlformats.org/officeDocument/2006/relationships/hyperlink" Target="https://www.loom.com/i/8f30c6c2f1e348c0a5101f3169d66d8b" TargetMode="External"/><Relationship Id="rId224" Type="http://schemas.openxmlformats.org/officeDocument/2006/relationships/hyperlink" Target="https://www.loom.com/i/871af47834a84b91accbd03fe4105dfc" TargetMode="External"/><Relationship Id="rId345" Type="http://schemas.openxmlformats.org/officeDocument/2006/relationships/hyperlink" Target="https://www.loom.com/i/d6b79eb2355741c28f1f2f9991827f5f" TargetMode="External"/><Relationship Id="rId102" Type="http://schemas.openxmlformats.org/officeDocument/2006/relationships/hyperlink" Target="https://www.loom.com/i/84232708c662410da49a54c90a39d8e1" TargetMode="External"/><Relationship Id="rId223" Type="http://schemas.openxmlformats.org/officeDocument/2006/relationships/hyperlink" Target="https://www.loom.com/i/41b1059ca95e44538b4d327ec989bd31" TargetMode="External"/><Relationship Id="rId344" Type="http://schemas.openxmlformats.org/officeDocument/2006/relationships/hyperlink" Target="https://www.loom.com/i/53bf4430ead84696b197b44f625d44f1" TargetMode="External"/><Relationship Id="rId101" Type="http://schemas.openxmlformats.org/officeDocument/2006/relationships/hyperlink" Target="https://www.loom.com/i/78ace2db7b7d49058e26f5eafc36e2b4" TargetMode="External"/><Relationship Id="rId222" Type="http://schemas.openxmlformats.org/officeDocument/2006/relationships/hyperlink" Target="https://www.loom.com/i/848358d5b1c2478d9280e112327d4cc0" TargetMode="External"/><Relationship Id="rId343" Type="http://schemas.openxmlformats.org/officeDocument/2006/relationships/hyperlink" Target="https://www.loom.com/i/52a684d6551347c6a47f2356d5b802bd" TargetMode="External"/><Relationship Id="rId100" Type="http://schemas.openxmlformats.org/officeDocument/2006/relationships/hyperlink" Target="https://www.loom.com/i/171eb1dae3e740e5b23d983a98eeefe0" TargetMode="External"/><Relationship Id="rId221" Type="http://schemas.openxmlformats.org/officeDocument/2006/relationships/hyperlink" Target="https://www.loom.com/i/6ca429628f7242eabcb19e7cf41701c4" TargetMode="External"/><Relationship Id="rId342" Type="http://schemas.openxmlformats.org/officeDocument/2006/relationships/hyperlink" Target="https://www.loom.com/i/43e14d30fa0f489bbfa8bd65d2452362" TargetMode="External"/><Relationship Id="rId217" Type="http://schemas.openxmlformats.org/officeDocument/2006/relationships/hyperlink" Target="https://www.loom.com/i/4e748316d3d74f948d9b57648760bbf6" TargetMode="External"/><Relationship Id="rId338" Type="http://schemas.openxmlformats.org/officeDocument/2006/relationships/hyperlink" Target="https://www.loom.com/i/0f8cae3cce00443788cd58ad17b561eb" TargetMode="External"/><Relationship Id="rId459" Type="http://schemas.openxmlformats.org/officeDocument/2006/relationships/hyperlink" Target="https://loom.com/i/f603c4b6d6074f479f5e1d081604d2a3" TargetMode="External"/><Relationship Id="rId216" Type="http://schemas.openxmlformats.org/officeDocument/2006/relationships/hyperlink" Target="https://www.loom.com/i/3bebba6f1dcf473e8f05af468aa237e9" TargetMode="External"/><Relationship Id="rId337" Type="http://schemas.openxmlformats.org/officeDocument/2006/relationships/hyperlink" Target="https://www.loom.com/i/ed2bdb65388f4ed8a81a68c3c9b17baa" TargetMode="External"/><Relationship Id="rId458" Type="http://schemas.openxmlformats.org/officeDocument/2006/relationships/hyperlink" Target="https://www.loom.com/i/26d276fb3cad47a297709e514ff96fa7" TargetMode="External"/><Relationship Id="rId215" Type="http://schemas.openxmlformats.org/officeDocument/2006/relationships/hyperlink" Target="https://www.loom.com/i/31fd70c864654a98b04428de5905d7d1%60" TargetMode="External"/><Relationship Id="rId336" Type="http://schemas.openxmlformats.org/officeDocument/2006/relationships/hyperlink" Target="https://sbi-devsit1.sbicard.com/html/en/personal/credit-cards/cashback-sbi-card.html" TargetMode="External"/><Relationship Id="rId457" Type="http://schemas.openxmlformats.org/officeDocument/2006/relationships/hyperlink" Target="https://www.loom.com/share/b36e824267b04154b480c4f55f0e9b85" TargetMode="External"/><Relationship Id="rId214" Type="http://schemas.openxmlformats.org/officeDocument/2006/relationships/hyperlink" Target="https://www.loom.com/i/1f77644eab65480abda038b9e10f970f" TargetMode="External"/><Relationship Id="rId335" Type="http://schemas.openxmlformats.org/officeDocument/2006/relationships/hyperlink" Target="https://www.loom.com/i/cd88c6785d004ee4a3127ad84330a665" TargetMode="External"/><Relationship Id="rId456" Type="http://schemas.openxmlformats.org/officeDocument/2006/relationships/hyperlink" Target="https://www.loom.com/i/2c984bfe189141d8b66b416bab52dda2" TargetMode="External"/><Relationship Id="rId219" Type="http://schemas.openxmlformats.org/officeDocument/2006/relationships/hyperlink" Target="https://www.loom.com/i/4e5f6886ee1e4626878ff4049f158853" TargetMode="External"/><Relationship Id="rId218" Type="http://schemas.openxmlformats.org/officeDocument/2006/relationships/hyperlink" Target="https://www.loom.com/i/e9a82053b1e8493a9c3daa1781adb81f" TargetMode="External"/><Relationship Id="rId339" Type="http://schemas.openxmlformats.org/officeDocument/2006/relationships/hyperlink" Target="https://www.loom.com/i/df0788edf60d440b89026c6f253866cc" TargetMode="External"/><Relationship Id="rId330" Type="http://schemas.openxmlformats.org/officeDocument/2006/relationships/hyperlink" Target="https://sbi-devsit1.sbicard.com/html/en/personal/credit-cards/phonepe-sbi-card-select-black.html" TargetMode="External"/><Relationship Id="rId451" Type="http://schemas.openxmlformats.org/officeDocument/2006/relationships/hyperlink" Target="https://loom.com/i/6f8acd44ed524434a9e4e74b02db9534" TargetMode="External"/><Relationship Id="rId450" Type="http://schemas.openxmlformats.org/officeDocument/2006/relationships/hyperlink" Target="https://www.loom.com/i/f9d9b3de04aa4ccd9e2fe5c8044c5fbc" TargetMode="External"/><Relationship Id="rId213" Type="http://schemas.openxmlformats.org/officeDocument/2006/relationships/hyperlink" Target="https://www.loom.com/i/b18f7548681f4af19a8d11698d39d08f" TargetMode="External"/><Relationship Id="rId334" Type="http://schemas.openxmlformats.org/officeDocument/2006/relationships/hyperlink" Target="https://www.loom.com/i/98ba76c3fd0045bf88f81d274c87a92a" TargetMode="External"/><Relationship Id="rId455" Type="http://schemas.openxmlformats.org/officeDocument/2006/relationships/hyperlink" Target="https://www.loom.com/i/c6a7e68b25df43f59920429cbb005b35" TargetMode="External"/><Relationship Id="rId212" Type="http://schemas.openxmlformats.org/officeDocument/2006/relationships/hyperlink" Target="https://www.loom.com/i/d25a05b60199429196c7a7767111c28b" TargetMode="External"/><Relationship Id="rId333" Type="http://schemas.openxmlformats.org/officeDocument/2006/relationships/hyperlink" Target="https://www.loom.com/i/cf2390b8ae0e4005a13ab5ec1e2143af" TargetMode="External"/><Relationship Id="rId454" Type="http://schemas.openxmlformats.org/officeDocument/2006/relationships/hyperlink" Target="https://loom.com/i/1093d8e1f08f410c8af5b544cdcd2bd2" TargetMode="External"/><Relationship Id="rId211" Type="http://schemas.openxmlformats.org/officeDocument/2006/relationships/hyperlink" Target="https://www.loom.com/i/562910e1d5fa4859b109c587c23ca099" TargetMode="External"/><Relationship Id="rId332" Type="http://schemas.openxmlformats.org/officeDocument/2006/relationships/hyperlink" Target="https://sbi-devsit1.sbicard.com/html/en/personal/credit-cards/sbi-card-pulse.html" TargetMode="External"/><Relationship Id="rId453" Type="http://schemas.openxmlformats.org/officeDocument/2006/relationships/hyperlink" Target="https://loom.com/i/51686056e2cc47dea365a43b1b80bea7" TargetMode="External"/><Relationship Id="rId210" Type="http://schemas.openxmlformats.org/officeDocument/2006/relationships/hyperlink" Target="https://sbi-devsit1.sbicard.com/html/en/personal/credit-cards/doctors-sbi-card.html" TargetMode="External"/><Relationship Id="rId331" Type="http://schemas.openxmlformats.org/officeDocument/2006/relationships/hyperlink" Target="https://www.loom.com/i/a1b1f0ff62d247d6831981700ba2d366" TargetMode="External"/><Relationship Id="rId452" Type="http://schemas.openxmlformats.org/officeDocument/2006/relationships/hyperlink" Target="https://loom.com/i/bdd7db005c2d4a8b87a69f298e81333c" TargetMode="External"/><Relationship Id="rId370" Type="http://schemas.openxmlformats.org/officeDocument/2006/relationships/hyperlink" Target="https://www.loom.com/i/333e5f190e014d2c92ed79705229d247" TargetMode="External"/><Relationship Id="rId129" Type="http://schemas.openxmlformats.org/officeDocument/2006/relationships/hyperlink" Target="https://www.loom.com/i/9c0afc60c04e42f686e4b4296a7c629d" TargetMode="External"/><Relationship Id="rId128" Type="http://schemas.openxmlformats.org/officeDocument/2006/relationships/hyperlink" Target="https://www.loom.com/i/027749196e1d42758399265f252c547c" TargetMode="External"/><Relationship Id="rId249" Type="http://schemas.openxmlformats.org/officeDocument/2006/relationships/hyperlink" Target="https://www.loom.com/i/90a4647021bb4d7c873f447fa8377dab" TargetMode="External"/><Relationship Id="rId127" Type="http://schemas.openxmlformats.org/officeDocument/2006/relationships/hyperlink" Target="https://www.loom.com/i/895040f7df834440ac46b16d18d50a40" TargetMode="External"/><Relationship Id="rId248" Type="http://schemas.openxmlformats.org/officeDocument/2006/relationships/hyperlink" Target="https://www.loom.com/i/20117722017c4e569d3994476cf53d1a" TargetMode="External"/><Relationship Id="rId369" Type="http://schemas.openxmlformats.org/officeDocument/2006/relationships/hyperlink" Target="https://sbi-devsit1.sbicard.com/html/en/personal/credit-cards/club-vistara-sbi-card-prime.html" TargetMode="External"/><Relationship Id="rId126" Type="http://schemas.openxmlformats.org/officeDocument/2006/relationships/hyperlink" Target="https://www.loom.com/i/f2d596f994274beeb2eccce42b446358" TargetMode="External"/><Relationship Id="rId247" Type="http://schemas.openxmlformats.org/officeDocument/2006/relationships/hyperlink" Target="https://www.loom.com/i/d8dca39d16c24631834c651e1bd2dffa" TargetMode="External"/><Relationship Id="rId368" Type="http://schemas.openxmlformats.org/officeDocument/2006/relationships/hyperlink" Target="https://www.loom.com/i/2bac8df5d0094e6295f97bb5a8c3896f" TargetMode="External"/><Relationship Id="rId121" Type="http://schemas.openxmlformats.org/officeDocument/2006/relationships/hyperlink" Target="https://www.loom.com/i/488773225307469d9f5bd5ad9e488d12" TargetMode="External"/><Relationship Id="rId242" Type="http://schemas.openxmlformats.org/officeDocument/2006/relationships/hyperlink" Target="https://www.loom.com/i/e31b7adfb13a475fabd565b8b8913c52" TargetMode="External"/><Relationship Id="rId363" Type="http://schemas.openxmlformats.org/officeDocument/2006/relationships/hyperlink" Target="https://sbi-devsit1.sbicard.com/html/en/personal/credit-cards/bpcl-sbi-card-octane.html" TargetMode="External"/><Relationship Id="rId120" Type="http://schemas.openxmlformats.org/officeDocument/2006/relationships/hyperlink" Target="https://www.loom.com/i/69b996d333de4cf5ae7e17dcc50ccfed" TargetMode="External"/><Relationship Id="rId241" Type="http://schemas.openxmlformats.org/officeDocument/2006/relationships/hyperlink" Target="https://www.loom.com/i/cbb9bfa406c647b0aea7665b66bc7fca" TargetMode="External"/><Relationship Id="rId362" Type="http://schemas.openxmlformats.org/officeDocument/2006/relationships/hyperlink" Target="https://loom.com/i/73bf2203a39348128e143d400e0289e8" TargetMode="External"/><Relationship Id="rId240" Type="http://schemas.openxmlformats.org/officeDocument/2006/relationships/hyperlink" Target="https://www.loom.com/i/122f45ec960148658890353fd33baecf" TargetMode="External"/><Relationship Id="rId361" Type="http://schemas.openxmlformats.org/officeDocument/2006/relationships/hyperlink" Target="https://loom.com/i/2ecffda2331f4e399754e3092cab57c7" TargetMode="External"/><Relationship Id="rId360" Type="http://schemas.openxmlformats.org/officeDocument/2006/relationships/hyperlink" Target="https://sbi-devsit1.sbicard.com/html/en/personal/credit-cards/bpcl-sbi-card-octane.html" TargetMode="External"/><Relationship Id="rId125" Type="http://schemas.openxmlformats.org/officeDocument/2006/relationships/hyperlink" Target="https://www.loom.com/i/0e4cc9810f7e419dbd07366a8ce83139" TargetMode="External"/><Relationship Id="rId246" Type="http://schemas.openxmlformats.org/officeDocument/2006/relationships/hyperlink" Target="https://www.loom.com/i/ad57d24456b44c2d85186ae70c68b398" TargetMode="External"/><Relationship Id="rId367" Type="http://schemas.openxmlformats.org/officeDocument/2006/relationships/hyperlink" Target="https://sbi-devsit1.sbicard.com/html/en/personal/credit-cards/apollo-sbi-card.html" TargetMode="External"/><Relationship Id="rId124" Type="http://schemas.openxmlformats.org/officeDocument/2006/relationships/hyperlink" Target="https://sbi-devsit1.sbicard.com/html/en/personal/credit-cards/sbi-card-miles.html" TargetMode="External"/><Relationship Id="rId245" Type="http://schemas.openxmlformats.org/officeDocument/2006/relationships/hyperlink" Target="https://www.loom.com/i/2c4adae353f747698e7a336e64ff7896" TargetMode="External"/><Relationship Id="rId366" Type="http://schemas.openxmlformats.org/officeDocument/2006/relationships/hyperlink" Target="https://www.loom.com/i/f75c8e032f5246f6b703361e97859c4a" TargetMode="External"/><Relationship Id="rId123" Type="http://schemas.openxmlformats.org/officeDocument/2006/relationships/hyperlink" Target="https://www.loom.com/i/765cdf18065c4f79952e27faace01896" TargetMode="External"/><Relationship Id="rId244" Type="http://schemas.openxmlformats.org/officeDocument/2006/relationships/hyperlink" Target="https://www.loom.com/i/6d5bb28b9b6b49608f066c7893f7419b" TargetMode="External"/><Relationship Id="rId365" Type="http://schemas.openxmlformats.org/officeDocument/2006/relationships/hyperlink" Target="https://sbi-devsit1.sbicard.com/html/en/personal/credit-cards/club-vistara-sbi-card.html" TargetMode="External"/><Relationship Id="rId122" Type="http://schemas.openxmlformats.org/officeDocument/2006/relationships/hyperlink" Target="https://www.loom.com/i/66d3d7195165409bb57ee15317a398bd" TargetMode="External"/><Relationship Id="rId243" Type="http://schemas.openxmlformats.org/officeDocument/2006/relationships/hyperlink" Target="https://www.loom.com/i/bce9d88cca2c4b59b594e19f68021a74" TargetMode="External"/><Relationship Id="rId364" Type="http://schemas.openxmlformats.org/officeDocument/2006/relationships/hyperlink" Target="https://www.loom.com/i/7b3599d79a6c426eb63d5d5b66bed197" TargetMode="External"/><Relationship Id="rId95" Type="http://schemas.openxmlformats.org/officeDocument/2006/relationships/hyperlink" Target="https://www.loom.com/i/a9762e19f4bd4824a8063ae8b612c1bb" TargetMode="External"/><Relationship Id="rId94" Type="http://schemas.openxmlformats.org/officeDocument/2006/relationships/hyperlink" Target="https://www.loom.com/i/1c3a1776de3a495290b1b3d5299e49c4" TargetMode="External"/><Relationship Id="rId97" Type="http://schemas.openxmlformats.org/officeDocument/2006/relationships/hyperlink" Target="https://www.loom.com/i/c4a23fb0fdee42179d397ca793533cee" TargetMode="External"/><Relationship Id="rId96" Type="http://schemas.openxmlformats.org/officeDocument/2006/relationships/hyperlink" Target="https://www.loom.com/i/fde2f788187443c4a0600daf15ad9cf9" TargetMode="External"/><Relationship Id="rId99" Type="http://schemas.openxmlformats.org/officeDocument/2006/relationships/hyperlink" Target="https://www.loom.com/i/4da57fcd0f1948c88d51843748a76ad8" TargetMode="External"/><Relationship Id="rId98" Type="http://schemas.openxmlformats.org/officeDocument/2006/relationships/hyperlink" Target="https://www.loom.com/i/988a5f6fbaf54744b230271afe75e708" TargetMode="External"/><Relationship Id="rId91" Type="http://schemas.openxmlformats.org/officeDocument/2006/relationships/hyperlink" Target="https://www.loom.com/i/8639d35fb970411abc3c2c34125dc6f5" TargetMode="External"/><Relationship Id="rId90" Type="http://schemas.openxmlformats.org/officeDocument/2006/relationships/hyperlink" Target="https://www.loom.com/i/f885c3f2eccc4b3dbca86855aea50914" TargetMode="External"/><Relationship Id="rId93" Type="http://schemas.openxmlformats.org/officeDocument/2006/relationships/hyperlink" Target="https://www.loom.com/i/09a8d0bfea304019b5eaf326a66d348a" TargetMode="External"/><Relationship Id="rId92" Type="http://schemas.openxmlformats.org/officeDocument/2006/relationships/hyperlink" Target="https://www.loom.com/i/fb960cbdfc7145dcbbdaa146488fc3a7" TargetMode="External"/><Relationship Id="rId118" Type="http://schemas.openxmlformats.org/officeDocument/2006/relationships/hyperlink" Target="https://www.loom.com/i/ff2c777cc2884375bb0ec217aa9073b8" TargetMode="External"/><Relationship Id="rId239" Type="http://schemas.openxmlformats.org/officeDocument/2006/relationships/hyperlink" Target="https://www.loom.com/i/2a0d29f334794e1fb837078bee21eb5c" TargetMode="External"/><Relationship Id="rId117" Type="http://schemas.openxmlformats.org/officeDocument/2006/relationships/hyperlink" Target="https://www.loom.com/i/140bb9a345d442d985e7d9341272f455" TargetMode="External"/><Relationship Id="rId238" Type="http://schemas.openxmlformats.org/officeDocument/2006/relationships/hyperlink" Target="https://www.loom.com/i/a107035ddd0f48299a764b54682df3c3" TargetMode="External"/><Relationship Id="rId359" Type="http://schemas.openxmlformats.org/officeDocument/2006/relationships/hyperlink" Target="https://www.loom.com/i/c58d89cd40f6402ca14639e806ccfb8b" TargetMode="External"/><Relationship Id="rId116" Type="http://schemas.openxmlformats.org/officeDocument/2006/relationships/hyperlink" Target="https://www.loom.com/i/a7c6f50f777b4d1996f7ba7c3c09a295" TargetMode="External"/><Relationship Id="rId237" Type="http://schemas.openxmlformats.org/officeDocument/2006/relationships/hyperlink" Target="https://www.loom.com/i/9a9d5c5fe3d54b4490a17492fd653fb6" TargetMode="External"/><Relationship Id="rId358" Type="http://schemas.openxmlformats.org/officeDocument/2006/relationships/hyperlink" Target="https://sbi-devsit1.sbicard.com/html/en/personal/credit-cards/etihad-guest-sbi-premier-card.html" TargetMode="External"/><Relationship Id="rId115" Type="http://schemas.openxmlformats.org/officeDocument/2006/relationships/hyperlink" Target="https://sbi-devsit1.sbicard.com/html/en/personal/credit-cards/sbi-card-elite.html" TargetMode="External"/><Relationship Id="rId236" Type="http://schemas.openxmlformats.org/officeDocument/2006/relationships/hyperlink" Target="https://www.loom.com/i/9a9d5c5fe3d54b4490a17492fd653fb6" TargetMode="External"/><Relationship Id="rId357" Type="http://schemas.openxmlformats.org/officeDocument/2006/relationships/hyperlink" Target="https://www.loom.com/i/7039bcd90ac44793a385c7d9ff64c504" TargetMode="External"/><Relationship Id="rId119" Type="http://schemas.openxmlformats.org/officeDocument/2006/relationships/hyperlink" Target="https://www.loom.com/i/a891fe7a9e0f433385a3b206e199048f" TargetMode="External"/><Relationship Id="rId110" Type="http://schemas.openxmlformats.org/officeDocument/2006/relationships/hyperlink" Target="https://www.loom.com/i/28342108ca4e48509060eaa0073aa7f6" TargetMode="External"/><Relationship Id="rId231" Type="http://schemas.openxmlformats.org/officeDocument/2006/relationships/hyperlink" Target="https://www.loom.com/i/b5e037d03c7e476c9b30fe497e7c1c58" TargetMode="External"/><Relationship Id="rId352" Type="http://schemas.openxmlformats.org/officeDocument/2006/relationships/hyperlink" Target="https://www.loom.com/i/bebb259b14064cbbbfd8a787e9e2cb0b" TargetMode="External"/><Relationship Id="rId230" Type="http://schemas.openxmlformats.org/officeDocument/2006/relationships/hyperlink" Target="https://www.loom.com/i/d0519249f14b4401ada267a5fa96628c" TargetMode="External"/><Relationship Id="rId351" Type="http://schemas.openxmlformats.org/officeDocument/2006/relationships/hyperlink" Target="https://sbi-devsit1.sbicard.com/html/en/personal/credit-cards/etihad-guest-sbi-card.html" TargetMode="External"/><Relationship Id="rId350" Type="http://schemas.openxmlformats.org/officeDocument/2006/relationships/hyperlink" Target="https://www.loom.com/i/9c336b8ec1ba4b69ab8ee977bc30f7cc" TargetMode="External"/><Relationship Id="rId114" Type="http://schemas.openxmlformats.org/officeDocument/2006/relationships/hyperlink" Target="https://www.loom.com/i/f45c4539ac73491ea847c085226913bd" TargetMode="External"/><Relationship Id="rId235" Type="http://schemas.openxmlformats.org/officeDocument/2006/relationships/hyperlink" Target="https://www.loom.com/i/542d62144eec456cb955e353024b2919" TargetMode="External"/><Relationship Id="rId356" Type="http://schemas.openxmlformats.org/officeDocument/2006/relationships/hyperlink" Target="https://sbi-devsit1.sbicard.com/html/en/personal/credit-cards/bpcl-sbi-card.html" TargetMode="External"/><Relationship Id="rId113" Type="http://schemas.openxmlformats.org/officeDocument/2006/relationships/hyperlink" Target="https://www.loom.com/i/3b931b287f0a475cb2fea121222f347c" TargetMode="External"/><Relationship Id="rId234" Type="http://schemas.openxmlformats.org/officeDocument/2006/relationships/hyperlink" Target="https://www.loom.com/i/2e9d0f912b2a49dfae91fd0bb613d7a5" TargetMode="External"/><Relationship Id="rId355" Type="http://schemas.openxmlformats.org/officeDocument/2006/relationships/hyperlink" Target="https://loom.com/i/6f4884d3fd4648488080a45acd115559" TargetMode="External"/><Relationship Id="rId112" Type="http://schemas.openxmlformats.org/officeDocument/2006/relationships/hyperlink" Target="https://www.loom.com/i/720e59e66e2d4e769ee120f618f5e5bc" TargetMode="External"/><Relationship Id="rId233" Type="http://schemas.openxmlformats.org/officeDocument/2006/relationships/hyperlink" Target="https://www.loom.com/i/5568866abcff41be997db8498a125fcc" TargetMode="External"/><Relationship Id="rId354" Type="http://schemas.openxmlformats.org/officeDocument/2006/relationships/hyperlink" Target="https://www.loom.com/i/e0c92bafc5524202a2fe13eaa848fc7c" TargetMode="External"/><Relationship Id="rId111" Type="http://schemas.openxmlformats.org/officeDocument/2006/relationships/hyperlink" Target="https://www.loom.com/i/10256f5deb5348ba9abee2dce1c248af" TargetMode="External"/><Relationship Id="rId232" Type="http://schemas.openxmlformats.org/officeDocument/2006/relationships/hyperlink" Target="https://www.loom.com/i/151d7cb3698e4eefb48fa759f0b3c48b" TargetMode="External"/><Relationship Id="rId353" Type="http://schemas.openxmlformats.org/officeDocument/2006/relationships/hyperlink" Target="https://sbi-devsit1.sbicard.com/html/en/personal/credit-cards/bpcl-sbi-card.html" TargetMode="External"/><Relationship Id="rId305" Type="http://schemas.openxmlformats.org/officeDocument/2006/relationships/hyperlink" Target="https://sbi-devsit1.sbicard.com/html/en/personal/credit-cards/sbi-card-prime.html" TargetMode="External"/><Relationship Id="rId426" Type="http://schemas.openxmlformats.org/officeDocument/2006/relationships/hyperlink" Target="https://www.loom.com/i/0dde967ca36d4faeaa4a991e49e30482" TargetMode="External"/><Relationship Id="rId304" Type="http://schemas.openxmlformats.org/officeDocument/2006/relationships/hyperlink" Target="https://www.loom.com/i/55d0616e7c274de7bb52e701fc7fa54d" TargetMode="External"/><Relationship Id="rId425" Type="http://schemas.openxmlformats.org/officeDocument/2006/relationships/hyperlink" Target="https://www.loom.com/i/4e2a554613d04b5ca2d0e2a9ff97f40d" TargetMode="External"/><Relationship Id="rId303" Type="http://schemas.openxmlformats.org/officeDocument/2006/relationships/hyperlink" Target="https://sbi-devsit1.sbicard.com/html/en/personal/credit-cards/sbi-card-elite.html" TargetMode="External"/><Relationship Id="rId424" Type="http://schemas.openxmlformats.org/officeDocument/2006/relationships/hyperlink" Target="https://www.loom.com/i/eb095c97e791434ea14e37c02c8f6979" TargetMode="External"/><Relationship Id="rId302" Type="http://schemas.openxmlformats.org/officeDocument/2006/relationships/hyperlink" Target="https://www.loom.com/i/ce18e01a8c1b4fdb94eb26d73176756b" TargetMode="External"/><Relationship Id="rId423" Type="http://schemas.openxmlformats.org/officeDocument/2006/relationships/hyperlink" Target="https://loom.com/i/17e0209838aa47ec8350868eba7ad895" TargetMode="External"/><Relationship Id="rId309" Type="http://schemas.openxmlformats.org/officeDocument/2006/relationships/hyperlink" Target="https://sbi-devsit1.sbicard.com/html/en/personal/credit-cards/sbi-card-miles.html" TargetMode="External"/><Relationship Id="rId308" Type="http://schemas.openxmlformats.org/officeDocument/2006/relationships/hyperlink" Target="https://www.loom.com/i/18897e5fe0914e7e9f98529ae7b595d7" TargetMode="External"/><Relationship Id="rId429" Type="http://schemas.openxmlformats.org/officeDocument/2006/relationships/hyperlink" Target="https://loom.com/i/1ec7b39065b34346b8160f7f150a994a" TargetMode="External"/><Relationship Id="rId307" Type="http://schemas.openxmlformats.org/officeDocument/2006/relationships/hyperlink" Target="https://sbi-devsit1.sbicard.com/html/en/personal/credit-cards/sbi-card-pulse.html" TargetMode="External"/><Relationship Id="rId428" Type="http://schemas.openxmlformats.org/officeDocument/2006/relationships/hyperlink" Target="https://www.loom.com/i/ca465be3ab7840ecb69cc5aafff39f94" TargetMode="External"/><Relationship Id="rId306" Type="http://schemas.openxmlformats.org/officeDocument/2006/relationships/hyperlink" Target="https://www.loom.com/i/69bf5022614d4b7db46306f0f658bbcb" TargetMode="External"/><Relationship Id="rId427" Type="http://schemas.openxmlformats.org/officeDocument/2006/relationships/hyperlink" Target="https://www.loom.com/i/958e3606a8d64cfa88f2122a50fb3b4e" TargetMode="External"/><Relationship Id="rId301" Type="http://schemas.openxmlformats.org/officeDocument/2006/relationships/hyperlink" Target="https://www.loom.com/i/e56455163bc14e9b96b175ff4f1650c1" TargetMode="External"/><Relationship Id="rId422" Type="http://schemas.openxmlformats.org/officeDocument/2006/relationships/hyperlink" Target="https://www.loom.com/i/7f046b31401e4a34909a186d5479452f" TargetMode="External"/><Relationship Id="rId300" Type="http://schemas.openxmlformats.org/officeDocument/2006/relationships/hyperlink" Target="https://www.loom.com/i/9055c8e9a6454f37986c87ed0f725906" TargetMode="External"/><Relationship Id="rId421" Type="http://schemas.openxmlformats.org/officeDocument/2006/relationships/hyperlink" Target="https://loom.com/i/331a311dae0a4f35969a4509a441a338" TargetMode="External"/><Relationship Id="rId420" Type="http://schemas.openxmlformats.org/officeDocument/2006/relationships/hyperlink" Target="https://loom.com/i/d837ddaac0d8409381b53291313c81f5" TargetMode="External"/><Relationship Id="rId415" Type="http://schemas.openxmlformats.org/officeDocument/2006/relationships/hyperlink" Target="https://www.loom.com/i/0b102355215b4f089ce7d9f880079b1f" TargetMode="External"/><Relationship Id="rId414" Type="http://schemas.openxmlformats.org/officeDocument/2006/relationships/hyperlink" Target="https://www.loom.com/i/b44c47656b1f42089514d6a0911291bd" TargetMode="External"/><Relationship Id="rId413" Type="http://schemas.openxmlformats.org/officeDocument/2006/relationships/hyperlink" Target="https://www.loom.com/i/b51721dc0a914016a5042a0cb4de97ed" TargetMode="External"/><Relationship Id="rId412" Type="http://schemas.openxmlformats.org/officeDocument/2006/relationships/hyperlink" Target="https://www.loom.com/i/580ed19f2a4e4426aa31f5e362dbaf76" TargetMode="External"/><Relationship Id="rId419" Type="http://schemas.openxmlformats.org/officeDocument/2006/relationships/hyperlink" Target="https://loom.com/i/fc54eba201534b0e88e35d0dd691adde" TargetMode="External"/><Relationship Id="rId418" Type="http://schemas.openxmlformats.org/officeDocument/2006/relationships/hyperlink" Target="https://www.loom.com/i/1f9ee89c0cb9402ab06a65f3442e42c5" TargetMode="External"/><Relationship Id="rId417" Type="http://schemas.openxmlformats.org/officeDocument/2006/relationships/hyperlink" Target="https://www.loom.com/i/c79c0bd2a0b54a3f92ebe5442f9fd03b" TargetMode="External"/><Relationship Id="rId416" Type="http://schemas.openxmlformats.org/officeDocument/2006/relationships/hyperlink" Target="https://www.loom.com/i/1a499222c3034e60b7b449b06a35e861" TargetMode="External"/><Relationship Id="rId411" Type="http://schemas.openxmlformats.org/officeDocument/2006/relationships/hyperlink" Target="https://www.loom.com/i/4f0c3905833a4d66954e4e76da0d9af9" TargetMode="External"/><Relationship Id="rId410" Type="http://schemas.openxmlformats.org/officeDocument/2006/relationships/hyperlink" Target="https://www.loom.com/i/4bf0dc0c418242e6b3e4306a697cf67b" TargetMode="External"/><Relationship Id="rId206" Type="http://schemas.openxmlformats.org/officeDocument/2006/relationships/hyperlink" Target="https://www.loom.com/i/575947c5f8124910ae8728bbe7d5f724" TargetMode="External"/><Relationship Id="rId327" Type="http://schemas.openxmlformats.org/officeDocument/2006/relationships/hyperlink" Target="https://www.loom.com/i/b0811f9ba08d4079ace021e42aac0d89" TargetMode="External"/><Relationship Id="rId448" Type="http://schemas.openxmlformats.org/officeDocument/2006/relationships/hyperlink" Target="https://www.loom.com/i/ca82b16029674a5b92ce7f48a3ad4f6c" TargetMode="External"/><Relationship Id="rId205" Type="http://schemas.openxmlformats.org/officeDocument/2006/relationships/hyperlink" Target="https://www.loom.com/i/fe719a2deb784beaa0aa868774b99a65" TargetMode="External"/><Relationship Id="rId326" Type="http://schemas.openxmlformats.org/officeDocument/2006/relationships/hyperlink" Target="https://sbi-devsit1.sbicard.com/html/en/personal/credit-cards/doctors-sbi-card.html" TargetMode="External"/><Relationship Id="rId447" Type="http://schemas.openxmlformats.org/officeDocument/2006/relationships/hyperlink" Target="https://www.loom.com/i/5571d31c46b44c039b289f0148ddb095" TargetMode="External"/><Relationship Id="rId204" Type="http://schemas.openxmlformats.org/officeDocument/2006/relationships/hyperlink" Target="https://www.loom.com/i/2383007d3fc9467cb7d8a8f36fad881b" TargetMode="External"/><Relationship Id="rId325" Type="http://schemas.openxmlformats.org/officeDocument/2006/relationships/hyperlink" Target="https://www.loom.com/i/f6871f09c277426481b01c29e0e638b7" TargetMode="External"/><Relationship Id="rId446" Type="http://schemas.openxmlformats.org/officeDocument/2006/relationships/hyperlink" Target="https://www.loom.com/i/18c237a848664e9da13fcfa7202d0a24" TargetMode="External"/><Relationship Id="rId203" Type="http://schemas.openxmlformats.org/officeDocument/2006/relationships/hyperlink" Target="https://www.loom.com/i/3409d02ac3e24537914e5e01814ce5fd" TargetMode="External"/><Relationship Id="rId324" Type="http://schemas.openxmlformats.org/officeDocument/2006/relationships/hyperlink" Target="https://sbi-sit1.sbicard.com/html/en/personal/credit-cards/tata-neu-infinity-sbi-card.html" TargetMode="External"/><Relationship Id="rId445" Type="http://schemas.openxmlformats.org/officeDocument/2006/relationships/hyperlink" Target="https://www.loom.com/i/1017a48d628e48b5ab85870c8ff048ab" TargetMode="External"/><Relationship Id="rId209" Type="http://schemas.openxmlformats.org/officeDocument/2006/relationships/hyperlink" Target="https://www.loom.com/i/ab857c3fd5df4049accb272724a1aef5" TargetMode="External"/><Relationship Id="rId208" Type="http://schemas.openxmlformats.org/officeDocument/2006/relationships/hyperlink" Target="https://www.loom.com/i/a41646ce221941889968a233dbce21c2" TargetMode="External"/><Relationship Id="rId329" Type="http://schemas.openxmlformats.org/officeDocument/2006/relationships/hyperlink" Target="https://www.loom.com/i/8befe6bff5ff43f388f4d44952e4bd64" TargetMode="External"/><Relationship Id="rId207" Type="http://schemas.openxmlformats.org/officeDocument/2006/relationships/hyperlink" Target="https://www.loom.com/i/d0519249f14b4401ada267a5fa96628c" TargetMode="External"/><Relationship Id="rId328" Type="http://schemas.openxmlformats.org/officeDocument/2006/relationships/hyperlink" Target="https://sbi-sit1.sbicard.com/html/en/personal/credit-cards/phonepe-sbi-card-purple.html" TargetMode="External"/><Relationship Id="rId449" Type="http://schemas.openxmlformats.org/officeDocument/2006/relationships/hyperlink" Target="https://www.loom.com/i/f54122bf6c1044c9bd2579fde44cc472" TargetMode="External"/><Relationship Id="rId440" Type="http://schemas.openxmlformats.org/officeDocument/2006/relationships/hyperlink" Target="https://www.loom.com/i/ca1e8691a8eb4c43aa313176dddf3938" TargetMode="External"/><Relationship Id="rId202" Type="http://schemas.openxmlformats.org/officeDocument/2006/relationships/hyperlink" Target="https://www.loom.com/i/ad67688854ea4d52a7081f815d18847a" TargetMode="External"/><Relationship Id="rId323" Type="http://schemas.openxmlformats.org/officeDocument/2006/relationships/hyperlink" Target="https://www.loom.com/i/454a81daa24646478fc4f2e2001a7a93" TargetMode="External"/><Relationship Id="rId444" Type="http://schemas.openxmlformats.org/officeDocument/2006/relationships/hyperlink" Target="https://www.loom.com/share/643f8c089526416ca8917e6efccab2ef" TargetMode="External"/><Relationship Id="rId201" Type="http://schemas.openxmlformats.org/officeDocument/2006/relationships/hyperlink" Target="https://www.loom.com/i/bc3dcaae290746eda1ed21456fd073f0" TargetMode="External"/><Relationship Id="rId322" Type="http://schemas.openxmlformats.org/officeDocument/2006/relationships/hyperlink" Target="https://sbi-devsit1.sbicard.com/html/en/personal/credit-cards/sbi-card-miles.html" TargetMode="External"/><Relationship Id="rId443" Type="http://schemas.openxmlformats.org/officeDocument/2006/relationships/hyperlink" Target="https://www.loom.com/share/935ba775e89f45eab397cf48fcc0eca0" TargetMode="External"/><Relationship Id="rId200" Type="http://schemas.openxmlformats.org/officeDocument/2006/relationships/hyperlink" Target="https://sbi-devsit1.sbicard.com/html/en/personal/credit-cards/doctors-ima-sbi-card.html" TargetMode="External"/><Relationship Id="rId321" Type="http://schemas.openxmlformats.org/officeDocument/2006/relationships/hyperlink" Target="https://www.loom.com/i/def342dbd94e4219a7c10b24d6b61e9d" TargetMode="External"/><Relationship Id="rId442" Type="http://schemas.openxmlformats.org/officeDocument/2006/relationships/hyperlink" Target="https://www.loom.com/i/7f0b3bb7c7d94904bbfe02f543b111b5" TargetMode="External"/><Relationship Id="rId320" Type="http://schemas.openxmlformats.org/officeDocument/2006/relationships/hyperlink" Target="https://sbi-devsit1.sbicard.com/html/en/personal/credit-cards/sbi-card-prime.html" TargetMode="External"/><Relationship Id="rId441" Type="http://schemas.openxmlformats.org/officeDocument/2006/relationships/hyperlink" Target="https://www.loom.com/i/994b645b817c4e82872c88d12070e9db" TargetMode="External"/><Relationship Id="rId316" Type="http://schemas.openxmlformats.org/officeDocument/2006/relationships/hyperlink" Target="https://www.loom.com/i/a1f49007dc3b4c4eb7a2358e38381283" TargetMode="External"/><Relationship Id="rId437" Type="http://schemas.openxmlformats.org/officeDocument/2006/relationships/hyperlink" Target="https://www.loom.com/i/ea8c423a1eb841c49c4bb0aa15a886f5" TargetMode="External"/><Relationship Id="rId315" Type="http://schemas.openxmlformats.org/officeDocument/2006/relationships/hyperlink" Target="https://sbi-devsit1.sbicard.com/html/en/personal/credit-cards/doctors-sbi-card.html" TargetMode="External"/><Relationship Id="rId436" Type="http://schemas.openxmlformats.org/officeDocument/2006/relationships/hyperlink" Target="https://www.loom.com/i/fa7ad2fa2a6f45bbb577e3eec6d61dc7" TargetMode="External"/><Relationship Id="rId314" Type="http://schemas.openxmlformats.org/officeDocument/2006/relationships/hyperlink" Target="https://www.loom.com/i/c1a18573d20f400e8c3e55618e57127f" TargetMode="External"/><Relationship Id="rId435" Type="http://schemas.openxmlformats.org/officeDocument/2006/relationships/hyperlink" Target="https://www.loom.com/i/e5dc6dac332d402bbae45b2e16dc6844" TargetMode="External"/><Relationship Id="rId313" Type="http://schemas.openxmlformats.org/officeDocument/2006/relationships/hyperlink" Target="https://sbi-devsit1.sbicard.com/html/en/personal/credit-cards/doctors-with-ima-sbi-card.html" TargetMode="External"/><Relationship Id="rId434" Type="http://schemas.openxmlformats.org/officeDocument/2006/relationships/hyperlink" Target="https://www.loom.com/i/51ea24900bf54ef686b3f78f0a0f49a7" TargetMode="External"/><Relationship Id="rId319" Type="http://schemas.openxmlformats.org/officeDocument/2006/relationships/hyperlink" Target="https://www.loom.com/share/b46e3a6e49ce4a31a156ea71e357cee0" TargetMode="External"/><Relationship Id="rId318" Type="http://schemas.openxmlformats.org/officeDocument/2006/relationships/hyperlink" Target="https://www.loom.com/i/c63944611b0a4eb3a410f5308f6f0299" TargetMode="External"/><Relationship Id="rId439" Type="http://schemas.openxmlformats.org/officeDocument/2006/relationships/hyperlink" Target="https://www.loom.com/i/c22fa40f2c08486fb0f4a5ec5bfc6799" TargetMode="External"/><Relationship Id="rId317" Type="http://schemas.openxmlformats.org/officeDocument/2006/relationships/hyperlink" Target="https://sbi-devsit1.sbicard.com/html/en/personal/credit-cards/flipkart-sbi-card.html" TargetMode="External"/><Relationship Id="rId438" Type="http://schemas.openxmlformats.org/officeDocument/2006/relationships/hyperlink" Target="https://loom.com/i/fd4c189bffd14ed4a90a5b612fac45b4" TargetMode="External"/><Relationship Id="rId312" Type="http://schemas.openxmlformats.org/officeDocument/2006/relationships/hyperlink" Target="https://www.loom.com/i/70fee7c7b5584279bb14e68d70ad3e61" TargetMode="External"/><Relationship Id="rId433" Type="http://schemas.openxmlformats.org/officeDocument/2006/relationships/hyperlink" Target="https://www.loom.com/i/9c9e07da41134c8ea746613e97735c10" TargetMode="External"/><Relationship Id="rId311" Type="http://schemas.openxmlformats.org/officeDocument/2006/relationships/hyperlink" Target="https://sbi-sit1.sbicard.com/html/en/personal/credit-cards/tata-neu-infinity-sbi-card.html" TargetMode="External"/><Relationship Id="rId432" Type="http://schemas.openxmlformats.org/officeDocument/2006/relationships/hyperlink" Target="https://www.loom.com/i/787f87bd8fd04d5e81bc31d5e8da43c4" TargetMode="External"/><Relationship Id="rId310" Type="http://schemas.openxmlformats.org/officeDocument/2006/relationships/hyperlink" Target="https://www.loom.com/i/88ae1ae5572546ec925c7abe77248f2f" TargetMode="External"/><Relationship Id="rId431" Type="http://schemas.openxmlformats.org/officeDocument/2006/relationships/hyperlink" Target="https://www.loom.com/i/1d143d1826054f11810e8fb1b8095659" TargetMode="External"/><Relationship Id="rId430" Type="http://schemas.openxmlformats.org/officeDocument/2006/relationships/hyperlink" Target="https://www.loom.com/i/34ba63e164cc40d9a7a399a7778e6bd4"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loom.com/i/aa84c333aaa04b559ccd572223ed60d8" TargetMode="External"/><Relationship Id="rId2" Type="http://schemas.openxmlformats.org/officeDocument/2006/relationships/hyperlink" Target="https://sbi-devsit1.sbicard.com/html/en/personal/credit-cards/sbi-card-prime.html" TargetMode="External"/><Relationship Id="rId3" Type="http://schemas.openxmlformats.org/officeDocument/2006/relationships/hyperlink" Target="https://www.loom.com/i/efbb3d2a725b4935a5a8a5636d99263a" TargetMode="External"/><Relationship Id="rId4" Type="http://schemas.openxmlformats.org/officeDocument/2006/relationships/hyperlink" Target="https://www.loom.com/i/830255571527446ab9855ed476dc4d7c" TargetMode="External"/><Relationship Id="rId5" Type="http://schemas.openxmlformats.org/officeDocument/2006/relationships/hyperlink" Target="https://www.loom.com/i/cdd4472af1df4a339d7c5aa07c894d81" TargetMode="External"/><Relationship Id="rId6" Type="http://schemas.openxmlformats.org/officeDocument/2006/relationships/hyperlink" Target="https://www.loom.com/i/bce9bfe66cb04b1f9f3a7be980809c6b" TargetMode="External"/><Relationship Id="rId7" Type="http://schemas.openxmlformats.org/officeDocument/2006/relationships/hyperlink" Target="https://www.loom.com/i/994b645b817c4e82872c88d12070e9db" TargetMode="External"/><Relationship Id="rId8"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0.75"/>
    <col customWidth="1" min="3" max="3" width="17.38"/>
    <col customWidth="1" min="4" max="4" width="16.63"/>
    <col customWidth="1" min="5" max="5" width="19.13"/>
    <col customWidth="1" min="6" max="6" width="20.75"/>
    <col customWidth="1" min="7" max="7" width="14.63"/>
    <col customWidth="1" min="8" max="8" width="14.25"/>
    <col customWidth="1" min="9" max="9" width="16.38"/>
    <col customWidth="1" min="10" max="10" width="21.88"/>
    <col customWidth="1" min="11" max="11" width="30.25"/>
    <col customWidth="1" min="12" max="31" width="8.63"/>
  </cols>
  <sheetData>
    <row r="1">
      <c r="C1" s="1"/>
    </row>
    <row r="2">
      <c r="D2" s="2"/>
      <c r="E2" s="3" t="s">
        <v>0</v>
      </c>
      <c r="F2" s="2"/>
      <c r="G2" s="2"/>
      <c r="AA2" s="1"/>
      <c r="AB2" s="2"/>
      <c r="AC2" s="2"/>
      <c r="AD2" s="2"/>
      <c r="AE2" s="2"/>
    </row>
    <row r="3">
      <c r="C3" s="1"/>
      <c r="D3" s="2"/>
      <c r="E3" s="2"/>
      <c r="F3" s="2"/>
      <c r="G3" s="2"/>
      <c r="AA3" s="2"/>
      <c r="AB3" s="2"/>
      <c r="AC3" s="2"/>
      <c r="AD3" s="2"/>
      <c r="AE3" s="2"/>
    </row>
    <row r="4">
      <c r="C4" s="4" t="s">
        <v>1</v>
      </c>
      <c r="D4" s="5" t="s">
        <v>2</v>
      </c>
      <c r="E4" s="5" t="s">
        <v>3</v>
      </c>
      <c r="F4" s="5" t="s">
        <v>4</v>
      </c>
      <c r="G4" s="5" t="s">
        <v>5</v>
      </c>
    </row>
    <row r="5">
      <c r="B5" s="6" t="s">
        <v>6</v>
      </c>
      <c r="C5" s="7" t="s">
        <v>7</v>
      </c>
      <c r="D5" s="7">
        <f t="array" ref="D5">SUMPRODUCT(('Home Page'!$G$2:$G$799="PVT") * ('Home Page'!$A$2:$A$799&lt;&gt;"") * (ISNUMBER(SEARCH('Home Page'!$C$2:$C$799, $E$2))))</f>
        <v>49</v>
      </c>
      <c r="E5" s="7">
        <f t="array" ref="E5">SUMPRODUCT(('Home Page'!$G$2:$G$799="PVT") * ('Home Page'!$Q$2:$Q$799="Resolved") * (ISNUMBER(SEARCH('Home Page'!$C$2:$C$799, $E$2))))</f>
        <v>20</v>
      </c>
      <c r="F5" s="7">
        <f t="array" ref="F5">SUMPRODUCT(('Home Page'!$G$2:$G$799="PVT") * (('Home Page'!$Q$2:$Q$799="Open") + ('Home Page'!$Q$2:$Q$799="Reopened")) * (ISNUMBER(SEARCH('Home Page'!$C$2:$C$799, $E$2))))</f>
        <v>28</v>
      </c>
      <c r="G5" s="7">
        <f t="array" ref="G5">SUMPRODUCT(('Home Page'!$G$2:$G$799="PVT") * ('Home Page'!$Q$2:$Q$799="Hold") * (ISNUMBER(SEARCH('Home Page'!$C$2:$C$799, $E$2))))</f>
        <v>1</v>
      </c>
    </row>
    <row r="6">
      <c r="B6" s="8"/>
      <c r="C6" s="7" t="s">
        <v>8</v>
      </c>
      <c r="D6" s="7">
        <f t="array" ref="D6">SUMPRODUCT(('Product Details Page'!$G$2:$G$800="PVT") * ('Product Details Page'!$A$2:$A$800&lt;&gt;"") * (ISNUMBER(SEARCH('Product Details Page'!$C$2:$C$800, $E$2))))
+
SUMPRODUCT(('Credit Card Pages'!$F$2:$F$800="PVT") * ('Credit Card Pages'!$A$2:$A$800&lt;&gt;"") * (ISNUMBER(SEARCH('Credit Card Pages'!$C$2:$C$800, $E$2))))</f>
        <v>57</v>
      </c>
      <c r="E6" s="7">
        <f t="array" ref="E6">SUMPRODUCT(('Product Details Page'!$G$2:$G$800="PVT") * ('Product Details Page'!$Q$2:$Q$800="Resolved") * (ISNUMBER(SEARCH('Product Details Page'!$C$2:$C$800, $E$2))))
+
SUMPRODUCT(('Credit Card Pages'!$F$2:$F$800="PVT") * ('Credit Card Pages'!$R$2:$R$800="Resolved") * (ISNUMBER(SEARCH('Credit Card Pages'!$C$2:$C$800, $E$2))))</f>
        <v>34</v>
      </c>
      <c r="F6" s="7">
        <f t="array" ref="F6">SUMPRODUCT(('Product Details Page'!$G$2:$G$800="PVT") * (('Product Details Page'!$Q$2:$Q$800="Open") + ('Product Details Page'!$Q$2:$Q$800="Reopened")) * (ISNUMBER(SEARCH('Product Details Page'!$C$2:$C$800, $E$2))))
+
SUMPRODUCT(('Credit Card Pages'!$F$2:$F$800="PVT") * (('Credit Card Pages'!$R$2:$R$800="Open") + ('Credit Card Pages'!$R$2:$R$800="Reopened")) * (ISNUMBER(SEARCH('Credit Card Pages'!$C$2:$C$800, $E$2))))</f>
        <v>23</v>
      </c>
      <c r="G6" s="7">
        <f t="array" ref="G6">SUMPRODUCT(('Product Details Page'!$G$2:$G$800="PVT") * ('Product Details Page'!$Q$2:$Q$800="Hold") * (ISNUMBER(SEARCH('Product Details Page'!$C$2:$C$800, $E$2))))
+
SUMPRODUCT(('Credit Card Pages'!$F$2:$F$800="PVT") * ('Credit Card Pages'!$R$2:$R$800="Hold") * (ISNUMBER(SEARCH('Credit Card Pages'!$C$2:$C$800, $E$2))))</f>
        <v>0</v>
      </c>
    </row>
    <row r="7">
      <c r="B7" s="8"/>
      <c r="C7" s="7" t="s">
        <v>9</v>
      </c>
      <c r="D7" s="7">
        <f t="array" ref="D7">SUMPRODUCT(('Catalogue Page'!$G$2:$G$800="PVT") * ('Catalogue Page'!$A$2:$A$800&lt;&gt;"") * (ISNUMBER(SEARCH('Catalogue Page'!$C$2:$C$800, $E$2))))</f>
        <v>69</v>
      </c>
      <c r="E7" s="7">
        <f t="array" ref="E7">SUMPRODUCT(('Catalogue Page'!$G$2:$G$800="PVT") * ('Catalogue Page'!$Q$2:$Q$800="Resolved") * (ISNUMBER(SEARCH('Catalogue Page'!$C$2:$C$800, $E$2))))</f>
        <v>30</v>
      </c>
      <c r="F7" s="7">
        <f t="array" ref="F7">SUMPRODUCT(('Catalogue Page'!$G$2:$G$800="PVT") * (('Catalogue Page'!$Q$2:$Q$800="Open") + ('Catalogue Page'!$Q$2:$Q$800="Reopened")) * (ISNUMBER(SEARCH('Catalogue Page'!$C$2:$C$800, $E$2))))</f>
        <v>39</v>
      </c>
      <c r="G7" s="7">
        <f t="array" ref="G7">SUMPRODUCT(('Catalogue Page'!$G$2:$G$800="PVT") * ('Catalogue Page'!$Q$2:$Q$800="Hold") * (ISNUMBER(SEARCH('Catalogue Page'!$C$2:$C$800, $E$2))))</f>
        <v>0</v>
      </c>
    </row>
    <row r="8">
      <c r="B8" s="8"/>
      <c r="C8" s="7" t="s">
        <v>10</v>
      </c>
      <c r="D8" s="7">
        <f t="array" ref="D8">SUMPRODUCT(('Header &amp; Footer'!$F$2:$F$800="PVT") * ('Header &amp; Footer'!$A$2:$A$800&lt;&gt;"") * (ISNUMBER(SEARCH('Header &amp; Footer'!$C$2:$C$800, $E$2))))</f>
        <v>16</v>
      </c>
      <c r="E8" s="7">
        <f t="array" ref="E8">SUMPRODUCT(('Header &amp; Footer'!$F$2:$F$799="PVT") * ('Header &amp; Footer'!$R$2:$R$799="Resolved") * (ISNUMBER(SEARCH('Header &amp; Footer'!$C$2:$C$799, $E$2))))</f>
        <v>11</v>
      </c>
      <c r="F8" s="7">
        <f t="array" ref="F8">SUMPRODUCT(('Header &amp; Footer'!$F$2:$F$799="PVT") * (('Header &amp; Footer'!$R$2:$R$799="Open") + ('Header &amp; Footer'!$R$2:$R$799="Reopened")) * (ISNUMBER(SEARCH('Header &amp; Footer'!$C$2:$C$799, $E$2))))</f>
        <v>5</v>
      </c>
      <c r="G8" s="7">
        <f t="array" ref="G8">SUMPRODUCT(('Header &amp; Footer'!$F$2:$F$799="PVT") * ('Header &amp; Footer'!$R$2:$R$799="Hold") * (ISNUMBER(SEARCH('Header &amp; Footer'!$C$2:$C$799, $E$2))))</f>
        <v>0</v>
      </c>
    </row>
    <row r="9">
      <c r="B9" s="9"/>
      <c r="C9" s="10" t="s">
        <v>11</v>
      </c>
      <c r="D9" s="10">
        <f t="shared" ref="D9:G9" si="1">SUM(D5:D8)</f>
        <v>191</v>
      </c>
      <c r="E9" s="10">
        <f t="shared" si="1"/>
        <v>95</v>
      </c>
      <c r="F9" s="10">
        <f t="shared" si="1"/>
        <v>95</v>
      </c>
      <c r="G9" s="10">
        <f t="shared" si="1"/>
        <v>1</v>
      </c>
    </row>
    <row r="10">
      <c r="C10" s="2"/>
      <c r="D10" s="2"/>
      <c r="E10" s="2"/>
      <c r="F10" s="2"/>
      <c r="G10" s="2"/>
    </row>
    <row r="11">
      <c r="B11" s="11" t="s">
        <v>12</v>
      </c>
      <c r="C11" s="7" t="s">
        <v>7</v>
      </c>
      <c r="D11" s="7">
        <f t="array" ref="D11">SUMPRODUCT(('Home Page'!$G$2:$G$799="UAT") * ('Home Page'!$A$2:$A$799&lt;&gt;"") * (ISNUMBER(SEARCH('Home Page'!$C$2:$C$799, $E$2))))</f>
        <v>51</v>
      </c>
      <c r="E11" s="7">
        <f t="array" ref="E11">SUMPRODUCT(('Home Page'!$G$2:$G$799="UAT") * ('Home Page'!$Q$2:$Q$799="Resolved") * (ISNUMBER(SEARCH('Home Page'!$C$2:$C$799, $E$2))))</f>
        <v>25</v>
      </c>
      <c r="F11" s="7">
        <f t="array" ref="F11">SUMPRODUCT(('Home Page'!$G$2:$G$799="UAT") * (('Home Page'!$Q$2:$Q$799="Open") + ('Home Page'!$Q$2:$Q$799="Reopened")) * (ISNUMBER(SEARCH('Home Page'!$C$2:$C$799, $E$2))))</f>
        <v>5</v>
      </c>
      <c r="G11" s="7">
        <f t="array" ref="G11">SUMPRODUCT(('Home Page'!$G$2:$G$799="UAT") * ('Home Page'!$Q$2:$Q$799="Hold") * (ISNUMBER(SEARCH('Home Page'!$C$2:$C$799, $E$2))))</f>
        <v>21</v>
      </c>
    </row>
    <row r="12">
      <c r="B12" s="8"/>
      <c r="C12" s="7" t="s">
        <v>8</v>
      </c>
      <c r="D12" s="7">
        <f t="array" ref="D12">SUMPRODUCT(('Product Details Page'!$G$2:$G$800="UAT") * ('Product Details Page'!$A$2:$A$800&lt;&gt;"") * (ISNUMBER(SEARCH('Product Details Page'!$C$2:$C$800, $E$2))))
+
SUMPRODUCT(('Credit Card Pages'!$F$2:$F$800="UAT") * ('Credit Card Pages'!$A$2:$A$800&lt;&gt;"") * (ISNUMBER(SEARCH('Credit Card Pages'!$C$2:$C$800, $E$2))))</f>
        <v>281</v>
      </c>
      <c r="E12" s="7">
        <f t="array" ref="E12">SUMPRODUCT(('Product Details Page'!$G$2:$G$800="UAT") * ('Product Details Page'!$Q$2:$Q$800="Resolved") * (ISNUMBER(SEARCH('Product Details Page'!$C$2:$C$800, $E$2))))
+
SUMPRODUCT(('Credit Card Pages'!$F$2:$F$800="UAT") * ('Credit Card Pages'!$R$2:$R$800="Resolved") * (ISNUMBER(SEARCH('Credit Card Pages'!$C$2:$C$800, $E$2))))</f>
        <v>239</v>
      </c>
      <c r="F12" s="7">
        <f t="array" ref="F12">SUMPRODUCT(('Product Details Page'!$G$2:$G$800="UAT") * (('Product Details Page'!$Q$2:$Q$800="Open") + ('Product Details Page'!$Q$2:$Q$800="Reopened")) * (ISNUMBER(SEARCH('Product Details Page'!$C$2:$C$800, $E$2))))
+
SUMPRODUCT(('Credit Card Pages'!$F$2:$F$800="UAT") * (('Credit Card Pages'!$R$2:$R$800="Open") + ('Credit Card Pages'!$R$2:$R$800="Reopened")) * (ISNUMBER(SEARCH('Credit Card Pages'!$C$2:$C$800, $E$2))))</f>
        <v>27</v>
      </c>
      <c r="G12" s="7">
        <f t="array" ref="G12">SUMPRODUCT(('Product Details Page'!$G$2:$G$800="UAT") * ('Product Details Page'!$Q$2:$Q$800="Hold") * (ISNUMBER(SEARCH('Product Details Page'!$C$2:$C$800, $E$2))))
+
SUMPRODUCT(('Credit Card Pages'!$F$2:$F$800="UAT") * ('Credit Card Pages'!$R$2:$R$800="Hold") * (ISNUMBER(SEARCH('Credit Card Pages'!$C$2:$C$800, $E$2))))</f>
        <v>15</v>
      </c>
    </row>
    <row r="13">
      <c r="B13" s="8"/>
      <c r="C13" s="7" t="s">
        <v>9</v>
      </c>
      <c r="D13" s="7">
        <f t="array" ref="D13">SUMPRODUCT(('Catalogue Page'!$G$2:$G$800="UAT") * ('Catalogue Page'!$A$2:$A$800&lt;&gt;"") * (ISNUMBER(SEARCH('Catalogue Page'!$C$2:$C$800, $E$2))))</f>
        <v>40</v>
      </c>
      <c r="E13" s="7">
        <f t="array" ref="E13">SUMPRODUCT(('Catalogue Page'!$G$2:$G$800="UAT") * ('Catalogue Page'!$Q$2:$Q$800="Resolved") * (ISNUMBER(SEARCH('Catalogue Page'!$C$2:$C$800, $E$2))))</f>
        <v>19</v>
      </c>
      <c r="F13" s="7">
        <f t="array" ref="F13">SUMPRODUCT(('Catalogue Page'!$G$2:$G$800="UAT") * (('Catalogue Page'!$Q$2:$Q$800="Open") + ('Catalogue Page'!$Q$2:$Q$800="Reopened")) * (ISNUMBER(SEARCH('Catalogue Page'!$C$2:$C$800, $E$2))))</f>
        <v>3</v>
      </c>
      <c r="G13" s="7">
        <f t="array" ref="G13">SUMPRODUCT(('Catalogue Page'!$G$2:$G$800="UAT") * ('Catalogue Page'!$Q$2:$Q$800="Hold") * (ISNUMBER(SEARCH('Catalogue Page'!$C$2:$C$800, $E$2))))</f>
        <v>18</v>
      </c>
    </row>
    <row r="14">
      <c r="B14" s="8"/>
      <c r="C14" s="7" t="s">
        <v>10</v>
      </c>
      <c r="D14" s="7">
        <f t="array" ref="D14">SUMPRODUCT(('Header &amp; Footer'!$F$2:$F$800="UAT") * ('Header &amp; Footer'!$A$2:$A$800&lt;&gt;"") * (ISNUMBER(SEARCH('Header &amp; Footer'!$C$2:$C$800, $E$2))))</f>
        <v>25</v>
      </c>
      <c r="E14" s="7">
        <f t="array" ref="E14">SUMPRODUCT(('Header &amp; Footer'!$F$2:$F$799="UAT") * ('Header &amp; Footer'!$R$2:$R$799="Resolved") * (ISNUMBER(SEARCH('Header &amp; Footer'!$C$2:$C$799, $E$2))))</f>
        <v>17</v>
      </c>
      <c r="F14" s="7">
        <f t="array" ref="F14">SUMPRODUCT(('Header &amp; Footer'!$F$2:$F$799="UAT") * (('Header &amp; Footer'!$R$2:$R$799="Open") + ('Header &amp; Footer'!$R$2:$R$799="Reopened")) * (ISNUMBER(SEARCH('Header &amp; Footer'!$C$2:$C$799, $E$2))))</f>
        <v>1</v>
      </c>
      <c r="G14" s="7">
        <f t="array" ref="G14">SUMPRODUCT(('Header &amp; Footer'!$F$2:$F$799="UAT") * ('Header &amp; Footer'!$R$2:$R$799="Hold") * (ISNUMBER(SEARCH('Header &amp; Footer'!$C$2:$C$799, $E$2))))</f>
        <v>7</v>
      </c>
    </row>
    <row r="15">
      <c r="B15" s="9"/>
      <c r="C15" s="10" t="s">
        <v>11</v>
      </c>
      <c r="D15" s="10">
        <f t="shared" ref="D15:G15" si="2">SUM(D11:D14)</f>
        <v>397</v>
      </c>
      <c r="E15" s="10">
        <f t="shared" si="2"/>
        <v>300</v>
      </c>
      <c r="F15" s="10">
        <f t="shared" si="2"/>
        <v>36</v>
      </c>
      <c r="G15" s="10">
        <f t="shared" si="2"/>
        <v>61</v>
      </c>
    </row>
    <row r="16">
      <c r="I16" s="7" t="s">
        <v>13</v>
      </c>
      <c r="J16" s="12" t="s">
        <v>14</v>
      </c>
      <c r="K16" s="13" t="s">
        <v>15</v>
      </c>
    </row>
    <row r="17">
      <c r="B17" s="11" t="s">
        <v>16</v>
      </c>
      <c r="C17" s="14" t="s">
        <v>7</v>
      </c>
      <c r="D17" s="7">
        <f t="array" ref="D17">SUMPRODUCT(('Home Page'!$G$2:$G$799="HTML/CSS") * ('Home Page'!$A$2:$A$799&lt;&gt;"") * (ISNUMBER(SEARCH('Home Page'!$C$2:$C$799, $E$2))))</f>
        <v>12</v>
      </c>
      <c r="E17" s="7">
        <f t="array" ref="E17">SUMPRODUCT(('Home Page'!$G$2:$G$799="HTML/CSS") * ('Home Page'!$Q$2:$Q$799="Resolved") * (ISNUMBER(SEARCH('Home Page'!$C$2:$C$799, $E$2))))</f>
        <v>7</v>
      </c>
      <c r="F17" s="15">
        <f t="array" ref="F17">SUMPRODUCT(('Home Page'!$G$2:$G$799="HTML/CSS") * (('Home Page'!$Q$2:$Q$799="Open") + ('Home Page'!$Q$2:$Q$799="Reopened")) * (ISNUMBER(SEARCH('Home Page'!$C$2:$C$799, $E$2))))</f>
        <v>4</v>
      </c>
      <c r="G17" s="7">
        <f t="array" ref="G17">SUMPRODUCT(('Home Page'!$G$2:$G$799="HTML/CSS") * ('Home Page'!$Q$2:$Q$799="Hold") * (ISNUMBER(SEARCH('Home Page'!$C$2:$C$799, $E$2))))</f>
        <v>1</v>
      </c>
      <c r="I17" s="13">
        <f t="array" ref="I17">SUMPRODUCT(('Home Page'!$G$2:$G$800="HTML/CSS") * (('Home Page'!$Q$2:$Q$800="Open") + ('Home Page'!$Q$2:$Q$800="Reopened")) * ('Home Page'!$T$2:$T$800="Fixed") * (ISNUMBER(SEARCH('Home Page'!$C$2:$C$800, $E$2))))</f>
        <v>2</v>
      </c>
      <c r="J17" s="12">
        <f t="array" ref="J17">SUMPRODUCT(('Home Page'!$G$2:$G$800="HTML/CSS") * (('Home Page'!$Q$2:$Q$800="Open") + ('Home Page'!$Q$2:$Q$800="Reopened")) * (('Home Page'!$T$2:$T$800="Reopen") + ('Home Page'!$T$2:$T$800="Pending")) * (ISNUMBER(SEARCH('Home Page'!$C$2:$C$800, $E$2))))</f>
        <v>0</v>
      </c>
      <c r="K17" s="16" t="s">
        <v>17</v>
      </c>
    </row>
    <row r="18">
      <c r="B18" s="8"/>
      <c r="C18" s="14" t="s">
        <v>8</v>
      </c>
      <c r="D18" s="7">
        <f t="array" ref="D18">SUMPRODUCT(('Product Details Page'!$G$2:$G$800="HTML/CSS") * ('Product Details Page'!$A$2:$A$800&lt;&gt;"") * (ISNUMBER(SEARCH('Product Details Page'!$C$2:$C$800, $E$2))))
+
SUMPRODUCT(('Credit Card Pages'!$F$2:$F$800="HTML/CSS") * ('Credit Card Pages'!$A$2:$A$800&lt;&gt;"") * (ISNUMBER(SEARCH('Credit Card Pages'!$C$2:$C$800, $E$2))))</f>
        <v>54</v>
      </c>
      <c r="E18" s="7">
        <f t="array" ref="E18">SUMPRODUCT(('Product Details Page'!$G$2:$G$800="HTML/CSS") * ('Product Details Page'!$Q$2:$Q$800="Resolved") * (ISNUMBER(SEARCH('Product Details Page'!$C$2:$C$800, $E$2))))
+
SUMPRODUCT(('Credit Card Pages'!$F$2:$F$800="HTML/CSS") * ('Credit Card Pages'!$R$2:$R$800="Resolved") * (ISNUMBER(SEARCH('Credit Card Pages'!$C$2:$C$800, $E$2))))</f>
        <v>38</v>
      </c>
      <c r="F18" s="15">
        <f t="array" ref="F18">SUMPRODUCT(('Product Details Page'!$G$2:$G$800="HTML/CSS") * (('Product Details Page'!$Q$2:$Q$800="Open") + ('Product Details Page'!$Q$2:$Q$800="Reopened")) * (ISNUMBER(SEARCH('Product Details Page'!$C$2:$C$800, $E$2))))
+
SUMPRODUCT(('Credit Card Pages'!$F$2:$F$800="HTML/CSS") * (('Credit Card Pages'!$R$2:$R$800="Open") + ('Credit Card Pages'!$R$2:$R$800="Reopened")) * (ISNUMBER(SEARCH('Credit Card Pages'!$C$2:$C$800, $E$2))))</f>
        <v>16</v>
      </c>
      <c r="G18" s="7">
        <f t="array" ref="G18">SUMPRODUCT(('Product Details Page'!$G$2:$G$800="HTML/CSS") * ('Product Details Page'!$Q$2:$Q$800="Hold") * (ISNUMBER(SEARCH('Product Details Page'!$C$2:$C$800, $E$2))))
+
SUMPRODUCT(('Credit Card Pages'!$F$2:$F$800="HTML/CSS") * ('Credit Card Pages'!$R$2:$R$800="Hold") * (ISNUMBER(SEARCH('Credit Card Pages'!$C$2:$C$800, $E$2))))</f>
        <v>0</v>
      </c>
      <c r="I18" s="13">
        <f t="array" ref="I18">SUMPRODUCT(('Product Details Page'!$G$2:$G$800="HTML/CSS") * (('Product Details Page'!$Q$2:$Q$800="Open") + ('Product Details Page'!$Q$2:$Q$800="Reopened")) * ('Product Details Page'!$T$2:$T$800="Fixed") * (ISNUMBER(SEARCH('Product Details Page'!$C$2:$C$800, $E$2))))
+
SUMPRODUCT(('Credit Card Pages'!$F$2:$F$800="HTML/CSS") * (('Credit Card Pages'!$R$2:$R$800="Open") + ('Credit Card Pages'!$R$2:$R$800="Reopened")) * ('Credit Card Pages'!$U$2:$U$800="Fixed") * (ISNUMBER(SEARCH('Credit Card Pages'!$C$2:$C$800, $E$2))))</f>
        <v>0</v>
      </c>
      <c r="J18" s="12">
        <f t="array" ref="J18">SUMPRODUCT(('Product Details Page'!$G$2:$G$800="HTML/CSS") * (('Product Details Page'!$Q$2:$Q$800="Open") + ('Product Details Page'!$Q$2:$Q$800="Reopened")) * (('Product Details Page'!$T$2:$T$800="Reopen") + ('Product Details Page'!$T$2:$T$800="Pending")) * (ISNUMBER(SEARCH('Product Details Page'!$C$2:$C$800, $E$2))))
+
SUMPRODUCT(('Credit Card Pages'!$F$2:$F$800="HTML/CSS") * (('Credit Card Pages'!$R$2:$R$800="Open") + ('Credit Card Pages'!$R$2:$R$800="Reopened")) * (('Credit Card Pages'!$U$2:$U$800="Reopen") + ('Credit Card Pages'!$U$2:$U$800="Pending")) * (ISNUMBER(SEARCH('Credit Card Pages'!$C$2:$C$800, $E$2))))</f>
        <v>4</v>
      </c>
      <c r="K18" s="16" t="s">
        <v>18</v>
      </c>
    </row>
    <row r="19">
      <c r="B19" s="8"/>
      <c r="C19" s="14" t="s">
        <v>9</v>
      </c>
      <c r="D19" s="7">
        <f t="array" ref="D19">SUMPRODUCT(('Catalogue Page'!$G$2:$G$800="HTML/CSS") * ('Catalogue Page'!$A$2:$A$800&lt;&gt;"") * (ISNUMBER(SEARCH('Catalogue Page'!$C$2:$C$800, $E$2))))</f>
        <v>50</v>
      </c>
      <c r="E19" s="7">
        <f t="array" ref="E19">SUMPRODUCT(('Catalogue Page'!$G$2:$G$800="HTML/CSS") * ('Catalogue Page'!$Q$2:$Q$800="Resolved") * (ISNUMBER(SEARCH('Catalogue Page'!$C$2:$C$800, $E$2))))</f>
        <v>26</v>
      </c>
      <c r="F19" s="15">
        <f t="array" ref="F19">SUMPRODUCT(('Catalogue Page'!$G$2:$G$800="HTML/CSS") * (('Catalogue Page'!$Q$2:$Q$800="Open") + ('Catalogue Page'!$Q$2:$Q$800="Reopened")) * (ISNUMBER(SEARCH('Catalogue Page'!$C$2:$C$800, $E$2))))</f>
        <v>24</v>
      </c>
      <c r="G19" s="7">
        <f t="array" ref="G19">SUMPRODUCT(('Catalogue Page'!$G$2:$G$800="HTML/CSS") * ('Catalogue Page'!$Q$2:$Q$800="Hold") * (ISNUMBER(SEARCH('Catalogue Page'!$C$2:$C$800, $E$2))))</f>
        <v>0</v>
      </c>
      <c r="I19" s="13">
        <f t="array" ref="I19">SUMPRODUCT(('Catalogue Page'!$G$2:$G$800="HTML/CSS") * (('Catalogue Page'!$Q$2:$Q$800="Open") + ('Catalogue Page'!$Q$2:$Q$800="Reopened")) * ('Catalogue Page'!$T$2:$T$800="Fixed") * (ISNUMBER(SEARCH('Catalogue Page'!$C$2:$C$800, $E$2))))</f>
        <v>2</v>
      </c>
      <c r="J19" s="12">
        <f t="array" ref="J19">SUMPRODUCT(('Catalogue Page'!$G$2:$G$800="HTML/CSS") * (('Catalogue Page'!$Q$2:$Q$800="Open") + ('Catalogue Page'!$Q$2:$Q$800="Reopened")) * (('Catalogue Page'!$T$2:$T$800="Reopen") + ('Catalogue Page'!$T$2:$T$800="Pending")) * (ISNUMBER(SEARCH('Catalogue Page'!$C$2:$C$800, $E$2))))</f>
        <v>12</v>
      </c>
      <c r="K19" s="16" t="s">
        <v>19</v>
      </c>
    </row>
    <row r="20">
      <c r="B20" s="8"/>
      <c r="C20" s="17" t="s">
        <v>10</v>
      </c>
      <c r="D20" s="7">
        <f t="array" ref="D20">SUMPRODUCT(('Header &amp; Footer'!$F$2:$F$800="HTML/CSS") * ('Header &amp; Footer'!$A$2:$A$800&lt;&gt;"") * (ISNUMBER(SEARCH('Header &amp; Footer'!$C$2:$C$800, $E$2))))</f>
        <v>25</v>
      </c>
      <c r="E20" s="7">
        <f t="array" ref="E20">SUMPRODUCT(('Header &amp; Footer'!$F$2:$F$799="HTML/CSS") * ('Header &amp; Footer'!$R$2:$R$799="Resolved") * (ISNUMBER(SEARCH('Header &amp; Footer'!$C$2:$C$799, $E$2))))</f>
        <v>10</v>
      </c>
      <c r="F20" s="15">
        <f t="array" ref="F20">SUMPRODUCT(('Header &amp; Footer'!$F$2:$F$799="HTML/CSS") * (('Header &amp; Footer'!$R$2:$R$799="Open") + ('Header &amp; Footer'!$R$2:$R$799="Reopened")) * (ISNUMBER(SEARCH('Header &amp; Footer'!$C$2:$C$799, $E$2))))</f>
        <v>15</v>
      </c>
      <c r="G20" s="7">
        <f t="array" ref="G20">SUMPRODUCT(('Header &amp; Footer'!$F$2:$F$799="HTML/CSS") * ('Header &amp; Footer'!$R$2:$R$799="Hold") * (ISNUMBER(SEARCH('Header &amp; Footer'!$C$2:$C$799, $E$2))))</f>
        <v>0</v>
      </c>
      <c r="I20" s="7">
        <f t="array" ref="I20">SUMPRODUCT(('Header &amp; Footer'!$F$2:$F$799="HTML/CSS") * (('Header &amp; Footer'!$R$2:$R$799="Open") + ('Header &amp; Footer'!$R$2:$R$799="Reopened")) * ('Header &amp; Footer'!$U$2:$U$799="Fixed") * (ISNUMBER(SEARCH('Header &amp; Footer'!$C$2:$C$799, $E$2))))</f>
        <v>0</v>
      </c>
      <c r="J20" s="12">
        <f t="array" ref="J20">SUMPRODUCT(('Header &amp; Footer'!$F$2:$F$799="HTML/CSS") * (('Header &amp; Footer'!$R$2:$R$799="Open") + ('Header &amp; Footer'!$R$2:$R$799="Reopened")) * (('Header &amp; Footer'!$U$2:$U$799="Reopen") + ('Header &amp; Footer'!$U$2:$U$799="Pending")) * (ISNUMBER(SEARCH('Header &amp; Footer'!$C$2:$C$799, $E$2))))</f>
        <v>9</v>
      </c>
      <c r="K20" s="16" t="s">
        <v>20</v>
      </c>
    </row>
    <row r="21" ht="15.75" customHeight="1">
      <c r="B21" s="9"/>
      <c r="C21" s="18" t="s">
        <v>11</v>
      </c>
      <c r="D21" s="10">
        <f t="shared" ref="D21:G21" si="3">SUM(D17:D20)</f>
        <v>141</v>
      </c>
      <c r="E21" s="10">
        <f t="shared" si="3"/>
        <v>81</v>
      </c>
      <c r="F21" s="19">
        <f t="shared" si="3"/>
        <v>59</v>
      </c>
      <c r="G21" s="10">
        <f t="shared" si="3"/>
        <v>1</v>
      </c>
      <c r="I21" s="10">
        <f t="shared" ref="I21:J21" si="4">SUM(I17:I20)</f>
        <v>4</v>
      </c>
      <c r="J21" s="19">
        <f t="shared" si="4"/>
        <v>25</v>
      </c>
      <c r="K21" s="20"/>
    </row>
    <row r="22" ht="15.75" customHeight="1"/>
    <row r="23" ht="15.75" customHeight="1">
      <c r="C23" s="21" t="s">
        <v>21</v>
      </c>
      <c r="D23" s="21">
        <f t="shared" ref="D23:G23" si="5">SUM(D9,D15,D21)</f>
        <v>729</v>
      </c>
      <c r="E23" s="21">
        <f t="shared" si="5"/>
        <v>476</v>
      </c>
      <c r="F23" s="21">
        <f t="shared" si="5"/>
        <v>190</v>
      </c>
      <c r="G23" s="21">
        <f t="shared" si="5"/>
        <v>63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5:B9"/>
    <mergeCell ref="B11:B15"/>
    <mergeCell ref="B17:B21"/>
  </mergeCells>
  <printOptions/>
  <pageMargins bottom="0.75" footer="0.0" header="0.0" left="0.7" right="0.7" top="0.75"/>
  <pageSetup orientation="landscape"/>
  <headerFooter>
    <oddFooter>&amp;C_x000D_#000000 SBI Card Restricted</oddFooter>
  </headerFoo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9.13"/>
    <col customWidth="1" min="2" max="2" width="37.63"/>
    <col customWidth="1" min="3" max="3" width="101.13"/>
    <col customWidth="1" min="4" max="4" width="22.63"/>
    <col customWidth="1" min="5" max="5" width="27.63"/>
    <col customWidth="1" min="6" max="7" width="12.88"/>
    <col customWidth="1" min="8" max="8" width="101.13"/>
    <col customWidth="1" min="9" max="9" width="19.25"/>
    <col customWidth="1" min="10" max="14" width="20.38"/>
    <col customWidth="1" min="15" max="15" width="27.63"/>
    <col customWidth="1" min="16" max="16" width="41.25"/>
    <col customWidth="1" min="17" max="26" width="8.63"/>
  </cols>
  <sheetData>
    <row r="1" ht="15.0" customHeight="1">
      <c r="A1" s="5" t="s">
        <v>22</v>
      </c>
      <c r="B1" s="22" t="s">
        <v>1</v>
      </c>
      <c r="C1" s="23" t="s">
        <v>23</v>
      </c>
      <c r="D1" s="24" t="s">
        <v>24</v>
      </c>
      <c r="E1" s="24" t="s">
        <v>25</v>
      </c>
      <c r="F1" s="24" t="s">
        <v>26</v>
      </c>
      <c r="G1" s="24" t="s">
        <v>27</v>
      </c>
      <c r="H1" s="5" t="s">
        <v>28</v>
      </c>
      <c r="I1" s="25" t="s">
        <v>29</v>
      </c>
      <c r="J1" s="26" t="s">
        <v>30</v>
      </c>
      <c r="K1" s="26" t="s">
        <v>31</v>
      </c>
      <c r="L1" s="26" t="s">
        <v>32</v>
      </c>
      <c r="M1" s="26" t="s">
        <v>33</v>
      </c>
      <c r="N1" s="26" t="s">
        <v>34</v>
      </c>
      <c r="O1" s="26" t="s">
        <v>35</v>
      </c>
      <c r="P1" s="5" t="s">
        <v>36</v>
      </c>
    </row>
    <row r="2" ht="15.0" customHeight="1">
      <c r="A2" s="7">
        <v>1.0</v>
      </c>
      <c r="B2" s="27" t="s">
        <v>37</v>
      </c>
      <c r="C2" s="28" t="s">
        <v>38</v>
      </c>
      <c r="D2" s="27" t="s">
        <v>39</v>
      </c>
      <c r="E2" s="7" t="s">
        <v>39</v>
      </c>
      <c r="F2" s="15" t="s">
        <v>39</v>
      </c>
      <c r="G2" s="7"/>
      <c r="H2" s="29" t="s">
        <v>40</v>
      </c>
      <c r="I2" s="30"/>
      <c r="J2" s="15" t="s">
        <v>41</v>
      </c>
      <c r="K2" s="15" t="s">
        <v>41</v>
      </c>
      <c r="L2" s="15" t="s">
        <v>39</v>
      </c>
      <c r="M2" s="15" t="s">
        <v>39</v>
      </c>
      <c r="N2" s="15"/>
      <c r="O2" s="31"/>
      <c r="P2" s="32"/>
    </row>
    <row r="3" ht="15.0" customHeight="1">
      <c r="A3" s="7">
        <v>2.0</v>
      </c>
      <c r="B3" s="27" t="s">
        <v>42</v>
      </c>
      <c r="C3" s="33"/>
      <c r="D3" s="27" t="s">
        <v>39</v>
      </c>
      <c r="E3" s="7" t="s">
        <v>39</v>
      </c>
      <c r="F3" s="15" t="s">
        <v>39</v>
      </c>
      <c r="G3" s="7"/>
      <c r="H3" s="29" t="s">
        <v>43</v>
      </c>
      <c r="I3" s="30" t="s">
        <v>44</v>
      </c>
      <c r="J3" s="15" t="s">
        <v>39</v>
      </c>
      <c r="K3" s="15" t="s">
        <v>39</v>
      </c>
      <c r="L3" s="15" t="s">
        <v>39</v>
      </c>
      <c r="M3" s="15" t="s">
        <v>39</v>
      </c>
      <c r="N3" s="15"/>
      <c r="O3" s="31"/>
      <c r="P3" s="32"/>
    </row>
    <row r="4" ht="15.0" customHeight="1">
      <c r="A4" s="7">
        <v>3.0</v>
      </c>
      <c r="B4" s="27" t="s">
        <v>45</v>
      </c>
      <c r="C4" s="34" t="s">
        <v>46</v>
      </c>
      <c r="D4" s="27" t="s">
        <v>39</v>
      </c>
      <c r="E4" s="35" t="s">
        <v>39</v>
      </c>
      <c r="F4" s="36" t="s">
        <v>39</v>
      </c>
      <c r="G4" s="7"/>
      <c r="H4" s="29" t="s">
        <v>47</v>
      </c>
      <c r="I4" s="30" t="s">
        <v>48</v>
      </c>
      <c r="J4" s="15" t="s">
        <v>41</v>
      </c>
      <c r="K4" s="15" t="s">
        <v>41</v>
      </c>
      <c r="L4" s="15" t="s">
        <v>39</v>
      </c>
      <c r="M4" s="15" t="s">
        <v>39</v>
      </c>
      <c r="N4" s="15"/>
      <c r="O4" s="37"/>
      <c r="P4" s="38" t="s">
        <v>49</v>
      </c>
    </row>
    <row r="5" ht="15.0" customHeight="1">
      <c r="A5" s="7">
        <v>4.0</v>
      </c>
      <c r="B5" s="27" t="s">
        <v>50</v>
      </c>
      <c r="C5" s="34" t="s">
        <v>51</v>
      </c>
      <c r="D5" s="27" t="s">
        <v>52</v>
      </c>
      <c r="E5" s="7" t="s">
        <v>53</v>
      </c>
      <c r="F5" s="15" t="s">
        <v>54</v>
      </c>
      <c r="G5" s="7"/>
      <c r="H5" s="29" t="s">
        <v>55</v>
      </c>
      <c r="I5" s="39" t="s">
        <v>56</v>
      </c>
      <c r="J5" s="15" t="s">
        <v>41</v>
      </c>
      <c r="K5" s="15" t="s">
        <v>41</v>
      </c>
      <c r="L5" s="15" t="s">
        <v>41</v>
      </c>
      <c r="M5" s="15" t="s">
        <v>41</v>
      </c>
      <c r="N5" s="15" t="s">
        <v>41</v>
      </c>
      <c r="O5" s="31"/>
      <c r="P5" s="32" t="s">
        <v>57</v>
      </c>
    </row>
    <row r="6" ht="15.0" customHeight="1">
      <c r="A6" s="7">
        <v>5.0</v>
      </c>
      <c r="B6" s="40" t="s">
        <v>58</v>
      </c>
      <c r="C6" s="34" t="s">
        <v>59</v>
      </c>
      <c r="D6" s="41" t="s">
        <v>52</v>
      </c>
      <c r="E6" s="42" t="s">
        <v>60</v>
      </c>
      <c r="F6" s="43" t="s">
        <v>54</v>
      </c>
      <c r="G6" s="44" t="s">
        <v>61</v>
      </c>
      <c r="H6" s="29" t="s">
        <v>62</v>
      </c>
      <c r="I6" s="39" t="s">
        <v>56</v>
      </c>
      <c r="J6" s="15"/>
      <c r="K6" s="15"/>
      <c r="L6" s="15" t="s">
        <v>41</v>
      </c>
      <c r="M6" s="15"/>
      <c r="N6" s="15" t="s">
        <v>41</v>
      </c>
      <c r="O6" s="31"/>
      <c r="P6" s="32" t="s">
        <v>57</v>
      </c>
    </row>
    <row r="7" ht="15.0" customHeight="1">
      <c r="A7" s="7">
        <v>6.0</v>
      </c>
      <c r="B7" s="40" t="s">
        <v>63</v>
      </c>
      <c r="C7" s="34" t="s">
        <v>64</v>
      </c>
      <c r="D7" s="41" t="s">
        <v>65</v>
      </c>
      <c r="E7" s="14" t="s">
        <v>66</v>
      </c>
      <c r="F7" s="30" t="s">
        <v>54</v>
      </c>
      <c r="G7" s="7"/>
      <c r="H7" s="29" t="s">
        <v>67</v>
      </c>
      <c r="I7" s="30" t="s">
        <v>68</v>
      </c>
      <c r="J7" s="15"/>
      <c r="K7" s="15"/>
      <c r="L7" s="15" t="s">
        <v>41</v>
      </c>
      <c r="M7" s="15"/>
      <c r="N7" s="15" t="s">
        <v>41</v>
      </c>
      <c r="O7" s="31"/>
      <c r="P7" s="32" t="s">
        <v>69</v>
      </c>
      <c r="Q7" s="45"/>
      <c r="R7" s="45"/>
      <c r="S7" s="45"/>
      <c r="T7" s="45"/>
      <c r="U7" s="45"/>
      <c r="V7" s="45"/>
      <c r="W7" s="45"/>
      <c r="X7" s="45"/>
      <c r="Y7" s="45"/>
      <c r="Z7" s="45"/>
    </row>
    <row r="8" ht="15.0" customHeight="1">
      <c r="A8" s="7">
        <v>7.0</v>
      </c>
      <c r="B8" s="40" t="s">
        <v>70</v>
      </c>
      <c r="C8" s="34" t="s">
        <v>71</v>
      </c>
      <c r="D8" s="41" t="s">
        <v>52</v>
      </c>
      <c r="E8" s="14" t="s">
        <v>72</v>
      </c>
      <c r="F8" s="30" t="s">
        <v>54</v>
      </c>
      <c r="G8" s="7"/>
      <c r="H8" s="29" t="s">
        <v>73</v>
      </c>
      <c r="I8" s="39" t="s">
        <v>56</v>
      </c>
      <c r="J8" s="15"/>
      <c r="K8" s="15"/>
      <c r="L8" s="15" t="s">
        <v>41</v>
      </c>
      <c r="M8" s="15"/>
      <c r="N8" s="15" t="s">
        <v>41</v>
      </c>
      <c r="O8" s="31"/>
      <c r="P8" s="32" t="s">
        <v>57</v>
      </c>
    </row>
    <row r="9" ht="15.0" customHeight="1">
      <c r="A9" s="7">
        <v>8.0</v>
      </c>
      <c r="B9" s="27" t="s">
        <v>74</v>
      </c>
      <c r="C9" s="34" t="s">
        <v>75</v>
      </c>
      <c r="D9" s="41" t="s">
        <v>76</v>
      </c>
      <c r="E9" s="14" t="s">
        <v>53</v>
      </c>
      <c r="F9" s="30" t="s">
        <v>77</v>
      </c>
      <c r="G9" s="7"/>
      <c r="H9" s="46" t="s">
        <v>78</v>
      </c>
      <c r="I9" s="30" t="s">
        <v>68</v>
      </c>
      <c r="J9" s="15"/>
      <c r="K9" s="15"/>
      <c r="L9" s="15" t="s">
        <v>41</v>
      </c>
      <c r="M9" s="15"/>
      <c r="N9" s="15" t="s">
        <v>41</v>
      </c>
      <c r="O9" s="31"/>
      <c r="P9" s="32" t="s">
        <v>69</v>
      </c>
    </row>
    <row r="10" ht="15.0" customHeight="1">
      <c r="A10" s="7">
        <v>9.0</v>
      </c>
      <c r="B10" s="27" t="s">
        <v>79</v>
      </c>
      <c r="C10" s="34" t="s">
        <v>80</v>
      </c>
      <c r="D10" s="41" t="s">
        <v>76</v>
      </c>
      <c r="E10" s="14" t="s">
        <v>53</v>
      </c>
      <c r="F10" s="30" t="s">
        <v>77</v>
      </c>
      <c r="G10" s="7"/>
      <c r="H10" s="46" t="s">
        <v>81</v>
      </c>
      <c r="I10" s="30" t="s">
        <v>68</v>
      </c>
      <c r="J10" s="15"/>
      <c r="K10" s="15"/>
      <c r="L10" s="15" t="s">
        <v>41</v>
      </c>
      <c r="M10" s="15"/>
      <c r="N10" s="15" t="s">
        <v>41</v>
      </c>
      <c r="O10" s="31"/>
      <c r="P10" s="32" t="s">
        <v>69</v>
      </c>
    </row>
    <row r="11" ht="15.0" customHeight="1">
      <c r="A11" s="7">
        <v>10.0</v>
      </c>
      <c r="B11" s="27" t="s">
        <v>82</v>
      </c>
      <c r="C11" s="34" t="s">
        <v>83</v>
      </c>
      <c r="D11" s="41" t="s">
        <v>65</v>
      </c>
      <c r="E11" s="14" t="s">
        <v>53</v>
      </c>
      <c r="F11" s="30" t="s">
        <v>54</v>
      </c>
      <c r="G11" s="7"/>
      <c r="H11" s="46" t="s">
        <v>84</v>
      </c>
      <c r="I11" s="30" t="s">
        <v>68</v>
      </c>
      <c r="J11" s="15"/>
      <c r="K11" s="15"/>
      <c r="L11" s="15" t="s">
        <v>41</v>
      </c>
      <c r="M11" s="15"/>
      <c r="N11" s="15" t="s">
        <v>41</v>
      </c>
      <c r="O11" s="31"/>
      <c r="P11" s="32" t="s">
        <v>69</v>
      </c>
    </row>
    <row r="12" ht="15.0" customHeight="1">
      <c r="A12" s="7">
        <v>11.0</v>
      </c>
      <c r="B12" s="27" t="s">
        <v>85</v>
      </c>
      <c r="C12" s="34" t="s">
        <v>86</v>
      </c>
      <c r="D12" s="41" t="s">
        <v>65</v>
      </c>
      <c r="E12" s="14" t="s">
        <v>53</v>
      </c>
      <c r="F12" s="30" t="s">
        <v>54</v>
      </c>
      <c r="G12" s="7"/>
      <c r="H12" s="29" t="s">
        <v>87</v>
      </c>
      <c r="I12" s="39" t="s">
        <v>56</v>
      </c>
      <c r="J12" s="15"/>
      <c r="K12" s="15"/>
      <c r="L12" s="15" t="s">
        <v>41</v>
      </c>
      <c r="M12" s="15"/>
      <c r="N12" s="15" t="s">
        <v>41</v>
      </c>
      <c r="O12" s="31"/>
      <c r="P12" s="32" t="s">
        <v>69</v>
      </c>
    </row>
    <row r="13" ht="15.0" customHeight="1">
      <c r="A13" s="7">
        <v>12.0</v>
      </c>
      <c r="B13" s="27" t="s">
        <v>88</v>
      </c>
      <c r="C13" s="34" t="s">
        <v>89</v>
      </c>
      <c r="D13" s="41" t="s">
        <v>90</v>
      </c>
      <c r="E13" s="14" t="s">
        <v>53</v>
      </c>
      <c r="F13" s="30" t="s">
        <v>54</v>
      </c>
      <c r="G13" s="7"/>
      <c r="H13" s="29" t="s">
        <v>91</v>
      </c>
      <c r="I13" s="14" t="s">
        <v>56</v>
      </c>
      <c r="J13" s="15"/>
      <c r="K13" s="15"/>
      <c r="L13" s="15" t="s">
        <v>41</v>
      </c>
      <c r="M13" s="15"/>
      <c r="N13" s="15" t="s">
        <v>41</v>
      </c>
      <c r="O13" s="31"/>
      <c r="P13" s="47" t="s">
        <v>92</v>
      </c>
    </row>
    <row r="14" ht="15.0" customHeight="1">
      <c r="A14" s="7">
        <v>13.0</v>
      </c>
      <c r="B14" s="27" t="s">
        <v>93</v>
      </c>
      <c r="C14" s="34" t="s">
        <v>94</v>
      </c>
      <c r="D14" s="41" t="s">
        <v>90</v>
      </c>
      <c r="E14" s="14" t="s">
        <v>53</v>
      </c>
      <c r="F14" s="30" t="s">
        <v>54</v>
      </c>
      <c r="G14" s="7"/>
      <c r="H14" s="46" t="s">
        <v>95</v>
      </c>
      <c r="I14" s="30"/>
      <c r="J14" s="15"/>
      <c r="K14" s="15"/>
      <c r="L14" s="15" t="s">
        <v>41</v>
      </c>
      <c r="M14" s="15"/>
      <c r="N14" s="15" t="s">
        <v>41</v>
      </c>
      <c r="O14" s="31"/>
      <c r="P14" s="32" t="s">
        <v>96</v>
      </c>
    </row>
    <row r="15" ht="15.0" customHeight="1">
      <c r="A15" s="7">
        <v>14.0</v>
      </c>
      <c r="B15" s="27" t="s">
        <v>97</v>
      </c>
      <c r="C15" s="34" t="s">
        <v>98</v>
      </c>
      <c r="D15" s="41" t="s">
        <v>90</v>
      </c>
      <c r="E15" s="14" t="s">
        <v>53</v>
      </c>
      <c r="F15" s="30" t="s">
        <v>54</v>
      </c>
      <c r="G15" s="7"/>
      <c r="H15" s="29" t="s">
        <v>99</v>
      </c>
      <c r="I15" s="30"/>
      <c r="J15" s="15"/>
      <c r="K15" s="15"/>
      <c r="L15" s="15" t="s">
        <v>41</v>
      </c>
      <c r="M15" s="15"/>
      <c r="N15" s="15" t="s">
        <v>41</v>
      </c>
      <c r="O15" s="31"/>
      <c r="P15" s="47" t="s">
        <v>69</v>
      </c>
    </row>
    <row r="16" ht="15.0" customHeight="1">
      <c r="A16" s="7">
        <v>15.0</v>
      </c>
      <c r="B16" s="27" t="s">
        <v>100</v>
      </c>
      <c r="C16" s="34" t="s">
        <v>101</v>
      </c>
      <c r="D16" s="41" t="s">
        <v>76</v>
      </c>
      <c r="E16" s="14" t="s">
        <v>53</v>
      </c>
      <c r="F16" s="30" t="s">
        <v>77</v>
      </c>
      <c r="G16" s="44" t="s">
        <v>61</v>
      </c>
      <c r="H16" s="29" t="s">
        <v>102</v>
      </c>
      <c r="I16" s="30" t="s">
        <v>68</v>
      </c>
      <c r="J16" s="15"/>
      <c r="K16" s="15"/>
      <c r="L16" s="15" t="s">
        <v>41</v>
      </c>
      <c r="M16" s="15"/>
      <c r="N16" s="15" t="s">
        <v>41</v>
      </c>
      <c r="O16" s="31"/>
      <c r="P16" s="32" t="s">
        <v>69</v>
      </c>
    </row>
    <row r="17" ht="15.0" customHeight="1">
      <c r="A17" s="7">
        <v>16.0</v>
      </c>
      <c r="B17" s="27" t="s">
        <v>103</v>
      </c>
      <c r="C17" s="34" t="s">
        <v>104</v>
      </c>
      <c r="D17" s="41" t="s">
        <v>52</v>
      </c>
      <c r="E17" s="14" t="s">
        <v>53</v>
      </c>
      <c r="F17" s="30" t="s">
        <v>77</v>
      </c>
      <c r="G17" s="7"/>
      <c r="H17" s="29" t="s">
        <v>105</v>
      </c>
      <c r="I17" s="39" t="s">
        <v>56</v>
      </c>
      <c r="J17" s="15"/>
      <c r="K17" s="15"/>
      <c r="L17" s="15" t="s">
        <v>41</v>
      </c>
      <c r="M17" s="15"/>
      <c r="N17" s="15" t="s">
        <v>41</v>
      </c>
      <c r="O17" s="31"/>
      <c r="P17" s="32" t="s">
        <v>57</v>
      </c>
    </row>
    <row r="18" ht="15.0" customHeight="1">
      <c r="A18" s="7">
        <v>17.0</v>
      </c>
      <c r="B18" s="27" t="s">
        <v>106</v>
      </c>
      <c r="C18" s="34" t="s">
        <v>107</v>
      </c>
      <c r="D18" s="41" t="s">
        <v>76</v>
      </c>
      <c r="E18" s="14" t="s">
        <v>108</v>
      </c>
      <c r="F18" s="30" t="s">
        <v>54</v>
      </c>
      <c r="G18" s="7"/>
      <c r="H18" s="46" t="s">
        <v>109</v>
      </c>
      <c r="I18" s="30" t="s">
        <v>68</v>
      </c>
      <c r="J18" s="15"/>
      <c r="K18" s="15"/>
      <c r="L18" s="15" t="s">
        <v>41</v>
      </c>
      <c r="M18" s="15"/>
      <c r="N18" s="15" t="s">
        <v>41</v>
      </c>
      <c r="O18" s="31"/>
      <c r="P18" s="32" t="s">
        <v>69</v>
      </c>
    </row>
    <row r="19" ht="15.0" customHeight="1">
      <c r="A19" s="7">
        <v>18.0</v>
      </c>
      <c r="B19" s="27" t="s">
        <v>110</v>
      </c>
      <c r="C19" s="34" t="s">
        <v>111</v>
      </c>
      <c r="D19" s="41" t="s">
        <v>76</v>
      </c>
      <c r="E19" s="14" t="s">
        <v>108</v>
      </c>
      <c r="F19" s="30" t="s">
        <v>77</v>
      </c>
      <c r="G19" s="44" t="s">
        <v>61</v>
      </c>
      <c r="H19" s="29" t="s">
        <v>112</v>
      </c>
      <c r="I19" s="30" t="s">
        <v>68</v>
      </c>
      <c r="J19" s="15"/>
      <c r="K19" s="15"/>
      <c r="L19" s="15" t="s">
        <v>41</v>
      </c>
      <c r="M19" s="15"/>
      <c r="N19" s="15" t="s">
        <v>41</v>
      </c>
      <c r="O19" s="31"/>
      <c r="P19" s="32" t="s">
        <v>69</v>
      </c>
    </row>
    <row r="20" ht="15.0" customHeight="1">
      <c r="A20" s="7">
        <v>19.0</v>
      </c>
      <c r="B20" s="27" t="s">
        <v>113</v>
      </c>
      <c r="C20" s="34" t="s">
        <v>114</v>
      </c>
      <c r="D20" s="41" t="s">
        <v>52</v>
      </c>
      <c r="E20" s="14" t="s">
        <v>53</v>
      </c>
      <c r="F20" s="30" t="s">
        <v>77</v>
      </c>
      <c r="G20" s="7"/>
      <c r="H20" s="46" t="s">
        <v>115</v>
      </c>
      <c r="I20" s="39" t="s">
        <v>56</v>
      </c>
      <c r="J20" s="15"/>
      <c r="K20" s="15"/>
      <c r="L20" s="15" t="s">
        <v>41</v>
      </c>
      <c r="M20" s="15"/>
      <c r="N20" s="15" t="s">
        <v>41</v>
      </c>
      <c r="O20" s="31"/>
      <c r="P20" s="47" t="s">
        <v>116</v>
      </c>
    </row>
    <row r="21" ht="15.0" customHeight="1">
      <c r="A21" s="7">
        <v>20.0</v>
      </c>
      <c r="B21" s="27" t="s">
        <v>117</v>
      </c>
      <c r="C21" s="34" t="s">
        <v>118</v>
      </c>
      <c r="D21" s="41" t="s">
        <v>76</v>
      </c>
      <c r="E21" s="14" t="s">
        <v>108</v>
      </c>
      <c r="F21" s="30" t="s">
        <v>54</v>
      </c>
      <c r="G21" s="7"/>
      <c r="H21" s="46" t="s">
        <v>119</v>
      </c>
      <c r="I21" s="30" t="s">
        <v>68</v>
      </c>
      <c r="J21" s="15"/>
      <c r="K21" s="15"/>
      <c r="L21" s="15" t="s">
        <v>41</v>
      </c>
      <c r="M21" s="15"/>
      <c r="N21" s="15" t="s">
        <v>41</v>
      </c>
      <c r="O21" s="31"/>
      <c r="P21" s="32" t="s">
        <v>69</v>
      </c>
    </row>
    <row r="22" ht="15.75" customHeight="1">
      <c r="A22" s="7">
        <v>21.0</v>
      </c>
      <c r="B22" s="27" t="s">
        <v>120</v>
      </c>
      <c r="C22" s="34" t="s">
        <v>121</v>
      </c>
      <c r="D22" s="41" t="s">
        <v>76</v>
      </c>
      <c r="E22" s="14" t="s">
        <v>53</v>
      </c>
      <c r="F22" s="30" t="s">
        <v>77</v>
      </c>
      <c r="G22" s="7"/>
      <c r="H22" s="29" t="s">
        <v>122</v>
      </c>
      <c r="I22" s="30" t="s">
        <v>68</v>
      </c>
      <c r="J22" s="15"/>
      <c r="K22" s="15"/>
      <c r="L22" s="15" t="s">
        <v>41</v>
      </c>
      <c r="M22" s="15"/>
      <c r="N22" s="15" t="s">
        <v>41</v>
      </c>
      <c r="O22" s="31"/>
      <c r="P22" s="32" t="s">
        <v>69</v>
      </c>
    </row>
    <row r="23" ht="15.75" customHeight="1">
      <c r="A23" s="35">
        <v>22.0</v>
      </c>
      <c r="B23" s="48" t="s">
        <v>123</v>
      </c>
      <c r="C23" s="34" t="s">
        <v>124</v>
      </c>
      <c r="D23" s="41" t="s">
        <v>65</v>
      </c>
      <c r="E23" s="14" t="s">
        <v>53</v>
      </c>
      <c r="F23" s="30" t="s">
        <v>77</v>
      </c>
      <c r="G23" s="7"/>
      <c r="H23" s="46" t="s">
        <v>125</v>
      </c>
      <c r="I23" s="39" t="s">
        <v>68</v>
      </c>
      <c r="J23" s="36"/>
      <c r="K23" s="36"/>
      <c r="L23" s="15" t="s">
        <v>41</v>
      </c>
      <c r="M23" s="36"/>
      <c r="N23" s="15" t="s">
        <v>41</v>
      </c>
      <c r="O23" s="31"/>
      <c r="P23" s="32" t="s">
        <v>69</v>
      </c>
    </row>
    <row r="24" ht="15.75" customHeight="1">
      <c r="A24" s="7">
        <v>23.0</v>
      </c>
      <c r="B24" s="33" t="s">
        <v>126</v>
      </c>
      <c r="C24" s="49" t="s">
        <v>127</v>
      </c>
      <c r="D24" s="41" t="s">
        <v>76</v>
      </c>
      <c r="E24" s="14" t="s">
        <v>53</v>
      </c>
      <c r="F24" s="30" t="s">
        <v>77</v>
      </c>
      <c r="G24" s="7"/>
      <c r="H24" s="29" t="s">
        <v>128</v>
      </c>
      <c r="I24" s="14" t="s">
        <v>68</v>
      </c>
      <c r="J24" s="15"/>
      <c r="K24" s="15"/>
      <c r="L24" s="15" t="s">
        <v>41</v>
      </c>
      <c r="M24" s="15"/>
      <c r="N24" s="15" t="s">
        <v>41</v>
      </c>
      <c r="O24" s="31"/>
      <c r="P24" s="32" t="s">
        <v>69</v>
      </c>
    </row>
    <row r="25" ht="15.75" customHeight="1">
      <c r="A25" s="50">
        <v>24.0</v>
      </c>
      <c r="B25" s="51" t="s">
        <v>129</v>
      </c>
      <c r="C25" s="34" t="s">
        <v>130</v>
      </c>
      <c r="D25" s="41" t="s">
        <v>76</v>
      </c>
      <c r="E25" s="14" t="s">
        <v>53</v>
      </c>
      <c r="F25" s="30" t="s">
        <v>54</v>
      </c>
      <c r="G25" s="44" t="s">
        <v>61</v>
      </c>
      <c r="H25" s="29" t="s">
        <v>131</v>
      </c>
      <c r="I25" s="43"/>
      <c r="J25" s="52"/>
      <c r="K25" s="52"/>
      <c r="L25" s="15" t="s">
        <v>41</v>
      </c>
      <c r="M25" s="52"/>
      <c r="N25" s="15" t="s">
        <v>41</v>
      </c>
      <c r="O25" s="31"/>
      <c r="P25" s="32" t="s">
        <v>69</v>
      </c>
    </row>
    <row r="26" ht="15.75" customHeight="1">
      <c r="A26" s="7">
        <v>25.0</v>
      </c>
      <c r="B26" s="27" t="s">
        <v>132</v>
      </c>
      <c r="C26" s="34" t="s">
        <v>133</v>
      </c>
      <c r="D26" s="41" t="s">
        <v>76</v>
      </c>
      <c r="E26" s="14" t="s">
        <v>53</v>
      </c>
      <c r="F26" s="30" t="s">
        <v>54</v>
      </c>
      <c r="G26" s="44" t="s">
        <v>61</v>
      </c>
      <c r="H26" s="46" t="s">
        <v>134</v>
      </c>
      <c r="I26" s="14" t="s">
        <v>68</v>
      </c>
      <c r="J26" s="15"/>
      <c r="K26" s="15"/>
      <c r="L26" s="15" t="s">
        <v>41</v>
      </c>
      <c r="M26" s="15"/>
      <c r="N26" s="15" t="s">
        <v>41</v>
      </c>
      <c r="O26" s="31"/>
      <c r="P26" s="32" t="s">
        <v>69</v>
      </c>
    </row>
    <row r="27" ht="15.75" customHeight="1">
      <c r="A27" s="7">
        <v>26.0</v>
      </c>
      <c r="B27" s="27" t="s">
        <v>135</v>
      </c>
      <c r="C27" s="34" t="s">
        <v>136</v>
      </c>
      <c r="D27" s="41" t="s">
        <v>65</v>
      </c>
      <c r="E27" s="14" t="s">
        <v>53</v>
      </c>
      <c r="F27" s="30" t="s">
        <v>77</v>
      </c>
      <c r="G27" s="7"/>
      <c r="H27" s="46" t="s">
        <v>137</v>
      </c>
      <c r="I27" s="30"/>
      <c r="J27" s="15"/>
      <c r="K27" s="15"/>
      <c r="L27" s="15" t="s">
        <v>41</v>
      </c>
      <c r="M27" s="15"/>
      <c r="N27" s="15" t="s">
        <v>41</v>
      </c>
      <c r="O27" s="31"/>
      <c r="P27" s="32" t="s">
        <v>69</v>
      </c>
    </row>
    <row r="28" ht="15.75" customHeight="1">
      <c r="A28" s="7">
        <v>27.0</v>
      </c>
      <c r="B28" s="27" t="s">
        <v>138</v>
      </c>
      <c r="C28" s="34" t="s">
        <v>139</v>
      </c>
      <c r="D28" s="41" t="s">
        <v>76</v>
      </c>
      <c r="E28" s="14" t="s">
        <v>53</v>
      </c>
      <c r="F28" s="30" t="s">
        <v>54</v>
      </c>
      <c r="G28" s="7"/>
      <c r="H28" s="46" t="s">
        <v>140</v>
      </c>
      <c r="I28" s="30"/>
      <c r="J28" s="15"/>
      <c r="K28" s="15"/>
      <c r="L28" s="15" t="s">
        <v>41</v>
      </c>
      <c r="M28" s="15"/>
      <c r="N28" s="15" t="s">
        <v>41</v>
      </c>
      <c r="O28" s="31"/>
      <c r="P28" s="32" t="s">
        <v>69</v>
      </c>
    </row>
    <row r="29" ht="15.75" customHeight="1">
      <c r="A29" s="7">
        <v>28.0</v>
      </c>
      <c r="B29" s="27" t="s">
        <v>141</v>
      </c>
      <c r="C29" s="34" t="s">
        <v>142</v>
      </c>
      <c r="D29" s="41" t="s">
        <v>76</v>
      </c>
      <c r="E29" s="14" t="s">
        <v>143</v>
      </c>
      <c r="F29" s="30" t="s">
        <v>54</v>
      </c>
      <c r="G29" s="7"/>
      <c r="H29" s="46" t="s">
        <v>144</v>
      </c>
      <c r="I29" s="30"/>
      <c r="J29" s="15"/>
      <c r="K29" s="15"/>
      <c r="L29" s="15" t="s">
        <v>41</v>
      </c>
      <c r="M29" s="15"/>
      <c r="N29" s="15" t="s">
        <v>41</v>
      </c>
      <c r="O29" s="31"/>
      <c r="P29" s="32" t="s">
        <v>69</v>
      </c>
    </row>
    <row r="30" ht="15.75" customHeight="1">
      <c r="A30" s="7">
        <v>29.0</v>
      </c>
      <c r="B30" s="27" t="s">
        <v>145</v>
      </c>
      <c r="C30" s="34" t="s">
        <v>146</v>
      </c>
      <c r="D30" s="41" t="s">
        <v>52</v>
      </c>
      <c r="E30" s="14" t="s">
        <v>53</v>
      </c>
      <c r="F30" s="30" t="s">
        <v>54</v>
      </c>
      <c r="G30" s="7"/>
      <c r="H30" s="29" t="s">
        <v>147</v>
      </c>
      <c r="I30" s="39" t="s">
        <v>56</v>
      </c>
      <c r="J30" s="15"/>
      <c r="K30" s="15"/>
      <c r="L30" s="15" t="s">
        <v>41</v>
      </c>
      <c r="M30" s="15"/>
      <c r="N30" s="15" t="s">
        <v>41</v>
      </c>
      <c r="O30" s="31"/>
      <c r="P30" s="32" t="s">
        <v>57</v>
      </c>
    </row>
    <row r="31" ht="15.75" customHeight="1">
      <c r="A31" s="7">
        <v>30.0</v>
      </c>
      <c r="B31" s="27" t="s">
        <v>148</v>
      </c>
      <c r="C31" s="34" t="s">
        <v>149</v>
      </c>
      <c r="D31" s="41" t="s">
        <v>65</v>
      </c>
      <c r="E31" s="14" t="s">
        <v>53</v>
      </c>
      <c r="F31" s="30" t="s">
        <v>77</v>
      </c>
      <c r="G31" s="7"/>
      <c r="H31" s="29" t="s">
        <v>150</v>
      </c>
      <c r="I31" s="39" t="s">
        <v>56</v>
      </c>
      <c r="J31" s="15"/>
      <c r="K31" s="15"/>
      <c r="L31" s="15" t="s">
        <v>41</v>
      </c>
      <c r="M31" s="15"/>
      <c r="N31" s="15" t="s">
        <v>41</v>
      </c>
      <c r="O31" s="31"/>
      <c r="P31" s="32" t="s">
        <v>69</v>
      </c>
    </row>
    <row r="32" ht="15.75" customHeight="1">
      <c r="A32" s="7">
        <v>31.0</v>
      </c>
      <c r="B32" s="27" t="s">
        <v>151</v>
      </c>
      <c r="C32" s="34" t="s">
        <v>152</v>
      </c>
      <c r="D32" s="41" t="s">
        <v>65</v>
      </c>
      <c r="E32" s="14" t="s">
        <v>143</v>
      </c>
      <c r="F32" s="30" t="s">
        <v>77</v>
      </c>
      <c r="G32" s="7"/>
      <c r="H32" s="46" t="s">
        <v>153</v>
      </c>
      <c r="I32" s="14" t="s">
        <v>68</v>
      </c>
      <c r="J32" s="15"/>
      <c r="K32" s="15"/>
      <c r="L32" s="15" t="s">
        <v>41</v>
      </c>
      <c r="M32" s="15"/>
      <c r="N32" s="15" t="s">
        <v>41</v>
      </c>
      <c r="O32" s="31"/>
      <c r="P32" s="32" t="s">
        <v>69</v>
      </c>
    </row>
    <row r="33" ht="15.75" customHeight="1">
      <c r="A33" s="7">
        <v>32.0</v>
      </c>
      <c r="B33" s="40" t="s">
        <v>154</v>
      </c>
      <c r="C33" s="34" t="s">
        <v>155</v>
      </c>
      <c r="D33" s="41" t="s">
        <v>76</v>
      </c>
      <c r="E33" s="14" t="s">
        <v>156</v>
      </c>
      <c r="F33" s="30" t="s">
        <v>54</v>
      </c>
      <c r="G33" s="7"/>
      <c r="H33" s="29" t="s">
        <v>157</v>
      </c>
      <c r="I33" s="30"/>
      <c r="J33" s="15"/>
      <c r="K33" s="15"/>
      <c r="L33" s="15" t="s">
        <v>41</v>
      </c>
      <c r="M33" s="15"/>
      <c r="N33" s="15" t="s">
        <v>41</v>
      </c>
      <c r="O33" s="31"/>
      <c r="P33" s="32" t="s">
        <v>69</v>
      </c>
    </row>
    <row r="34" ht="15.75" customHeight="1">
      <c r="A34" s="7">
        <v>33.0</v>
      </c>
      <c r="B34" s="27" t="s">
        <v>158</v>
      </c>
      <c r="C34" s="34" t="s">
        <v>159</v>
      </c>
      <c r="D34" s="41" t="s">
        <v>76</v>
      </c>
      <c r="E34" s="14" t="s">
        <v>53</v>
      </c>
      <c r="F34" s="30" t="s">
        <v>54</v>
      </c>
      <c r="G34" s="7"/>
      <c r="H34" s="46" t="s">
        <v>160</v>
      </c>
      <c r="I34" s="14" t="s">
        <v>68</v>
      </c>
      <c r="J34" s="15"/>
      <c r="K34" s="15"/>
      <c r="L34" s="15" t="s">
        <v>41</v>
      </c>
      <c r="M34" s="15"/>
      <c r="N34" s="15" t="s">
        <v>41</v>
      </c>
      <c r="O34" s="31"/>
      <c r="P34" s="32" t="s">
        <v>69</v>
      </c>
    </row>
    <row r="35" ht="15.75" customHeight="1">
      <c r="A35" s="7">
        <v>34.0</v>
      </c>
      <c r="B35" s="27" t="s">
        <v>161</v>
      </c>
      <c r="C35" s="34" t="s">
        <v>162</v>
      </c>
      <c r="D35" s="41" t="s">
        <v>90</v>
      </c>
      <c r="E35" s="14" t="s">
        <v>53</v>
      </c>
      <c r="F35" s="30" t="s">
        <v>54</v>
      </c>
      <c r="G35" s="44" t="s">
        <v>61</v>
      </c>
      <c r="H35" s="46" t="s">
        <v>163</v>
      </c>
      <c r="I35" s="14" t="s">
        <v>68</v>
      </c>
      <c r="J35" s="15"/>
      <c r="K35" s="15"/>
      <c r="L35" s="15" t="s">
        <v>41</v>
      </c>
      <c r="M35" s="15"/>
      <c r="N35" s="15" t="s">
        <v>41</v>
      </c>
      <c r="O35" s="31"/>
      <c r="P35" s="47" t="s">
        <v>69</v>
      </c>
    </row>
    <row r="36" ht="15.75" customHeight="1">
      <c r="A36" s="7">
        <v>35.0</v>
      </c>
      <c r="B36" s="27" t="s">
        <v>164</v>
      </c>
      <c r="C36" s="34" t="s">
        <v>165</v>
      </c>
      <c r="D36" s="41" t="s">
        <v>76</v>
      </c>
      <c r="E36" s="14" t="s">
        <v>53</v>
      </c>
      <c r="F36" s="30" t="s">
        <v>54</v>
      </c>
      <c r="G36" s="7"/>
      <c r="H36" s="46" t="s">
        <v>166</v>
      </c>
      <c r="I36" s="14" t="s">
        <v>68</v>
      </c>
      <c r="J36" s="15"/>
      <c r="K36" s="15"/>
      <c r="L36" s="15" t="s">
        <v>41</v>
      </c>
      <c r="M36" s="15"/>
      <c r="N36" s="15" t="s">
        <v>41</v>
      </c>
      <c r="O36" s="31"/>
      <c r="P36" s="32" t="s">
        <v>69</v>
      </c>
    </row>
    <row r="37" ht="15.75" customHeight="1">
      <c r="A37" s="7">
        <v>36.0</v>
      </c>
      <c r="B37" s="27" t="s">
        <v>167</v>
      </c>
      <c r="C37" s="34" t="s">
        <v>168</v>
      </c>
      <c r="D37" s="41" t="s">
        <v>90</v>
      </c>
      <c r="E37" s="14" t="s">
        <v>108</v>
      </c>
      <c r="F37" s="30" t="s">
        <v>54</v>
      </c>
      <c r="G37" s="44" t="s">
        <v>61</v>
      </c>
      <c r="H37" s="46" t="s">
        <v>169</v>
      </c>
      <c r="I37" s="14" t="s">
        <v>68</v>
      </c>
      <c r="J37" s="15"/>
      <c r="K37" s="15"/>
      <c r="L37" s="15" t="s">
        <v>41</v>
      </c>
      <c r="M37" s="15"/>
      <c r="N37" s="15" t="s">
        <v>41</v>
      </c>
      <c r="O37" s="31"/>
      <c r="P37" s="47" t="s">
        <v>69</v>
      </c>
    </row>
    <row r="38" ht="15.75" customHeight="1">
      <c r="A38" s="35">
        <v>37.0</v>
      </c>
      <c r="B38" s="27" t="s">
        <v>170</v>
      </c>
      <c r="C38" s="34" t="s">
        <v>171</v>
      </c>
      <c r="D38" s="41" t="s">
        <v>65</v>
      </c>
      <c r="E38" s="17" t="s">
        <v>108</v>
      </c>
      <c r="F38" s="30" t="s">
        <v>77</v>
      </c>
      <c r="G38" s="7"/>
      <c r="H38" s="29" t="s">
        <v>172</v>
      </c>
      <c r="I38" s="39" t="s">
        <v>56</v>
      </c>
      <c r="J38" s="15"/>
      <c r="K38" s="15"/>
      <c r="L38" s="15" t="s">
        <v>41</v>
      </c>
      <c r="M38" s="15"/>
      <c r="N38" s="15" t="s">
        <v>41</v>
      </c>
      <c r="O38" s="31"/>
      <c r="P38" s="32" t="s">
        <v>69</v>
      </c>
    </row>
    <row r="39" ht="15.75" customHeight="1">
      <c r="A39" s="7">
        <v>38.0</v>
      </c>
      <c r="B39" s="27" t="s">
        <v>173</v>
      </c>
      <c r="C39" s="34" t="s">
        <v>174</v>
      </c>
      <c r="D39" s="41" t="s">
        <v>65</v>
      </c>
      <c r="E39" s="14" t="s">
        <v>53</v>
      </c>
      <c r="F39" s="30" t="s">
        <v>77</v>
      </c>
      <c r="G39" s="7"/>
      <c r="H39" s="29" t="s">
        <v>175</v>
      </c>
      <c r="I39" s="14"/>
      <c r="J39" s="30"/>
      <c r="K39" s="30"/>
      <c r="L39" s="15" t="s">
        <v>41</v>
      </c>
      <c r="M39" s="30"/>
      <c r="N39" s="15" t="s">
        <v>41</v>
      </c>
      <c r="O39" s="31"/>
      <c r="P39" s="32" t="s">
        <v>69</v>
      </c>
    </row>
    <row r="40" ht="15.75" customHeight="1">
      <c r="A40" s="50">
        <v>39.0</v>
      </c>
      <c r="B40" s="40" t="s">
        <v>176</v>
      </c>
      <c r="C40" s="34" t="s">
        <v>177</v>
      </c>
      <c r="D40" s="41" t="s">
        <v>65</v>
      </c>
      <c r="E40" s="53" t="s">
        <v>178</v>
      </c>
      <c r="F40" s="30" t="s">
        <v>54</v>
      </c>
      <c r="G40" s="44" t="s">
        <v>61</v>
      </c>
      <c r="H40" s="46" t="s">
        <v>179</v>
      </c>
      <c r="I40" s="2" t="s">
        <v>56</v>
      </c>
      <c r="J40" s="36"/>
      <c r="K40" s="36"/>
      <c r="L40" s="15" t="s">
        <v>41</v>
      </c>
      <c r="M40" s="36"/>
      <c r="N40" s="15" t="s">
        <v>41</v>
      </c>
      <c r="O40" s="31"/>
      <c r="P40" s="32" t="s">
        <v>69</v>
      </c>
    </row>
    <row r="41" ht="15.75" customHeight="1">
      <c r="A41" s="35">
        <v>40.0</v>
      </c>
      <c r="B41" s="48" t="s">
        <v>180</v>
      </c>
      <c r="C41" s="34" t="s">
        <v>181</v>
      </c>
      <c r="D41" s="54" t="s">
        <v>76</v>
      </c>
      <c r="E41" s="17" t="s">
        <v>53</v>
      </c>
      <c r="F41" s="30" t="s">
        <v>54</v>
      </c>
      <c r="G41" s="7"/>
      <c r="H41" s="55" t="s">
        <v>182</v>
      </c>
      <c r="I41" s="17" t="s">
        <v>56</v>
      </c>
      <c r="J41" s="36"/>
      <c r="K41" s="36"/>
      <c r="L41" s="15" t="s">
        <v>41</v>
      </c>
      <c r="M41" s="36"/>
      <c r="N41" s="36" t="s">
        <v>41</v>
      </c>
      <c r="O41" s="56"/>
      <c r="P41" s="32" t="s">
        <v>69</v>
      </c>
    </row>
    <row r="42" ht="15.75" customHeight="1">
      <c r="A42" s="7">
        <v>41.0</v>
      </c>
      <c r="B42" s="27" t="s">
        <v>183</v>
      </c>
      <c r="C42" s="34" t="s">
        <v>184</v>
      </c>
      <c r="D42" s="41" t="s">
        <v>76</v>
      </c>
      <c r="E42" s="7" t="s">
        <v>53</v>
      </c>
      <c r="F42" s="30" t="s">
        <v>54</v>
      </c>
      <c r="G42" s="7"/>
      <c r="H42" s="29" t="s">
        <v>185</v>
      </c>
      <c r="I42" s="14" t="s">
        <v>186</v>
      </c>
      <c r="J42" s="7"/>
      <c r="K42" s="7"/>
      <c r="L42" s="15" t="s">
        <v>41</v>
      </c>
      <c r="M42" s="7"/>
      <c r="N42" s="7" t="s">
        <v>41</v>
      </c>
      <c r="O42" s="31"/>
      <c r="P42" s="32" t="s">
        <v>69</v>
      </c>
    </row>
    <row r="43" ht="15.75" customHeight="1">
      <c r="A43" s="50">
        <v>42.0</v>
      </c>
      <c r="B43" s="37" t="s">
        <v>187</v>
      </c>
      <c r="C43" s="34" t="s">
        <v>188</v>
      </c>
      <c r="D43" s="54" t="s">
        <v>90</v>
      </c>
      <c r="E43" s="35" t="s">
        <v>53</v>
      </c>
      <c r="F43" s="30" t="s">
        <v>77</v>
      </c>
      <c r="G43" s="7"/>
      <c r="H43" s="46" t="s">
        <v>189</v>
      </c>
      <c r="I43" s="17" t="s">
        <v>190</v>
      </c>
      <c r="J43" s="35"/>
      <c r="K43" s="35"/>
      <c r="L43" s="15" t="s">
        <v>41</v>
      </c>
      <c r="M43" s="35"/>
      <c r="N43" s="35" t="s">
        <v>41</v>
      </c>
      <c r="O43" s="56"/>
      <c r="P43" s="32" t="s">
        <v>191</v>
      </c>
    </row>
    <row r="44" ht="15.75" customHeight="1">
      <c r="A44" s="35">
        <v>43.0</v>
      </c>
      <c r="B44" s="51" t="s">
        <v>192</v>
      </c>
      <c r="C44" s="57" t="s">
        <v>193</v>
      </c>
      <c r="D44" s="41" t="s">
        <v>194</v>
      </c>
      <c r="E44" s="7" t="s">
        <v>39</v>
      </c>
      <c r="F44" s="15" t="s">
        <v>39</v>
      </c>
      <c r="G44" s="7"/>
      <c r="H44" s="46" t="s">
        <v>195</v>
      </c>
      <c r="I44" s="17" t="s">
        <v>68</v>
      </c>
      <c r="J44" s="7"/>
      <c r="K44" s="7"/>
      <c r="L44" s="7"/>
      <c r="M44" s="7"/>
      <c r="N44" s="7"/>
      <c r="O44" s="31"/>
      <c r="P44" s="32"/>
    </row>
    <row r="45" ht="15.75" customHeight="1">
      <c r="A45" s="7">
        <v>44.0</v>
      </c>
      <c r="B45" s="27" t="s">
        <v>196</v>
      </c>
      <c r="C45" s="58" t="s">
        <v>197</v>
      </c>
      <c r="D45" s="41" t="s">
        <v>194</v>
      </c>
      <c r="E45" s="7" t="s">
        <v>39</v>
      </c>
      <c r="F45" s="15" t="s">
        <v>39</v>
      </c>
      <c r="G45" s="7"/>
      <c r="H45" s="46" t="s">
        <v>198</v>
      </c>
      <c r="I45" s="17" t="s">
        <v>68</v>
      </c>
      <c r="J45" s="7"/>
      <c r="K45" s="7"/>
      <c r="L45" s="7"/>
      <c r="M45" s="7"/>
      <c r="N45" s="7"/>
      <c r="O45" s="31"/>
      <c r="P45" s="32"/>
    </row>
    <row r="46" ht="15.75" customHeight="1">
      <c r="A46" s="50">
        <v>45.0</v>
      </c>
      <c r="B46" s="27" t="s">
        <v>199</v>
      </c>
      <c r="C46" s="58" t="s">
        <v>200</v>
      </c>
      <c r="D46" s="41" t="s">
        <v>194</v>
      </c>
      <c r="E46" s="7" t="s">
        <v>39</v>
      </c>
      <c r="F46" s="15" t="s">
        <v>39</v>
      </c>
      <c r="G46" s="7"/>
      <c r="H46" s="46" t="s">
        <v>201</v>
      </c>
      <c r="I46" s="17" t="s">
        <v>68</v>
      </c>
      <c r="J46" s="7"/>
      <c r="K46" s="7"/>
      <c r="L46" s="7"/>
      <c r="M46" s="7"/>
      <c r="N46" s="7"/>
      <c r="O46" s="31"/>
      <c r="P46" s="32"/>
    </row>
    <row r="47" ht="15.75" customHeight="1">
      <c r="A47" s="35">
        <v>46.0</v>
      </c>
      <c r="B47" s="48" t="s">
        <v>202</v>
      </c>
      <c r="C47" s="58" t="s">
        <v>203</v>
      </c>
      <c r="D47" s="54" t="s">
        <v>194</v>
      </c>
      <c r="E47" s="35" t="s">
        <v>39</v>
      </c>
      <c r="F47" s="36" t="s">
        <v>39</v>
      </c>
      <c r="G47" s="7"/>
      <c r="H47" s="59" t="s">
        <v>204</v>
      </c>
      <c r="I47" s="17" t="s">
        <v>68</v>
      </c>
      <c r="J47" s="35"/>
      <c r="K47" s="35"/>
      <c r="L47" s="35"/>
      <c r="M47" s="35"/>
      <c r="N47" s="35"/>
      <c r="O47" s="56"/>
      <c r="P47" s="32"/>
    </row>
    <row r="48" ht="15.75" customHeight="1">
      <c r="A48" s="36">
        <v>47.0</v>
      </c>
      <c r="B48" s="60" t="s">
        <v>205</v>
      </c>
      <c r="C48" s="28" t="s">
        <v>206</v>
      </c>
      <c r="D48" s="54" t="s">
        <v>194</v>
      </c>
      <c r="E48" s="35" t="s">
        <v>39</v>
      </c>
      <c r="F48" s="36" t="s">
        <v>39</v>
      </c>
      <c r="G48" s="7"/>
      <c r="H48" s="59" t="s">
        <v>207</v>
      </c>
      <c r="I48" s="35" t="s">
        <v>68</v>
      </c>
      <c r="J48" s="35"/>
      <c r="K48" s="35"/>
      <c r="L48" s="35"/>
      <c r="M48" s="35"/>
      <c r="N48" s="35"/>
      <c r="O48" s="56"/>
      <c r="P48" s="61"/>
      <c r="Q48" s="62"/>
      <c r="R48" s="62"/>
      <c r="S48" s="62"/>
      <c r="T48" s="62"/>
      <c r="U48" s="62"/>
      <c r="V48" s="62"/>
      <c r="W48" s="62"/>
      <c r="X48" s="62"/>
      <c r="Y48" s="62"/>
      <c r="Z48" s="62"/>
    </row>
    <row r="49" ht="15.75" customHeight="1">
      <c r="A49" s="7">
        <v>48.0</v>
      </c>
      <c r="B49" s="63" t="s">
        <v>208</v>
      </c>
      <c r="C49" s="64" t="s">
        <v>209</v>
      </c>
      <c r="D49" s="33" t="s">
        <v>90</v>
      </c>
      <c r="E49" s="7" t="s">
        <v>210</v>
      </c>
      <c r="F49" s="15" t="s">
        <v>54</v>
      </c>
      <c r="G49" s="7"/>
      <c r="H49" s="46"/>
      <c r="I49" s="7" t="s">
        <v>211</v>
      </c>
      <c r="J49" s="7"/>
      <c r="K49" s="7"/>
      <c r="L49" s="15" t="s">
        <v>41</v>
      </c>
      <c r="M49" s="7"/>
      <c r="N49" s="7" t="s">
        <v>41</v>
      </c>
      <c r="O49" s="65"/>
      <c r="P49" s="32"/>
    </row>
    <row r="50" ht="15.0" customHeight="1">
      <c r="A50" s="7">
        <v>49.0</v>
      </c>
      <c r="B50" s="63" t="s">
        <v>212</v>
      </c>
      <c r="C50" s="64" t="s">
        <v>213</v>
      </c>
      <c r="D50" s="33" t="s">
        <v>90</v>
      </c>
      <c r="E50" s="7" t="s">
        <v>210</v>
      </c>
      <c r="F50" s="15" t="s">
        <v>54</v>
      </c>
      <c r="G50" s="7"/>
      <c r="H50" s="41"/>
      <c r="I50" s="7" t="s">
        <v>211</v>
      </c>
      <c r="J50" s="7"/>
      <c r="K50" s="7"/>
      <c r="L50" s="15" t="s">
        <v>41</v>
      </c>
      <c r="M50" s="7"/>
      <c r="N50" s="7" t="s">
        <v>41</v>
      </c>
      <c r="O50" s="65"/>
      <c r="P50" s="32"/>
    </row>
    <row r="51" ht="15.0" customHeight="1">
      <c r="A51" s="7">
        <v>50.0</v>
      </c>
      <c r="B51" s="33" t="s">
        <v>214</v>
      </c>
      <c r="C51" s="64" t="s">
        <v>215</v>
      </c>
      <c r="D51" s="33" t="s">
        <v>90</v>
      </c>
      <c r="E51" s="7" t="s">
        <v>53</v>
      </c>
      <c r="F51" s="15" t="s">
        <v>54</v>
      </c>
      <c r="G51" s="7"/>
      <c r="H51" s="41"/>
      <c r="I51" s="7" t="s">
        <v>211</v>
      </c>
      <c r="J51" s="7"/>
      <c r="K51" s="7"/>
      <c r="L51" s="15" t="s">
        <v>41</v>
      </c>
      <c r="M51" s="7"/>
      <c r="N51" s="7" t="s">
        <v>41</v>
      </c>
      <c r="O51" s="65"/>
      <c r="P51" s="32"/>
    </row>
    <row r="52" ht="15.0" customHeight="1">
      <c r="A52" s="7">
        <v>51.0</v>
      </c>
      <c r="B52" s="33" t="s">
        <v>216</v>
      </c>
      <c r="C52" s="64" t="s">
        <v>217</v>
      </c>
      <c r="D52" s="33" t="s">
        <v>90</v>
      </c>
      <c r="E52" s="66" t="s">
        <v>53</v>
      </c>
      <c r="F52" s="67" t="s">
        <v>77</v>
      </c>
      <c r="G52" s="68"/>
      <c r="H52" s="41"/>
      <c r="I52" s="7" t="s">
        <v>211</v>
      </c>
      <c r="J52" s="7"/>
      <c r="K52" s="7"/>
      <c r="L52" s="15" t="s">
        <v>41</v>
      </c>
      <c r="M52" s="7"/>
      <c r="N52" s="7" t="s">
        <v>41</v>
      </c>
      <c r="O52" s="65"/>
      <c r="P52" s="32"/>
    </row>
    <row r="53" ht="15.0" customHeight="1">
      <c r="A53" s="7">
        <v>52.0</v>
      </c>
      <c r="B53" s="69" t="s">
        <v>218</v>
      </c>
      <c r="C53" s="70" t="s">
        <v>219</v>
      </c>
      <c r="D53" s="69" t="s">
        <v>90</v>
      </c>
      <c r="E53" s="71" t="s">
        <v>53</v>
      </c>
      <c r="F53" s="72" t="s">
        <v>77</v>
      </c>
      <c r="G53" s="68"/>
      <c r="H53" s="54"/>
      <c r="I53" s="35" t="s">
        <v>211</v>
      </c>
      <c r="J53" s="35"/>
      <c r="K53" s="35"/>
      <c r="L53" s="15" t="s">
        <v>41</v>
      </c>
      <c r="M53" s="35"/>
      <c r="N53" s="35" t="s">
        <v>41</v>
      </c>
      <c r="O53" s="73"/>
      <c r="P53" s="61"/>
    </row>
    <row r="54" ht="15.0" customHeight="1">
      <c r="A54" s="15">
        <v>53.0</v>
      </c>
      <c r="B54" s="16" t="s">
        <v>220</v>
      </c>
      <c r="C54" s="64" t="s">
        <v>221</v>
      </c>
      <c r="D54" s="16" t="s">
        <v>222</v>
      </c>
      <c r="E54" s="13" t="s">
        <v>108</v>
      </c>
      <c r="F54" s="12" t="s">
        <v>77</v>
      </c>
      <c r="G54" s="13"/>
      <c r="H54" s="41"/>
      <c r="I54" s="7" t="s">
        <v>211</v>
      </c>
      <c r="J54" s="7"/>
      <c r="K54" s="7"/>
      <c r="L54" s="7"/>
      <c r="M54" s="7"/>
      <c r="N54" s="7"/>
      <c r="O54" s="65"/>
      <c r="P54" s="32"/>
    </row>
    <row r="55" ht="15.0" customHeight="1">
      <c r="A55" s="15">
        <v>54.0</v>
      </c>
      <c r="B55" s="16" t="s">
        <v>223</v>
      </c>
      <c r="C55" s="64" t="s">
        <v>224</v>
      </c>
      <c r="D55" s="16" t="s">
        <v>222</v>
      </c>
      <c r="E55" s="13" t="s">
        <v>53</v>
      </c>
      <c r="F55" s="12" t="s">
        <v>77</v>
      </c>
      <c r="G55" s="13"/>
      <c r="H55" s="41"/>
      <c r="I55" s="7" t="s">
        <v>211</v>
      </c>
      <c r="J55" s="7"/>
      <c r="K55" s="7"/>
      <c r="L55" s="7"/>
      <c r="M55" s="7"/>
      <c r="N55" s="7"/>
      <c r="O55" s="65"/>
      <c r="P55" s="32"/>
    </row>
    <row r="56" ht="15.0" customHeight="1">
      <c r="A56" s="15">
        <v>55.0</v>
      </c>
      <c r="B56" s="16" t="s">
        <v>225</v>
      </c>
      <c r="C56" s="64" t="s">
        <v>226</v>
      </c>
      <c r="D56" s="16" t="s">
        <v>222</v>
      </c>
      <c r="E56" s="13" t="s">
        <v>108</v>
      </c>
      <c r="F56" s="12" t="s">
        <v>77</v>
      </c>
      <c r="G56" s="13"/>
      <c r="H56" s="41"/>
      <c r="I56" s="7" t="s">
        <v>211</v>
      </c>
      <c r="J56" s="7"/>
      <c r="K56" s="7"/>
      <c r="L56" s="7"/>
      <c r="M56" s="7"/>
      <c r="N56" s="7"/>
      <c r="O56" s="65"/>
      <c r="P56" s="32"/>
    </row>
    <row r="57" ht="15.0" customHeight="1">
      <c r="A57" s="15">
        <v>56.0</v>
      </c>
      <c r="B57" s="16" t="s">
        <v>227</v>
      </c>
      <c r="C57" s="64" t="s">
        <v>228</v>
      </c>
      <c r="D57" s="16" t="s">
        <v>222</v>
      </c>
      <c r="E57" s="13" t="s">
        <v>108</v>
      </c>
      <c r="F57" s="12" t="s">
        <v>77</v>
      </c>
      <c r="G57" s="13"/>
      <c r="H57" s="41"/>
      <c r="I57" s="7" t="s">
        <v>211</v>
      </c>
      <c r="J57" s="7"/>
      <c r="K57" s="7"/>
      <c r="L57" s="7"/>
      <c r="M57" s="7"/>
      <c r="N57" s="7"/>
      <c r="O57" s="65"/>
      <c r="P57" s="32"/>
    </row>
    <row r="58" ht="15.0" customHeight="1">
      <c r="A58" s="15">
        <v>57.0</v>
      </c>
      <c r="B58" s="16" t="s">
        <v>229</v>
      </c>
      <c r="C58" s="64" t="s">
        <v>230</v>
      </c>
      <c r="D58" s="16" t="s">
        <v>222</v>
      </c>
      <c r="E58" s="13" t="s">
        <v>108</v>
      </c>
      <c r="F58" s="12" t="s">
        <v>77</v>
      </c>
      <c r="G58" s="13"/>
      <c r="H58" s="41"/>
      <c r="I58" s="7" t="s">
        <v>211</v>
      </c>
      <c r="J58" s="7"/>
      <c r="K58" s="7"/>
      <c r="L58" s="7"/>
      <c r="M58" s="7"/>
      <c r="N58" s="7"/>
      <c r="O58" s="65"/>
      <c r="P58" s="32"/>
    </row>
    <row r="59" ht="15.0" customHeight="1">
      <c r="A59" s="15">
        <v>58.0</v>
      </c>
      <c r="B59" s="16" t="s">
        <v>231</v>
      </c>
      <c r="C59" s="64" t="s">
        <v>232</v>
      </c>
      <c r="D59" s="16" t="s">
        <v>222</v>
      </c>
      <c r="E59" s="13" t="s">
        <v>53</v>
      </c>
      <c r="F59" s="12" t="s">
        <v>77</v>
      </c>
      <c r="G59" s="13"/>
      <c r="H59" s="41"/>
      <c r="I59" s="7" t="s">
        <v>211</v>
      </c>
      <c r="J59" s="7"/>
      <c r="K59" s="7"/>
      <c r="L59" s="7"/>
      <c r="M59" s="7"/>
      <c r="N59" s="7"/>
      <c r="O59" s="65"/>
      <c r="P59" s="32"/>
    </row>
    <row r="60" ht="15.0" customHeight="1">
      <c r="A60" s="15">
        <v>59.0</v>
      </c>
      <c r="B60" s="16" t="s">
        <v>233</v>
      </c>
      <c r="C60" s="64" t="s">
        <v>234</v>
      </c>
      <c r="D60" s="16" t="s">
        <v>222</v>
      </c>
      <c r="E60" s="13" t="s">
        <v>108</v>
      </c>
      <c r="F60" s="12" t="s">
        <v>77</v>
      </c>
      <c r="G60" s="13"/>
      <c r="H60" s="41"/>
      <c r="I60" s="7" t="s">
        <v>211</v>
      </c>
      <c r="J60" s="7"/>
      <c r="K60" s="7"/>
      <c r="L60" s="7"/>
      <c r="M60" s="7"/>
      <c r="N60" s="7"/>
      <c r="O60" s="65"/>
      <c r="P60" s="32"/>
    </row>
    <row r="61" ht="15.0" customHeight="1">
      <c r="A61" s="15">
        <v>60.0</v>
      </c>
      <c r="B61" s="16" t="s">
        <v>235</v>
      </c>
      <c r="C61" s="64" t="s">
        <v>236</v>
      </c>
      <c r="D61" s="16" t="s">
        <v>222</v>
      </c>
      <c r="E61" s="13" t="s">
        <v>108</v>
      </c>
      <c r="F61" s="12" t="s">
        <v>77</v>
      </c>
      <c r="G61" s="13"/>
      <c r="H61" s="41"/>
      <c r="I61" s="7" t="s">
        <v>211</v>
      </c>
      <c r="J61" s="7"/>
      <c r="K61" s="7"/>
      <c r="L61" s="7"/>
      <c r="M61" s="7"/>
      <c r="N61" s="7"/>
      <c r="O61" s="65"/>
      <c r="P61" s="32"/>
    </row>
    <row r="62" ht="15.0" customHeight="1">
      <c r="A62" s="15">
        <v>61.0</v>
      </c>
      <c r="B62" s="16" t="s">
        <v>237</v>
      </c>
      <c r="C62" s="64" t="s">
        <v>238</v>
      </c>
      <c r="D62" s="16" t="s">
        <v>222</v>
      </c>
      <c r="E62" s="13" t="s">
        <v>53</v>
      </c>
      <c r="F62" s="12" t="s">
        <v>77</v>
      </c>
      <c r="G62" s="13"/>
      <c r="H62" s="41"/>
      <c r="I62" s="7" t="s">
        <v>211</v>
      </c>
      <c r="J62" s="7"/>
      <c r="K62" s="7"/>
      <c r="L62" s="7"/>
      <c r="M62" s="7"/>
      <c r="N62" s="7"/>
      <c r="O62" s="65"/>
      <c r="P62" s="32"/>
    </row>
    <row r="63" ht="15.0" customHeight="1">
      <c r="A63" s="15">
        <v>62.0</v>
      </c>
      <c r="B63" s="16" t="s">
        <v>239</v>
      </c>
      <c r="C63" s="64" t="s">
        <v>240</v>
      </c>
      <c r="D63" s="16" t="s">
        <v>222</v>
      </c>
      <c r="E63" s="13" t="s">
        <v>108</v>
      </c>
      <c r="F63" s="12" t="s">
        <v>77</v>
      </c>
      <c r="G63" s="13"/>
      <c r="H63" s="41"/>
      <c r="I63" s="7" t="s">
        <v>211</v>
      </c>
      <c r="J63" s="7"/>
      <c r="K63" s="7"/>
      <c r="L63" s="7"/>
      <c r="M63" s="7"/>
      <c r="N63" s="7"/>
      <c r="O63" s="65"/>
      <c r="P63" s="32"/>
    </row>
    <row r="64" ht="15.0" customHeight="1">
      <c r="A64" s="15">
        <v>63.0</v>
      </c>
      <c r="B64" s="16" t="s">
        <v>241</v>
      </c>
      <c r="C64" s="64" t="s">
        <v>242</v>
      </c>
      <c r="D64" s="16" t="s">
        <v>222</v>
      </c>
      <c r="E64" s="13" t="s">
        <v>108</v>
      </c>
      <c r="F64" s="12" t="s">
        <v>77</v>
      </c>
      <c r="G64" s="13"/>
      <c r="H64" s="41"/>
      <c r="I64" s="7" t="s">
        <v>211</v>
      </c>
      <c r="J64" s="7"/>
      <c r="K64" s="7"/>
      <c r="L64" s="7"/>
      <c r="M64" s="7"/>
      <c r="N64" s="7"/>
      <c r="O64" s="65"/>
      <c r="P64" s="32"/>
    </row>
    <row r="65" ht="15.0" customHeight="1">
      <c r="A65" s="15">
        <v>64.0</v>
      </c>
      <c r="B65" s="16" t="s">
        <v>243</v>
      </c>
      <c r="C65" s="64" t="s">
        <v>244</v>
      </c>
      <c r="D65" s="16" t="s">
        <v>222</v>
      </c>
      <c r="E65" s="13" t="s">
        <v>53</v>
      </c>
      <c r="F65" s="12" t="s">
        <v>77</v>
      </c>
      <c r="G65" s="13"/>
      <c r="H65" s="41"/>
      <c r="I65" s="7" t="s">
        <v>211</v>
      </c>
      <c r="J65" s="7"/>
      <c r="K65" s="7"/>
      <c r="L65" s="7"/>
      <c r="M65" s="7"/>
      <c r="N65" s="7"/>
      <c r="O65" s="65"/>
      <c r="P65" s="32"/>
    </row>
    <row r="66" ht="15.0" customHeight="1">
      <c r="A66" s="15">
        <v>65.0</v>
      </c>
      <c r="B66" s="16" t="s">
        <v>245</v>
      </c>
      <c r="C66" s="64" t="s">
        <v>246</v>
      </c>
      <c r="D66" s="16" t="s">
        <v>222</v>
      </c>
      <c r="E66" s="13" t="s">
        <v>108</v>
      </c>
      <c r="F66" s="12" t="s">
        <v>77</v>
      </c>
      <c r="G66" s="13"/>
      <c r="H66" s="41"/>
      <c r="I66" s="7" t="s">
        <v>211</v>
      </c>
      <c r="J66" s="7"/>
      <c r="K66" s="7"/>
      <c r="L66" s="7"/>
      <c r="M66" s="7"/>
      <c r="N66" s="7"/>
      <c r="O66" s="65"/>
      <c r="P66" s="32"/>
    </row>
    <row r="67" ht="15.0" customHeight="1">
      <c r="A67" s="15">
        <v>66.0</v>
      </c>
      <c r="B67" s="16" t="s">
        <v>247</v>
      </c>
      <c r="C67" s="64" t="s">
        <v>248</v>
      </c>
      <c r="D67" s="16" t="s">
        <v>222</v>
      </c>
      <c r="E67" s="13" t="s">
        <v>53</v>
      </c>
      <c r="F67" s="12" t="s">
        <v>77</v>
      </c>
      <c r="G67" s="13"/>
      <c r="H67" s="41"/>
      <c r="I67" s="7" t="s">
        <v>211</v>
      </c>
      <c r="J67" s="7"/>
      <c r="K67" s="7"/>
      <c r="L67" s="7"/>
      <c r="M67" s="7"/>
      <c r="N67" s="7"/>
      <c r="O67" s="65"/>
      <c r="P67" s="32"/>
    </row>
    <row r="68" ht="15.0" customHeight="1">
      <c r="A68" s="15">
        <v>67.0</v>
      </c>
      <c r="B68" s="16" t="s">
        <v>249</v>
      </c>
      <c r="C68" s="64" t="s">
        <v>250</v>
      </c>
      <c r="D68" s="16" t="s">
        <v>222</v>
      </c>
      <c r="E68" s="13" t="s">
        <v>108</v>
      </c>
      <c r="F68" s="12" t="s">
        <v>77</v>
      </c>
      <c r="G68" s="13"/>
      <c r="H68" s="41"/>
      <c r="I68" s="7" t="s">
        <v>211</v>
      </c>
      <c r="J68" s="7"/>
      <c r="K68" s="7"/>
      <c r="L68" s="7"/>
      <c r="M68" s="7"/>
      <c r="N68" s="7"/>
      <c r="O68" s="65"/>
      <c r="P68" s="32"/>
    </row>
    <row r="69" ht="15.0" customHeight="1">
      <c r="A69" s="15">
        <v>68.0</v>
      </c>
      <c r="B69" s="16" t="s">
        <v>251</v>
      </c>
      <c r="C69" s="64" t="s">
        <v>252</v>
      </c>
      <c r="D69" s="16" t="s">
        <v>222</v>
      </c>
      <c r="E69" s="13" t="s">
        <v>53</v>
      </c>
      <c r="F69" s="12" t="s">
        <v>77</v>
      </c>
      <c r="G69" s="13"/>
      <c r="H69" s="41"/>
      <c r="I69" s="7" t="s">
        <v>211</v>
      </c>
      <c r="J69" s="7"/>
      <c r="K69" s="7"/>
      <c r="L69" s="7"/>
      <c r="M69" s="7"/>
      <c r="N69" s="7"/>
      <c r="O69" s="65"/>
      <c r="P69" s="32"/>
    </row>
    <row r="70" ht="15.0" customHeight="1">
      <c r="A70" s="15">
        <v>69.0</v>
      </c>
      <c r="B70" s="16" t="s">
        <v>253</v>
      </c>
      <c r="C70" s="64" t="s">
        <v>254</v>
      </c>
      <c r="D70" s="16" t="s">
        <v>222</v>
      </c>
      <c r="E70" s="13" t="s">
        <v>108</v>
      </c>
      <c r="F70" s="12" t="s">
        <v>77</v>
      </c>
      <c r="G70" s="13"/>
      <c r="H70" s="41"/>
      <c r="I70" s="7" t="s">
        <v>211</v>
      </c>
      <c r="J70" s="7"/>
      <c r="K70" s="7"/>
      <c r="L70" s="7"/>
      <c r="M70" s="7"/>
      <c r="N70" s="7"/>
      <c r="O70" s="65"/>
      <c r="P70" s="32"/>
    </row>
    <row r="71" ht="15.0" customHeight="1">
      <c r="A71" s="15">
        <v>70.0</v>
      </c>
      <c r="B71" s="16" t="s">
        <v>255</v>
      </c>
      <c r="C71" s="64" t="s">
        <v>256</v>
      </c>
      <c r="D71" s="16" t="s">
        <v>222</v>
      </c>
      <c r="E71" s="13" t="s">
        <v>108</v>
      </c>
      <c r="F71" s="12" t="s">
        <v>77</v>
      </c>
      <c r="G71" s="13"/>
      <c r="H71" s="41"/>
      <c r="I71" s="7" t="s">
        <v>211</v>
      </c>
      <c r="J71" s="7"/>
      <c r="K71" s="7"/>
      <c r="L71" s="7"/>
      <c r="M71" s="7"/>
      <c r="N71" s="7"/>
      <c r="O71" s="65"/>
      <c r="P71" s="32"/>
    </row>
    <row r="72" ht="15.0" customHeight="1">
      <c r="A72" s="15">
        <v>71.0</v>
      </c>
      <c r="B72" s="16" t="s">
        <v>257</v>
      </c>
      <c r="C72" s="64" t="s">
        <v>258</v>
      </c>
      <c r="D72" s="16" t="s">
        <v>222</v>
      </c>
      <c r="E72" s="13" t="s">
        <v>53</v>
      </c>
      <c r="F72" s="12" t="s">
        <v>77</v>
      </c>
      <c r="G72" s="13"/>
      <c r="H72" s="41"/>
      <c r="I72" s="7" t="s">
        <v>211</v>
      </c>
      <c r="J72" s="7"/>
      <c r="K72" s="7"/>
      <c r="L72" s="7"/>
      <c r="M72" s="7"/>
      <c r="N72" s="7"/>
      <c r="O72" s="65"/>
      <c r="P72" s="32"/>
    </row>
    <row r="73" ht="15.0" customHeight="1">
      <c r="A73" s="15">
        <v>72.0</v>
      </c>
      <c r="B73" s="16" t="s">
        <v>259</v>
      </c>
      <c r="C73" s="64" t="s">
        <v>260</v>
      </c>
      <c r="D73" s="16" t="s">
        <v>222</v>
      </c>
      <c r="E73" s="13" t="s">
        <v>53</v>
      </c>
      <c r="F73" s="12" t="s">
        <v>77</v>
      </c>
      <c r="G73" s="13"/>
      <c r="H73" s="41"/>
      <c r="I73" s="7" t="s">
        <v>211</v>
      </c>
      <c r="J73" s="7"/>
      <c r="K73" s="7"/>
      <c r="L73" s="7"/>
      <c r="M73" s="7"/>
      <c r="N73" s="7"/>
      <c r="O73" s="65"/>
      <c r="P73" s="32"/>
    </row>
    <row r="74" ht="15.0" customHeight="1">
      <c r="A74" s="15">
        <v>73.0</v>
      </c>
      <c r="B74" s="16" t="s">
        <v>261</v>
      </c>
      <c r="C74" s="64" t="s">
        <v>262</v>
      </c>
      <c r="D74" s="16" t="s">
        <v>222</v>
      </c>
      <c r="E74" s="13" t="s">
        <v>108</v>
      </c>
      <c r="F74" s="12" t="s">
        <v>77</v>
      </c>
      <c r="G74" s="13"/>
      <c r="H74" s="41"/>
      <c r="I74" s="7" t="s">
        <v>211</v>
      </c>
      <c r="J74" s="7"/>
      <c r="K74" s="7"/>
      <c r="L74" s="7"/>
      <c r="M74" s="7"/>
      <c r="N74" s="7"/>
      <c r="O74" s="65"/>
      <c r="P74" s="32"/>
    </row>
    <row r="75" ht="15.0" customHeight="1">
      <c r="A75" s="15">
        <v>74.0</v>
      </c>
      <c r="B75" s="16" t="s">
        <v>263</v>
      </c>
      <c r="C75" s="64" t="s">
        <v>264</v>
      </c>
      <c r="D75" s="16" t="s">
        <v>222</v>
      </c>
      <c r="E75" s="13" t="s">
        <v>108</v>
      </c>
      <c r="F75" s="12" t="s">
        <v>77</v>
      </c>
      <c r="G75" s="13"/>
      <c r="H75" s="41"/>
      <c r="I75" s="7" t="s">
        <v>211</v>
      </c>
      <c r="J75" s="7"/>
      <c r="K75" s="7"/>
      <c r="L75" s="7"/>
      <c r="M75" s="7"/>
      <c r="N75" s="7"/>
      <c r="O75" s="65"/>
      <c r="P75" s="32"/>
    </row>
    <row r="76" ht="15.0" customHeight="1">
      <c r="A76" s="15">
        <v>75.0</v>
      </c>
      <c r="B76" s="16" t="s">
        <v>265</v>
      </c>
      <c r="C76" s="64" t="s">
        <v>266</v>
      </c>
      <c r="D76" s="16" t="s">
        <v>222</v>
      </c>
      <c r="E76" s="13" t="s">
        <v>53</v>
      </c>
      <c r="F76" s="12" t="s">
        <v>77</v>
      </c>
      <c r="G76" s="13"/>
      <c r="H76" s="41"/>
      <c r="I76" s="7" t="s">
        <v>211</v>
      </c>
      <c r="J76" s="7"/>
      <c r="K76" s="7"/>
      <c r="L76" s="7"/>
      <c r="M76" s="7"/>
      <c r="N76" s="7"/>
      <c r="O76" s="65"/>
      <c r="P76" s="32"/>
    </row>
    <row r="77" ht="15.0" customHeight="1">
      <c r="A77" s="15">
        <v>76.0</v>
      </c>
      <c r="B77" s="16" t="s">
        <v>267</v>
      </c>
      <c r="C77" s="64" t="s">
        <v>268</v>
      </c>
      <c r="D77" s="16" t="s">
        <v>222</v>
      </c>
      <c r="E77" s="13" t="s">
        <v>108</v>
      </c>
      <c r="F77" s="12" t="s">
        <v>77</v>
      </c>
      <c r="G77" s="13"/>
      <c r="H77" s="41"/>
      <c r="I77" s="7" t="s">
        <v>211</v>
      </c>
      <c r="J77" s="7"/>
      <c r="K77" s="7"/>
      <c r="L77" s="7"/>
      <c r="M77" s="7"/>
      <c r="N77" s="7"/>
      <c r="O77" s="65"/>
      <c r="P77" s="32"/>
    </row>
    <row r="78" ht="15.0" customHeight="1">
      <c r="A78" s="15">
        <v>77.0</v>
      </c>
      <c r="B78" s="16" t="s">
        <v>269</v>
      </c>
      <c r="C78" s="64" t="s">
        <v>270</v>
      </c>
      <c r="D78" s="16" t="s">
        <v>222</v>
      </c>
      <c r="E78" s="13" t="s">
        <v>108</v>
      </c>
      <c r="F78" s="12" t="s">
        <v>77</v>
      </c>
      <c r="G78" s="13"/>
      <c r="H78" s="41"/>
      <c r="I78" s="7" t="s">
        <v>211</v>
      </c>
      <c r="J78" s="7"/>
      <c r="K78" s="7"/>
      <c r="L78" s="7"/>
      <c r="M78" s="7"/>
      <c r="N78" s="7"/>
      <c r="O78" s="65"/>
      <c r="P78" s="32"/>
    </row>
    <row r="79" ht="15.0" customHeight="1">
      <c r="A79" s="2"/>
      <c r="B79" s="74"/>
      <c r="C79" s="75"/>
      <c r="D79" s="74"/>
      <c r="E79" s="74"/>
      <c r="F79" s="74"/>
      <c r="G79" s="74"/>
      <c r="H79" s="74"/>
      <c r="I79" s="2"/>
      <c r="J79" s="2"/>
      <c r="K79" s="2"/>
      <c r="L79" s="2"/>
      <c r="M79" s="2"/>
      <c r="N79" s="2"/>
      <c r="O79" s="62"/>
      <c r="P79" s="76"/>
    </row>
    <row r="80" ht="15.0" customHeight="1">
      <c r="A80" s="2"/>
      <c r="B80" s="74"/>
      <c r="C80" s="74"/>
      <c r="D80" s="74"/>
      <c r="E80" s="74"/>
      <c r="F80" s="74"/>
      <c r="G80" s="74"/>
      <c r="H80" s="74"/>
      <c r="I80" s="2"/>
      <c r="J80" s="2"/>
      <c r="K80" s="2"/>
      <c r="L80" s="2"/>
      <c r="M80" s="2"/>
      <c r="N80" s="2"/>
      <c r="O80" s="62"/>
      <c r="P80" s="76"/>
    </row>
    <row r="81" ht="15.0" customHeight="1">
      <c r="A81" s="2"/>
      <c r="B81" s="74"/>
      <c r="C81" s="74"/>
      <c r="D81" s="74"/>
      <c r="E81" s="74"/>
      <c r="F81" s="74"/>
      <c r="G81" s="74"/>
      <c r="H81" s="74"/>
      <c r="I81" s="2"/>
      <c r="J81" s="2"/>
      <c r="K81" s="2"/>
      <c r="L81" s="2"/>
      <c r="M81" s="2"/>
      <c r="N81" s="2"/>
      <c r="O81" s="62"/>
      <c r="P81" s="76"/>
    </row>
    <row r="82" ht="15.0" customHeight="1">
      <c r="A82" s="2"/>
      <c r="B82" s="77"/>
      <c r="C82" s="77"/>
      <c r="D82" s="77"/>
      <c r="E82" s="77"/>
      <c r="F82" s="77"/>
      <c r="G82" s="77"/>
      <c r="H82" s="74"/>
      <c r="I82" s="2"/>
      <c r="J82" s="2"/>
      <c r="K82" s="2"/>
      <c r="L82" s="2"/>
      <c r="M82" s="2"/>
      <c r="N82" s="2"/>
      <c r="O82" s="62"/>
      <c r="P82" s="76"/>
    </row>
    <row r="83" ht="15.0" customHeight="1">
      <c r="A83" s="2"/>
      <c r="C83" s="78"/>
      <c r="E83" s="79"/>
      <c r="F83" s="79"/>
      <c r="G83" s="79"/>
      <c r="H83" s="74"/>
      <c r="I83" s="2"/>
      <c r="J83" s="2"/>
      <c r="K83" s="2"/>
      <c r="L83" s="2"/>
      <c r="M83" s="2"/>
      <c r="N83" s="2"/>
      <c r="O83" s="62"/>
      <c r="P83" s="76"/>
    </row>
    <row r="84" ht="15.0" customHeight="1">
      <c r="A84" s="2"/>
      <c r="C84" s="78"/>
      <c r="E84" s="79"/>
      <c r="F84" s="79"/>
      <c r="G84" s="79"/>
      <c r="H84" s="74"/>
      <c r="I84" s="2"/>
      <c r="J84" s="2"/>
      <c r="K84" s="2"/>
      <c r="L84" s="2"/>
      <c r="M84" s="2"/>
      <c r="N84" s="2"/>
      <c r="O84" s="62"/>
      <c r="P84" s="76"/>
    </row>
    <row r="85" ht="15.0" customHeight="1">
      <c r="A85" s="2"/>
      <c r="C85" s="78"/>
      <c r="E85" s="79"/>
      <c r="F85" s="79"/>
      <c r="G85" s="79"/>
      <c r="H85" s="74"/>
      <c r="I85" s="2"/>
      <c r="J85" s="2"/>
      <c r="K85" s="2"/>
      <c r="L85" s="2"/>
      <c r="M85" s="2"/>
      <c r="N85" s="2"/>
      <c r="O85" s="62"/>
      <c r="P85" s="76"/>
    </row>
    <row r="86" ht="15.0" customHeight="1">
      <c r="A86" s="2"/>
      <c r="C86" s="78"/>
      <c r="E86" s="79"/>
      <c r="F86" s="79"/>
      <c r="G86" s="79"/>
      <c r="H86" s="74"/>
      <c r="I86" s="2"/>
      <c r="J86" s="2"/>
      <c r="K86" s="2"/>
      <c r="L86" s="2"/>
      <c r="M86" s="2"/>
      <c r="N86" s="2"/>
      <c r="O86" s="62"/>
      <c r="P86" s="76"/>
    </row>
    <row r="87" ht="15.0" customHeight="1">
      <c r="A87" s="2"/>
      <c r="C87" s="78"/>
      <c r="E87" s="79"/>
      <c r="F87" s="79"/>
      <c r="G87" s="79"/>
      <c r="H87" s="74"/>
      <c r="I87" s="2"/>
      <c r="J87" s="2"/>
      <c r="K87" s="2"/>
      <c r="L87" s="2"/>
      <c r="M87" s="2"/>
      <c r="N87" s="2"/>
      <c r="O87" s="62"/>
      <c r="P87" s="76"/>
    </row>
    <row r="88" ht="15.0" customHeight="1">
      <c r="A88" s="2"/>
      <c r="C88" s="78"/>
      <c r="H88" s="74"/>
      <c r="I88" s="2"/>
      <c r="J88" s="2"/>
      <c r="K88" s="2"/>
      <c r="L88" s="2"/>
      <c r="M88" s="2"/>
      <c r="N88" s="2"/>
      <c r="O88" s="62"/>
      <c r="P88" s="76"/>
    </row>
    <row r="89" ht="15.0" customHeight="1">
      <c r="A89" s="2"/>
      <c r="C89" s="78"/>
      <c r="H89" s="74"/>
      <c r="I89" s="2"/>
      <c r="J89" s="2"/>
      <c r="K89" s="2"/>
      <c r="L89" s="2"/>
      <c r="M89" s="2"/>
      <c r="N89" s="2"/>
      <c r="O89" s="62"/>
      <c r="P89" s="76"/>
    </row>
    <row r="90" ht="15.0" customHeight="1">
      <c r="A90" s="2"/>
      <c r="C90" s="78"/>
      <c r="H90" s="74"/>
      <c r="I90" s="2"/>
      <c r="J90" s="2"/>
      <c r="K90" s="2"/>
      <c r="L90" s="2"/>
      <c r="M90" s="2"/>
      <c r="N90" s="2"/>
      <c r="O90" s="62"/>
      <c r="P90" s="76"/>
    </row>
    <row r="91" ht="15.0" customHeight="1">
      <c r="A91" s="2"/>
      <c r="C91" s="78"/>
      <c r="H91" s="74"/>
      <c r="I91" s="2"/>
      <c r="J91" s="2"/>
      <c r="K91" s="2"/>
      <c r="L91" s="2"/>
      <c r="M91" s="2"/>
      <c r="N91" s="2"/>
      <c r="O91" s="62"/>
      <c r="P91" s="76"/>
    </row>
    <row r="92" ht="15.0" customHeight="1">
      <c r="A92" s="2"/>
      <c r="C92" s="78"/>
      <c r="H92" s="74"/>
      <c r="I92" s="2"/>
      <c r="J92" s="2"/>
      <c r="K92" s="2"/>
      <c r="L92" s="2"/>
      <c r="M92" s="2"/>
      <c r="N92" s="2"/>
      <c r="O92" s="62"/>
      <c r="P92" s="76"/>
    </row>
    <row r="93" ht="15.0" customHeight="1">
      <c r="A93" s="2"/>
      <c r="C93" s="78"/>
      <c r="H93" s="74"/>
      <c r="I93" s="2"/>
      <c r="J93" s="2"/>
      <c r="K93" s="2"/>
      <c r="L93" s="2"/>
      <c r="M93" s="2"/>
      <c r="N93" s="2"/>
      <c r="O93" s="62"/>
      <c r="P93" s="76"/>
    </row>
    <row r="94" ht="15.0" customHeight="1">
      <c r="A94" s="2"/>
      <c r="C94" s="78"/>
      <c r="H94" s="74"/>
      <c r="I94" s="2"/>
      <c r="J94" s="2"/>
      <c r="K94" s="2"/>
      <c r="L94" s="2"/>
      <c r="M94" s="2"/>
      <c r="N94" s="2"/>
      <c r="O94" s="62"/>
      <c r="P94" s="76"/>
    </row>
    <row r="95" ht="15.0" customHeight="1">
      <c r="A95" s="2"/>
      <c r="C95" s="78"/>
      <c r="H95" s="74"/>
      <c r="I95" s="2"/>
      <c r="J95" s="2"/>
      <c r="K95" s="2"/>
      <c r="L95" s="2"/>
      <c r="M95" s="2"/>
      <c r="N95" s="2"/>
      <c r="O95" s="62"/>
      <c r="P95" s="76"/>
    </row>
    <row r="96" ht="15.0" customHeight="1">
      <c r="A96" s="2"/>
      <c r="C96" s="78"/>
      <c r="H96" s="74"/>
      <c r="I96" s="2"/>
      <c r="J96" s="2"/>
      <c r="K96" s="2"/>
      <c r="L96" s="2"/>
      <c r="M96" s="2"/>
      <c r="N96" s="2"/>
      <c r="O96" s="62"/>
      <c r="P96" s="76"/>
    </row>
    <row r="97" ht="15.0" customHeight="1">
      <c r="A97" s="2"/>
      <c r="C97" s="78"/>
      <c r="H97" s="74"/>
      <c r="I97" s="2"/>
      <c r="J97" s="2"/>
      <c r="K97" s="2"/>
      <c r="L97" s="2"/>
      <c r="M97" s="2"/>
      <c r="N97" s="2"/>
      <c r="O97" s="62"/>
      <c r="P97" s="76"/>
    </row>
    <row r="98" ht="15.0" customHeight="1">
      <c r="A98" s="2"/>
      <c r="C98" s="78"/>
      <c r="H98" s="74"/>
      <c r="I98" s="2"/>
      <c r="J98" s="2"/>
      <c r="K98" s="2"/>
      <c r="L98" s="2"/>
      <c r="M98" s="2"/>
      <c r="N98" s="2"/>
      <c r="O98" s="62"/>
      <c r="P98" s="76"/>
    </row>
    <row r="99" ht="15.0" customHeight="1">
      <c r="A99" s="2"/>
      <c r="C99" s="78"/>
      <c r="H99" s="74"/>
      <c r="I99" s="2"/>
      <c r="J99" s="2"/>
      <c r="K99" s="2"/>
      <c r="L99" s="2"/>
      <c r="M99" s="2"/>
      <c r="N99" s="2"/>
      <c r="O99" s="62"/>
      <c r="P99" s="76"/>
    </row>
    <row r="100" ht="15.0" customHeight="1">
      <c r="A100" s="2"/>
      <c r="C100" s="78"/>
      <c r="H100" s="74"/>
      <c r="I100" s="2"/>
      <c r="J100" s="2"/>
      <c r="K100" s="2"/>
      <c r="L100" s="2"/>
      <c r="M100" s="2"/>
      <c r="N100" s="2"/>
      <c r="O100" s="62"/>
      <c r="P100" s="76"/>
    </row>
    <row r="101" ht="15.0" customHeight="1">
      <c r="A101" s="2"/>
      <c r="C101" s="78"/>
      <c r="H101" s="74"/>
      <c r="I101" s="2"/>
      <c r="J101" s="2"/>
      <c r="K101" s="2"/>
      <c r="L101" s="2"/>
      <c r="M101" s="2"/>
      <c r="N101" s="2"/>
      <c r="O101" s="62"/>
      <c r="P101" s="76"/>
    </row>
    <row r="102" ht="15.0" customHeight="1">
      <c r="A102" s="2"/>
      <c r="C102" s="78"/>
      <c r="H102" s="74"/>
      <c r="I102" s="2"/>
      <c r="J102" s="2"/>
      <c r="K102" s="2"/>
      <c r="L102" s="2"/>
      <c r="M102" s="2"/>
      <c r="N102" s="2"/>
      <c r="O102" s="62"/>
      <c r="P102" s="76"/>
    </row>
    <row r="103" ht="15.0" customHeight="1">
      <c r="A103" s="2"/>
      <c r="C103" s="78"/>
      <c r="H103" s="74"/>
      <c r="I103" s="2"/>
      <c r="J103" s="2"/>
      <c r="K103" s="2"/>
      <c r="L103" s="2"/>
      <c r="M103" s="2"/>
      <c r="N103" s="2"/>
      <c r="O103" s="62"/>
      <c r="P103" s="76"/>
    </row>
    <row r="104" ht="15.0" customHeight="1">
      <c r="A104" s="2"/>
      <c r="C104" s="78"/>
      <c r="H104" s="74"/>
      <c r="I104" s="2"/>
      <c r="J104" s="2"/>
      <c r="K104" s="2"/>
      <c r="L104" s="2"/>
      <c r="M104" s="2"/>
      <c r="N104" s="2"/>
      <c r="O104" s="62"/>
      <c r="P104" s="76"/>
    </row>
    <row r="105" ht="15.0" customHeight="1">
      <c r="A105" s="2"/>
      <c r="C105" s="78"/>
      <c r="H105" s="74"/>
      <c r="I105" s="2"/>
      <c r="J105" s="2"/>
      <c r="K105" s="2"/>
      <c r="L105" s="2"/>
      <c r="M105" s="2"/>
      <c r="N105" s="2"/>
      <c r="O105" s="62"/>
      <c r="P105" s="76"/>
    </row>
    <row r="106" ht="15.0" customHeight="1">
      <c r="A106" s="2"/>
      <c r="C106" s="78"/>
      <c r="H106" s="74"/>
      <c r="I106" s="2"/>
      <c r="J106" s="2"/>
      <c r="K106" s="2"/>
      <c r="L106" s="2"/>
      <c r="M106" s="2"/>
      <c r="N106" s="2"/>
      <c r="O106" s="62"/>
      <c r="P106" s="76"/>
    </row>
    <row r="107" ht="15.0" customHeight="1">
      <c r="A107" s="2"/>
      <c r="C107" s="78"/>
      <c r="H107" s="74"/>
      <c r="I107" s="2"/>
      <c r="J107" s="2"/>
      <c r="K107" s="2"/>
      <c r="L107" s="2"/>
      <c r="M107" s="2"/>
      <c r="N107" s="2"/>
      <c r="O107" s="62"/>
      <c r="P107" s="76"/>
    </row>
    <row r="108" ht="15.0" customHeight="1">
      <c r="A108" s="2"/>
      <c r="C108" s="78"/>
      <c r="H108" s="74"/>
      <c r="I108" s="2"/>
      <c r="J108" s="2"/>
      <c r="K108" s="2"/>
      <c r="L108" s="2"/>
      <c r="M108" s="2"/>
      <c r="N108" s="2"/>
      <c r="O108" s="62"/>
      <c r="P108" s="76"/>
    </row>
    <row r="109" ht="15.0" customHeight="1">
      <c r="A109" s="2"/>
      <c r="C109" s="78"/>
      <c r="H109" s="74"/>
      <c r="I109" s="2"/>
      <c r="J109" s="2"/>
      <c r="K109" s="2"/>
      <c r="L109" s="2"/>
      <c r="M109" s="2"/>
      <c r="N109" s="2"/>
      <c r="O109" s="62"/>
      <c r="P109" s="76"/>
    </row>
    <row r="110" ht="15.0" customHeight="1">
      <c r="A110" s="2"/>
      <c r="C110" s="78"/>
      <c r="H110" s="74"/>
      <c r="I110" s="2"/>
      <c r="J110" s="2"/>
      <c r="K110" s="2"/>
      <c r="L110" s="2"/>
      <c r="M110" s="2"/>
      <c r="N110" s="2"/>
      <c r="O110" s="62"/>
      <c r="P110" s="76"/>
    </row>
    <row r="111" ht="15.0" customHeight="1">
      <c r="A111" s="2"/>
      <c r="C111" s="78"/>
      <c r="H111" s="74"/>
      <c r="I111" s="2"/>
      <c r="J111" s="2"/>
      <c r="K111" s="2"/>
      <c r="L111" s="2"/>
      <c r="M111" s="2"/>
      <c r="N111" s="2"/>
      <c r="O111" s="62"/>
      <c r="P111" s="76"/>
    </row>
    <row r="112" ht="15.0" customHeight="1">
      <c r="A112" s="2"/>
      <c r="C112" s="78"/>
      <c r="H112" s="74"/>
      <c r="I112" s="2"/>
      <c r="J112" s="2"/>
      <c r="K112" s="2"/>
      <c r="L112" s="2"/>
      <c r="M112" s="2"/>
      <c r="N112" s="2"/>
      <c r="O112" s="62"/>
      <c r="P112" s="76"/>
    </row>
    <row r="113" ht="15.75" customHeight="1">
      <c r="A113" s="2"/>
      <c r="B113" s="74"/>
      <c r="C113" s="74"/>
      <c r="D113" s="74"/>
      <c r="E113" s="2"/>
      <c r="F113" s="2"/>
      <c r="G113" s="2"/>
      <c r="H113" s="74"/>
      <c r="I113" s="2"/>
      <c r="J113" s="2"/>
      <c r="K113" s="2"/>
      <c r="L113" s="2"/>
      <c r="M113" s="2"/>
      <c r="N113" s="2"/>
      <c r="O113" s="62"/>
      <c r="P113" s="76"/>
    </row>
    <row r="114" ht="15.75" customHeight="1">
      <c r="A114" s="2"/>
      <c r="B114" s="74"/>
      <c r="C114" s="74"/>
      <c r="D114" s="74"/>
      <c r="E114" s="2"/>
      <c r="F114" s="2"/>
      <c r="G114" s="2"/>
      <c r="H114" s="74"/>
      <c r="I114" s="2"/>
      <c r="J114" s="2"/>
      <c r="K114" s="2"/>
      <c r="L114" s="2"/>
      <c r="M114" s="2"/>
      <c r="N114" s="2"/>
      <c r="O114" s="62"/>
      <c r="P114" s="76"/>
    </row>
    <row r="115" ht="15.75" customHeight="1">
      <c r="A115" s="2"/>
      <c r="B115" s="74"/>
      <c r="C115" s="74"/>
      <c r="D115" s="74"/>
      <c r="E115" s="2"/>
      <c r="F115" s="2"/>
      <c r="G115" s="2"/>
      <c r="H115" s="74"/>
      <c r="I115" s="2"/>
      <c r="J115" s="2"/>
      <c r="K115" s="2"/>
      <c r="L115" s="2"/>
      <c r="M115" s="2"/>
      <c r="N115" s="2"/>
      <c r="O115" s="62"/>
      <c r="P115" s="76"/>
    </row>
    <row r="116" ht="15.75" customHeight="1">
      <c r="A116" s="2"/>
      <c r="B116" s="74"/>
      <c r="C116" s="74"/>
      <c r="D116" s="74"/>
      <c r="E116" s="2"/>
      <c r="F116" s="2"/>
      <c r="G116" s="2"/>
      <c r="H116" s="74"/>
      <c r="I116" s="2"/>
      <c r="J116" s="2"/>
      <c r="K116" s="2"/>
      <c r="L116" s="2"/>
      <c r="M116" s="2"/>
      <c r="N116" s="2"/>
      <c r="O116" s="62"/>
      <c r="P116" s="76"/>
    </row>
    <row r="117" ht="15.75" customHeight="1">
      <c r="A117" s="2"/>
      <c r="B117" s="74"/>
      <c r="C117" s="74"/>
      <c r="D117" s="74"/>
      <c r="E117" s="2"/>
      <c r="F117" s="2"/>
      <c r="G117" s="2"/>
      <c r="H117" s="74"/>
      <c r="I117" s="2"/>
      <c r="J117" s="2"/>
      <c r="K117" s="2"/>
      <c r="L117" s="2"/>
      <c r="M117" s="2"/>
      <c r="N117" s="2"/>
      <c r="O117" s="62"/>
      <c r="P117" s="76"/>
    </row>
    <row r="118" ht="15.75" customHeight="1">
      <c r="A118" s="2"/>
      <c r="B118" s="74"/>
      <c r="C118" s="74"/>
      <c r="D118" s="74"/>
      <c r="E118" s="2"/>
      <c r="F118" s="2"/>
      <c r="G118" s="2"/>
      <c r="H118" s="74"/>
      <c r="I118" s="2"/>
      <c r="J118" s="2"/>
      <c r="K118" s="2"/>
      <c r="L118" s="2"/>
      <c r="M118" s="2"/>
      <c r="N118" s="2"/>
      <c r="O118" s="62"/>
      <c r="P118" s="76"/>
    </row>
    <row r="119" ht="15.75" customHeight="1">
      <c r="A119" s="2"/>
      <c r="B119" s="74"/>
      <c r="C119" s="74"/>
      <c r="D119" s="74"/>
      <c r="E119" s="2"/>
      <c r="F119" s="2"/>
      <c r="G119" s="2"/>
      <c r="H119" s="74"/>
      <c r="I119" s="2"/>
      <c r="J119" s="2"/>
      <c r="K119" s="2"/>
      <c r="L119" s="2"/>
      <c r="M119" s="2"/>
      <c r="N119" s="2"/>
      <c r="O119" s="62"/>
      <c r="P119" s="76"/>
    </row>
    <row r="120" ht="15.75" customHeight="1">
      <c r="A120" s="2"/>
      <c r="B120" s="74"/>
      <c r="C120" s="74"/>
      <c r="D120" s="74"/>
      <c r="E120" s="2"/>
      <c r="F120" s="2"/>
      <c r="G120" s="2"/>
      <c r="H120" s="74"/>
      <c r="I120" s="2"/>
      <c r="J120" s="2"/>
      <c r="K120" s="2"/>
      <c r="L120" s="2"/>
      <c r="M120" s="2"/>
      <c r="N120" s="2"/>
      <c r="O120" s="62"/>
      <c r="P120" s="76"/>
    </row>
    <row r="121" ht="15.75" customHeight="1">
      <c r="A121" s="2"/>
      <c r="B121" s="74"/>
      <c r="C121" s="74"/>
      <c r="D121" s="74"/>
      <c r="E121" s="2"/>
      <c r="F121" s="2"/>
      <c r="G121" s="2"/>
      <c r="H121" s="74"/>
      <c r="I121" s="2"/>
      <c r="J121" s="2"/>
      <c r="K121" s="2"/>
      <c r="L121" s="2"/>
      <c r="M121" s="2"/>
      <c r="N121" s="2"/>
      <c r="O121" s="62"/>
      <c r="P121" s="76"/>
    </row>
    <row r="122" ht="15.75" customHeight="1">
      <c r="A122" s="2"/>
      <c r="B122" s="74"/>
      <c r="C122" s="74"/>
      <c r="D122" s="74"/>
      <c r="E122" s="2"/>
      <c r="F122" s="2"/>
      <c r="G122" s="2"/>
      <c r="H122" s="74"/>
      <c r="I122" s="2"/>
      <c r="J122" s="2"/>
      <c r="K122" s="2"/>
      <c r="L122" s="2"/>
      <c r="M122" s="2"/>
      <c r="N122" s="2"/>
      <c r="O122" s="62"/>
      <c r="P122" s="76"/>
    </row>
    <row r="123" ht="15.75" customHeight="1">
      <c r="A123" s="2"/>
      <c r="B123" s="74"/>
      <c r="C123" s="74"/>
      <c r="D123" s="74"/>
      <c r="E123" s="2"/>
      <c r="F123" s="2"/>
      <c r="G123" s="2"/>
      <c r="H123" s="74"/>
      <c r="I123" s="2"/>
      <c r="J123" s="2"/>
      <c r="K123" s="2"/>
      <c r="L123" s="2"/>
      <c r="M123" s="2"/>
      <c r="N123" s="2"/>
      <c r="O123" s="62"/>
      <c r="P123" s="76"/>
    </row>
    <row r="124" ht="15.75" customHeight="1">
      <c r="A124" s="2"/>
      <c r="B124" s="74"/>
      <c r="C124" s="74"/>
      <c r="D124" s="74"/>
      <c r="E124" s="2"/>
      <c r="F124" s="2"/>
      <c r="G124" s="2"/>
      <c r="H124" s="74"/>
      <c r="I124" s="2"/>
      <c r="J124" s="2"/>
      <c r="K124" s="2"/>
      <c r="L124" s="2"/>
      <c r="M124" s="2"/>
      <c r="N124" s="2"/>
      <c r="O124" s="62"/>
      <c r="P124" s="76"/>
    </row>
    <row r="125" ht="15.75" customHeight="1">
      <c r="A125" s="2"/>
      <c r="B125" s="74"/>
      <c r="C125" s="74"/>
      <c r="D125" s="74"/>
      <c r="E125" s="2"/>
      <c r="F125" s="2"/>
      <c r="G125" s="2"/>
      <c r="H125" s="74"/>
      <c r="I125" s="2"/>
      <c r="J125" s="2"/>
      <c r="K125" s="2"/>
      <c r="L125" s="2"/>
      <c r="M125" s="2"/>
      <c r="N125" s="2"/>
      <c r="O125" s="62"/>
      <c r="P125" s="76"/>
    </row>
    <row r="126" ht="15.75" customHeight="1">
      <c r="A126" s="2"/>
      <c r="B126" s="74"/>
      <c r="C126" s="74"/>
      <c r="D126" s="74"/>
      <c r="E126" s="2"/>
      <c r="F126" s="2"/>
      <c r="G126" s="2"/>
      <c r="H126" s="74"/>
      <c r="I126" s="2"/>
      <c r="J126" s="2"/>
      <c r="K126" s="2"/>
      <c r="L126" s="2"/>
      <c r="M126" s="2"/>
      <c r="N126" s="2"/>
      <c r="O126" s="62"/>
      <c r="P126" s="76"/>
    </row>
    <row r="127" ht="15.75" customHeight="1">
      <c r="A127" s="2"/>
      <c r="B127" s="74"/>
      <c r="C127" s="74"/>
      <c r="D127" s="74"/>
      <c r="E127" s="2"/>
      <c r="F127" s="2"/>
      <c r="G127" s="2"/>
      <c r="H127" s="74"/>
      <c r="I127" s="2"/>
      <c r="J127" s="2"/>
      <c r="K127" s="2"/>
      <c r="L127" s="2"/>
      <c r="M127" s="2"/>
      <c r="N127" s="2"/>
      <c r="O127" s="62"/>
      <c r="P127" s="76"/>
    </row>
    <row r="128" ht="15.75" customHeight="1">
      <c r="A128" s="2"/>
      <c r="B128" s="74"/>
      <c r="C128" s="74"/>
      <c r="D128" s="74"/>
      <c r="E128" s="2"/>
      <c r="F128" s="2"/>
      <c r="G128" s="2"/>
      <c r="H128" s="74"/>
      <c r="I128" s="2"/>
      <c r="J128" s="2"/>
      <c r="K128" s="2"/>
      <c r="L128" s="2"/>
      <c r="M128" s="2"/>
      <c r="N128" s="2"/>
      <c r="O128" s="62"/>
      <c r="P128" s="76"/>
    </row>
    <row r="129" ht="15.75" customHeight="1">
      <c r="A129" s="2"/>
      <c r="B129" s="74"/>
      <c r="C129" s="74"/>
      <c r="D129" s="74"/>
      <c r="E129" s="2"/>
      <c r="F129" s="2"/>
      <c r="G129" s="2"/>
      <c r="H129" s="74"/>
      <c r="I129" s="2"/>
      <c r="J129" s="2"/>
      <c r="K129" s="2"/>
      <c r="L129" s="2"/>
      <c r="M129" s="2"/>
      <c r="N129" s="2"/>
      <c r="O129" s="62"/>
      <c r="P129" s="76"/>
    </row>
    <row r="130" ht="15.75" customHeight="1">
      <c r="A130" s="2"/>
      <c r="B130" s="74"/>
      <c r="C130" s="74"/>
      <c r="D130" s="74"/>
      <c r="E130" s="2"/>
      <c r="F130" s="2"/>
      <c r="G130" s="2"/>
      <c r="H130" s="74"/>
      <c r="I130" s="2"/>
      <c r="J130" s="2"/>
      <c r="K130" s="2"/>
      <c r="L130" s="2"/>
      <c r="M130" s="2"/>
      <c r="N130" s="2"/>
      <c r="O130" s="62"/>
      <c r="P130" s="76"/>
    </row>
    <row r="131" ht="15.75" customHeight="1">
      <c r="A131" s="2"/>
      <c r="B131" s="74"/>
      <c r="C131" s="74"/>
      <c r="D131" s="74"/>
      <c r="E131" s="2"/>
      <c r="F131" s="2"/>
      <c r="G131" s="2"/>
      <c r="H131" s="74"/>
      <c r="I131" s="2"/>
      <c r="J131" s="2"/>
      <c r="K131" s="2"/>
      <c r="L131" s="2"/>
      <c r="M131" s="2"/>
      <c r="N131" s="2"/>
      <c r="O131" s="62"/>
      <c r="P131" s="76"/>
    </row>
    <row r="132" ht="15.75" customHeight="1">
      <c r="A132" s="2"/>
      <c r="B132" s="74"/>
      <c r="C132" s="74"/>
      <c r="D132" s="74"/>
      <c r="E132" s="2"/>
      <c r="F132" s="2"/>
      <c r="G132" s="2"/>
      <c r="H132" s="74"/>
      <c r="I132" s="2"/>
      <c r="J132" s="2"/>
      <c r="K132" s="2"/>
      <c r="L132" s="2"/>
      <c r="M132" s="2"/>
      <c r="N132" s="2"/>
      <c r="O132" s="62"/>
      <c r="P132" s="76"/>
    </row>
    <row r="133" ht="15.75" customHeight="1">
      <c r="A133" s="2"/>
      <c r="B133" s="74"/>
      <c r="C133" s="74"/>
      <c r="D133" s="74"/>
      <c r="E133" s="2"/>
      <c r="F133" s="2"/>
      <c r="G133" s="2"/>
      <c r="H133" s="74"/>
      <c r="I133" s="2"/>
      <c r="J133" s="2"/>
      <c r="K133" s="2"/>
      <c r="L133" s="2"/>
      <c r="M133" s="2"/>
      <c r="N133" s="2"/>
      <c r="O133" s="62"/>
      <c r="P133" s="76"/>
    </row>
    <row r="134" ht="15.75" customHeight="1">
      <c r="A134" s="2"/>
      <c r="B134" s="74"/>
      <c r="C134" s="74"/>
      <c r="D134" s="74"/>
      <c r="E134" s="2"/>
      <c r="F134" s="2"/>
      <c r="G134" s="2"/>
      <c r="H134" s="74"/>
      <c r="I134" s="2"/>
      <c r="J134" s="2"/>
      <c r="K134" s="2"/>
      <c r="L134" s="2"/>
      <c r="M134" s="2"/>
      <c r="N134" s="2"/>
      <c r="O134" s="62"/>
      <c r="P134" s="76"/>
    </row>
    <row r="135" ht="15.75" customHeight="1">
      <c r="A135" s="2"/>
      <c r="B135" s="74"/>
      <c r="C135" s="74"/>
      <c r="D135" s="74"/>
      <c r="E135" s="2"/>
      <c r="F135" s="2"/>
      <c r="G135" s="2"/>
      <c r="H135" s="74"/>
      <c r="I135" s="2"/>
      <c r="J135" s="2"/>
      <c r="K135" s="2"/>
      <c r="L135" s="2"/>
      <c r="M135" s="2"/>
      <c r="N135" s="2"/>
      <c r="O135" s="62"/>
      <c r="P135" s="76"/>
    </row>
    <row r="136" ht="15.75" customHeight="1">
      <c r="A136" s="2"/>
      <c r="B136" s="74"/>
      <c r="C136" s="74"/>
      <c r="D136" s="74"/>
      <c r="E136" s="2"/>
      <c r="F136" s="2"/>
      <c r="G136" s="2"/>
      <c r="H136" s="74"/>
      <c r="I136" s="2"/>
      <c r="J136" s="2"/>
      <c r="K136" s="2"/>
      <c r="L136" s="2"/>
      <c r="M136" s="2"/>
      <c r="N136" s="2"/>
      <c r="O136" s="62"/>
      <c r="P136" s="76"/>
    </row>
    <row r="137" ht="15.75" customHeight="1">
      <c r="A137" s="2"/>
      <c r="B137" s="74"/>
      <c r="C137" s="74"/>
      <c r="D137" s="74"/>
      <c r="E137" s="2"/>
      <c r="F137" s="2"/>
      <c r="G137" s="2"/>
      <c r="H137" s="74"/>
      <c r="I137" s="2"/>
      <c r="J137" s="2"/>
      <c r="K137" s="2"/>
      <c r="L137" s="2"/>
      <c r="M137" s="2"/>
      <c r="N137" s="2"/>
      <c r="O137" s="62"/>
      <c r="P137" s="76"/>
    </row>
    <row r="138" ht="15.75" customHeight="1">
      <c r="A138" s="2"/>
      <c r="B138" s="74"/>
      <c r="C138" s="74"/>
      <c r="D138" s="74"/>
      <c r="E138" s="2"/>
      <c r="F138" s="2"/>
      <c r="G138" s="2"/>
      <c r="H138" s="74"/>
      <c r="I138" s="2"/>
      <c r="J138" s="2"/>
      <c r="K138" s="2"/>
      <c r="L138" s="2"/>
      <c r="M138" s="2"/>
      <c r="N138" s="2"/>
      <c r="O138" s="62"/>
      <c r="P138" s="76"/>
    </row>
    <row r="139" ht="15.75" customHeight="1">
      <c r="A139" s="2"/>
      <c r="B139" s="74"/>
      <c r="C139" s="74"/>
      <c r="D139" s="74"/>
      <c r="E139" s="2"/>
      <c r="F139" s="2"/>
      <c r="G139" s="2"/>
      <c r="H139" s="74"/>
      <c r="I139" s="2"/>
      <c r="J139" s="2"/>
      <c r="K139" s="2"/>
      <c r="L139" s="2"/>
      <c r="M139" s="2"/>
      <c r="N139" s="2"/>
      <c r="O139" s="62"/>
      <c r="P139" s="76"/>
    </row>
    <row r="140" ht="15.75" customHeight="1">
      <c r="A140" s="2"/>
      <c r="B140" s="74"/>
      <c r="C140" s="74"/>
      <c r="D140" s="74"/>
      <c r="E140" s="2"/>
      <c r="F140" s="2"/>
      <c r="G140" s="2"/>
      <c r="H140" s="74"/>
      <c r="I140" s="2"/>
      <c r="J140" s="2"/>
      <c r="K140" s="2"/>
      <c r="L140" s="2"/>
      <c r="M140" s="2"/>
      <c r="N140" s="2"/>
      <c r="O140" s="62"/>
      <c r="P140" s="76"/>
    </row>
    <row r="141" ht="15.75" customHeight="1">
      <c r="A141" s="2"/>
      <c r="B141" s="74"/>
      <c r="C141" s="74"/>
      <c r="D141" s="74"/>
      <c r="E141" s="2"/>
      <c r="F141" s="2"/>
      <c r="G141" s="2"/>
      <c r="H141" s="74"/>
      <c r="I141" s="2"/>
      <c r="J141" s="2"/>
      <c r="K141" s="2"/>
      <c r="L141" s="2"/>
      <c r="M141" s="2"/>
      <c r="N141" s="2"/>
      <c r="O141" s="62"/>
      <c r="P141" s="76"/>
    </row>
    <row r="142" ht="15.75" customHeight="1">
      <c r="A142" s="2"/>
      <c r="B142" s="74"/>
      <c r="C142" s="74"/>
      <c r="D142" s="74"/>
      <c r="E142" s="2"/>
      <c r="F142" s="2"/>
      <c r="G142" s="2"/>
      <c r="H142" s="74"/>
      <c r="I142" s="2"/>
      <c r="J142" s="2"/>
      <c r="K142" s="2"/>
      <c r="L142" s="2"/>
      <c r="M142" s="2"/>
      <c r="N142" s="2"/>
      <c r="O142" s="62"/>
      <c r="P142" s="76"/>
    </row>
    <row r="143" ht="15.75" customHeight="1">
      <c r="A143" s="2"/>
      <c r="B143" s="74"/>
      <c r="C143" s="74"/>
      <c r="D143" s="74"/>
      <c r="E143" s="2"/>
      <c r="F143" s="2"/>
      <c r="G143" s="2"/>
      <c r="H143" s="74"/>
      <c r="I143" s="2"/>
      <c r="J143" s="2"/>
      <c r="K143" s="2"/>
      <c r="L143" s="2"/>
      <c r="M143" s="2"/>
      <c r="N143" s="2"/>
      <c r="O143" s="62"/>
      <c r="P143" s="76"/>
    </row>
    <row r="144" ht="15.75" customHeight="1">
      <c r="A144" s="2"/>
      <c r="B144" s="74"/>
      <c r="C144" s="74"/>
      <c r="D144" s="74"/>
      <c r="E144" s="2"/>
      <c r="F144" s="2"/>
      <c r="G144" s="2"/>
      <c r="H144" s="74"/>
      <c r="I144" s="2"/>
      <c r="J144" s="2"/>
      <c r="K144" s="2"/>
      <c r="L144" s="2"/>
      <c r="M144" s="2"/>
      <c r="N144" s="2"/>
      <c r="O144" s="62"/>
      <c r="P144" s="76"/>
    </row>
    <row r="145" ht="15.75" customHeight="1">
      <c r="A145" s="2"/>
      <c r="B145" s="74"/>
      <c r="C145" s="74"/>
      <c r="D145" s="74"/>
      <c r="E145" s="2"/>
      <c r="F145" s="2"/>
      <c r="G145" s="2"/>
      <c r="H145" s="74"/>
      <c r="I145" s="2"/>
      <c r="J145" s="2"/>
      <c r="K145" s="2"/>
      <c r="L145" s="2"/>
      <c r="M145" s="2"/>
      <c r="N145" s="2"/>
      <c r="O145" s="62"/>
      <c r="P145" s="76"/>
    </row>
    <row r="146" ht="15.75" customHeight="1">
      <c r="A146" s="2"/>
      <c r="B146" s="74"/>
      <c r="C146" s="74"/>
      <c r="D146" s="74"/>
      <c r="E146" s="2"/>
      <c r="F146" s="2"/>
      <c r="G146" s="2"/>
      <c r="H146" s="74"/>
      <c r="I146" s="2"/>
      <c r="J146" s="2"/>
      <c r="K146" s="2"/>
      <c r="L146" s="2"/>
      <c r="M146" s="2"/>
      <c r="N146" s="2"/>
      <c r="O146" s="62"/>
      <c r="P146" s="76"/>
    </row>
    <row r="147" ht="15.75" customHeight="1">
      <c r="A147" s="2"/>
      <c r="B147" s="74"/>
      <c r="C147" s="74"/>
      <c r="D147" s="74"/>
      <c r="E147" s="2"/>
      <c r="F147" s="2"/>
      <c r="G147" s="2"/>
      <c r="H147" s="74"/>
      <c r="I147" s="2"/>
      <c r="J147" s="2"/>
      <c r="K147" s="2"/>
      <c r="L147" s="2"/>
      <c r="M147" s="2"/>
      <c r="N147" s="2"/>
      <c r="O147" s="62"/>
      <c r="P147" s="76"/>
    </row>
    <row r="148" ht="15.75" customHeight="1">
      <c r="A148" s="2"/>
      <c r="B148" s="74"/>
      <c r="C148" s="74"/>
      <c r="D148" s="74"/>
      <c r="E148" s="2"/>
      <c r="F148" s="2"/>
      <c r="G148" s="2"/>
      <c r="H148" s="74"/>
      <c r="I148" s="2"/>
      <c r="J148" s="2"/>
      <c r="K148" s="2"/>
      <c r="L148" s="2"/>
      <c r="M148" s="2"/>
      <c r="N148" s="2"/>
      <c r="O148" s="62"/>
      <c r="P148" s="76"/>
    </row>
    <row r="149" ht="15.75" customHeight="1">
      <c r="A149" s="2"/>
      <c r="B149" s="74"/>
      <c r="C149" s="74"/>
      <c r="D149" s="74"/>
      <c r="E149" s="2"/>
      <c r="F149" s="2"/>
      <c r="G149" s="2"/>
      <c r="H149" s="74"/>
      <c r="I149" s="2"/>
      <c r="J149" s="2"/>
      <c r="K149" s="2"/>
      <c r="L149" s="2"/>
      <c r="M149" s="2"/>
      <c r="N149" s="2"/>
      <c r="O149" s="62"/>
      <c r="P149" s="76"/>
    </row>
    <row r="150" ht="15.75" customHeight="1">
      <c r="A150" s="2"/>
      <c r="B150" s="74"/>
      <c r="C150" s="74"/>
      <c r="D150" s="74"/>
      <c r="E150" s="2"/>
      <c r="F150" s="2"/>
      <c r="G150" s="2"/>
      <c r="H150" s="74"/>
      <c r="I150" s="2"/>
      <c r="J150" s="2"/>
      <c r="K150" s="2"/>
      <c r="L150" s="2"/>
      <c r="M150" s="2"/>
      <c r="N150" s="2"/>
      <c r="O150" s="62"/>
      <c r="P150" s="76"/>
    </row>
    <row r="151" ht="15.75" customHeight="1">
      <c r="A151" s="2"/>
      <c r="B151" s="74"/>
      <c r="C151" s="74"/>
      <c r="D151" s="74"/>
      <c r="E151" s="2"/>
      <c r="F151" s="2"/>
      <c r="G151" s="2"/>
      <c r="H151" s="74"/>
      <c r="I151" s="2"/>
      <c r="J151" s="2"/>
      <c r="K151" s="2"/>
      <c r="L151" s="2"/>
      <c r="M151" s="2"/>
      <c r="N151" s="2"/>
      <c r="O151" s="62"/>
      <c r="P151" s="76"/>
    </row>
    <row r="152" ht="15.75" customHeight="1">
      <c r="A152" s="2"/>
      <c r="B152" s="74"/>
      <c r="C152" s="74"/>
      <c r="D152" s="74"/>
      <c r="E152" s="2"/>
      <c r="F152" s="2"/>
      <c r="G152" s="2"/>
      <c r="H152" s="74"/>
      <c r="I152" s="2"/>
      <c r="J152" s="2"/>
      <c r="K152" s="2"/>
      <c r="L152" s="2"/>
      <c r="M152" s="2"/>
      <c r="N152" s="2"/>
      <c r="O152" s="62"/>
      <c r="P152" s="76"/>
    </row>
    <row r="153" ht="15.75" customHeight="1">
      <c r="A153" s="2"/>
      <c r="B153" s="74"/>
      <c r="C153" s="74"/>
      <c r="D153" s="74"/>
      <c r="E153" s="2"/>
      <c r="F153" s="2"/>
      <c r="G153" s="2"/>
      <c r="H153" s="74"/>
      <c r="I153" s="2"/>
      <c r="J153" s="2"/>
      <c r="K153" s="2"/>
      <c r="L153" s="2"/>
      <c r="M153" s="2"/>
      <c r="N153" s="2"/>
      <c r="O153" s="62"/>
      <c r="P153" s="76"/>
    </row>
    <row r="154" ht="15.75" customHeight="1">
      <c r="A154" s="2"/>
      <c r="B154" s="74"/>
      <c r="C154" s="74"/>
      <c r="D154" s="74"/>
      <c r="E154" s="2"/>
      <c r="F154" s="2"/>
      <c r="G154" s="2"/>
      <c r="H154" s="74"/>
      <c r="I154" s="2"/>
      <c r="J154" s="2"/>
      <c r="K154" s="2"/>
      <c r="L154" s="2"/>
      <c r="M154" s="2"/>
      <c r="N154" s="2"/>
      <c r="O154" s="62"/>
      <c r="P154" s="76"/>
    </row>
    <row r="155" ht="15.75" customHeight="1">
      <c r="A155" s="2"/>
      <c r="B155" s="74"/>
      <c r="C155" s="74"/>
      <c r="D155" s="74"/>
      <c r="E155" s="2"/>
      <c r="F155" s="2"/>
      <c r="G155" s="2"/>
      <c r="H155" s="74"/>
      <c r="I155" s="2"/>
      <c r="J155" s="2"/>
      <c r="K155" s="2"/>
      <c r="L155" s="2"/>
      <c r="M155" s="2"/>
      <c r="N155" s="2"/>
      <c r="O155" s="62"/>
      <c r="P155" s="76"/>
    </row>
    <row r="156" ht="15.75" customHeight="1">
      <c r="A156" s="2"/>
      <c r="B156" s="74"/>
      <c r="C156" s="74"/>
      <c r="D156" s="74"/>
      <c r="E156" s="2"/>
      <c r="F156" s="2"/>
      <c r="G156" s="2"/>
      <c r="H156" s="74"/>
      <c r="I156" s="2"/>
      <c r="J156" s="2"/>
      <c r="K156" s="2"/>
      <c r="L156" s="2"/>
      <c r="M156" s="2"/>
      <c r="N156" s="2"/>
      <c r="O156" s="62"/>
      <c r="P156" s="76"/>
    </row>
    <row r="157" ht="15.75" customHeight="1">
      <c r="A157" s="2"/>
      <c r="B157" s="74"/>
      <c r="C157" s="74"/>
      <c r="D157" s="74"/>
      <c r="E157" s="2"/>
      <c r="F157" s="2"/>
      <c r="G157" s="2"/>
      <c r="H157" s="74"/>
      <c r="I157" s="2"/>
      <c r="J157" s="2"/>
      <c r="K157" s="2"/>
      <c r="L157" s="2"/>
      <c r="M157" s="2"/>
      <c r="N157" s="2"/>
      <c r="O157" s="62"/>
      <c r="P157" s="76"/>
    </row>
    <row r="158" ht="15.75" customHeight="1">
      <c r="A158" s="2"/>
      <c r="B158" s="74"/>
      <c r="C158" s="74"/>
      <c r="D158" s="74"/>
      <c r="E158" s="2"/>
      <c r="F158" s="2"/>
      <c r="G158" s="2"/>
      <c r="H158" s="74"/>
      <c r="I158" s="2"/>
      <c r="J158" s="2"/>
      <c r="K158" s="2"/>
      <c r="L158" s="2"/>
      <c r="M158" s="2"/>
      <c r="N158" s="2"/>
      <c r="O158" s="62"/>
      <c r="P158" s="76"/>
    </row>
    <row r="159" ht="15.75" customHeight="1">
      <c r="A159" s="2"/>
      <c r="B159" s="74"/>
      <c r="C159" s="74"/>
      <c r="D159" s="74"/>
      <c r="E159" s="2"/>
      <c r="F159" s="2"/>
      <c r="G159" s="2"/>
      <c r="H159" s="74"/>
      <c r="I159" s="2"/>
      <c r="J159" s="2"/>
      <c r="K159" s="2"/>
      <c r="L159" s="2"/>
      <c r="M159" s="2"/>
      <c r="N159" s="2"/>
      <c r="O159" s="62"/>
      <c r="P159" s="76"/>
    </row>
    <row r="160" ht="15.75" customHeight="1">
      <c r="A160" s="2"/>
      <c r="B160" s="74"/>
      <c r="C160" s="74"/>
      <c r="D160" s="74"/>
      <c r="E160" s="2"/>
      <c r="F160" s="2"/>
      <c r="G160" s="2"/>
      <c r="H160" s="74"/>
      <c r="I160" s="2"/>
      <c r="J160" s="2"/>
      <c r="K160" s="2"/>
      <c r="L160" s="2"/>
      <c r="M160" s="2"/>
      <c r="N160" s="2"/>
      <c r="O160" s="62"/>
      <c r="P160" s="76"/>
    </row>
    <row r="161" ht="15.75" customHeight="1">
      <c r="A161" s="2"/>
      <c r="B161" s="74"/>
      <c r="C161" s="74"/>
      <c r="D161" s="74"/>
      <c r="E161" s="2"/>
      <c r="F161" s="2"/>
      <c r="G161" s="2"/>
      <c r="H161" s="74"/>
      <c r="I161" s="2"/>
      <c r="J161" s="2"/>
      <c r="K161" s="2"/>
      <c r="L161" s="2"/>
      <c r="M161" s="2"/>
      <c r="N161" s="2"/>
      <c r="O161" s="62"/>
      <c r="P161" s="76"/>
    </row>
    <row r="162" ht="15.75" customHeight="1">
      <c r="A162" s="2"/>
      <c r="B162" s="74"/>
      <c r="C162" s="74"/>
      <c r="D162" s="74"/>
      <c r="E162" s="2"/>
      <c r="F162" s="2"/>
      <c r="G162" s="2"/>
      <c r="H162" s="74"/>
      <c r="I162" s="2"/>
      <c r="J162" s="2"/>
      <c r="K162" s="2"/>
      <c r="L162" s="2"/>
      <c r="M162" s="2"/>
      <c r="N162" s="2"/>
      <c r="O162" s="62"/>
      <c r="P162" s="76"/>
    </row>
    <row r="163" ht="15.75" customHeight="1">
      <c r="A163" s="2"/>
      <c r="B163" s="74"/>
      <c r="C163" s="74"/>
      <c r="D163" s="74"/>
      <c r="E163" s="2"/>
      <c r="F163" s="2"/>
      <c r="G163" s="2"/>
      <c r="H163" s="74"/>
      <c r="I163" s="2"/>
      <c r="J163" s="2"/>
      <c r="K163" s="2"/>
      <c r="L163" s="2"/>
      <c r="M163" s="2"/>
      <c r="N163" s="2"/>
      <c r="O163" s="62"/>
      <c r="P163" s="76"/>
    </row>
    <row r="164" ht="15.75" customHeight="1">
      <c r="A164" s="2"/>
      <c r="B164" s="74"/>
      <c r="C164" s="74"/>
      <c r="D164" s="74"/>
      <c r="E164" s="2"/>
      <c r="F164" s="2"/>
      <c r="G164" s="2"/>
      <c r="H164" s="74"/>
      <c r="I164" s="2"/>
      <c r="J164" s="2"/>
      <c r="K164" s="2"/>
      <c r="L164" s="2"/>
      <c r="M164" s="2"/>
      <c r="N164" s="2"/>
      <c r="O164" s="62"/>
      <c r="P164" s="76"/>
    </row>
    <row r="165" ht="15.75" customHeight="1">
      <c r="A165" s="2"/>
      <c r="B165" s="74"/>
      <c r="C165" s="74"/>
      <c r="D165" s="74"/>
      <c r="E165" s="2"/>
      <c r="F165" s="2"/>
      <c r="G165" s="2"/>
      <c r="H165" s="74"/>
      <c r="I165" s="2"/>
      <c r="J165" s="2"/>
      <c r="K165" s="2"/>
      <c r="L165" s="2"/>
      <c r="M165" s="2"/>
      <c r="N165" s="2"/>
      <c r="O165" s="62"/>
      <c r="P165" s="76"/>
    </row>
    <row r="166" ht="15.75" customHeight="1">
      <c r="A166" s="2"/>
      <c r="B166" s="74"/>
      <c r="C166" s="74"/>
      <c r="D166" s="74"/>
      <c r="E166" s="2"/>
      <c r="F166" s="2"/>
      <c r="G166" s="2"/>
      <c r="H166" s="74"/>
      <c r="I166" s="2"/>
      <c r="J166" s="2"/>
      <c r="K166" s="2"/>
      <c r="L166" s="2"/>
      <c r="M166" s="2"/>
      <c r="N166" s="2"/>
      <c r="O166" s="62"/>
      <c r="P166" s="76"/>
    </row>
    <row r="167" ht="15.75" customHeight="1">
      <c r="A167" s="2"/>
      <c r="B167" s="74"/>
      <c r="C167" s="74"/>
      <c r="D167" s="74"/>
      <c r="E167" s="2"/>
      <c r="F167" s="2"/>
      <c r="G167" s="2"/>
      <c r="H167" s="74"/>
      <c r="I167" s="2"/>
      <c r="J167" s="2"/>
      <c r="K167" s="2"/>
      <c r="L167" s="2"/>
      <c r="M167" s="2"/>
      <c r="N167" s="2"/>
      <c r="O167" s="62"/>
      <c r="P167" s="76"/>
    </row>
    <row r="168" ht="15.75" customHeight="1">
      <c r="A168" s="2"/>
      <c r="B168" s="74"/>
      <c r="C168" s="74"/>
      <c r="D168" s="74"/>
      <c r="E168" s="2"/>
      <c r="F168" s="2"/>
      <c r="G168" s="2"/>
      <c r="H168" s="74"/>
      <c r="I168" s="2"/>
      <c r="J168" s="2"/>
      <c r="K168" s="2"/>
      <c r="L168" s="2"/>
      <c r="M168" s="2"/>
      <c r="N168" s="2"/>
      <c r="O168" s="62"/>
      <c r="P168" s="76"/>
    </row>
    <row r="169" ht="15.75" customHeight="1">
      <c r="A169" s="2"/>
      <c r="B169" s="74"/>
      <c r="C169" s="74"/>
      <c r="D169" s="74"/>
      <c r="E169" s="2"/>
      <c r="F169" s="2"/>
      <c r="G169" s="2"/>
      <c r="H169" s="74"/>
      <c r="I169" s="2"/>
      <c r="J169" s="2"/>
      <c r="K169" s="2"/>
      <c r="L169" s="2"/>
      <c r="M169" s="2"/>
      <c r="N169" s="2"/>
      <c r="O169" s="62"/>
      <c r="P169" s="76"/>
    </row>
    <row r="170" ht="15.75" customHeight="1">
      <c r="A170" s="2"/>
      <c r="B170" s="74"/>
      <c r="C170" s="74"/>
      <c r="D170" s="74"/>
      <c r="E170" s="2"/>
      <c r="F170" s="2"/>
      <c r="G170" s="2"/>
      <c r="H170" s="74"/>
      <c r="I170" s="2"/>
      <c r="J170" s="2"/>
      <c r="K170" s="2"/>
      <c r="L170" s="2"/>
      <c r="M170" s="2"/>
      <c r="N170" s="2"/>
      <c r="O170" s="62"/>
      <c r="P170" s="76"/>
    </row>
    <row r="171" ht="15.75" customHeight="1">
      <c r="A171" s="2"/>
      <c r="B171" s="74"/>
      <c r="C171" s="74"/>
      <c r="D171" s="74"/>
      <c r="E171" s="2"/>
      <c r="F171" s="2"/>
      <c r="G171" s="2"/>
      <c r="H171" s="74"/>
      <c r="I171" s="2"/>
      <c r="J171" s="2"/>
      <c r="K171" s="2"/>
      <c r="L171" s="2"/>
      <c r="M171" s="2"/>
      <c r="N171" s="2"/>
      <c r="O171" s="62"/>
      <c r="P171" s="76"/>
    </row>
    <row r="172" ht="15.75" customHeight="1">
      <c r="A172" s="2"/>
      <c r="B172" s="74"/>
      <c r="C172" s="74"/>
      <c r="D172" s="74"/>
      <c r="E172" s="2"/>
      <c r="F172" s="2"/>
      <c r="G172" s="2"/>
      <c r="H172" s="74"/>
      <c r="I172" s="2"/>
      <c r="J172" s="2"/>
      <c r="K172" s="2"/>
      <c r="L172" s="2"/>
      <c r="M172" s="2"/>
      <c r="N172" s="2"/>
      <c r="O172" s="62"/>
      <c r="P172" s="76"/>
    </row>
    <row r="173" ht="15.75" customHeight="1">
      <c r="A173" s="2"/>
      <c r="B173" s="74"/>
      <c r="C173" s="74"/>
      <c r="D173" s="74"/>
      <c r="E173" s="2"/>
      <c r="F173" s="2"/>
      <c r="G173" s="2"/>
      <c r="H173" s="74"/>
      <c r="I173" s="2"/>
      <c r="J173" s="2"/>
      <c r="K173" s="2"/>
      <c r="L173" s="2"/>
      <c r="M173" s="2"/>
      <c r="N173" s="2"/>
      <c r="O173" s="62"/>
      <c r="P173" s="76"/>
    </row>
    <row r="174" ht="15.75" customHeight="1">
      <c r="A174" s="2"/>
      <c r="B174" s="74"/>
      <c r="C174" s="74"/>
      <c r="D174" s="74"/>
      <c r="E174" s="2"/>
      <c r="F174" s="2"/>
      <c r="G174" s="2"/>
      <c r="H174" s="74"/>
      <c r="I174" s="2"/>
      <c r="J174" s="2"/>
      <c r="K174" s="2"/>
      <c r="L174" s="2"/>
      <c r="M174" s="2"/>
      <c r="N174" s="2"/>
      <c r="O174" s="62"/>
      <c r="P174" s="76"/>
    </row>
    <row r="175" ht="15.75" customHeight="1">
      <c r="A175" s="2"/>
      <c r="B175" s="74"/>
      <c r="C175" s="74"/>
      <c r="D175" s="74"/>
      <c r="E175" s="2"/>
      <c r="F175" s="2"/>
      <c r="G175" s="2"/>
      <c r="H175" s="74"/>
      <c r="I175" s="2"/>
      <c r="J175" s="2"/>
      <c r="K175" s="2"/>
      <c r="L175" s="2"/>
      <c r="M175" s="2"/>
      <c r="N175" s="2"/>
      <c r="O175" s="62"/>
      <c r="P175" s="76"/>
    </row>
    <row r="176" ht="15.75" customHeight="1">
      <c r="A176" s="2"/>
      <c r="B176" s="74"/>
      <c r="C176" s="74"/>
      <c r="D176" s="74"/>
      <c r="E176" s="2"/>
      <c r="F176" s="2"/>
      <c r="G176" s="2"/>
      <c r="H176" s="74"/>
      <c r="I176" s="2"/>
      <c r="J176" s="2"/>
      <c r="K176" s="2"/>
      <c r="L176" s="2"/>
      <c r="M176" s="2"/>
      <c r="N176" s="2"/>
      <c r="O176" s="62"/>
      <c r="P176" s="76"/>
    </row>
    <row r="177" ht="15.75" customHeight="1">
      <c r="A177" s="2"/>
      <c r="B177" s="74"/>
      <c r="C177" s="74"/>
      <c r="D177" s="74"/>
      <c r="E177" s="2"/>
      <c r="F177" s="2"/>
      <c r="G177" s="2"/>
      <c r="H177" s="74"/>
      <c r="I177" s="2"/>
      <c r="J177" s="2"/>
      <c r="K177" s="2"/>
      <c r="L177" s="2"/>
      <c r="M177" s="2"/>
      <c r="N177" s="2"/>
      <c r="O177" s="62"/>
      <c r="P177" s="76"/>
    </row>
    <row r="178" ht="15.75" customHeight="1">
      <c r="A178" s="2"/>
      <c r="B178" s="74"/>
      <c r="C178" s="74"/>
      <c r="D178" s="74"/>
      <c r="E178" s="2"/>
      <c r="F178" s="2"/>
      <c r="G178" s="2"/>
      <c r="H178" s="74"/>
      <c r="I178" s="2"/>
      <c r="J178" s="2"/>
      <c r="K178" s="2"/>
      <c r="L178" s="2"/>
      <c r="M178" s="2"/>
      <c r="N178" s="2"/>
      <c r="O178" s="62"/>
      <c r="P178" s="76"/>
    </row>
    <row r="179" ht="15.75" customHeight="1">
      <c r="A179" s="2"/>
      <c r="B179" s="74"/>
      <c r="C179" s="74"/>
      <c r="D179" s="74"/>
      <c r="E179" s="2"/>
      <c r="F179" s="2"/>
      <c r="G179" s="2"/>
      <c r="H179" s="74"/>
      <c r="I179" s="2"/>
      <c r="J179" s="2"/>
      <c r="K179" s="2"/>
      <c r="L179" s="2"/>
      <c r="M179" s="2"/>
      <c r="N179" s="2"/>
      <c r="O179" s="62"/>
      <c r="P179" s="76"/>
    </row>
    <row r="180" ht="15.75" customHeight="1">
      <c r="A180" s="2"/>
      <c r="B180" s="74"/>
      <c r="C180" s="74"/>
      <c r="D180" s="74"/>
      <c r="E180" s="2"/>
      <c r="F180" s="2"/>
      <c r="G180" s="2"/>
      <c r="H180" s="74"/>
      <c r="I180" s="2"/>
      <c r="J180" s="2"/>
      <c r="K180" s="2"/>
      <c r="L180" s="2"/>
      <c r="M180" s="2"/>
      <c r="N180" s="2"/>
      <c r="O180" s="62"/>
      <c r="P180" s="76"/>
    </row>
    <row r="181" ht="15.75" customHeight="1">
      <c r="A181" s="2"/>
      <c r="B181" s="74"/>
      <c r="C181" s="74"/>
      <c r="D181" s="74"/>
      <c r="E181" s="2"/>
      <c r="F181" s="2"/>
      <c r="G181" s="2"/>
      <c r="H181" s="74"/>
      <c r="I181" s="2"/>
      <c r="J181" s="2"/>
      <c r="K181" s="2"/>
      <c r="L181" s="2"/>
      <c r="M181" s="2"/>
      <c r="N181" s="2"/>
      <c r="O181" s="62"/>
      <c r="P181" s="76"/>
    </row>
    <row r="182" ht="15.75" customHeight="1">
      <c r="A182" s="2"/>
      <c r="B182" s="74"/>
      <c r="C182" s="74"/>
      <c r="D182" s="74"/>
      <c r="E182" s="2"/>
      <c r="F182" s="2"/>
      <c r="G182" s="2"/>
      <c r="H182" s="74"/>
      <c r="I182" s="2"/>
      <c r="J182" s="2"/>
      <c r="K182" s="2"/>
      <c r="L182" s="2"/>
      <c r="M182" s="2"/>
      <c r="N182" s="2"/>
      <c r="O182" s="62"/>
      <c r="P182" s="76"/>
    </row>
    <row r="183" ht="15.75" customHeight="1">
      <c r="A183" s="2"/>
      <c r="B183" s="74"/>
      <c r="C183" s="74"/>
      <c r="D183" s="74"/>
      <c r="E183" s="2"/>
      <c r="F183" s="2"/>
      <c r="G183" s="2"/>
      <c r="H183" s="74"/>
      <c r="I183" s="2"/>
      <c r="J183" s="2"/>
      <c r="K183" s="2"/>
      <c r="L183" s="2"/>
      <c r="M183" s="2"/>
      <c r="N183" s="2"/>
      <c r="O183" s="62"/>
      <c r="P183" s="76"/>
    </row>
    <row r="184" ht="15.75" customHeight="1">
      <c r="A184" s="2"/>
      <c r="B184" s="74"/>
      <c r="C184" s="74"/>
      <c r="D184" s="74"/>
      <c r="E184" s="2"/>
      <c r="F184" s="2"/>
      <c r="G184" s="2"/>
      <c r="H184" s="74"/>
      <c r="I184" s="2"/>
      <c r="J184" s="2"/>
      <c r="K184" s="2"/>
      <c r="L184" s="2"/>
      <c r="M184" s="2"/>
      <c r="N184" s="2"/>
      <c r="O184" s="62"/>
      <c r="P184" s="76"/>
    </row>
    <row r="185" ht="15.75" customHeight="1">
      <c r="A185" s="2"/>
      <c r="B185" s="74"/>
      <c r="C185" s="74"/>
      <c r="D185" s="74"/>
      <c r="E185" s="2"/>
      <c r="F185" s="2"/>
      <c r="G185" s="2"/>
      <c r="H185" s="74"/>
      <c r="I185" s="2"/>
      <c r="J185" s="2"/>
      <c r="K185" s="2"/>
      <c r="L185" s="2"/>
      <c r="M185" s="2"/>
      <c r="N185" s="2"/>
      <c r="O185" s="62"/>
      <c r="P185" s="76"/>
    </row>
    <row r="186" ht="15.75" customHeight="1">
      <c r="A186" s="2"/>
      <c r="B186" s="74"/>
      <c r="C186" s="74"/>
      <c r="D186" s="74"/>
      <c r="E186" s="2"/>
      <c r="F186" s="2"/>
      <c r="G186" s="2"/>
      <c r="H186" s="74"/>
      <c r="I186" s="2"/>
      <c r="J186" s="2"/>
      <c r="K186" s="2"/>
      <c r="L186" s="2"/>
      <c r="M186" s="2"/>
      <c r="N186" s="2"/>
      <c r="O186" s="62"/>
      <c r="P186" s="76"/>
    </row>
    <row r="187" ht="15.75" customHeight="1">
      <c r="A187" s="2"/>
      <c r="B187" s="74"/>
      <c r="C187" s="74"/>
      <c r="D187" s="74"/>
      <c r="E187" s="2"/>
      <c r="F187" s="2"/>
      <c r="G187" s="2"/>
      <c r="H187" s="74"/>
      <c r="I187" s="2"/>
      <c r="J187" s="2"/>
      <c r="K187" s="2"/>
      <c r="L187" s="2"/>
      <c r="M187" s="2"/>
      <c r="N187" s="2"/>
      <c r="O187" s="62"/>
      <c r="P187" s="76"/>
    </row>
    <row r="188" ht="15.75" customHeight="1">
      <c r="A188" s="2"/>
      <c r="B188" s="74"/>
      <c r="C188" s="74"/>
      <c r="D188" s="74"/>
      <c r="E188" s="2"/>
      <c r="F188" s="2"/>
      <c r="G188" s="2"/>
      <c r="H188" s="74"/>
      <c r="I188" s="2"/>
      <c r="J188" s="2"/>
      <c r="K188" s="2"/>
      <c r="L188" s="2"/>
      <c r="M188" s="2"/>
      <c r="N188" s="2"/>
      <c r="O188" s="62"/>
      <c r="P188" s="76"/>
    </row>
    <row r="189" ht="15.75" customHeight="1">
      <c r="A189" s="2"/>
      <c r="B189" s="74"/>
      <c r="C189" s="74"/>
      <c r="D189" s="74"/>
      <c r="E189" s="2"/>
      <c r="F189" s="2"/>
      <c r="G189" s="2"/>
      <c r="H189" s="74"/>
      <c r="I189" s="2"/>
      <c r="J189" s="2"/>
      <c r="K189" s="2"/>
      <c r="L189" s="2"/>
      <c r="M189" s="2"/>
      <c r="N189" s="2"/>
      <c r="O189" s="62"/>
      <c r="P189" s="76"/>
    </row>
    <row r="190" ht="15.75" customHeight="1">
      <c r="A190" s="2"/>
      <c r="B190" s="74"/>
      <c r="C190" s="74"/>
      <c r="D190" s="74"/>
      <c r="E190" s="2"/>
      <c r="F190" s="2"/>
      <c r="G190" s="2"/>
      <c r="H190" s="74"/>
      <c r="I190" s="2"/>
      <c r="J190" s="2"/>
      <c r="K190" s="2"/>
      <c r="L190" s="2"/>
      <c r="M190" s="2"/>
      <c r="N190" s="2"/>
      <c r="O190" s="62"/>
      <c r="P190" s="76"/>
    </row>
    <row r="191" ht="15.75" customHeight="1">
      <c r="A191" s="2"/>
      <c r="B191" s="74"/>
      <c r="C191" s="74"/>
      <c r="D191" s="74"/>
      <c r="E191" s="2"/>
      <c r="F191" s="2"/>
      <c r="G191" s="2"/>
      <c r="H191" s="74"/>
      <c r="I191" s="2"/>
      <c r="J191" s="2"/>
      <c r="K191" s="2"/>
      <c r="L191" s="2"/>
      <c r="M191" s="2"/>
      <c r="N191" s="2"/>
      <c r="O191" s="62"/>
      <c r="P191" s="76"/>
    </row>
    <row r="192" ht="15.75" customHeight="1">
      <c r="A192" s="2"/>
      <c r="B192" s="74"/>
      <c r="C192" s="74"/>
      <c r="D192" s="74"/>
      <c r="E192" s="2"/>
      <c r="F192" s="2"/>
      <c r="G192" s="2"/>
      <c r="H192" s="74"/>
      <c r="I192" s="2"/>
      <c r="J192" s="2"/>
      <c r="K192" s="2"/>
      <c r="L192" s="2"/>
      <c r="M192" s="2"/>
      <c r="N192" s="2"/>
      <c r="O192" s="62"/>
      <c r="P192" s="76"/>
    </row>
    <row r="193" ht="15.75" customHeight="1">
      <c r="A193" s="2"/>
      <c r="B193" s="74"/>
      <c r="C193" s="74"/>
      <c r="D193" s="74"/>
      <c r="E193" s="2"/>
      <c r="F193" s="2"/>
      <c r="G193" s="2"/>
      <c r="H193" s="74"/>
      <c r="I193" s="2"/>
      <c r="J193" s="2"/>
      <c r="K193" s="2"/>
      <c r="L193" s="2"/>
      <c r="M193" s="2"/>
      <c r="N193" s="2"/>
      <c r="O193" s="62"/>
      <c r="P193" s="76"/>
    </row>
    <row r="194" ht="15.75" customHeight="1">
      <c r="A194" s="2"/>
      <c r="B194" s="74"/>
      <c r="C194" s="74"/>
      <c r="D194" s="74"/>
      <c r="E194" s="2"/>
      <c r="F194" s="2"/>
      <c r="G194" s="2"/>
      <c r="H194" s="74"/>
      <c r="I194" s="2"/>
      <c r="J194" s="2"/>
      <c r="K194" s="2"/>
      <c r="L194" s="2"/>
      <c r="M194" s="2"/>
      <c r="N194" s="2"/>
      <c r="O194" s="62"/>
      <c r="P194" s="76"/>
    </row>
    <row r="195" ht="15.75" customHeight="1">
      <c r="A195" s="2"/>
      <c r="B195" s="74"/>
      <c r="C195" s="74"/>
      <c r="D195" s="74"/>
      <c r="E195" s="2"/>
      <c r="F195" s="2"/>
      <c r="G195" s="2"/>
      <c r="H195" s="74"/>
      <c r="I195" s="2"/>
      <c r="J195" s="2"/>
      <c r="K195" s="2"/>
      <c r="L195" s="2"/>
      <c r="M195" s="2"/>
      <c r="N195" s="2"/>
      <c r="O195" s="62"/>
      <c r="P195" s="76"/>
    </row>
    <row r="196" ht="15.75" customHeight="1">
      <c r="A196" s="2"/>
      <c r="B196" s="74"/>
      <c r="C196" s="74"/>
      <c r="D196" s="74"/>
      <c r="E196" s="2"/>
      <c r="F196" s="2"/>
      <c r="G196" s="2"/>
      <c r="H196" s="74"/>
      <c r="I196" s="2"/>
      <c r="J196" s="2"/>
      <c r="K196" s="2"/>
      <c r="L196" s="2"/>
      <c r="M196" s="2"/>
      <c r="N196" s="2"/>
      <c r="O196" s="62"/>
      <c r="P196" s="76"/>
    </row>
    <row r="197" ht="15.75" customHeight="1">
      <c r="A197" s="2"/>
      <c r="B197" s="74"/>
      <c r="C197" s="74"/>
      <c r="D197" s="74"/>
      <c r="E197" s="2"/>
      <c r="F197" s="2"/>
      <c r="G197" s="2"/>
      <c r="H197" s="74"/>
      <c r="I197" s="2"/>
      <c r="J197" s="2"/>
      <c r="K197" s="2"/>
      <c r="L197" s="2"/>
      <c r="M197" s="2"/>
      <c r="N197" s="2"/>
      <c r="O197" s="62"/>
      <c r="P197" s="76"/>
    </row>
    <row r="198" ht="15.75" customHeight="1">
      <c r="A198" s="2"/>
      <c r="B198" s="74"/>
      <c r="C198" s="74"/>
      <c r="D198" s="74"/>
      <c r="E198" s="2"/>
      <c r="F198" s="2"/>
      <c r="G198" s="2"/>
      <c r="H198" s="74"/>
      <c r="I198" s="2"/>
      <c r="J198" s="2"/>
      <c r="K198" s="2"/>
      <c r="L198" s="2"/>
      <c r="M198" s="2"/>
      <c r="N198" s="2"/>
      <c r="O198" s="62"/>
      <c r="P198" s="76"/>
    </row>
    <row r="199" ht="15.75" customHeight="1">
      <c r="A199" s="2"/>
      <c r="B199" s="74"/>
      <c r="C199" s="74"/>
      <c r="D199" s="74"/>
      <c r="E199" s="2"/>
      <c r="F199" s="2"/>
      <c r="G199" s="2"/>
      <c r="H199" s="74"/>
      <c r="I199" s="2"/>
      <c r="J199" s="2"/>
      <c r="K199" s="2"/>
      <c r="L199" s="2"/>
      <c r="M199" s="2"/>
      <c r="N199" s="2"/>
      <c r="O199" s="62"/>
      <c r="P199" s="76"/>
    </row>
    <row r="200" ht="15.75" customHeight="1">
      <c r="A200" s="2"/>
      <c r="B200" s="74"/>
      <c r="C200" s="74"/>
      <c r="D200" s="74"/>
      <c r="E200" s="2"/>
      <c r="F200" s="2"/>
      <c r="G200" s="2"/>
      <c r="H200" s="74"/>
      <c r="I200" s="2"/>
      <c r="J200" s="2"/>
      <c r="K200" s="2"/>
      <c r="L200" s="2"/>
      <c r="M200" s="2"/>
      <c r="N200" s="2"/>
      <c r="O200" s="62"/>
      <c r="P200" s="76"/>
    </row>
    <row r="201" ht="15.75" customHeight="1">
      <c r="A201" s="2"/>
      <c r="B201" s="74"/>
      <c r="C201" s="74"/>
      <c r="D201" s="74"/>
      <c r="E201" s="2"/>
      <c r="F201" s="2"/>
      <c r="G201" s="2"/>
      <c r="H201" s="74"/>
      <c r="I201" s="2"/>
      <c r="J201" s="2"/>
      <c r="K201" s="2"/>
      <c r="L201" s="2"/>
      <c r="M201" s="2"/>
      <c r="N201" s="2"/>
      <c r="O201" s="62"/>
      <c r="P201" s="76"/>
    </row>
    <row r="202" ht="15.75" customHeight="1">
      <c r="A202" s="2"/>
      <c r="B202" s="74"/>
      <c r="C202" s="74"/>
      <c r="D202" s="74"/>
      <c r="E202" s="2"/>
      <c r="F202" s="2"/>
      <c r="G202" s="2"/>
      <c r="H202" s="74"/>
      <c r="I202" s="2"/>
      <c r="J202" s="2"/>
      <c r="K202" s="2"/>
      <c r="L202" s="2"/>
      <c r="M202" s="2"/>
      <c r="N202" s="2"/>
      <c r="O202" s="62"/>
      <c r="P202" s="76"/>
    </row>
    <row r="203" ht="15.75" customHeight="1">
      <c r="A203" s="2"/>
      <c r="B203" s="74"/>
      <c r="C203" s="74"/>
      <c r="D203" s="74"/>
      <c r="E203" s="2"/>
      <c r="F203" s="2"/>
      <c r="G203" s="2"/>
      <c r="H203" s="74"/>
      <c r="I203" s="2"/>
      <c r="J203" s="2"/>
      <c r="K203" s="2"/>
      <c r="L203" s="2"/>
      <c r="M203" s="2"/>
      <c r="N203" s="2"/>
      <c r="O203" s="62"/>
      <c r="P203" s="76"/>
    </row>
    <row r="204" ht="15.75" customHeight="1">
      <c r="A204" s="2"/>
      <c r="B204" s="74"/>
      <c r="C204" s="74"/>
      <c r="D204" s="74"/>
      <c r="E204" s="2"/>
      <c r="F204" s="2"/>
      <c r="G204" s="2"/>
      <c r="H204" s="74"/>
      <c r="I204" s="2"/>
      <c r="J204" s="2"/>
      <c r="K204" s="2"/>
      <c r="L204" s="2"/>
      <c r="M204" s="2"/>
      <c r="N204" s="2"/>
      <c r="O204" s="62"/>
      <c r="P204" s="76"/>
    </row>
    <row r="205" ht="15.75" customHeight="1">
      <c r="A205" s="2"/>
      <c r="B205" s="74"/>
      <c r="C205" s="74"/>
      <c r="D205" s="74"/>
      <c r="E205" s="2"/>
      <c r="F205" s="2"/>
      <c r="G205" s="2"/>
      <c r="H205" s="74"/>
      <c r="I205" s="2"/>
      <c r="J205" s="2"/>
      <c r="K205" s="2"/>
      <c r="L205" s="2"/>
      <c r="M205" s="2"/>
      <c r="N205" s="2"/>
      <c r="O205" s="62"/>
      <c r="P205" s="76"/>
    </row>
    <row r="206" ht="15.75" customHeight="1">
      <c r="A206" s="2"/>
      <c r="B206" s="74"/>
      <c r="C206" s="74"/>
      <c r="D206" s="74"/>
      <c r="E206" s="2"/>
      <c r="F206" s="2"/>
      <c r="G206" s="2"/>
      <c r="H206" s="74"/>
      <c r="I206" s="2"/>
      <c r="J206" s="2"/>
      <c r="K206" s="2"/>
      <c r="L206" s="2"/>
      <c r="M206" s="2"/>
      <c r="N206" s="2"/>
      <c r="O206" s="62"/>
      <c r="P206" s="76"/>
    </row>
    <row r="207" ht="15.75" customHeight="1">
      <c r="A207" s="2"/>
      <c r="B207" s="74"/>
      <c r="C207" s="74"/>
      <c r="D207" s="74"/>
      <c r="E207" s="2"/>
      <c r="F207" s="2"/>
      <c r="G207" s="2"/>
      <c r="H207" s="74"/>
      <c r="I207" s="2"/>
      <c r="J207" s="2"/>
      <c r="K207" s="2"/>
      <c r="L207" s="2"/>
      <c r="M207" s="2"/>
      <c r="N207" s="2"/>
      <c r="O207" s="62"/>
      <c r="P207" s="76"/>
    </row>
    <row r="208" ht="15.75" customHeight="1">
      <c r="A208" s="2"/>
      <c r="B208" s="74"/>
      <c r="C208" s="74"/>
      <c r="D208" s="74"/>
      <c r="E208" s="2"/>
      <c r="F208" s="2"/>
      <c r="G208" s="2"/>
      <c r="H208" s="74"/>
      <c r="I208" s="2"/>
      <c r="J208" s="2"/>
      <c r="K208" s="2"/>
      <c r="L208" s="2"/>
      <c r="M208" s="2"/>
      <c r="N208" s="2"/>
      <c r="O208" s="62"/>
      <c r="P208" s="76"/>
    </row>
    <row r="209" ht="15.75" customHeight="1">
      <c r="A209" s="2"/>
      <c r="B209" s="74"/>
      <c r="C209" s="74"/>
      <c r="D209" s="74"/>
      <c r="E209" s="2"/>
      <c r="F209" s="2"/>
      <c r="G209" s="2"/>
      <c r="H209" s="74"/>
      <c r="I209" s="2"/>
      <c r="J209" s="2"/>
      <c r="K209" s="2"/>
      <c r="L209" s="2"/>
      <c r="M209" s="2"/>
      <c r="N209" s="2"/>
      <c r="O209" s="62"/>
      <c r="P209" s="76"/>
    </row>
    <row r="210" ht="15.75" customHeight="1">
      <c r="A210" s="2"/>
      <c r="B210" s="74"/>
      <c r="C210" s="74"/>
      <c r="D210" s="74"/>
      <c r="E210" s="2"/>
      <c r="F210" s="2"/>
      <c r="G210" s="2"/>
      <c r="H210" s="74"/>
      <c r="I210" s="2"/>
      <c r="J210" s="2"/>
      <c r="K210" s="2"/>
      <c r="L210" s="2"/>
      <c r="M210" s="2"/>
      <c r="N210" s="2"/>
      <c r="O210" s="62"/>
      <c r="P210" s="76"/>
    </row>
    <row r="211" ht="15.75" customHeight="1">
      <c r="A211" s="2"/>
      <c r="B211" s="74"/>
      <c r="C211" s="74"/>
      <c r="D211" s="74"/>
      <c r="E211" s="2"/>
      <c r="F211" s="2"/>
      <c r="G211" s="2"/>
      <c r="H211" s="74"/>
      <c r="I211" s="2"/>
      <c r="J211" s="2"/>
      <c r="K211" s="2"/>
      <c r="L211" s="2"/>
      <c r="M211" s="2"/>
      <c r="N211" s="2"/>
      <c r="O211" s="62"/>
      <c r="P211" s="76"/>
    </row>
    <row r="212" ht="15.75" customHeight="1">
      <c r="A212" s="2"/>
      <c r="B212" s="74"/>
      <c r="C212" s="74"/>
      <c r="D212" s="74"/>
      <c r="E212" s="2"/>
      <c r="F212" s="2"/>
      <c r="G212" s="2"/>
      <c r="H212" s="74"/>
      <c r="I212" s="2"/>
      <c r="J212" s="2"/>
      <c r="K212" s="2"/>
      <c r="L212" s="2"/>
      <c r="M212" s="2"/>
      <c r="N212" s="2"/>
      <c r="O212" s="62"/>
      <c r="P212" s="76"/>
    </row>
    <row r="213" ht="15.75" customHeight="1">
      <c r="A213" s="2"/>
      <c r="B213" s="74"/>
      <c r="C213" s="74"/>
      <c r="D213" s="74"/>
      <c r="E213" s="2"/>
      <c r="F213" s="2"/>
      <c r="G213" s="2"/>
      <c r="H213" s="74"/>
      <c r="I213" s="2"/>
      <c r="J213" s="2"/>
      <c r="K213" s="2"/>
      <c r="L213" s="2"/>
      <c r="M213" s="2"/>
      <c r="N213" s="2"/>
      <c r="O213" s="62"/>
      <c r="P213" s="76"/>
    </row>
    <row r="214" ht="15.75" customHeight="1">
      <c r="A214" s="2"/>
      <c r="B214" s="74"/>
      <c r="C214" s="74"/>
      <c r="D214" s="74"/>
      <c r="E214" s="2"/>
      <c r="F214" s="2"/>
      <c r="G214" s="2"/>
      <c r="H214" s="74"/>
      <c r="I214" s="2"/>
      <c r="J214" s="2"/>
      <c r="K214" s="2"/>
      <c r="L214" s="2"/>
      <c r="M214" s="2"/>
      <c r="N214" s="2"/>
      <c r="O214" s="62"/>
      <c r="P214" s="76"/>
    </row>
    <row r="215" ht="15.75" customHeight="1">
      <c r="A215" s="2"/>
      <c r="B215" s="74"/>
      <c r="C215" s="74"/>
      <c r="D215" s="74"/>
      <c r="E215" s="2"/>
      <c r="F215" s="2"/>
      <c r="G215" s="2"/>
      <c r="H215" s="74"/>
      <c r="I215" s="2"/>
      <c r="J215" s="2"/>
      <c r="K215" s="2"/>
      <c r="L215" s="2"/>
      <c r="M215" s="2"/>
      <c r="N215" s="2"/>
      <c r="O215" s="62"/>
      <c r="P215" s="76"/>
    </row>
    <row r="216" ht="15.75" customHeight="1">
      <c r="A216" s="2"/>
      <c r="B216" s="74"/>
      <c r="C216" s="74"/>
      <c r="D216" s="74"/>
      <c r="E216" s="2"/>
      <c r="F216" s="2"/>
      <c r="G216" s="2"/>
      <c r="H216" s="74"/>
      <c r="I216" s="2"/>
      <c r="J216" s="2"/>
      <c r="K216" s="2"/>
      <c r="L216" s="2"/>
      <c r="M216" s="2"/>
      <c r="N216" s="2"/>
      <c r="O216" s="62"/>
      <c r="P216" s="76"/>
    </row>
    <row r="217" ht="15.75" customHeight="1">
      <c r="A217" s="2"/>
      <c r="B217" s="74"/>
      <c r="C217" s="74"/>
      <c r="D217" s="74"/>
      <c r="E217" s="2"/>
      <c r="F217" s="2"/>
      <c r="G217" s="2"/>
      <c r="H217" s="74"/>
      <c r="I217" s="2"/>
      <c r="J217" s="2"/>
      <c r="K217" s="2"/>
      <c r="L217" s="2"/>
      <c r="M217" s="2"/>
      <c r="N217" s="2"/>
      <c r="O217" s="62"/>
      <c r="P217" s="76"/>
    </row>
    <row r="218" ht="15.75" customHeight="1">
      <c r="A218" s="2"/>
      <c r="B218" s="74"/>
      <c r="C218" s="74"/>
      <c r="D218" s="74"/>
      <c r="E218" s="2"/>
      <c r="F218" s="2"/>
      <c r="G218" s="2"/>
      <c r="H218" s="74"/>
      <c r="I218" s="2"/>
      <c r="J218" s="2"/>
      <c r="K218" s="2"/>
      <c r="L218" s="2"/>
      <c r="M218" s="2"/>
      <c r="N218" s="2"/>
      <c r="O218" s="62"/>
      <c r="P218" s="76"/>
    </row>
    <row r="219" ht="15.75" customHeight="1">
      <c r="A219" s="2"/>
      <c r="B219" s="74"/>
      <c r="C219" s="74"/>
      <c r="D219" s="74"/>
      <c r="E219" s="2"/>
      <c r="F219" s="2"/>
      <c r="G219" s="2"/>
      <c r="H219" s="74"/>
      <c r="I219" s="2"/>
      <c r="J219" s="2"/>
      <c r="K219" s="2"/>
      <c r="L219" s="2"/>
      <c r="M219" s="2"/>
      <c r="N219" s="2"/>
      <c r="O219" s="62"/>
      <c r="P219" s="76"/>
    </row>
    <row r="220" ht="15.75" customHeight="1">
      <c r="A220" s="2"/>
      <c r="B220" s="74"/>
      <c r="C220" s="74"/>
      <c r="D220" s="74"/>
      <c r="E220" s="2"/>
      <c r="F220" s="2"/>
      <c r="G220" s="2"/>
      <c r="H220" s="74"/>
      <c r="I220" s="2"/>
      <c r="J220" s="2"/>
      <c r="K220" s="2"/>
      <c r="L220" s="2"/>
      <c r="M220" s="2"/>
      <c r="N220" s="2"/>
      <c r="O220" s="62"/>
      <c r="P220" s="76"/>
    </row>
    <row r="221" ht="15.75" customHeight="1">
      <c r="A221" s="2"/>
      <c r="B221" s="74"/>
      <c r="C221" s="74"/>
      <c r="D221" s="74"/>
      <c r="E221" s="2"/>
      <c r="F221" s="2"/>
      <c r="G221" s="2"/>
      <c r="H221" s="74"/>
      <c r="I221" s="2"/>
      <c r="J221" s="2"/>
      <c r="K221" s="2"/>
      <c r="L221" s="2"/>
      <c r="M221" s="2"/>
      <c r="N221" s="2"/>
      <c r="O221" s="62"/>
      <c r="P221" s="76"/>
    </row>
    <row r="222" ht="15.75" customHeight="1">
      <c r="A222" s="2"/>
      <c r="B222" s="74"/>
      <c r="C222" s="74"/>
      <c r="D222" s="74"/>
      <c r="E222" s="2"/>
      <c r="F222" s="2"/>
      <c r="G222" s="2"/>
      <c r="H222" s="74"/>
      <c r="I222" s="2"/>
      <c r="J222" s="2"/>
      <c r="K222" s="2"/>
      <c r="L222" s="2"/>
      <c r="M222" s="2"/>
      <c r="N222" s="2"/>
      <c r="O222" s="62"/>
      <c r="P222" s="76"/>
    </row>
    <row r="223" ht="15.75" customHeight="1">
      <c r="A223" s="2"/>
      <c r="B223" s="74"/>
      <c r="C223" s="74"/>
      <c r="D223" s="74"/>
      <c r="E223" s="2"/>
      <c r="F223" s="2"/>
      <c r="G223" s="2"/>
      <c r="H223" s="74"/>
      <c r="I223" s="2"/>
      <c r="J223" s="2"/>
      <c r="K223" s="2"/>
      <c r="L223" s="2"/>
      <c r="M223" s="2"/>
      <c r="N223" s="2"/>
      <c r="O223" s="62"/>
      <c r="P223" s="76"/>
    </row>
    <row r="224" ht="15.75" customHeight="1">
      <c r="A224" s="2"/>
      <c r="B224" s="74"/>
      <c r="C224" s="74"/>
      <c r="D224" s="74"/>
      <c r="E224" s="2"/>
      <c r="F224" s="2"/>
      <c r="G224" s="2"/>
      <c r="H224" s="74"/>
      <c r="I224" s="2"/>
      <c r="J224" s="2"/>
      <c r="K224" s="2"/>
      <c r="L224" s="2"/>
      <c r="M224" s="2"/>
      <c r="N224" s="2"/>
      <c r="O224" s="62"/>
      <c r="P224" s="76"/>
    </row>
    <row r="225" ht="15.75" customHeight="1">
      <c r="A225" s="2"/>
      <c r="B225" s="74"/>
      <c r="C225" s="74"/>
      <c r="D225" s="74"/>
      <c r="E225" s="2"/>
      <c r="F225" s="2"/>
      <c r="G225" s="2"/>
      <c r="H225" s="74"/>
      <c r="I225" s="2"/>
      <c r="J225" s="2"/>
      <c r="K225" s="2"/>
      <c r="L225" s="2"/>
      <c r="M225" s="2"/>
      <c r="N225" s="2"/>
      <c r="O225" s="62"/>
      <c r="P225" s="76"/>
    </row>
    <row r="226" ht="15.75" customHeight="1">
      <c r="A226" s="2"/>
      <c r="B226" s="74"/>
      <c r="C226" s="74"/>
      <c r="D226" s="74"/>
      <c r="E226" s="2"/>
      <c r="F226" s="2"/>
      <c r="G226" s="2"/>
      <c r="H226" s="74"/>
      <c r="I226" s="2"/>
      <c r="J226" s="2"/>
      <c r="K226" s="2"/>
      <c r="L226" s="2"/>
      <c r="M226" s="2"/>
      <c r="N226" s="2"/>
      <c r="O226" s="62"/>
      <c r="P226" s="76"/>
    </row>
    <row r="227" ht="15.75" customHeight="1">
      <c r="A227" s="2"/>
      <c r="B227" s="74"/>
      <c r="C227" s="74"/>
      <c r="D227" s="74"/>
      <c r="E227" s="2"/>
      <c r="F227" s="2"/>
      <c r="G227" s="2"/>
      <c r="H227" s="74"/>
      <c r="I227" s="2"/>
      <c r="J227" s="2"/>
      <c r="K227" s="2"/>
      <c r="L227" s="2"/>
      <c r="M227" s="2"/>
      <c r="N227" s="2"/>
      <c r="O227" s="62"/>
      <c r="P227" s="76"/>
    </row>
    <row r="228" ht="15.75" customHeight="1">
      <c r="A228" s="2"/>
      <c r="B228" s="74"/>
      <c r="C228" s="74"/>
      <c r="D228" s="74"/>
      <c r="E228" s="2"/>
      <c r="F228" s="2"/>
      <c r="G228" s="2"/>
      <c r="H228" s="74"/>
      <c r="I228" s="2"/>
      <c r="J228" s="2"/>
      <c r="K228" s="2"/>
      <c r="L228" s="2"/>
      <c r="M228" s="2"/>
      <c r="N228" s="2"/>
      <c r="O228" s="62"/>
      <c r="P228" s="76"/>
    </row>
    <row r="229" ht="15.75" customHeight="1">
      <c r="A229" s="2"/>
      <c r="B229" s="74"/>
      <c r="C229" s="74"/>
      <c r="D229" s="74"/>
      <c r="E229" s="2"/>
      <c r="F229" s="2"/>
      <c r="G229" s="2"/>
      <c r="H229" s="74"/>
      <c r="I229" s="2"/>
      <c r="J229" s="2"/>
      <c r="K229" s="2"/>
      <c r="L229" s="2"/>
      <c r="M229" s="2"/>
      <c r="N229" s="2"/>
      <c r="O229" s="62"/>
      <c r="P229" s="76"/>
    </row>
    <row r="230" ht="15.75" customHeight="1">
      <c r="A230" s="2"/>
      <c r="B230" s="74"/>
      <c r="C230" s="74"/>
      <c r="D230" s="74"/>
      <c r="E230" s="2"/>
      <c r="F230" s="2"/>
      <c r="G230" s="2"/>
      <c r="H230" s="74"/>
      <c r="I230" s="2"/>
      <c r="J230" s="2"/>
      <c r="K230" s="2"/>
      <c r="L230" s="2"/>
      <c r="M230" s="2"/>
      <c r="N230" s="2"/>
      <c r="O230" s="62"/>
      <c r="P230" s="76"/>
    </row>
    <row r="231" ht="15.75" customHeight="1">
      <c r="A231" s="2"/>
      <c r="B231" s="74"/>
      <c r="C231" s="74"/>
      <c r="D231" s="74"/>
      <c r="E231" s="2"/>
      <c r="F231" s="2"/>
      <c r="G231" s="2"/>
      <c r="H231" s="74"/>
      <c r="I231" s="2"/>
      <c r="J231" s="2"/>
      <c r="K231" s="2"/>
      <c r="L231" s="2"/>
      <c r="M231" s="2"/>
      <c r="N231" s="2"/>
      <c r="O231" s="62"/>
      <c r="P231" s="76"/>
    </row>
    <row r="232" ht="15.75" customHeight="1">
      <c r="A232" s="2"/>
      <c r="B232" s="74"/>
      <c r="C232" s="74"/>
      <c r="D232" s="74"/>
      <c r="E232" s="2"/>
      <c r="F232" s="2"/>
      <c r="G232" s="2"/>
      <c r="H232" s="74"/>
      <c r="I232" s="2"/>
      <c r="J232" s="2"/>
      <c r="K232" s="2"/>
      <c r="L232" s="2"/>
      <c r="M232" s="2"/>
      <c r="N232" s="2"/>
      <c r="O232" s="62"/>
      <c r="P232" s="76"/>
    </row>
    <row r="233" ht="15.75" customHeight="1">
      <c r="A233" s="2"/>
      <c r="B233" s="74"/>
      <c r="C233" s="74"/>
      <c r="D233" s="74"/>
      <c r="E233" s="2"/>
      <c r="F233" s="2"/>
      <c r="G233" s="2"/>
      <c r="H233" s="74"/>
      <c r="I233" s="2"/>
      <c r="J233" s="2"/>
      <c r="K233" s="2"/>
      <c r="L233" s="2"/>
      <c r="M233" s="2"/>
      <c r="N233" s="2"/>
      <c r="O233" s="62"/>
      <c r="P233" s="76"/>
    </row>
    <row r="234" ht="15.75" customHeight="1">
      <c r="A234" s="2"/>
      <c r="B234" s="74"/>
      <c r="C234" s="74"/>
      <c r="D234" s="74"/>
      <c r="E234" s="2"/>
      <c r="F234" s="2"/>
      <c r="G234" s="2"/>
      <c r="H234" s="74"/>
      <c r="I234" s="2"/>
      <c r="J234" s="2"/>
      <c r="K234" s="2"/>
      <c r="L234" s="2"/>
      <c r="M234" s="2"/>
      <c r="N234" s="2"/>
      <c r="O234" s="62"/>
      <c r="P234" s="76"/>
    </row>
    <row r="235" ht="15.75" customHeight="1">
      <c r="A235" s="2"/>
      <c r="B235" s="74"/>
      <c r="C235" s="74"/>
      <c r="D235" s="74"/>
      <c r="E235" s="2"/>
      <c r="F235" s="2"/>
      <c r="G235" s="2"/>
      <c r="H235" s="74"/>
      <c r="I235" s="2"/>
      <c r="J235" s="2"/>
      <c r="K235" s="2"/>
      <c r="L235" s="2"/>
      <c r="M235" s="2"/>
      <c r="N235" s="2"/>
      <c r="O235" s="62"/>
      <c r="P235" s="76"/>
    </row>
    <row r="236" ht="15.75" customHeight="1">
      <c r="A236" s="2"/>
      <c r="B236" s="74"/>
      <c r="C236" s="74"/>
      <c r="D236" s="74"/>
      <c r="E236" s="2"/>
      <c r="F236" s="2"/>
      <c r="G236" s="2"/>
      <c r="H236" s="74"/>
      <c r="I236" s="2"/>
      <c r="J236" s="2"/>
      <c r="K236" s="2"/>
      <c r="L236" s="2"/>
      <c r="M236" s="2"/>
      <c r="N236" s="2"/>
      <c r="O236" s="62"/>
      <c r="P236" s="76"/>
    </row>
    <row r="237" ht="15.75" customHeight="1">
      <c r="A237" s="2"/>
      <c r="B237" s="74"/>
      <c r="C237" s="74"/>
      <c r="D237" s="74"/>
      <c r="E237" s="2"/>
      <c r="F237" s="2"/>
      <c r="G237" s="2"/>
      <c r="H237" s="74"/>
      <c r="I237" s="2"/>
      <c r="J237" s="2"/>
      <c r="K237" s="2"/>
      <c r="L237" s="2"/>
      <c r="M237" s="2"/>
      <c r="N237" s="2"/>
      <c r="O237" s="62"/>
      <c r="P237" s="76"/>
    </row>
    <row r="238" ht="15.75" customHeight="1">
      <c r="A238" s="2"/>
      <c r="B238" s="74"/>
      <c r="C238" s="74"/>
      <c r="D238" s="74"/>
      <c r="E238" s="2"/>
      <c r="F238" s="2"/>
      <c r="G238" s="2"/>
      <c r="H238" s="74"/>
      <c r="I238" s="2"/>
      <c r="J238" s="2"/>
      <c r="K238" s="2"/>
      <c r="L238" s="2"/>
      <c r="M238" s="2"/>
      <c r="N238" s="2"/>
      <c r="O238" s="62"/>
      <c r="P238" s="76"/>
    </row>
    <row r="239" ht="15.75" customHeight="1">
      <c r="A239" s="2"/>
      <c r="B239" s="74"/>
      <c r="C239" s="74"/>
      <c r="D239" s="74"/>
      <c r="E239" s="2"/>
      <c r="F239" s="2"/>
      <c r="G239" s="2"/>
      <c r="H239" s="74"/>
      <c r="I239" s="2"/>
      <c r="J239" s="2"/>
      <c r="K239" s="2"/>
      <c r="L239" s="2"/>
      <c r="M239" s="2"/>
      <c r="N239" s="2"/>
      <c r="O239" s="62"/>
      <c r="P239" s="76"/>
    </row>
    <row r="240" ht="15.75" customHeight="1">
      <c r="A240" s="2"/>
      <c r="B240" s="74"/>
      <c r="C240" s="74"/>
      <c r="D240" s="74"/>
      <c r="E240" s="2"/>
      <c r="F240" s="2"/>
      <c r="G240" s="2"/>
      <c r="H240" s="74"/>
      <c r="I240" s="2"/>
      <c r="J240" s="2"/>
      <c r="K240" s="2"/>
      <c r="L240" s="2"/>
      <c r="M240" s="2"/>
      <c r="N240" s="2"/>
      <c r="O240" s="62"/>
      <c r="P240" s="76"/>
    </row>
    <row r="241" ht="15.75" customHeight="1">
      <c r="A241" s="2"/>
      <c r="B241" s="74"/>
      <c r="C241" s="74"/>
      <c r="D241" s="74"/>
      <c r="E241" s="2"/>
      <c r="F241" s="2"/>
      <c r="G241" s="2"/>
      <c r="H241" s="74"/>
      <c r="I241" s="2"/>
      <c r="J241" s="2"/>
      <c r="K241" s="2"/>
      <c r="L241" s="2"/>
      <c r="M241" s="2"/>
      <c r="N241" s="2"/>
      <c r="O241" s="62"/>
      <c r="P241" s="76"/>
    </row>
    <row r="242" ht="15.75" customHeight="1">
      <c r="A242" s="2"/>
      <c r="B242" s="74"/>
      <c r="C242" s="74"/>
      <c r="D242" s="74"/>
      <c r="E242" s="2"/>
      <c r="F242" s="2"/>
      <c r="G242" s="2"/>
      <c r="H242" s="74"/>
      <c r="I242" s="2"/>
      <c r="J242" s="2"/>
      <c r="K242" s="2"/>
      <c r="L242" s="2"/>
      <c r="M242" s="2"/>
      <c r="N242" s="2"/>
      <c r="O242" s="62"/>
      <c r="P242" s="76"/>
    </row>
    <row r="243" ht="15.75" customHeight="1">
      <c r="A243" s="2"/>
      <c r="B243" s="74"/>
      <c r="C243" s="74"/>
      <c r="D243" s="74"/>
      <c r="E243" s="2"/>
      <c r="F243" s="2"/>
      <c r="G243" s="2"/>
      <c r="H243" s="74"/>
      <c r="I243" s="2"/>
      <c r="J243" s="2"/>
      <c r="K243" s="2"/>
      <c r="L243" s="2"/>
      <c r="M243" s="2"/>
      <c r="N243" s="2"/>
      <c r="O243" s="62"/>
      <c r="P243" s="76"/>
    </row>
    <row r="244" ht="15.75" customHeight="1">
      <c r="A244" s="2"/>
      <c r="B244" s="74"/>
      <c r="C244" s="74"/>
      <c r="D244" s="74"/>
      <c r="E244" s="2"/>
      <c r="F244" s="2"/>
      <c r="G244" s="2"/>
      <c r="H244" s="74"/>
      <c r="I244" s="2"/>
      <c r="J244" s="2"/>
      <c r="K244" s="2"/>
      <c r="L244" s="2"/>
      <c r="M244" s="2"/>
      <c r="N244" s="2"/>
      <c r="O244" s="62"/>
      <c r="P244" s="76"/>
    </row>
    <row r="245" ht="15.75" customHeight="1">
      <c r="A245" s="2"/>
      <c r="B245" s="74"/>
      <c r="C245" s="74"/>
      <c r="D245" s="74"/>
      <c r="E245" s="2"/>
      <c r="F245" s="2"/>
      <c r="G245" s="2"/>
      <c r="H245" s="74"/>
      <c r="I245" s="2"/>
      <c r="J245" s="2"/>
      <c r="K245" s="2"/>
      <c r="L245" s="2"/>
      <c r="M245" s="2"/>
      <c r="N245" s="2"/>
      <c r="O245" s="62"/>
      <c r="P245" s="76"/>
    </row>
    <row r="246" ht="15.75" customHeight="1">
      <c r="A246" s="2"/>
      <c r="B246" s="74"/>
      <c r="C246" s="74"/>
      <c r="D246" s="74"/>
      <c r="E246" s="2"/>
      <c r="F246" s="2"/>
      <c r="G246" s="2"/>
      <c r="H246" s="74"/>
      <c r="I246" s="2"/>
      <c r="J246" s="2"/>
      <c r="K246" s="2"/>
      <c r="L246" s="2"/>
      <c r="M246" s="2"/>
      <c r="N246" s="2"/>
      <c r="O246" s="62"/>
      <c r="P246" s="76"/>
    </row>
    <row r="247" ht="15.75" customHeight="1">
      <c r="A247" s="2"/>
      <c r="B247" s="74"/>
      <c r="C247" s="74"/>
      <c r="D247" s="74"/>
      <c r="E247" s="2"/>
      <c r="F247" s="2"/>
      <c r="G247" s="2"/>
      <c r="H247" s="74"/>
      <c r="I247" s="2"/>
      <c r="J247" s="2"/>
      <c r="K247" s="2"/>
      <c r="L247" s="2"/>
      <c r="M247" s="2"/>
      <c r="N247" s="2"/>
      <c r="O247" s="62"/>
      <c r="P247" s="76"/>
    </row>
    <row r="248" ht="15.75" customHeight="1">
      <c r="A248" s="2"/>
      <c r="B248" s="74"/>
      <c r="C248" s="74"/>
      <c r="D248" s="74"/>
      <c r="E248" s="2"/>
      <c r="F248" s="2"/>
      <c r="G248" s="2"/>
      <c r="H248" s="74"/>
      <c r="I248" s="2"/>
      <c r="J248" s="2"/>
      <c r="K248" s="2"/>
      <c r="L248" s="2"/>
      <c r="M248" s="2"/>
      <c r="N248" s="2"/>
      <c r="O248" s="62"/>
      <c r="P248" s="76"/>
    </row>
    <row r="249" ht="15.75" customHeight="1">
      <c r="A249" s="2"/>
      <c r="B249" s="74"/>
      <c r="C249" s="74"/>
      <c r="D249" s="74"/>
      <c r="E249" s="2"/>
      <c r="F249" s="2"/>
      <c r="G249" s="2"/>
      <c r="H249" s="74"/>
      <c r="I249" s="2"/>
      <c r="J249" s="2"/>
      <c r="K249" s="2"/>
      <c r="L249" s="2"/>
      <c r="M249" s="2"/>
      <c r="N249" s="2"/>
      <c r="O249" s="62"/>
      <c r="P249" s="76"/>
    </row>
    <row r="250" ht="15.75" customHeight="1">
      <c r="A250" s="2"/>
      <c r="B250" s="74"/>
      <c r="C250" s="74"/>
      <c r="D250" s="74"/>
      <c r="E250" s="2"/>
      <c r="F250" s="2"/>
      <c r="G250" s="2"/>
      <c r="H250" s="74"/>
      <c r="I250" s="2"/>
      <c r="J250" s="2"/>
      <c r="K250" s="2"/>
      <c r="L250" s="2"/>
      <c r="M250" s="2"/>
      <c r="N250" s="2"/>
      <c r="O250" s="62"/>
      <c r="P250" s="76"/>
    </row>
    <row r="251" ht="15.75" customHeight="1">
      <c r="A251" s="2"/>
      <c r="B251" s="74"/>
      <c r="C251" s="74"/>
      <c r="D251" s="74"/>
      <c r="E251" s="2"/>
      <c r="F251" s="2"/>
      <c r="G251" s="2"/>
      <c r="H251" s="74"/>
      <c r="I251" s="2"/>
      <c r="J251" s="2"/>
      <c r="K251" s="2"/>
      <c r="L251" s="2"/>
      <c r="M251" s="2"/>
      <c r="N251" s="2"/>
      <c r="O251" s="62"/>
      <c r="P251" s="76"/>
    </row>
    <row r="252" ht="15.75" customHeight="1">
      <c r="A252" s="2"/>
      <c r="B252" s="74"/>
      <c r="C252" s="74"/>
      <c r="D252" s="74"/>
      <c r="E252" s="2"/>
      <c r="F252" s="2"/>
      <c r="G252" s="2"/>
      <c r="H252" s="74"/>
      <c r="I252" s="2"/>
      <c r="J252" s="2"/>
      <c r="K252" s="2"/>
      <c r="L252" s="2"/>
      <c r="M252" s="2"/>
      <c r="N252" s="2"/>
      <c r="O252" s="62"/>
      <c r="P252" s="76"/>
    </row>
    <row r="253" ht="15.75" customHeight="1">
      <c r="A253" s="2"/>
      <c r="B253" s="74"/>
      <c r="C253" s="74"/>
      <c r="D253" s="74"/>
      <c r="E253" s="2"/>
      <c r="F253" s="2"/>
      <c r="G253" s="2"/>
      <c r="H253" s="74"/>
      <c r="I253" s="2"/>
      <c r="J253" s="2"/>
      <c r="K253" s="2"/>
      <c r="L253" s="2"/>
      <c r="M253" s="2"/>
      <c r="N253" s="2"/>
      <c r="O253" s="62"/>
      <c r="P253" s="76"/>
    </row>
    <row r="254" ht="15.75" customHeight="1">
      <c r="A254" s="2"/>
      <c r="B254" s="74"/>
      <c r="C254" s="74"/>
      <c r="D254" s="74"/>
      <c r="E254" s="2"/>
      <c r="F254" s="2"/>
      <c r="G254" s="2"/>
      <c r="H254" s="74"/>
      <c r="I254" s="2"/>
      <c r="J254" s="2"/>
      <c r="K254" s="2"/>
      <c r="L254" s="2"/>
      <c r="M254" s="2"/>
      <c r="N254" s="2"/>
      <c r="O254" s="62"/>
      <c r="P254" s="76"/>
    </row>
    <row r="255" ht="15.75" customHeight="1">
      <c r="A255" s="2"/>
      <c r="B255" s="74"/>
      <c r="C255" s="74"/>
      <c r="D255" s="74"/>
      <c r="E255" s="2"/>
      <c r="F255" s="2"/>
      <c r="G255" s="2"/>
      <c r="H255" s="74"/>
      <c r="I255" s="2"/>
      <c r="J255" s="2"/>
      <c r="K255" s="2"/>
      <c r="L255" s="2"/>
      <c r="M255" s="2"/>
      <c r="N255" s="2"/>
      <c r="O255" s="62"/>
      <c r="P255" s="76"/>
    </row>
    <row r="256" ht="15.75" customHeight="1">
      <c r="A256" s="2"/>
      <c r="B256" s="74"/>
      <c r="C256" s="74"/>
      <c r="D256" s="74"/>
      <c r="E256" s="2"/>
      <c r="F256" s="2"/>
      <c r="G256" s="2"/>
      <c r="H256" s="74"/>
      <c r="I256" s="2"/>
      <c r="J256" s="2"/>
      <c r="K256" s="2"/>
      <c r="L256" s="2"/>
      <c r="M256" s="2"/>
      <c r="N256" s="2"/>
      <c r="O256" s="62"/>
      <c r="P256" s="76"/>
    </row>
    <row r="257" ht="15.75" customHeight="1">
      <c r="A257" s="2"/>
      <c r="B257" s="74"/>
      <c r="C257" s="74"/>
      <c r="D257" s="74"/>
      <c r="E257" s="2"/>
      <c r="F257" s="2"/>
      <c r="G257" s="2"/>
      <c r="H257" s="74"/>
      <c r="I257" s="2"/>
      <c r="J257" s="2"/>
      <c r="K257" s="2"/>
      <c r="L257" s="2"/>
      <c r="M257" s="2"/>
      <c r="N257" s="2"/>
      <c r="O257" s="62"/>
      <c r="P257" s="76"/>
    </row>
    <row r="258" ht="15.75" customHeight="1">
      <c r="A258" s="2"/>
      <c r="B258" s="74"/>
      <c r="C258" s="74"/>
      <c r="D258" s="74"/>
      <c r="E258" s="2"/>
      <c r="F258" s="2"/>
      <c r="G258" s="2"/>
      <c r="H258" s="74"/>
      <c r="I258" s="2"/>
      <c r="J258" s="2"/>
      <c r="K258" s="2"/>
      <c r="L258" s="2"/>
      <c r="M258" s="2"/>
      <c r="N258" s="2"/>
      <c r="O258" s="62"/>
      <c r="P258" s="76"/>
    </row>
    <row r="259" ht="15.75" customHeight="1">
      <c r="A259" s="2"/>
      <c r="B259" s="74"/>
      <c r="C259" s="74"/>
      <c r="D259" s="74"/>
      <c r="E259" s="2"/>
      <c r="F259" s="2"/>
      <c r="G259" s="2"/>
      <c r="H259" s="74"/>
      <c r="I259" s="2"/>
      <c r="J259" s="2"/>
      <c r="K259" s="2"/>
      <c r="L259" s="2"/>
      <c r="M259" s="2"/>
      <c r="N259" s="2"/>
      <c r="O259" s="62"/>
      <c r="P259" s="76"/>
    </row>
    <row r="260" ht="15.75" customHeight="1">
      <c r="A260" s="2"/>
      <c r="B260" s="74"/>
      <c r="C260" s="74"/>
      <c r="D260" s="74"/>
      <c r="E260" s="2"/>
      <c r="F260" s="2"/>
      <c r="G260" s="2"/>
      <c r="H260" s="74"/>
      <c r="I260" s="2"/>
      <c r="J260" s="2"/>
      <c r="K260" s="2"/>
      <c r="L260" s="2"/>
      <c r="M260" s="2"/>
      <c r="N260" s="2"/>
      <c r="O260" s="62"/>
      <c r="P260" s="76"/>
    </row>
    <row r="261" ht="15.75" customHeight="1">
      <c r="A261" s="2"/>
      <c r="B261" s="74"/>
      <c r="C261" s="74"/>
      <c r="D261" s="74"/>
      <c r="E261" s="2"/>
      <c r="F261" s="2"/>
      <c r="G261" s="2"/>
      <c r="H261" s="74"/>
      <c r="I261" s="2"/>
      <c r="J261" s="2"/>
      <c r="K261" s="2"/>
      <c r="L261" s="2"/>
      <c r="M261" s="2"/>
      <c r="N261" s="2"/>
      <c r="O261" s="62"/>
      <c r="P261" s="76"/>
    </row>
    <row r="262" ht="15.75" customHeight="1">
      <c r="A262" s="2"/>
      <c r="B262" s="74"/>
      <c r="C262" s="74"/>
      <c r="D262" s="74"/>
      <c r="E262" s="2"/>
      <c r="F262" s="2"/>
      <c r="G262" s="2"/>
      <c r="H262" s="74"/>
      <c r="I262" s="2"/>
      <c r="J262" s="2"/>
      <c r="K262" s="2"/>
      <c r="L262" s="2"/>
      <c r="M262" s="2"/>
      <c r="N262" s="2"/>
      <c r="O262" s="62"/>
      <c r="P262" s="76"/>
    </row>
    <row r="263" ht="15.75" customHeight="1">
      <c r="A263" s="2"/>
      <c r="B263" s="74"/>
      <c r="C263" s="74"/>
      <c r="D263" s="74"/>
      <c r="E263" s="2"/>
      <c r="F263" s="2"/>
      <c r="G263" s="2"/>
      <c r="H263" s="74"/>
      <c r="I263" s="2"/>
      <c r="J263" s="2"/>
      <c r="K263" s="2"/>
      <c r="L263" s="2"/>
      <c r="M263" s="2"/>
      <c r="N263" s="2"/>
      <c r="O263" s="62"/>
      <c r="P263" s="76"/>
    </row>
    <row r="264" ht="15.75" customHeight="1">
      <c r="A264" s="2"/>
      <c r="B264" s="74"/>
      <c r="C264" s="74"/>
      <c r="D264" s="74"/>
      <c r="E264" s="2"/>
      <c r="F264" s="2"/>
      <c r="G264" s="2"/>
      <c r="H264" s="74"/>
      <c r="I264" s="2"/>
      <c r="J264" s="2"/>
      <c r="K264" s="2"/>
      <c r="L264" s="2"/>
      <c r="M264" s="2"/>
      <c r="N264" s="2"/>
      <c r="O264" s="62"/>
      <c r="P264" s="76"/>
    </row>
    <row r="265" ht="15.75" customHeight="1">
      <c r="A265" s="2"/>
      <c r="B265" s="74"/>
      <c r="C265" s="74"/>
      <c r="D265" s="74"/>
      <c r="E265" s="2"/>
      <c r="F265" s="2"/>
      <c r="G265" s="2"/>
      <c r="H265" s="74"/>
      <c r="I265" s="2"/>
      <c r="J265" s="2"/>
      <c r="K265" s="2"/>
      <c r="L265" s="2"/>
      <c r="M265" s="2"/>
      <c r="N265" s="2"/>
      <c r="O265" s="62"/>
      <c r="P265" s="76"/>
    </row>
    <row r="266" ht="15.75" customHeight="1">
      <c r="A266" s="2"/>
      <c r="B266" s="74"/>
      <c r="C266" s="74"/>
      <c r="D266" s="74"/>
      <c r="E266" s="2"/>
      <c r="F266" s="2"/>
      <c r="G266" s="2"/>
      <c r="H266" s="74"/>
      <c r="I266" s="2"/>
      <c r="J266" s="2"/>
      <c r="K266" s="2"/>
      <c r="L266" s="2"/>
      <c r="M266" s="2"/>
      <c r="N266" s="2"/>
      <c r="O266" s="62"/>
      <c r="P266" s="76"/>
    </row>
    <row r="267" ht="15.75" customHeight="1">
      <c r="A267" s="2"/>
      <c r="B267" s="74"/>
      <c r="C267" s="74"/>
      <c r="D267" s="74"/>
      <c r="E267" s="2"/>
      <c r="F267" s="2"/>
      <c r="G267" s="2"/>
      <c r="H267" s="74"/>
      <c r="I267" s="2"/>
      <c r="J267" s="2"/>
      <c r="K267" s="2"/>
      <c r="L267" s="2"/>
      <c r="M267" s="2"/>
      <c r="N267" s="2"/>
      <c r="O267" s="62"/>
      <c r="P267" s="76"/>
    </row>
    <row r="268" ht="15.75" customHeight="1">
      <c r="A268" s="2"/>
      <c r="B268" s="74"/>
      <c r="C268" s="74"/>
      <c r="D268" s="74"/>
      <c r="E268" s="2"/>
      <c r="F268" s="2"/>
      <c r="G268" s="2"/>
      <c r="H268" s="74"/>
      <c r="I268" s="2"/>
      <c r="J268" s="2"/>
      <c r="K268" s="2"/>
      <c r="L268" s="2"/>
      <c r="M268" s="2"/>
      <c r="N268" s="2"/>
      <c r="O268" s="62"/>
      <c r="P268" s="76"/>
    </row>
    <row r="269" ht="15.75" customHeight="1">
      <c r="A269" s="2"/>
      <c r="B269" s="74"/>
      <c r="C269" s="74"/>
      <c r="D269" s="74"/>
      <c r="E269" s="2"/>
      <c r="F269" s="2"/>
      <c r="G269" s="2"/>
      <c r="H269" s="74"/>
      <c r="I269" s="2"/>
      <c r="J269" s="2"/>
      <c r="K269" s="2"/>
      <c r="L269" s="2"/>
      <c r="M269" s="2"/>
      <c r="N269" s="2"/>
      <c r="O269" s="62"/>
      <c r="P269" s="76"/>
    </row>
    <row r="270" ht="15.75" customHeight="1">
      <c r="A270" s="2"/>
      <c r="B270" s="74"/>
      <c r="C270" s="74"/>
      <c r="D270" s="74"/>
      <c r="E270" s="2"/>
      <c r="F270" s="2"/>
      <c r="G270" s="2"/>
      <c r="H270" s="74"/>
      <c r="I270" s="2"/>
      <c r="J270" s="2"/>
      <c r="K270" s="2"/>
      <c r="L270" s="2"/>
      <c r="M270" s="2"/>
      <c r="N270" s="2"/>
      <c r="O270" s="62"/>
      <c r="P270" s="76"/>
    </row>
    <row r="271" ht="15.75" customHeight="1">
      <c r="A271" s="2"/>
      <c r="B271" s="74"/>
      <c r="C271" s="74"/>
      <c r="D271" s="74"/>
      <c r="E271" s="2"/>
      <c r="F271" s="2"/>
      <c r="G271" s="2"/>
      <c r="H271" s="74"/>
      <c r="I271" s="2"/>
      <c r="J271" s="2"/>
      <c r="K271" s="2"/>
      <c r="L271" s="2"/>
      <c r="M271" s="2"/>
      <c r="N271" s="2"/>
      <c r="O271" s="62"/>
      <c r="P271" s="76"/>
    </row>
    <row r="272" ht="15.75" customHeight="1">
      <c r="A272" s="2"/>
      <c r="B272" s="74"/>
      <c r="C272" s="74"/>
      <c r="D272" s="74"/>
      <c r="E272" s="2"/>
      <c r="F272" s="2"/>
      <c r="G272" s="2"/>
      <c r="H272" s="74"/>
      <c r="I272" s="2"/>
      <c r="J272" s="2"/>
      <c r="K272" s="2"/>
      <c r="L272" s="2"/>
      <c r="M272" s="2"/>
      <c r="N272" s="2"/>
      <c r="O272" s="62"/>
      <c r="P272" s="76"/>
    </row>
    <row r="273" ht="15.75" customHeight="1">
      <c r="A273" s="2"/>
      <c r="B273" s="74"/>
      <c r="C273" s="74"/>
      <c r="D273" s="74"/>
      <c r="E273" s="2"/>
      <c r="F273" s="2"/>
      <c r="G273" s="2"/>
      <c r="H273" s="74"/>
      <c r="I273" s="2"/>
      <c r="J273" s="2"/>
      <c r="K273" s="2"/>
      <c r="L273" s="2"/>
      <c r="M273" s="2"/>
      <c r="N273" s="2"/>
      <c r="O273" s="62"/>
      <c r="P273" s="76"/>
    </row>
    <row r="274" ht="15.75" customHeight="1">
      <c r="A274" s="2"/>
      <c r="B274" s="74"/>
      <c r="C274" s="74"/>
      <c r="D274" s="74"/>
      <c r="E274" s="2"/>
      <c r="F274" s="2"/>
      <c r="G274" s="2"/>
      <c r="H274" s="74"/>
      <c r="I274" s="2"/>
      <c r="J274" s="2"/>
      <c r="K274" s="2"/>
      <c r="L274" s="2"/>
      <c r="M274" s="2"/>
      <c r="N274" s="2"/>
      <c r="O274" s="62"/>
      <c r="P274" s="76"/>
    </row>
    <row r="275" ht="15.75" customHeight="1">
      <c r="A275" s="2"/>
      <c r="B275" s="74"/>
      <c r="C275" s="74"/>
      <c r="D275" s="74"/>
      <c r="E275" s="2"/>
      <c r="F275" s="2"/>
      <c r="G275" s="2"/>
      <c r="H275" s="74"/>
      <c r="I275" s="2"/>
      <c r="J275" s="2"/>
      <c r="K275" s="2"/>
      <c r="L275" s="2"/>
      <c r="M275" s="2"/>
      <c r="N275" s="2"/>
      <c r="O275" s="62"/>
      <c r="P275" s="76"/>
    </row>
    <row r="276" ht="15.75" customHeight="1">
      <c r="A276" s="2"/>
      <c r="B276" s="74"/>
      <c r="C276" s="74"/>
      <c r="D276" s="74"/>
      <c r="E276" s="2"/>
      <c r="F276" s="2"/>
      <c r="G276" s="2"/>
      <c r="H276" s="74"/>
      <c r="I276" s="2"/>
      <c r="J276" s="2"/>
      <c r="K276" s="2"/>
      <c r="L276" s="2"/>
      <c r="M276" s="2"/>
      <c r="N276" s="2"/>
      <c r="O276" s="62"/>
      <c r="P276" s="76"/>
    </row>
    <row r="277" ht="15.75" customHeight="1">
      <c r="A277" s="2"/>
      <c r="B277" s="74"/>
      <c r="C277" s="74"/>
      <c r="D277" s="74"/>
      <c r="E277" s="2"/>
      <c r="F277" s="2"/>
      <c r="G277" s="2"/>
      <c r="H277" s="74"/>
      <c r="I277" s="2"/>
      <c r="J277" s="2"/>
      <c r="K277" s="2"/>
      <c r="L277" s="2"/>
      <c r="M277" s="2"/>
      <c r="N277" s="2"/>
      <c r="O277" s="62"/>
      <c r="P277" s="76"/>
    </row>
    <row r="278" ht="15.75" customHeight="1">
      <c r="A278" s="2"/>
      <c r="B278" s="74"/>
      <c r="C278" s="74"/>
      <c r="D278" s="74"/>
      <c r="E278" s="2"/>
      <c r="F278" s="2"/>
      <c r="G278" s="2"/>
      <c r="H278" s="74"/>
      <c r="I278" s="2"/>
      <c r="J278" s="2"/>
      <c r="K278" s="2"/>
      <c r="L278" s="2"/>
      <c r="M278" s="2"/>
      <c r="N278" s="2"/>
      <c r="O278" s="62"/>
      <c r="P278" s="76"/>
    </row>
    <row r="279" ht="15.75" customHeight="1">
      <c r="A279" s="2"/>
      <c r="B279" s="74"/>
      <c r="C279" s="74"/>
      <c r="D279" s="74"/>
      <c r="E279" s="2"/>
      <c r="F279" s="2"/>
      <c r="G279" s="2"/>
      <c r="H279" s="74"/>
      <c r="I279" s="2"/>
      <c r="J279" s="2"/>
      <c r="K279" s="2"/>
      <c r="L279" s="2"/>
      <c r="M279" s="2"/>
      <c r="N279" s="2"/>
      <c r="O279" s="62"/>
      <c r="P279" s="76"/>
    </row>
    <row r="280" ht="15.75" customHeight="1">
      <c r="A280" s="2"/>
      <c r="B280" s="74"/>
      <c r="C280" s="74"/>
      <c r="D280" s="74"/>
      <c r="E280" s="2"/>
      <c r="F280" s="2"/>
      <c r="G280" s="2"/>
      <c r="H280" s="74"/>
      <c r="I280" s="2"/>
      <c r="J280" s="2"/>
      <c r="K280" s="2"/>
      <c r="L280" s="2"/>
      <c r="M280" s="2"/>
      <c r="N280" s="2"/>
      <c r="O280" s="62"/>
      <c r="P280" s="76"/>
    </row>
    <row r="281" ht="15.75" customHeight="1">
      <c r="A281" s="2"/>
      <c r="B281" s="74"/>
      <c r="C281" s="74"/>
      <c r="D281" s="74"/>
      <c r="E281" s="2"/>
      <c r="F281" s="2"/>
      <c r="G281" s="2"/>
      <c r="H281" s="74"/>
      <c r="I281" s="2"/>
      <c r="J281" s="2"/>
      <c r="K281" s="2"/>
      <c r="L281" s="2"/>
      <c r="M281" s="2"/>
      <c r="N281" s="2"/>
      <c r="O281" s="62"/>
      <c r="P281" s="76"/>
    </row>
    <row r="282" ht="15.75" customHeight="1">
      <c r="A282" s="2"/>
      <c r="B282" s="74"/>
      <c r="C282" s="74"/>
      <c r="D282" s="74"/>
      <c r="E282" s="2"/>
      <c r="F282" s="2"/>
      <c r="G282" s="2"/>
      <c r="H282" s="74"/>
      <c r="I282" s="2"/>
      <c r="J282" s="2"/>
      <c r="K282" s="2"/>
      <c r="L282" s="2"/>
      <c r="M282" s="2"/>
      <c r="N282" s="2"/>
      <c r="O282" s="62"/>
      <c r="P282" s="76"/>
    </row>
    <row r="283" ht="15.75" customHeight="1">
      <c r="A283" s="2"/>
      <c r="B283" s="74"/>
      <c r="C283" s="74"/>
      <c r="D283" s="74"/>
      <c r="E283" s="2"/>
      <c r="F283" s="2"/>
      <c r="G283" s="2"/>
      <c r="H283" s="74"/>
      <c r="I283" s="2"/>
      <c r="J283" s="2"/>
      <c r="K283" s="2"/>
      <c r="L283" s="2"/>
      <c r="M283" s="2"/>
      <c r="N283" s="2"/>
      <c r="O283" s="62"/>
      <c r="P283" s="76"/>
    </row>
    <row r="284" ht="15.75" customHeight="1">
      <c r="A284" s="2"/>
      <c r="B284" s="74"/>
      <c r="C284" s="74"/>
      <c r="D284" s="74"/>
      <c r="E284" s="2"/>
      <c r="F284" s="2"/>
      <c r="G284" s="2"/>
      <c r="H284" s="74"/>
      <c r="I284" s="2"/>
      <c r="J284" s="2"/>
      <c r="K284" s="2"/>
      <c r="L284" s="2"/>
      <c r="M284" s="2"/>
      <c r="N284" s="2"/>
      <c r="O284" s="62"/>
      <c r="P284" s="76"/>
    </row>
    <row r="285" ht="15.75" customHeight="1">
      <c r="A285" s="2"/>
      <c r="B285" s="74"/>
      <c r="C285" s="74"/>
      <c r="D285" s="74"/>
      <c r="E285" s="2"/>
      <c r="F285" s="2"/>
      <c r="G285" s="2"/>
      <c r="H285" s="74"/>
      <c r="I285" s="2"/>
      <c r="J285" s="2"/>
      <c r="K285" s="2"/>
      <c r="L285" s="2"/>
      <c r="M285" s="2"/>
      <c r="N285" s="2"/>
      <c r="O285" s="62"/>
      <c r="P285" s="76"/>
    </row>
    <row r="286" ht="15.75" customHeight="1">
      <c r="A286" s="2"/>
      <c r="B286" s="74"/>
      <c r="C286" s="74"/>
      <c r="D286" s="74"/>
      <c r="E286" s="2"/>
      <c r="F286" s="2"/>
      <c r="G286" s="2"/>
      <c r="H286" s="74"/>
      <c r="I286" s="2"/>
      <c r="J286" s="2"/>
      <c r="K286" s="2"/>
      <c r="L286" s="2"/>
      <c r="M286" s="2"/>
      <c r="N286" s="2"/>
      <c r="O286" s="62"/>
      <c r="P286" s="76"/>
    </row>
    <row r="287" ht="15.75" customHeight="1">
      <c r="A287" s="2"/>
      <c r="B287" s="74"/>
      <c r="C287" s="74"/>
      <c r="D287" s="74"/>
      <c r="E287" s="2"/>
      <c r="F287" s="2"/>
      <c r="G287" s="2"/>
      <c r="H287" s="74"/>
      <c r="I287" s="2"/>
      <c r="J287" s="2"/>
      <c r="K287" s="2"/>
      <c r="L287" s="2"/>
      <c r="M287" s="2"/>
      <c r="N287" s="2"/>
      <c r="O287" s="62"/>
      <c r="P287" s="76"/>
    </row>
    <row r="288" ht="15.75" customHeight="1">
      <c r="A288" s="2"/>
      <c r="B288" s="74"/>
      <c r="C288" s="74"/>
      <c r="D288" s="74"/>
      <c r="E288" s="2"/>
      <c r="F288" s="2"/>
      <c r="G288" s="2"/>
      <c r="H288" s="74"/>
      <c r="I288" s="2"/>
      <c r="J288" s="2"/>
      <c r="K288" s="2"/>
      <c r="L288" s="2"/>
      <c r="M288" s="2"/>
      <c r="N288" s="2"/>
      <c r="O288" s="62"/>
      <c r="P288" s="76"/>
    </row>
    <row r="289" ht="15.75" customHeight="1">
      <c r="A289" s="2"/>
      <c r="B289" s="74"/>
      <c r="C289" s="74"/>
      <c r="D289" s="74"/>
      <c r="E289" s="2"/>
      <c r="F289" s="2"/>
      <c r="G289" s="2"/>
      <c r="H289" s="74"/>
      <c r="I289" s="2"/>
      <c r="J289" s="2"/>
      <c r="K289" s="2"/>
      <c r="L289" s="2"/>
      <c r="M289" s="2"/>
      <c r="N289" s="2"/>
      <c r="O289" s="62"/>
      <c r="P289" s="76"/>
    </row>
    <row r="290" ht="15.75" customHeight="1">
      <c r="A290" s="2"/>
      <c r="B290" s="74"/>
      <c r="C290" s="74"/>
      <c r="D290" s="74"/>
      <c r="E290" s="2"/>
      <c r="F290" s="2"/>
      <c r="G290" s="2"/>
      <c r="H290" s="74"/>
      <c r="I290" s="2"/>
      <c r="J290" s="2"/>
      <c r="K290" s="2"/>
      <c r="L290" s="2"/>
      <c r="M290" s="2"/>
      <c r="N290" s="2"/>
      <c r="O290" s="62"/>
      <c r="P290" s="76"/>
    </row>
    <row r="291" ht="15.75" customHeight="1">
      <c r="A291" s="2"/>
      <c r="B291" s="74"/>
      <c r="C291" s="74"/>
      <c r="D291" s="74"/>
      <c r="E291" s="2"/>
      <c r="F291" s="2"/>
      <c r="G291" s="2"/>
      <c r="H291" s="74"/>
      <c r="I291" s="2"/>
      <c r="J291" s="2"/>
      <c r="K291" s="2"/>
      <c r="L291" s="2"/>
      <c r="M291" s="2"/>
      <c r="N291" s="2"/>
      <c r="O291" s="62"/>
      <c r="P291" s="76"/>
    </row>
    <row r="292" ht="15.75" customHeight="1">
      <c r="A292" s="2"/>
      <c r="B292" s="74"/>
      <c r="C292" s="74"/>
      <c r="D292" s="74"/>
      <c r="E292" s="2"/>
      <c r="F292" s="2"/>
      <c r="G292" s="2"/>
      <c r="H292" s="74"/>
      <c r="I292" s="2"/>
      <c r="J292" s="2"/>
      <c r="K292" s="2"/>
      <c r="L292" s="2"/>
      <c r="M292" s="2"/>
      <c r="N292" s="2"/>
      <c r="O292" s="62"/>
      <c r="P292" s="76"/>
    </row>
    <row r="293" ht="15.75" customHeight="1">
      <c r="A293" s="2"/>
      <c r="B293" s="74"/>
      <c r="C293" s="74"/>
      <c r="D293" s="74"/>
      <c r="E293" s="2"/>
      <c r="F293" s="2"/>
      <c r="G293" s="2"/>
      <c r="H293" s="74"/>
      <c r="I293" s="2"/>
      <c r="J293" s="2"/>
      <c r="K293" s="2"/>
      <c r="L293" s="2"/>
      <c r="M293" s="2"/>
      <c r="N293" s="2"/>
      <c r="O293" s="62"/>
      <c r="P293" s="76"/>
    </row>
    <row r="294" ht="15.75" customHeight="1">
      <c r="A294" s="2"/>
      <c r="B294" s="74"/>
      <c r="C294" s="74"/>
      <c r="D294" s="74"/>
      <c r="E294" s="2"/>
      <c r="F294" s="2"/>
      <c r="G294" s="2"/>
      <c r="H294" s="74"/>
      <c r="I294" s="2"/>
      <c r="J294" s="2"/>
      <c r="K294" s="2"/>
      <c r="L294" s="2"/>
      <c r="M294" s="2"/>
      <c r="N294" s="2"/>
      <c r="O294" s="62"/>
      <c r="P294" s="76"/>
    </row>
    <row r="295" ht="15.75" customHeight="1">
      <c r="A295" s="2"/>
      <c r="B295" s="74"/>
      <c r="C295" s="74"/>
      <c r="D295" s="74"/>
      <c r="E295" s="2"/>
      <c r="F295" s="2"/>
      <c r="G295" s="2"/>
      <c r="H295" s="74"/>
      <c r="I295" s="2"/>
      <c r="J295" s="2"/>
      <c r="K295" s="2"/>
      <c r="L295" s="2"/>
      <c r="M295" s="2"/>
      <c r="N295" s="2"/>
      <c r="O295" s="62"/>
      <c r="P295" s="76"/>
    </row>
    <row r="296" ht="15.75" customHeight="1">
      <c r="A296" s="2"/>
      <c r="B296" s="74"/>
      <c r="C296" s="74"/>
      <c r="D296" s="74"/>
      <c r="E296" s="2"/>
      <c r="F296" s="2"/>
      <c r="G296" s="2"/>
      <c r="H296" s="74"/>
      <c r="I296" s="2"/>
      <c r="J296" s="2"/>
      <c r="K296" s="2"/>
      <c r="L296" s="2"/>
      <c r="M296" s="2"/>
      <c r="N296" s="2"/>
      <c r="O296" s="62"/>
      <c r="P296" s="76"/>
    </row>
    <row r="297" ht="15.75" customHeight="1">
      <c r="A297" s="2"/>
      <c r="B297" s="74"/>
      <c r="C297" s="74"/>
      <c r="D297" s="74"/>
      <c r="E297" s="2"/>
      <c r="F297" s="2"/>
      <c r="G297" s="2"/>
      <c r="H297" s="74"/>
      <c r="I297" s="2"/>
      <c r="J297" s="2"/>
      <c r="K297" s="2"/>
      <c r="L297" s="2"/>
      <c r="M297" s="2"/>
      <c r="N297" s="2"/>
      <c r="O297" s="62"/>
      <c r="P297" s="76"/>
    </row>
    <row r="298" ht="15.75" customHeight="1">
      <c r="A298" s="2"/>
      <c r="B298" s="74"/>
      <c r="C298" s="74"/>
      <c r="D298" s="74"/>
      <c r="E298" s="2"/>
      <c r="F298" s="2"/>
      <c r="G298" s="2"/>
      <c r="H298" s="74"/>
      <c r="I298" s="2"/>
      <c r="J298" s="2"/>
      <c r="K298" s="2"/>
      <c r="L298" s="2"/>
      <c r="M298" s="2"/>
      <c r="N298" s="2"/>
      <c r="O298" s="62"/>
      <c r="P298" s="76"/>
    </row>
    <row r="299" ht="15.75" customHeight="1">
      <c r="A299" s="2"/>
      <c r="B299" s="74"/>
      <c r="C299" s="74"/>
      <c r="D299" s="74"/>
      <c r="E299" s="2"/>
      <c r="F299" s="2"/>
      <c r="G299" s="2"/>
      <c r="H299" s="74"/>
      <c r="I299" s="2"/>
      <c r="J299" s="2"/>
      <c r="K299" s="2"/>
      <c r="L299" s="2"/>
      <c r="M299" s="2"/>
      <c r="N299" s="2"/>
      <c r="O299" s="62"/>
      <c r="P299" s="76"/>
    </row>
    <row r="300" ht="15.75" customHeight="1">
      <c r="A300" s="2"/>
      <c r="B300" s="74"/>
      <c r="C300" s="74"/>
      <c r="D300" s="74"/>
      <c r="E300" s="2"/>
      <c r="F300" s="2"/>
      <c r="G300" s="2"/>
      <c r="H300" s="74"/>
      <c r="I300" s="2"/>
      <c r="J300" s="2"/>
      <c r="K300" s="2"/>
      <c r="L300" s="2"/>
      <c r="M300" s="2"/>
      <c r="N300" s="2"/>
      <c r="O300" s="62"/>
      <c r="P300" s="76"/>
    </row>
    <row r="301" ht="15.75" customHeight="1">
      <c r="A301" s="2"/>
      <c r="B301" s="74"/>
      <c r="C301" s="74"/>
      <c r="D301" s="74"/>
      <c r="E301" s="2"/>
      <c r="F301" s="2"/>
      <c r="G301" s="2"/>
      <c r="H301" s="74"/>
      <c r="I301" s="2"/>
      <c r="J301" s="2"/>
      <c r="K301" s="2"/>
      <c r="L301" s="2"/>
      <c r="M301" s="2"/>
      <c r="N301" s="2"/>
      <c r="O301" s="62"/>
      <c r="P301" s="76"/>
    </row>
    <row r="302" ht="15.75" customHeight="1">
      <c r="A302" s="2"/>
      <c r="B302" s="74"/>
      <c r="C302" s="74"/>
      <c r="D302" s="74"/>
      <c r="E302" s="2"/>
      <c r="F302" s="2"/>
      <c r="G302" s="2"/>
      <c r="H302" s="74"/>
      <c r="I302" s="2"/>
      <c r="J302" s="2"/>
      <c r="K302" s="2"/>
      <c r="L302" s="2"/>
      <c r="M302" s="2"/>
      <c r="N302" s="2"/>
      <c r="O302" s="62"/>
      <c r="P302" s="76"/>
    </row>
    <row r="303" ht="15.75" customHeight="1">
      <c r="A303" s="2"/>
      <c r="B303" s="74"/>
      <c r="C303" s="74"/>
      <c r="D303" s="74"/>
      <c r="E303" s="2"/>
      <c r="F303" s="2"/>
      <c r="G303" s="2"/>
      <c r="H303" s="74"/>
      <c r="I303" s="2"/>
      <c r="J303" s="2"/>
      <c r="K303" s="2"/>
      <c r="L303" s="2"/>
      <c r="M303" s="2"/>
      <c r="N303" s="2"/>
      <c r="O303" s="62"/>
      <c r="P303" s="76"/>
    </row>
    <row r="304" ht="15.75" customHeight="1">
      <c r="A304" s="2"/>
      <c r="B304" s="74"/>
      <c r="C304" s="74"/>
      <c r="D304" s="74"/>
      <c r="E304" s="2"/>
      <c r="F304" s="2"/>
      <c r="G304" s="2"/>
      <c r="H304" s="74"/>
      <c r="I304" s="2"/>
      <c r="J304" s="2"/>
      <c r="K304" s="2"/>
      <c r="L304" s="2"/>
      <c r="M304" s="2"/>
      <c r="N304" s="2"/>
      <c r="O304" s="62"/>
      <c r="P304" s="76"/>
    </row>
    <row r="305" ht="15.75" customHeight="1">
      <c r="A305" s="2"/>
      <c r="B305" s="74"/>
      <c r="C305" s="74"/>
      <c r="D305" s="74"/>
      <c r="E305" s="2"/>
      <c r="F305" s="2"/>
      <c r="G305" s="2"/>
      <c r="H305" s="74"/>
      <c r="I305" s="2"/>
      <c r="J305" s="2"/>
      <c r="K305" s="2"/>
      <c r="L305" s="2"/>
      <c r="M305" s="2"/>
      <c r="N305" s="2"/>
      <c r="O305" s="62"/>
      <c r="P305" s="76"/>
    </row>
    <row r="306" ht="15.75" customHeight="1">
      <c r="A306" s="2"/>
      <c r="B306" s="74"/>
      <c r="C306" s="74"/>
      <c r="D306" s="74"/>
      <c r="E306" s="2"/>
      <c r="F306" s="2"/>
      <c r="G306" s="2"/>
      <c r="H306" s="74"/>
      <c r="I306" s="2"/>
      <c r="J306" s="2"/>
      <c r="K306" s="2"/>
      <c r="L306" s="2"/>
      <c r="M306" s="2"/>
      <c r="N306" s="2"/>
      <c r="O306" s="62"/>
      <c r="P306" s="76"/>
    </row>
    <row r="307" ht="15.75" customHeight="1">
      <c r="A307" s="2"/>
      <c r="B307" s="74"/>
      <c r="C307" s="74"/>
      <c r="D307" s="74"/>
      <c r="E307" s="2"/>
      <c r="F307" s="2"/>
      <c r="G307" s="2"/>
      <c r="H307" s="74"/>
      <c r="I307" s="2"/>
      <c r="J307" s="2"/>
      <c r="K307" s="2"/>
      <c r="L307" s="2"/>
      <c r="M307" s="2"/>
      <c r="N307" s="2"/>
      <c r="O307" s="62"/>
      <c r="P307" s="76"/>
    </row>
    <row r="308" ht="15.75" customHeight="1">
      <c r="A308" s="2"/>
      <c r="B308" s="74"/>
      <c r="C308" s="74"/>
      <c r="D308" s="74"/>
      <c r="E308" s="2"/>
      <c r="F308" s="2"/>
      <c r="G308" s="2"/>
      <c r="H308" s="74"/>
      <c r="I308" s="2"/>
      <c r="J308" s="2"/>
      <c r="K308" s="2"/>
      <c r="L308" s="2"/>
      <c r="M308" s="2"/>
      <c r="N308" s="2"/>
      <c r="O308" s="62"/>
      <c r="P308" s="76"/>
    </row>
    <row r="309" ht="15.75" customHeight="1">
      <c r="A309" s="2"/>
      <c r="B309" s="74"/>
      <c r="C309" s="74"/>
      <c r="D309" s="74"/>
      <c r="E309" s="2"/>
      <c r="F309" s="2"/>
      <c r="G309" s="2"/>
      <c r="H309" s="74"/>
      <c r="I309" s="2"/>
      <c r="J309" s="2"/>
      <c r="K309" s="2"/>
      <c r="L309" s="2"/>
      <c r="M309" s="2"/>
      <c r="N309" s="2"/>
      <c r="O309" s="62"/>
      <c r="P309" s="76"/>
    </row>
    <row r="310" ht="15.75" customHeight="1">
      <c r="A310" s="2"/>
      <c r="B310" s="74"/>
      <c r="C310" s="74"/>
      <c r="D310" s="74"/>
      <c r="E310" s="2"/>
      <c r="F310" s="2"/>
      <c r="G310" s="2"/>
      <c r="H310" s="74"/>
      <c r="I310" s="2"/>
      <c r="J310" s="2"/>
      <c r="K310" s="2"/>
      <c r="L310" s="2"/>
      <c r="M310" s="2"/>
      <c r="N310" s="2"/>
      <c r="O310" s="62"/>
      <c r="P310" s="76"/>
    </row>
    <row r="311" ht="15.75" customHeight="1">
      <c r="A311" s="2"/>
      <c r="B311" s="74"/>
      <c r="C311" s="74"/>
      <c r="D311" s="74"/>
      <c r="E311" s="2"/>
      <c r="F311" s="2"/>
      <c r="G311" s="2"/>
      <c r="H311" s="74"/>
      <c r="I311" s="2"/>
      <c r="J311" s="2"/>
      <c r="K311" s="2"/>
      <c r="L311" s="2"/>
      <c r="M311" s="2"/>
      <c r="N311" s="2"/>
      <c r="O311" s="62"/>
      <c r="P311" s="76"/>
    </row>
    <row r="312" ht="15.75" customHeight="1">
      <c r="A312" s="2"/>
      <c r="B312" s="74"/>
      <c r="C312" s="74"/>
      <c r="D312" s="74"/>
      <c r="E312" s="2"/>
      <c r="F312" s="2"/>
      <c r="G312" s="2"/>
      <c r="H312" s="74"/>
      <c r="I312" s="2"/>
      <c r="J312" s="2"/>
      <c r="K312" s="2"/>
      <c r="L312" s="2"/>
      <c r="M312" s="2"/>
      <c r="N312" s="2"/>
      <c r="O312" s="62"/>
      <c r="P312" s="76"/>
    </row>
    <row r="313" ht="15.75" customHeight="1">
      <c r="A313" s="2"/>
      <c r="B313" s="74"/>
      <c r="C313" s="74"/>
      <c r="D313" s="74"/>
      <c r="E313" s="2"/>
      <c r="F313" s="2"/>
      <c r="G313" s="2"/>
      <c r="H313" s="74"/>
      <c r="I313" s="2"/>
      <c r="J313" s="2"/>
      <c r="K313" s="2"/>
      <c r="L313" s="2"/>
      <c r="M313" s="2"/>
      <c r="N313" s="2"/>
      <c r="O313" s="62"/>
      <c r="P313" s="76"/>
    </row>
    <row r="314" ht="15.75" customHeight="1">
      <c r="A314" s="2"/>
      <c r="B314" s="74"/>
      <c r="C314" s="74"/>
      <c r="D314" s="74"/>
      <c r="E314" s="2"/>
      <c r="F314" s="2"/>
      <c r="G314" s="2"/>
      <c r="H314" s="74"/>
      <c r="I314" s="2"/>
      <c r="J314" s="2"/>
      <c r="K314" s="2"/>
      <c r="L314" s="2"/>
      <c r="M314" s="2"/>
      <c r="N314" s="2"/>
      <c r="O314" s="62"/>
      <c r="P314" s="76"/>
    </row>
    <row r="315" ht="15.75" customHeight="1">
      <c r="A315" s="2"/>
      <c r="B315" s="74"/>
      <c r="C315" s="74"/>
      <c r="D315" s="74"/>
      <c r="E315" s="2"/>
      <c r="F315" s="2"/>
      <c r="G315" s="2"/>
      <c r="H315" s="74"/>
      <c r="I315" s="2"/>
      <c r="J315" s="2"/>
      <c r="K315" s="2"/>
      <c r="L315" s="2"/>
      <c r="M315" s="2"/>
      <c r="N315" s="2"/>
      <c r="O315" s="62"/>
      <c r="P315" s="76"/>
    </row>
    <row r="316" ht="15.75" customHeight="1">
      <c r="A316" s="2"/>
      <c r="B316" s="74"/>
      <c r="C316" s="74"/>
      <c r="D316" s="74"/>
      <c r="E316" s="2"/>
      <c r="F316" s="2"/>
      <c r="G316" s="2"/>
      <c r="H316" s="74"/>
      <c r="I316" s="2"/>
      <c r="J316" s="2"/>
      <c r="K316" s="2"/>
      <c r="L316" s="2"/>
      <c r="M316" s="2"/>
      <c r="N316" s="2"/>
      <c r="O316" s="62"/>
      <c r="P316" s="76"/>
    </row>
    <row r="317" ht="15.75" customHeight="1">
      <c r="A317" s="2"/>
      <c r="B317" s="74"/>
      <c r="C317" s="74"/>
      <c r="D317" s="74"/>
      <c r="E317" s="2"/>
      <c r="F317" s="2"/>
      <c r="G317" s="2"/>
      <c r="H317" s="74"/>
      <c r="I317" s="2"/>
      <c r="J317" s="2"/>
      <c r="K317" s="2"/>
      <c r="L317" s="2"/>
      <c r="M317" s="2"/>
      <c r="N317" s="2"/>
      <c r="O317" s="62"/>
      <c r="P317" s="76"/>
    </row>
    <row r="318" ht="15.75" customHeight="1">
      <c r="A318" s="2"/>
      <c r="B318" s="74"/>
      <c r="C318" s="74"/>
      <c r="D318" s="74"/>
      <c r="E318" s="2"/>
      <c r="F318" s="2"/>
      <c r="G318" s="2"/>
      <c r="H318" s="74"/>
      <c r="I318" s="2"/>
      <c r="J318" s="2"/>
      <c r="K318" s="2"/>
      <c r="L318" s="2"/>
      <c r="M318" s="2"/>
      <c r="N318" s="2"/>
      <c r="O318" s="62"/>
      <c r="P318" s="76"/>
    </row>
    <row r="319" ht="15.75" customHeight="1">
      <c r="A319" s="2"/>
      <c r="B319" s="74"/>
      <c r="C319" s="74"/>
      <c r="D319" s="74"/>
      <c r="E319" s="2"/>
      <c r="F319" s="2"/>
      <c r="G319" s="2"/>
      <c r="H319" s="74"/>
      <c r="I319" s="2"/>
      <c r="J319" s="2"/>
      <c r="K319" s="2"/>
      <c r="L319" s="2"/>
      <c r="M319" s="2"/>
      <c r="N319" s="2"/>
      <c r="O319" s="62"/>
      <c r="P319" s="76"/>
    </row>
    <row r="320" ht="15.75" customHeight="1">
      <c r="A320" s="2"/>
      <c r="B320" s="74"/>
      <c r="C320" s="74"/>
      <c r="D320" s="74"/>
      <c r="E320" s="2"/>
      <c r="F320" s="2"/>
      <c r="G320" s="2"/>
      <c r="H320" s="74"/>
      <c r="I320" s="2"/>
      <c r="J320" s="2"/>
      <c r="K320" s="2"/>
      <c r="L320" s="2"/>
      <c r="M320" s="2"/>
      <c r="N320" s="2"/>
      <c r="O320" s="62"/>
      <c r="P320" s="76"/>
    </row>
    <row r="321" ht="15.75" customHeight="1">
      <c r="A321" s="2"/>
      <c r="B321" s="74"/>
      <c r="C321" s="74"/>
      <c r="D321" s="74"/>
      <c r="E321" s="2"/>
      <c r="F321" s="2"/>
      <c r="G321" s="2"/>
      <c r="H321" s="74"/>
      <c r="I321" s="2"/>
      <c r="J321" s="2"/>
      <c r="K321" s="2"/>
      <c r="L321" s="2"/>
      <c r="M321" s="2"/>
      <c r="N321" s="2"/>
      <c r="O321" s="62"/>
      <c r="P321" s="76"/>
    </row>
    <row r="322" ht="15.75" customHeight="1">
      <c r="A322" s="2"/>
      <c r="B322" s="74"/>
      <c r="C322" s="74"/>
      <c r="D322" s="74"/>
      <c r="E322" s="2"/>
      <c r="F322" s="2"/>
      <c r="G322" s="2"/>
      <c r="H322" s="74"/>
      <c r="I322" s="2"/>
      <c r="J322" s="2"/>
      <c r="K322" s="2"/>
      <c r="L322" s="2"/>
      <c r="M322" s="2"/>
      <c r="N322" s="2"/>
      <c r="O322" s="62"/>
      <c r="P322" s="76"/>
    </row>
    <row r="323" ht="15.75" customHeight="1">
      <c r="A323" s="2"/>
      <c r="B323" s="74"/>
      <c r="C323" s="74"/>
      <c r="D323" s="74"/>
      <c r="E323" s="2"/>
      <c r="F323" s="2"/>
      <c r="G323" s="2"/>
      <c r="H323" s="74"/>
      <c r="I323" s="2"/>
      <c r="J323" s="2"/>
      <c r="K323" s="2"/>
      <c r="L323" s="2"/>
      <c r="M323" s="2"/>
      <c r="N323" s="2"/>
      <c r="O323" s="62"/>
      <c r="P323" s="76"/>
    </row>
    <row r="324" ht="15.75" customHeight="1">
      <c r="A324" s="2"/>
      <c r="B324" s="74"/>
      <c r="C324" s="74"/>
      <c r="D324" s="74"/>
      <c r="E324" s="2"/>
      <c r="F324" s="2"/>
      <c r="G324" s="2"/>
      <c r="H324" s="74"/>
      <c r="I324" s="2"/>
      <c r="J324" s="2"/>
      <c r="K324" s="2"/>
      <c r="L324" s="2"/>
      <c r="M324" s="2"/>
      <c r="N324" s="2"/>
      <c r="O324" s="62"/>
      <c r="P324" s="76"/>
    </row>
    <row r="325" ht="15.75" customHeight="1">
      <c r="A325" s="2"/>
      <c r="B325" s="74"/>
      <c r="C325" s="74"/>
      <c r="D325" s="74"/>
      <c r="E325" s="2"/>
      <c r="F325" s="2"/>
      <c r="G325" s="2"/>
      <c r="H325" s="74"/>
      <c r="I325" s="2"/>
      <c r="J325" s="2"/>
      <c r="K325" s="2"/>
      <c r="L325" s="2"/>
      <c r="M325" s="2"/>
      <c r="N325" s="2"/>
      <c r="O325" s="62"/>
      <c r="P325" s="76"/>
    </row>
    <row r="326" ht="15.75" customHeight="1">
      <c r="A326" s="2"/>
      <c r="B326" s="74"/>
      <c r="C326" s="74"/>
      <c r="D326" s="74"/>
      <c r="E326" s="2"/>
      <c r="F326" s="2"/>
      <c r="G326" s="2"/>
      <c r="H326" s="74"/>
      <c r="I326" s="2"/>
      <c r="J326" s="2"/>
      <c r="K326" s="2"/>
      <c r="L326" s="2"/>
      <c r="M326" s="2"/>
      <c r="N326" s="2"/>
      <c r="O326" s="62"/>
      <c r="P326" s="76"/>
    </row>
    <row r="327" ht="15.75" customHeight="1">
      <c r="A327" s="2"/>
      <c r="B327" s="74"/>
      <c r="C327" s="74"/>
      <c r="D327" s="74"/>
      <c r="E327" s="2"/>
      <c r="F327" s="2"/>
      <c r="G327" s="2"/>
      <c r="H327" s="74"/>
      <c r="I327" s="2"/>
      <c r="J327" s="2"/>
      <c r="K327" s="2"/>
      <c r="L327" s="2"/>
      <c r="M327" s="2"/>
      <c r="N327" s="2"/>
      <c r="O327" s="62"/>
      <c r="P327" s="76"/>
    </row>
    <row r="328" ht="15.75" customHeight="1">
      <c r="A328" s="2"/>
      <c r="B328" s="74"/>
      <c r="C328" s="74"/>
      <c r="D328" s="74"/>
      <c r="E328" s="2"/>
      <c r="F328" s="2"/>
      <c r="G328" s="2"/>
      <c r="H328" s="74"/>
      <c r="I328" s="2"/>
      <c r="J328" s="2"/>
      <c r="K328" s="2"/>
      <c r="L328" s="2"/>
      <c r="M328" s="2"/>
      <c r="N328" s="2"/>
      <c r="O328" s="62"/>
      <c r="P328" s="76"/>
    </row>
    <row r="329" ht="15.75" customHeight="1">
      <c r="A329" s="2"/>
      <c r="B329" s="74"/>
      <c r="C329" s="74"/>
      <c r="D329" s="74"/>
      <c r="E329" s="2"/>
      <c r="F329" s="2"/>
      <c r="G329" s="2"/>
      <c r="H329" s="74"/>
      <c r="I329" s="2"/>
      <c r="J329" s="2"/>
      <c r="K329" s="2"/>
      <c r="L329" s="2"/>
      <c r="M329" s="2"/>
      <c r="N329" s="2"/>
      <c r="O329" s="62"/>
      <c r="P329" s="76"/>
    </row>
    <row r="330" ht="15.75" customHeight="1">
      <c r="A330" s="2"/>
      <c r="B330" s="74"/>
      <c r="C330" s="74"/>
      <c r="D330" s="74"/>
      <c r="E330" s="2"/>
      <c r="F330" s="2"/>
      <c r="G330" s="2"/>
      <c r="H330" s="74"/>
      <c r="I330" s="2"/>
      <c r="J330" s="2"/>
      <c r="K330" s="2"/>
      <c r="L330" s="2"/>
      <c r="M330" s="2"/>
      <c r="N330" s="2"/>
      <c r="O330" s="62"/>
      <c r="P330" s="76"/>
    </row>
    <row r="331" ht="15.75" customHeight="1">
      <c r="A331" s="2"/>
      <c r="B331" s="74"/>
      <c r="C331" s="74"/>
      <c r="D331" s="74"/>
      <c r="E331" s="2"/>
      <c r="F331" s="2"/>
      <c r="G331" s="2"/>
      <c r="H331" s="74"/>
      <c r="I331" s="2"/>
      <c r="J331" s="2"/>
      <c r="K331" s="2"/>
      <c r="L331" s="2"/>
      <c r="M331" s="2"/>
      <c r="N331" s="2"/>
      <c r="O331" s="62"/>
      <c r="P331" s="76"/>
    </row>
    <row r="332" ht="15.75" customHeight="1">
      <c r="A332" s="2"/>
      <c r="B332" s="74"/>
      <c r="C332" s="74"/>
      <c r="D332" s="74"/>
      <c r="E332" s="2"/>
      <c r="F332" s="2"/>
      <c r="G332" s="2"/>
      <c r="H332" s="74"/>
      <c r="I332" s="2"/>
      <c r="J332" s="2"/>
      <c r="K332" s="2"/>
      <c r="L332" s="2"/>
      <c r="M332" s="2"/>
      <c r="N332" s="2"/>
      <c r="O332" s="62"/>
      <c r="P332" s="76"/>
    </row>
    <row r="333" ht="15.75" customHeight="1">
      <c r="A333" s="2"/>
      <c r="B333" s="74"/>
      <c r="C333" s="74"/>
      <c r="D333" s="74"/>
      <c r="E333" s="2"/>
      <c r="F333" s="2"/>
      <c r="G333" s="2"/>
      <c r="H333" s="74"/>
      <c r="I333" s="2"/>
      <c r="J333" s="2"/>
      <c r="K333" s="2"/>
      <c r="L333" s="2"/>
      <c r="M333" s="2"/>
      <c r="N333" s="2"/>
      <c r="O333" s="62"/>
      <c r="P333" s="76"/>
    </row>
    <row r="334" ht="15.75" customHeight="1">
      <c r="A334" s="2"/>
      <c r="B334" s="74"/>
      <c r="C334" s="74"/>
      <c r="D334" s="74"/>
      <c r="E334" s="2"/>
      <c r="F334" s="2"/>
      <c r="G334" s="2"/>
      <c r="H334" s="74"/>
      <c r="I334" s="2"/>
      <c r="J334" s="2"/>
      <c r="K334" s="2"/>
      <c r="L334" s="2"/>
      <c r="M334" s="2"/>
      <c r="N334" s="2"/>
      <c r="O334" s="62"/>
      <c r="P334" s="76"/>
    </row>
    <row r="335" ht="15.75" customHeight="1">
      <c r="A335" s="2"/>
      <c r="B335" s="74"/>
      <c r="C335" s="74"/>
      <c r="D335" s="74"/>
      <c r="E335" s="2"/>
      <c r="F335" s="2"/>
      <c r="G335" s="2"/>
      <c r="H335" s="74"/>
      <c r="I335" s="2"/>
      <c r="J335" s="2"/>
      <c r="K335" s="2"/>
      <c r="L335" s="2"/>
      <c r="M335" s="2"/>
      <c r="N335" s="2"/>
      <c r="O335" s="62"/>
      <c r="P335" s="76"/>
    </row>
    <row r="336" ht="15.75" customHeight="1">
      <c r="A336" s="2"/>
      <c r="B336" s="74"/>
      <c r="C336" s="74"/>
      <c r="D336" s="74"/>
      <c r="E336" s="2"/>
      <c r="F336" s="2"/>
      <c r="G336" s="2"/>
      <c r="H336" s="74"/>
      <c r="I336" s="2"/>
      <c r="J336" s="2"/>
      <c r="K336" s="2"/>
      <c r="L336" s="2"/>
      <c r="M336" s="2"/>
      <c r="N336" s="2"/>
      <c r="O336" s="62"/>
      <c r="P336" s="76"/>
    </row>
    <row r="337" ht="15.75" customHeight="1">
      <c r="A337" s="2"/>
      <c r="B337" s="74"/>
      <c r="C337" s="74"/>
      <c r="D337" s="74"/>
      <c r="E337" s="2"/>
      <c r="F337" s="2"/>
      <c r="G337" s="2"/>
      <c r="H337" s="74"/>
      <c r="I337" s="2"/>
      <c r="J337" s="2"/>
      <c r="K337" s="2"/>
      <c r="L337" s="2"/>
      <c r="M337" s="2"/>
      <c r="N337" s="2"/>
      <c r="O337" s="62"/>
      <c r="P337" s="76"/>
    </row>
    <row r="338" ht="15.75" customHeight="1">
      <c r="A338" s="2"/>
      <c r="B338" s="74"/>
      <c r="C338" s="74"/>
      <c r="D338" s="74"/>
      <c r="E338" s="2"/>
      <c r="F338" s="2"/>
      <c r="G338" s="2"/>
      <c r="H338" s="74"/>
      <c r="I338" s="2"/>
      <c r="J338" s="2"/>
      <c r="K338" s="2"/>
      <c r="L338" s="2"/>
      <c r="M338" s="2"/>
      <c r="N338" s="2"/>
      <c r="O338" s="62"/>
      <c r="P338" s="76"/>
    </row>
    <row r="339" ht="15.75" customHeight="1">
      <c r="A339" s="2"/>
      <c r="B339" s="74"/>
      <c r="C339" s="74"/>
      <c r="D339" s="74"/>
      <c r="E339" s="2"/>
      <c r="F339" s="2"/>
      <c r="G339" s="2"/>
      <c r="H339" s="74"/>
      <c r="I339" s="2"/>
      <c r="J339" s="2"/>
      <c r="K339" s="2"/>
      <c r="L339" s="2"/>
      <c r="M339" s="2"/>
      <c r="N339" s="2"/>
      <c r="O339" s="62"/>
      <c r="P339" s="76"/>
    </row>
    <row r="340" ht="15.75" customHeight="1">
      <c r="A340" s="2"/>
      <c r="B340" s="74"/>
      <c r="C340" s="74"/>
      <c r="D340" s="74"/>
      <c r="E340" s="2"/>
      <c r="F340" s="2"/>
      <c r="G340" s="2"/>
      <c r="H340" s="74"/>
      <c r="I340" s="2"/>
      <c r="J340" s="2"/>
      <c r="K340" s="2"/>
      <c r="L340" s="2"/>
      <c r="M340" s="2"/>
      <c r="N340" s="2"/>
      <c r="O340" s="62"/>
      <c r="P340" s="76"/>
    </row>
    <row r="341" ht="15.75" customHeight="1">
      <c r="A341" s="2"/>
      <c r="B341" s="74"/>
      <c r="C341" s="74"/>
      <c r="D341" s="74"/>
      <c r="E341" s="2"/>
      <c r="F341" s="2"/>
      <c r="G341" s="2"/>
      <c r="H341" s="74"/>
      <c r="I341" s="2"/>
      <c r="J341" s="2"/>
      <c r="K341" s="2"/>
      <c r="L341" s="2"/>
      <c r="M341" s="2"/>
      <c r="N341" s="2"/>
      <c r="O341" s="62"/>
      <c r="P341" s="76"/>
    </row>
    <row r="342" ht="15.75" customHeight="1">
      <c r="A342" s="2"/>
      <c r="B342" s="74"/>
      <c r="C342" s="74"/>
      <c r="D342" s="74"/>
      <c r="E342" s="2"/>
      <c r="F342" s="2"/>
      <c r="G342" s="2"/>
      <c r="H342" s="74"/>
      <c r="I342" s="2"/>
      <c r="J342" s="2"/>
      <c r="K342" s="2"/>
      <c r="L342" s="2"/>
      <c r="M342" s="2"/>
      <c r="N342" s="2"/>
      <c r="O342" s="62"/>
      <c r="P342" s="76"/>
    </row>
    <row r="343" ht="15.75" customHeight="1">
      <c r="A343" s="2"/>
      <c r="B343" s="74"/>
      <c r="C343" s="74"/>
      <c r="D343" s="74"/>
      <c r="E343" s="2"/>
      <c r="F343" s="2"/>
      <c r="G343" s="2"/>
      <c r="H343" s="74"/>
      <c r="I343" s="2"/>
      <c r="J343" s="2"/>
      <c r="K343" s="2"/>
      <c r="L343" s="2"/>
      <c r="M343" s="2"/>
      <c r="N343" s="2"/>
      <c r="O343" s="62"/>
      <c r="P343" s="76"/>
    </row>
    <row r="344" ht="15.75" customHeight="1">
      <c r="A344" s="2"/>
      <c r="B344" s="74"/>
      <c r="C344" s="74"/>
      <c r="D344" s="74"/>
      <c r="E344" s="2"/>
      <c r="F344" s="2"/>
      <c r="G344" s="2"/>
      <c r="H344" s="74"/>
      <c r="I344" s="2"/>
      <c r="J344" s="2"/>
      <c r="K344" s="2"/>
      <c r="L344" s="2"/>
      <c r="M344" s="2"/>
      <c r="N344" s="2"/>
      <c r="O344" s="62"/>
      <c r="P344" s="76"/>
    </row>
    <row r="345" ht="15.75" customHeight="1">
      <c r="A345" s="2"/>
      <c r="B345" s="74"/>
      <c r="C345" s="74"/>
      <c r="D345" s="74"/>
      <c r="E345" s="2"/>
      <c r="F345" s="2"/>
      <c r="G345" s="2"/>
      <c r="H345" s="74"/>
      <c r="I345" s="2"/>
      <c r="J345" s="2"/>
      <c r="K345" s="2"/>
      <c r="L345" s="2"/>
      <c r="M345" s="2"/>
      <c r="N345" s="2"/>
      <c r="O345" s="62"/>
      <c r="P345" s="76"/>
    </row>
    <row r="346" ht="15.75" customHeight="1">
      <c r="A346" s="2"/>
      <c r="B346" s="74"/>
      <c r="C346" s="74"/>
      <c r="D346" s="74"/>
      <c r="E346" s="2"/>
      <c r="F346" s="2"/>
      <c r="G346" s="2"/>
      <c r="H346" s="74"/>
      <c r="I346" s="2"/>
      <c r="J346" s="2"/>
      <c r="K346" s="2"/>
      <c r="L346" s="2"/>
      <c r="M346" s="2"/>
      <c r="N346" s="2"/>
      <c r="O346" s="62"/>
      <c r="P346" s="76"/>
    </row>
    <row r="347" ht="15.75" customHeight="1">
      <c r="A347" s="2"/>
      <c r="B347" s="74"/>
      <c r="C347" s="74"/>
      <c r="D347" s="74"/>
      <c r="E347" s="2"/>
      <c r="F347" s="2"/>
      <c r="G347" s="2"/>
      <c r="H347" s="74"/>
      <c r="I347" s="2"/>
      <c r="J347" s="2"/>
      <c r="K347" s="2"/>
      <c r="L347" s="2"/>
      <c r="M347" s="2"/>
      <c r="N347" s="2"/>
      <c r="O347" s="62"/>
      <c r="P347" s="76"/>
    </row>
    <row r="348" ht="15.75" customHeight="1">
      <c r="A348" s="2"/>
      <c r="B348" s="74"/>
      <c r="C348" s="74"/>
      <c r="D348" s="74"/>
      <c r="E348" s="2"/>
      <c r="F348" s="2"/>
      <c r="G348" s="2"/>
      <c r="H348" s="74"/>
      <c r="I348" s="2"/>
      <c r="J348" s="2"/>
      <c r="K348" s="2"/>
      <c r="L348" s="2"/>
      <c r="M348" s="2"/>
      <c r="N348" s="2"/>
      <c r="O348" s="62"/>
      <c r="P348" s="76"/>
    </row>
    <row r="349" ht="15.75" customHeight="1">
      <c r="A349" s="2"/>
      <c r="B349" s="74"/>
      <c r="C349" s="74"/>
      <c r="D349" s="74"/>
      <c r="E349" s="2"/>
      <c r="F349" s="2"/>
      <c r="G349" s="2"/>
      <c r="H349" s="74"/>
      <c r="I349" s="2"/>
      <c r="J349" s="2"/>
      <c r="K349" s="2"/>
      <c r="L349" s="2"/>
      <c r="M349" s="2"/>
      <c r="N349" s="2"/>
      <c r="O349" s="62"/>
      <c r="P349" s="76"/>
    </row>
    <row r="350" ht="15.75" customHeight="1">
      <c r="A350" s="2"/>
      <c r="B350" s="74"/>
      <c r="C350" s="74"/>
      <c r="D350" s="74"/>
      <c r="E350" s="2"/>
      <c r="F350" s="2"/>
      <c r="G350" s="2"/>
      <c r="H350" s="74"/>
      <c r="I350" s="2"/>
      <c r="J350" s="2"/>
      <c r="K350" s="2"/>
      <c r="L350" s="2"/>
      <c r="M350" s="2"/>
      <c r="N350" s="2"/>
      <c r="O350" s="62"/>
      <c r="P350" s="76"/>
    </row>
    <row r="351" ht="15.75" customHeight="1">
      <c r="A351" s="2"/>
      <c r="B351" s="74"/>
      <c r="C351" s="74"/>
      <c r="D351" s="74"/>
      <c r="E351" s="2"/>
      <c r="F351" s="2"/>
      <c r="G351" s="2"/>
      <c r="H351" s="74"/>
      <c r="I351" s="2"/>
      <c r="J351" s="2"/>
      <c r="K351" s="2"/>
      <c r="L351" s="2"/>
      <c r="M351" s="2"/>
      <c r="N351" s="2"/>
      <c r="O351" s="62"/>
      <c r="P351" s="76"/>
    </row>
    <row r="352" ht="15.75" customHeight="1">
      <c r="A352" s="2"/>
      <c r="B352" s="74"/>
      <c r="C352" s="74"/>
      <c r="D352" s="74"/>
      <c r="E352" s="2"/>
      <c r="F352" s="2"/>
      <c r="G352" s="2"/>
      <c r="H352" s="74"/>
      <c r="I352" s="2"/>
      <c r="J352" s="2"/>
      <c r="K352" s="2"/>
      <c r="L352" s="2"/>
      <c r="M352" s="2"/>
      <c r="N352" s="2"/>
      <c r="O352" s="62"/>
      <c r="P352" s="76"/>
    </row>
    <row r="353" ht="15.75" customHeight="1">
      <c r="A353" s="2"/>
      <c r="B353" s="74"/>
      <c r="C353" s="74"/>
      <c r="D353" s="74"/>
      <c r="E353" s="2"/>
      <c r="F353" s="2"/>
      <c r="G353" s="2"/>
      <c r="H353" s="74"/>
      <c r="I353" s="2"/>
      <c r="J353" s="2"/>
      <c r="K353" s="2"/>
      <c r="L353" s="2"/>
      <c r="M353" s="2"/>
      <c r="N353" s="2"/>
      <c r="O353" s="62"/>
      <c r="P353" s="76"/>
    </row>
    <row r="354" ht="15.75" customHeight="1">
      <c r="A354" s="2"/>
      <c r="B354" s="74"/>
      <c r="C354" s="74"/>
      <c r="D354" s="74"/>
      <c r="E354" s="2"/>
      <c r="F354" s="2"/>
      <c r="G354" s="2"/>
      <c r="H354" s="74"/>
      <c r="I354" s="2"/>
      <c r="J354" s="2"/>
      <c r="K354" s="2"/>
      <c r="L354" s="2"/>
      <c r="M354" s="2"/>
      <c r="N354" s="2"/>
      <c r="O354" s="62"/>
      <c r="P354" s="76"/>
    </row>
    <row r="355" ht="15.75" customHeight="1">
      <c r="A355" s="2"/>
      <c r="B355" s="74"/>
      <c r="C355" s="74"/>
      <c r="D355" s="74"/>
      <c r="E355" s="2"/>
      <c r="F355" s="2"/>
      <c r="G355" s="2"/>
      <c r="H355" s="74"/>
      <c r="I355" s="2"/>
      <c r="J355" s="2"/>
      <c r="K355" s="2"/>
      <c r="L355" s="2"/>
      <c r="M355" s="2"/>
      <c r="N355" s="2"/>
      <c r="O355" s="62"/>
      <c r="P355" s="76"/>
    </row>
    <row r="356" ht="15.75" customHeight="1">
      <c r="A356" s="2"/>
      <c r="B356" s="74"/>
      <c r="C356" s="74"/>
      <c r="D356" s="74"/>
      <c r="E356" s="2"/>
      <c r="F356" s="2"/>
      <c r="G356" s="2"/>
      <c r="H356" s="74"/>
      <c r="I356" s="2"/>
      <c r="J356" s="2"/>
      <c r="K356" s="2"/>
      <c r="L356" s="2"/>
      <c r="M356" s="2"/>
      <c r="N356" s="2"/>
      <c r="O356" s="62"/>
      <c r="P356" s="76"/>
    </row>
    <row r="357" ht="15.75" customHeight="1">
      <c r="A357" s="2"/>
      <c r="B357" s="74"/>
      <c r="C357" s="74"/>
      <c r="D357" s="74"/>
      <c r="E357" s="2"/>
      <c r="F357" s="2"/>
      <c r="G357" s="2"/>
      <c r="H357" s="74"/>
      <c r="I357" s="2"/>
      <c r="J357" s="2"/>
      <c r="K357" s="2"/>
      <c r="L357" s="2"/>
      <c r="M357" s="2"/>
      <c r="N357" s="2"/>
      <c r="O357" s="62"/>
      <c r="P357" s="76"/>
    </row>
    <row r="358" ht="15.75" customHeight="1">
      <c r="A358" s="2"/>
      <c r="B358" s="74"/>
      <c r="C358" s="74"/>
      <c r="D358" s="74"/>
      <c r="E358" s="2"/>
      <c r="F358" s="2"/>
      <c r="G358" s="2"/>
      <c r="H358" s="74"/>
      <c r="I358" s="2"/>
      <c r="J358" s="2"/>
      <c r="K358" s="2"/>
      <c r="L358" s="2"/>
      <c r="M358" s="2"/>
      <c r="N358" s="2"/>
      <c r="O358" s="62"/>
      <c r="P358" s="76"/>
    </row>
    <row r="359" ht="15.75" customHeight="1">
      <c r="A359" s="2"/>
      <c r="B359" s="74"/>
      <c r="C359" s="74"/>
      <c r="D359" s="74"/>
      <c r="E359" s="2"/>
      <c r="F359" s="2"/>
      <c r="G359" s="2"/>
      <c r="H359" s="74"/>
      <c r="I359" s="2"/>
      <c r="J359" s="2"/>
      <c r="K359" s="2"/>
      <c r="L359" s="2"/>
      <c r="M359" s="2"/>
      <c r="N359" s="2"/>
      <c r="O359" s="62"/>
      <c r="P359" s="76"/>
    </row>
    <row r="360" ht="15.75" customHeight="1">
      <c r="A360" s="2"/>
      <c r="B360" s="74"/>
      <c r="C360" s="74"/>
      <c r="D360" s="74"/>
      <c r="E360" s="2"/>
      <c r="F360" s="2"/>
      <c r="G360" s="2"/>
      <c r="H360" s="74"/>
      <c r="I360" s="2"/>
      <c r="J360" s="2"/>
      <c r="K360" s="2"/>
      <c r="L360" s="2"/>
      <c r="M360" s="2"/>
      <c r="N360" s="2"/>
      <c r="O360" s="62"/>
      <c r="P360" s="76"/>
    </row>
    <row r="361" ht="15.75" customHeight="1">
      <c r="A361" s="2"/>
      <c r="B361" s="74"/>
      <c r="C361" s="74"/>
      <c r="D361" s="74"/>
      <c r="E361" s="2"/>
      <c r="F361" s="2"/>
      <c r="G361" s="2"/>
      <c r="H361" s="74"/>
      <c r="I361" s="2"/>
      <c r="J361" s="2"/>
      <c r="K361" s="2"/>
      <c r="L361" s="2"/>
      <c r="M361" s="2"/>
      <c r="N361" s="2"/>
      <c r="O361" s="62"/>
      <c r="P361" s="76"/>
    </row>
    <row r="362" ht="15.75" customHeight="1">
      <c r="A362" s="2"/>
      <c r="B362" s="74"/>
      <c r="C362" s="74"/>
      <c r="D362" s="74"/>
      <c r="E362" s="2"/>
      <c r="F362" s="2"/>
      <c r="G362" s="2"/>
      <c r="H362" s="74"/>
      <c r="I362" s="2"/>
      <c r="J362" s="2"/>
      <c r="K362" s="2"/>
      <c r="L362" s="2"/>
      <c r="M362" s="2"/>
      <c r="N362" s="2"/>
      <c r="O362" s="62"/>
      <c r="P362" s="76"/>
    </row>
    <row r="363" ht="15.75" customHeight="1">
      <c r="A363" s="2"/>
      <c r="B363" s="74"/>
      <c r="C363" s="74"/>
      <c r="D363" s="74"/>
      <c r="E363" s="2"/>
      <c r="F363" s="2"/>
      <c r="G363" s="2"/>
      <c r="H363" s="74"/>
      <c r="I363" s="2"/>
      <c r="J363" s="2"/>
      <c r="K363" s="2"/>
      <c r="L363" s="2"/>
      <c r="M363" s="2"/>
      <c r="N363" s="2"/>
      <c r="O363" s="62"/>
      <c r="P363" s="76"/>
    </row>
    <row r="364" ht="15.75" customHeight="1">
      <c r="A364" s="2"/>
      <c r="B364" s="74"/>
      <c r="C364" s="74"/>
      <c r="D364" s="74"/>
      <c r="E364" s="2"/>
      <c r="F364" s="2"/>
      <c r="G364" s="2"/>
      <c r="H364" s="74"/>
      <c r="I364" s="2"/>
      <c r="J364" s="2"/>
      <c r="K364" s="2"/>
      <c r="L364" s="2"/>
      <c r="M364" s="2"/>
      <c r="N364" s="2"/>
      <c r="O364" s="62"/>
      <c r="P364" s="76"/>
    </row>
    <row r="365" ht="15.75" customHeight="1">
      <c r="A365" s="2"/>
      <c r="B365" s="74"/>
      <c r="C365" s="74"/>
      <c r="D365" s="74"/>
      <c r="E365" s="2"/>
      <c r="F365" s="2"/>
      <c r="G365" s="2"/>
      <c r="H365" s="74"/>
      <c r="I365" s="2"/>
      <c r="J365" s="2"/>
      <c r="K365" s="2"/>
      <c r="L365" s="2"/>
      <c r="M365" s="2"/>
      <c r="N365" s="2"/>
      <c r="O365" s="62"/>
      <c r="P365" s="76"/>
    </row>
    <row r="366" ht="15.75" customHeight="1">
      <c r="A366" s="2"/>
      <c r="B366" s="74"/>
      <c r="C366" s="74"/>
      <c r="D366" s="74"/>
      <c r="E366" s="2"/>
      <c r="F366" s="2"/>
      <c r="G366" s="2"/>
      <c r="H366" s="74"/>
      <c r="I366" s="2"/>
      <c r="J366" s="2"/>
      <c r="K366" s="2"/>
      <c r="L366" s="2"/>
      <c r="M366" s="2"/>
      <c r="N366" s="2"/>
      <c r="O366" s="62"/>
      <c r="P366" s="76"/>
    </row>
    <row r="367" ht="15.75" customHeight="1">
      <c r="A367" s="2"/>
      <c r="B367" s="74"/>
      <c r="C367" s="74"/>
      <c r="D367" s="74"/>
      <c r="E367" s="2"/>
      <c r="F367" s="2"/>
      <c r="G367" s="2"/>
      <c r="H367" s="74"/>
      <c r="I367" s="2"/>
      <c r="J367" s="2"/>
      <c r="K367" s="2"/>
      <c r="L367" s="2"/>
      <c r="M367" s="2"/>
      <c r="N367" s="2"/>
      <c r="O367" s="62"/>
      <c r="P367" s="76"/>
    </row>
    <row r="368" ht="15.75" customHeight="1">
      <c r="A368" s="2"/>
      <c r="B368" s="74"/>
      <c r="C368" s="74"/>
      <c r="D368" s="74"/>
      <c r="E368" s="2"/>
      <c r="F368" s="2"/>
      <c r="G368" s="2"/>
      <c r="H368" s="74"/>
      <c r="I368" s="2"/>
      <c r="J368" s="2"/>
      <c r="K368" s="2"/>
      <c r="L368" s="2"/>
      <c r="M368" s="2"/>
      <c r="N368" s="2"/>
      <c r="O368" s="62"/>
      <c r="P368" s="76"/>
    </row>
    <row r="369" ht="15.75" customHeight="1">
      <c r="A369" s="2"/>
      <c r="B369" s="74"/>
      <c r="C369" s="74"/>
      <c r="D369" s="74"/>
      <c r="E369" s="2"/>
      <c r="F369" s="2"/>
      <c r="G369" s="2"/>
      <c r="H369" s="74"/>
      <c r="I369" s="2"/>
      <c r="J369" s="2"/>
      <c r="K369" s="2"/>
      <c r="L369" s="2"/>
      <c r="M369" s="2"/>
      <c r="N369" s="2"/>
      <c r="O369" s="62"/>
      <c r="P369" s="76"/>
    </row>
    <row r="370" ht="15.75" customHeight="1">
      <c r="A370" s="2"/>
      <c r="B370" s="74"/>
      <c r="C370" s="74"/>
      <c r="D370" s="74"/>
      <c r="E370" s="2"/>
      <c r="F370" s="2"/>
      <c r="G370" s="2"/>
      <c r="H370" s="74"/>
      <c r="I370" s="2"/>
      <c r="J370" s="2"/>
      <c r="K370" s="2"/>
      <c r="L370" s="2"/>
      <c r="M370" s="2"/>
      <c r="N370" s="2"/>
      <c r="O370" s="62"/>
      <c r="P370" s="76"/>
    </row>
    <row r="371" ht="15.75" customHeight="1">
      <c r="A371" s="2"/>
      <c r="B371" s="74"/>
      <c r="C371" s="74"/>
      <c r="D371" s="74"/>
      <c r="E371" s="2"/>
      <c r="F371" s="2"/>
      <c r="G371" s="2"/>
      <c r="H371" s="74"/>
      <c r="I371" s="2"/>
      <c r="J371" s="2"/>
      <c r="K371" s="2"/>
      <c r="L371" s="2"/>
      <c r="M371" s="2"/>
      <c r="N371" s="2"/>
      <c r="O371" s="62"/>
      <c r="P371" s="76"/>
    </row>
    <row r="372" ht="15.75" customHeight="1">
      <c r="A372" s="2"/>
      <c r="B372" s="74"/>
      <c r="C372" s="74"/>
      <c r="D372" s="74"/>
      <c r="E372" s="2"/>
      <c r="F372" s="2"/>
      <c r="G372" s="2"/>
      <c r="H372" s="74"/>
      <c r="I372" s="2"/>
      <c r="J372" s="2"/>
      <c r="K372" s="2"/>
      <c r="L372" s="2"/>
      <c r="M372" s="2"/>
      <c r="N372" s="2"/>
      <c r="O372" s="62"/>
      <c r="P372" s="76"/>
    </row>
    <row r="373" ht="15.75" customHeight="1">
      <c r="A373" s="2"/>
      <c r="B373" s="74"/>
      <c r="C373" s="74"/>
      <c r="D373" s="74"/>
      <c r="E373" s="2"/>
      <c r="F373" s="2"/>
      <c r="G373" s="2"/>
      <c r="H373" s="74"/>
      <c r="I373" s="2"/>
      <c r="J373" s="2"/>
      <c r="K373" s="2"/>
      <c r="L373" s="2"/>
      <c r="M373" s="2"/>
      <c r="N373" s="2"/>
      <c r="O373" s="62"/>
      <c r="P373" s="76"/>
    </row>
    <row r="374" ht="15.75" customHeight="1">
      <c r="A374" s="2"/>
      <c r="B374" s="74"/>
      <c r="C374" s="74"/>
      <c r="D374" s="74"/>
      <c r="E374" s="2"/>
      <c r="F374" s="2"/>
      <c r="G374" s="2"/>
      <c r="H374" s="74"/>
      <c r="I374" s="2"/>
      <c r="J374" s="2"/>
      <c r="K374" s="2"/>
      <c r="L374" s="2"/>
      <c r="M374" s="2"/>
      <c r="N374" s="2"/>
      <c r="O374" s="62"/>
      <c r="P374" s="76"/>
    </row>
    <row r="375" ht="15.75" customHeight="1">
      <c r="A375" s="2"/>
      <c r="B375" s="74"/>
      <c r="C375" s="74"/>
      <c r="D375" s="74"/>
      <c r="E375" s="2"/>
      <c r="F375" s="2"/>
      <c r="G375" s="2"/>
      <c r="H375" s="74"/>
      <c r="I375" s="2"/>
      <c r="J375" s="2"/>
      <c r="K375" s="2"/>
      <c r="L375" s="2"/>
      <c r="M375" s="2"/>
      <c r="N375" s="2"/>
      <c r="O375" s="62"/>
      <c r="P375" s="76"/>
    </row>
    <row r="376" ht="15.75" customHeight="1">
      <c r="A376" s="2"/>
      <c r="B376" s="74"/>
      <c r="C376" s="74"/>
      <c r="D376" s="74"/>
      <c r="E376" s="2"/>
      <c r="F376" s="2"/>
      <c r="G376" s="2"/>
      <c r="H376" s="74"/>
      <c r="I376" s="2"/>
      <c r="J376" s="2"/>
      <c r="K376" s="2"/>
      <c r="L376" s="2"/>
      <c r="M376" s="2"/>
      <c r="N376" s="2"/>
      <c r="O376" s="62"/>
      <c r="P376" s="76"/>
    </row>
    <row r="377" ht="15.75" customHeight="1">
      <c r="A377" s="2"/>
      <c r="B377" s="74"/>
      <c r="C377" s="74"/>
      <c r="D377" s="74"/>
      <c r="E377" s="2"/>
      <c r="F377" s="2"/>
      <c r="G377" s="2"/>
      <c r="H377" s="74"/>
      <c r="I377" s="2"/>
      <c r="J377" s="2"/>
      <c r="K377" s="2"/>
      <c r="L377" s="2"/>
      <c r="M377" s="2"/>
      <c r="N377" s="2"/>
      <c r="O377" s="62"/>
      <c r="P377" s="76"/>
    </row>
    <row r="378" ht="15.75" customHeight="1">
      <c r="A378" s="2"/>
      <c r="B378" s="74"/>
      <c r="C378" s="74"/>
      <c r="D378" s="74"/>
      <c r="E378" s="2"/>
      <c r="F378" s="2"/>
      <c r="G378" s="2"/>
      <c r="H378" s="74"/>
      <c r="I378" s="2"/>
      <c r="J378" s="2"/>
      <c r="K378" s="2"/>
      <c r="L378" s="2"/>
      <c r="M378" s="2"/>
      <c r="N378" s="2"/>
      <c r="O378" s="62"/>
      <c r="P378" s="76"/>
    </row>
    <row r="379" ht="15.75" customHeight="1">
      <c r="A379" s="2"/>
      <c r="B379" s="74"/>
      <c r="C379" s="74"/>
      <c r="D379" s="74"/>
      <c r="E379" s="2"/>
      <c r="F379" s="2"/>
      <c r="G379" s="2"/>
      <c r="H379" s="74"/>
      <c r="I379" s="2"/>
      <c r="J379" s="2"/>
      <c r="K379" s="2"/>
      <c r="L379" s="2"/>
      <c r="M379" s="2"/>
      <c r="N379" s="2"/>
      <c r="O379" s="62"/>
      <c r="P379" s="76"/>
    </row>
    <row r="380" ht="15.75" customHeight="1">
      <c r="A380" s="2"/>
      <c r="B380" s="74"/>
      <c r="C380" s="74"/>
      <c r="D380" s="74"/>
      <c r="E380" s="2"/>
      <c r="F380" s="2"/>
      <c r="G380" s="2"/>
      <c r="H380" s="74"/>
      <c r="I380" s="2"/>
      <c r="J380" s="2"/>
      <c r="K380" s="2"/>
      <c r="L380" s="2"/>
      <c r="M380" s="2"/>
      <c r="N380" s="2"/>
      <c r="O380" s="62"/>
      <c r="P380" s="76"/>
    </row>
    <row r="381" ht="15.75" customHeight="1">
      <c r="A381" s="2"/>
      <c r="B381" s="74"/>
      <c r="C381" s="74"/>
      <c r="D381" s="74"/>
      <c r="E381" s="2"/>
      <c r="F381" s="2"/>
      <c r="G381" s="2"/>
      <c r="H381" s="74"/>
      <c r="I381" s="2"/>
      <c r="J381" s="2"/>
      <c r="K381" s="2"/>
      <c r="L381" s="2"/>
      <c r="M381" s="2"/>
      <c r="N381" s="2"/>
      <c r="O381" s="62"/>
      <c r="P381" s="76"/>
    </row>
    <row r="382" ht="15.75" customHeight="1">
      <c r="A382" s="2"/>
      <c r="B382" s="74"/>
      <c r="C382" s="74"/>
      <c r="D382" s="74"/>
      <c r="E382" s="2"/>
      <c r="F382" s="2"/>
      <c r="G382" s="2"/>
      <c r="H382" s="74"/>
      <c r="I382" s="2"/>
      <c r="J382" s="2"/>
      <c r="K382" s="2"/>
      <c r="L382" s="2"/>
      <c r="M382" s="2"/>
      <c r="N382" s="2"/>
      <c r="O382" s="62"/>
      <c r="P382" s="76"/>
    </row>
    <row r="383" ht="15.75" customHeight="1">
      <c r="A383" s="2"/>
      <c r="B383" s="74"/>
      <c r="C383" s="74"/>
      <c r="D383" s="74"/>
      <c r="E383" s="2"/>
      <c r="F383" s="2"/>
      <c r="G383" s="2"/>
      <c r="H383" s="74"/>
      <c r="I383" s="2"/>
      <c r="J383" s="2"/>
      <c r="K383" s="2"/>
      <c r="L383" s="2"/>
      <c r="M383" s="2"/>
      <c r="N383" s="2"/>
      <c r="O383" s="62"/>
      <c r="P383" s="76"/>
    </row>
    <row r="384" ht="15.75" customHeight="1">
      <c r="A384" s="2"/>
      <c r="B384" s="74"/>
      <c r="C384" s="74"/>
      <c r="D384" s="74"/>
      <c r="E384" s="2"/>
      <c r="F384" s="2"/>
      <c r="G384" s="2"/>
      <c r="H384" s="74"/>
      <c r="I384" s="2"/>
      <c r="J384" s="2"/>
      <c r="K384" s="2"/>
      <c r="L384" s="2"/>
      <c r="M384" s="2"/>
      <c r="N384" s="2"/>
      <c r="O384" s="62"/>
      <c r="P384" s="76"/>
    </row>
    <row r="385" ht="15.75" customHeight="1">
      <c r="A385" s="2"/>
      <c r="B385" s="74"/>
      <c r="C385" s="74"/>
      <c r="D385" s="74"/>
      <c r="E385" s="2"/>
      <c r="F385" s="2"/>
      <c r="G385" s="2"/>
      <c r="H385" s="74"/>
      <c r="I385" s="2"/>
      <c r="J385" s="2"/>
      <c r="K385" s="2"/>
      <c r="L385" s="2"/>
      <c r="M385" s="2"/>
      <c r="N385" s="2"/>
      <c r="O385" s="62"/>
      <c r="P385" s="76"/>
    </row>
    <row r="386" ht="15.75" customHeight="1">
      <c r="A386" s="2"/>
      <c r="B386" s="74"/>
      <c r="C386" s="74"/>
      <c r="D386" s="74"/>
      <c r="E386" s="2"/>
      <c r="F386" s="2"/>
      <c r="G386" s="2"/>
      <c r="H386" s="74"/>
      <c r="I386" s="2"/>
      <c r="J386" s="2"/>
      <c r="K386" s="2"/>
      <c r="L386" s="2"/>
      <c r="M386" s="2"/>
      <c r="N386" s="2"/>
      <c r="O386" s="62"/>
      <c r="P386" s="76"/>
    </row>
    <row r="387" ht="15.75" customHeight="1">
      <c r="A387" s="2"/>
      <c r="B387" s="74"/>
      <c r="C387" s="74"/>
      <c r="D387" s="74"/>
      <c r="E387" s="2"/>
      <c r="F387" s="2"/>
      <c r="G387" s="2"/>
      <c r="H387" s="74"/>
      <c r="I387" s="2"/>
      <c r="J387" s="2"/>
      <c r="K387" s="2"/>
      <c r="L387" s="2"/>
      <c r="M387" s="2"/>
      <c r="N387" s="2"/>
      <c r="O387" s="62"/>
      <c r="P387" s="76"/>
    </row>
    <row r="388" ht="15.75" customHeight="1">
      <c r="A388" s="2"/>
      <c r="B388" s="74"/>
      <c r="C388" s="74"/>
      <c r="D388" s="74"/>
      <c r="E388" s="2"/>
      <c r="F388" s="2"/>
      <c r="G388" s="2"/>
      <c r="H388" s="74"/>
      <c r="I388" s="2"/>
      <c r="J388" s="2"/>
      <c r="K388" s="2"/>
      <c r="L388" s="2"/>
      <c r="M388" s="2"/>
      <c r="N388" s="2"/>
      <c r="O388" s="62"/>
      <c r="P388" s="76"/>
    </row>
    <row r="389" ht="15.75" customHeight="1">
      <c r="A389" s="2"/>
      <c r="B389" s="74"/>
      <c r="C389" s="74"/>
      <c r="D389" s="74"/>
      <c r="E389" s="2"/>
      <c r="F389" s="2"/>
      <c r="G389" s="2"/>
      <c r="H389" s="74"/>
      <c r="I389" s="2"/>
      <c r="J389" s="2"/>
      <c r="K389" s="2"/>
      <c r="L389" s="2"/>
      <c r="M389" s="2"/>
      <c r="N389" s="2"/>
      <c r="O389" s="62"/>
      <c r="P389" s="76"/>
    </row>
    <row r="390" ht="15.75" customHeight="1">
      <c r="A390" s="2"/>
      <c r="B390" s="74"/>
      <c r="C390" s="74"/>
      <c r="D390" s="74"/>
      <c r="E390" s="2"/>
      <c r="F390" s="2"/>
      <c r="G390" s="2"/>
      <c r="H390" s="74"/>
      <c r="I390" s="2"/>
      <c r="J390" s="2"/>
      <c r="K390" s="2"/>
      <c r="L390" s="2"/>
      <c r="M390" s="2"/>
      <c r="N390" s="2"/>
      <c r="O390" s="62"/>
      <c r="P390" s="76"/>
    </row>
    <row r="391" ht="15.75" customHeight="1">
      <c r="A391" s="2"/>
      <c r="B391" s="74"/>
      <c r="C391" s="74"/>
      <c r="D391" s="74"/>
      <c r="E391" s="2"/>
      <c r="F391" s="2"/>
      <c r="G391" s="2"/>
      <c r="H391" s="74"/>
      <c r="I391" s="2"/>
      <c r="J391" s="2"/>
      <c r="K391" s="2"/>
      <c r="L391" s="2"/>
      <c r="M391" s="2"/>
      <c r="N391" s="2"/>
      <c r="O391" s="62"/>
      <c r="P391" s="76"/>
    </row>
    <row r="392" ht="15.75" customHeight="1">
      <c r="A392" s="2"/>
      <c r="B392" s="74"/>
      <c r="C392" s="74"/>
      <c r="D392" s="74"/>
      <c r="E392" s="2"/>
      <c r="F392" s="2"/>
      <c r="G392" s="2"/>
      <c r="H392" s="74"/>
      <c r="I392" s="2"/>
      <c r="J392" s="2"/>
      <c r="K392" s="2"/>
      <c r="L392" s="2"/>
      <c r="M392" s="2"/>
      <c r="N392" s="2"/>
      <c r="O392" s="62"/>
      <c r="P392" s="76"/>
    </row>
    <row r="393" ht="15.75" customHeight="1">
      <c r="A393" s="2"/>
      <c r="B393" s="74"/>
      <c r="C393" s="74"/>
      <c r="D393" s="74"/>
      <c r="E393" s="2"/>
      <c r="F393" s="2"/>
      <c r="G393" s="2"/>
      <c r="H393" s="74"/>
      <c r="I393" s="2"/>
      <c r="J393" s="2"/>
      <c r="K393" s="2"/>
      <c r="L393" s="2"/>
      <c r="M393" s="2"/>
      <c r="N393" s="2"/>
      <c r="O393" s="62"/>
      <c r="P393" s="76"/>
    </row>
    <row r="394" ht="15.75" customHeight="1">
      <c r="A394" s="2"/>
      <c r="B394" s="74"/>
      <c r="C394" s="74"/>
      <c r="D394" s="74"/>
      <c r="E394" s="2"/>
      <c r="F394" s="2"/>
      <c r="G394" s="2"/>
      <c r="H394" s="74"/>
      <c r="I394" s="2"/>
      <c r="J394" s="2"/>
      <c r="K394" s="2"/>
      <c r="L394" s="2"/>
      <c r="M394" s="2"/>
      <c r="N394" s="2"/>
      <c r="O394" s="62"/>
      <c r="P394" s="76"/>
    </row>
    <row r="395" ht="15.75" customHeight="1">
      <c r="A395" s="2"/>
      <c r="B395" s="74"/>
      <c r="C395" s="74"/>
      <c r="D395" s="74"/>
      <c r="E395" s="2"/>
      <c r="F395" s="2"/>
      <c r="G395" s="2"/>
      <c r="H395" s="74"/>
      <c r="I395" s="2"/>
      <c r="J395" s="2"/>
      <c r="K395" s="2"/>
      <c r="L395" s="2"/>
      <c r="M395" s="2"/>
      <c r="N395" s="2"/>
      <c r="O395" s="62"/>
      <c r="P395" s="76"/>
    </row>
    <row r="396" ht="15.75" customHeight="1">
      <c r="A396" s="2"/>
      <c r="B396" s="74"/>
      <c r="C396" s="74"/>
      <c r="D396" s="74"/>
      <c r="E396" s="2"/>
      <c r="F396" s="2"/>
      <c r="G396" s="2"/>
      <c r="H396" s="74"/>
      <c r="I396" s="2"/>
      <c r="J396" s="2"/>
      <c r="K396" s="2"/>
      <c r="L396" s="2"/>
      <c r="M396" s="2"/>
      <c r="N396" s="2"/>
      <c r="O396" s="62"/>
      <c r="P396" s="76"/>
    </row>
    <row r="397" ht="15.75" customHeight="1">
      <c r="A397" s="2"/>
      <c r="B397" s="74"/>
      <c r="C397" s="74"/>
      <c r="D397" s="74"/>
      <c r="E397" s="2"/>
      <c r="F397" s="2"/>
      <c r="G397" s="2"/>
      <c r="H397" s="74"/>
      <c r="I397" s="2"/>
      <c r="J397" s="2"/>
      <c r="K397" s="2"/>
      <c r="L397" s="2"/>
      <c r="M397" s="2"/>
      <c r="N397" s="2"/>
      <c r="O397" s="62"/>
      <c r="P397" s="76"/>
    </row>
    <row r="398" ht="15.75" customHeight="1">
      <c r="A398" s="2"/>
      <c r="B398" s="74"/>
      <c r="C398" s="74"/>
      <c r="D398" s="74"/>
      <c r="E398" s="2"/>
      <c r="F398" s="2"/>
      <c r="G398" s="2"/>
      <c r="H398" s="74"/>
      <c r="I398" s="2"/>
      <c r="J398" s="2"/>
      <c r="K398" s="2"/>
      <c r="L398" s="2"/>
      <c r="M398" s="2"/>
      <c r="N398" s="2"/>
      <c r="O398" s="62"/>
      <c r="P398" s="76"/>
    </row>
    <row r="399" ht="15.75" customHeight="1">
      <c r="A399" s="2"/>
      <c r="B399" s="74"/>
      <c r="C399" s="74"/>
      <c r="D399" s="74"/>
      <c r="E399" s="2"/>
      <c r="F399" s="2"/>
      <c r="G399" s="2"/>
      <c r="H399" s="74"/>
      <c r="I399" s="2"/>
      <c r="J399" s="2"/>
      <c r="K399" s="2"/>
      <c r="L399" s="2"/>
      <c r="M399" s="2"/>
      <c r="N399" s="2"/>
      <c r="O399" s="62"/>
      <c r="P399" s="76"/>
    </row>
    <row r="400" ht="15.75" customHeight="1">
      <c r="A400" s="2"/>
      <c r="B400" s="74"/>
      <c r="C400" s="74"/>
      <c r="D400" s="74"/>
      <c r="E400" s="2"/>
      <c r="F400" s="2"/>
      <c r="G400" s="2"/>
      <c r="H400" s="74"/>
      <c r="I400" s="2"/>
      <c r="J400" s="2"/>
      <c r="K400" s="2"/>
      <c r="L400" s="2"/>
      <c r="M400" s="2"/>
      <c r="N400" s="2"/>
      <c r="O400" s="62"/>
      <c r="P400" s="76"/>
    </row>
    <row r="401" ht="15.75" customHeight="1">
      <c r="A401" s="2"/>
      <c r="B401" s="74"/>
      <c r="C401" s="74"/>
      <c r="D401" s="74"/>
      <c r="E401" s="2"/>
      <c r="F401" s="2"/>
      <c r="G401" s="2"/>
      <c r="H401" s="74"/>
      <c r="I401" s="2"/>
      <c r="J401" s="2"/>
      <c r="K401" s="2"/>
      <c r="L401" s="2"/>
      <c r="M401" s="2"/>
      <c r="N401" s="2"/>
      <c r="O401" s="62"/>
      <c r="P401" s="76"/>
    </row>
    <row r="402" ht="15.75" customHeight="1">
      <c r="A402" s="2"/>
      <c r="B402" s="74"/>
      <c r="C402" s="74"/>
      <c r="D402" s="74"/>
      <c r="E402" s="2"/>
      <c r="F402" s="2"/>
      <c r="G402" s="2"/>
      <c r="H402" s="74"/>
      <c r="I402" s="2"/>
      <c r="J402" s="2"/>
      <c r="K402" s="2"/>
      <c r="L402" s="2"/>
      <c r="M402" s="2"/>
      <c r="N402" s="2"/>
      <c r="O402" s="62"/>
      <c r="P402" s="76"/>
    </row>
    <row r="403" ht="15.75" customHeight="1">
      <c r="A403" s="2"/>
      <c r="B403" s="74"/>
      <c r="C403" s="74"/>
      <c r="D403" s="74"/>
      <c r="E403" s="2"/>
      <c r="F403" s="2"/>
      <c r="G403" s="2"/>
      <c r="H403" s="74"/>
      <c r="I403" s="2"/>
      <c r="J403" s="2"/>
      <c r="K403" s="2"/>
      <c r="L403" s="2"/>
      <c r="M403" s="2"/>
      <c r="N403" s="2"/>
      <c r="O403" s="62"/>
      <c r="P403" s="76"/>
    </row>
    <row r="404" ht="15.75" customHeight="1">
      <c r="A404" s="2"/>
      <c r="B404" s="74"/>
      <c r="C404" s="74"/>
      <c r="D404" s="74"/>
      <c r="E404" s="2"/>
      <c r="F404" s="2"/>
      <c r="G404" s="2"/>
      <c r="H404" s="74"/>
      <c r="I404" s="2"/>
      <c r="J404" s="2"/>
      <c r="K404" s="2"/>
      <c r="L404" s="2"/>
      <c r="M404" s="2"/>
      <c r="N404" s="2"/>
      <c r="O404" s="62"/>
      <c r="P404" s="76"/>
    </row>
    <row r="405" ht="15.75" customHeight="1">
      <c r="A405" s="2"/>
      <c r="B405" s="74"/>
      <c r="C405" s="74"/>
      <c r="D405" s="74"/>
      <c r="E405" s="2"/>
      <c r="F405" s="2"/>
      <c r="G405" s="2"/>
      <c r="H405" s="74"/>
      <c r="I405" s="2"/>
      <c r="J405" s="2"/>
      <c r="K405" s="2"/>
      <c r="L405" s="2"/>
      <c r="M405" s="2"/>
      <c r="N405" s="2"/>
      <c r="O405" s="62"/>
      <c r="P405" s="76"/>
    </row>
    <row r="406" ht="15.75" customHeight="1">
      <c r="A406" s="2"/>
      <c r="B406" s="74"/>
      <c r="C406" s="74"/>
      <c r="D406" s="74"/>
      <c r="E406" s="2"/>
      <c r="F406" s="2"/>
      <c r="G406" s="2"/>
      <c r="H406" s="74"/>
      <c r="I406" s="2"/>
      <c r="J406" s="2"/>
      <c r="K406" s="2"/>
      <c r="L406" s="2"/>
      <c r="M406" s="2"/>
      <c r="N406" s="2"/>
      <c r="O406" s="62"/>
      <c r="P406" s="76"/>
    </row>
    <row r="407" ht="15.75" customHeight="1">
      <c r="A407" s="2"/>
      <c r="B407" s="74"/>
      <c r="C407" s="74"/>
      <c r="D407" s="74"/>
      <c r="E407" s="2"/>
      <c r="F407" s="2"/>
      <c r="G407" s="2"/>
      <c r="H407" s="74"/>
      <c r="I407" s="2"/>
      <c r="J407" s="2"/>
      <c r="K407" s="2"/>
      <c r="L407" s="2"/>
      <c r="M407" s="2"/>
      <c r="N407" s="2"/>
      <c r="O407" s="62"/>
      <c r="P407" s="76"/>
    </row>
    <row r="408" ht="15.75" customHeight="1">
      <c r="A408" s="2"/>
      <c r="B408" s="74"/>
      <c r="C408" s="74"/>
      <c r="D408" s="74"/>
      <c r="E408" s="2"/>
      <c r="F408" s="2"/>
      <c r="G408" s="2"/>
      <c r="H408" s="74"/>
      <c r="I408" s="2"/>
      <c r="J408" s="2"/>
      <c r="K408" s="2"/>
      <c r="L408" s="2"/>
      <c r="M408" s="2"/>
      <c r="N408" s="2"/>
      <c r="O408" s="62"/>
      <c r="P408" s="76"/>
    </row>
    <row r="409" ht="15.75" customHeight="1">
      <c r="A409" s="2"/>
      <c r="B409" s="74"/>
      <c r="C409" s="74"/>
      <c r="D409" s="74"/>
      <c r="E409" s="2"/>
      <c r="F409" s="2"/>
      <c r="G409" s="2"/>
      <c r="H409" s="74"/>
      <c r="I409" s="2"/>
      <c r="J409" s="2"/>
      <c r="K409" s="2"/>
      <c r="L409" s="2"/>
      <c r="M409" s="2"/>
      <c r="N409" s="2"/>
      <c r="O409" s="62"/>
      <c r="P409" s="76"/>
    </row>
    <row r="410" ht="15.75" customHeight="1">
      <c r="A410" s="2"/>
      <c r="B410" s="74"/>
      <c r="C410" s="74"/>
      <c r="D410" s="74"/>
      <c r="E410" s="2"/>
      <c r="F410" s="2"/>
      <c r="G410" s="2"/>
      <c r="H410" s="74"/>
      <c r="I410" s="2"/>
      <c r="J410" s="2"/>
      <c r="K410" s="2"/>
      <c r="L410" s="2"/>
      <c r="M410" s="2"/>
      <c r="N410" s="2"/>
      <c r="O410" s="62"/>
      <c r="P410" s="76"/>
    </row>
    <row r="411" ht="15.75" customHeight="1">
      <c r="A411" s="2"/>
      <c r="B411" s="74"/>
      <c r="C411" s="74"/>
      <c r="D411" s="74"/>
      <c r="E411" s="2"/>
      <c r="F411" s="2"/>
      <c r="G411" s="2"/>
      <c r="H411" s="74"/>
      <c r="I411" s="2"/>
      <c r="J411" s="2"/>
      <c r="K411" s="2"/>
      <c r="L411" s="2"/>
      <c r="M411" s="2"/>
      <c r="N411" s="2"/>
      <c r="O411" s="62"/>
      <c r="P411" s="76"/>
    </row>
    <row r="412" ht="15.75" customHeight="1">
      <c r="A412" s="2"/>
      <c r="B412" s="74"/>
      <c r="C412" s="74"/>
      <c r="D412" s="74"/>
      <c r="E412" s="2"/>
      <c r="F412" s="2"/>
      <c r="G412" s="2"/>
      <c r="H412" s="74"/>
      <c r="I412" s="2"/>
      <c r="J412" s="2"/>
      <c r="K412" s="2"/>
      <c r="L412" s="2"/>
      <c r="M412" s="2"/>
      <c r="N412" s="2"/>
      <c r="O412" s="62"/>
      <c r="P412" s="76"/>
    </row>
    <row r="413" ht="15.75" customHeight="1">
      <c r="A413" s="2"/>
      <c r="B413" s="74"/>
      <c r="C413" s="74"/>
      <c r="D413" s="74"/>
      <c r="E413" s="2"/>
      <c r="F413" s="2"/>
      <c r="G413" s="2"/>
      <c r="H413" s="74"/>
      <c r="I413" s="2"/>
      <c r="J413" s="2"/>
      <c r="K413" s="2"/>
      <c r="L413" s="2"/>
      <c r="M413" s="2"/>
      <c r="N413" s="2"/>
      <c r="O413" s="62"/>
      <c r="P413" s="76"/>
    </row>
    <row r="414" ht="15.75" customHeight="1">
      <c r="A414" s="2"/>
      <c r="B414" s="74"/>
      <c r="C414" s="74"/>
      <c r="D414" s="74"/>
      <c r="E414" s="2"/>
      <c r="F414" s="2"/>
      <c r="G414" s="2"/>
      <c r="H414" s="74"/>
      <c r="I414" s="2"/>
      <c r="J414" s="2"/>
      <c r="K414" s="2"/>
      <c r="L414" s="2"/>
      <c r="M414" s="2"/>
      <c r="N414" s="2"/>
      <c r="O414" s="62"/>
      <c r="P414" s="76"/>
    </row>
    <row r="415" ht="15.75" customHeight="1">
      <c r="A415" s="2"/>
      <c r="B415" s="74"/>
      <c r="C415" s="74"/>
      <c r="D415" s="74"/>
      <c r="E415" s="2"/>
      <c r="F415" s="2"/>
      <c r="G415" s="2"/>
      <c r="H415" s="74"/>
      <c r="I415" s="2"/>
      <c r="J415" s="2"/>
      <c r="K415" s="2"/>
      <c r="L415" s="2"/>
      <c r="M415" s="2"/>
      <c r="N415" s="2"/>
      <c r="O415" s="62"/>
      <c r="P415" s="76"/>
    </row>
    <row r="416" ht="15.75" customHeight="1">
      <c r="A416" s="2"/>
      <c r="B416" s="74"/>
      <c r="C416" s="74"/>
      <c r="D416" s="74"/>
      <c r="E416" s="2"/>
      <c r="F416" s="2"/>
      <c r="G416" s="2"/>
      <c r="H416" s="74"/>
      <c r="I416" s="2"/>
      <c r="J416" s="2"/>
      <c r="K416" s="2"/>
      <c r="L416" s="2"/>
      <c r="M416" s="2"/>
      <c r="N416" s="2"/>
      <c r="O416" s="62"/>
      <c r="P416" s="76"/>
    </row>
    <row r="417" ht="15.75" customHeight="1">
      <c r="A417" s="2"/>
      <c r="B417" s="74"/>
      <c r="C417" s="74"/>
      <c r="D417" s="74"/>
      <c r="E417" s="2"/>
      <c r="F417" s="2"/>
      <c r="G417" s="2"/>
      <c r="H417" s="74"/>
      <c r="I417" s="2"/>
      <c r="J417" s="2"/>
      <c r="K417" s="2"/>
      <c r="L417" s="2"/>
      <c r="M417" s="2"/>
      <c r="N417" s="2"/>
      <c r="O417" s="62"/>
      <c r="P417" s="76"/>
    </row>
    <row r="418" ht="15.75" customHeight="1">
      <c r="A418" s="2"/>
      <c r="B418" s="74"/>
      <c r="C418" s="74"/>
      <c r="D418" s="74"/>
      <c r="E418" s="2"/>
      <c r="F418" s="2"/>
      <c r="G418" s="2"/>
      <c r="H418" s="74"/>
      <c r="I418" s="2"/>
      <c r="J418" s="2"/>
      <c r="K418" s="2"/>
      <c r="L418" s="2"/>
      <c r="M418" s="2"/>
      <c r="N418" s="2"/>
      <c r="O418" s="62"/>
      <c r="P418" s="76"/>
    </row>
    <row r="419" ht="15.75" customHeight="1">
      <c r="A419" s="2"/>
      <c r="B419" s="74"/>
      <c r="C419" s="74"/>
      <c r="D419" s="74"/>
      <c r="E419" s="2"/>
      <c r="F419" s="2"/>
      <c r="G419" s="2"/>
      <c r="H419" s="74"/>
      <c r="I419" s="2"/>
      <c r="J419" s="2"/>
      <c r="K419" s="2"/>
      <c r="L419" s="2"/>
      <c r="M419" s="2"/>
      <c r="N419" s="2"/>
      <c r="O419" s="62"/>
      <c r="P419" s="76"/>
    </row>
    <row r="420" ht="15.75" customHeight="1">
      <c r="A420" s="2"/>
      <c r="B420" s="74"/>
      <c r="C420" s="74"/>
      <c r="D420" s="74"/>
      <c r="E420" s="2"/>
      <c r="F420" s="2"/>
      <c r="G420" s="2"/>
      <c r="H420" s="74"/>
      <c r="I420" s="2"/>
      <c r="J420" s="2"/>
      <c r="K420" s="2"/>
      <c r="L420" s="2"/>
      <c r="M420" s="2"/>
      <c r="N420" s="2"/>
      <c r="O420" s="62"/>
      <c r="P420" s="76"/>
    </row>
    <row r="421" ht="15.75" customHeight="1">
      <c r="A421" s="2"/>
      <c r="B421" s="74"/>
      <c r="C421" s="74"/>
      <c r="D421" s="74"/>
      <c r="E421" s="2"/>
      <c r="F421" s="2"/>
      <c r="G421" s="2"/>
      <c r="H421" s="74"/>
      <c r="I421" s="2"/>
      <c r="J421" s="2"/>
      <c r="K421" s="2"/>
      <c r="L421" s="2"/>
      <c r="M421" s="2"/>
      <c r="N421" s="2"/>
      <c r="O421" s="62"/>
      <c r="P421" s="76"/>
    </row>
    <row r="422" ht="15.75" customHeight="1">
      <c r="A422" s="2"/>
      <c r="B422" s="74"/>
      <c r="C422" s="74"/>
      <c r="D422" s="74"/>
      <c r="E422" s="2"/>
      <c r="F422" s="2"/>
      <c r="G422" s="2"/>
      <c r="H422" s="74"/>
      <c r="I422" s="2"/>
      <c r="J422" s="2"/>
      <c r="K422" s="2"/>
      <c r="L422" s="2"/>
      <c r="M422" s="2"/>
      <c r="N422" s="2"/>
      <c r="O422" s="62"/>
      <c r="P422" s="76"/>
    </row>
    <row r="423" ht="15.75" customHeight="1">
      <c r="A423" s="2"/>
      <c r="B423" s="74"/>
      <c r="C423" s="74"/>
      <c r="D423" s="74"/>
      <c r="E423" s="2"/>
      <c r="F423" s="2"/>
      <c r="G423" s="2"/>
      <c r="H423" s="74"/>
      <c r="I423" s="2"/>
      <c r="J423" s="2"/>
      <c r="K423" s="2"/>
      <c r="L423" s="2"/>
      <c r="M423" s="2"/>
      <c r="N423" s="2"/>
      <c r="O423" s="62"/>
      <c r="P423" s="76"/>
    </row>
    <row r="424" ht="15.75" customHeight="1">
      <c r="A424" s="2"/>
      <c r="B424" s="74"/>
      <c r="C424" s="74"/>
      <c r="D424" s="74"/>
      <c r="E424" s="2"/>
      <c r="F424" s="2"/>
      <c r="G424" s="2"/>
      <c r="H424" s="74"/>
      <c r="I424" s="2"/>
      <c r="J424" s="2"/>
      <c r="K424" s="2"/>
      <c r="L424" s="2"/>
      <c r="M424" s="2"/>
      <c r="N424" s="2"/>
      <c r="O424" s="62"/>
      <c r="P424" s="76"/>
    </row>
    <row r="425" ht="15.75" customHeight="1">
      <c r="A425" s="2"/>
      <c r="B425" s="74"/>
      <c r="C425" s="74"/>
      <c r="D425" s="74"/>
      <c r="E425" s="2"/>
      <c r="F425" s="2"/>
      <c r="G425" s="2"/>
      <c r="H425" s="74"/>
      <c r="I425" s="2"/>
      <c r="J425" s="2"/>
      <c r="K425" s="2"/>
      <c r="L425" s="2"/>
      <c r="M425" s="2"/>
      <c r="N425" s="2"/>
      <c r="O425" s="62"/>
      <c r="P425" s="76"/>
    </row>
    <row r="426" ht="15.75" customHeight="1">
      <c r="A426" s="2"/>
      <c r="B426" s="74"/>
      <c r="C426" s="74"/>
      <c r="D426" s="74"/>
      <c r="E426" s="2"/>
      <c r="F426" s="2"/>
      <c r="G426" s="2"/>
      <c r="H426" s="74"/>
      <c r="I426" s="2"/>
      <c r="J426" s="2"/>
      <c r="K426" s="2"/>
      <c r="L426" s="2"/>
      <c r="M426" s="2"/>
      <c r="N426" s="2"/>
      <c r="O426" s="62"/>
      <c r="P426" s="76"/>
    </row>
    <row r="427" ht="15.75" customHeight="1">
      <c r="A427" s="2"/>
      <c r="B427" s="74"/>
      <c r="C427" s="74"/>
      <c r="D427" s="74"/>
      <c r="E427" s="2"/>
      <c r="F427" s="2"/>
      <c r="G427" s="2"/>
      <c r="H427" s="74"/>
      <c r="I427" s="2"/>
      <c r="J427" s="2"/>
      <c r="K427" s="2"/>
      <c r="L427" s="2"/>
      <c r="M427" s="2"/>
      <c r="N427" s="2"/>
      <c r="O427" s="62"/>
      <c r="P427" s="76"/>
    </row>
    <row r="428" ht="15.75" customHeight="1">
      <c r="A428" s="2"/>
      <c r="B428" s="74"/>
      <c r="C428" s="74"/>
      <c r="D428" s="74"/>
      <c r="E428" s="2"/>
      <c r="F428" s="2"/>
      <c r="G428" s="2"/>
      <c r="H428" s="74"/>
      <c r="I428" s="2"/>
      <c r="J428" s="2"/>
      <c r="K428" s="2"/>
      <c r="L428" s="2"/>
      <c r="M428" s="2"/>
      <c r="N428" s="2"/>
      <c r="O428" s="62"/>
      <c r="P428" s="76"/>
    </row>
    <row r="429" ht="15.75" customHeight="1">
      <c r="A429" s="2"/>
      <c r="B429" s="74"/>
      <c r="C429" s="74"/>
      <c r="D429" s="74"/>
      <c r="E429" s="2"/>
      <c r="F429" s="2"/>
      <c r="G429" s="2"/>
      <c r="H429" s="74"/>
      <c r="I429" s="2"/>
      <c r="J429" s="2"/>
      <c r="K429" s="2"/>
      <c r="L429" s="2"/>
      <c r="M429" s="2"/>
      <c r="N429" s="2"/>
      <c r="O429" s="62"/>
      <c r="P429" s="76"/>
    </row>
    <row r="430" ht="15.75" customHeight="1">
      <c r="A430" s="2"/>
      <c r="B430" s="74"/>
      <c r="C430" s="74"/>
      <c r="D430" s="74"/>
      <c r="E430" s="2"/>
      <c r="F430" s="2"/>
      <c r="G430" s="2"/>
      <c r="H430" s="74"/>
      <c r="I430" s="2"/>
      <c r="J430" s="2"/>
      <c r="K430" s="2"/>
      <c r="L430" s="2"/>
      <c r="M430" s="2"/>
      <c r="N430" s="2"/>
      <c r="O430" s="62"/>
      <c r="P430" s="76"/>
    </row>
    <row r="431" ht="15.75" customHeight="1">
      <c r="A431" s="2"/>
      <c r="B431" s="74"/>
      <c r="C431" s="74"/>
      <c r="D431" s="74"/>
      <c r="E431" s="2"/>
      <c r="F431" s="2"/>
      <c r="G431" s="2"/>
      <c r="H431" s="74"/>
      <c r="I431" s="2"/>
      <c r="J431" s="2"/>
      <c r="K431" s="2"/>
      <c r="L431" s="2"/>
      <c r="M431" s="2"/>
      <c r="N431" s="2"/>
      <c r="O431" s="62"/>
      <c r="P431" s="76"/>
    </row>
    <row r="432" ht="15.75" customHeight="1">
      <c r="A432" s="2"/>
      <c r="B432" s="74"/>
      <c r="C432" s="74"/>
      <c r="D432" s="74"/>
      <c r="E432" s="2"/>
      <c r="F432" s="2"/>
      <c r="G432" s="2"/>
      <c r="H432" s="74"/>
      <c r="I432" s="2"/>
      <c r="J432" s="2"/>
      <c r="K432" s="2"/>
      <c r="L432" s="2"/>
      <c r="M432" s="2"/>
      <c r="N432" s="2"/>
      <c r="O432" s="62"/>
      <c r="P432" s="76"/>
    </row>
    <row r="433" ht="15.75" customHeight="1">
      <c r="A433" s="2"/>
      <c r="B433" s="74"/>
      <c r="C433" s="74"/>
      <c r="D433" s="74"/>
      <c r="E433" s="2"/>
      <c r="F433" s="2"/>
      <c r="G433" s="2"/>
      <c r="H433" s="74"/>
      <c r="I433" s="2"/>
      <c r="J433" s="2"/>
      <c r="K433" s="2"/>
      <c r="L433" s="2"/>
      <c r="M433" s="2"/>
      <c r="N433" s="2"/>
      <c r="O433" s="62"/>
      <c r="P433" s="76"/>
    </row>
    <row r="434" ht="15.75" customHeight="1">
      <c r="A434" s="2"/>
      <c r="B434" s="74"/>
      <c r="C434" s="74"/>
      <c r="D434" s="74"/>
      <c r="E434" s="2"/>
      <c r="F434" s="2"/>
      <c r="G434" s="2"/>
      <c r="H434" s="74"/>
      <c r="I434" s="2"/>
      <c r="J434" s="2"/>
      <c r="K434" s="2"/>
      <c r="L434" s="2"/>
      <c r="M434" s="2"/>
      <c r="N434" s="2"/>
      <c r="O434" s="62"/>
      <c r="P434" s="76"/>
    </row>
    <row r="435" ht="15.75" customHeight="1">
      <c r="A435" s="2"/>
      <c r="B435" s="74"/>
      <c r="C435" s="74"/>
      <c r="D435" s="74"/>
      <c r="E435" s="2"/>
      <c r="F435" s="2"/>
      <c r="G435" s="2"/>
      <c r="H435" s="74"/>
      <c r="I435" s="2"/>
      <c r="J435" s="2"/>
      <c r="K435" s="2"/>
      <c r="L435" s="2"/>
      <c r="M435" s="2"/>
      <c r="N435" s="2"/>
      <c r="O435" s="62"/>
      <c r="P435" s="76"/>
    </row>
    <row r="436" ht="15.75" customHeight="1">
      <c r="A436" s="2"/>
      <c r="B436" s="74"/>
      <c r="C436" s="74"/>
      <c r="D436" s="74"/>
      <c r="E436" s="2"/>
      <c r="F436" s="2"/>
      <c r="G436" s="2"/>
      <c r="H436" s="74"/>
      <c r="I436" s="2"/>
      <c r="J436" s="2"/>
      <c r="K436" s="2"/>
      <c r="L436" s="2"/>
      <c r="M436" s="2"/>
      <c r="N436" s="2"/>
      <c r="O436" s="62"/>
      <c r="P436" s="76"/>
    </row>
    <row r="437" ht="15.75" customHeight="1">
      <c r="A437" s="2"/>
      <c r="B437" s="74"/>
      <c r="C437" s="74"/>
      <c r="D437" s="74"/>
      <c r="E437" s="2"/>
      <c r="F437" s="2"/>
      <c r="G437" s="2"/>
      <c r="H437" s="74"/>
      <c r="I437" s="2"/>
      <c r="J437" s="2"/>
      <c r="K437" s="2"/>
      <c r="L437" s="2"/>
      <c r="M437" s="2"/>
      <c r="N437" s="2"/>
      <c r="O437" s="62"/>
      <c r="P437" s="76"/>
    </row>
    <row r="438" ht="15.75" customHeight="1">
      <c r="A438" s="2"/>
      <c r="B438" s="74"/>
      <c r="C438" s="74"/>
      <c r="D438" s="74"/>
      <c r="E438" s="2"/>
      <c r="F438" s="2"/>
      <c r="G438" s="2"/>
      <c r="H438" s="74"/>
      <c r="I438" s="2"/>
      <c r="J438" s="2"/>
      <c r="K438" s="2"/>
      <c r="L438" s="2"/>
      <c r="M438" s="2"/>
      <c r="N438" s="2"/>
      <c r="O438" s="62"/>
      <c r="P438" s="76"/>
    </row>
    <row r="439" ht="15.75" customHeight="1">
      <c r="A439" s="2"/>
      <c r="B439" s="74"/>
      <c r="C439" s="74"/>
      <c r="D439" s="74"/>
      <c r="E439" s="2"/>
      <c r="F439" s="2"/>
      <c r="G439" s="2"/>
      <c r="H439" s="74"/>
      <c r="I439" s="2"/>
      <c r="J439" s="2"/>
      <c r="K439" s="2"/>
      <c r="L439" s="2"/>
      <c r="M439" s="2"/>
      <c r="N439" s="2"/>
      <c r="O439" s="62"/>
      <c r="P439" s="76"/>
    </row>
    <row r="440" ht="15.75" customHeight="1">
      <c r="A440" s="2"/>
      <c r="B440" s="74"/>
      <c r="C440" s="74"/>
      <c r="D440" s="74"/>
      <c r="E440" s="2"/>
      <c r="F440" s="2"/>
      <c r="G440" s="2"/>
      <c r="H440" s="74"/>
      <c r="I440" s="2"/>
      <c r="J440" s="2"/>
      <c r="K440" s="2"/>
      <c r="L440" s="2"/>
      <c r="M440" s="2"/>
      <c r="N440" s="2"/>
      <c r="O440" s="62"/>
      <c r="P440" s="76"/>
    </row>
    <row r="441" ht="15.75" customHeight="1">
      <c r="A441" s="2"/>
      <c r="B441" s="74"/>
      <c r="C441" s="74"/>
      <c r="D441" s="74"/>
      <c r="E441" s="2"/>
      <c r="F441" s="2"/>
      <c r="G441" s="2"/>
      <c r="H441" s="74"/>
      <c r="I441" s="2"/>
      <c r="J441" s="2"/>
      <c r="K441" s="2"/>
      <c r="L441" s="2"/>
      <c r="M441" s="2"/>
      <c r="N441" s="2"/>
      <c r="O441" s="62"/>
      <c r="P441" s="76"/>
    </row>
    <row r="442" ht="15.75" customHeight="1">
      <c r="A442" s="2"/>
      <c r="B442" s="74"/>
      <c r="C442" s="74"/>
      <c r="D442" s="74"/>
      <c r="E442" s="2"/>
      <c r="F442" s="2"/>
      <c r="G442" s="2"/>
      <c r="H442" s="74"/>
      <c r="I442" s="2"/>
      <c r="J442" s="2"/>
      <c r="K442" s="2"/>
      <c r="L442" s="2"/>
      <c r="M442" s="2"/>
      <c r="N442" s="2"/>
      <c r="O442" s="62"/>
      <c r="P442" s="76"/>
    </row>
    <row r="443" ht="15.75" customHeight="1">
      <c r="A443" s="2"/>
      <c r="B443" s="74"/>
      <c r="C443" s="74"/>
      <c r="D443" s="74"/>
      <c r="E443" s="2"/>
      <c r="F443" s="2"/>
      <c r="G443" s="2"/>
      <c r="H443" s="74"/>
      <c r="I443" s="2"/>
      <c r="J443" s="2"/>
      <c r="K443" s="2"/>
      <c r="L443" s="2"/>
      <c r="M443" s="2"/>
      <c r="N443" s="2"/>
      <c r="O443" s="62"/>
      <c r="P443" s="76"/>
    </row>
    <row r="444" ht="15.75" customHeight="1">
      <c r="A444" s="2"/>
      <c r="B444" s="74"/>
      <c r="C444" s="74"/>
      <c r="D444" s="74"/>
      <c r="E444" s="2"/>
      <c r="F444" s="2"/>
      <c r="G444" s="2"/>
      <c r="H444" s="74"/>
      <c r="I444" s="2"/>
      <c r="J444" s="2"/>
      <c r="K444" s="2"/>
      <c r="L444" s="2"/>
      <c r="M444" s="2"/>
      <c r="N444" s="2"/>
      <c r="O444" s="62"/>
      <c r="P444" s="76"/>
    </row>
    <row r="445" ht="15.75" customHeight="1">
      <c r="A445" s="2"/>
      <c r="B445" s="74"/>
      <c r="C445" s="74"/>
      <c r="D445" s="74"/>
      <c r="E445" s="2"/>
      <c r="F445" s="2"/>
      <c r="G445" s="2"/>
      <c r="H445" s="74"/>
      <c r="I445" s="2"/>
      <c r="J445" s="2"/>
      <c r="K445" s="2"/>
      <c r="L445" s="2"/>
      <c r="M445" s="2"/>
      <c r="N445" s="2"/>
      <c r="O445" s="62"/>
      <c r="P445" s="76"/>
    </row>
    <row r="446" ht="15.75" customHeight="1">
      <c r="A446" s="2"/>
      <c r="B446" s="74"/>
      <c r="C446" s="74"/>
      <c r="D446" s="74"/>
      <c r="E446" s="2"/>
      <c r="F446" s="2"/>
      <c r="G446" s="2"/>
      <c r="H446" s="74"/>
      <c r="I446" s="2"/>
      <c r="J446" s="2"/>
      <c r="K446" s="2"/>
      <c r="L446" s="2"/>
      <c r="M446" s="2"/>
      <c r="N446" s="2"/>
      <c r="O446" s="62"/>
      <c r="P446" s="76"/>
    </row>
    <row r="447" ht="15.75" customHeight="1">
      <c r="A447" s="2"/>
      <c r="B447" s="74"/>
      <c r="C447" s="74"/>
      <c r="D447" s="74"/>
      <c r="E447" s="2"/>
      <c r="F447" s="2"/>
      <c r="G447" s="2"/>
      <c r="H447" s="74"/>
      <c r="I447" s="2"/>
      <c r="J447" s="2"/>
      <c r="K447" s="2"/>
      <c r="L447" s="2"/>
      <c r="M447" s="2"/>
      <c r="N447" s="2"/>
      <c r="O447" s="62"/>
      <c r="P447" s="76"/>
    </row>
    <row r="448" ht="15.75" customHeight="1">
      <c r="A448" s="2"/>
      <c r="B448" s="74"/>
      <c r="C448" s="74"/>
      <c r="D448" s="74"/>
      <c r="E448" s="2"/>
      <c r="F448" s="2"/>
      <c r="G448" s="2"/>
      <c r="H448" s="74"/>
      <c r="I448" s="2"/>
      <c r="J448" s="2"/>
      <c r="K448" s="2"/>
      <c r="L448" s="2"/>
      <c r="M448" s="2"/>
      <c r="N448" s="2"/>
      <c r="O448" s="62"/>
      <c r="P448" s="76"/>
    </row>
    <row r="449" ht="15.75" customHeight="1">
      <c r="A449" s="2"/>
      <c r="B449" s="74"/>
      <c r="C449" s="74"/>
      <c r="D449" s="74"/>
      <c r="E449" s="2"/>
      <c r="F449" s="2"/>
      <c r="G449" s="2"/>
      <c r="H449" s="74"/>
      <c r="I449" s="2"/>
      <c r="J449" s="2"/>
      <c r="K449" s="2"/>
      <c r="L449" s="2"/>
      <c r="M449" s="2"/>
      <c r="N449" s="2"/>
      <c r="O449" s="62"/>
      <c r="P449" s="76"/>
    </row>
    <row r="450" ht="15.75" customHeight="1">
      <c r="A450" s="2"/>
      <c r="B450" s="74"/>
      <c r="C450" s="74"/>
      <c r="D450" s="74"/>
      <c r="E450" s="2"/>
      <c r="F450" s="2"/>
      <c r="G450" s="2"/>
      <c r="H450" s="74"/>
      <c r="I450" s="2"/>
      <c r="J450" s="2"/>
      <c r="K450" s="2"/>
      <c r="L450" s="2"/>
      <c r="M450" s="2"/>
      <c r="N450" s="2"/>
      <c r="O450" s="62"/>
      <c r="P450" s="76"/>
    </row>
    <row r="451" ht="15.75" customHeight="1">
      <c r="A451" s="2"/>
      <c r="B451" s="74"/>
      <c r="C451" s="74"/>
      <c r="D451" s="74"/>
      <c r="E451" s="2"/>
      <c r="F451" s="2"/>
      <c r="G451" s="2"/>
      <c r="H451" s="74"/>
      <c r="I451" s="2"/>
      <c r="J451" s="2"/>
      <c r="K451" s="2"/>
      <c r="L451" s="2"/>
      <c r="M451" s="2"/>
      <c r="N451" s="2"/>
      <c r="O451" s="62"/>
      <c r="P451" s="76"/>
    </row>
    <row r="452" ht="15.75" customHeight="1">
      <c r="A452" s="2"/>
      <c r="B452" s="74"/>
      <c r="C452" s="74"/>
      <c r="D452" s="74"/>
      <c r="E452" s="2"/>
      <c r="F452" s="2"/>
      <c r="G452" s="2"/>
      <c r="H452" s="74"/>
      <c r="I452" s="2"/>
      <c r="J452" s="2"/>
      <c r="K452" s="2"/>
      <c r="L452" s="2"/>
      <c r="M452" s="2"/>
      <c r="N452" s="2"/>
      <c r="O452" s="62"/>
      <c r="P452" s="76"/>
    </row>
    <row r="453" ht="15.75" customHeight="1">
      <c r="A453" s="2"/>
      <c r="B453" s="74"/>
      <c r="C453" s="74"/>
      <c r="D453" s="74"/>
      <c r="E453" s="2"/>
      <c r="F453" s="2"/>
      <c r="G453" s="2"/>
      <c r="H453" s="74"/>
      <c r="I453" s="2"/>
      <c r="J453" s="2"/>
      <c r="K453" s="2"/>
      <c r="L453" s="2"/>
      <c r="M453" s="2"/>
      <c r="N453" s="2"/>
      <c r="O453" s="62"/>
      <c r="P453" s="76"/>
    </row>
    <row r="454" ht="15.75" customHeight="1">
      <c r="A454" s="2"/>
      <c r="B454" s="74"/>
      <c r="C454" s="74"/>
      <c r="D454" s="74"/>
      <c r="E454" s="2"/>
      <c r="F454" s="2"/>
      <c r="G454" s="2"/>
      <c r="H454" s="74"/>
      <c r="I454" s="2"/>
      <c r="J454" s="2"/>
      <c r="K454" s="2"/>
      <c r="L454" s="2"/>
      <c r="M454" s="2"/>
      <c r="N454" s="2"/>
      <c r="O454" s="62"/>
      <c r="P454" s="76"/>
    </row>
    <row r="455" ht="15.75" customHeight="1">
      <c r="A455" s="2"/>
      <c r="B455" s="74"/>
      <c r="C455" s="74"/>
      <c r="D455" s="74"/>
      <c r="E455" s="2"/>
      <c r="F455" s="2"/>
      <c r="G455" s="2"/>
      <c r="H455" s="74"/>
      <c r="I455" s="2"/>
      <c r="J455" s="2"/>
      <c r="K455" s="2"/>
      <c r="L455" s="2"/>
      <c r="M455" s="2"/>
      <c r="N455" s="2"/>
      <c r="O455" s="62"/>
      <c r="P455" s="76"/>
    </row>
    <row r="456" ht="15.75" customHeight="1">
      <c r="A456" s="2"/>
      <c r="B456" s="74"/>
      <c r="C456" s="74"/>
      <c r="D456" s="74"/>
      <c r="E456" s="2"/>
      <c r="F456" s="2"/>
      <c r="G456" s="2"/>
      <c r="H456" s="74"/>
      <c r="I456" s="2"/>
      <c r="J456" s="2"/>
      <c r="K456" s="2"/>
      <c r="L456" s="2"/>
      <c r="M456" s="2"/>
      <c r="N456" s="2"/>
      <c r="O456" s="62"/>
      <c r="P456" s="76"/>
    </row>
    <row r="457" ht="15.75" customHeight="1">
      <c r="A457" s="2"/>
      <c r="B457" s="74"/>
      <c r="C457" s="74"/>
      <c r="D457" s="74"/>
      <c r="E457" s="2"/>
      <c r="F457" s="2"/>
      <c r="G457" s="2"/>
      <c r="H457" s="74"/>
      <c r="I457" s="2"/>
      <c r="J457" s="2"/>
      <c r="K457" s="2"/>
      <c r="L457" s="2"/>
      <c r="M457" s="2"/>
      <c r="N457" s="2"/>
      <c r="O457" s="62"/>
      <c r="P457" s="76"/>
    </row>
    <row r="458" ht="15.75" customHeight="1">
      <c r="A458" s="2"/>
      <c r="B458" s="74"/>
      <c r="C458" s="74"/>
      <c r="D458" s="74"/>
      <c r="E458" s="2"/>
      <c r="F458" s="2"/>
      <c r="G458" s="2"/>
      <c r="H458" s="74"/>
      <c r="I458" s="2"/>
      <c r="J458" s="2"/>
      <c r="K458" s="2"/>
      <c r="L458" s="2"/>
      <c r="M458" s="2"/>
      <c r="N458" s="2"/>
      <c r="O458" s="62"/>
      <c r="P458" s="76"/>
    </row>
    <row r="459" ht="15.75" customHeight="1">
      <c r="A459" s="2"/>
      <c r="B459" s="74"/>
      <c r="C459" s="74"/>
      <c r="D459" s="74"/>
      <c r="E459" s="2"/>
      <c r="F459" s="2"/>
      <c r="G459" s="2"/>
      <c r="H459" s="74"/>
      <c r="I459" s="2"/>
      <c r="J459" s="2"/>
      <c r="K459" s="2"/>
      <c r="L459" s="2"/>
      <c r="M459" s="2"/>
      <c r="N459" s="2"/>
      <c r="O459" s="62"/>
      <c r="P459" s="76"/>
    </row>
    <row r="460" ht="15.75" customHeight="1">
      <c r="A460" s="2"/>
      <c r="B460" s="74"/>
      <c r="C460" s="74"/>
      <c r="D460" s="74"/>
      <c r="E460" s="2"/>
      <c r="F460" s="2"/>
      <c r="G460" s="2"/>
      <c r="H460" s="74"/>
      <c r="I460" s="2"/>
      <c r="J460" s="2"/>
      <c r="K460" s="2"/>
      <c r="L460" s="2"/>
      <c r="M460" s="2"/>
      <c r="N460" s="2"/>
      <c r="O460" s="62"/>
      <c r="P460" s="76"/>
    </row>
    <row r="461" ht="15.75" customHeight="1">
      <c r="A461" s="2"/>
      <c r="B461" s="74"/>
      <c r="C461" s="74"/>
      <c r="D461" s="74"/>
      <c r="E461" s="2"/>
      <c r="F461" s="2"/>
      <c r="G461" s="2"/>
      <c r="H461" s="74"/>
      <c r="I461" s="2"/>
      <c r="J461" s="2"/>
      <c r="K461" s="2"/>
      <c r="L461" s="2"/>
      <c r="M461" s="2"/>
      <c r="N461" s="2"/>
      <c r="O461" s="62"/>
      <c r="P461" s="76"/>
    </row>
    <row r="462" ht="15.75" customHeight="1">
      <c r="A462" s="2"/>
      <c r="B462" s="74"/>
      <c r="C462" s="74"/>
      <c r="D462" s="74"/>
      <c r="E462" s="2"/>
      <c r="F462" s="2"/>
      <c r="G462" s="2"/>
      <c r="H462" s="74"/>
      <c r="I462" s="2"/>
      <c r="J462" s="2"/>
      <c r="K462" s="2"/>
      <c r="L462" s="2"/>
      <c r="M462" s="2"/>
      <c r="N462" s="2"/>
      <c r="O462" s="62"/>
      <c r="P462" s="76"/>
    </row>
    <row r="463" ht="15.75" customHeight="1">
      <c r="A463" s="2"/>
      <c r="B463" s="74"/>
      <c r="C463" s="74"/>
      <c r="D463" s="74"/>
      <c r="E463" s="2"/>
      <c r="F463" s="2"/>
      <c r="G463" s="2"/>
      <c r="H463" s="74"/>
      <c r="I463" s="2"/>
      <c r="J463" s="2"/>
      <c r="K463" s="2"/>
      <c r="L463" s="2"/>
      <c r="M463" s="2"/>
      <c r="N463" s="2"/>
      <c r="O463" s="62"/>
      <c r="P463" s="76"/>
    </row>
    <row r="464" ht="15.75" customHeight="1">
      <c r="A464" s="2"/>
      <c r="B464" s="74"/>
      <c r="C464" s="74"/>
      <c r="D464" s="74"/>
      <c r="E464" s="2"/>
      <c r="F464" s="2"/>
      <c r="G464" s="2"/>
      <c r="H464" s="74"/>
      <c r="I464" s="2"/>
      <c r="J464" s="2"/>
      <c r="K464" s="2"/>
      <c r="L464" s="2"/>
      <c r="M464" s="2"/>
      <c r="N464" s="2"/>
      <c r="O464" s="62"/>
      <c r="P464" s="76"/>
    </row>
    <row r="465" ht="15.75" customHeight="1">
      <c r="A465" s="2"/>
      <c r="B465" s="74"/>
      <c r="C465" s="74"/>
      <c r="D465" s="74"/>
      <c r="E465" s="2"/>
      <c r="F465" s="2"/>
      <c r="G465" s="2"/>
      <c r="H465" s="74"/>
      <c r="I465" s="2"/>
      <c r="J465" s="2"/>
      <c r="K465" s="2"/>
      <c r="L465" s="2"/>
      <c r="M465" s="2"/>
      <c r="N465" s="2"/>
      <c r="O465" s="62"/>
      <c r="P465" s="76"/>
    </row>
    <row r="466" ht="15.75" customHeight="1">
      <c r="A466" s="2"/>
      <c r="B466" s="74"/>
      <c r="C466" s="74"/>
      <c r="D466" s="74"/>
      <c r="E466" s="2"/>
      <c r="F466" s="2"/>
      <c r="G466" s="2"/>
      <c r="H466" s="74"/>
      <c r="I466" s="2"/>
      <c r="J466" s="2"/>
      <c r="K466" s="2"/>
      <c r="L466" s="2"/>
      <c r="M466" s="2"/>
      <c r="N466" s="2"/>
      <c r="O466" s="62"/>
      <c r="P466" s="76"/>
    </row>
    <row r="467" ht="15.75" customHeight="1">
      <c r="A467" s="2"/>
      <c r="B467" s="74"/>
      <c r="C467" s="74"/>
      <c r="D467" s="74"/>
      <c r="E467" s="2"/>
      <c r="F467" s="2"/>
      <c r="G467" s="2"/>
      <c r="H467" s="74"/>
      <c r="I467" s="2"/>
      <c r="J467" s="2"/>
      <c r="K467" s="2"/>
      <c r="L467" s="2"/>
      <c r="M467" s="2"/>
      <c r="N467" s="2"/>
      <c r="O467" s="62"/>
      <c r="P467" s="76"/>
    </row>
    <row r="468" ht="15.75" customHeight="1">
      <c r="A468" s="2"/>
      <c r="B468" s="74"/>
      <c r="C468" s="74"/>
      <c r="D468" s="74"/>
      <c r="E468" s="2"/>
      <c r="F468" s="2"/>
      <c r="G468" s="2"/>
      <c r="H468" s="74"/>
      <c r="I468" s="2"/>
      <c r="J468" s="2"/>
      <c r="K468" s="2"/>
      <c r="L468" s="2"/>
      <c r="M468" s="2"/>
      <c r="N468" s="2"/>
      <c r="O468" s="62"/>
      <c r="P468" s="76"/>
    </row>
    <row r="469" ht="15.75" customHeight="1">
      <c r="A469" s="2"/>
      <c r="B469" s="74"/>
      <c r="C469" s="74"/>
      <c r="D469" s="74"/>
      <c r="E469" s="2"/>
      <c r="F469" s="2"/>
      <c r="G469" s="2"/>
      <c r="H469" s="74"/>
      <c r="I469" s="2"/>
      <c r="J469" s="2"/>
      <c r="K469" s="2"/>
      <c r="L469" s="2"/>
      <c r="M469" s="2"/>
      <c r="N469" s="2"/>
      <c r="O469" s="62"/>
      <c r="P469" s="76"/>
    </row>
    <row r="470" ht="15.75" customHeight="1">
      <c r="A470" s="2"/>
      <c r="B470" s="74"/>
      <c r="C470" s="74"/>
      <c r="D470" s="74"/>
      <c r="E470" s="2"/>
      <c r="F470" s="2"/>
      <c r="G470" s="2"/>
      <c r="H470" s="74"/>
      <c r="I470" s="2"/>
      <c r="J470" s="2"/>
      <c r="K470" s="2"/>
      <c r="L470" s="2"/>
      <c r="M470" s="2"/>
      <c r="N470" s="2"/>
      <c r="O470" s="62"/>
      <c r="P470" s="76"/>
    </row>
    <row r="471" ht="15.75" customHeight="1">
      <c r="A471" s="2"/>
      <c r="B471" s="74"/>
      <c r="C471" s="74"/>
      <c r="D471" s="74"/>
      <c r="E471" s="2"/>
      <c r="F471" s="2"/>
      <c r="G471" s="2"/>
      <c r="H471" s="74"/>
      <c r="I471" s="2"/>
      <c r="J471" s="2"/>
      <c r="K471" s="2"/>
      <c r="L471" s="2"/>
      <c r="M471" s="2"/>
      <c r="N471" s="2"/>
      <c r="O471" s="62"/>
      <c r="P471" s="76"/>
    </row>
    <row r="472" ht="15.75" customHeight="1">
      <c r="A472" s="2"/>
      <c r="B472" s="74"/>
      <c r="C472" s="74"/>
      <c r="D472" s="74"/>
      <c r="E472" s="2"/>
      <c r="F472" s="2"/>
      <c r="G472" s="2"/>
      <c r="H472" s="74"/>
      <c r="I472" s="2"/>
      <c r="J472" s="2"/>
      <c r="K472" s="2"/>
      <c r="L472" s="2"/>
      <c r="M472" s="2"/>
      <c r="N472" s="2"/>
      <c r="O472" s="62"/>
      <c r="P472" s="76"/>
    </row>
    <row r="473" ht="15.75" customHeight="1">
      <c r="A473" s="2"/>
      <c r="B473" s="74"/>
      <c r="C473" s="74"/>
      <c r="D473" s="74"/>
      <c r="E473" s="2"/>
      <c r="F473" s="2"/>
      <c r="G473" s="2"/>
      <c r="H473" s="74"/>
      <c r="I473" s="2"/>
      <c r="J473" s="2"/>
      <c r="K473" s="2"/>
      <c r="L473" s="2"/>
      <c r="M473" s="2"/>
      <c r="N473" s="2"/>
      <c r="O473" s="62"/>
      <c r="P473" s="76"/>
    </row>
    <row r="474" ht="15.75" customHeight="1">
      <c r="A474" s="2"/>
      <c r="B474" s="74"/>
      <c r="C474" s="74"/>
      <c r="D474" s="74"/>
      <c r="E474" s="2"/>
      <c r="F474" s="2"/>
      <c r="G474" s="2"/>
      <c r="H474" s="74"/>
      <c r="I474" s="2"/>
      <c r="J474" s="2"/>
      <c r="K474" s="2"/>
      <c r="L474" s="2"/>
      <c r="M474" s="2"/>
      <c r="N474" s="2"/>
      <c r="O474" s="62"/>
      <c r="P474" s="76"/>
    </row>
    <row r="475" ht="15.75" customHeight="1">
      <c r="A475" s="2"/>
      <c r="B475" s="74"/>
      <c r="C475" s="74"/>
      <c r="D475" s="74"/>
      <c r="E475" s="2"/>
      <c r="F475" s="2"/>
      <c r="G475" s="2"/>
      <c r="H475" s="74"/>
      <c r="I475" s="2"/>
      <c r="J475" s="2"/>
      <c r="K475" s="2"/>
      <c r="L475" s="2"/>
      <c r="M475" s="2"/>
      <c r="N475" s="2"/>
      <c r="O475" s="62"/>
      <c r="P475" s="76"/>
    </row>
    <row r="476" ht="15.75" customHeight="1">
      <c r="A476" s="2"/>
      <c r="B476" s="74"/>
      <c r="C476" s="74"/>
      <c r="D476" s="74"/>
      <c r="E476" s="2"/>
      <c r="F476" s="2"/>
      <c r="G476" s="2"/>
      <c r="H476" s="74"/>
      <c r="I476" s="2"/>
      <c r="J476" s="2"/>
      <c r="K476" s="2"/>
      <c r="L476" s="2"/>
      <c r="M476" s="2"/>
      <c r="N476" s="2"/>
      <c r="O476" s="62"/>
      <c r="P476" s="76"/>
    </row>
    <row r="477" ht="15.75" customHeight="1">
      <c r="A477" s="2"/>
      <c r="B477" s="74"/>
      <c r="C477" s="74"/>
      <c r="D477" s="74"/>
      <c r="E477" s="2"/>
      <c r="F477" s="2"/>
      <c r="G477" s="2"/>
      <c r="H477" s="74"/>
      <c r="I477" s="2"/>
      <c r="J477" s="2"/>
      <c r="K477" s="2"/>
      <c r="L477" s="2"/>
      <c r="M477" s="2"/>
      <c r="N477" s="2"/>
      <c r="O477" s="62"/>
      <c r="P477" s="76"/>
    </row>
    <row r="478" ht="15.75" customHeight="1">
      <c r="A478" s="2"/>
      <c r="B478" s="74"/>
      <c r="C478" s="74"/>
      <c r="D478" s="74"/>
      <c r="E478" s="2"/>
      <c r="F478" s="2"/>
      <c r="G478" s="2"/>
      <c r="H478" s="74"/>
      <c r="I478" s="2"/>
      <c r="J478" s="2"/>
      <c r="K478" s="2"/>
      <c r="L478" s="2"/>
      <c r="M478" s="2"/>
      <c r="N478" s="2"/>
      <c r="O478" s="62"/>
      <c r="P478" s="76"/>
    </row>
    <row r="479" ht="15.75" customHeight="1">
      <c r="A479" s="2"/>
      <c r="B479" s="74"/>
      <c r="C479" s="74"/>
      <c r="D479" s="74"/>
      <c r="E479" s="2"/>
      <c r="F479" s="2"/>
      <c r="G479" s="2"/>
      <c r="H479" s="74"/>
      <c r="I479" s="2"/>
      <c r="J479" s="2"/>
      <c r="K479" s="2"/>
      <c r="L479" s="2"/>
      <c r="M479" s="2"/>
      <c r="N479" s="2"/>
      <c r="O479" s="62"/>
      <c r="P479" s="76"/>
    </row>
    <row r="480" ht="15.75" customHeight="1">
      <c r="A480" s="2"/>
      <c r="B480" s="74"/>
      <c r="C480" s="74"/>
      <c r="D480" s="74"/>
      <c r="E480" s="2"/>
      <c r="F480" s="2"/>
      <c r="G480" s="2"/>
      <c r="H480" s="74"/>
      <c r="I480" s="2"/>
      <c r="J480" s="2"/>
      <c r="K480" s="2"/>
      <c r="L480" s="2"/>
      <c r="M480" s="2"/>
      <c r="N480" s="2"/>
      <c r="O480" s="62"/>
      <c r="P480" s="76"/>
    </row>
    <row r="481" ht="15.75" customHeight="1">
      <c r="A481" s="2"/>
      <c r="B481" s="74"/>
      <c r="C481" s="74"/>
      <c r="D481" s="74"/>
      <c r="E481" s="2"/>
      <c r="F481" s="2"/>
      <c r="G481" s="2"/>
      <c r="H481" s="74"/>
      <c r="I481" s="2"/>
      <c r="J481" s="2"/>
      <c r="K481" s="2"/>
      <c r="L481" s="2"/>
      <c r="M481" s="2"/>
      <c r="N481" s="2"/>
      <c r="O481" s="62"/>
      <c r="P481" s="76"/>
    </row>
    <row r="482" ht="15.75" customHeight="1">
      <c r="A482" s="2"/>
      <c r="B482" s="74"/>
      <c r="C482" s="74"/>
      <c r="D482" s="74"/>
      <c r="E482" s="2"/>
      <c r="F482" s="2"/>
      <c r="G482" s="2"/>
      <c r="H482" s="74"/>
      <c r="I482" s="2"/>
      <c r="J482" s="2"/>
      <c r="K482" s="2"/>
      <c r="L482" s="2"/>
      <c r="M482" s="2"/>
      <c r="N482" s="2"/>
      <c r="O482" s="62"/>
      <c r="P482" s="76"/>
    </row>
    <row r="483" ht="15.75" customHeight="1">
      <c r="A483" s="2"/>
      <c r="B483" s="74"/>
      <c r="C483" s="74"/>
      <c r="D483" s="74"/>
      <c r="E483" s="2"/>
      <c r="F483" s="2"/>
      <c r="G483" s="2"/>
      <c r="H483" s="74"/>
      <c r="I483" s="2"/>
      <c r="J483" s="2"/>
      <c r="K483" s="2"/>
      <c r="L483" s="2"/>
      <c r="M483" s="2"/>
      <c r="N483" s="2"/>
      <c r="O483" s="62"/>
      <c r="P483" s="76"/>
    </row>
    <row r="484" ht="15.75" customHeight="1">
      <c r="A484" s="2"/>
      <c r="B484" s="74"/>
      <c r="C484" s="74"/>
      <c r="D484" s="74"/>
      <c r="E484" s="2"/>
      <c r="F484" s="2"/>
      <c r="G484" s="2"/>
      <c r="H484" s="74"/>
      <c r="I484" s="2"/>
      <c r="J484" s="2"/>
      <c r="K484" s="2"/>
      <c r="L484" s="2"/>
      <c r="M484" s="2"/>
      <c r="N484" s="2"/>
      <c r="O484" s="62"/>
      <c r="P484" s="76"/>
    </row>
    <row r="485" ht="15.75" customHeight="1">
      <c r="A485" s="2"/>
      <c r="B485" s="74"/>
      <c r="C485" s="74"/>
      <c r="D485" s="74"/>
      <c r="E485" s="2"/>
      <c r="F485" s="2"/>
      <c r="G485" s="2"/>
      <c r="H485" s="74"/>
      <c r="I485" s="2"/>
      <c r="J485" s="2"/>
      <c r="K485" s="2"/>
      <c r="L485" s="2"/>
      <c r="M485" s="2"/>
      <c r="N485" s="2"/>
      <c r="O485" s="62"/>
      <c r="P485" s="76"/>
    </row>
    <row r="486" ht="15.75" customHeight="1">
      <c r="A486" s="2"/>
      <c r="B486" s="74"/>
      <c r="C486" s="74"/>
      <c r="D486" s="74"/>
      <c r="E486" s="2"/>
      <c r="F486" s="2"/>
      <c r="G486" s="2"/>
      <c r="H486" s="74"/>
      <c r="I486" s="2"/>
      <c r="J486" s="2"/>
      <c r="K486" s="2"/>
      <c r="L486" s="2"/>
      <c r="M486" s="2"/>
      <c r="N486" s="2"/>
      <c r="O486" s="62"/>
      <c r="P486" s="76"/>
    </row>
    <row r="487" ht="15.75" customHeight="1">
      <c r="A487" s="2"/>
      <c r="B487" s="74"/>
      <c r="C487" s="74"/>
      <c r="D487" s="74"/>
      <c r="E487" s="2"/>
      <c r="F487" s="2"/>
      <c r="G487" s="2"/>
      <c r="H487" s="74"/>
      <c r="I487" s="2"/>
      <c r="J487" s="2"/>
      <c r="K487" s="2"/>
      <c r="L487" s="2"/>
      <c r="M487" s="2"/>
      <c r="N487" s="2"/>
      <c r="O487" s="62"/>
      <c r="P487" s="76"/>
    </row>
    <row r="488" ht="15.75" customHeight="1">
      <c r="A488" s="2"/>
      <c r="B488" s="74"/>
      <c r="C488" s="74"/>
      <c r="D488" s="74"/>
      <c r="E488" s="2"/>
      <c r="F488" s="2"/>
      <c r="G488" s="2"/>
      <c r="H488" s="74"/>
      <c r="I488" s="2"/>
      <c r="J488" s="2"/>
      <c r="K488" s="2"/>
      <c r="L488" s="2"/>
      <c r="M488" s="2"/>
      <c r="N488" s="2"/>
      <c r="O488" s="62"/>
      <c r="P488" s="76"/>
    </row>
    <row r="489" ht="15.75" customHeight="1">
      <c r="A489" s="2"/>
      <c r="B489" s="74"/>
      <c r="C489" s="74"/>
      <c r="D489" s="74"/>
      <c r="E489" s="2"/>
      <c r="F489" s="2"/>
      <c r="G489" s="2"/>
      <c r="H489" s="74"/>
      <c r="I489" s="2"/>
      <c r="J489" s="2"/>
      <c r="K489" s="2"/>
      <c r="L489" s="2"/>
      <c r="M489" s="2"/>
      <c r="N489" s="2"/>
      <c r="O489" s="62"/>
      <c r="P489" s="76"/>
    </row>
    <row r="490" ht="15.75" customHeight="1">
      <c r="A490" s="2"/>
      <c r="B490" s="74"/>
      <c r="C490" s="74"/>
      <c r="D490" s="74"/>
      <c r="E490" s="2"/>
      <c r="F490" s="2"/>
      <c r="G490" s="2"/>
      <c r="H490" s="74"/>
      <c r="I490" s="2"/>
      <c r="J490" s="2"/>
      <c r="K490" s="2"/>
      <c r="L490" s="2"/>
      <c r="M490" s="2"/>
      <c r="N490" s="2"/>
      <c r="O490" s="62"/>
      <c r="P490" s="76"/>
    </row>
    <row r="491" ht="15.75" customHeight="1">
      <c r="A491" s="2"/>
      <c r="B491" s="74"/>
      <c r="C491" s="74"/>
      <c r="D491" s="74"/>
      <c r="E491" s="2"/>
      <c r="F491" s="2"/>
      <c r="G491" s="2"/>
      <c r="H491" s="74"/>
      <c r="I491" s="2"/>
      <c r="J491" s="2"/>
      <c r="K491" s="2"/>
      <c r="L491" s="2"/>
      <c r="M491" s="2"/>
      <c r="N491" s="2"/>
      <c r="O491" s="62"/>
      <c r="P491" s="76"/>
    </row>
    <row r="492" ht="15.75" customHeight="1">
      <c r="A492" s="2"/>
      <c r="B492" s="74"/>
      <c r="C492" s="74"/>
      <c r="D492" s="74"/>
      <c r="E492" s="2"/>
      <c r="F492" s="2"/>
      <c r="G492" s="2"/>
      <c r="H492" s="74"/>
      <c r="I492" s="2"/>
      <c r="J492" s="2"/>
      <c r="K492" s="2"/>
      <c r="L492" s="2"/>
      <c r="M492" s="2"/>
      <c r="N492" s="2"/>
      <c r="O492" s="62"/>
      <c r="P492" s="76"/>
    </row>
    <row r="493" ht="15.75" customHeight="1">
      <c r="A493" s="2"/>
      <c r="B493" s="74"/>
      <c r="C493" s="74"/>
      <c r="D493" s="74"/>
      <c r="E493" s="2"/>
      <c r="F493" s="2"/>
      <c r="G493" s="2"/>
      <c r="H493" s="74"/>
      <c r="I493" s="2"/>
      <c r="J493" s="2"/>
      <c r="K493" s="2"/>
      <c r="L493" s="2"/>
      <c r="M493" s="2"/>
      <c r="N493" s="2"/>
      <c r="O493" s="62"/>
      <c r="P493" s="76"/>
    </row>
    <row r="494" ht="15.75" customHeight="1">
      <c r="A494" s="2"/>
      <c r="B494" s="74"/>
      <c r="C494" s="74"/>
      <c r="D494" s="74"/>
      <c r="E494" s="2"/>
      <c r="F494" s="2"/>
      <c r="G494" s="2"/>
      <c r="H494" s="74"/>
      <c r="I494" s="2"/>
      <c r="J494" s="2"/>
      <c r="K494" s="2"/>
      <c r="L494" s="2"/>
      <c r="M494" s="2"/>
      <c r="N494" s="2"/>
      <c r="O494" s="62"/>
      <c r="P494" s="76"/>
    </row>
    <row r="495" ht="15.75" customHeight="1">
      <c r="A495" s="2"/>
      <c r="B495" s="74"/>
      <c r="C495" s="74"/>
      <c r="D495" s="74"/>
      <c r="E495" s="2"/>
      <c r="F495" s="2"/>
      <c r="G495" s="2"/>
      <c r="H495" s="74"/>
      <c r="I495" s="2"/>
      <c r="J495" s="2"/>
      <c r="K495" s="2"/>
      <c r="L495" s="2"/>
      <c r="M495" s="2"/>
      <c r="N495" s="2"/>
      <c r="O495" s="62"/>
      <c r="P495" s="76"/>
    </row>
    <row r="496" ht="15.75" customHeight="1">
      <c r="A496" s="2"/>
      <c r="B496" s="74"/>
      <c r="C496" s="74"/>
      <c r="D496" s="74"/>
      <c r="E496" s="2"/>
      <c r="F496" s="2"/>
      <c r="G496" s="2"/>
      <c r="H496" s="74"/>
      <c r="I496" s="2"/>
      <c r="J496" s="2"/>
      <c r="K496" s="2"/>
      <c r="L496" s="2"/>
      <c r="M496" s="2"/>
      <c r="N496" s="2"/>
      <c r="O496" s="62"/>
      <c r="P496" s="76"/>
    </row>
    <row r="497" ht="15.75" customHeight="1">
      <c r="A497" s="2"/>
      <c r="B497" s="74"/>
      <c r="C497" s="74"/>
      <c r="D497" s="74"/>
      <c r="E497" s="2"/>
      <c r="F497" s="2"/>
      <c r="G497" s="2"/>
      <c r="H497" s="74"/>
      <c r="I497" s="2"/>
      <c r="J497" s="2"/>
      <c r="K497" s="2"/>
      <c r="L497" s="2"/>
      <c r="M497" s="2"/>
      <c r="N497" s="2"/>
      <c r="O497" s="62"/>
      <c r="P497" s="76"/>
    </row>
    <row r="498" ht="15.75" customHeight="1">
      <c r="A498" s="2"/>
      <c r="B498" s="74"/>
      <c r="C498" s="74"/>
      <c r="D498" s="74"/>
      <c r="E498" s="2"/>
      <c r="F498" s="2"/>
      <c r="G498" s="2"/>
      <c r="H498" s="74"/>
      <c r="I498" s="2"/>
      <c r="J498" s="2"/>
      <c r="K498" s="2"/>
      <c r="L498" s="2"/>
      <c r="M498" s="2"/>
      <c r="N498" s="2"/>
      <c r="O498" s="62"/>
      <c r="P498" s="76"/>
    </row>
    <row r="499" ht="15.75" customHeight="1">
      <c r="A499" s="2"/>
      <c r="B499" s="74"/>
      <c r="C499" s="74"/>
      <c r="D499" s="74"/>
      <c r="E499" s="2"/>
      <c r="F499" s="2"/>
      <c r="G499" s="2"/>
      <c r="H499" s="74"/>
      <c r="I499" s="2"/>
      <c r="J499" s="2"/>
      <c r="K499" s="2"/>
      <c r="L499" s="2"/>
      <c r="M499" s="2"/>
      <c r="N499" s="2"/>
      <c r="O499" s="62"/>
      <c r="P499" s="76"/>
    </row>
    <row r="500" ht="15.75" customHeight="1">
      <c r="A500" s="2"/>
      <c r="B500" s="74"/>
      <c r="C500" s="74"/>
      <c r="D500" s="74"/>
      <c r="E500" s="2"/>
      <c r="F500" s="2"/>
      <c r="G500" s="2"/>
      <c r="H500" s="74"/>
      <c r="I500" s="2"/>
      <c r="J500" s="2"/>
      <c r="K500" s="2"/>
      <c r="L500" s="2"/>
      <c r="M500" s="2"/>
      <c r="N500" s="2"/>
      <c r="O500" s="62"/>
      <c r="P500" s="76"/>
    </row>
    <row r="501" ht="15.75" customHeight="1">
      <c r="A501" s="2"/>
      <c r="B501" s="74"/>
      <c r="C501" s="74"/>
      <c r="D501" s="74"/>
      <c r="E501" s="2"/>
      <c r="F501" s="2"/>
      <c r="G501" s="2"/>
      <c r="H501" s="74"/>
      <c r="I501" s="2"/>
      <c r="J501" s="2"/>
      <c r="K501" s="2"/>
      <c r="L501" s="2"/>
      <c r="M501" s="2"/>
      <c r="N501" s="2"/>
      <c r="O501" s="62"/>
      <c r="P501" s="76"/>
    </row>
    <row r="502" ht="15.75" customHeight="1">
      <c r="A502" s="2"/>
      <c r="B502" s="74"/>
      <c r="C502" s="74"/>
      <c r="D502" s="74"/>
      <c r="E502" s="2"/>
      <c r="F502" s="2"/>
      <c r="G502" s="2"/>
      <c r="H502" s="74"/>
      <c r="I502" s="2"/>
      <c r="J502" s="2"/>
      <c r="K502" s="2"/>
      <c r="L502" s="2"/>
      <c r="M502" s="2"/>
      <c r="N502" s="2"/>
      <c r="O502" s="62"/>
      <c r="P502" s="76"/>
    </row>
    <row r="503" ht="15.75" customHeight="1">
      <c r="A503" s="2"/>
      <c r="B503" s="74"/>
      <c r="C503" s="74"/>
      <c r="D503" s="74"/>
      <c r="E503" s="2"/>
      <c r="F503" s="2"/>
      <c r="G503" s="2"/>
      <c r="H503" s="74"/>
      <c r="I503" s="2"/>
      <c r="J503" s="2"/>
      <c r="K503" s="2"/>
      <c r="L503" s="2"/>
      <c r="M503" s="2"/>
      <c r="N503" s="2"/>
      <c r="O503" s="62"/>
      <c r="P503" s="76"/>
    </row>
    <row r="504" ht="15.75" customHeight="1">
      <c r="A504" s="2"/>
      <c r="B504" s="74"/>
      <c r="C504" s="74"/>
      <c r="D504" s="74"/>
      <c r="E504" s="2"/>
      <c r="F504" s="2"/>
      <c r="G504" s="2"/>
      <c r="H504" s="74"/>
      <c r="I504" s="2"/>
      <c r="J504" s="2"/>
      <c r="K504" s="2"/>
      <c r="L504" s="2"/>
      <c r="M504" s="2"/>
      <c r="N504" s="2"/>
      <c r="O504" s="62"/>
      <c r="P504" s="76"/>
    </row>
    <row r="505" ht="15.75" customHeight="1">
      <c r="A505" s="2"/>
      <c r="B505" s="74"/>
      <c r="C505" s="74"/>
      <c r="D505" s="74"/>
      <c r="E505" s="2"/>
      <c r="F505" s="2"/>
      <c r="G505" s="2"/>
      <c r="H505" s="74"/>
      <c r="I505" s="2"/>
      <c r="J505" s="2"/>
      <c r="K505" s="2"/>
      <c r="L505" s="2"/>
      <c r="M505" s="2"/>
      <c r="N505" s="2"/>
      <c r="O505" s="62"/>
      <c r="P505" s="76"/>
    </row>
    <row r="506" ht="15.75" customHeight="1">
      <c r="A506" s="2"/>
      <c r="B506" s="74"/>
      <c r="C506" s="74"/>
      <c r="D506" s="74"/>
      <c r="E506" s="2"/>
      <c r="F506" s="2"/>
      <c r="G506" s="2"/>
      <c r="H506" s="74"/>
      <c r="I506" s="2"/>
      <c r="J506" s="2"/>
      <c r="K506" s="2"/>
      <c r="L506" s="2"/>
      <c r="M506" s="2"/>
      <c r="N506" s="2"/>
      <c r="O506" s="62"/>
      <c r="P506" s="76"/>
    </row>
    <row r="507" ht="15.75" customHeight="1">
      <c r="A507" s="2"/>
      <c r="B507" s="74"/>
      <c r="C507" s="74"/>
      <c r="D507" s="74"/>
      <c r="E507" s="2"/>
      <c r="F507" s="2"/>
      <c r="G507" s="2"/>
      <c r="H507" s="74"/>
      <c r="I507" s="2"/>
      <c r="J507" s="2"/>
      <c r="K507" s="2"/>
      <c r="L507" s="2"/>
      <c r="M507" s="2"/>
      <c r="N507" s="2"/>
      <c r="O507" s="62"/>
      <c r="P507" s="76"/>
    </row>
    <row r="508" ht="15.75" customHeight="1">
      <c r="A508" s="2"/>
      <c r="B508" s="74"/>
      <c r="C508" s="74"/>
      <c r="D508" s="74"/>
      <c r="E508" s="2"/>
      <c r="F508" s="2"/>
      <c r="G508" s="2"/>
      <c r="H508" s="74"/>
      <c r="I508" s="2"/>
      <c r="J508" s="2"/>
      <c r="K508" s="2"/>
      <c r="L508" s="2"/>
      <c r="M508" s="2"/>
      <c r="N508" s="2"/>
      <c r="O508" s="62"/>
      <c r="P508" s="76"/>
    </row>
    <row r="509" ht="15.75" customHeight="1">
      <c r="A509" s="2"/>
      <c r="B509" s="74"/>
      <c r="C509" s="74"/>
      <c r="D509" s="74"/>
      <c r="E509" s="2"/>
      <c r="F509" s="2"/>
      <c r="G509" s="2"/>
      <c r="H509" s="74"/>
      <c r="I509" s="2"/>
      <c r="J509" s="2"/>
      <c r="K509" s="2"/>
      <c r="L509" s="2"/>
      <c r="M509" s="2"/>
      <c r="N509" s="2"/>
      <c r="O509" s="62"/>
      <c r="P509" s="76"/>
    </row>
    <row r="510" ht="15.75" customHeight="1">
      <c r="A510" s="2"/>
      <c r="B510" s="74"/>
      <c r="C510" s="74"/>
      <c r="D510" s="74"/>
      <c r="E510" s="2"/>
      <c r="F510" s="2"/>
      <c r="G510" s="2"/>
      <c r="H510" s="74"/>
      <c r="I510" s="2"/>
      <c r="J510" s="2"/>
      <c r="K510" s="2"/>
      <c r="L510" s="2"/>
      <c r="M510" s="2"/>
      <c r="N510" s="2"/>
      <c r="O510" s="62"/>
      <c r="P510" s="76"/>
    </row>
    <row r="511" ht="15.75" customHeight="1">
      <c r="A511" s="2"/>
      <c r="B511" s="74"/>
      <c r="C511" s="74"/>
      <c r="D511" s="74"/>
      <c r="E511" s="2"/>
      <c r="F511" s="2"/>
      <c r="G511" s="2"/>
      <c r="H511" s="74"/>
      <c r="I511" s="2"/>
      <c r="J511" s="2"/>
      <c r="K511" s="2"/>
      <c r="L511" s="2"/>
      <c r="M511" s="2"/>
      <c r="N511" s="2"/>
      <c r="O511" s="62"/>
      <c r="P511" s="76"/>
    </row>
    <row r="512" ht="15.75" customHeight="1">
      <c r="A512" s="2"/>
      <c r="B512" s="74"/>
      <c r="C512" s="74"/>
      <c r="D512" s="74"/>
      <c r="E512" s="2"/>
      <c r="F512" s="2"/>
      <c r="G512" s="2"/>
      <c r="H512" s="74"/>
      <c r="I512" s="2"/>
      <c r="J512" s="2"/>
      <c r="K512" s="2"/>
      <c r="L512" s="2"/>
      <c r="M512" s="2"/>
      <c r="N512" s="2"/>
      <c r="O512" s="62"/>
      <c r="P512" s="76"/>
    </row>
    <row r="513" ht="15.75" customHeight="1">
      <c r="A513" s="2"/>
      <c r="B513" s="74"/>
      <c r="C513" s="74"/>
      <c r="D513" s="74"/>
      <c r="E513" s="2"/>
      <c r="F513" s="2"/>
      <c r="G513" s="2"/>
      <c r="H513" s="74"/>
      <c r="I513" s="2"/>
      <c r="J513" s="2"/>
      <c r="K513" s="2"/>
      <c r="L513" s="2"/>
      <c r="M513" s="2"/>
      <c r="N513" s="2"/>
      <c r="O513" s="62"/>
      <c r="P513" s="76"/>
    </row>
    <row r="514" ht="15.75" customHeight="1">
      <c r="A514" s="2"/>
      <c r="B514" s="74"/>
      <c r="C514" s="74"/>
      <c r="D514" s="74"/>
      <c r="E514" s="2"/>
      <c r="F514" s="2"/>
      <c r="G514" s="2"/>
      <c r="H514" s="74"/>
      <c r="I514" s="2"/>
      <c r="J514" s="2"/>
      <c r="K514" s="2"/>
      <c r="L514" s="2"/>
      <c r="M514" s="2"/>
      <c r="N514" s="2"/>
      <c r="O514" s="62"/>
      <c r="P514" s="76"/>
    </row>
    <row r="515" ht="15.75" customHeight="1">
      <c r="A515" s="2"/>
      <c r="B515" s="74"/>
      <c r="C515" s="74"/>
      <c r="D515" s="74"/>
      <c r="E515" s="2"/>
      <c r="F515" s="2"/>
      <c r="G515" s="2"/>
      <c r="H515" s="74"/>
      <c r="I515" s="2"/>
      <c r="J515" s="2"/>
      <c r="K515" s="2"/>
      <c r="L515" s="2"/>
      <c r="M515" s="2"/>
      <c r="N515" s="2"/>
      <c r="O515" s="62"/>
      <c r="P515" s="76"/>
    </row>
    <row r="516" ht="15.75" customHeight="1">
      <c r="A516" s="2"/>
      <c r="B516" s="74"/>
      <c r="C516" s="74"/>
      <c r="D516" s="74"/>
      <c r="E516" s="2"/>
      <c r="F516" s="2"/>
      <c r="G516" s="2"/>
      <c r="H516" s="74"/>
      <c r="I516" s="2"/>
      <c r="J516" s="2"/>
      <c r="K516" s="2"/>
      <c r="L516" s="2"/>
      <c r="M516" s="2"/>
      <c r="N516" s="2"/>
      <c r="O516" s="62"/>
      <c r="P516" s="76"/>
    </row>
    <row r="517" ht="15.75" customHeight="1">
      <c r="A517" s="2"/>
      <c r="B517" s="74"/>
      <c r="C517" s="74"/>
      <c r="D517" s="74"/>
      <c r="E517" s="2"/>
      <c r="F517" s="2"/>
      <c r="G517" s="2"/>
      <c r="H517" s="74"/>
      <c r="I517" s="2"/>
      <c r="J517" s="2"/>
      <c r="K517" s="2"/>
      <c r="L517" s="2"/>
      <c r="M517" s="2"/>
      <c r="N517" s="2"/>
      <c r="O517" s="62"/>
      <c r="P517" s="76"/>
    </row>
    <row r="518" ht="15.75" customHeight="1">
      <c r="A518" s="2"/>
      <c r="B518" s="74"/>
      <c r="C518" s="74"/>
      <c r="D518" s="74"/>
      <c r="E518" s="2"/>
      <c r="F518" s="2"/>
      <c r="G518" s="2"/>
      <c r="H518" s="74"/>
      <c r="I518" s="2"/>
      <c r="J518" s="2"/>
      <c r="K518" s="2"/>
      <c r="L518" s="2"/>
      <c r="M518" s="2"/>
      <c r="N518" s="2"/>
      <c r="O518" s="62"/>
      <c r="P518" s="76"/>
    </row>
    <row r="519" ht="15.75" customHeight="1">
      <c r="A519" s="2"/>
      <c r="B519" s="74"/>
      <c r="C519" s="74"/>
      <c r="D519" s="74"/>
      <c r="E519" s="2"/>
      <c r="F519" s="2"/>
      <c r="G519" s="2"/>
      <c r="H519" s="74"/>
      <c r="I519" s="2"/>
      <c r="J519" s="2"/>
      <c r="K519" s="2"/>
      <c r="L519" s="2"/>
      <c r="M519" s="2"/>
      <c r="N519" s="2"/>
      <c r="O519" s="62"/>
      <c r="P519" s="76"/>
    </row>
    <row r="520" ht="15.75" customHeight="1">
      <c r="A520" s="2"/>
      <c r="B520" s="74"/>
      <c r="C520" s="74"/>
      <c r="D520" s="74"/>
      <c r="E520" s="2"/>
      <c r="F520" s="2"/>
      <c r="G520" s="2"/>
      <c r="H520" s="74"/>
      <c r="I520" s="2"/>
      <c r="J520" s="2"/>
      <c r="K520" s="2"/>
      <c r="L520" s="2"/>
      <c r="M520" s="2"/>
      <c r="N520" s="2"/>
      <c r="O520" s="62"/>
      <c r="P520" s="76"/>
    </row>
    <row r="521" ht="15.75" customHeight="1">
      <c r="A521" s="2"/>
      <c r="B521" s="74"/>
      <c r="C521" s="74"/>
      <c r="D521" s="74"/>
      <c r="E521" s="2"/>
      <c r="F521" s="2"/>
      <c r="G521" s="2"/>
      <c r="H521" s="74"/>
      <c r="I521" s="2"/>
      <c r="J521" s="2"/>
      <c r="K521" s="2"/>
      <c r="L521" s="2"/>
      <c r="M521" s="2"/>
      <c r="N521" s="2"/>
      <c r="O521" s="62"/>
      <c r="P521" s="76"/>
    </row>
    <row r="522" ht="15.75" customHeight="1">
      <c r="A522" s="2"/>
      <c r="B522" s="74"/>
      <c r="C522" s="74"/>
      <c r="D522" s="74"/>
      <c r="E522" s="2"/>
      <c r="F522" s="2"/>
      <c r="G522" s="2"/>
      <c r="H522" s="74"/>
      <c r="I522" s="2"/>
      <c r="J522" s="2"/>
      <c r="K522" s="2"/>
      <c r="L522" s="2"/>
      <c r="M522" s="2"/>
      <c r="N522" s="2"/>
      <c r="O522" s="62"/>
      <c r="P522" s="76"/>
    </row>
    <row r="523" ht="15.75" customHeight="1">
      <c r="A523" s="2"/>
      <c r="B523" s="74"/>
      <c r="C523" s="74"/>
      <c r="D523" s="74"/>
      <c r="E523" s="2"/>
      <c r="F523" s="2"/>
      <c r="G523" s="2"/>
      <c r="H523" s="74"/>
      <c r="I523" s="2"/>
      <c r="J523" s="2"/>
      <c r="K523" s="2"/>
      <c r="L523" s="2"/>
      <c r="M523" s="2"/>
      <c r="N523" s="2"/>
      <c r="O523" s="62"/>
      <c r="P523" s="76"/>
    </row>
    <row r="524" ht="15.75" customHeight="1">
      <c r="A524" s="2"/>
      <c r="B524" s="74"/>
      <c r="C524" s="74"/>
      <c r="D524" s="74"/>
      <c r="E524" s="2"/>
      <c r="F524" s="2"/>
      <c r="G524" s="2"/>
      <c r="H524" s="74"/>
      <c r="I524" s="2"/>
      <c r="J524" s="2"/>
      <c r="K524" s="2"/>
      <c r="L524" s="2"/>
      <c r="M524" s="2"/>
      <c r="N524" s="2"/>
      <c r="O524" s="62"/>
      <c r="P524" s="76"/>
    </row>
    <row r="525" ht="15.75" customHeight="1">
      <c r="A525" s="2"/>
      <c r="B525" s="74"/>
      <c r="C525" s="74"/>
      <c r="D525" s="74"/>
      <c r="E525" s="2"/>
      <c r="F525" s="2"/>
      <c r="G525" s="2"/>
      <c r="H525" s="74"/>
      <c r="I525" s="2"/>
      <c r="J525" s="2"/>
      <c r="K525" s="2"/>
      <c r="L525" s="2"/>
      <c r="M525" s="2"/>
      <c r="N525" s="2"/>
      <c r="O525" s="62"/>
      <c r="P525" s="76"/>
    </row>
    <row r="526" ht="15.75" customHeight="1">
      <c r="A526" s="2"/>
      <c r="B526" s="74"/>
      <c r="C526" s="74"/>
      <c r="D526" s="74"/>
      <c r="E526" s="2"/>
      <c r="F526" s="2"/>
      <c r="G526" s="2"/>
      <c r="H526" s="74"/>
      <c r="I526" s="2"/>
      <c r="J526" s="2"/>
      <c r="K526" s="2"/>
      <c r="L526" s="2"/>
      <c r="M526" s="2"/>
      <c r="N526" s="2"/>
      <c r="O526" s="62"/>
      <c r="P526" s="76"/>
    </row>
    <row r="527" ht="15.75" customHeight="1">
      <c r="A527" s="2"/>
      <c r="B527" s="74"/>
      <c r="C527" s="74"/>
      <c r="D527" s="74"/>
      <c r="E527" s="2"/>
      <c r="F527" s="2"/>
      <c r="G527" s="2"/>
      <c r="H527" s="74"/>
      <c r="I527" s="2"/>
      <c r="J527" s="2"/>
      <c r="K527" s="2"/>
      <c r="L527" s="2"/>
      <c r="M527" s="2"/>
      <c r="N527" s="2"/>
      <c r="O527" s="62"/>
      <c r="P527" s="76"/>
    </row>
    <row r="528" ht="15.75" customHeight="1">
      <c r="A528" s="2"/>
      <c r="B528" s="74"/>
      <c r="C528" s="74"/>
      <c r="D528" s="74"/>
      <c r="E528" s="2"/>
      <c r="F528" s="2"/>
      <c r="G528" s="2"/>
      <c r="H528" s="74"/>
      <c r="I528" s="2"/>
      <c r="J528" s="2"/>
      <c r="K528" s="2"/>
      <c r="L528" s="2"/>
      <c r="M528" s="2"/>
      <c r="N528" s="2"/>
      <c r="O528" s="62"/>
      <c r="P528" s="76"/>
    </row>
    <row r="529" ht="15.75" customHeight="1">
      <c r="A529" s="2"/>
      <c r="B529" s="74"/>
      <c r="C529" s="74"/>
      <c r="D529" s="74"/>
      <c r="E529" s="2"/>
      <c r="F529" s="2"/>
      <c r="G529" s="2"/>
      <c r="H529" s="74"/>
      <c r="I529" s="2"/>
      <c r="J529" s="2"/>
      <c r="K529" s="2"/>
      <c r="L529" s="2"/>
      <c r="M529" s="2"/>
      <c r="N529" s="2"/>
      <c r="O529" s="62"/>
      <c r="P529" s="76"/>
    </row>
    <row r="530" ht="15.75" customHeight="1">
      <c r="A530" s="2"/>
      <c r="B530" s="74"/>
      <c r="C530" s="74"/>
      <c r="D530" s="74"/>
      <c r="E530" s="2"/>
      <c r="F530" s="2"/>
      <c r="G530" s="2"/>
      <c r="H530" s="74"/>
      <c r="I530" s="2"/>
      <c r="J530" s="2"/>
      <c r="K530" s="2"/>
      <c r="L530" s="2"/>
      <c r="M530" s="2"/>
      <c r="N530" s="2"/>
      <c r="O530" s="62"/>
      <c r="P530" s="76"/>
    </row>
    <row r="531" ht="15.75" customHeight="1">
      <c r="A531" s="2"/>
      <c r="B531" s="74"/>
      <c r="C531" s="74"/>
      <c r="D531" s="74"/>
      <c r="E531" s="2"/>
      <c r="F531" s="2"/>
      <c r="G531" s="2"/>
      <c r="H531" s="74"/>
      <c r="I531" s="2"/>
      <c r="J531" s="2"/>
      <c r="K531" s="2"/>
      <c r="L531" s="2"/>
      <c r="M531" s="2"/>
      <c r="N531" s="2"/>
      <c r="O531" s="62"/>
      <c r="P531" s="76"/>
    </row>
    <row r="532" ht="15.75" customHeight="1">
      <c r="A532" s="2"/>
      <c r="B532" s="74"/>
      <c r="C532" s="74"/>
      <c r="D532" s="74"/>
      <c r="E532" s="2"/>
      <c r="F532" s="2"/>
      <c r="G532" s="2"/>
      <c r="H532" s="74"/>
      <c r="I532" s="2"/>
      <c r="J532" s="2"/>
      <c r="K532" s="2"/>
      <c r="L532" s="2"/>
      <c r="M532" s="2"/>
      <c r="N532" s="2"/>
      <c r="O532" s="62"/>
      <c r="P532" s="76"/>
    </row>
    <row r="533" ht="15.75" customHeight="1">
      <c r="A533" s="2"/>
      <c r="B533" s="74"/>
      <c r="C533" s="74"/>
      <c r="D533" s="74"/>
      <c r="E533" s="2"/>
      <c r="F533" s="2"/>
      <c r="G533" s="2"/>
      <c r="H533" s="74"/>
      <c r="I533" s="2"/>
      <c r="J533" s="2"/>
      <c r="K533" s="2"/>
      <c r="L533" s="2"/>
      <c r="M533" s="2"/>
      <c r="N533" s="2"/>
      <c r="O533" s="62"/>
      <c r="P533" s="76"/>
    </row>
    <row r="534" ht="15.75" customHeight="1">
      <c r="A534" s="2"/>
      <c r="B534" s="74"/>
      <c r="C534" s="74"/>
      <c r="D534" s="74"/>
      <c r="E534" s="2"/>
      <c r="F534" s="2"/>
      <c r="G534" s="2"/>
      <c r="H534" s="74"/>
      <c r="I534" s="2"/>
      <c r="J534" s="2"/>
      <c r="K534" s="2"/>
      <c r="L534" s="2"/>
      <c r="M534" s="2"/>
      <c r="N534" s="2"/>
      <c r="O534" s="62"/>
      <c r="P534" s="76"/>
    </row>
    <row r="535" ht="15.75" customHeight="1">
      <c r="A535" s="2"/>
      <c r="B535" s="74"/>
      <c r="C535" s="74"/>
      <c r="D535" s="74"/>
      <c r="E535" s="2"/>
      <c r="F535" s="2"/>
      <c r="G535" s="2"/>
      <c r="H535" s="74"/>
      <c r="I535" s="2"/>
      <c r="J535" s="2"/>
      <c r="K535" s="2"/>
      <c r="L535" s="2"/>
      <c r="M535" s="2"/>
      <c r="N535" s="2"/>
      <c r="O535" s="62"/>
      <c r="P535" s="76"/>
    </row>
    <row r="536" ht="15.75" customHeight="1">
      <c r="A536" s="2"/>
      <c r="B536" s="74"/>
      <c r="C536" s="74"/>
      <c r="D536" s="74"/>
      <c r="E536" s="2"/>
      <c r="F536" s="2"/>
      <c r="G536" s="2"/>
      <c r="H536" s="74"/>
      <c r="I536" s="2"/>
      <c r="J536" s="2"/>
      <c r="K536" s="2"/>
      <c r="L536" s="2"/>
      <c r="M536" s="2"/>
      <c r="N536" s="2"/>
      <c r="O536" s="62"/>
      <c r="P536" s="76"/>
    </row>
    <row r="537" ht="15.75" customHeight="1">
      <c r="A537" s="2"/>
      <c r="B537" s="74"/>
      <c r="C537" s="74"/>
      <c r="D537" s="74"/>
      <c r="E537" s="2"/>
      <c r="F537" s="2"/>
      <c r="G537" s="2"/>
      <c r="H537" s="74"/>
      <c r="I537" s="2"/>
      <c r="J537" s="2"/>
      <c r="K537" s="2"/>
      <c r="L537" s="2"/>
      <c r="M537" s="2"/>
      <c r="N537" s="2"/>
      <c r="O537" s="62"/>
      <c r="P537" s="76"/>
    </row>
    <row r="538" ht="15.75" customHeight="1">
      <c r="A538" s="2"/>
      <c r="B538" s="74"/>
      <c r="C538" s="74"/>
      <c r="D538" s="74"/>
      <c r="E538" s="2"/>
      <c r="F538" s="2"/>
      <c r="G538" s="2"/>
      <c r="H538" s="74"/>
      <c r="I538" s="2"/>
      <c r="J538" s="2"/>
      <c r="K538" s="2"/>
      <c r="L538" s="2"/>
      <c r="M538" s="2"/>
      <c r="N538" s="2"/>
      <c r="O538" s="62"/>
      <c r="P538" s="76"/>
    </row>
    <row r="539" ht="15.75" customHeight="1">
      <c r="A539" s="2"/>
      <c r="B539" s="74"/>
      <c r="C539" s="74"/>
      <c r="D539" s="74"/>
      <c r="E539" s="2"/>
      <c r="F539" s="2"/>
      <c r="G539" s="2"/>
      <c r="H539" s="74"/>
      <c r="I539" s="2"/>
      <c r="J539" s="2"/>
      <c r="K539" s="2"/>
      <c r="L539" s="2"/>
      <c r="M539" s="2"/>
      <c r="N539" s="2"/>
      <c r="O539" s="62"/>
      <c r="P539" s="76"/>
    </row>
    <row r="540" ht="15.75" customHeight="1">
      <c r="A540" s="2"/>
      <c r="B540" s="74"/>
      <c r="C540" s="74"/>
      <c r="D540" s="74"/>
      <c r="E540" s="2"/>
      <c r="F540" s="2"/>
      <c r="G540" s="2"/>
      <c r="H540" s="74"/>
      <c r="I540" s="2"/>
      <c r="J540" s="2"/>
      <c r="K540" s="2"/>
      <c r="L540" s="2"/>
      <c r="M540" s="2"/>
      <c r="N540" s="2"/>
      <c r="O540" s="62"/>
      <c r="P540" s="76"/>
    </row>
    <row r="541" ht="15.75" customHeight="1">
      <c r="A541" s="2"/>
      <c r="B541" s="74"/>
      <c r="C541" s="74"/>
      <c r="D541" s="74"/>
      <c r="E541" s="2"/>
      <c r="F541" s="2"/>
      <c r="G541" s="2"/>
      <c r="H541" s="74"/>
      <c r="I541" s="2"/>
      <c r="J541" s="2"/>
      <c r="K541" s="2"/>
      <c r="L541" s="2"/>
      <c r="M541" s="2"/>
      <c r="N541" s="2"/>
      <c r="O541" s="62"/>
      <c r="P541" s="76"/>
    </row>
    <row r="542" ht="15.75" customHeight="1">
      <c r="A542" s="2"/>
      <c r="B542" s="74"/>
      <c r="C542" s="74"/>
      <c r="D542" s="74"/>
      <c r="E542" s="2"/>
      <c r="F542" s="2"/>
      <c r="G542" s="2"/>
      <c r="H542" s="74"/>
      <c r="I542" s="2"/>
      <c r="J542" s="2"/>
      <c r="K542" s="2"/>
      <c r="L542" s="2"/>
      <c r="M542" s="2"/>
      <c r="N542" s="2"/>
      <c r="O542" s="62"/>
      <c r="P542" s="76"/>
    </row>
    <row r="543" ht="15.75" customHeight="1">
      <c r="A543" s="2"/>
      <c r="B543" s="74"/>
      <c r="C543" s="74"/>
      <c r="D543" s="74"/>
      <c r="E543" s="2"/>
      <c r="F543" s="2"/>
      <c r="G543" s="2"/>
      <c r="H543" s="74"/>
      <c r="I543" s="2"/>
      <c r="J543" s="2"/>
      <c r="K543" s="2"/>
      <c r="L543" s="2"/>
      <c r="M543" s="2"/>
      <c r="N543" s="2"/>
      <c r="O543" s="62"/>
      <c r="P543" s="76"/>
    </row>
    <row r="544" ht="15.75" customHeight="1">
      <c r="A544" s="2"/>
      <c r="B544" s="74"/>
      <c r="C544" s="74"/>
      <c r="D544" s="74"/>
      <c r="E544" s="2"/>
      <c r="F544" s="2"/>
      <c r="G544" s="2"/>
      <c r="H544" s="74"/>
      <c r="I544" s="2"/>
      <c r="J544" s="2"/>
      <c r="K544" s="2"/>
      <c r="L544" s="2"/>
      <c r="M544" s="2"/>
      <c r="N544" s="2"/>
      <c r="O544" s="62"/>
      <c r="P544" s="76"/>
    </row>
    <row r="545" ht="15.75" customHeight="1">
      <c r="A545" s="2"/>
      <c r="B545" s="74"/>
      <c r="C545" s="74"/>
      <c r="D545" s="74"/>
      <c r="E545" s="2"/>
      <c r="F545" s="2"/>
      <c r="G545" s="2"/>
      <c r="H545" s="74"/>
      <c r="I545" s="2"/>
      <c r="J545" s="2"/>
      <c r="K545" s="2"/>
      <c r="L545" s="2"/>
      <c r="M545" s="2"/>
      <c r="N545" s="2"/>
      <c r="O545" s="62"/>
      <c r="P545" s="76"/>
    </row>
    <row r="546" ht="15.75" customHeight="1">
      <c r="A546" s="2"/>
      <c r="B546" s="74"/>
      <c r="C546" s="74"/>
      <c r="D546" s="74"/>
      <c r="E546" s="2"/>
      <c r="F546" s="2"/>
      <c r="G546" s="2"/>
      <c r="H546" s="74"/>
      <c r="I546" s="2"/>
      <c r="J546" s="2"/>
      <c r="K546" s="2"/>
      <c r="L546" s="2"/>
      <c r="M546" s="2"/>
      <c r="N546" s="2"/>
      <c r="O546" s="62"/>
      <c r="P546" s="76"/>
    </row>
    <row r="547" ht="15.75" customHeight="1">
      <c r="A547" s="2"/>
      <c r="B547" s="74"/>
      <c r="C547" s="74"/>
      <c r="D547" s="74"/>
      <c r="E547" s="2"/>
      <c r="F547" s="2"/>
      <c r="G547" s="2"/>
      <c r="H547" s="74"/>
      <c r="I547" s="2"/>
      <c r="J547" s="2"/>
      <c r="K547" s="2"/>
      <c r="L547" s="2"/>
      <c r="M547" s="2"/>
      <c r="N547" s="2"/>
      <c r="O547" s="62"/>
      <c r="P547" s="76"/>
    </row>
    <row r="548" ht="15.75" customHeight="1">
      <c r="A548" s="2"/>
      <c r="B548" s="74"/>
      <c r="C548" s="74"/>
      <c r="D548" s="74"/>
      <c r="E548" s="2"/>
      <c r="F548" s="2"/>
      <c r="G548" s="2"/>
      <c r="H548" s="74"/>
      <c r="I548" s="2"/>
      <c r="J548" s="2"/>
      <c r="K548" s="2"/>
      <c r="L548" s="2"/>
      <c r="M548" s="2"/>
      <c r="N548" s="2"/>
      <c r="O548" s="62"/>
      <c r="P548" s="76"/>
    </row>
    <row r="549" ht="15.75" customHeight="1">
      <c r="A549" s="2"/>
      <c r="B549" s="74"/>
      <c r="C549" s="74"/>
      <c r="D549" s="74"/>
      <c r="E549" s="2"/>
      <c r="F549" s="2"/>
      <c r="G549" s="2"/>
      <c r="H549" s="74"/>
      <c r="I549" s="2"/>
      <c r="J549" s="2"/>
      <c r="K549" s="2"/>
      <c r="L549" s="2"/>
      <c r="M549" s="2"/>
      <c r="N549" s="2"/>
      <c r="O549" s="62"/>
      <c r="P549" s="76"/>
    </row>
    <row r="550" ht="15.75" customHeight="1">
      <c r="A550" s="2"/>
      <c r="B550" s="74"/>
      <c r="C550" s="74"/>
      <c r="D550" s="74"/>
      <c r="E550" s="2"/>
      <c r="F550" s="2"/>
      <c r="G550" s="2"/>
      <c r="H550" s="74"/>
      <c r="I550" s="2"/>
      <c r="J550" s="2"/>
      <c r="K550" s="2"/>
      <c r="L550" s="2"/>
      <c r="M550" s="2"/>
      <c r="N550" s="2"/>
      <c r="O550" s="62"/>
      <c r="P550" s="76"/>
    </row>
    <row r="551" ht="15.75" customHeight="1">
      <c r="A551" s="2"/>
      <c r="B551" s="74"/>
      <c r="C551" s="74"/>
      <c r="D551" s="74"/>
      <c r="E551" s="2"/>
      <c r="F551" s="2"/>
      <c r="G551" s="2"/>
      <c r="H551" s="74"/>
      <c r="I551" s="2"/>
      <c r="J551" s="2"/>
      <c r="K551" s="2"/>
      <c r="L551" s="2"/>
      <c r="M551" s="2"/>
      <c r="N551" s="2"/>
      <c r="O551" s="62"/>
      <c r="P551" s="76"/>
    </row>
    <row r="552" ht="15.75" customHeight="1">
      <c r="A552" s="2"/>
      <c r="B552" s="74"/>
      <c r="C552" s="74"/>
      <c r="D552" s="74"/>
      <c r="E552" s="2"/>
      <c r="F552" s="2"/>
      <c r="G552" s="2"/>
      <c r="H552" s="74"/>
      <c r="I552" s="2"/>
      <c r="J552" s="2"/>
      <c r="K552" s="2"/>
      <c r="L552" s="2"/>
      <c r="M552" s="2"/>
      <c r="N552" s="2"/>
      <c r="O552" s="62"/>
      <c r="P552" s="76"/>
    </row>
    <row r="553" ht="15.75" customHeight="1">
      <c r="A553" s="2"/>
      <c r="B553" s="74"/>
      <c r="C553" s="74"/>
      <c r="D553" s="74"/>
      <c r="E553" s="2"/>
      <c r="F553" s="2"/>
      <c r="G553" s="2"/>
      <c r="H553" s="74"/>
      <c r="I553" s="2"/>
      <c r="J553" s="2"/>
      <c r="K553" s="2"/>
      <c r="L553" s="2"/>
      <c r="M553" s="2"/>
      <c r="N553" s="2"/>
      <c r="O553" s="62"/>
      <c r="P553" s="76"/>
    </row>
    <row r="554" ht="15.75" customHeight="1">
      <c r="A554" s="2"/>
      <c r="B554" s="74"/>
      <c r="C554" s="74"/>
      <c r="D554" s="74"/>
      <c r="E554" s="2"/>
      <c r="F554" s="2"/>
      <c r="G554" s="2"/>
      <c r="H554" s="74"/>
      <c r="I554" s="2"/>
      <c r="J554" s="2"/>
      <c r="K554" s="2"/>
      <c r="L554" s="2"/>
      <c r="M554" s="2"/>
      <c r="N554" s="2"/>
      <c r="O554" s="62"/>
      <c r="P554" s="76"/>
    </row>
    <row r="555" ht="15.75" customHeight="1">
      <c r="A555" s="2"/>
      <c r="B555" s="74"/>
      <c r="C555" s="74"/>
      <c r="D555" s="74"/>
      <c r="E555" s="2"/>
      <c r="F555" s="2"/>
      <c r="G555" s="2"/>
      <c r="H555" s="74"/>
      <c r="I555" s="2"/>
      <c r="J555" s="2"/>
      <c r="K555" s="2"/>
      <c r="L555" s="2"/>
      <c r="M555" s="2"/>
      <c r="N555" s="2"/>
      <c r="O555" s="62"/>
      <c r="P555" s="76"/>
    </row>
    <row r="556" ht="15.75" customHeight="1">
      <c r="A556" s="2"/>
      <c r="B556" s="74"/>
      <c r="C556" s="74"/>
      <c r="D556" s="74"/>
      <c r="E556" s="2"/>
      <c r="F556" s="2"/>
      <c r="G556" s="2"/>
      <c r="H556" s="74"/>
      <c r="I556" s="2"/>
      <c r="J556" s="2"/>
      <c r="K556" s="2"/>
      <c r="L556" s="2"/>
      <c r="M556" s="2"/>
      <c r="N556" s="2"/>
      <c r="O556" s="62"/>
      <c r="P556" s="76"/>
    </row>
    <row r="557" ht="15.75" customHeight="1">
      <c r="A557" s="2"/>
      <c r="B557" s="74"/>
      <c r="C557" s="74"/>
      <c r="D557" s="74"/>
      <c r="E557" s="2"/>
      <c r="F557" s="2"/>
      <c r="G557" s="2"/>
      <c r="H557" s="74"/>
      <c r="I557" s="2"/>
      <c r="J557" s="2"/>
      <c r="K557" s="2"/>
      <c r="L557" s="2"/>
      <c r="M557" s="2"/>
      <c r="N557" s="2"/>
      <c r="O557" s="62"/>
      <c r="P557" s="76"/>
    </row>
    <row r="558" ht="15.75" customHeight="1">
      <c r="A558" s="2"/>
      <c r="B558" s="74"/>
      <c r="C558" s="74"/>
      <c r="D558" s="74"/>
      <c r="E558" s="2"/>
      <c r="F558" s="2"/>
      <c r="G558" s="2"/>
      <c r="H558" s="74"/>
      <c r="I558" s="2"/>
      <c r="J558" s="2"/>
      <c r="K558" s="2"/>
      <c r="L558" s="2"/>
      <c r="M558" s="2"/>
      <c r="N558" s="2"/>
      <c r="O558" s="62"/>
      <c r="P558" s="76"/>
    </row>
    <row r="559" ht="15.75" customHeight="1">
      <c r="A559" s="2"/>
      <c r="B559" s="74"/>
      <c r="C559" s="74"/>
      <c r="D559" s="74"/>
      <c r="E559" s="2"/>
      <c r="F559" s="2"/>
      <c r="G559" s="2"/>
      <c r="H559" s="74"/>
      <c r="I559" s="2"/>
      <c r="J559" s="2"/>
      <c r="K559" s="2"/>
      <c r="L559" s="2"/>
      <c r="M559" s="2"/>
      <c r="N559" s="2"/>
      <c r="O559" s="62"/>
      <c r="P559" s="76"/>
    </row>
    <row r="560" ht="15.75" customHeight="1">
      <c r="A560" s="2"/>
      <c r="B560" s="74"/>
      <c r="C560" s="74"/>
      <c r="D560" s="74"/>
      <c r="E560" s="2"/>
      <c r="F560" s="2"/>
      <c r="G560" s="2"/>
      <c r="H560" s="74"/>
      <c r="I560" s="2"/>
      <c r="J560" s="2"/>
      <c r="K560" s="2"/>
      <c r="L560" s="2"/>
      <c r="M560" s="2"/>
      <c r="N560" s="2"/>
      <c r="O560" s="62"/>
      <c r="P560" s="76"/>
    </row>
    <row r="561" ht="15.75" customHeight="1">
      <c r="A561" s="2"/>
      <c r="B561" s="74"/>
      <c r="C561" s="74"/>
      <c r="D561" s="74"/>
      <c r="E561" s="2"/>
      <c r="F561" s="2"/>
      <c r="G561" s="2"/>
      <c r="H561" s="74"/>
      <c r="I561" s="2"/>
      <c r="J561" s="2"/>
      <c r="K561" s="2"/>
      <c r="L561" s="2"/>
      <c r="M561" s="2"/>
      <c r="N561" s="2"/>
      <c r="O561" s="62"/>
      <c r="P561" s="76"/>
    </row>
    <row r="562" ht="15.75" customHeight="1">
      <c r="A562" s="2"/>
      <c r="B562" s="74"/>
      <c r="C562" s="74"/>
      <c r="D562" s="74"/>
      <c r="E562" s="2"/>
      <c r="F562" s="2"/>
      <c r="G562" s="2"/>
      <c r="H562" s="74"/>
      <c r="I562" s="2"/>
      <c r="J562" s="2"/>
      <c r="K562" s="2"/>
      <c r="L562" s="2"/>
      <c r="M562" s="2"/>
      <c r="N562" s="2"/>
      <c r="O562" s="62"/>
      <c r="P562" s="76"/>
    </row>
    <row r="563" ht="15.75" customHeight="1">
      <c r="A563" s="2"/>
      <c r="B563" s="74"/>
      <c r="C563" s="74"/>
      <c r="D563" s="74"/>
      <c r="E563" s="2"/>
      <c r="F563" s="2"/>
      <c r="G563" s="2"/>
      <c r="H563" s="74"/>
      <c r="I563" s="2"/>
      <c r="J563" s="2"/>
      <c r="K563" s="2"/>
      <c r="L563" s="2"/>
      <c r="M563" s="2"/>
      <c r="N563" s="2"/>
      <c r="O563" s="62"/>
      <c r="P563" s="76"/>
    </row>
    <row r="564" ht="15.75" customHeight="1">
      <c r="A564" s="2"/>
      <c r="B564" s="74"/>
      <c r="C564" s="74"/>
      <c r="D564" s="74"/>
      <c r="E564" s="2"/>
      <c r="F564" s="2"/>
      <c r="G564" s="2"/>
      <c r="H564" s="74"/>
      <c r="I564" s="2"/>
      <c r="J564" s="2"/>
      <c r="K564" s="2"/>
      <c r="L564" s="2"/>
      <c r="M564" s="2"/>
      <c r="N564" s="2"/>
      <c r="O564" s="62"/>
      <c r="P564" s="76"/>
    </row>
    <row r="565" ht="15.75" customHeight="1">
      <c r="A565" s="2"/>
      <c r="B565" s="74"/>
      <c r="C565" s="74"/>
      <c r="D565" s="74"/>
      <c r="E565" s="2"/>
      <c r="F565" s="2"/>
      <c r="G565" s="2"/>
      <c r="H565" s="74"/>
      <c r="I565" s="2"/>
      <c r="J565" s="2"/>
      <c r="K565" s="2"/>
      <c r="L565" s="2"/>
      <c r="M565" s="2"/>
      <c r="N565" s="2"/>
      <c r="O565" s="62"/>
      <c r="P565" s="76"/>
    </row>
    <row r="566" ht="15.75" customHeight="1">
      <c r="A566" s="2"/>
      <c r="B566" s="74"/>
      <c r="C566" s="74"/>
      <c r="D566" s="74"/>
      <c r="E566" s="2"/>
      <c r="F566" s="2"/>
      <c r="G566" s="2"/>
      <c r="H566" s="74"/>
      <c r="I566" s="2"/>
      <c r="J566" s="2"/>
      <c r="K566" s="2"/>
      <c r="L566" s="2"/>
      <c r="M566" s="2"/>
      <c r="N566" s="2"/>
      <c r="O566" s="62"/>
      <c r="P566" s="76"/>
    </row>
    <row r="567" ht="15.75" customHeight="1">
      <c r="A567" s="2"/>
      <c r="B567" s="74"/>
      <c r="C567" s="74"/>
      <c r="D567" s="74"/>
      <c r="E567" s="2"/>
      <c r="F567" s="2"/>
      <c r="G567" s="2"/>
      <c r="H567" s="74"/>
      <c r="I567" s="2"/>
      <c r="J567" s="2"/>
      <c r="K567" s="2"/>
      <c r="L567" s="2"/>
      <c r="M567" s="2"/>
      <c r="N567" s="2"/>
      <c r="O567" s="62"/>
      <c r="P567" s="76"/>
    </row>
    <row r="568" ht="15.75" customHeight="1">
      <c r="A568" s="2"/>
      <c r="B568" s="74"/>
      <c r="C568" s="74"/>
      <c r="D568" s="74"/>
      <c r="E568" s="2"/>
      <c r="F568" s="2"/>
      <c r="G568" s="2"/>
      <c r="H568" s="74"/>
      <c r="I568" s="2"/>
      <c r="J568" s="2"/>
      <c r="K568" s="2"/>
      <c r="L568" s="2"/>
      <c r="M568" s="2"/>
      <c r="N568" s="2"/>
      <c r="O568" s="62"/>
      <c r="P568" s="76"/>
    </row>
    <row r="569" ht="15.75" customHeight="1">
      <c r="A569" s="2"/>
      <c r="B569" s="74"/>
      <c r="C569" s="74"/>
      <c r="D569" s="74"/>
      <c r="E569" s="2"/>
      <c r="F569" s="2"/>
      <c r="G569" s="2"/>
      <c r="H569" s="74"/>
      <c r="I569" s="2"/>
      <c r="J569" s="2"/>
      <c r="K569" s="2"/>
      <c r="L569" s="2"/>
      <c r="M569" s="2"/>
      <c r="N569" s="2"/>
      <c r="O569" s="62"/>
      <c r="P569" s="76"/>
    </row>
    <row r="570" ht="15.75" customHeight="1">
      <c r="A570" s="2"/>
      <c r="B570" s="74"/>
      <c r="C570" s="74"/>
      <c r="D570" s="74"/>
      <c r="E570" s="2"/>
      <c r="F570" s="2"/>
      <c r="G570" s="2"/>
      <c r="H570" s="74"/>
      <c r="I570" s="2"/>
      <c r="J570" s="2"/>
      <c r="K570" s="2"/>
      <c r="L570" s="2"/>
      <c r="M570" s="2"/>
      <c r="N570" s="2"/>
      <c r="O570" s="62"/>
      <c r="P570" s="76"/>
    </row>
    <row r="571" ht="15.75" customHeight="1">
      <c r="A571" s="2"/>
      <c r="B571" s="74"/>
      <c r="C571" s="74"/>
      <c r="D571" s="74"/>
      <c r="E571" s="2"/>
      <c r="F571" s="2"/>
      <c r="G571" s="2"/>
      <c r="H571" s="74"/>
      <c r="I571" s="2"/>
      <c r="J571" s="2"/>
      <c r="K571" s="2"/>
      <c r="L571" s="2"/>
      <c r="M571" s="2"/>
      <c r="N571" s="2"/>
      <c r="O571" s="62"/>
      <c r="P571" s="76"/>
    </row>
    <row r="572" ht="15.75" customHeight="1">
      <c r="A572" s="2"/>
      <c r="B572" s="74"/>
      <c r="C572" s="74"/>
      <c r="D572" s="74"/>
      <c r="E572" s="2"/>
      <c r="F572" s="2"/>
      <c r="G572" s="2"/>
      <c r="H572" s="74"/>
      <c r="I572" s="2"/>
      <c r="J572" s="2"/>
      <c r="K572" s="2"/>
      <c r="L572" s="2"/>
      <c r="M572" s="2"/>
      <c r="N572" s="2"/>
      <c r="O572" s="62"/>
      <c r="P572" s="76"/>
    </row>
    <row r="573" ht="15.75" customHeight="1">
      <c r="A573" s="2"/>
      <c r="B573" s="74"/>
      <c r="C573" s="74"/>
      <c r="D573" s="74"/>
      <c r="E573" s="2"/>
      <c r="F573" s="2"/>
      <c r="G573" s="2"/>
      <c r="H573" s="74"/>
      <c r="I573" s="2"/>
      <c r="J573" s="2"/>
      <c r="K573" s="2"/>
      <c r="L573" s="2"/>
      <c r="M573" s="2"/>
      <c r="N573" s="2"/>
      <c r="O573" s="62"/>
      <c r="P573" s="76"/>
    </row>
    <row r="574" ht="15.75" customHeight="1">
      <c r="A574" s="2"/>
      <c r="B574" s="74"/>
      <c r="C574" s="74"/>
      <c r="D574" s="74"/>
      <c r="E574" s="2"/>
      <c r="F574" s="2"/>
      <c r="G574" s="2"/>
      <c r="H574" s="74"/>
      <c r="I574" s="2"/>
      <c r="J574" s="2"/>
      <c r="K574" s="2"/>
      <c r="L574" s="2"/>
      <c r="M574" s="2"/>
      <c r="N574" s="2"/>
      <c r="O574" s="62"/>
      <c r="P574" s="76"/>
    </row>
    <row r="575" ht="15.75" customHeight="1">
      <c r="A575" s="2"/>
      <c r="B575" s="74"/>
      <c r="C575" s="74"/>
      <c r="D575" s="74"/>
      <c r="E575" s="2"/>
      <c r="F575" s="2"/>
      <c r="G575" s="2"/>
      <c r="H575" s="74"/>
      <c r="I575" s="2"/>
      <c r="J575" s="2"/>
      <c r="K575" s="2"/>
      <c r="L575" s="2"/>
      <c r="M575" s="2"/>
      <c r="N575" s="2"/>
      <c r="O575" s="62"/>
      <c r="P575" s="76"/>
    </row>
    <row r="576" ht="15.75" customHeight="1">
      <c r="A576" s="2"/>
      <c r="B576" s="74"/>
      <c r="C576" s="74"/>
      <c r="D576" s="74"/>
      <c r="E576" s="2"/>
      <c r="F576" s="2"/>
      <c r="G576" s="2"/>
      <c r="H576" s="74"/>
      <c r="I576" s="2"/>
      <c r="J576" s="2"/>
      <c r="K576" s="2"/>
      <c r="L576" s="2"/>
      <c r="M576" s="2"/>
      <c r="N576" s="2"/>
      <c r="O576" s="62"/>
      <c r="P576" s="76"/>
    </row>
    <row r="577" ht="15.75" customHeight="1">
      <c r="A577" s="2"/>
      <c r="B577" s="74"/>
      <c r="C577" s="74"/>
      <c r="D577" s="74"/>
      <c r="E577" s="2"/>
      <c r="F577" s="2"/>
      <c r="G577" s="2"/>
      <c r="H577" s="74"/>
      <c r="I577" s="2"/>
      <c r="J577" s="2"/>
      <c r="K577" s="2"/>
      <c r="L577" s="2"/>
      <c r="M577" s="2"/>
      <c r="N577" s="2"/>
      <c r="O577" s="62"/>
      <c r="P577" s="76"/>
    </row>
    <row r="578" ht="15.75" customHeight="1">
      <c r="A578" s="2"/>
      <c r="B578" s="74"/>
      <c r="C578" s="74"/>
      <c r="D578" s="74"/>
      <c r="E578" s="2"/>
      <c r="F578" s="2"/>
      <c r="G578" s="2"/>
      <c r="H578" s="74"/>
      <c r="I578" s="2"/>
      <c r="J578" s="2"/>
      <c r="K578" s="2"/>
      <c r="L578" s="2"/>
      <c r="M578" s="2"/>
      <c r="N578" s="2"/>
      <c r="O578" s="62"/>
      <c r="P578" s="76"/>
    </row>
    <row r="579" ht="15.75" customHeight="1">
      <c r="A579" s="2"/>
      <c r="B579" s="74"/>
      <c r="C579" s="74"/>
      <c r="D579" s="74"/>
      <c r="E579" s="2"/>
      <c r="F579" s="2"/>
      <c r="G579" s="2"/>
      <c r="H579" s="74"/>
      <c r="I579" s="2"/>
      <c r="J579" s="2"/>
      <c r="K579" s="2"/>
      <c r="L579" s="2"/>
      <c r="M579" s="2"/>
      <c r="N579" s="2"/>
      <c r="O579" s="62"/>
      <c r="P579" s="76"/>
    </row>
    <row r="580" ht="15.75" customHeight="1">
      <c r="A580" s="2"/>
      <c r="B580" s="74"/>
      <c r="C580" s="74"/>
      <c r="D580" s="74"/>
      <c r="E580" s="2"/>
      <c r="F580" s="2"/>
      <c r="G580" s="2"/>
      <c r="H580" s="74"/>
      <c r="I580" s="2"/>
      <c r="J580" s="2"/>
      <c r="K580" s="2"/>
      <c r="L580" s="2"/>
      <c r="M580" s="2"/>
      <c r="N580" s="2"/>
      <c r="O580" s="62"/>
      <c r="P580" s="76"/>
    </row>
    <row r="581" ht="15.75" customHeight="1">
      <c r="A581" s="2"/>
      <c r="B581" s="74"/>
      <c r="C581" s="74"/>
      <c r="D581" s="74"/>
      <c r="E581" s="2"/>
      <c r="F581" s="2"/>
      <c r="G581" s="2"/>
      <c r="H581" s="74"/>
      <c r="I581" s="2"/>
      <c r="J581" s="2"/>
      <c r="K581" s="2"/>
      <c r="L581" s="2"/>
      <c r="M581" s="2"/>
      <c r="N581" s="2"/>
      <c r="O581" s="62"/>
      <c r="P581" s="76"/>
    </row>
    <row r="582" ht="15.75" customHeight="1">
      <c r="A582" s="2"/>
      <c r="B582" s="74"/>
      <c r="C582" s="74"/>
      <c r="D582" s="74"/>
      <c r="E582" s="2"/>
      <c r="F582" s="2"/>
      <c r="G582" s="2"/>
      <c r="H582" s="74"/>
      <c r="I582" s="2"/>
      <c r="J582" s="2"/>
      <c r="K582" s="2"/>
      <c r="L582" s="2"/>
      <c r="M582" s="2"/>
      <c r="N582" s="2"/>
      <c r="O582" s="62"/>
      <c r="P582" s="76"/>
    </row>
    <row r="583" ht="15.75" customHeight="1">
      <c r="A583" s="2"/>
      <c r="B583" s="74"/>
      <c r="C583" s="74"/>
      <c r="D583" s="74"/>
      <c r="E583" s="2"/>
      <c r="F583" s="2"/>
      <c r="G583" s="2"/>
      <c r="H583" s="74"/>
      <c r="I583" s="2"/>
      <c r="J583" s="2"/>
      <c r="K583" s="2"/>
      <c r="L583" s="2"/>
      <c r="M583" s="2"/>
      <c r="N583" s="2"/>
      <c r="O583" s="62"/>
      <c r="P583" s="76"/>
    </row>
    <row r="584" ht="15.75" customHeight="1">
      <c r="A584" s="2"/>
      <c r="B584" s="74"/>
      <c r="C584" s="74"/>
      <c r="D584" s="74"/>
      <c r="E584" s="2"/>
      <c r="F584" s="2"/>
      <c r="G584" s="2"/>
      <c r="H584" s="74"/>
      <c r="I584" s="2"/>
      <c r="J584" s="2"/>
      <c r="K584" s="2"/>
      <c r="L584" s="2"/>
      <c r="M584" s="2"/>
      <c r="N584" s="2"/>
      <c r="O584" s="62"/>
      <c r="P584" s="76"/>
    </row>
    <row r="585" ht="15.75" customHeight="1">
      <c r="A585" s="2"/>
      <c r="B585" s="74"/>
      <c r="C585" s="74"/>
      <c r="D585" s="74"/>
      <c r="E585" s="2"/>
      <c r="F585" s="2"/>
      <c r="G585" s="2"/>
      <c r="H585" s="74"/>
      <c r="I585" s="2"/>
      <c r="J585" s="2"/>
      <c r="K585" s="2"/>
      <c r="L585" s="2"/>
      <c r="M585" s="2"/>
      <c r="N585" s="2"/>
      <c r="O585" s="62"/>
      <c r="P585" s="76"/>
    </row>
    <row r="586" ht="15.75" customHeight="1">
      <c r="A586" s="2"/>
      <c r="B586" s="74"/>
      <c r="C586" s="74"/>
      <c r="D586" s="74"/>
      <c r="E586" s="2"/>
      <c r="F586" s="2"/>
      <c r="G586" s="2"/>
      <c r="H586" s="74"/>
      <c r="I586" s="2"/>
      <c r="J586" s="2"/>
      <c r="K586" s="2"/>
      <c r="L586" s="2"/>
      <c r="M586" s="2"/>
      <c r="N586" s="2"/>
      <c r="O586" s="62"/>
      <c r="P586" s="76"/>
    </row>
    <row r="587" ht="15.75" customHeight="1">
      <c r="A587" s="2"/>
      <c r="B587" s="74"/>
      <c r="C587" s="74"/>
      <c r="D587" s="74"/>
      <c r="E587" s="2"/>
      <c r="F587" s="2"/>
      <c r="G587" s="2"/>
      <c r="H587" s="74"/>
      <c r="I587" s="2"/>
      <c r="J587" s="2"/>
      <c r="K587" s="2"/>
      <c r="L587" s="2"/>
      <c r="M587" s="2"/>
      <c r="N587" s="2"/>
      <c r="O587" s="62"/>
      <c r="P587" s="76"/>
    </row>
    <row r="588" ht="15.75" customHeight="1">
      <c r="A588" s="2"/>
      <c r="B588" s="74"/>
      <c r="C588" s="74"/>
      <c r="D588" s="74"/>
      <c r="E588" s="2"/>
      <c r="F588" s="2"/>
      <c r="G588" s="2"/>
      <c r="H588" s="74"/>
      <c r="I588" s="2"/>
      <c r="J588" s="2"/>
      <c r="K588" s="2"/>
      <c r="L588" s="2"/>
      <c r="M588" s="2"/>
      <c r="N588" s="2"/>
      <c r="O588" s="62"/>
      <c r="P588" s="76"/>
    </row>
    <row r="589" ht="15.75" customHeight="1">
      <c r="A589" s="2"/>
      <c r="B589" s="74"/>
      <c r="C589" s="74"/>
      <c r="D589" s="74"/>
      <c r="E589" s="2"/>
      <c r="F589" s="2"/>
      <c r="G589" s="2"/>
      <c r="H589" s="74"/>
      <c r="I589" s="2"/>
      <c r="J589" s="2"/>
      <c r="K589" s="2"/>
      <c r="L589" s="2"/>
      <c r="M589" s="2"/>
      <c r="N589" s="2"/>
      <c r="O589" s="62"/>
      <c r="P589" s="76"/>
    </row>
    <row r="590" ht="15.75" customHeight="1">
      <c r="A590" s="2"/>
      <c r="B590" s="74"/>
      <c r="C590" s="74"/>
      <c r="D590" s="74"/>
      <c r="E590" s="2"/>
      <c r="F590" s="2"/>
      <c r="G590" s="2"/>
      <c r="H590" s="74"/>
      <c r="I590" s="2"/>
      <c r="J590" s="2"/>
      <c r="K590" s="2"/>
      <c r="L590" s="2"/>
      <c r="M590" s="2"/>
      <c r="N590" s="2"/>
      <c r="O590" s="62"/>
      <c r="P590" s="76"/>
    </row>
    <row r="591" ht="15.75" customHeight="1">
      <c r="A591" s="2"/>
      <c r="B591" s="74"/>
      <c r="C591" s="74"/>
      <c r="D591" s="74"/>
      <c r="E591" s="2"/>
      <c r="F591" s="2"/>
      <c r="G591" s="2"/>
      <c r="H591" s="74"/>
      <c r="I591" s="2"/>
      <c r="J591" s="2"/>
      <c r="K591" s="2"/>
      <c r="L591" s="2"/>
      <c r="M591" s="2"/>
      <c r="N591" s="2"/>
      <c r="O591" s="62"/>
      <c r="P591" s="76"/>
    </row>
    <row r="592" ht="15.75" customHeight="1">
      <c r="A592" s="2"/>
      <c r="B592" s="74"/>
      <c r="C592" s="74"/>
      <c r="D592" s="74"/>
      <c r="E592" s="2"/>
      <c r="F592" s="2"/>
      <c r="G592" s="2"/>
      <c r="H592" s="74"/>
      <c r="I592" s="2"/>
      <c r="J592" s="2"/>
      <c r="K592" s="2"/>
      <c r="L592" s="2"/>
      <c r="M592" s="2"/>
      <c r="N592" s="2"/>
      <c r="O592" s="62"/>
      <c r="P592" s="76"/>
    </row>
    <row r="593" ht="15.75" customHeight="1">
      <c r="A593" s="2"/>
      <c r="B593" s="74"/>
      <c r="C593" s="74"/>
      <c r="D593" s="74"/>
      <c r="E593" s="2"/>
      <c r="F593" s="2"/>
      <c r="G593" s="2"/>
      <c r="H593" s="74"/>
      <c r="I593" s="2"/>
      <c r="J593" s="2"/>
      <c r="K593" s="2"/>
      <c r="L593" s="2"/>
      <c r="M593" s="2"/>
      <c r="N593" s="2"/>
      <c r="O593" s="62"/>
      <c r="P593" s="76"/>
    </row>
    <row r="594" ht="15.75" customHeight="1">
      <c r="A594" s="2"/>
      <c r="B594" s="74"/>
      <c r="C594" s="74"/>
      <c r="D594" s="74"/>
      <c r="E594" s="2"/>
      <c r="F594" s="2"/>
      <c r="G594" s="2"/>
      <c r="H594" s="74"/>
      <c r="I594" s="2"/>
      <c r="J594" s="2"/>
      <c r="K594" s="2"/>
      <c r="L594" s="2"/>
      <c r="M594" s="2"/>
      <c r="N594" s="2"/>
      <c r="O594" s="62"/>
      <c r="P594" s="76"/>
    </row>
    <row r="595" ht="15.75" customHeight="1">
      <c r="A595" s="2"/>
      <c r="B595" s="74"/>
      <c r="C595" s="74"/>
      <c r="D595" s="74"/>
      <c r="E595" s="2"/>
      <c r="F595" s="2"/>
      <c r="G595" s="2"/>
      <c r="H595" s="74"/>
      <c r="I595" s="2"/>
      <c r="J595" s="2"/>
      <c r="K595" s="2"/>
      <c r="L595" s="2"/>
      <c r="M595" s="2"/>
      <c r="N595" s="2"/>
      <c r="O595" s="62"/>
      <c r="P595" s="76"/>
    </row>
    <row r="596" ht="15.75" customHeight="1">
      <c r="A596" s="2"/>
      <c r="B596" s="74"/>
      <c r="C596" s="74"/>
      <c r="D596" s="74"/>
      <c r="E596" s="2"/>
      <c r="F596" s="2"/>
      <c r="G596" s="2"/>
      <c r="H596" s="74"/>
      <c r="I596" s="2"/>
      <c r="J596" s="2"/>
      <c r="K596" s="2"/>
      <c r="L596" s="2"/>
      <c r="M596" s="2"/>
      <c r="N596" s="2"/>
      <c r="O596" s="62"/>
      <c r="P596" s="76"/>
    </row>
    <row r="597" ht="15.75" customHeight="1">
      <c r="A597" s="2"/>
      <c r="B597" s="74"/>
      <c r="C597" s="74"/>
      <c r="D597" s="74"/>
      <c r="E597" s="2"/>
      <c r="F597" s="2"/>
      <c r="G597" s="2"/>
      <c r="H597" s="74"/>
      <c r="I597" s="2"/>
      <c r="J597" s="2"/>
      <c r="K597" s="2"/>
      <c r="L597" s="2"/>
      <c r="M597" s="2"/>
      <c r="N597" s="2"/>
      <c r="O597" s="62"/>
      <c r="P597" s="76"/>
    </row>
    <row r="598" ht="15.75" customHeight="1">
      <c r="A598" s="2"/>
      <c r="B598" s="74"/>
      <c r="C598" s="74"/>
      <c r="D598" s="74"/>
      <c r="E598" s="2"/>
      <c r="F598" s="2"/>
      <c r="G598" s="2"/>
      <c r="H598" s="74"/>
      <c r="I598" s="2"/>
      <c r="J598" s="2"/>
      <c r="K598" s="2"/>
      <c r="L598" s="2"/>
      <c r="M598" s="2"/>
      <c r="N598" s="2"/>
      <c r="O598" s="62"/>
      <c r="P598" s="76"/>
    </row>
    <row r="599" ht="15.75" customHeight="1">
      <c r="A599" s="2"/>
      <c r="B599" s="74"/>
      <c r="C599" s="74"/>
      <c r="D599" s="74"/>
      <c r="E599" s="2"/>
      <c r="F599" s="2"/>
      <c r="G599" s="2"/>
      <c r="H599" s="74"/>
      <c r="I599" s="2"/>
      <c r="J599" s="2"/>
      <c r="K599" s="2"/>
      <c r="L599" s="2"/>
      <c r="M599" s="2"/>
      <c r="N599" s="2"/>
      <c r="O599" s="62"/>
      <c r="P599" s="76"/>
    </row>
    <row r="600" ht="15.75" customHeight="1">
      <c r="A600" s="2"/>
      <c r="B600" s="74"/>
      <c r="C600" s="74"/>
      <c r="D600" s="74"/>
      <c r="E600" s="2"/>
      <c r="F600" s="2"/>
      <c r="G600" s="2"/>
      <c r="H600" s="74"/>
      <c r="I600" s="2"/>
      <c r="J600" s="2"/>
      <c r="K600" s="2"/>
      <c r="L600" s="2"/>
      <c r="M600" s="2"/>
      <c r="N600" s="2"/>
      <c r="O600" s="62"/>
      <c r="P600" s="76"/>
    </row>
    <row r="601" ht="15.75" customHeight="1">
      <c r="A601" s="2"/>
      <c r="B601" s="74"/>
      <c r="C601" s="74"/>
      <c r="D601" s="74"/>
      <c r="E601" s="2"/>
      <c r="F601" s="2"/>
      <c r="G601" s="2"/>
      <c r="H601" s="74"/>
      <c r="I601" s="2"/>
      <c r="J601" s="2"/>
      <c r="K601" s="2"/>
      <c r="L601" s="2"/>
      <c r="M601" s="2"/>
      <c r="N601" s="2"/>
      <c r="O601" s="62"/>
      <c r="P601" s="76"/>
    </row>
    <row r="602" ht="15.75" customHeight="1">
      <c r="A602" s="2"/>
      <c r="B602" s="74"/>
      <c r="C602" s="74"/>
      <c r="D602" s="74"/>
      <c r="E602" s="2"/>
      <c r="F602" s="2"/>
      <c r="G602" s="2"/>
      <c r="H602" s="74"/>
      <c r="I602" s="2"/>
      <c r="J602" s="2"/>
      <c r="K602" s="2"/>
      <c r="L602" s="2"/>
      <c r="M602" s="2"/>
      <c r="N602" s="2"/>
      <c r="O602" s="62"/>
      <c r="P602" s="76"/>
    </row>
    <row r="603" ht="15.75" customHeight="1">
      <c r="A603" s="2"/>
      <c r="B603" s="74"/>
      <c r="C603" s="74"/>
      <c r="D603" s="74"/>
      <c r="E603" s="2"/>
      <c r="F603" s="2"/>
      <c r="G603" s="2"/>
      <c r="H603" s="74"/>
      <c r="I603" s="2"/>
      <c r="J603" s="2"/>
      <c r="K603" s="2"/>
      <c r="L603" s="2"/>
      <c r="M603" s="2"/>
      <c r="N603" s="2"/>
      <c r="O603" s="62"/>
      <c r="P603" s="76"/>
    </row>
    <row r="604" ht="15.75" customHeight="1">
      <c r="A604" s="2"/>
      <c r="B604" s="74"/>
      <c r="C604" s="74"/>
      <c r="D604" s="74"/>
      <c r="E604" s="2"/>
      <c r="F604" s="2"/>
      <c r="G604" s="2"/>
      <c r="H604" s="74"/>
      <c r="I604" s="2"/>
      <c r="J604" s="2"/>
      <c r="K604" s="2"/>
      <c r="L604" s="2"/>
      <c r="M604" s="2"/>
      <c r="N604" s="2"/>
      <c r="O604" s="62"/>
      <c r="P604" s="76"/>
    </row>
    <row r="605" ht="15.75" customHeight="1">
      <c r="A605" s="2"/>
      <c r="B605" s="74"/>
      <c r="C605" s="74"/>
      <c r="D605" s="74"/>
      <c r="E605" s="2"/>
      <c r="F605" s="2"/>
      <c r="G605" s="2"/>
      <c r="H605" s="74"/>
      <c r="I605" s="2"/>
      <c r="J605" s="2"/>
      <c r="K605" s="2"/>
      <c r="L605" s="2"/>
      <c r="M605" s="2"/>
      <c r="N605" s="2"/>
      <c r="O605" s="62"/>
      <c r="P605" s="76"/>
    </row>
    <row r="606" ht="15.75" customHeight="1">
      <c r="A606" s="2"/>
      <c r="B606" s="74"/>
      <c r="C606" s="74"/>
      <c r="D606" s="74"/>
      <c r="E606" s="2"/>
      <c r="F606" s="2"/>
      <c r="G606" s="2"/>
      <c r="H606" s="74"/>
      <c r="I606" s="2"/>
      <c r="J606" s="2"/>
      <c r="K606" s="2"/>
      <c r="L606" s="2"/>
      <c r="M606" s="2"/>
      <c r="N606" s="2"/>
      <c r="O606" s="62"/>
      <c r="P606" s="76"/>
    </row>
    <row r="607" ht="15.75" customHeight="1">
      <c r="A607" s="2"/>
      <c r="B607" s="74"/>
      <c r="C607" s="74"/>
      <c r="D607" s="74"/>
      <c r="E607" s="2"/>
      <c r="F607" s="2"/>
      <c r="G607" s="2"/>
      <c r="H607" s="74"/>
      <c r="I607" s="2"/>
      <c r="J607" s="2"/>
      <c r="K607" s="2"/>
      <c r="L607" s="2"/>
      <c r="M607" s="2"/>
      <c r="N607" s="2"/>
      <c r="O607" s="62"/>
      <c r="P607" s="76"/>
    </row>
    <row r="608" ht="15.75" customHeight="1">
      <c r="A608" s="2"/>
      <c r="B608" s="74"/>
      <c r="C608" s="74"/>
      <c r="D608" s="74"/>
      <c r="E608" s="2"/>
      <c r="F608" s="2"/>
      <c r="G608" s="2"/>
      <c r="H608" s="74"/>
      <c r="I608" s="2"/>
      <c r="J608" s="2"/>
      <c r="K608" s="2"/>
      <c r="L608" s="2"/>
      <c r="M608" s="2"/>
      <c r="N608" s="2"/>
      <c r="O608" s="62"/>
      <c r="P608" s="76"/>
    </row>
    <row r="609" ht="15.75" customHeight="1">
      <c r="A609" s="2"/>
      <c r="B609" s="74"/>
      <c r="C609" s="74"/>
      <c r="D609" s="74"/>
      <c r="E609" s="2"/>
      <c r="F609" s="2"/>
      <c r="G609" s="2"/>
      <c r="H609" s="74"/>
      <c r="I609" s="2"/>
      <c r="J609" s="2"/>
      <c r="K609" s="2"/>
      <c r="L609" s="2"/>
      <c r="M609" s="2"/>
      <c r="N609" s="2"/>
      <c r="O609" s="62"/>
      <c r="P609" s="76"/>
    </row>
    <row r="610" ht="15.75" customHeight="1">
      <c r="A610" s="2"/>
      <c r="B610" s="74"/>
      <c r="C610" s="74"/>
      <c r="D610" s="74"/>
      <c r="E610" s="2"/>
      <c r="F610" s="2"/>
      <c r="G610" s="2"/>
      <c r="H610" s="74"/>
      <c r="I610" s="2"/>
      <c r="J610" s="2"/>
      <c r="K610" s="2"/>
      <c r="L610" s="2"/>
      <c r="M610" s="2"/>
      <c r="N610" s="2"/>
      <c r="O610" s="62"/>
      <c r="P610" s="76"/>
    </row>
    <row r="611" ht="15.75" customHeight="1">
      <c r="A611" s="2"/>
      <c r="B611" s="74"/>
      <c r="C611" s="74"/>
      <c r="D611" s="74"/>
      <c r="E611" s="2"/>
      <c r="F611" s="2"/>
      <c r="G611" s="2"/>
      <c r="H611" s="74"/>
      <c r="I611" s="2"/>
      <c r="J611" s="2"/>
      <c r="K611" s="2"/>
      <c r="L611" s="2"/>
      <c r="M611" s="2"/>
      <c r="N611" s="2"/>
      <c r="O611" s="62"/>
      <c r="P611" s="76"/>
    </row>
    <row r="612" ht="15.75" customHeight="1">
      <c r="A612" s="2"/>
      <c r="B612" s="74"/>
      <c r="C612" s="74"/>
      <c r="D612" s="74"/>
      <c r="E612" s="2"/>
      <c r="F612" s="2"/>
      <c r="G612" s="2"/>
      <c r="H612" s="74"/>
      <c r="I612" s="2"/>
      <c r="J612" s="2"/>
      <c r="K612" s="2"/>
      <c r="L612" s="2"/>
      <c r="M612" s="2"/>
      <c r="N612" s="2"/>
      <c r="O612" s="62"/>
      <c r="P612" s="76"/>
    </row>
    <row r="613" ht="15.75" customHeight="1">
      <c r="A613" s="2"/>
      <c r="B613" s="74"/>
      <c r="C613" s="74"/>
      <c r="D613" s="74"/>
      <c r="E613" s="2"/>
      <c r="F613" s="2"/>
      <c r="G613" s="2"/>
      <c r="H613" s="74"/>
      <c r="I613" s="2"/>
      <c r="J613" s="2"/>
      <c r="K613" s="2"/>
      <c r="L613" s="2"/>
      <c r="M613" s="2"/>
      <c r="N613" s="2"/>
      <c r="O613" s="62"/>
      <c r="P613" s="76"/>
    </row>
    <row r="614" ht="15.75" customHeight="1">
      <c r="A614" s="2"/>
      <c r="B614" s="74"/>
      <c r="C614" s="74"/>
      <c r="D614" s="74"/>
      <c r="E614" s="2"/>
      <c r="F614" s="2"/>
      <c r="G614" s="2"/>
      <c r="H614" s="74"/>
      <c r="I614" s="2"/>
      <c r="J614" s="2"/>
      <c r="K614" s="2"/>
      <c r="L614" s="2"/>
      <c r="M614" s="2"/>
      <c r="N614" s="2"/>
      <c r="O614" s="62"/>
      <c r="P614" s="76"/>
    </row>
    <row r="615" ht="15.75" customHeight="1">
      <c r="A615" s="2"/>
      <c r="B615" s="74"/>
      <c r="C615" s="74"/>
      <c r="D615" s="74"/>
      <c r="E615" s="2"/>
      <c r="F615" s="2"/>
      <c r="G615" s="2"/>
      <c r="H615" s="74"/>
      <c r="I615" s="2"/>
      <c r="J615" s="2"/>
      <c r="K615" s="2"/>
      <c r="L615" s="2"/>
      <c r="M615" s="2"/>
      <c r="N615" s="2"/>
      <c r="O615" s="62"/>
      <c r="P615" s="76"/>
    </row>
    <row r="616" ht="15.75" customHeight="1">
      <c r="A616" s="2"/>
      <c r="B616" s="74"/>
      <c r="C616" s="74"/>
      <c r="D616" s="74"/>
      <c r="E616" s="2"/>
      <c r="F616" s="2"/>
      <c r="G616" s="2"/>
      <c r="H616" s="74"/>
      <c r="I616" s="2"/>
      <c r="J616" s="2"/>
      <c r="K616" s="2"/>
      <c r="L616" s="2"/>
      <c r="M616" s="2"/>
      <c r="N616" s="2"/>
      <c r="O616" s="62"/>
      <c r="P616" s="76"/>
    </row>
    <row r="617" ht="15.75" customHeight="1">
      <c r="A617" s="2"/>
      <c r="B617" s="74"/>
      <c r="C617" s="74"/>
      <c r="D617" s="74"/>
      <c r="E617" s="2"/>
      <c r="F617" s="2"/>
      <c r="G617" s="2"/>
      <c r="H617" s="74"/>
      <c r="I617" s="2"/>
      <c r="J617" s="2"/>
      <c r="K617" s="2"/>
      <c r="L617" s="2"/>
      <c r="M617" s="2"/>
      <c r="N617" s="2"/>
      <c r="O617" s="62"/>
      <c r="P617" s="76"/>
    </row>
    <row r="618" ht="15.75" customHeight="1">
      <c r="A618" s="2"/>
      <c r="B618" s="74"/>
      <c r="C618" s="74"/>
      <c r="D618" s="74"/>
      <c r="E618" s="2"/>
      <c r="F618" s="2"/>
      <c r="G618" s="2"/>
      <c r="H618" s="74"/>
      <c r="I618" s="2"/>
      <c r="J618" s="2"/>
      <c r="K618" s="2"/>
      <c r="L618" s="2"/>
      <c r="M618" s="2"/>
      <c r="N618" s="2"/>
      <c r="O618" s="62"/>
      <c r="P618" s="76"/>
    </row>
    <row r="619" ht="15.75" customHeight="1">
      <c r="A619" s="2"/>
      <c r="B619" s="74"/>
      <c r="C619" s="74"/>
      <c r="D619" s="74"/>
      <c r="E619" s="2"/>
      <c r="F619" s="2"/>
      <c r="G619" s="2"/>
      <c r="H619" s="74"/>
      <c r="I619" s="2"/>
      <c r="J619" s="2"/>
      <c r="K619" s="2"/>
      <c r="L619" s="2"/>
      <c r="M619" s="2"/>
      <c r="N619" s="2"/>
      <c r="O619" s="62"/>
      <c r="P619" s="76"/>
    </row>
    <row r="620" ht="15.75" customHeight="1">
      <c r="A620" s="2"/>
      <c r="B620" s="74"/>
      <c r="C620" s="74"/>
      <c r="D620" s="74"/>
      <c r="E620" s="2"/>
      <c r="F620" s="2"/>
      <c r="G620" s="2"/>
      <c r="H620" s="74"/>
      <c r="I620" s="2"/>
      <c r="J620" s="2"/>
      <c r="K620" s="2"/>
      <c r="L620" s="2"/>
      <c r="M620" s="2"/>
      <c r="N620" s="2"/>
      <c r="O620" s="62"/>
      <c r="P620" s="76"/>
    </row>
    <row r="621" ht="15.75" customHeight="1">
      <c r="A621" s="2"/>
      <c r="B621" s="74"/>
      <c r="C621" s="74"/>
      <c r="D621" s="74"/>
      <c r="E621" s="2"/>
      <c r="F621" s="2"/>
      <c r="G621" s="2"/>
      <c r="H621" s="74"/>
      <c r="I621" s="2"/>
      <c r="J621" s="2"/>
      <c r="K621" s="2"/>
      <c r="L621" s="2"/>
      <c r="M621" s="2"/>
      <c r="N621" s="2"/>
      <c r="O621" s="62"/>
      <c r="P621" s="76"/>
    </row>
    <row r="622" ht="15.75" customHeight="1">
      <c r="A622" s="2"/>
      <c r="B622" s="74"/>
      <c r="C622" s="74"/>
      <c r="D622" s="74"/>
      <c r="E622" s="2"/>
      <c r="F622" s="2"/>
      <c r="G622" s="2"/>
      <c r="H622" s="74"/>
      <c r="I622" s="2"/>
      <c r="J622" s="2"/>
      <c r="K622" s="2"/>
      <c r="L622" s="2"/>
      <c r="M622" s="2"/>
      <c r="N622" s="2"/>
      <c r="O622" s="62"/>
      <c r="P622" s="76"/>
    </row>
    <row r="623" ht="15.75" customHeight="1">
      <c r="A623" s="2"/>
      <c r="B623" s="74"/>
      <c r="C623" s="74"/>
      <c r="D623" s="74"/>
      <c r="E623" s="2"/>
      <c r="F623" s="2"/>
      <c r="G623" s="2"/>
      <c r="H623" s="74"/>
      <c r="I623" s="2"/>
      <c r="J623" s="2"/>
      <c r="K623" s="2"/>
      <c r="L623" s="2"/>
      <c r="M623" s="2"/>
      <c r="N623" s="2"/>
      <c r="O623" s="62"/>
      <c r="P623" s="76"/>
    </row>
    <row r="624" ht="15.75" customHeight="1">
      <c r="A624" s="2"/>
      <c r="B624" s="74"/>
      <c r="C624" s="74"/>
      <c r="D624" s="74"/>
      <c r="E624" s="2"/>
      <c r="F624" s="2"/>
      <c r="G624" s="2"/>
      <c r="H624" s="74"/>
      <c r="I624" s="2"/>
      <c r="J624" s="2"/>
      <c r="K624" s="2"/>
      <c r="L624" s="2"/>
      <c r="M624" s="2"/>
      <c r="N624" s="2"/>
      <c r="O624" s="62"/>
      <c r="P624" s="76"/>
    </row>
    <row r="625" ht="15.75" customHeight="1">
      <c r="A625" s="2"/>
      <c r="B625" s="74"/>
      <c r="C625" s="74"/>
      <c r="D625" s="74"/>
      <c r="E625" s="2"/>
      <c r="F625" s="2"/>
      <c r="G625" s="2"/>
      <c r="H625" s="74"/>
      <c r="I625" s="2"/>
      <c r="J625" s="2"/>
      <c r="K625" s="2"/>
      <c r="L625" s="2"/>
      <c r="M625" s="2"/>
      <c r="N625" s="2"/>
      <c r="O625" s="62"/>
      <c r="P625" s="76"/>
    </row>
    <row r="626" ht="15.75" customHeight="1">
      <c r="A626" s="2"/>
      <c r="B626" s="74"/>
      <c r="C626" s="74"/>
      <c r="D626" s="74"/>
      <c r="E626" s="2"/>
      <c r="F626" s="2"/>
      <c r="G626" s="2"/>
      <c r="H626" s="74"/>
      <c r="I626" s="2"/>
      <c r="J626" s="2"/>
      <c r="K626" s="2"/>
      <c r="L626" s="2"/>
      <c r="M626" s="2"/>
      <c r="N626" s="2"/>
      <c r="O626" s="62"/>
      <c r="P626" s="76"/>
    </row>
    <row r="627" ht="15.75" customHeight="1">
      <c r="A627" s="2"/>
      <c r="B627" s="74"/>
      <c r="C627" s="74"/>
      <c r="D627" s="74"/>
      <c r="E627" s="2"/>
      <c r="F627" s="2"/>
      <c r="G627" s="2"/>
      <c r="H627" s="74"/>
      <c r="I627" s="2"/>
      <c r="J627" s="2"/>
      <c r="K627" s="2"/>
      <c r="L627" s="2"/>
      <c r="M627" s="2"/>
      <c r="N627" s="2"/>
      <c r="O627" s="62"/>
      <c r="P627" s="76"/>
    </row>
    <row r="628" ht="15.75" customHeight="1">
      <c r="A628" s="2"/>
      <c r="B628" s="74"/>
      <c r="C628" s="74"/>
      <c r="D628" s="74"/>
      <c r="E628" s="2"/>
      <c r="F628" s="2"/>
      <c r="G628" s="2"/>
      <c r="H628" s="74"/>
      <c r="I628" s="2"/>
      <c r="J628" s="2"/>
      <c r="K628" s="2"/>
      <c r="L628" s="2"/>
      <c r="M628" s="2"/>
      <c r="N628" s="2"/>
      <c r="O628" s="62"/>
      <c r="P628" s="76"/>
    </row>
    <row r="629" ht="15.75" customHeight="1">
      <c r="A629" s="2"/>
      <c r="B629" s="74"/>
      <c r="C629" s="74"/>
      <c r="D629" s="74"/>
      <c r="E629" s="2"/>
      <c r="F629" s="2"/>
      <c r="G629" s="2"/>
      <c r="H629" s="74"/>
      <c r="I629" s="2"/>
      <c r="J629" s="2"/>
      <c r="K629" s="2"/>
      <c r="L629" s="2"/>
      <c r="M629" s="2"/>
      <c r="N629" s="2"/>
      <c r="O629" s="62"/>
      <c r="P629" s="76"/>
    </row>
    <row r="630" ht="15.75" customHeight="1">
      <c r="A630" s="2"/>
      <c r="B630" s="74"/>
      <c r="C630" s="74"/>
      <c r="D630" s="74"/>
      <c r="E630" s="2"/>
      <c r="F630" s="2"/>
      <c r="G630" s="2"/>
      <c r="H630" s="74"/>
      <c r="I630" s="2"/>
      <c r="J630" s="2"/>
      <c r="K630" s="2"/>
      <c r="L630" s="2"/>
      <c r="M630" s="2"/>
      <c r="N630" s="2"/>
      <c r="O630" s="62"/>
      <c r="P630" s="76"/>
    </row>
    <row r="631" ht="15.75" customHeight="1">
      <c r="A631" s="2"/>
      <c r="B631" s="74"/>
      <c r="C631" s="74"/>
      <c r="D631" s="74"/>
      <c r="E631" s="2"/>
      <c r="F631" s="2"/>
      <c r="G631" s="2"/>
      <c r="H631" s="74"/>
      <c r="I631" s="2"/>
      <c r="J631" s="2"/>
      <c r="K631" s="2"/>
      <c r="L631" s="2"/>
      <c r="M631" s="2"/>
      <c r="N631" s="2"/>
      <c r="O631" s="62"/>
      <c r="P631" s="76"/>
    </row>
    <row r="632" ht="15.75" customHeight="1">
      <c r="A632" s="2"/>
      <c r="B632" s="74"/>
      <c r="C632" s="74"/>
      <c r="D632" s="74"/>
      <c r="E632" s="2"/>
      <c r="F632" s="2"/>
      <c r="G632" s="2"/>
      <c r="H632" s="74"/>
      <c r="I632" s="2"/>
      <c r="J632" s="2"/>
      <c r="K632" s="2"/>
      <c r="L632" s="2"/>
      <c r="M632" s="2"/>
      <c r="N632" s="2"/>
      <c r="O632" s="62"/>
      <c r="P632" s="76"/>
    </row>
    <row r="633" ht="15.75" customHeight="1">
      <c r="A633" s="2"/>
      <c r="B633" s="74"/>
      <c r="C633" s="74"/>
      <c r="D633" s="74"/>
      <c r="E633" s="2"/>
      <c r="F633" s="2"/>
      <c r="G633" s="2"/>
      <c r="H633" s="74"/>
      <c r="I633" s="2"/>
      <c r="J633" s="2"/>
      <c r="K633" s="2"/>
      <c r="L633" s="2"/>
      <c r="M633" s="2"/>
      <c r="N633" s="2"/>
      <c r="O633" s="62"/>
      <c r="P633" s="76"/>
    </row>
    <row r="634" ht="15.75" customHeight="1">
      <c r="A634" s="2"/>
      <c r="B634" s="74"/>
      <c r="C634" s="74"/>
      <c r="D634" s="74"/>
      <c r="E634" s="2"/>
      <c r="F634" s="2"/>
      <c r="G634" s="2"/>
      <c r="H634" s="74"/>
      <c r="I634" s="2"/>
      <c r="J634" s="2"/>
      <c r="K634" s="2"/>
      <c r="L634" s="2"/>
      <c r="M634" s="2"/>
      <c r="N634" s="2"/>
      <c r="O634" s="62"/>
      <c r="P634" s="76"/>
    </row>
    <row r="635" ht="15.75" customHeight="1">
      <c r="A635" s="2"/>
      <c r="B635" s="74"/>
      <c r="C635" s="74"/>
      <c r="D635" s="74"/>
      <c r="E635" s="2"/>
      <c r="F635" s="2"/>
      <c r="G635" s="2"/>
      <c r="H635" s="74"/>
      <c r="I635" s="2"/>
      <c r="J635" s="2"/>
      <c r="K635" s="2"/>
      <c r="L635" s="2"/>
      <c r="M635" s="2"/>
      <c r="N635" s="2"/>
      <c r="O635" s="62"/>
      <c r="P635" s="76"/>
    </row>
    <row r="636" ht="15.75" customHeight="1">
      <c r="A636" s="2"/>
      <c r="B636" s="74"/>
      <c r="C636" s="74"/>
      <c r="D636" s="74"/>
      <c r="E636" s="2"/>
      <c r="F636" s="2"/>
      <c r="G636" s="2"/>
      <c r="H636" s="74"/>
      <c r="I636" s="2"/>
      <c r="J636" s="2"/>
      <c r="K636" s="2"/>
      <c r="L636" s="2"/>
      <c r="M636" s="2"/>
      <c r="N636" s="2"/>
      <c r="O636" s="62"/>
      <c r="P636" s="76"/>
    </row>
    <row r="637" ht="15.75" customHeight="1">
      <c r="A637" s="2"/>
      <c r="B637" s="74"/>
      <c r="C637" s="74"/>
      <c r="D637" s="74"/>
      <c r="E637" s="2"/>
      <c r="F637" s="2"/>
      <c r="G637" s="2"/>
      <c r="H637" s="74"/>
      <c r="I637" s="2"/>
      <c r="J637" s="2"/>
      <c r="K637" s="2"/>
      <c r="L637" s="2"/>
      <c r="M637" s="2"/>
      <c r="N637" s="2"/>
      <c r="O637" s="62"/>
      <c r="P637" s="76"/>
    </row>
    <row r="638" ht="15.75" customHeight="1">
      <c r="A638" s="2"/>
      <c r="B638" s="74"/>
      <c r="C638" s="74"/>
      <c r="D638" s="74"/>
      <c r="E638" s="2"/>
      <c r="F638" s="2"/>
      <c r="G638" s="2"/>
      <c r="H638" s="74"/>
      <c r="I638" s="2"/>
      <c r="J638" s="2"/>
      <c r="K638" s="2"/>
      <c r="L638" s="2"/>
      <c r="M638" s="2"/>
      <c r="N638" s="2"/>
      <c r="O638" s="62"/>
      <c r="P638" s="76"/>
    </row>
    <row r="639" ht="15.75" customHeight="1">
      <c r="A639" s="2"/>
      <c r="B639" s="74"/>
      <c r="C639" s="74"/>
      <c r="D639" s="74"/>
      <c r="E639" s="2"/>
      <c r="F639" s="2"/>
      <c r="G639" s="2"/>
      <c r="H639" s="74"/>
      <c r="I639" s="2"/>
      <c r="J639" s="2"/>
      <c r="K639" s="2"/>
      <c r="L639" s="2"/>
      <c r="M639" s="2"/>
      <c r="N639" s="2"/>
      <c r="O639" s="62"/>
      <c r="P639" s="76"/>
    </row>
    <row r="640" ht="15.75" customHeight="1">
      <c r="A640" s="2"/>
      <c r="B640" s="74"/>
      <c r="C640" s="74"/>
      <c r="D640" s="74"/>
      <c r="E640" s="2"/>
      <c r="F640" s="2"/>
      <c r="G640" s="2"/>
      <c r="H640" s="74"/>
      <c r="I640" s="2"/>
      <c r="J640" s="2"/>
      <c r="K640" s="2"/>
      <c r="L640" s="2"/>
      <c r="M640" s="2"/>
      <c r="N640" s="2"/>
      <c r="O640" s="62"/>
      <c r="P640" s="76"/>
    </row>
    <row r="641" ht="15.75" customHeight="1">
      <c r="A641" s="2"/>
      <c r="B641" s="74"/>
      <c r="C641" s="74"/>
      <c r="D641" s="74"/>
      <c r="E641" s="2"/>
      <c r="F641" s="2"/>
      <c r="G641" s="2"/>
      <c r="H641" s="74"/>
      <c r="I641" s="2"/>
      <c r="J641" s="2"/>
      <c r="K641" s="2"/>
      <c r="L641" s="2"/>
      <c r="M641" s="2"/>
      <c r="N641" s="2"/>
      <c r="O641" s="62"/>
      <c r="P641" s="76"/>
    </row>
    <row r="642" ht="15.75" customHeight="1">
      <c r="A642" s="2"/>
      <c r="B642" s="74"/>
      <c r="C642" s="74"/>
      <c r="D642" s="74"/>
      <c r="E642" s="2"/>
      <c r="F642" s="2"/>
      <c r="G642" s="2"/>
      <c r="H642" s="74"/>
      <c r="I642" s="2"/>
      <c r="J642" s="2"/>
      <c r="K642" s="2"/>
      <c r="L642" s="2"/>
      <c r="M642" s="2"/>
      <c r="N642" s="2"/>
      <c r="O642" s="62"/>
      <c r="P642" s="76"/>
    </row>
    <row r="643" ht="15.75" customHeight="1">
      <c r="A643" s="2"/>
      <c r="B643" s="74"/>
      <c r="C643" s="74"/>
      <c r="D643" s="74"/>
      <c r="E643" s="2"/>
      <c r="F643" s="2"/>
      <c r="G643" s="2"/>
      <c r="H643" s="74"/>
      <c r="I643" s="2"/>
      <c r="J643" s="2"/>
      <c r="K643" s="2"/>
      <c r="L643" s="2"/>
      <c r="M643" s="2"/>
      <c r="N643" s="2"/>
      <c r="O643" s="62"/>
      <c r="P643" s="76"/>
    </row>
    <row r="644" ht="15.75" customHeight="1">
      <c r="A644" s="2"/>
      <c r="B644" s="74"/>
      <c r="C644" s="74"/>
      <c r="D644" s="74"/>
      <c r="E644" s="2"/>
      <c r="F644" s="2"/>
      <c r="G644" s="2"/>
      <c r="H644" s="74"/>
      <c r="I644" s="2"/>
      <c r="J644" s="2"/>
      <c r="K644" s="2"/>
      <c r="L644" s="2"/>
      <c r="M644" s="2"/>
      <c r="N644" s="2"/>
      <c r="O644" s="62"/>
      <c r="P644" s="76"/>
    </row>
    <row r="645" ht="15.75" customHeight="1">
      <c r="A645" s="2"/>
      <c r="B645" s="74"/>
      <c r="C645" s="74"/>
      <c r="D645" s="74"/>
      <c r="E645" s="2"/>
      <c r="F645" s="2"/>
      <c r="G645" s="2"/>
      <c r="H645" s="74"/>
      <c r="I645" s="2"/>
      <c r="J645" s="2"/>
      <c r="K645" s="2"/>
      <c r="L645" s="2"/>
      <c r="M645" s="2"/>
      <c r="N645" s="2"/>
      <c r="O645" s="62"/>
      <c r="P645" s="76"/>
    </row>
    <row r="646" ht="15.75" customHeight="1">
      <c r="A646" s="2"/>
      <c r="B646" s="74"/>
      <c r="C646" s="74"/>
      <c r="D646" s="74"/>
      <c r="E646" s="2"/>
      <c r="F646" s="2"/>
      <c r="G646" s="2"/>
      <c r="H646" s="74"/>
      <c r="I646" s="2"/>
      <c r="J646" s="2"/>
      <c r="K646" s="2"/>
      <c r="L646" s="2"/>
      <c r="M646" s="2"/>
      <c r="N646" s="2"/>
      <c r="O646" s="62"/>
      <c r="P646" s="76"/>
    </row>
    <row r="647" ht="15.75" customHeight="1">
      <c r="A647" s="2"/>
      <c r="B647" s="74"/>
      <c r="C647" s="74"/>
      <c r="D647" s="74"/>
      <c r="E647" s="2"/>
      <c r="F647" s="2"/>
      <c r="G647" s="2"/>
      <c r="H647" s="74"/>
      <c r="I647" s="2"/>
      <c r="J647" s="2"/>
      <c r="K647" s="2"/>
      <c r="L647" s="2"/>
      <c r="M647" s="2"/>
      <c r="N647" s="2"/>
      <c r="O647" s="62"/>
      <c r="P647" s="76"/>
    </row>
    <row r="648" ht="15.75" customHeight="1">
      <c r="A648" s="2"/>
      <c r="B648" s="74"/>
      <c r="C648" s="74"/>
      <c r="D648" s="74"/>
      <c r="E648" s="2"/>
      <c r="F648" s="2"/>
      <c r="G648" s="2"/>
      <c r="H648" s="74"/>
      <c r="I648" s="2"/>
      <c r="J648" s="2"/>
      <c r="K648" s="2"/>
      <c r="L648" s="2"/>
      <c r="M648" s="2"/>
      <c r="N648" s="2"/>
      <c r="O648" s="62"/>
      <c r="P648" s="76"/>
    </row>
    <row r="649" ht="15.75" customHeight="1">
      <c r="A649" s="2"/>
      <c r="B649" s="74"/>
      <c r="C649" s="74"/>
      <c r="D649" s="74"/>
      <c r="E649" s="2"/>
      <c r="F649" s="2"/>
      <c r="G649" s="2"/>
      <c r="H649" s="74"/>
      <c r="I649" s="2"/>
      <c r="J649" s="2"/>
      <c r="K649" s="2"/>
      <c r="L649" s="2"/>
      <c r="M649" s="2"/>
      <c r="N649" s="2"/>
      <c r="O649" s="62"/>
      <c r="P649" s="76"/>
    </row>
    <row r="650" ht="15.75" customHeight="1">
      <c r="A650" s="2"/>
      <c r="B650" s="74"/>
      <c r="C650" s="74"/>
      <c r="D650" s="74"/>
      <c r="E650" s="2"/>
      <c r="F650" s="2"/>
      <c r="G650" s="2"/>
      <c r="H650" s="74"/>
      <c r="I650" s="2"/>
      <c r="J650" s="2"/>
      <c r="K650" s="2"/>
      <c r="L650" s="2"/>
      <c r="M650" s="2"/>
      <c r="N650" s="2"/>
      <c r="O650" s="62"/>
      <c r="P650" s="76"/>
    </row>
    <row r="651" ht="15.75" customHeight="1">
      <c r="A651" s="2"/>
      <c r="B651" s="74"/>
      <c r="C651" s="74"/>
      <c r="D651" s="74"/>
      <c r="E651" s="2"/>
      <c r="F651" s="2"/>
      <c r="G651" s="2"/>
      <c r="H651" s="74"/>
      <c r="I651" s="2"/>
      <c r="J651" s="2"/>
      <c r="K651" s="2"/>
      <c r="L651" s="2"/>
      <c r="M651" s="2"/>
      <c r="N651" s="2"/>
      <c r="O651" s="62"/>
      <c r="P651" s="76"/>
    </row>
    <row r="652" ht="15.75" customHeight="1">
      <c r="A652" s="2"/>
      <c r="B652" s="74"/>
      <c r="C652" s="74"/>
      <c r="D652" s="74"/>
      <c r="E652" s="2"/>
      <c r="F652" s="2"/>
      <c r="G652" s="2"/>
      <c r="H652" s="74"/>
      <c r="I652" s="2"/>
      <c r="J652" s="2"/>
      <c r="K652" s="2"/>
      <c r="L652" s="2"/>
      <c r="M652" s="2"/>
      <c r="N652" s="2"/>
      <c r="O652" s="62"/>
      <c r="P652" s="76"/>
    </row>
    <row r="653" ht="15.75" customHeight="1">
      <c r="A653" s="2"/>
      <c r="B653" s="74"/>
      <c r="C653" s="74"/>
      <c r="D653" s="74"/>
      <c r="E653" s="2"/>
      <c r="F653" s="2"/>
      <c r="G653" s="2"/>
      <c r="H653" s="74"/>
      <c r="I653" s="2"/>
      <c r="J653" s="2"/>
      <c r="K653" s="2"/>
      <c r="L653" s="2"/>
      <c r="M653" s="2"/>
      <c r="N653" s="2"/>
      <c r="O653" s="62"/>
      <c r="P653" s="76"/>
    </row>
    <row r="654" ht="15.75" customHeight="1">
      <c r="A654" s="2"/>
      <c r="B654" s="74"/>
      <c r="C654" s="74"/>
      <c r="D654" s="74"/>
      <c r="E654" s="2"/>
      <c r="F654" s="2"/>
      <c r="G654" s="2"/>
      <c r="H654" s="74"/>
      <c r="I654" s="2"/>
      <c r="J654" s="2"/>
      <c r="K654" s="2"/>
      <c r="L654" s="2"/>
      <c r="M654" s="2"/>
      <c r="N654" s="2"/>
      <c r="O654" s="62"/>
      <c r="P654" s="76"/>
    </row>
    <row r="655" ht="15.75" customHeight="1">
      <c r="A655" s="2"/>
      <c r="B655" s="74"/>
      <c r="C655" s="74"/>
      <c r="D655" s="74"/>
      <c r="E655" s="2"/>
      <c r="F655" s="2"/>
      <c r="G655" s="2"/>
      <c r="H655" s="74"/>
      <c r="I655" s="2"/>
      <c r="J655" s="2"/>
      <c r="K655" s="2"/>
      <c r="L655" s="2"/>
      <c r="M655" s="2"/>
      <c r="N655" s="2"/>
      <c r="O655" s="62"/>
      <c r="P655" s="76"/>
    </row>
    <row r="656" ht="15.75" customHeight="1">
      <c r="A656" s="2"/>
      <c r="B656" s="74"/>
      <c r="C656" s="74"/>
      <c r="D656" s="74"/>
      <c r="E656" s="2"/>
      <c r="F656" s="2"/>
      <c r="G656" s="2"/>
      <c r="H656" s="74"/>
      <c r="I656" s="2"/>
      <c r="J656" s="2"/>
      <c r="K656" s="2"/>
      <c r="L656" s="2"/>
      <c r="M656" s="2"/>
      <c r="N656" s="2"/>
      <c r="O656" s="62"/>
      <c r="P656" s="76"/>
    </row>
    <row r="657" ht="15.75" customHeight="1">
      <c r="A657" s="2"/>
      <c r="B657" s="74"/>
      <c r="C657" s="74"/>
      <c r="D657" s="74"/>
      <c r="E657" s="2"/>
      <c r="F657" s="2"/>
      <c r="G657" s="2"/>
      <c r="H657" s="74"/>
      <c r="I657" s="2"/>
      <c r="J657" s="2"/>
      <c r="K657" s="2"/>
      <c r="L657" s="2"/>
      <c r="M657" s="2"/>
      <c r="N657" s="2"/>
      <c r="O657" s="62"/>
      <c r="P657" s="76"/>
    </row>
    <row r="658" ht="15.75" customHeight="1">
      <c r="A658" s="2"/>
      <c r="B658" s="74"/>
      <c r="C658" s="74"/>
      <c r="D658" s="74"/>
      <c r="E658" s="2"/>
      <c r="F658" s="2"/>
      <c r="G658" s="2"/>
      <c r="H658" s="74"/>
      <c r="I658" s="2"/>
      <c r="J658" s="2"/>
      <c r="K658" s="2"/>
      <c r="L658" s="2"/>
      <c r="M658" s="2"/>
      <c r="N658" s="2"/>
      <c r="O658" s="62"/>
      <c r="P658" s="76"/>
    </row>
    <row r="659" ht="15.75" customHeight="1">
      <c r="A659" s="2"/>
      <c r="B659" s="74"/>
      <c r="C659" s="74"/>
      <c r="D659" s="74"/>
      <c r="E659" s="2"/>
      <c r="F659" s="2"/>
      <c r="G659" s="2"/>
      <c r="H659" s="74"/>
      <c r="I659" s="2"/>
      <c r="J659" s="2"/>
      <c r="K659" s="2"/>
      <c r="L659" s="2"/>
      <c r="M659" s="2"/>
      <c r="N659" s="2"/>
      <c r="O659" s="62"/>
      <c r="P659" s="76"/>
    </row>
    <row r="660" ht="15.75" customHeight="1">
      <c r="A660" s="2"/>
      <c r="B660" s="74"/>
      <c r="C660" s="74"/>
      <c r="D660" s="74"/>
      <c r="E660" s="2"/>
      <c r="F660" s="2"/>
      <c r="G660" s="2"/>
      <c r="H660" s="74"/>
      <c r="I660" s="2"/>
      <c r="J660" s="2"/>
      <c r="K660" s="2"/>
      <c r="L660" s="2"/>
      <c r="M660" s="2"/>
      <c r="N660" s="2"/>
      <c r="O660" s="62"/>
      <c r="P660" s="76"/>
    </row>
    <row r="661" ht="15.75" customHeight="1">
      <c r="A661" s="2"/>
      <c r="B661" s="74"/>
      <c r="C661" s="74"/>
      <c r="D661" s="74"/>
      <c r="E661" s="2"/>
      <c r="F661" s="2"/>
      <c r="G661" s="2"/>
      <c r="H661" s="74"/>
      <c r="I661" s="2"/>
      <c r="J661" s="2"/>
      <c r="K661" s="2"/>
      <c r="L661" s="2"/>
      <c r="M661" s="2"/>
      <c r="N661" s="2"/>
      <c r="O661" s="62"/>
      <c r="P661" s="76"/>
    </row>
    <row r="662" ht="15.75" customHeight="1">
      <c r="A662" s="2"/>
      <c r="B662" s="74"/>
      <c r="C662" s="74"/>
      <c r="D662" s="74"/>
      <c r="E662" s="2"/>
      <c r="F662" s="2"/>
      <c r="G662" s="2"/>
      <c r="H662" s="74"/>
      <c r="I662" s="2"/>
      <c r="J662" s="2"/>
      <c r="K662" s="2"/>
      <c r="L662" s="2"/>
      <c r="M662" s="2"/>
      <c r="N662" s="2"/>
      <c r="O662" s="62"/>
      <c r="P662" s="76"/>
    </row>
    <row r="663" ht="15.75" customHeight="1">
      <c r="A663" s="2"/>
      <c r="B663" s="74"/>
      <c r="C663" s="74"/>
      <c r="D663" s="74"/>
      <c r="E663" s="2"/>
      <c r="F663" s="2"/>
      <c r="G663" s="2"/>
      <c r="H663" s="74"/>
      <c r="I663" s="2"/>
      <c r="J663" s="2"/>
      <c r="K663" s="2"/>
      <c r="L663" s="2"/>
      <c r="M663" s="2"/>
      <c r="N663" s="2"/>
      <c r="O663" s="62"/>
      <c r="P663" s="76"/>
    </row>
    <row r="664" ht="15.75" customHeight="1">
      <c r="A664" s="2"/>
      <c r="B664" s="74"/>
      <c r="C664" s="74"/>
      <c r="D664" s="74"/>
      <c r="E664" s="2"/>
      <c r="F664" s="2"/>
      <c r="G664" s="2"/>
      <c r="H664" s="74"/>
      <c r="I664" s="2"/>
      <c r="J664" s="2"/>
      <c r="K664" s="2"/>
      <c r="L664" s="2"/>
      <c r="M664" s="2"/>
      <c r="N664" s="2"/>
      <c r="O664" s="62"/>
      <c r="P664" s="76"/>
    </row>
    <row r="665" ht="15.75" customHeight="1">
      <c r="A665" s="2"/>
      <c r="B665" s="74"/>
      <c r="C665" s="74"/>
      <c r="D665" s="74"/>
      <c r="E665" s="2"/>
      <c r="F665" s="2"/>
      <c r="G665" s="2"/>
      <c r="H665" s="74"/>
      <c r="I665" s="2"/>
      <c r="J665" s="2"/>
      <c r="K665" s="2"/>
      <c r="L665" s="2"/>
      <c r="M665" s="2"/>
      <c r="N665" s="2"/>
      <c r="O665" s="62"/>
      <c r="P665" s="76"/>
    </row>
    <row r="666" ht="15.75" customHeight="1">
      <c r="A666" s="2"/>
      <c r="B666" s="74"/>
      <c r="C666" s="74"/>
      <c r="D666" s="74"/>
      <c r="E666" s="2"/>
      <c r="F666" s="2"/>
      <c r="G666" s="2"/>
      <c r="H666" s="74"/>
      <c r="I666" s="2"/>
      <c r="J666" s="2"/>
      <c r="K666" s="2"/>
      <c r="L666" s="2"/>
      <c r="M666" s="2"/>
      <c r="N666" s="2"/>
      <c r="O666" s="62"/>
      <c r="P666" s="76"/>
    </row>
    <row r="667" ht="15.75" customHeight="1">
      <c r="A667" s="2"/>
      <c r="B667" s="74"/>
      <c r="C667" s="74"/>
      <c r="D667" s="74"/>
      <c r="E667" s="2"/>
      <c r="F667" s="2"/>
      <c r="G667" s="2"/>
      <c r="H667" s="74"/>
      <c r="I667" s="2"/>
      <c r="J667" s="2"/>
      <c r="K667" s="2"/>
      <c r="L667" s="2"/>
      <c r="M667" s="2"/>
      <c r="N667" s="2"/>
      <c r="O667" s="62"/>
      <c r="P667" s="76"/>
    </row>
    <row r="668" ht="15.75" customHeight="1">
      <c r="A668" s="2"/>
      <c r="B668" s="74"/>
      <c r="C668" s="74"/>
      <c r="D668" s="74"/>
      <c r="E668" s="2"/>
      <c r="F668" s="2"/>
      <c r="G668" s="2"/>
      <c r="H668" s="74"/>
      <c r="I668" s="2"/>
      <c r="J668" s="2"/>
      <c r="K668" s="2"/>
      <c r="L668" s="2"/>
      <c r="M668" s="2"/>
      <c r="N668" s="2"/>
      <c r="O668" s="62"/>
      <c r="P668" s="76"/>
    </row>
    <row r="669" ht="15.75" customHeight="1">
      <c r="A669" s="2"/>
      <c r="B669" s="74"/>
      <c r="C669" s="74"/>
      <c r="D669" s="74"/>
      <c r="E669" s="2"/>
      <c r="F669" s="2"/>
      <c r="G669" s="2"/>
      <c r="H669" s="74"/>
      <c r="I669" s="2"/>
      <c r="J669" s="2"/>
      <c r="K669" s="2"/>
      <c r="L669" s="2"/>
      <c r="M669" s="2"/>
      <c r="N669" s="2"/>
      <c r="O669" s="62"/>
      <c r="P669" s="76"/>
    </row>
    <row r="670" ht="15.75" customHeight="1">
      <c r="A670" s="2"/>
      <c r="B670" s="74"/>
      <c r="C670" s="74"/>
      <c r="D670" s="74"/>
      <c r="E670" s="2"/>
      <c r="F670" s="2"/>
      <c r="G670" s="2"/>
      <c r="H670" s="74"/>
      <c r="I670" s="2"/>
      <c r="J670" s="2"/>
      <c r="K670" s="2"/>
      <c r="L670" s="2"/>
      <c r="M670" s="2"/>
      <c r="N670" s="2"/>
      <c r="O670" s="62"/>
      <c r="P670" s="76"/>
    </row>
    <row r="671" ht="15.75" customHeight="1">
      <c r="A671" s="2"/>
      <c r="B671" s="74"/>
      <c r="C671" s="74"/>
      <c r="D671" s="74"/>
      <c r="E671" s="2"/>
      <c r="F671" s="2"/>
      <c r="G671" s="2"/>
      <c r="H671" s="74"/>
      <c r="I671" s="2"/>
      <c r="J671" s="2"/>
      <c r="K671" s="2"/>
      <c r="L671" s="2"/>
      <c r="M671" s="2"/>
      <c r="N671" s="2"/>
      <c r="O671" s="62"/>
      <c r="P671" s="76"/>
    </row>
    <row r="672" ht="15.75" customHeight="1">
      <c r="A672" s="2"/>
      <c r="B672" s="74"/>
      <c r="C672" s="74"/>
      <c r="D672" s="74"/>
      <c r="E672" s="2"/>
      <c r="F672" s="2"/>
      <c r="G672" s="2"/>
      <c r="H672" s="74"/>
      <c r="I672" s="2"/>
      <c r="J672" s="2"/>
      <c r="K672" s="2"/>
      <c r="L672" s="2"/>
      <c r="M672" s="2"/>
      <c r="N672" s="2"/>
      <c r="O672" s="62"/>
      <c r="P672" s="76"/>
    </row>
    <row r="673" ht="15.75" customHeight="1">
      <c r="A673" s="2"/>
      <c r="B673" s="74"/>
      <c r="C673" s="74"/>
      <c r="D673" s="74"/>
      <c r="E673" s="2"/>
      <c r="F673" s="2"/>
      <c r="G673" s="2"/>
      <c r="H673" s="74"/>
      <c r="I673" s="2"/>
      <c r="J673" s="2"/>
      <c r="K673" s="2"/>
      <c r="L673" s="2"/>
      <c r="M673" s="2"/>
      <c r="N673" s="2"/>
      <c r="O673" s="62"/>
      <c r="P673" s="76"/>
    </row>
    <row r="674" ht="15.75" customHeight="1">
      <c r="A674" s="2"/>
      <c r="B674" s="74"/>
      <c r="C674" s="74"/>
      <c r="D674" s="74"/>
      <c r="E674" s="2"/>
      <c r="F674" s="2"/>
      <c r="G674" s="2"/>
      <c r="H674" s="74"/>
      <c r="I674" s="2"/>
      <c r="J674" s="2"/>
      <c r="K674" s="2"/>
      <c r="L674" s="2"/>
      <c r="M674" s="2"/>
      <c r="N674" s="2"/>
      <c r="O674" s="62"/>
      <c r="P674" s="76"/>
    </row>
    <row r="675" ht="15.75" customHeight="1">
      <c r="A675" s="2"/>
      <c r="B675" s="74"/>
      <c r="C675" s="74"/>
      <c r="D675" s="74"/>
      <c r="E675" s="2"/>
      <c r="F675" s="2"/>
      <c r="G675" s="2"/>
      <c r="H675" s="74"/>
      <c r="I675" s="2"/>
      <c r="J675" s="2"/>
      <c r="K675" s="2"/>
      <c r="L675" s="2"/>
      <c r="M675" s="2"/>
      <c r="N675" s="2"/>
      <c r="O675" s="62"/>
      <c r="P675" s="76"/>
    </row>
    <row r="676" ht="15.75" customHeight="1">
      <c r="A676" s="2"/>
      <c r="B676" s="74"/>
      <c r="C676" s="74"/>
      <c r="D676" s="74"/>
      <c r="E676" s="2"/>
      <c r="F676" s="2"/>
      <c r="G676" s="2"/>
      <c r="H676" s="74"/>
      <c r="I676" s="2"/>
      <c r="J676" s="2"/>
      <c r="K676" s="2"/>
      <c r="L676" s="2"/>
      <c r="M676" s="2"/>
      <c r="N676" s="2"/>
      <c r="O676" s="62"/>
      <c r="P676" s="76"/>
    </row>
    <row r="677" ht="15.75" customHeight="1">
      <c r="A677" s="2"/>
      <c r="B677" s="74"/>
      <c r="C677" s="74"/>
      <c r="D677" s="74"/>
      <c r="E677" s="2"/>
      <c r="F677" s="2"/>
      <c r="G677" s="2"/>
      <c r="H677" s="74"/>
      <c r="I677" s="2"/>
      <c r="J677" s="2"/>
      <c r="K677" s="2"/>
      <c r="L677" s="2"/>
      <c r="M677" s="2"/>
      <c r="N677" s="2"/>
      <c r="O677" s="62"/>
      <c r="P677" s="76"/>
    </row>
    <row r="678" ht="15.75" customHeight="1">
      <c r="A678" s="2"/>
      <c r="B678" s="74"/>
      <c r="C678" s="74"/>
      <c r="D678" s="74"/>
      <c r="E678" s="2"/>
      <c r="F678" s="2"/>
      <c r="G678" s="2"/>
      <c r="H678" s="74"/>
      <c r="I678" s="2"/>
      <c r="J678" s="2"/>
      <c r="K678" s="2"/>
      <c r="L678" s="2"/>
      <c r="M678" s="2"/>
      <c r="N678" s="2"/>
      <c r="O678" s="62"/>
      <c r="P678" s="76"/>
    </row>
    <row r="679" ht="15.75" customHeight="1">
      <c r="A679" s="2"/>
      <c r="B679" s="74"/>
      <c r="C679" s="74"/>
      <c r="D679" s="74"/>
      <c r="E679" s="2"/>
      <c r="F679" s="2"/>
      <c r="G679" s="2"/>
      <c r="H679" s="74"/>
      <c r="I679" s="2"/>
      <c r="J679" s="2"/>
      <c r="K679" s="2"/>
      <c r="L679" s="2"/>
      <c r="M679" s="2"/>
      <c r="N679" s="2"/>
      <c r="O679" s="62"/>
      <c r="P679" s="76"/>
    </row>
    <row r="680" ht="15.75" customHeight="1">
      <c r="A680" s="2"/>
      <c r="B680" s="74"/>
      <c r="C680" s="74"/>
      <c r="D680" s="74"/>
      <c r="E680" s="2"/>
      <c r="F680" s="2"/>
      <c r="G680" s="2"/>
      <c r="H680" s="74"/>
      <c r="I680" s="2"/>
      <c r="J680" s="2"/>
      <c r="K680" s="2"/>
      <c r="L680" s="2"/>
      <c r="M680" s="2"/>
      <c r="N680" s="2"/>
      <c r="O680" s="62"/>
      <c r="P680" s="76"/>
    </row>
    <row r="681" ht="15.75" customHeight="1">
      <c r="A681" s="2"/>
      <c r="B681" s="74"/>
      <c r="C681" s="74"/>
      <c r="D681" s="74"/>
      <c r="E681" s="2"/>
      <c r="F681" s="2"/>
      <c r="G681" s="2"/>
      <c r="H681" s="74"/>
      <c r="I681" s="2"/>
      <c r="J681" s="2"/>
      <c r="K681" s="2"/>
      <c r="L681" s="2"/>
      <c r="M681" s="2"/>
      <c r="N681" s="2"/>
      <c r="O681" s="62"/>
      <c r="P681" s="76"/>
    </row>
    <row r="682" ht="15.75" customHeight="1">
      <c r="A682" s="2"/>
      <c r="B682" s="74"/>
      <c r="C682" s="74"/>
      <c r="D682" s="74"/>
      <c r="E682" s="2"/>
      <c r="F682" s="2"/>
      <c r="G682" s="2"/>
      <c r="H682" s="74"/>
      <c r="I682" s="2"/>
      <c r="J682" s="2"/>
      <c r="K682" s="2"/>
      <c r="L682" s="2"/>
      <c r="M682" s="2"/>
      <c r="N682" s="2"/>
      <c r="O682" s="62"/>
      <c r="P682" s="76"/>
    </row>
    <row r="683" ht="15.75" customHeight="1">
      <c r="A683" s="2"/>
      <c r="B683" s="74"/>
      <c r="C683" s="74"/>
      <c r="D683" s="74"/>
      <c r="E683" s="2"/>
      <c r="F683" s="2"/>
      <c r="G683" s="2"/>
      <c r="H683" s="74"/>
      <c r="I683" s="2"/>
      <c r="J683" s="2"/>
      <c r="K683" s="2"/>
      <c r="L683" s="2"/>
      <c r="M683" s="2"/>
      <c r="N683" s="2"/>
      <c r="O683" s="62"/>
      <c r="P683" s="76"/>
    </row>
    <row r="684" ht="15.75" customHeight="1">
      <c r="A684" s="2"/>
      <c r="B684" s="74"/>
      <c r="C684" s="74"/>
      <c r="D684" s="74"/>
      <c r="E684" s="2"/>
      <c r="F684" s="2"/>
      <c r="G684" s="2"/>
      <c r="H684" s="74"/>
      <c r="I684" s="2"/>
      <c r="J684" s="2"/>
      <c r="K684" s="2"/>
      <c r="L684" s="2"/>
      <c r="M684" s="2"/>
      <c r="N684" s="2"/>
      <c r="O684" s="62"/>
      <c r="P684" s="76"/>
    </row>
    <row r="685" ht="15.75" customHeight="1">
      <c r="A685" s="2"/>
      <c r="B685" s="74"/>
      <c r="C685" s="74"/>
      <c r="D685" s="74"/>
      <c r="E685" s="2"/>
      <c r="F685" s="2"/>
      <c r="G685" s="2"/>
      <c r="H685" s="74"/>
      <c r="I685" s="2"/>
      <c r="J685" s="2"/>
      <c r="K685" s="2"/>
      <c r="L685" s="2"/>
      <c r="M685" s="2"/>
      <c r="N685" s="2"/>
      <c r="O685" s="62"/>
      <c r="P685" s="76"/>
    </row>
    <row r="686" ht="15.75" customHeight="1">
      <c r="A686" s="2"/>
      <c r="B686" s="74"/>
      <c r="C686" s="74"/>
      <c r="D686" s="74"/>
      <c r="E686" s="2"/>
      <c r="F686" s="2"/>
      <c r="G686" s="2"/>
      <c r="H686" s="74"/>
      <c r="I686" s="2"/>
      <c r="J686" s="2"/>
      <c r="K686" s="2"/>
      <c r="L686" s="2"/>
      <c r="M686" s="2"/>
      <c r="N686" s="2"/>
      <c r="O686" s="62"/>
      <c r="P686" s="76"/>
    </row>
    <row r="687" ht="15.75" customHeight="1">
      <c r="A687" s="2"/>
      <c r="B687" s="74"/>
      <c r="C687" s="74"/>
      <c r="D687" s="74"/>
      <c r="E687" s="2"/>
      <c r="F687" s="2"/>
      <c r="G687" s="2"/>
      <c r="H687" s="74"/>
      <c r="I687" s="2"/>
      <c r="J687" s="2"/>
      <c r="K687" s="2"/>
      <c r="L687" s="2"/>
      <c r="M687" s="2"/>
      <c r="N687" s="2"/>
      <c r="O687" s="62"/>
      <c r="P687" s="76"/>
    </row>
    <row r="688" ht="15.75" customHeight="1">
      <c r="A688" s="2"/>
      <c r="B688" s="74"/>
      <c r="C688" s="74"/>
      <c r="D688" s="74"/>
      <c r="E688" s="2"/>
      <c r="F688" s="2"/>
      <c r="G688" s="2"/>
      <c r="H688" s="74"/>
      <c r="I688" s="2"/>
      <c r="J688" s="2"/>
      <c r="K688" s="2"/>
      <c r="L688" s="2"/>
      <c r="M688" s="2"/>
      <c r="N688" s="2"/>
      <c r="O688" s="62"/>
      <c r="P688" s="76"/>
    </row>
    <row r="689" ht="15.75" customHeight="1">
      <c r="A689" s="2"/>
      <c r="B689" s="74"/>
      <c r="C689" s="74"/>
      <c r="D689" s="74"/>
      <c r="E689" s="2"/>
      <c r="F689" s="2"/>
      <c r="G689" s="2"/>
      <c r="H689" s="74"/>
      <c r="I689" s="2"/>
      <c r="J689" s="2"/>
      <c r="K689" s="2"/>
      <c r="L689" s="2"/>
      <c r="M689" s="2"/>
      <c r="N689" s="2"/>
      <c r="O689" s="62"/>
      <c r="P689" s="76"/>
    </row>
    <row r="690" ht="15.75" customHeight="1">
      <c r="A690" s="2"/>
      <c r="B690" s="74"/>
      <c r="C690" s="74"/>
      <c r="D690" s="74"/>
      <c r="E690" s="2"/>
      <c r="F690" s="2"/>
      <c r="G690" s="2"/>
      <c r="H690" s="74"/>
      <c r="I690" s="2"/>
      <c r="J690" s="2"/>
      <c r="K690" s="2"/>
      <c r="L690" s="2"/>
      <c r="M690" s="2"/>
      <c r="N690" s="2"/>
      <c r="O690" s="62"/>
      <c r="P690" s="76"/>
    </row>
    <row r="691" ht="15.75" customHeight="1">
      <c r="A691" s="2"/>
      <c r="B691" s="74"/>
      <c r="C691" s="74"/>
      <c r="D691" s="74"/>
      <c r="E691" s="2"/>
      <c r="F691" s="2"/>
      <c r="G691" s="2"/>
      <c r="H691" s="74"/>
      <c r="I691" s="2"/>
      <c r="J691" s="2"/>
      <c r="K691" s="2"/>
      <c r="L691" s="2"/>
      <c r="M691" s="2"/>
      <c r="N691" s="2"/>
      <c r="O691" s="62"/>
      <c r="P691" s="76"/>
    </row>
    <row r="692" ht="15.75" customHeight="1">
      <c r="A692" s="2"/>
      <c r="B692" s="74"/>
      <c r="C692" s="74"/>
      <c r="D692" s="74"/>
      <c r="E692" s="2"/>
      <c r="F692" s="2"/>
      <c r="G692" s="2"/>
      <c r="H692" s="74"/>
      <c r="I692" s="2"/>
      <c r="J692" s="2"/>
      <c r="K692" s="2"/>
      <c r="L692" s="2"/>
      <c r="M692" s="2"/>
      <c r="N692" s="2"/>
      <c r="O692" s="62"/>
      <c r="P692" s="76"/>
    </row>
    <row r="693" ht="15.75" customHeight="1">
      <c r="A693" s="2"/>
      <c r="B693" s="74"/>
      <c r="C693" s="74"/>
      <c r="D693" s="74"/>
      <c r="E693" s="2"/>
      <c r="F693" s="2"/>
      <c r="G693" s="2"/>
      <c r="H693" s="74"/>
      <c r="I693" s="2"/>
      <c r="J693" s="2"/>
      <c r="K693" s="2"/>
      <c r="L693" s="2"/>
      <c r="M693" s="2"/>
      <c r="N693" s="2"/>
      <c r="O693" s="62"/>
      <c r="P693" s="76"/>
    </row>
    <row r="694" ht="15.75" customHeight="1">
      <c r="A694" s="2"/>
      <c r="B694" s="74"/>
      <c r="C694" s="74"/>
      <c r="D694" s="74"/>
      <c r="E694" s="2"/>
      <c r="F694" s="2"/>
      <c r="G694" s="2"/>
      <c r="H694" s="74"/>
      <c r="I694" s="2"/>
      <c r="J694" s="2"/>
      <c r="K694" s="2"/>
      <c r="L694" s="2"/>
      <c r="M694" s="2"/>
      <c r="N694" s="2"/>
      <c r="O694" s="62"/>
      <c r="P694" s="76"/>
    </row>
    <row r="695" ht="15.75" customHeight="1">
      <c r="A695" s="2"/>
      <c r="B695" s="74"/>
      <c r="C695" s="74"/>
      <c r="D695" s="74"/>
      <c r="E695" s="2"/>
      <c r="F695" s="2"/>
      <c r="G695" s="2"/>
      <c r="H695" s="74"/>
      <c r="I695" s="2"/>
      <c r="J695" s="2"/>
      <c r="K695" s="2"/>
      <c r="L695" s="2"/>
      <c r="M695" s="2"/>
      <c r="N695" s="2"/>
      <c r="O695" s="62"/>
      <c r="P695" s="76"/>
    </row>
    <row r="696" ht="15.75" customHeight="1">
      <c r="A696" s="2"/>
      <c r="B696" s="74"/>
      <c r="C696" s="74"/>
      <c r="D696" s="74"/>
      <c r="E696" s="2"/>
      <c r="F696" s="2"/>
      <c r="G696" s="2"/>
      <c r="H696" s="74"/>
      <c r="I696" s="2"/>
      <c r="J696" s="2"/>
      <c r="K696" s="2"/>
      <c r="L696" s="2"/>
      <c r="M696" s="2"/>
      <c r="N696" s="2"/>
      <c r="O696" s="62"/>
      <c r="P696" s="76"/>
    </row>
    <row r="697" ht="15.75" customHeight="1">
      <c r="A697" s="2"/>
      <c r="B697" s="74"/>
      <c r="C697" s="74"/>
      <c r="D697" s="74"/>
      <c r="E697" s="2"/>
      <c r="F697" s="2"/>
      <c r="G697" s="2"/>
      <c r="H697" s="74"/>
      <c r="I697" s="2"/>
      <c r="J697" s="2"/>
      <c r="K697" s="2"/>
      <c r="L697" s="2"/>
      <c r="M697" s="2"/>
      <c r="N697" s="2"/>
      <c r="O697" s="62"/>
      <c r="P697" s="76"/>
    </row>
    <row r="698" ht="15.75" customHeight="1">
      <c r="A698" s="2"/>
      <c r="B698" s="74"/>
      <c r="C698" s="74"/>
      <c r="D698" s="74"/>
      <c r="E698" s="2"/>
      <c r="F698" s="2"/>
      <c r="G698" s="2"/>
      <c r="H698" s="74"/>
      <c r="I698" s="2"/>
      <c r="J698" s="2"/>
      <c r="K698" s="2"/>
      <c r="L698" s="2"/>
      <c r="M698" s="2"/>
      <c r="N698" s="2"/>
      <c r="O698" s="62"/>
      <c r="P698" s="76"/>
    </row>
    <row r="699" ht="15.75" customHeight="1">
      <c r="A699" s="2"/>
      <c r="B699" s="74"/>
      <c r="C699" s="74"/>
      <c r="D699" s="74"/>
      <c r="E699" s="2"/>
      <c r="F699" s="2"/>
      <c r="G699" s="2"/>
      <c r="H699" s="74"/>
      <c r="I699" s="2"/>
      <c r="J699" s="2"/>
      <c r="K699" s="2"/>
      <c r="L699" s="2"/>
      <c r="M699" s="2"/>
      <c r="N699" s="2"/>
      <c r="O699" s="62"/>
      <c r="P699" s="76"/>
    </row>
    <row r="700" ht="15.75" customHeight="1">
      <c r="A700" s="2"/>
      <c r="B700" s="74"/>
      <c r="C700" s="74"/>
      <c r="D700" s="74"/>
      <c r="E700" s="2"/>
      <c r="F700" s="2"/>
      <c r="G700" s="2"/>
      <c r="H700" s="74"/>
      <c r="I700" s="2"/>
      <c r="J700" s="2"/>
      <c r="K700" s="2"/>
      <c r="L700" s="2"/>
      <c r="M700" s="2"/>
      <c r="N700" s="2"/>
      <c r="O700" s="62"/>
      <c r="P700" s="76"/>
    </row>
    <row r="701" ht="15.75" customHeight="1">
      <c r="A701" s="2"/>
      <c r="B701" s="74"/>
      <c r="C701" s="74"/>
      <c r="D701" s="74"/>
      <c r="E701" s="2"/>
      <c r="F701" s="2"/>
      <c r="G701" s="2"/>
      <c r="H701" s="74"/>
      <c r="I701" s="2"/>
      <c r="J701" s="2"/>
      <c r="K701" s="2"/>
      <c r="L701" s="2"/>
      <c r="M701" s="2"/>
      <c r="N701" s="2"/>
      <c r="O701" s="62"/>
      <c r="P701" s="76"/>
    </row>
    <row r="702" ht="15.75" customHeight="1">
      <c r="A702" s="2"/>
      <c r="B702" s="74"/>
      <c r="C702" s="74"/>
      <c r="D702" s="74"/>
      <c r="E702" s="2"/>
      <c r="F702" s="2"/>
      <c r="G702" s="2"/>
      <c r="H702" s="74"/>
      <c r="I702" s="2"/>
      <c r="J702" s="2"/>
      <c r="K702" s="2"/>
      <c r="L702" s="2"/>
      <c r="M702" s="2"/>
      <c r="N702" s="2"/>
      <c r="O702" s="62"/>
      <c r="P702" s="76"/>
    </row>
    <row r="703" ht="15.75" customHeight="1">
      <c r="A703" s="2"/>
      <c r="B703" s="74"/>
      <c r="C703" s="74"/>
      <c r="D703" s="74"/>
      <c r="E703" s="2"/>
      <c r="F703" s="2"/>
      <c r="G703" s="2"/>
      <c r="H703" s="74"/>
      <c r="I703" s="2"/>
      <c r="J703" s="2"/>
      <c r="K703" s="2"/>
      <c r="L703" s="2"/>
      <c r="M703" s="2"/>
      <c r="N703" s="2"/>
      <c r="O703" s="62"/>
      <c r="P703" s="76"/>
    </row>
    <row r="704" ht="15.75" customHeight="1">
      <c r="A704" s="2"/>
      <c r="B704" s="74"/>
      <c r="C704" s="74"/>
      <c r="D704" s="74"/>
      <c r="E704" s="2"/>
      <c r="F704" s="2"/>
      <c r="G704" s="2"/>
      <c r="H704" s="74"/>
      <c r="I704" s="2"/>
      <c r="J704" s="2"/>
      <c r="K704" s="2"/>
      <c r="L704" s="2"/>
      <c r="M704" s="2"/>
      <c r="N704" s="2"/>
      <c r="O704" s="62"/>
      <c r="P704" s="76"/>
    </row>
    <row r="705" ht="15.75" customHeight="1">
      <c r="A705" s="2"/>
      <c r="B705" s="74"/>
      <c r="C705" s="74"/>
      <c r="D705" s="74"/>
      <c r="E705" s="2"/>
      <c r="F705" s="2"/>
      <c r="G705" s="2"/>
      <c r="H705" s="74"/>
      <c r="I705" s="2"/>
      <c r="J705" s="2"/>
      <c r="K705" s="2"/>
      <c r="L705" s="2"/>
      <c r="M705" s="2"/>
      <c r="N705" s="2"/>
      <c r="O705" s="62"/>
      <c r="P705" s="76"/>
    </row>
    <row r="706" ht="15.75" customHeight="1">
      <c r="A706" s="2"/>
      <c r="B706" s="74"/>
      <c r="C706" s="74"/>
      <c r="D706" s="74"/>
      <c r="E706" s="2"/>
      <c r="F706" s="2"/>
      <c r="G706" s="2"/>
      <c r="H706" s="74"/>
      <c r="I706" s="2"/>
      <c r="J706" s="2"/>
      <c r="K706" s="2"/>
      <c r="L706" s="2"/>
      <c r="M706" s="2"/>
      <c r="N706" s="2"/>
      <c r="O706" s="62"/>
      <c r="P706" s="76"/>
    </row>
    <row r="707" ht="15.75" customHeight="1">
      <c r="A707" s="2"/>
      <c r="B707" s="74"/>
      <c r="C707" s="74"/>
      <c r="D707" s="74"/>
      <c r="E707" s="2"/>
      <c r="F707" s="2"/>
      <c r="G707" s="2"/>
      <c r="H707" s="74"/>
      <c r="I707" s="2"/>
      <c r="J707" s="2"/>
      <c r="K707" s="2"/>
      <c r="L707" s="2"/>
      <c r="M707" s="2"/>
      <c r="N707" s="2"/>
      <c r="O707" s="62"/>
      <c r="P707" s="76"/>
    </row>
    <row r="708" ht="15.75" customHeight="1">
      <c r="A708" s="2"/>
      <c r="B708" s="74"/>
      <c r="C708" s="74"/>
      <c r="D708" s="74"/>
      <c r="E708" s="2"/>
      <c r="F708" s="2"/>
      <c r="G708" s="2"/>
      <c r="H708" s="74"/>
      <c r="I708" s="2"/>
      <c r="J708" s="2"/>
      <c r="K708" s="2"/>
      <c r="L708" s="2"/>
      <c r="M708" s="2"/>
      <c r="N708" s="2"/>
      <c r="O708" s="62"/>
      <c r="P708" s="76"/>
    </row>
    <row r="709" ht="15.75" customHeight="1">
      <c r="A709" s="2"/>
      <c r="B709" s="74"/>
      <c r="C709" s="74"/>
      <c r="D709" s="74"/>
      <c r="E709" s="2"/>
      <c r="F709" s="2"/>
      <c r="G709" s="2"/>
      <c r="H709" s="74"/>
      <c r="I709" s="2"/>
      <c r="J709" s="2"/>
      <c r="K709" s="2"/>
      <c r="L709" s="2"/>
      <c r="M709" s="2"/>
      <c r="N709" s="2"/>
      <c r="O709" s="62"/>
      <c r="P709" s="76"/>
    </row>
    <row r="710" ht="15.75" customHeight="1">
      <c r="A710" s="2"/>
      <c r="B710" s="74"/>
      <c r="C710" s="74"/>
      <c r="D710" s="74"/>
      <c r="E710" s="2"/>
      <c r="F710" s="2"/>
      <c r="G710" s="2"/>
      <c r="H710" s="74"/>
      <c r="I710" s="2"/>
      <c r="J710" s="2"/>
      <c r="K710" s="2"/>
      <c r="L710" s="2"/>
      <c r="M710" s="2"/>
      <c r="N710" s="2"/>
      <c r="O710" s="62"/>
      <c r="P710" s="76"/>
    </row>
    <row r="711" ht="15.75" customHeight="1">
      <c r="A711" s="2"/>
      <c r="B711" s="74"/>
      <c r="C711" s="74"/>
      <c r="D711" s="74"/>
      <c r="E711" s="2"/>
      <c r="F711" s="2"/>
      <c r="G711" s="2"/>
      <c r="H711" s="74"/>
      <c r="I711" s="2"/>
      <c r="J711" s="2"/>
      <c r="K711" s="2"/>
      <c r="L711" s="2"/>
      <c r="M711" s="2"/>
      <c r="N711" s="2"/>
      <c r="O711" s="62"/>
      <c r="P711" s="76"/>
    </row>
    <row r="712" ht="15.75" customHeight="1">
      <c r="A712" s="2"/>
      <c r="B712" s="74"/>
      <c r="C712" s="74"/>
      <c r="D712" s="74"/>
      <c r="E712" s="2"/>
      <c r="F712" s="2"/>
      <c r="G712" s="2"/>
      <c r="H712" s="74"/>
      <c r="I712" s="2"/>
      <c r="J712" s="2"/>
      <c r="K712" s="2"/>
      <c r="L712" s="2"/>
      <c r="M712" s="2"/>
      <c r="N712" s="2"/>
      <c r="O712" s="62"/>
      <c r="P712" s="76"/>
    </row>
    <row r="713" ht="15.75" customHeight="1">
      <c r="A713" s="2"/>
      <c r="B713" s="74"/>
      <c r="C713" s="74"/>
      <c r="D713" s="74"/>
      <c r="E713" s="2"/>
      <c r="F713" s="2"/>
      <c r="G713" s="2"/>
      <c r="H713" s="74"/>
      <c r="I713" s="2"/>
      <c r="J713" s="2"/>
      <c r="K713" s="2"/>
      <c r="L713" s="2"/>
      <c r="M713" s="2"/>
      <c r="N713" s="2"/>
      <c r="O713" s="62"/>
      <c r="P713" s="76"/>
    </row>
    <row r="714" ht="15.75" customHeight="1">
      <c r="A714" s="2"/>
      <c r="B714" s="74"/>
      <c r="C714" s="74"/>
      <c r="D714" s="74"/>
      <c r="E714" s="2"/>
      <c r="F714" s="2"/>
      <c r="G714" s="2"/>
      <c r="H714" s="74"/>
      <c r="I714" s="2"/>
      <c r="J714" s="2"/>
      <c r="K714" s="2"/>
      <c r="L714" s="2"/>
      <c r="M714" s="2"/>
      <c r="N714" s="2"/>
      <c r="O714" s="62"/>
      <c r="P714" s="76"/>
    </row>
    <row r="715" ht="15.75" customHeight="1">
      <c r="A715" s="2"/>
      <c r="B715" s="74"/>
      <c r="C715" s="74"/>
      <c r="D715" s="74"/>
      <c r="E715" s="2"/>
      <c r="F715" s="2"/>
      <c r="G715" s="2"/>
      <c r="H715" s="74"/>
      <c r="I715" s="2"/>
      <c r="J715" s="2"/>
      <c r="K715" s="2"/>
      <c r="L715" s="2"/>
      <c r="M715" s="2"/>
      <c r="N715" s="2"/>
      <c r="O715" s="62"/>
      <c r="P715" s="76"/>
    </row>
    <row r="716" ht="15.75" customHeight="1">
      <c r="A716" s="2"/>
      <c r="B716" s="74"/>
      <c r="C716" s="74"/>
      <c r="D716" s="74"/>
      <c r="E716" s="2"/>
      <c r="F716" s="2"/>
      <c r="G716" s="2"/>
      <c r="H716" s="74"/>
      <c r="I716" s="2"/>
      <c r="J716" s="2"/>
      <c r="K716" s="2"/>
      <c r="L716" s="2"/>
      <c r="M716" s="2"/>
      <c r="N716" s="2"/>
      <c r="O716" s="62"/>
      <c r="P716" s="76"/>
    </row>
    <row r="717" ht="15.75" customHeight="1">
      <c r="A717" s="2"/>
      <c r="B717" s="74"/>
      <c r="C717" s="74"/>
      <c r="D717" s="74"/>
      <c r="E717" s="2"/>
      <c r="F717" s="2"/>
      <c r="G717" s="2"/>
      <c r="H717" s="74"/>
      <c r="I717" s="2"/>
      <c r="J717" s="2"/>
      <c r="K717" s="2"/>
      <c r="L717" s="2"/>
      <c r="M717" s="2"/>
      <c r="N717" s="2"/>
      <c r="O717" s="62"/>
      <c r="P717" s="76"/>
    </row>
    <row r="718" ht="15.75" customHeight="1">
      <c r="A718" s="2"/>
      <c r="B718" s="74"/>
      <c r="C718" s="74"/>
      <c r="D718" s="74"/>
      <c r="E718" s="2"/>
      <c r="F718" s="2"/>
      <c r="G718" s="2"/>
      <c r="H718" s="74"/>
      <c r="I718" s="2"/>
      <c r="J718" s="2"/>
      <c r="K718" s="2"/>
      <c r="L718" s="2"/>
      <c r="M718" s="2"/>
      <c r="N718" s="2"/>
      <c r="O718" s="62"/>
      <c r="P718" s="76"/>
    </row>
    <row r="719" ht="15.75" customHeight="1">
      <c r="A719" s="2"/>
      <c r="B719" s="74"/>
      <c r="C719" s="74"/>
      <c r="D719" s="74"/>
      <c r="E719" s="2"/>
      <c r="F719" s="2"/>
      <c r="G719" s="2"/>
      <c r="H719" s="74"/>
      <c r="I719" s="2"/>
      <c r="J719" s="2"/>
      <c r="K719" s="2"/>
      <c r="L719" s="2"/>
      <c r="M719" s="2"/>
      <c r="N719" s="2"/>
      <c r="O719" s="62"/>
      <c r="P719" s="76"/>
    </row>
    <row r="720" ht="15.75" customHeight="1">
      <c r="A720" s="2"/>
      <c r="B720" s="74"/>
      <c r="C720" s="74"/>
      <c r="D720" s="74"/>
      <c r="E720" s="2"/>
      <c r="F720" s="2"/>
      <c r="G720" s="2"/>
      <c r="H720" s="74"/>
      <c r="I720" s="2"/>
      <c r="J720" s="2"/>
      <c r="K720" s="2"/>
      <c r="L720" s="2"/>
      <c r="M720" s="2"/>
      <c r="N720" s="2"/>
      <c r="O720" s="62"/>
      <c r="P720" s="76"/>
    </row>
    <row r="721" ht="15.75" customHeight="1">
      <c r="A721" s="2"/>
      <c r="B721" s="74"/>
      <c r="C721" s="74"/>
      <c r="D721" s="74"/>
      <c r="E721" s="2"/>
      <c r="F721" s="2"/>
      <c r="G721" s="2"/>
      <c r="H721" s="74"/>
      <c r="I721" s="2"/>
      <c r="J721" s="2"/>
      <c r="K721" s="2"/>
      <c r="L721" s="2"/>
      <c r="M721" s="2"/>
      <c r="N721" s="2"/>
      <c r="O721" s="62"/>
      <c r="P721" s="76"/>
    </row>
    <row r="722" ht="15.75" customHeight="1">
      <c r="A722" s="2"/>
      <c r="B722" s="74"/>
      <c r="C722" s="74"/>
      <c r="D722" s="74"/>
      <c r="E722" s="2"/>
      <c r="F722" s="2"/>
      <c r="G722" s="2"/>
      <c r="H722" s="74"/>
      <c r="I722" s="2"/>
      <c r="J722" s="2"/>
      <c r="K722" s="2"/>
      <c r="L722" s="2"/>
      <c r="M722" s="2"/>
      <c r="N722" s="2"/>
      <c r="O722" s="62"/>
      <c r="P722" s="76"/>
    </row>
    <row r="723" ht="15.75" customHeight="1">
      <c r="A723" s="2"/>
      <c r="B723" s="74"/>
      <c r="C723" s="74"/>
      <c r="D723" s="74"/>
      <c r="E723" s="2"/>
      <c r="F723" s="2"/>
      <c r="G723" s="2"/>
      <c r="H723" s="74"/>
      <c r="I723" s="2"/>
      <c r="J723" s="2"/>
      <c r="K723" s="2"/>
      <c r="L723" s="2"/>
      <c r="M723" s="2"/>
      <c r="N723" s="2"/>
      <c r="O723" s="62"/>
      <c r="P723" s="76"/>
    </row>
    <row r="724" ht="15.75" customHeight="1">
      <c r="A724" s="2"/>
      <c r="B724" s="74"/>
      <c r="C724" s="74"/>
      <c r="D724" s="74"/>
      <c r="E724" s="2"/>
      <c r="F724" s="2"/>
      <c r="G724" s="2"/>
      <c r="H724" s="74"/>
      <c r="I724" s="2"/>
      <c r="J724" s="2"/>
      <c r="K724" s="2"/>
      <c r="L724" s="2"/>
      <c r="M724" s="2"/>
      <c r="N724" s="2"/>
      <c r="O724" s="62"/>
      <c r="P724" s="76"/>
    </row>
    <row r="725" ht="15.75" customHeight="1">
      <c r="A725" s="2"/>
      <c r="B725" s="74"/>
      <c r="C725" s="74"/>
      <c r="D725" s="74"/>
      <c r="E725" s="2"/>
      <c r="F725" s="2"/>
      <c r="G725" s="2"/>
      <c r="H725" s="74"/>
      <c r="I725" s="2"/>
      <c r="J725" s="2"/>
      <c r="K725" s="2"/>
      <c r="L725" s="2"/>
      <c r="M725" s="2"/>
      <c r="N725" s="2"/>
      <c r="O725" s="62"/>
      <c r="P725" s="76"/>
    </row>
    <row r="726" ht="15.75" customHeight="1">
      <c r="A726" s="2"/>
      <c r="B726" s="74"/>
      <c r="C726" s="74"/>
      <c r="D726" s="74"/>
      <c r="E726" s="2"/>
      <c r="F726" s="2"/>
      <c r="G726" s="2"/>
      <c r="H726" s="74"/>
      <c r="I726" s="2"/>
      <c r="J726" s="2"/>
      <c r="K726" s="2"/>
      <c r="L726" s="2"/>
      <c r="M726" s="2"/>
      <c r="N726" s="2"/>
      <c r="O726" s="62"/>
      <c r="P726" s="76"/>
    </row>
    <row r="727" ht="15.75" customHeight="1">
      <c r="A727" s="2"/>
      <c r="B727" s="74"/>
      <c r="C727" s="74"/>
      <c r="D727" s="74"/>
      <c r="E727" s="2"/>
      <c r="F727" s="2"/>
      <c r="G727" s="2"/>
      <c r="H727" s="74"/>
      <c r="I727" s="2"/>
      <c r="J727" s="2"/>
      <c r="K727" s="2"/>
      <c r="L727" s="2"/>
      <c r="M727" s="2"/>
      <c r="N727" s="2"/>
      <c r="O727" s="62"/>
      <c r="P727" s="76"/>
    </row>
    <row r="728" ht="15.75" customHeight="1">
      <c r="A728" s="2"/>
      <c r="B728" s="74"/>
      <c r="C728" s="74"/>
      <c r="D728" s="74"/>
      <c r="E728" s="2"/>
      <c r="F728" s="2"/>
      <c r="G728" s="2"/>
      <c r="H728" s="74"/>
      <c r="I728" s="2"/>
      <c r="J728" s="2"/>
      <c r="K728" s="2"/>
      <c r="L728" s="2"/>
      <c r="M728" s="2"/>
      <c r="N728" s="2"/>
      <c r="O728" s="62"/>
      <c r="P728" s="76"/>
    </row>
    <row r="729" ht="15.75" customHeight="1">
      <c r="A729" s="2"/>
      <c r="B729" s="74"/>
      <c r="C729" s="74"/>
      <c r="D729" s="74"/>
      <c r="E729" s="2"/>
      <c r="F729" s="2"/>
      <c r="G729" s="2"/>
      <c r="H729" s="74"/>
      <c r="I729" s="2"/>
      <c r="J729" s="2"/>
      <c r="K729" s="2"/>
      <c r="L729" s="2"/>
      <c r="M729" s="2"/>
      <c r="N729" s="2"/>
      <c r="O729" s="62"/>
      <c r="P729" s="76"/>
    </row>
    <row r="730" ht="15.75" customHeight="1">
      <c r="A730" s="2"/>
      <c r="B730" s="74"/>
      <c r="C730" s="74"/>
      <c r="D730" s="74"/>
      <c r="E730" s="2"/>
      <c r="F730" s="2"/>
      <c r="G730" s="2"/>
      <c r="H730" s="74"/>
      <c r="I730" s="2"/>
      <c r="J730" s="2"/>
      <c r="K730" s="2"/>
      <c r="L730" s="2"/>
      <c r="M730" s="2"/>
      <c r="N730" s="2"/>
      <c r="O730" s="62"/>
      <c r="P730" s="76"/>
    </row>
    <row r="731" ht="15.75" customHeight="1">
      <c r="A731" s="2"/>
      <c r="B731" s="74"/>
      <c r="C731" s="74"/>
      <c r="D731" s="74"/>
      <c r="E731" s="2"/>
      <c r="F731" s="2"/>
      <c r="G731" s="2"/>
      <c r="H731" s="74"/>
      <c r="I731" s="2"/>
      <c r="J731" s="2"/>
      <c r="K731" s="2"/>
      <c r="L731" s="2"/>
      <c r="M731" s="2"/>
      <c r="N731" s="2"/>
      <c r="O731" s="62"/>
      <c r="P731" s="76"/>
    </row>
    <row r="732" ht="15.75" customHeight="1">
      <c r="A732" s="2"/>
      <c r="B732" s="74"/>
      <c r="C732" s="74"/>
      <c r="D732" s="74"/>
      <c r="E732" s="2"/>
      <c r="F732" s="2"/>
      <c r="G732" s="2"/>
      <c r="H732" s="74"/>
      <c r="I732" s="2"/>
      <c r="J732" s="2"/>
      <c r="K732" s="2"/>
      <c r="L732" s="2"/>
      <c r="M732" s="2"/>
      <c r="N732" s="2"/>
      <c r="O732" s="62"/>
      <c r="P732" s="76"/>
    </row>
    <row r="733" ht="15.75" customHeight="1">
      <c r="A733" s="2"/>
      <c r="B733" s="74"/>
      <c r="C733" s="74"/>
      <c r="D733" s="74"/>
      <c r="E733" s="2"/>
      <c r="F733" s="2"/>
      <c r="G733" s="2"/>
      <c r="H733" s="74"/>
      <c r="I733" s="2"/>
      <c r="J733" s="2"/>
      <c r="K733" s="2"/>
      <c r="L733" s="2"/>
      <c r="M733" s="2"/>
      <c r="N733" s="2"/>
      <c r="O733" s="62"/>
      <c r="P733" s="76"/>
    </row>
    <row r="734" ht="15.75" customHeight="1">
      <c r="A734" s="2"/>
      <c r="B734" s="74"/>
      <c r="C734" s="74"/>
      <c r="D734" s="74"/>
      <c r="E734" s="2"/>
      <c r="F734" s="2"/>
      <c r="G734" s="2"/>
      <c r="H734" s="74"/>
      <c r="I734" s="2"/>
      <c r="J734" s="2"/>
      <c r="K734" s="2"/>
      <c r="L734" s="2"/>
      <c r="M734" s="2"/>
      <c r="N734" s="2"/>
      <c r="O734" s="62"/>
      <c r="P734" s="76"/>
    </row>
    <row r="735" ht="15.75" customHeight="1">
      <c r="A735" s="2"/>
      <c r="B735" s="74"/>
      <c r="C735" s="74"/>
      <c r="D735" s="74"/>
      <c r="E735" s="2"/>
      <c r="F735" s="2"/>
      <c r="G735" s="2"/>
      <c r="H735" s="74"/>
      <c r="I735" s="2"/>
      <c r="J735" s="2"/>
      <c r="K735" s="2"/>
      <c r="L735" s="2"/>
      <c r="M735" s="2"/>
      <c r="N735" s="2"/>
      <c r="O735" s="62"/>
      <c r="P735" s="76"/>
    </row>
    <row r="736" ht="15.75" customHeight="1">
      <c r="A736" s="2"/>
      <c r="B736" s="74"/>
      <c r="C736" s="74"/>
      <c r="D736" s="74"/>
      <c r="E736" s="2"/>
      <c r="F736" s="2"/>
      <c r="G736" s="2"/>
      <c r="H736" s="74"/>
      <c r="I736" s="2"/>
      <c r="J736" s="2"/>
      <c r="K736" s="2"/>
      <c r="L736" s="2"/>
      <c r="M736" s="2"/>
      <c r="N736" s="2"/>
      <c r="O736" s="62"/>
      <c r="P736" s="76"/>
    </row>
    <row r="737" ht="15.75" customHeight="1">
      <c r="A737" s="2"/>
      <c r="B737" s="74"/>
      <c r="C737" s="74"/>
      <c r="D737" s="74"/>
      <c r="E737" s="2"/>
      <c r="F737" s="2"/>
      <c r="G737" s="2"/>
      <c r="H737" s="74"/>
      <c r="I737" s="2"/>
      <c r="J737" s="2"/>
      <c r="K737" s="2"/>
      <c r="L737" s="2"/>
      <c r="M737" s="2"/>
      <c r="N737" s="2"/>
      <c r="O737" s="62"/>
      <c r="P737" s="76"/>
    </row>
    <row r="738" ht="15.75" customHeight="1">
      <c r="A738" s="2"/>
      <c r="B738" s="74"/>
      <c r="C738" s="74"/>
      <c r="D738" s="74"/>
      <c r="E738" s="2"/>
      <c r="F738" s="2"/>
      <c r="G738" s="2"/>
      <c r="H738" s="74"/>
      <c r="I738" s="2"/>
      <c r="J738" s="2"/>
      <c r="K738" s="2"/>
      <c r="L738" s="2"/>
      <c r="M738" s="2"/>
      <c r="N738" s="2"/>
      <c r="O738" s="62"/>
      <c r="P738" s="76"/>
    </row>
    <row r="739" ht="15.75" customHeight="1">
      <c r="A739" s="2"/>
      <c r="B739" s="74"/>
      <c r="C739" s="74"/>
      <c r="D739" s="74"/>
      <c r="E739" s="2"/>
      <c r="F739" s="2"/>
      <c r="G739" s="2"/>
      <c r="H739" s="74"/>
      <c r="I739" s="2"/>
      <c r="J739" s="2"/>
      <c r="K739" s="2"/>
      <c r="L739" s="2"/>
      <c r="M739" s="2"/>
      <c r="N739" s="2"/>
      <c r="O739" s="62"/>
      <c r="P739" s="76"/>
    </row>
    <row r="740" ht="15.75" customHeight="1">
      <c r="A740" s="2"/>
      <c r="B740" s="74"/>
      <c r="C740" s="74"/>
      <c r="D740" s="74"/>
      <c r="E740" s="2"/>
      <c r="F740" s="2"/>
      <c r="G740" s="2"/>
      <c r="H740" s="74"/>
      <c r="I740" s="2"/>
      <c r="J740" s="2"/>
      <c r="K740" s="2"/>
      <c r="L740" s="2"/>
      <c r="M740" s="2"/>
      <c r="N740" s="2"/>
      <c r="O740" s="62"/>
      <c r="P740" s="76"/>
    </row>
    <row r="741" ht="15.75" customHeight="1">
      <c r="A741" s="2"/>
      <c r="B741" s="74"/>
      <c r="C741" s="74"/>
      <c r="D741" s="74"/>
      <c r="E741" s="2"/>
      <c r="F741" s="2"/>
      <c r="G741" s="2"/>
      <c r="H741" s="74"/>
      <c r="I741" s="2"/>
      <c r="J741" s="2"/>
      <c r="K741" s="2"/>
      <c r="L741" s="2"/>
      <c r="M741" s="2"/>
      <c r="N741" s="2"/>
      <c r="O741" s="62"/>
      <c r="P741" s="76"/>
    </row>
    <row r="742" ht="15.75" customHeight="1">
      <c r="A742" s="2"/>
      <c r="B742" s="74"/>
      <c r="C742" s="74"/>
      <c r="D742" s="74"/>
      <c r="E742" s="2"/>
      <c r="F742" s="2"/>
      <c r="G742" s="2"/>
      <c r="H742" s="74"/>
      <c r="I742" s="2"/>
      <c r="J742" s="2"/>
      <c r="K742" s="2"/>
      <c r="L742" s="2"/>
      <c r="M742" s="2"/>
      <c r="N742" s="2"/>
      <c r="O742" s="62"/>
      <c r="P742" s="76"/>
    </row>
    <row r="743" ht="15.75" customHeight="1">
      <c r="A743" s="2"/>
      <c r="B743" s="74"/>
      <c r="C743" s="74"/>
      <c r="D743" s="74"/>
      <c r="E743" s="2"/>
      <c r="F743" s="2"/>
      <c r="G743" s="2"/>
      <c r="H743" s="74"/>
      <c r="I743" s="2"/>
      <c r="J743" s="2"/>
      <c r="K743" s="2"/>
      <c r="L743" s="2"/>
      <c r="M743" s="2"/>
      <c r="N743" s="2"/>
      <c r="O743" s="62"/>
      <c r="P743" s="76"/>
    </row>
    <row r="744" ht="15.75" customHeight="1">
      <c r="A744" s="2"/>
      <c r="B744" s="74"/>
      <c r="C744" s="74"/>
      <c r="D744" s="74"/>
      <c r="E744" s="2"/>
      <c r="F744" s="2"/>
      <c r="G744" s="2"/>
      <c r="H744" s="74"/>
      <c r="I744" s="2"/>
      <c r="J744" s="2"/>
      <c r="K744" s="2"/>
      <c r="L744" s="2"/>
      <c r="M744" s="2"/>
      <c r="N744" s="2"/>
      <c r="O744" s="62"/>
      <c r="P744" s="76"/>
    </row>
    <row r="745" ht="15.75" customHeight="1">
      <c r="A745" s="2"/>
      <c r="B745" s="74"/>
      <c r="C745" s="74"/>
      <c r="D745" s="74"/>
      <c r="E745" s="2"/>
      <c r="F745" s="2"/>
      <c r="G745" s="2"/>
      <c r="H745" s="74"/>
      <c r="I745" s="2"/>
      <c r="J745" s="2"/>
      <c r="K745" s="2"/>
      <c r="L745" s="2"/>
      <c r="M745" s="2"/>
      <c r="N745" s="2"/>
      <c r="O745" s="62"/>
      <c r="P745" s="76"/>
    </row>
    <row r="746" ht="15.75" customHeight="1">
      <c r="A746" s="2"/>
      <c r="B746" s="74"/>
      <c r="C746" s="74"/>
      <c r="D746" s="74"/>
      <c r="E746" s="2"/>
      <c r="F746" s="2"/>
      <c r="G746" s="2"/>
      <c r="H746" s="74"/>
      <c r="I746" s="2"/>
      <c r="J746" s="2"/>
      <c r="K746" s="2"/>
      <c r="L746" s="2"/>
      <c r="M746" s="2"/>
      <c r="N746" s="2"/>
      <c r="O746" s="62"/>
      <c r="P746" s="76"/>
    </row>
    <row r="747" ht="15.75" customHeight="1">
      <c r="A747" s="2"/>
      <c r="B747" s="74"/>
      <c r="C747" s="74"/>
      <c r="D747" s="74"/>
      <c r="E747" s="2"/>
      <c r="F747" s="2"/>
      <c r="G747" s="2"/>
      <c r="H747" s="74"/>
      <c r="I747" s="2"/>
      <c r="J747" s="2"/>
      <c r="K747" s="2"/>
      <c r="L747" s="2"/>
      <c r="M747" s="2"/>
      <c r="N747" s="2"/>
      <c r="O747" s="62"/>
      <c r="P747" s="76"/>
    </row>
    <row r="748" ht="15.75" customHeight="1">
      <c r="A748" s="2"/>
      <c r="B748" s="74"/>
      <c r="C748" s="74"/>
      <c r="D748" s="74"/>
      <c r="E748" s="2"/>
      <c r="F748" s="2"/>
      <c r="G748" s="2"/>
      <c r="H748" s="74"/>
      <c r="I748" s="2"/>
      <c r="J748" s="2"/>
      <c r="K748" s="2"/>
      <c r="L748" s="2"/>
      <c r="M748" s="2"/>
      <c r="N748" s="2"/>
      <c r="O748" s="62"/>
      <c r="P748" s="76"/>
    </row>
    <row r="749" ht="15.75" customHeight="1">
      <c r="A749" s="2"/>
      <c r="B749" s="74"/>
      <c r="C749" s="74"/>
      <c r="D749" s="74"/>
      <c r="E749" s="2"/>
      <c r="F749" s="2"/>
      <c r="G749" s="2"/>
      <c r="H749" s="74"/>
      <c r="I749" s="2"/>
      <c r="J749" s="2"/>
      <c r="K749" s="2"/>
      <c r="L749" s="2"/>
      <c r="M749" s="2"/>
      <c r="N749" s="2"/>
      <c r="O749" s="62"/>
      <c r="P749" s="76"/>
    </row>
    <row r="750" ht="15.75" customHeight="1">
      <c r="A750" s="2"/>
      <c r="B750" s="74"/>
      <c r="C750" s="74"/>
      <c r="D750" s="74"/>
      <c r="E750" s="2"/>
      <c r="F750" s="2"/>
      <c r="G750" s="2"/>
      <c r="H750" s="74"/>
      <c r="I750" s="2"/>
      <c r="J750" s="2"/>
      <c r="K750" s="2"/>
      <c r="L750" s="2"/>
      <c r="M750" s="2"/>
      <c r="N750" s="2"/>
      <c r="O750" s="62"/>
      <c r="P750" s="76"/>
    </row>
    <row r="751" ht="15.75" customHeight="1">
      <c r="A751" s="2"/>
      <c r="B751" s="74"/>
      <c r="C751" s="74"/>
      <c r="D751" s="74"/>
      <c r="E751" s="2"/>
      <c r="F751" s="2"/>
      <c r="G751" s="2"/>
      <c r="H751" s="74"/>
      <c r="I751" s="2"/>
      <c r="J751" s="2"/>
      <c r="K751" s="2"/>
      <c r="L751" s="2"/>
      <c r="M751" s="2"/>
      <c r="N751" s="2"/>
      <c r="O751" s="62"/>
      <c r="P751" s="76"/>
    </row>
    <row r="752" ht="15.75" customHeight="1">
      <c r="A752" s="2"/>
      <c r="B752" s="74"/>
      <c r="C752" s="74"/>
      <c r="D752" s="74"/>
      <c r="E752" s="2"/>
      <c r="F752" s="2"/>
      <c r="G752" s="2"/>
      <c r="H752" s="74"/>
      <c r="I752" s="2"/>
      <c r="J752" s="2"/>
      <c r="K752" s="2"/>
      <c r="L752" s="2"/>
      <c r="M752" s="2"/>
      <c r="N752" s="2"/>
      <c r="O752" s="62"/>
      <c r="P752" s="76"/>
    </row>
    <row r="753" ht="15.75" customHeight="1">
      <c r="A753" s="2"/>
      <c r="B753" s="74"/>
      <c r="C753" s="74"/>
      <c r="D753" s="74"/>
      <c r="E753" s="2"/>
      <c r="F753" s="2"/>
      <c r="G753" s="2"/>
      <c r="H753" s="74"/>
      <c r="I753" s="2"/>
      <c r="J753" s="2"/>
      <c r="K753" s="2"/>
      <c r="L753" s="2"/>
      <c r="M753" s="2"/>
      <c r="N753" s="2"/>
      <c r="O753" s="62"/>
      <c r="P753" s="76"/>
    </row>
    <row r="754" ht="15.75" customHeight="1">
      <c r="A754" s="2"/>
      <c r="B754" s="74"/>
      <c r="C754" s="74"/>
      <c r="D754" s="74"/>
      <c r="E754" s="2"/>
      <c r="F754" s="2"/>
      <c r="G754" s="2"/>
      <c r="H754" s="74"/>
      <c r="I754" s="2"/>
      <c r="J754" s="2"/>
      <c r="K754" s="2"/>
      <c r="L754" s="2"/>
      <c r="M754" s="2"/>
      <c r="N754" s="2"/>
      <c r="O754" s="62"/>
      <c r="P754" s="76"/>
    </row>
    <row r="755" ht="15.75" customHeight="1">
      <c r="A755" s="2"/>
      <c r="B755" s="74"/>
      <c r="C755" s="74"/>
      <c r="D755" s="74"/>
      <c r="E755" s="2"/>
      <c r="F755" s="2"/>
      <c r="G755" s="2"/>
      <c r="H755" s="74"/>
      <c r="I755" s="2"/>
      <c r="J755" s="2"/>
      <c r="K755" s="2"/>
      <c r="L755" s="2"/>
      <c r="M755" s="2"/>
      <c r="N755" s="2"/>
      <c r="O755" s="62"/>
      <c r="P755" s="76"/>
    </row>
    <row r="756" ht="15.75" customHeight="1">
      <c r="A756" s="2"/>
      <c r="B756" s="74"/>
      <c r="C756" s="74"/>
      <c r="D756" s="74"/>
      <c r="E756" s="2"/>
      <c r="F756" s="2"/>
      <c r="G756" s="2"/>
      <c r="H756" s="74"/>
      <c r="I756" s="2"/>
      <c r="J756" s="2"/>
      <c r="K756" s="2"/>
      <c r="L756" s="2"/>
      <c r="M756" s="2"/>
      <c r="N756" s="2"/>
      <c r="O756" s="62"/>
      <c r="P756" s="76"/>
    </row>
    <row r="757" ht="15.75" customHeight="1">
      <c r="A757" s="2"/>
      <c r="B757" s="74"/>
      <c r="C757" s="74"/>
      <c r="D757" s="74"/>
      <c r="E757" s="2"/>
      <c r="F757" s="2"/>
      <c r="G757" s="2"/>
      <c r="H757" s="74"/>
      <c r="I757" s="2"/>
      <c r="J757" s="2"/>
      <c r="K757" s="2"/>
      <c r="L757" s="2"/>
      <c r="M757" s="2"/>
      <c r="N757" s="2"/>
      <c r="O757" s="62"/>
      <c r="P757" s="76"/>
    </row>
    <row r="758" ht="15.75" customHeight="1">
      <c r="A758" s="2"/>
      <c r="B758" s="74"/>
      <c r="C758" s="74"/>
      <c r="D758" s="74"/>
      <c r="E758" s="2"/>
      <c r="F758" s="2"/>
      <c r="G758" s="2"/>
      <c r="H758" s="74"/>
      <c r="I758" s="2"/>
      <c r="J758" s="2"/>
      <c r="K758" s="2"/>
      <c r="L758" s="2"/>
      <c r="M758" s="2"/>
      <c r="N758" s="2"/>
      <c r="O758" s="62"/>
      <c r="P758" s="76"/>
    </row>
    <row r="759" ht="15.75" customHeight="1">
      <c r="A759" s="2"/>
      <c r="B759" s="74"/>
      <c r="C759" s="74"/>
      <c r="D759" s="74"/>
      <c r="E759" s="2"/>
      <c r="F759" s="2"/>
      <c r="G759" s="2"/>
      <c r="H759" s="74"/>
      <c r="I759" s="2"/>
      <c r="J759" s="2"/>
      <c r="K759" s="2"/>
      <c r="L759" s="2"/>
      <c r="M759" s="2"/>
      <c r="N759" s="2"/>
      <c r="O759" s="62"/>
      <c r="P759" s="76"/>
    </row>
    <row r="760" ht="15.75" customHeight="1">
      <c r="A760" s="2"/>
      <c r="B760" s="74"/>
      <c r="C760" s="74"/>
      <c r="D760" s="74"/>
      <c r="E760" s="2"/>
      <c r="F760" s="2"/>
      <c r="G760" s="2"/>
      <c r="H760" s="74"/>
      <c r="I760" s="2"/>
      <c r="J760" s="2"/>
      <c r="K760" s="2"/>
      <c r="L760" s="2"/>
      <c r="M760" s="2"/>
      <c r="N760" s="2"/>
      <c r="O760" s="62"/>
      <c r="P760" s="76"/>
    </row>
    <row r="761" ht="15.75" customHeight="1">
      <c r="A761" s="2"/>
      <c r="B761" s="74"/>
      <c r="C761" s="74"/>
      <c r="D761" s="74"/>
      <c r="E761" s="2"/>
      <c r="F761" s="2"/>
      <c r="G761" s="2"/>
      <c r="H761" s="74"/>
      <c r="I761" s="2"/>
      <c r="J761" s="2"/>
      <c r="K761" s="2"/>
      <c r="L761" s="2"/>
      <c r="M761" s="2"/>
      <c r="N761" s="2"/>
      <c r="O761" s="62"/>
      <c r="P761" s="76"/>
    </row>
    <row r="762" ht="15.75" customHeight="1">
      <c r="A762" s="2"/>
      <c r="B762" s="74"/>
      <c r="C762" s="74"/>
      <c r="D762" s="74"/>
      <c r="E762" s="2"/>
      <c r="F762" s="2"/>
      <c r="G762" s="2"/>
      <c r="H762" s="74"/>
      <c r="I762" s="2"/>
      <c r="J762" s="2"/>
      <c r="K762" s="2"/>
      <c r="L762" s="2"/>
      <c r="M762" s="2"/>
      <c r="N762" s="2"/>
      <c r="O762" s="62"/>
      <c r="P762" s="76"/>
    </row>
    <row r="763" ht="15.75" customHeight="1">
      <c r="A763" s="2"/>
      <c r="B763" s="74"/>
      <c r="C763" s="74"/>
      <c r="D763" s="74"/>
      <c r="E763" s="2"/>
      <c r="F763" s="2"/>
      <c r="G763" s="2"/>
      <c r="H763" s="74"/>
      <c r="I763" s="2"/>
      <c r="J763" s="2"/>
      <c r="K763" s="2"/>
      <c r="L763" s="2"/>
      <c r="M763" s="2"/>
      <c r="N763" s="2"/>
      <c r="O763" s="62"/>
      <c r="P763" s="76"/>
    </row>
    <row r="764" ht="15.75" customHeight="1">
      <c r="A764" s="2"/>
      <c r="B764" s="74"/>
      <c r="C764" s="74"/>
      <c r="D764" s="74"/>
      <c r="E764" s="2"/>
      <c r="F764" s="2"/>
      <c r="G764" s="2"/>
      <c r="H764" s="74"/>
      <c r="I764" s="2"/>
      <c r="J764" s="2"/>
      <c r="K764" s="2"/>
      <c r="L764" s="2"/>
      <c r="M764" s="2"/>
      <c r="N764" s="2"/>
      <c r="O764" s="62"/>
      <c r="P764" s="76"/>
    </row>
    <row r="765" ht="15.75" customHeight="1">
      <c r="A765" s="2"/>
      <c r="B765" s="74"/>
      <c r="C765" s="74"/>
      <c r="D765" s="74"/>
      <c r="E765" s="2"/>
      <c r="F765" s="2"/>
      <c r="G765" s="2"/>
      <c r="H765" s="74"/>
      <c r="I765" s="2"/>
      <c r="J765" s="2"/>
      <c r="K765" s="2"/>
      <c r="L765" s="2"/>
      <c r="M765" s="2"/>
      <c r="N765" s="2"/>
      <c r="O765" s="62"/>
      <c r="P765" s="76"/>
    </row>
    <row r="766" ht="15.75" customHeight="1">
      <c r="A766" s="2"/>
      <c r="B766" s="74"/>
      <c r="C766" s="74"/>
      <c r="D766" s="74"/>
      <c r="E766" s="2"/>
      <c r="F766" s="2"/>
      <c r="G766" s="2"/>
      <c r="H766" s="74"/>
      <c r="I766" s="2"/>
      <c r="J766" s="2"/>
      <c r="K766" s="2"/>
      <c r="L766" s="2"/>
      <c r="M766" s="2"/>
      <c r="N766" s="2"/>
      <c r="O766" s="62"/>
      <c r="P766" s="76"/>
    </row>
    <row r="767" ht="15.75" customHeight="1">
      <c r="A767" s="2"/>
      <c r="B767" s="74"/>
      <c r="C767" s="74"/>
      <c r="D767" s="74"/>
      <c r="E767" s="2"/>
      <c r="F767" s="2"/>
      <c r="G767" s="2"/>
      <c r="H767" s="74"/>
      <c r="I767" s="2"/>
      <c r="J767" s="2"/>
      <c r="K767" s="2"/>
      <c r="L767" s="2"/>
      <c r="M767" s="2"/>
      <c r="N767" s="2"/>
      <c r="O767" s="62"/>
      <c r="P767" s="76"/>
    </row>
    <row r="768" ht="15.75" customHeight="1">
      <c r="A768" s="2"/>
      <c r="B768" s="74"/>
      <c r="C768" s="74"/>
      <c r="D768" s="74"/>
      <c r="E768" s="2"/>
      <c r="F768" s="2"/>
      <c r="G768" s="2"/>
      <c r="H768" s="74"/>
      <c r="I768" s="2"/>
      <c r="J768" s="2"/>
      <c r="K768" s="2"/>
      <c r="L768" s="2"/>
      <c r="M768" s="2"/>
      <c r="N768" s="2"/>
      <c r="O768" s="62"/>
      <c r="P768" s="76"/>
    </row>
    <row r="769" ht="15.75" customHeight="1">
      <c r="A769" s="2"/>
      <c r="B769" s="74"/>
      <c r="C769" s="74"/>
      <c r="D769" s="74"/>
      <c r="E769" s="2"/>
      <c r="F769" s="2"/>
      <c r="G769" s="2"/>
      <c r="H769" s="74"/>
      <c r="I769" s="2"/>
      <c r="J769" s="2"/>
      <c r="K769" s="2"/>
      <c r="L769" s="2"/>
      <c r="M769" s="2"/>
      <c r="N769" s="2"/>
      <c r="O769" s="62"/>
      <c r="P769" s="76"/>
    </row>
    <row r="770" ht="15.75" customHeight="1">
      <c r="A770" s="2"/>
      <c r="B770" s="74"/>
      <c r="C770" s="74"/>
      <c r="D770" s="74"/>
      <c r="E770" s="2"/>
      <c r="F770" s="2"/>
      <c r="G770" s="2"/>
      <c r="H770" s="74"/>
      <c r="I770" s="2"/>
      <c r="J770" s="2"/>
      <c r="K770" s="2"/>
      <c r="L770" s="2"/>
      <c r="M770" s="2"/>
      <c r="N770" s="2"/>
      <c r="O770" s="62"/>
      <c r="P770" s="76"/>
    </row>
    <row r="771" ht="15.75" customHeight="1">
      <c r="A771" s="2"/>
      <c r="B771" s="74"/>
      <c r="C771" s="74"/>
      <c r="D771" s="74"/>
      <c r="E771" s="2"/>
      <c r="F771" s="2"/>
      <c r="G771" s="2"/>
      <c r="H771" s="74"/>
      <c r="I771" s="2"/>
      <c r="J771" s="2"/>
      <c r="K771" s="2"/>
      <c r="L771" s="2"/>
      <c r="M771" s="2"/>
      <c r="N771" s="2"/>
      <c r="O771" s="62"/>
      <c r="P771" s="76"/>
    </row>
    <row r="772" ht="15.75" customHeight="1">
      <c r="A772" s="2"/>
      <c r="B772" s="74"/>
      <c r="C772" s="74"/>
      <c r="D772" s="74"/>
      <c r="E772" s="2"/>
      <c r="F772" s="2"/>
      <c r="G772" s="2"/>
      <c r="H772" s="74"/>
      <c r="I772" s="2"/>
      <c r="J772" s="2"/>
      <c r="K772" s="2"/>
      <c r="L772" s="2"/>
      <c r="M772" s="2"/>
      <c r="N772" s="2"/>
      <c r="O772" s="62"/>
      <c r="P772" s="76"/>
    </row>
    <row r="773" ht="15.75" customHeight="1">
      <c r="A773" s="2"/>
      <c r="B773" s="74"/>
      <c r="C773" s="74"/>
      <c r="D773" s="74"/>
      <c r="E773" s="2"/>
      <c r="F773" s="2"/>
      <c r="G773" s="2"/>
      <c r="H773" s="74"/>
      <c r="I773" s="2"/>
      <c r="J773" s="2"/>
      <c r="K773" s="2"/>
      <c r="L773" s="2"/>
      <c r="M773" s="2"/>
      <c r="N773" s="2"/>
      <c r="O773" s="62"/>
      <c r="P773" s="76"/>
    </row>
    <row r="774" ht="15.75" customHeight="1">
      <c r="A774" s="2"/>
      <c r="B774" s="74"/>
      <c r="C774" s="74"/>
      <c r="D774" s="74"/>
      <c r="E774" s="2"/>
      <c r="F774" s="2"/>
      <c r="G774" s="2"/>
      <c r="H774" s="74"/>
      <c r="I774" s="2"/>
      <c r="J774" s="2"/>
      <c r="K774" s="2"/>
      <c r="L774" s="2"/>
      <c r="M774" s="2"/>
      <c r="N774" s="2"/>
      <c r="O774" s="62"/>
      <c r="P774" s="76"/>
    </row>
    <row r="775" ht="15.75" customHeight="1">
      <c r="A775" s="2"/>
      <c r="B775" s="74"/>
      <c r="C775" s="74"/>
      <c r="D775" s="74"/>
      <c r="E775" s="2"/>
      <c r="F775" s="2"/>
      <c r="G775" s="2"/>
      <c r="H775" s="74"/>
      <c r="I775" s="2"/>
      <c r="J775" s="2"/>
      <c r="K775" s="2"/>
      <c r="L775" s="2"/>
      <c r="M775" s="2"/>
      <c r="N775" s="2"/>
      <c r="O775" s="62"/>
      <c r="P775" s="76"/>
    </row>
    <row r="776" ht="15.75" customHeight="1">
      <c r="A776" s="2"/>
      <c r="B776" s="74"/>
      <c r="C776" s="74"/>
      <c r="D776" s="74"/>
      <c r="E776" s="2"/>
      <c r="F776" s="2"/>
      <c r="G776" s="2"/>
      <c r="H776" s="74"/>
      <c r="I776" s="2"/>
      <c r="J776" s="2"/>
      <c r="K776" s="2"/>
      <c r="L776" s="2"/>
      <c r="M776" s="2"/>
      <c r="N776" s="2"/>
      <c r="O776" s="62"/>
      <c r="P776" s="76"/>
    </row>
    <row r="777" ht="15.75" customHeight="1">
      <c r="A777" s="2"/>
      <c r="B777" s="74"/>
      <c r="C777" s="74"/>
      <c r="D777" s="74"/>
      <c r="E777" s="2"/>
      <c r="F777" s="2"/>
      <c r="G777" s="2"/>
      <c r="H777" s="74"/>
      <c r="I777" s="2"/>
      <c r="J777" s="2"/>
      <c r="K777" s="2"/>
      <c r="L777" s="2"/>
      <c r="M777" s="2"/>
      <c r="N777" s="2"/>
      <c r="O777" s="62"/>
      <c r="P777" s="76"/>
    </row>
    <row r="778" ht="15.75" customHeight="1">
      <c r="A778" s="2"/>
      <c r="B778" s="74"/>
      <c r="C778" s="74"/>
      <c r="D778" s="74"/>
      <c r="E778" s="2"/>
      <c r="F778" s="2"/>
      <c r="G778" s="2"/>
      <c r="H778" s="74"/>
      <c r="I778" s="2"/>
      <c r="J778" s="2"/>
      <c r="K778" s="2"/>
      <c r="L778" s="2"/>
      <c r="M778" s="2"/>
      <c r="N778" s="2"/>
      <c r="O778" s="62"/>
      <c r="P778" s="76"/>
    </row>
    <row r="779" ht="15.75" customHeight="1">
      <c r="A779" s="2"/>
      <c r="B779" s="74"/>
      <c r="C779" s="74"/>
      <c r="D779" s="74"/>
      <c r="E779" s="2"/>
      <c r="F779" s="2"/>
      <c r="G779" s="2"/>
      <c r="H779" s="74"/>
      <c r="I779" s="2"/>
      <c r="J779" s="2"/>
      <c r="K779" s="2"/>
      <c r="L779" s="2"/>
      <c r="M779" s="2"/>
      <c r="N779" s="2"/>
      <c r="O779" s="62"/>
      <c r="P779" s="76"/>
    </row>
    <row r="780" ht="15.75" customHeight="1">
      <c r="A780" s="2"/>
      <c r="B780" s="74"/>
      <c r="C780" s="74"/>
      <c r="D780" s="74"/>
      <c r="E780" s="2"/>
      <c r="F780" s="2"/>
      <c r="G780" s="2"/>
      <c r="H780" s="74"/>
      <c r="I780" s="2"/>
      <c r="J780" s="2"/>
      <c r="K780" s="2"/>
      <c r="L780" s="2"/>
      <c r="M780" s="2"/>
      <c r="N780" s="2"/>
      <c r="O780" s="62"/>
      <c r="P780" s="76"/>
    </row>
    <row r="781" ht="15.75" customHeight="1">
      <c r="A781" s="2"/>
      <c r="B781" s="74"/>
      <c r="C781" s="74"/>
      <c r="D781" s="74"/>
      <c r="E781" s="2"/>
      <c r="F781" s="2"/>
      <c r="G781" s="2"/>
      <c r="H781" s="74"/>
      <c r="I781" s="2"/>
      <c r="J781" s="2"/>
      <c r="K781" s="2"/>
      <c r="L781" s="2"/>
      <c r="M781" s="2"/>
      <c r="N781" s="2"/>
      <c r="O781" s="62"/>
      <c r="P781" s="76"/>
    </row>
    <row r="782" ht="15.75" customHeight="1">
      <c r="A782" s="2"/>
      <c r="B782" s="74"/>
      <c r="C782" s="74"/>
      <c r="D782" s="74"/>
      <c r="E782" s="2"/>
      <c r="F782" s="2"/>
      <c r="G782" s="2"/>
      <c r="H782" s="74"/>
      <c r="I782" s="2"/>
      <c r="J782" s="2"/>
      <c r="K782" s="2"/>
      <c r="L782" s="2"/>
      <c r="M782" s="2"/>
      <c r="N782" s="2"/>
      <c r="O782" s="62"/>
      <c r="P782" s="76"/>
    </row>
    <row r="783" ht="15.75" customHeight="1">
      <c r="A783" s="2"/>
      <c r="B783" s="74"/>
      <c r="C783" s="74"/>
      <c r="D783" s="74"/>
      <c r="E783" s="2"/>
      <c r="F783" s="2"/>
      <c r="G783" s="2"/>
      <c r="H783" s="74"/>
      <c r="I783" s="2"/>
      <c r="J783" s="2"/>
      <c r="K783" s="2"/>
      <c r="L783" s="2"/>
      <c r="M783" s="2"/>
      <c r="N783" s="2"/>
      <c r="O783" s="62"/>
      <c r="P783" s="76"/>
    </row>
    <row r="784" ht="15.75" customHeight="1">
      <c r="A784" s="2"/>
      <c r="B784" s="74"/>
      <c r="C784" s="74"/>
      <c r="D784" s="74"/>
      <c r="E784" s="2"/>
      <c r="F784" s="2"/>
      <c r="G784" s="2"/>
      <c r="H784" s="74"/>
      <c r="I784" s="2"/>
      <c r="J784" s="2"/>
      <c r="K784" s="2"/>
      <c r="L784" s="2"/>
      <c r="M784" s="2"/>
      <c r="N784" s="2"/>
      <c r="O784" s="62"/>
      <c r="P784" s="76"/>
    </row>
    <row r="785" ht="15.75" customHeight="1">
      <c r="A785" s="2"/>
      <c r="B785" s="74"/>
      <c r="C785" s="74"/>
      <c r="D785" s="74"/>
      <c r="E785" s="2"/>
      <c r="F785" s="2"/>
      <c r="G785" s="2"/>
      <c r="H785" s="74"/>
      <c r="I785" s="2"/>
      <c r="J785" s="2"/>
      <c r="K785" s="2"/>
      <c r="L785" s="2"/>
      <c r="M785" s="2"/>
      <c r="N785" s="2"/>
      <c r="O785" s="62"/>
      <c r="P785" s="76"/>
    </row>
    <row r="786" ht="15.75" customHeight="1">
      <c r="A786" s="2"/>
      <c r="B786" s="74"/>
      <c r="C786" s="74"/>
      <c r="D786" s="74"/>
      <c r="E786" s="2"/>
      <c r="F786" s="2"/>
      <c r="G786" s="2"/>
      <c r="H786" s="74"/>
      <c r="I786" s="2"/>
      <c r="J786" s="2"/>
      <c r="K786" s="2"/>
      <c r="L786" s="2"/>
      <c r="M786" s="2"/>
      <c r="N786" s="2"/>
      <c r="O786" s="62"/>
      <c r="P786" s="76"/>
    </row>
    <row r="787" ht="15.75" customHeight="1">
      <c r="A787" s="2"/>
      <c r="B787" s="74"/>
      <c r="C787" s="74"/>
      <c r="D787" s="74"/>
      <c r="E787" s="2"/>
      <c r="F787" s="2"/>
      <c r="G787" s="2"/>
      <c r="H787" s="74"/>
      <c r="I787" s="2"/>
      <c r="J787" s="2"/>
      <c r="K787" s="2"/>
      <c r="L787" s="2"/>
      <c r="M787" s="2"/>
      <c r="N787" s="2"/>
      <c r="O787" s="62"/>
      <c r="P787" s="76"/>
    </row>
    <row r="788" ht="15.75" customHeight="1">
      <c r="A788" s="2"/>
      <c r="B788" s="74"/>
      <c r="C788" s="74"/>
      <c r="D788" s="74"/>
      <c r="E788" s="2"/>
      <c r="F788" s="2"/>
      <c r="G788" s="2"/>
      <c r="H788" s="74"/>
      <c r="I788" s="2"/>
      <c r="J788" s="2"/>
      <c r="K788" s="2"/>
      <c r="L788" s="2"/>
      <c r="M788" s="2"/>
      <c r="N788" s="2"/>
      <c r="O788" s="62"/>
      <c r="P788" s="76"/>
    </row>
    <row r="789" ht="15.75" customHeight="1">
      <c r="A789" s="2"/>
      <c r="B789" s="74"/>
      <c r="C789" s="74"/>
      <c r="D789" s="74"/>
      <c r="E789" s="2"/>
      <c r="F789" s="2"/>
      <c r="G789" s="2"/>
      <c r="H789" s="74"/>
      <c r="I789" s="2"/>
      <c r="J789" s="2"/>
      <c r="K789" s="2"/>
      <c r="L789" s="2"/>
      <c r="M789" s="2"/>
      <c r="N789" s="2"/>
      <c r="O789" s="62"/>
      <c r="P789" s="76"/>
    </row>
    <row r="790" ht="15.75" customHeight="1">
      <c r="A790" s="2"/>
      <c r="B790" s="74"/>
      <c r="C790" s="74"/>
      <c r="D790" s="74"/>
      <c r="E790" s="2"/>
      <c r="F790" s="2"/>
      <c r="G790" s="2"/>
      <c r="H790" s="74"/>
      <c r="I790" s="2"/>
      <c r="J790" s="2"/>
      <c r="K790" s="2"/>
      <c r="L790" s="2"/>
      <c r="M790" s="2"/>
      <c r="N790" s="2"/>
      <c r="O790" s="62"/>
      <c r="P790" s="76"/>
    </row>
    <row r="791" ht="15.75" customHeight="1">
      <c r="A791" s="2"/>
      <c r="B791" s="74"/>
      <c r="C791" s="74"/>
      <c r="D791" s="74"/>
      <c r="E791" s="2"/>
      <c r="F791" s="2"/>
      <c r="G791" s="2"/>
      <c r="H791" s="74"/>
      <c r="I791" s="2"/>
      <c r="J791" s="2"/>
      <c r="K791" s="2"/>
      <c r="L791" s="2"/>
      <c r="M791" s="2"/>
      <c r="N791" s="2"/>
      <c r="O791" s="62"/>
      <c r="P791" s="76"/>
    </row>
    <row r="792" ht="15.75" customHeight="1">
      <c r="A792" s="2"/>
      <c r="B792" s="74"/>
      <c r="C792" s="74"/>
      <c r="D792" s="74"/>
      <c r="E792" s="2"/>
      <c r="F792" s="2"/>
      <c r="G792" s="2"/>
      <c r="H792" s="74"/>
      <c r="I792" s="2"/>
      <c r="J792" s="2"/>
      <c r="K792" s="2"/>
      <c r="L792" s="2"/>
      <c r="M792" s="2"/>
      <c r="N792" s="2"/>
      <c r="O792" s="62"/>
      <c r="P792" s="76"/>
    </row>
    <row r="793" ht="15.75" customHeight="1">
      <c r="A793" s="2"/>
      <c r="B793" s="74"/>
      <c r="C793" s="74"/>
      <c r="D793" s="74"/>
      <c r="E793" s="2"/>
      <c r="F793" s="2"/>
      <c r="G793" s="2"/>
      <c r="H793" s="74"/>
      <c r="I793" s="2"/>
      <c r="J793" s="2"/>
      <c r="K793" s="2"/>
      <c r="L793" s="2"/>
      <c r="M793" s="2"/>
      <c r="N793" s="2"/>
      <c r="O793" s="62"/>
      <c r="P793" s="76"/>
    </row>
    <row r="794" ht="15.75" customHeight="1">
      <c r="A794" s="2"/>
      <c r="B794" s="74"/>
      <c r="C794" s="74"/>
      <c r="D794" s="74"/>
      <c r="E794" s="2"/>
      <c r="F794" s="2"/>
      <c r="G794" s="2"/>
      <c r="H794" s="74"/>
      <c r="I794" s="2"/>
      <c r="J794" s="2"/>
      <c r="K794" s="2"/>
      <c r="L794" s="2"/>
      <c r="M794" s="2"/>
      <c r="N794" s="2"/>
      <c r="O794" s="62"/>
      <c r="P794" s="76"/>
    </row>
    <row r="795" ht="15.75" customHeight="1">
      <c r="A795" s="2"/>
      <c r="B795" s="74"/>
      <c r="C795" s="74"/>
      <c r="D795" s="74"/>
      <c r="E795" s="2"/>
      <c r="F795" s="2"/>
      <c r="G795" s="2"/>
      <c r="H795" s="74"/>
      <c r="I795" s="2"/>
      <c r="J795" s="2"/>
      <c r="K795" s="2"/>
      <c r="L795" s="2"/>
      <c r="M795" s="2"/>
      <c r="N795" s="2"/>
      <c r="O795" s="62"/>
      <c r="P795" s="76"/>
    </row>
    <row r="796" ht="15.75" customHeight="1">
      <c r="A796" s="2"/>
      <c r="B796" s="74"/>
      <c r="C796" s="74"/>
      <c r="D796" s="74"/>
      <c r="E796" s="2"/>
      <c r="F796" s="2"/>
      <c r="G796" s="2"/>
      <c r="H796" s="74"/>
      <c r="I796" s="2"/>
      <c r="J796" s="2"/>
      <c r="K796" s="2"/>
      <c r="L796" s="2"/>
      <c r="M796" s="2"/>
      <c r="N796" s="2"/>
      <c r="O796" s="62"/>
      <c r="P796" s="76"/>
    </row>
    <row r="797" ht="15.75" customHeight="1">
      <c r="A797" s="2"/>
      <c r="B797" s="74"/>
      <c r="C797" s="74"/>
      <c r="D797" s="74"/>
      <c r="E797" s="2"/>
      <c r="F797" s="2"/>
      <c r="G797" s="2"/>
      <c r="H797" s="74"/>
      <c r="I797" s="2"/>
      <c r="J797" s="2"/>
      <c r="K797" s="2"/>
      <c r="L797" s="2"/>
      <c r="M797" s="2"/>
      <c r="N797" s="2"/>
      <c r="O797" s="62"/>
      <c r="P797" s="76"/>
    </row>
    <row r="798" ht="15.75" customHeight="1">
      <c r="A798" s="2"/>
      <c r="B798" s="74"/>
      <c r="C798" s="74"/>
      <c r="D798" s="74"/>
      <c r="E798" s="2"/>
      <c r="F798" s="2"/>
      <c r="G798" s="2"/>
      <c r="H798" s="74"/>
      <c r="I798" s="2"/>
      <c r="J798" s="2"/>
      <c r="K798" s="2"/>
      <c r="L798" s="2"/>
      <c r="M798" s="2"/>
      <c r="N798" s="2"/>
      <c r="O798" s="62"/>
      <c r="P798" s="76"/>
    </row>
    <row r="799" ht="15.75" customHeight="1">
      <c r="A799" s="2"/>
      <c r="B799" s="74"/>
      <c r="C799" s="74"/>
      <c r="D799" s="74"/>
      <c r="E799" s="2"/>
      <c r="F799" s="2"/>
      <c r="G799" s="2"/>
      <c r="H799" s="74"/>
      <c r="I799" s="2"/>
      <c r="J799" s="2"/>
      <c r="K799" s="2"/>
      <c r="L799" s="2"/>
      <c r="M799" s="2"/>
      <c r="N799" s="2"/>
      <c r="O799" s="62"/>
      <c r="P799" s="76"/>
    </row>
    <row r="800" ht="15.75" customHeight="1">
      <c r="A800" s="2"/>
      <c r="B800" s="74"/>
      <c r="C800" s="74"/>
      <c r="D800" s="74"/>
      <c r="E800" s="2"/>
      <c r="F800" s="2"/>
      <c r="G800" s="2"/>
      <c r="H800" s="74"/>
      <c r="I800" s="2"/>
      <c r="J800" s="2"/>
      <c r="K800" s="2"/>
      <c r="L800" s="2"/>
      <c r="M800" s="2"/>
      <c r="N800" s="2"/>
      <c r="O800" s="62"/>
      <c r="P800" s="76"/>
    </row>
    <row r="801" ht="15.75" customHeight="1">
      <c r="A801" s="2"/>
      <c r="B801" s="74"/>
      <c r="C801" s="74"/>
      <c r="D801" s="74"/>
      <c r="E801" s="2"/>
      <c r="F801" s="2"/>
      <c r="G801" s="2"/>
      <c r="H801" s="74"/>
      <c r="I801" s="2"/>
      <c r="J801" s="2"/>
      <c r="K801" s="2"/>
      <c r="L801" s="2"/>
      <c r="M801" s="2"/>
      <c r="N801" s="2"/>
      <c r="O801" s="62"/>
      <c r="P801" s="76"/>
    </row>
    <row r="802" ht="15.75" customHeight="1">
      <c r="A802" s="2"/>
      <c r="B802" s="74"/>
      <c r="C802" s="74"/>
      <c r="D802" s="74"/>
      <c r="E802" s="2"/>
      <c r="F802" s="2"/>
      <c r="G802" s="2"/>
      <c r="H802" s="74"/>
      <c r="I802" s="2"/>
      <c r="J802" s="2"/>
      <c r="K802" s="2"/>
      <c r="L802" s="2"/>
      <c r="M802" s="2"/>
      <c r="N802" s="2"/>
      <c r="O802" s="62"/>
      <c r="P802" s="76"/>
    </row>
    <row r="803" ht="15.75" customHeight="1">
      <c r="A803" s="2"/>
      <c r="B803" s="74"/>
      <c r="C803" s="74"/>
      <c r="D803" s="74"/>
      <c r="E803" s="2"/>
      <c r="F803" s="2"/>
      <c r="G803" s="2"/>
      <c r="H803" s="74"/>
      <c r="I803" s="2"/>
      <c r="J803" s="2"/>
      <c r="K803" s="2"/>
      <c r="L803" s="2"/>
      <c r="M803" s="2"/>
      <c r="N803" s="2"/>
      <c r="O803" s="62"/>
      <c r="P803" s="76"/>
    </row>
    <row r="804" ht="15.75" customHeight="1">
      <c r="A804" s="2"/>
      <c r="B804" s="74"/>
      <c r="C804" s="74"/>
      <c r="D804" s="74"/>
      <c r="E804" s="2"/>
      <c r="F804" s="2"/>
      <c r="G804" s="2"/>
      <c r="H804" s="74"/>
      <c r="I804" s="2"/>
      <c r="J804" s="2"/>
      <c r="K804" s="2"/>
      <c r="L804" s="2"/>
      <c r="M804" s="2"/>
      <c r="N804" s="2"/>
      <c r="O804" s="62"/>
      <c r="P804" s="76"/>
    </row>
    <row r="805" ht="15.75" customHeight="1">
      <c r="A805" s="2"/>
      <c r="B805" s="74"/>
      <c r="C805" s="74"/>
      <c r="D805" s="74"/>
      <c r="E805" s="2"/>
      <c r="F805" s="2"/>
      <c r="G805" s="2"/>
      <c r="H805" s="74"/>
      <c r="I805" s="2"/>
      <c r="J805" s="2"/>
      <c r="K805" s="2"/>
      <c r="L805" s="2"/>
      <c r="M805" s="2"/>
      <c r="N805" s="2"/>
      <c r="O805" s="62"/>
      <c r="P805" s="76"/>
    </row>
    <row r="806" ht="15.75" customHeight="1">
      <c r="A806" s="2"/>
      <c r="B806" s="74"/>
      <c r="C806" s="74"/>
      <c r="D806" s="74"/>
      <c r="E806" s="2"/>
      <c r="F806" s="2"/>
      <c r="G806" s="2"/>
      <c r="H806" s="74"/>
      <c r="I806" s="2"/>
      <c r="J806" s="2"/>
      <c r="K806" s="2"/>
      <c r="L806" s="2"/>
      <c r="M806" s="2"/>
      <c r="N806" s="2"/>
      <c r="O806" s="62"/>
      <c r="P806" s="76"/>
    </row>
    <row r="807" ht="15.75" customHeight="1">
      <c r="A807" s="2"/>
      <c r="B807" s="74"/>
      <c r="C807" s="74"/>
      <c r="D807" s="74"/>
      <c r="E807" s="2"/>
      <c r="F807" s="2"/>
      <c r="G807" s="2"/>
      <c r="H807" s="74"/>
      <c r="I807" s="2"/>
      <c r="J807" s="2"/>
      <c r="K807" s="2"/>
      <c r="L807" s="2"/>
      <c r="M807" s="2"/>
      <c r="N807" s="2"/>
      <c r="O807" s="62"/>
      <c r="P807" s="76"/>
    </row>
    <row r="808" ht="15.75" customHeight="1">
      <c r="A808" s="2"/>
      <c r="B808" s="74"/>
      <c r="C808" s="74"/>
      <c r="D808" s="74"/>
      <c r="E808" s="2"/>
      <c r="F808" s="2"/>
      <c r="G808" s="2"/>
      <c r="H808" s="74"/>
      <c r="I808" s="2"/>
      <c r="J808" s="2"/>
      <c r="K808" s="2"/>
      <c r="L808" s="2"/>
      <c r="M808" s="2"/>
      <c r="N808" s="2"/>
      <c r="O808" s="62"/>
      <c r="P808" s="76"/>
    </row>
    <row r="809" ht="15.75" customHeight="1">
      <c r="A809" s="2"/>
      <c r="B809" s="74"/>
      <c r="C809" s="74"/>
      <c r="D809" s="74"/>
      <c r="E809" s="2"/>
      <c r="F809" s="2"/>
      <c r="G809" s="2"/>
      <c r="H809" s="74"/>
      <c r="I809" s="2"/>
      <c r="J809" s="2"/>
      <c r="K809" s="2"/>
      <c r="L809" s="2"/>
      <c r="M809" s="2"/>
      <c r="N809" s="2"/>
      <c r="O809" s="62"/>
      <c r="P809" s="76"/>
    </row>
    <row r="810" ht="15.75" customHeight="1">
      <c r="A810" s="2"/>
      <c r="B810" s="74"/>
      <c r="C810" s="74"/>
      <c r="D810" s="74"/>
      <c r="E810" s="2"/>
      <c r="F810" s="2"/>
      <c r="G810" s="2"/>
      <c r="H810" s="74"/>
      <c r="I810" s="2"/>
      <c r="J810" s="2"/>
      <c r="K810" s="2"/>
      <c r="L810" s="2"/>
      <c r="M810" s="2"/>
      <c r="N810" s="2"/>
      <c r="O810" s="62"/>
      <c r="P810" s="76"/>
    </row>
    <row r="811" ht="15.75" customHeight="1">
      <c r="A811" s="2"/>
      <c r="B811" s="74"/>
      <c r="C811" s="74"/>
      <c r="D811" s="74"/>
      <c r="E811" s="2"/>
      <c r="F811" s="2"/>
      <c r="G811" s="2"/>
      <c r="H811" s="74"/>
      <c r="I811" s="2"/>
      <c r="J811" s="2"/>
      <c r="K811" s="2"/>
      <c r="L811" s="2"/>
      <c r="M811" s="2"/>
      <c r="N811" s="2"/>
      <c r="O811" s="62"/>
      <c r="P811" s="76"/>
    </row>
    <row r="812" ht="15.75" customHeight="1">
      <c r="A812" s="2"/>
      <c r="B812" s="74"/>
      <c r="C812" s="74"/>
      <c r="D812" s="74"/>
      <c r="E812" s="2"/>
      <c r="F812" s="2"/>
      <c r="G812" s="2"/>
      <c r="H812" s="74"/>
      <c r="I812" s="2"/>
      <c r="J812" s="2"/>
      <c r="K812" s="2"/>
      <c r="L812" s="2"/>
      <c r="M812" s="2"/>
      <c r="N812" s="2"/>
      <c r="O812" s="62"/>
      <c r="P812" s="76"/>
    </row>
    <row r="813" ht="15.75" customHeight="1">
      <c r="A813" s="2"/>
      <c r="B813" s="74"/>
      <c r="C813" s="74"/>
      <c r="D813" s="74"/>
      <c r="E813" s="2"/>
      <c r="F813" s="2"/>
      <c r="G813" s="2"/>
      <c r="H813" s="74"/>
      <c r="I813" s="2"/>
      <c r="J813" s="2"/>
      <c r="K813" s="2"/>
      <c r="L813" s="2"/>
      <c r="M813" s="2"/>
      <c r="N813" s="2"/>
      <c r="O813" s="62"/>
      <c r="P813" s="76"/>
    </row>
    <row r="814" ht="15.75" customHeight="1">
      <c r="A814" s="2"/>
      <c r="B814" s="74"/>
      <c r="C814" s="74"/>
      <c r="D814" s="74"/>
      <c r="E814" s="2"/>
      <c r="F814" s="2"/>
      <c r="G814" s="2"/>
      <c r="H814" s="74"/>
      <c r="I814" s="2"/>
      <c r="J814" s="2"/>
      <c r="K814" s="2"/>
      <c r="L814" s="2"/>
      <c r="M814" s="2"/>
      <c r="N814" s="2"/>
      <c r="O814" s="62"/>
      <c r="P814" s="76"/>
    </row>
    <row r="815" ht="15.75" customHeight="1">
      <c r="A815" s="2"/>
      <c r="B815" s="74"/>
      <c r="C815" s="74"/>
      <c r="D815" s="74"/>
      <c r="E815" s="2"/>
      <c r="F815" s="2"/>
      <c r="G815" s="2"/>
      <c r="H815" s="74"/>
      <c r="I815" s="2"/>
      <c r="J815" s="2"/>
      <c r="K815" s="2"/>
      <c r="L815" s="2"/>
      <c r="M815" s="2"/>
      <c r="N815" s="2"/>
      <c r="O815" s="62"/>
      <c r="P815" s="76"/>
    </row>
    <row r="816" ht="15.75" customHeight="1">
      <c r="A816" s="2"/>
      <c r="B816" s="74"/>
      <c r="C816" s="74"/>
      <c r="D816" s="74"/>
      <c r="E816" s="2"/>
      <c r="F816" s="2"/>
      <c r="G816" s="2"/>
      <c r="H816" s="74"/>
      <c r="I816" s="2"/>
      <c r="J816" s="2"/>
      <c r="K816" s="2"/>
      <c r="L816" s="2"/>
      <c r="M816" s="2"/>
      <c r="N816" s="2"/>
      <c r="O816" s="62"/>
      <c r="P816" s="76"/>
    </row>
    <row r="817" ht="15.75" customHeight="1">
      <c r="A817" s="2"/>
      <c r="B817" s="74"/>
      <c r="C817" s="74"/>
      <c r="D817" s="74"/>
      <c r="E817" s="2"/>
      <c r="F817" s="2"/>
      <c r="G817" s="2"/>
      <c r="H817" s="74"/>
      <c r="I817" s="2"/>
      <c r="J817" s="2"/>
      <c r="K817" s="2"/>
      <c r="L817" s="2"/>
      <c r="M817" s="2"/>
      <c r="N817" s="2"/>
      <c r="O817" s="62"/>
      <c r="P817" s="76"/>
    </row>
    <row r="818" ht="15.75" customHeight="1">
      <c r="A818" s="2"/>
      <c r="B818" s="74"/>
      <c r="C818" s="74"/>
      <c r="D818" s="74"/>
      <c r="E818" s="2"/>
      <c r="F818" s="2"/>
      <c r="G818" s="2"/>
      <c r="H818" s="74"/>
      <c r="I818" s="2"/>
      <c r="J818" s="2"/>
      <c r="K818" s="2"/>
      <c r="L818" s="2"/>
      <c r="M818" s="2"/>
      <c r="N818" s="2"/>
      <c r="O818" s="62"/>
      <c r="P818" s="76"/>
    </row>
    <row r="819" ht="15.75" customHeight="1">
      <c r="A819" s="2"/>
      <c r="B819" s="74"/>
      <c r="C819" s="74"/>
      <c r="D819" s="74"/>
      <c r="E819" s="2"/>
      <c r="F819" s="2"/>
      <c r="G819" s="2"/>
      <c r="H819" s="74"/>
      <c r="I819" s="2"/>
      <c r="J819" s="2"/>
      <c r="K819" s="2"/>
      <c r="L819" s="2"/>
      <c r="M819" s="2"/>
      <c r="N819" s="2"/>
      <c r="O819" s="62"/>
      <c r="P819" s="76"/>
    </row>
    <row r="820" ht="15.75" customHeight="1">
      <c r="A820" s="2"/>
      <c r="B820" s="74"/>
      <c r="C820" s="74"/>
      <c r="D820" s="74"/>
      <c r="E820" s="2"/>
      <c r="F820" s="2"/>
      <c r="G820" s="2"/>
      <c r="H820" s="74"/>
      <c r="I820" s="2"/>
      <c r="J820" s="2"/>
      <c r="K820" s="2"/>
      <c r="L820" s="2"/>
      <c r="M820" s="2"/>
      <c r="N820" s="2"/>
      <c r="O820" s="62"/>
      <c r="P820" s="76"/>
    </row>
    <row r="821" ht="15.75" customHeight="1">
      <c r="A821" s="2"/>
      <c r="B821" s="74"/>
      <c r="C821" s="74"/>
      <c r="D821" s="74"/>
      <c r="E821" s="2"/>
      <c r="F821" s="2"/>
      <c r="G821" s="2"/>
      <c r="H821" s="74"/>
      <c r="I821" s="2"/>
      <c r="J821" s="2"/>
      <c r="K821" s="2"/>
      <c r="L821" s="2"/>
      <c r="M821" s="2"/>
      <c r="N821" s="2"/>
      <c r="O821" s="62"/>
      <c r="P821" s="76"/>
    </row>
    <row r="822" ht="15.75" customHeight="1">
      <c r="A822" s="2"/>
      <c r="B822" s="74"/>
      <c r="C822" s="74"/>
      <c r="D822" s="74"/>
      <c r="E822" s="2"/>
      <c r="F822" s="2"/>
      <c r="G822" s="2"/>
      <c r="H822" s="74"/>
      <c r="I822" s="2"/>
      <c r="J822" s="2"/>
      <c r="K822" s="2"/>
      <c r="L822" s="2"/>
      <c r="M822" s="2"/>
      <c r="N822" s="2"/>
      <c r="O822" s="62"/>
      <c r="P822" s="76"/>
    </row>
    <row r="823" ht="15.75" customHeight="1">
      <c r="A823" s="2"/>
      <c r="B823" s="74"/>
      <c r="C823" s="74"/>
      <c r="D823" s="74"/>
      <c r="E823" s="2"/>
      <c r="F823" s="2"/>
      <c r="G823" s="2"/>
      <c r="H823" s="74"/>
      <c r="I823" s="2"/>
      <c r="J823" s="2"/>
      <c r="K823" s="2"/>
      <c r="L823" s="2"/>
      <c r="M823" s="2"/>
      <c r="N823" s="2"/>
      <c r="O823" s="62"/>
      <c r="P823" s="76"/>
    </row>
    <row r="824" ht="15.75" customHeight="1">
      <c r="A824" s="2"/>
      <c r="B824" s="74"/>
      <c r="C824" s="74"/>
      <c r="D824" s="74"/>
      <c r="E824" s="2"/>
      <c r="F824" s="2"/>
      <c r="G824" s="2"/>
      <c r="H824" s="74"/>
      <c r="I824" s="2"/>
      <c r="J824" s="2"/>
      <c r="K824" s="2"/>
      <c r="L824" s="2"/>
      <c r="M824" s="2"/>
      <c r="N824" s="2"/>
      <c r="O824" s="62"/>
      <c r="P824" s="76"/>
    </row>
    <row r="825" ht="15.75" customHeight="1">
      <c r="A825" s="2"/>
      <c r="B825" s="74"/>
      <c r="C825" s="74"/>
      <c r="D825" s="74"/>
      <c r="E825" s="2"/>
      <c r="F825" s="2"/>
      <c r="G825" s="2"/>
      <c r="H825" s="74"/>
      <c r="I825" s="2"/>
      <c r="J825" s="2"/>
      <c r="K825" s="2"/>
      <c r="L825" s="2"/>
      <c r="M825" s="2"/>
      <c r="N825" s="2"/>
      <c r="O825" s="62"/>
      <c r="P825" s="76"/>
    </row>
    <row r="826" ht="15.75" customHeight="1">
      <c r="A826" s="2"/>
      <c r="B826" s="74"/>
      <c r="C826" s="74"/>
      <c r="D826" s="74"/>
      <c r="E826" s="2"/>
      <c r="F826" s="2"/>
      <c r="G826" s="2"/>
      <c r="H826" s="74"/>
      <c r="I826" s="2"/>
      <c r="J826" s="2"/>
      <c r="K826" s="2"/>
      <c r="L826" s="2"/>
      <c r="M826" s="2"/>
      <c r="N826" s="2"/>
      <c r="O826" s="62"/>
      <c r="P826" s="76"/>
    </row>
    <row r="827" ht="15.75" customHeight="1">
      <c r="A827" s="2"/>
      <c r="B827" s="74"/>
      <c r="C827" s="74"/>
      <c r="D827" s="74"/>
      <c r="E827" s="2"/>
      <c r="F827" s="2"/>
      <c r="G827" s="2"/>
      <c r="H827" s="74"/>
      <c r="I827" s="2"/>
      <c r="J827" s="2"/>
      <c r="K827" s="2"/>
      <c r="L827" s="2"/>
      <c r="M827" s="2"/>
      <c r="N827" s="2"/>
      <c r="O827" s="62"/>
      <c r="P827" s="76"/>
    </row>
    <row r="828" ht="15.75" customHeight="1">
      <c r="A828" s="2"/>
      <c r="B828" s="74"/>
      <c r="C828" s="74"/>
      <c r="D828" s="74"/>
      <c r="E828" s="2"/>
      <c r="F828" s="2"/>
      <c r="G828" s="2"/>
      <c r="H828" s="74"/>
      <c r="I828" s="2"/>
      <c r="J828" s="2"/>
      <c r="K828" s="2"/>
      <c r="L828" s="2"/>
      <c r="M828" s="2"/>
      <c r="N828" s="2"/>
      <c r="O828" s="62"/>
      <c r="P828" s="76"/>
    </row>
    <row r="829" ht="15.75" customHeight="1">
      <c r="A829" s="2"/>
      <c r="B829" s="74"/>
      <c r="C829" s="74"/>
      <c r="D829" s="74"/>
      <c r="E829" s="2"/>
      <c r="F829" s="2"/>
      <c r="G829" s="2"/>
      <c r="H829" s="74"/>
      <c r="I829" s="2"/>
      <c r="J829" s="2"/>
      <c r="K829" s="2"/>
      <c r="L829" s="2"/>
      <c r="M829" s="2"/>
      <c r="N829" s="2"/>
      <c r="O829" s="62"/>
      <c r="P829" s="76"/>
    </row>
    <row r="830" ht="15.75" customHeight="1">
      <c r="A830" s="2"/>
      <c r="B830" s="74"/>
      <c r="C830" s="74"/>
      <c r="D830" s="74"/>
      <c r="E830" s="2"/>
      <c r="F830" s="2"/>
      <c r="G830" s="2"/>
      <c r="H830" s="74"/>
      <c r="I830" s="2"/>
      <c r="J830" s="2"/>
      <c r="K830" s="2"/>
      <c r="L830" s="2"/>
      <c r="M830" s="2"/>
      <c r="N830" s="2"/>
      <c r="O830" s="62"/>
      <c r="P830" s="76"/>
    </row>
    <row r="831" ht="15.75" customHeight="1">
      <c r="A831" s="2"/>
      <c r="B831" s="74"/>
      <c r="C831" s="74"/>
      <c r="D831" s="74"/>
      <c r="E831" s="2"/>
      <c r="F831" s="2"/>
      <c r="G831" s="2"/>
      <c r="H831" s="74"/>
      <c r="I831" s="2"/>
      <c r="J831" s="2"/>
      <c r="K831" s="2"/>
      <c r="L831" s="2"/>
      <c r="M831" s="2"/>
      <c r="N831" s="2"/>
      <c r="O831" s="62"/>
      <c r="P831" s="76"/>
    </row>
    <row r="832" ht="15.75" customHeight="1">
      <c r="A832" s="2"/>
      <c r="B832" s="74"/>
      <c r="C832" s="74"/>
      <c r="D832" s="74"/>
      <c r="E832" s="2"/>
      <c r="F832" s="2"/>
      <c r="G832" s="2"/>
      <c r="H832" s="74"/>
      <c r="I832" s="2"/>
      <c r="J832" s="2"/>
      <c r="K832" s="2"/>
      <c r="L832" s="2"/>
      <c r="M832" s="2"/>
      <c r="N832" s="2"/>
      <c r="O832" s="62"/>
      <c r="P832" s="76"/>
    </row>
    <row r="833" ht="15.75" customHeight="1">
      <c r="A833" s="2"/>
      <c r="B833" s="74"/>
      <c r="C833" s="74"/>
      <c r="D833" s="74"/>
      <c r="E833" s="2"/>
      <c r="F833" s="2"/>
      <c r="G833" s="2"/>
      <c r="H833" s="74"/>
      <c r="I833" s="2"/>
      <c r="J833" s="2"/>
      <c r="K833" s="2"/>
      <c r="L833" s="2"/>
      <c r="M833" s="2"/>
      <c r="N833" s="2"/>
      <c r="O833" s="62"/>
      <c r="P833" s="76"/>
    </row>
    <row r="834" ht="15.75" customHeight="1">
      <c r="A834" s="2"/>
      <c r="B834" s="74"/>
      <c r="C834" s="74"/>
      <c r="D834" s="74"/>
      <c r="E834" s="2"/>
      <c r="F834" s="2"/>
      <c r="G834" s="2"/>
      <c r="H834" s="74"/>
      <c r="I834" s="2"/>
      <c r="J834" s="2"/>
      <c r="K834" s="2"/>
      <c r="L834" s="2"/>
      <c r="M834" s="2"/>
      <c r="N834" s="2"/>
      <c r="O834" s="62"/>
      <c r="P834" s="76"/>
    </row>
    <row r="835" ht="15.75" customHeight="1">
      <c r="A835" s="2"/>
      <c r="B835" s="74"/>
      <c r="C835" s="74"/>
      <c r="D835" s="74"/>
      <c r="E835" s="2"/>
      <c r="F835" s="2"/>
      <c r="G835" s="2"/>
      <c r="H835" s="74"/>
      <c r="I835" s="2"/>
      <c r="J835" s="2"/>
      <c r="K835" s="2"/>
      <c r="L835" s="2"/>
      <c r="M835" s="2"/>
      <c r="N835" s="2"/>
      <c r="O835" s="62"/>
      <c r="P835" s="76"/>
    </row>
    <row r="836" ht="15.75" customHeight="1">
      <c r="A836" s="2"/>
      <c r="B836" s="74"/>
      <c r="C836" s="74"/>
      <c r="D836" s="74"/>
      <c r="E836" s="2"/>
      <c r="F836" s="2"/>
      <c r="G836" s="2"/>
      <c r="H836" s="74"/>
      <c r="I836" s="2"/>
      <c r="J836" s="2"/>
      <c r="K836" s="2"/>
      <c r="L836" s="2"/>
      <c r="M836" s="2"/>
      <c r="N836" s="2"/>
      <c r="O836" s="62"/>
      <c r="P836" s="76"/>
    </row>
    <row r="837" ht="15.75" customHeight="1">
      <c r="A837" s="2"/>
      <c r="B837" s="74"/>
      <c r="C837" s="74"/>
      <c r="D837" s="74"/>
      <c r="E837" s="2"/>
      <c r="F837" s="2"/>
      <c r="G837" s="2"/>
      <c r="H837" s="74"/>
      <c r="I837" s="2"/>
      <c r="J837" s="2"/>
      <c r="K837" s="2"/>
      <c r="L837" s="2"/>
      <c r="M837" s="2"/>
      <c r="N837" s="2"/>
      <c r="O837" s="62"/>
      <c r="P837" s="76"/>
    </row>
    <row r="838" ht="15.75" customHeight="1">
      <c r="A838" s="2"/>
      <c r="B838" s="74"/>
      <c r="C838" s="74"/>
      <c r="D838" s="74"/>
      <c r="E838" s="2"/>
      <c r="F838" s="2"/>
      <c r="G838" s="2"/>
      <c r="H838" s="74"/>
      <c r="I838" s="2"/>
      <c r="J838" s="2"/>
      <c r="K838" s="2"/>
      <c r="L838" s="2"/>
      <c r="M838" s="2"/>
      <c r="N838" s="2"/>
      <c r="O838" s="62"/>
      <c r="P838" s="76"/>
    </row>
    <row r="839" ht="15.75" customHeight="1">
      <c r="A839" s="2"/>
      <c r="B839" s="74"/>
      <c r="C839" s="74"/>
      <c r="D839" s="74"/>
      <c r="E839" s="2"/>
      <c r="F839" s="2"/>
      <c r="G839" s="2"/>
      <c r="H839" s="74"/>
      <c r="I839" s="2"/>
      <c r="J839" s="2"/>
      <c r="K839" s="2"/>
      <c r="L839" s="2"/>
      <c r="M839" s="2"/>
      <c r="N839" s="2"/>
      <c r="O839" s="62"/>
      <c r="P839" s="76"/>
    </row>
    <row r="840" ht="15.75" customHeight="1">
      <c r="A840" s="2"/>
      <c r="B840" s="74"/>
      <c r="C840" s="74"/>
      <c r="D840" s="74"/>
      <c r="E840" s="2"/>
      <c r="F840" s="2"/>
      <c r="G840" s="2"/>
      <c r="H840" s="74"/>
      <c r="I840" s="2"/>
      <c r="J840" s="2"/>
      <c r="K840" s="2"/>
      <c r="L840" s="2"/>
      <c r="M840" s="2"/>
      <c r="N840" s="2"/>
      <c r="O840" s="62"/>
      <c r="P840" s="76"/>
    </row>
    <row r="841" ht="15.75" customHeight="1">
      <c r="A841" s="2"/>
      <c r="B841" s="74"/>
      <c r="C841" s="74"/>
      <c r="D841" s="74"/>
      <c r="E841" s="2"/>
      <c r="F841" s="2"/>
      <c r="G841" s="2"/>
      <c r="H841" s="74"/>
      <c r="I841" s="2"/>
      <c r="J841" s="2"/>
      <c r="K841" s="2"/>
      <c r="L841" s="2"/>
      <c r="M841" s="2"/>
      <c r="N841" s="2"/>
      <c r="O841" s="62"/>
      <c r="P841" s="76"/>
    </row>
    <row r="842" ht="15.75" customHeight="1">
      <c r="A842" s="2"/>
      <c r="B842" s="74"/>
      <c r="C842" s="74"/>
      <c r="D842" s="74"/>
      <c r="E842" s="2"/>
      <c r="F842" s="2"/>
      <c r="G842" s="2"/>
      <c r="H842" s="74"/>
      <c r="I842" s="2"/>
      <c r="J842" s="2"/>
      <c r="K842" s="2"/>
      <c r="L842" s="2"/>
      <c r="M842" s="2"/>
      <c r="N842" s="2"/>
      <c r="O842" s="62"/>
      <c r="P842" s="76"/>
    </row>
    <row r="843" ht="15.75" customHeight="1">
      <c r="A843" s="2"/>
      <c r="B843" s="74"/>
      <c r="C843" s="74"/>
      <c r="D843" s="74"/>
      <c r="E843" s="2"/>
      <c r="F843" s="2"/>
      <c r="G843" s="2"/>
      <c r="H843" s="74"/>
      <c r="I843" s="2"/>
      <c r="J843" s="2"/>
      <c r="K843" s="2"/>
      <c r="L843" s="2"/>
      <c r="M843" s="2"/>
      <c r="N843" s="2"/>
      <c r="O843" s="62"/>
      <c r="P843" s="76"/>
    </row>
    <row r="844" ht="15.75" customHeight="1">
      <c r="A844" s="2"/>
      <c r="B844" s="74"/>
      <c r="C844" s="74"/>
      <c r="D844" s="74"/>
      <c r="E844" s="2"/>
      <c r="F844" s="2"/>
      <c r="G844" s="2"/>
      <c r="H844" s="74"/>
      <c r="I844" s="2"/>
      <c r="J844" s="2"/>
      <c r="K844" s="2"/>
      <c r="L844" s="2"/>
      <c r="M844" s="2"/>
      <c r="N844" s="2"/>
      <c r="O844" s="62"/>
      <c r="P844" s="76"/>
    </row>
    <row r="845" ht="15.75" customHeight="1">
      <c r="A845" s="2"/>
      <c r="B845" s="74"/>
      <c r="C845" s="74"/>
      <c r="D845" s="74"/>
      <c r="E845" s="2"/>
      <c r="F845" s="2"/>
      <c r="G845" s="2"/>
      <c r="H845" s="74"/>
      <c r="I845" s="2"/>
      <c r="J845" s="2"/>
      <c r="K845" s="2"/>
      <c r="L845" s="2"/>
      <c r="M845" s="2"/>
      <c r="N845" s="2"/>
      <c r="O845" s="62"/>
      <c r="P845" s="76"/>
    </row>
    <row r="846" ht="15.75" customHeight="1">
      <c r="A846" s="2"/>
      <c r="B846" s="74"/>
      <c r="C846" s="74"/>
      <c r="D846" s="74"/>
      <c r="E846" s="2"/>
      <c r="F846" s="2"/>
      <c r="G846" s="2"/>
      <c r="H846" s="74"/>
      <c r="I846" s="2"/>
      <c r="J846" s="2"/>
      <c r="K846" s="2"/>
      <c r="L846" s="2"/>
      <c r="M846" s="2"/>
      <c r="N846" s="2"/>
      <c r="O846" s="62"/>
      <c r="P846" s="76"/>
    </row>
    <row r="847" ht="15.75" customHeight="1">
      <c r="A847" s="2"/>
      <c r="B847" s="74"/>
      <c r="C847" s="74"/>
      <c r="D847" s="74"/>
      <c r="E847" s="2"/>
      <c r="F847" s="2"/>
      <c r="G847" s="2"/>
      <c r="H847" s="74"/>
      <c r="I847" s="2"/>
      <c r="J847" s="2"/>
      <c r="K847" s="2"/>
      <c r="L847" s="2"/>
      <c r="M847" s="2"/>
      <c r="N847" s="2"/>
      <c r="O847" s="62"/>
      <c r="P847" s="76"/>
    </row>
    <row r="848" ht="15.75" customHeight="1">
      <c r="A848" s="2"/>
      <c r="B848" s="74"/>
      <c r="C848" s="74"/>
      <c r="D848" s="74"/>
      <c r="E848" s="2"/>
      <c r="F848" s="2"/>
      <c r="G848" s="2"/>
      <c r="H848" s="74"/>
      <c r="I848" s="2"/>
      <c r="J848" s="2"/>
      <c r="K848" s="2"/>
      <c r="L848" s="2"/>
      <c r="M848" s="2"/>
      <c r="N848" s="2"/>
      <c r="O848" s="62"/>
      <c r="P848" s="76"/>
    </row>
    <row r="849" ht="15.75" customHeight="1">
      <c r="A849" s="2"/>
      <c r="B849" s="74"/>
      <c r="C849" s="74"/>
      <c r="D849" s="74"/>
      <c r="E849" s="2"/>
      <c r="F849" s="2"/>
      <c r="G849" s="2"/>
      <c r="H849" s="74"/>
      <c r="I849" s="2"/>
      <c r="J849" s="2"/>
      <c r="K849" s="2"/>
      <c r="L849" s="2"/>
      <c r="M849" s="2"/>
      <c r="N849" s="2"/>
      <c r="O849" s="62"/>
      <c r="P849" s="76"/>
    </row>
    <row r="850" ht="15.75" customHeight="1">
      <c r="A850" s="2"/>
      <c r="B850" s="74"/>
      <c r="C850" s="74"/>
      <c r="D850" s="74"/>
      <c r="E850" s="2"/>
      <c r="F850" s="2"/>
      <c r="G850" s="2"/>
      <c r="H850" s="74"/>
      <c r="I850" s="2"/>
      <c r="J850" s="2"/>
      <c r="K850" s="2"/>
      <c r="L850" s="2"/>
      <c r="M850" s="2"/>
      <c r="N850" s="2"/>
      <c r="O850" s="62"/>
      <c r="P850" s="76"/>
    </row>
    <row r="851" ht="15.75" customHeight="1">
      <c r="A851" s="2"/>
      <c r="B851" s="74"/>
      <c r="C851" s="74"/>
      <c r="D851" s="74"/>
      <c r="E851" s="2"/>
      <c r="F851" s="2"/>
      <c r="G851" s="2"/>
      <c r="H851" s="74"/>
      <c r="I851" s="2"/>
      <c r="J851" s="2"/>
      <c r="K851" s="2"/>
      <c r="L851" s="2"/>
      <c r="M851" s="2"/>
      <c r="N851" s="2"/>
      <c r="O851" s="62"/>
      <c r="P851" s="76"/>
    </row>
    <row r="852" ht="15.75" customHeight="1">
      <c r="A852" s="2"/>
      <c r="B852" s="74"/>
      <c r="C852" s="74"/>
      <c r="D852" s="74"/>
      <c r="E852" s="2"/>
      <c r="F852" s="2"/>
      <c r="G852" s="2"/>
      <c r="H852" s="74"/>
      <c r="I852" s="2"/>
      <c r="J852" s="2"/>
      <c r="K852" s="2"/>
      <c r="L852" s="2"/>
      <c r="M852" s="2"/>
      <c r="N852" s="2"/>
      <c r="O852" s="62"/>
      <c r="P852" s="76"/>
    </row>
    <row r="853" ht="15.75" customHeight="1">
      <c r="A853" s="2"/>
      <c r="B853" s="74"/>
      <c r="C853" s="74"/>
      <c r="D853" s="74"/>
      <c r="E853" s="2"/>
      <c r="F853" s="2"/>
      <c r="G853" s="2"/>
      <c r="H853" s="74"/>
      <c r="I853" s="2"/>
      <c r="J853" s="2"/>
      <c r="K853" s="2"/>
      <c r="L853" s="2"/>
      <c r="M853" s="2"/>
      <c r="N853" s="2"/>
      <c r="O853" s="62"/>
      <c r="P853" s="76"/>
    </row>
    <row r="854" ht="15.75" customHeight="1">
      <c r="A854" s="2"/>
      <c r="B854" s="74"/>
      <c r="C854" s="74"/>
      <c r="D854" s="74"/>
      <c r="E854" s="2"/>
      <c r="F854" s="2"/>
      <c r="G854" s="2"/>
      <c r="H854" s="74"/>
      <c r="I854" s="2"/>
      <c r="J854" s="2"/>
      <c r="K854" s="2"/>
      <c r="L854" s="2"/>
      <c r="M854" s="2"/>
      <c r="N854" s="2"/>
      <c r="O854" s="62"/>
      <c r="P854" s="76"/>
    </row>
    <row r="855" ht="15.75" customHeight="1">
      <c r="A855" s="2"/>
      <c r="B855" s="74"/>
      <c r="C855" s="74"/>
      <c r="D855" s="74"/>
      <c r="E855" s="2"/>
      <c r="F855" s="2"/>
      <c r="G855" s="2"/>
      <c r="H855" s="74"/>
      <c r="I855" s="2"/>
      <c r="J855" s="2"/>
      <c r="K855" s="2"/>
      <c r="L855" s="2"/>
      <c r="M855" s="2"/>
      <c r="N855" s="2"/>
      <c r="O855" s="62"/>
      <c r="P855" s="76"/>
    </row>
    <row r="856" ht="15.75" customHeight="1">
      <c r="A856" s="2"/>
      <c r="B856" s="74"/>
      <c r="C856" s="74"/>
      <c r="D856" s="74"/>
      <c r="E856" s="2"/>
      <c r="F856" s="2"/>
      <c r="G856" s="2"/>
      <c r="H856" s="74"/>
      <c r="I856" s="2"/>
      <c r="J856" s="2"/>
      <c r="K856" s="2"/>
      <c r="L856" s="2"/>
      <c r="M856" s="2"/>
      <c r="N856" s="2"/>
      <c r="O856" s="62"/>
      <c r="P856" s="76"/>
    </row>
    <row r="857" ht="15.75" customHeight="1">
      <c r="A857" s="2"/>
      <c r="B857" s="74"/>
      <c r="C857" s="74"/>
      <c r="D857" s="74"/>
      <c r="E857" s="2"/>
      <c r="F857" s="2"/>
      <c r="G857" s="2"/>
      <c r="H857" s="74"/>
      <c r="I857" s="2"/>
      <c r="J857" s="2"/>
      <c r="K857" s="2"/>
      <c r="L857" s="2"/>
      <c r="M857" s="2"/>
      <c r="N857" s="2"/>
      <c r="O857" s="62"/>
      <c r="P857" s="76"/>
    </row>
    <row r="858" ht="15.75" customHeight="1">
      <c r="A858" s="2"/>
      <c r="B858" s="74"/>
      <c r="C858" s="74"/>
      <c r="D858" s="74"/>
      <c r="E858" s="2"/>
      <c r="F858" s="2"/>
      <c r="G858" s="2"/>
      <c r="H858" s="74"/>
      <c r="I858" s="2"/>
      <c r="J858" s="2"/>
      <c r="K858" s="2"/>
      <c r="L858" s="2"/>
      <c r="M858" s="2"/>
      <c r="N858" s="2"/>
      <c r="O858" s="62"/>
      <c r="P858" s="76"/>
    </row>
    <row r="859" ht="15.75" customHeight="1">
      <c r="A859" s="2"/>
      <c r="B859" s="74"/>
      <c r="C859" s="74"/>
      <c r="D859" s="74"/>
      <c r="E859" s="2"/>
      <c r="F859" s="2"/>
      <c r="G859" s="2"/>
      <c r="H859" s="74"/>
      <c r="I859" s="2"/>
      <c r="J859" s="2"/>
      <c r="K859" s="2"/>
      <c r="L859" s="2"/>
      <c r="M859" s="2"/>
      <c r="N859" s="2"/>
      <c r="O859" s="62"/>
      <c r="P859" s="76"/>
    </row>
    <row r="860" ht="15.75" customHeight="1">
      <c r="A860" s="2"/>
      <c r="B860" s="74"/>
      <c r="C860" s="74"/>
      <c r="D860" s="74"/>
      <c r="E860" s="2"/>
      <c r="F860" s="2"/>
      <c r="G860" s="2"/>
      <c r="H860" s="74"/>
      <c r="I860" s="2"/>
      <c r="J860" s="2"/>
      <c r="K860" s="2"/>
      <c r="L860" s="2"/>
      <c r="M860" s="2"/>
      <c r="N860" s="2"/>
      <c r="O860" s="62"/>
      <c r="P860" s="76"/>
    </row>
    <row r="861" ht="15.75" customHeight="1">
      <c r="A861" s="2"/>
      <c r="B861" s="74"/>
      <c r="C861" s="74"/>
      <c r="D861" s="74"/>
      <c r="E861" s="2"/>
      <c r="F861" s="2"/>
      <c r="G861" s="2"/>
      <c r="H861" s="74"/>
      <c r="I861" s="2"/>
      <c r="J861" s="2"/>
      <c r="K861" s="2"/>
      <c r="L861" s="2"/>
      <c r="M861" s="2"/>
      <c r="N861" s="2"/>
      <c r="O861" s="62"/>
      <c r="P861" s="76"/>
    </row>
    <row r="862" ht="15.75" customHeight="1">
      <c r="A862" s="2"/>
      <c r="B862" s="74"/>
      <c r="C862" s="74"/>
      <c r="D862" s="74"/>
      <c r="E862" s="2"/>
      <c r="F862" s="2"/>
      <c r="G862" s="2"/>
      <c r="H862" s="74"/>
      <c r="I862" s="2"/>
      <c r="J862" s="2"/>
      <c r="K862" s="2"/>
      <c r="L862" s="2"/>
      <c r="M862" s="2"/>
      <c r="N862" s="2"/>
      <c r="O862" s="62"/>
      <c r="P862" s="76"/>
    </row>
    <row r="863" ht="15.75" customHeight="1">
      <c r="A863" s="2"/>
      <c r="B863" s="74"/>
      <c r="C863" s="74"/>
      <c r="D863" s="74"/>
      <c r="E863" s="2"/>
      <c r="F863" s="2"/>
      <c r="G863" s="2"/>
      <c r="H863" s="74"/>
      <c r="I863" s="2"/>
      <c r="J863" s="2"/>
      <c r="K863" s="2"/>
      <c r="L863" s="2"/>
      <c r="M863" s="2"/>
      <c r="N863" s="2"/>
      <c r="O863" s="62"/>
      <c r="P863" s="76"/>
    </row>
    <row r="864" ht="15.75" customHeight="1">
      <c r="A864" s="2"/>
      <c r="B864" s="74"/>
      <c r="C864" s="74"/>
      <c r="D864" s="74"/>
      <c r="E864" s="2"/>
      <c r="F864" s="2"/>
      <c r="G864" s="2"/>
      <c r="H864" s="74"/>
      <c r="I864" s="2"/>
      <c r="J864" s="2"/>
      <c r="K864" s="2"/>
      <c r="L864" s="2"/>
      <c r="M864" s="2"/>
      <c r="N864" s="2"/>
      <c r="O864" s="62"/>
      <c r="P864" s="76"/>
    </row>
    <row r="865" ht="15.75" customHeight="1">
      <c r="A865" s="2"/>
      <c r="B865" s="74"/>
      <c r="C865" s="74"/>
      <c r="D865" s="74"/>
      <c r="E865" s="2"/>
      <c r="F865" s="2"/>
      <c r="G865" s="2"/>
      <c r="H865" s="74"/>
      <c r="I865" s="2"/>
      <c r="J865" s="2"/>
      <c r="K865" s="2"/>
      <c r="L865" s="2"/>
      <c r="M865" s="2"/>
      <c r="N865" s="2"/>
      <c r="O865" s="62"/>
      <c r="P865" s="76"/>
    </row>
    <row r="866" ht="15.75" customHeight="1">
      <c r="A866" s="2"/>
      <c r="B866" s="74"/>
      <c r="C866" s="74"/>
      <c r="D866" s="74"/>
      <c r="E866" s="2"/>
      <c r="F866" s="2"/>
      <c r="G866" s="2"/>
      <c r="H866" s="74"/>
      <c r="I866" s="2"/>
      <c r="J866" s="2"/>
      <c r="K866" s="2"/>
      <c r="L866" s="2"/>
      <c r="M866" s="2"/>
      <c r="N866" s="2"/>
      <c r="O866" s="62"/>
      <c r="P866" s="76"/>
    </row>
    <row r="867" ht="15.75" customHeight="1">
      <c r="A867" s="2"/>
      <c r="B867" s="74"/>
      <c r="C867" s="74"/>
      <c r="D867" s="74"/>
      <c r="E867" s="2"/>
      <c r="F867" s="2"/>
      <c r="G867" s="2"/>
      <c r="H867" s="74"/>
      <c r="I867" s="2"/>
      <c r="J867" s="2"/>
      <c r="K867" s="2"/>
      <c r="L867" s="2"/>
      <c r="M867" s="2"/>
      <c r="N867" s="2"/>
      <c r="O867" s="62"/>
      <c r="P867" s="76"/>
    </row>
    <row r="868" ht="15.75" customHeight="1">
      <c r="A868" s="2"/>
      <c r="B868" s="74"/>
      <c r="C868" s="74"/>
      <c r="D868" s="74"/>
      <c r="E868" s="2"/>
      <c r="F868" s="2"/>
      <c r="G868" s="2"/>
      <c r="H868" s="74"/>
      <c r="I868" s="2"/>
      <c r="J868" s="2"/>
      <c r="K868" s="2"/>
      <c r="L868" s="2"/>
      <c r="M868" s="2"/>
      <c r="N868" s="2"/>
      <c r="O868" s="62"/>
      <c r="P868" s="76"/>
    </row>
    <row r="869" ht="15.75" customHeight="1">
      <c r="A869" s="2"/>
      <c r="B869" s="74"/>
      <c r="C869" s="74"/>
      <c r="D869" s="74"/>
      <c r="E869" s="2"/>
      <c r="F869" s="2"/>
      <c r="G869" s="2"/>
      <c r="H869" s="74"/>
      <c r="I869" s="2"/>
      <c r="J869" s="2"/>
      <c r="K869" s="2"/>
      <c r="L869" s="2"/>
      <c r="M869" s="2"/>
      <c r="N869" s="2"/>
      <c r="O869" s="62"/>
      <c r="P869" s="76"/>
    </row>
    <row r="870" ht="15.75" customHeight="1">
      <c r="A870" s="2"/>
      <c r="B870" s="74"/>
      <c r="C870" s="74"/>
      <c r="D870" s="74"/>
      <c r="E870" s="2"/>
      <c r="F870" s="2"/>
      <c r="G870" s="2"/>
      <c r="H870" s="74"/>
      <c r="I870" s="2"/>
      <c r="J870" s="2"/>
      <c r="K870" s="2"/>
      <c r="L870" s="2"/>
      <c r="M870" s="2"/>
      <c r="N870" s="2"/>
      <c r="O870" s="62"/>
      <c r="P870" s="76"/>
    </row>
    <row r="871" ht="15.75" customHeight="1">
      <c r="A871" s="2"/>
      <c r="B871" s="74"/>
      <c r="C871" s="74"/>
      <c r="D871" s="74"/>
      <c r="E871" s="2"/>
      <c r="F871" s="2"/>
      <c r="G871" s="2"/>
      <c r="H871" s="74"/>
      <c r="I871" s="2"/>
      <c r="J871" s="2"/>
      <c r="K871" s="2"/>
      <c r="L871" s="2"/>
      <c r="M871" s="2"/>
      <c r="N871" s="2"/>
      <c r="O871" s="62"/>
      <c r="P871" s="76"/>
    </row>
    <row r="872" ht="15.75" customHeight="1">
      <c r="A872" s="2"/>
      <c r="B872" s="74"/>
      <c r="C872" s="74"/>
      <c r="D872" s="74"/>
      <c r="E872" s="2"/>
      <c r="F872" s="2"/>
      <c r="G872" s="2"/>
      <c r="H872" s="74"/>
      <c r="I872" s="2"/>
      <c r="J872" s="2"/>
      <c r="K872" s="2"/>
      <c r="L872" s="2"/>
      <c r="M872" s="2"/>
      <c r="N872" s="2"/>
      <c r="O872" s="62"/>
      <c r="P872" s="76"/>
    </row>
    <row r="873" ht="15.75" customHeight="1">
      <c r="A873" s="2"/>
      <c r="B873" s="74"/>
      <c r="C873" s="74"/>
      <c r="D873" s="74"/>
      <c r="E873" s="2"/>
      <c r="F873" s="2"/>
      <c r="G873" s="2"/>
      <c r="H873" s="74"/>
      <c r="I873" s="2"/>
      <c r="J873" s="2"/>
      <c r="K873" s="2"/>
      <c r="L873" s="2"/>
      <c r="M873" s="2"/>
      <c r="N873" s="2"/>
      <c r="O873" s="62"/>
      <c r="P873" s="76"/>
    </row>
    <row r="874" ht="15.75" customHeight="1">
      <c r="A874" s="2"/>
      <c r="B874" s="74"/>
      <c r="C874" s="74"/>
      <c r="D874" s="74"/>
      <c r="E874" s="2"/>
      <c r="F874" s="2"/>
      <c r="G874" s="2"/>
      <c r="H874" s="74"/>
      <c r="I874" s="2"/>
      <c r="J874" s="2"/>
      <c r="K874" s="2"/>
      <c r="L874" s="2"/>
      <c r="M874" s="2"/>
      <c r="N874" s="2"/>
      <c r="O874" s="62"/>
      <c r="P874" s="76"/>
    </row>
    <row r="875" ht="15.75" customHeight="1">
      <c r="A875" s="2"/>
      <c r="B875" s="74"/>
      <c r="C875" s="74"/>
      <c r="D875" s="74"/>
      <c r="E875" s="2"/>
      <c r="F875" s="2"/>
      <c r="G875" s="2"/>
      <c r="H875" s="74"/>
      <c r="I875" s="2"/>
      <c r="J875" s="2"/>
      <c r="K875" s="2"/>
      <c r="L875" s="2"/>
      <c r="M875" s="2"/>
      <c r="N875" s="2"/>
      <c r="O875" s="62"/>
      <c r="P875" s="76"/>
    </row>
    <row r="876" ht="15.75" customHeight="1">
      <c r="A876" s="2"/>
      <c r="B876" s="74"/>
      <c r="C876" s="74"/>
      <c r="D876" s="74"/>
      <c r="E876" s="2"/>
      <c r="F876" s="2"/>
      <c r="G876" s="2"/>
      <c r="H876" s="74"/>
      <c r="I876" s="2"/>
      <c r="J876" s="2"/>
      <c r="K876" s="2"/>
      <c r="L876" s="2"/>
      <c r="M876" s="2"/>
      <c r="N876" s="2"/>
      <c r="O876" s="62"/>
      <c r="P876" s="76"/>
    </row>
    <row r="877" ht="15.75" customHeight="1">
      <c r="A877" s="2"/>
      <c r="B877" s="74"/>
      <c r="C877" s="74"/>
      <c r="D877" s="74"/>
      <c r="E877" s="2"/>
      <c r="F877" s="2"/>
      <c r="G877" s="2"/>
      <c r="H877" s="74"/>
      <c r="I877" s="2"/>
      <c r="J877" s="2"/>
      <c r="K877" s="2"/>
      <c r="L877" s="2"/>
      <c r="M877" s="2"/>
      <c r="N877" s="2"/>
      <c r="O877" s="62"/>
      <c r="P877" s="76"/>
    </row>
    <row r="878" ht="15.75" customHeight="1">
      <c r="A878" s="2"/>
      <c r="B878" s="74"/>
      <c r="C878" s="74"/>
      <c r="D878" s="74"/>
      <c r="E878" s="2"/>
      <c r="F878" s="2"/>
      <c r="G878" s="2"/>
      <c r="H878" s="74"/>
      <c r="I878" s="2"/>
      <c r="J878" s="2"/>
      <c r="K878" s="2"/>
      <c r="L878" s="2"/>
      <c r="M878" s="2"/>
      <c r="N878" s="2"/>
      <c r="O878" s="62"/>
      <c r="P878" s="76"/>
    </row>
    <row r="879" ht="15.75" customHeight="1">
      <c r="A879" s="2"/>
      <c r="B879" s="74"/>
      <c r="C879" s="74"/>
      <c r="D879" s="74"/>
      <c r="E879" s="2"/>
      <c r="F879" s="2"/>
      <c r="G879" s="2"/>
      <c r="H879" s="74"/>
      <c r="I879" s="2"/>
      <c r="J879" s="2"/>
      <c r="K879" s="2"/>
      <c r="L879" s="2"/>
      <c r="M879" s="2"/>
      <c r="N879" s="2"/>
      <c r="O879" s="62"/>
      <c r="P879" s="76"/>
    </row>
    <row r="880" ht="15.75" customHeight="1">
      <c r="A880" s="2"/>
      <c r="B880" s="74"/>
      <c r="C880" s="74"/>
      <c r="D880" s="74"/>
      <c r="E880" s="2"/>
      <c r="F880" s="2"/>
      <c r="G880" s="2"/>
      <c r="H880" s="74"/>
      <c r="I880" s="2"/>
      <c r="J880" s="2"/>
      <c r="K880" s="2"/>
      <c r="L880" s="2"/>
      <c r="M880" s="2"/>
      <c r="N880" s="2"/>
      <c r="O880" s="62"/>
      <c r="P880" s="76"/>
    </row>
    <row r="881" ht="15.75" customHeight="1">
      <c r="A881" s="2"/>
      <c r="B881" s="74"/>
      <c r="C881" s="74"/>
      <c r="D881" s="74"/>
      <c r="E881" s="2"/>
      <c r="F881" s="2"/>
      <c r="G881" s="2"/>
      <c r="H881" s="74"/>
      <c r="I881" s="2"/>
      <c r="J881" s="2"/>
      <c r="K881" s="2"/>
      <c r="L881" s="2"/>
      <c r="M881" s="2"/>
      <c r="N881" s="2"/>
      <c r="O881" s="62"/>
      <c r="P881" s="76"/>
    </row>
    <row r="882" ht="15.75" customHeight="1">
      <c r="A882" s="2"/>
      <c r="B882" s="74"/>
      <c r="C882" s="74"/>
      <c r="D882" s="74"/>
      <c r="E882" s="2"/>
      <c r="F882" s="2"/>
      <c r="G882" s="2"/>
      <c r="H882" s="74"/>
      <c r="I882" s="2"/>
      <c r="J882" s="2"/>
      <c r="K882" s="2"/>
      <c r="L882" s="2"/>
      <c r="M882" s="2"/>
      <c r="N882" s="2"/>
      <c r="O882" s="62"/>
      <c r="P882" s="76"/>
    </row>
    <row r="883" ht="15.75" customHeight="1">
      <c r="A883" s="2"/>
      <c r="B883" s="74"/>
      <c r="C883" s="74"/>
      <c r="D883" s="74"/>
      <c r="E883" s="2"/>
      <c r="F883" s="2"/>
      <c r="G883" s="2"/>
      <c r="H883" s="74"/>
      <c r="I883" s="2"/>
      <c r="J883" s="2"/>
      <c r="K883" s="2"/>
      <c r="L883" s="2"/>
      <c r="M883" s="2"/>
      <c r="N883" s="2"/>
      <c r="O883" s="62"/>
      <c r="P883" s="76"/>
    </row>
    <row r="884" ht="15.75" customHeight="1">
      <c r="A884" s="2"/>
      <c r="B884" s="74"/>
      <c r="C884" s="74"/>
      <c r="D884" s="74"/>
      <c r="E884" s="2"/>
      <c r="F884" s="2"/>
      <c r="G884" s="2"/>
      <c r="H884" s="74"/>
      <c r="I884" s="2"/>
      <c r="J884" s="2"/>
      <c r="K884" s="2"/>
      <c r="L884" s="2"/>
      <c r="M884" s="2"/>
      <c r="N884" s="2"/>
      <c r="O884" s="62"/>
      <c r="P884" s="76"/>
    </row>
    <row r="885" ht="15.75" customHeight="1">
      <c r="A885" s="2"/>
      <c r="B885" s="74"/>
      <c r="C885" s="74"/>
      <c r="D885" s="74"/>
      <c r="E885" s="2"/>
      <c r="F885" s="2"/>
      <c r="G885" s="2"/>
      <c r="H885" s="74"/>
      <c r="I885" s="2"/>
      <c r="J885" s="2"/>
      <c r="K885" s="2"/>
      <c r="L885" s="2"/>
      <c r="M885" s="2"/>
      <c r="N885" s="2"/>
      <c r="O885" s="62"/>
      <c r="P885" s="76"/>
    </row>
    <row r="886" ht="15.75" customHeight="1">
      <c r="A886" s="2"/>
      <c r="B886" s="74"/>
      <c r="C886" s="74"/>
      <c r="D886" s="74"/>
      <c r="E886" s="2"/>
      <c r="F886" s="2"/>
      <c r="G886" s="2"/>
      <c r="H886" s="74"/>
      <c r="I886" s="2"/>
      <c r="J886" s="2"/>
      <c r="K886" s="2"/>
      <c r="L886" s="2"/>
      <c r="M886" s="2"/>
      <c r="N886" s="2"/>
      <c r="O886" s="62"/>
      <c r="P886" s="76"/>
    </row>
    <row r="887" ht="15.75" customHeight="1">
      <c r="A887" s="2"/>
      <c r="B887" s="74"/>
      <c r="C887" s="74"/>
      <c r="D887" s="74"/>
      <c r="E887" s="2"/>
      <c r="F887" s="2"/>
      <c r="G887" s="2"/>
      <c r="H887" s="74"/>
      <c r="I887" s="2"/>
      <c r="J887" s="2"/>
      <c r="K887" s="2"/>
      <c r="L887" s="2"/>
      <c r="M887" s="2"/>
      <c r="N887" s="2"/>
      <c r="O887" s="62"/>
      <c r="P887" s="76"/>
    </row>
    <row r="888" ht="15.75" customHeight="1">
      <c r="A888" s="2"/>
      <c r="B888" s="74"/>
      <c r="C888" s="74"/>
      <c r="D888" s="74"/>
      <c r="E888" s="2"/>
      <c r="F888" s="2"/>
      <c r="G888" s="2"/>
      <c r="H888" s="74"/>
      <c r="I888" s="2"/>
      <c r="J888" s="2"/>
      <c r="K888" s="2"/>
      <c r="L888" s="2"/>
      <c r="M888" s="2"/>
      <c r="N888" s="2"/>
      <c r="O888" s="62"/>
      <c r="P888" s="76"/>
    </row>
    <row r="889" ht="15.75" customHeight="1">
      <c r="A889" s="2"/>
      <c r="B889" s="74"/>
      <c r="C889" s="74"/>
      <c r="D889" s="74"/>
      <c r="E889" s="2"/>
      <c r="F889" s="2"/>
      <c r="G889" s="2"/>
      <c r="H889" s="74"/>
      <c r="I889" s="2"/>
      <c r="J889" s="2"/>
      <c r="K889" s="2"/>
      <c r="L889" s="2"/>
      <c r="M889" s="2"/>
      <c r="N889" s="2"/>
      <c r="O889" s="62"/>
      <c r="P889" s="76"/>
    </row>
    <row r="890" ht="15.75" customHeight="1">
      <c r="A890" s="2"/>
      <c r="B890" s="74"/>
      <c r="C890" s="74"/>
      <c r="D890" s="74"/>
      <c r="E890" s="2"/>
      <c r="F890" s="2"/>
      <c r="G890" s="2"/>
      <c r="H890" s="74"/>
      <c r="I890" s="2"/>
      <c r="J890" s="2"/>
      <c r="K890" s="2"/>
      <c r="L890" s="2"/>
      <c r="M890" s="2"/>
      <c r="N890" s="2"/>
      <c r="O890" s="62"/>
      <c r="P890" s="76"/>
    </row>
    <row r="891" ht="15.75" customHeight="1">
      <c r="A891" s="2"/>
      <c r="B891" s="74"/>
      <c r="C891" s="74"/>
      <c r="D891" s="74"/>
      <c r="E891" s="2"/>
      <c r="F891" s="2"/>
      <c r="G891" s="2"/>
      <c r="H891" s="74"/>
      <c r="I891" s="2"/>
      <c r="J891" s="2"/>
      <c r="K891" s="2"/>
      <c r="L891" s="2"/>
      <c r="M891" s="2"/>
      <c r="N891" s="2"/>
      <c r="O891" s="62"/>
      <c r="P891" s="76"/>
    </row>
    <row r="892" ht="15.75" customHeight="1">
      <c r="A892" s="2"/>
      <c r="B892" s="74"/>
      <c r="C892" s="74"/>
      <c r="D892" s="74"/>
      <c r="E892" s="2"/>
      <c r="F892" s="2"/>
      <c r="G892" s="2"/>
      <c r="H892" s="74"/>
      <c r="I892" s="2"/>
      <c r="J892" s="2"/>
      <c r="K892" s="2"/>
      <c r="L892" s="2"/>
      <c r="M892" s="2"/>
      <c r="N892" s="2"/>
      <c r="O892" s="62"/>
      <c r="P892" s="76"/>
    </row>
    <row r="893" ht="15.75" customHeight="1">
      <c r="A893" s="2"/>
      <c r="B893" s="74"/>
      <c r="C893" s="74"/>
      <c r="D893" s="74"/>
      <c r="E893" s="2"/>
      <c r="F893" s="2"/>
      <c r="G893" s="2"/>
      <c r="H893" s="74"/>
      <c r="I893" s="2"/>
      <c r="J893" s="2"/>
      <c r="K893" s="2"/>
      <c r="L893" s="2"/>
      <c r="M893" s="2"/>
      <c r="N893" s="2"/>
      <c r="O893" s="62"/>
      <c r="P893" s="76"/>
    </row>
    <row r="894" ht="15.75" customHeight="1">
      <c r="A894" s="2"/>
      <c r="B894" s="74"/>
      <c r="C894" s="74"/>
      <c r="D894" s="74"/>
      <c r="E894" s="2"/>
      <c r="F894" s="2"/>
      <c r="G894" s="2"/>
      <c r="H894" s="74"/>
      <c r="I894" s="2"/>
      <c r="J894" s="2"/>
      <c r="K894" s="2"/>
      <c r="L894" s="2"/>
      <c r="M894" s="2"/>
      <c r="N894" s="2"/>
      <c r="O894" s="62"/>
      <c r="P894" s="76"/>
    </row>
    <row r="895" ht="15.75" customHeight="1">
      <c r="A895" s="2"/>
      <c r="B895" s="74"/>
      <c r="C895" s="74"/>
      <c r="D895" s="74"/>
      <c r="E895" s="2"/>
      <c r="F895" s="2"/>
      <c r="G895" s="2"/>
      <c r="H895" s="74"/>
      <c r="I895" s="2"/>
      <c r="J895" s="2"/>
      <c r="K895" s="2"/>
      <c r="L895" s="2"/>
      <c r="M895" s="2"/>
      <c r="N895" s="2"/>
      <c r="O895" s="62"/>
      <c r="P895" s="76"/>
    </row>
    <row r="896" ht="15.75" customHeight="1">
      <c r="A896" s="2"/>
      <c r="B896" s="74"/>
      <c r="C896" s="74"/>
      <c r="D896" s="74"/>
      <c r="E896" s="2"/>
      <c r="F896" s="2"/>
      <c r="G896" s="2"/>
      <c r="H896" s="74"/>
      <c r="I896" s="2"/>
      <c r="J896" s="2"/>
      <c r="K896" s="2"/>
      <c r="L896" s="2"/>
      <c r="M896" s="2"/>
      <c r="N896" s="2"/>
      <c r="O896" s="62"/>
      <c r="P896" s="76"/>
    </row>
    <row r="897" ht="15.75" customHeight="1">
      <c r="A897" s="2"/>
      <c r="B897" s="74"/>
      <c r="C897" s="74"/>
      <c r="D897" s="74"/>
      <c r="E897" s="2"/>
      <c r="F897" s="2"/>
      <c r="G897" s="2"/>
      <c r="H897" s="74"/>
      <c r="I897" s="2"/>
      <c r="J897" s="2"/>
      <c r="K897" s="2"/>
      <c r="L897" s="2"/>
      <c r="M897" s="2"/>
      <c r="N897" s="2"/>
      <c r="O897" s="62"/>
      <c r="P897" s="76"/>
    </row>
    <row r="898" ht="15.75" customHeight="1">
      <c r="A898" s="2"/>
      <c r="B898" s="74"/>
      <c r="C898" s="74"/>
      <c r="D898" s="74"/>
      <c r="E898" s="2"/>
      <c r="F898" s="2"/>
      <c r="G898" s="2"/>
      <c r="H898" s="74"/>
      <c r="I898" s="2"/>
      <c r="J898" s="2"/>
      <c r="K898" s="2"/>
      <c r="L898" s="2"/>
      <c r="M898" s="2"/>
      <c r="N898" s="2"/>
      <c r="O898" s="62"/>
      <c r="P898" s="76"/>
    </row>
    <row r="899" ht="15.75" customHeight="1">
      <c r="A899" s="2"/>
      <c r="B899" s="74"/>
      <c r="C899" s="74"/>
      <c r="D899" s="74"/>
      <c r="E899" s="2"/>
      <c r="F899" s="2"/>
      <c r="G899" s="2"/>
      <c r="H899" s="74"/>
      <c r="I899" s="2"/>
      <c r="J899" s="2"/>
      <c r="K899" s="2"/>
      <c r="L899" s="2"/>
      <c r="M899" s="2"/>
      <c r="N899" s="2"/>
      <c r="O899" s="62"/>
      <c r="P899" s="76"/>
    </row>
    <row r="900" ht="15.75" customHeight="1">
      <c r="A900" s="2"/>
      <c r="B900" s="74"/>
      <c r="C900" s="74"/>
      <c r="D900" s="74"/>
      <c r="E900" s="2"/>
      <c r="F900" s="2"/>
      <c r="G900" s="2"/>
      <c r="H900" s="74"/>
      <c r="I900" s="2"/>
      <c r="J900" s="2"/>
      <c r="K900" s="2"/>
      <c r="L900" s="2"/>
      <c r="M900" s="2"/>
      <c r="N900" s="2"/>
      <c r="O900" s="62"/>
      <c r="P900" s="76"/>
    </row>
    <row r="901" ht="15.75" customHeight="1">
      <c r="A901" s="2"/>
      <c r="B901" s="74"/>
      <c r="C901" s="74"/>
      <c r="D901" s="74"/>
      <c r="E901" s="2"/>
      <c r="F901" s="2"/>
      <c r="G901" s="2"/>
      <c r="H901" s="74"/>
      <c r="I901" s="2"/>
      <c r="J901" s="2"/>
      <c r="K901" s="2"/>
      <c r="L901" s="2"/>
      <c r="M901" s="2"/>
      <c r="N901" s="2"/>
      <c r="O901" s="62"/>
      <c r="P901" s="76"/>
    </row>
    <row r="902" ht="15.75" customHeight="1">
      <c r="A902" s="2"/>
      <c r="B902" s="74"/>
      <c r="C902" s="74"/>
      <c r="D902" s="74"/>
      <c r="E902" s="2"/>
      <c r="F902" s="2"/>
      <c r="G902" s="2"/>
      <c r="H902" s="74"/>
      <c r="I902" s="2"/>
      <c r="J902" s="2"/>
      <c r="K902" s="2"/>
      <c r="L902" s="2"/>
      <c r="M902" s="2"/>
      <c r="N902" s="2"/>
      <c r="O902" s="62"/>
      <c r="P902" s="76"/>
    </row>
    <row r="903" ht="15.75" customHeight="1">
      <c r="A903" s="2"/>
      <c r="B903" s="74"/>
      <c r="C903" s="74"/>
      <c r="D903" s="74"/>
      <c r="E903" s="2"/>
      <c r="F903" s="2"/>
      <c r="G903" s="2"/>
      <c r="H903" s="74"/>
      <c r="I903" s="2"/>
      <c r="J903" s="2"/>
      <c r="K903" s="2"/>
      <c r="L903" s="2"/>
      <c r="M903" s="2"/>
      <c r="N903" s="2"/>
      <c r="O903" s="62"/>
      <c r="P903" s="76"/>
    </row>
    <row r="904" ht="15.75" customHeight="1">
      <c r="A904" s="2"/>
      <c r="B904" s="74"/>
      <c r="C904" s="74"/>
      <c r="D904" s="74"/>
      <c r="E904" s="2"/>
      <c r="F904" s="2"/>
      <c r="G904" s="2"/>
      <c r="H904" s="74"/>
      <c r="I904" s="2"/>
      <c r="J904" s="2"/>
      <c r="K904" s="2"/>
      <c r="L904" s="2"/>
      <c r="M904" s="2"/>
      <c r="N904" s="2"/>
      <c r="O904" s="62"/>
      <c r="P904" s="76"/>
    </row>
    <row r="905" ht="15.75" customHeight="1">
      <c r="A905" s="2"/>
      <c r="B905" s="74"/>
      <c r="C905" s="74"/>
      <c r="D905" s="74"/>
      <c r="E905" s="2"/>
      <c r="F905" s="2"/>
      <c r="G905" s="2"/>
      <c r="H905" s="74"/>
      <c r="I905" s="2"/>
      <c r="J905" s="2"/>
      <c r="K905" s="2"/>
      <c r="L905" s="2"/>
      <c r="M905" s="2"/>
      <c r="N905" s="2"/>
      <c r="O905" s="62"/>
      <c r="P905" s="76"/>
    </row>
    <row r="906" ht="15.75" customHeight="1">
      <c r="A906" s="2"/>
      <c r="B906" s="74"/>
      <c r="C906" s="74"/>
      <c r="D906" s="74"/>
      <c r="E906" s="2"/>
      <c r="F906" s="2"/>
      <c r="G906" s="2"/>
      <c r="H906" s="74"/>
      <c r="I906" s="2"/>
      <c r="J906" s="2"/>
      <c r="K906" s="2"/>
      <c r="L906" s="2"/>
      <c r="M906" s="2"/>
      <c r="N906" s="2"/>
      <c r="O906" s="62"/>
      <c r="P906" s="76"/>
    </row>
    <row r="907" ht="15.75" customHeight="1">
      <c r="A907" s="2"/>
      <c r="B907" s="74"/>
      <c r="C907" s="74"/>
      <c r="D907" s="74"/>
      <c r="E907" s="2"/>
      <c r="F907" s="2"/>
      <c r="G907" s="2"/>
      <c r="H907" s="74"/>
      <c r="I907" s="2"/>
      <c r="J907" s="2"/>
      <c r="K907" s="2"/>
      <c r="L907" s="2"/>
      <c r="M907" s="2"/>
      <c r="N907" s="2"/>
      <c r="O907" s="62"/>
      <c r="P907" s="76"/>
    </row>
    <row r="908" ht="15.75" customHeight="1">
      <c r="A908" s="2"/>
      <c r="B908" s="74"/>
      <c r="C908" s="74"/>
      <c r="D908" s="74"/>
      <c r="E908" s="2"/>
      <c r="F908" s="2"/>
      <c r="G908" s="2"/>
      <c r="H908" s="74"/>
      <c r="I908" s="2"/>
      <c r="J908" s="2"/>
      <c r="K908" s="2"/>
      <c r="L908" s="2"/>
      <c r="M908" s="2"/>
      <c r="N908" s="2"/>
      <c r="O908" s="62"/>
      <c r="P908" s="76"/>
    </row>
    <row r="909" ht="15.75" customHeight="1">
      <c r="A909" s="2"/>
      <c r="B909" s="74"/>
      <c r="C909" s="74"/>
      <c r="D909" s="74"/>
      <c r="E909" s="2"/>
      <c r="F909" s="2"/>
      <c r="G909" s="2"/>
      <c r="H909" s="74"/>
      <c r="I909" s="2"/>
      <c r="J909" s="2"/>
      <c r="K909" s="2"/>
      <c r="L909" s="2"/>
      <c r="M909" s="2"/>
      <c r="N909" s="2"/>
      <c r="O909" s="62"/>
      <c r="P909" s="76"/>
    </row>
    <row r="910" ht="15.75" customHeight="1">
      <c r="A910" s="2"/>
      <c r="B910" s="74"/>
      <c r="C910" s="74"/>
      <c r="D910" s="74"/>
      <c r="E910" s="2"/>
      <c r="F910" s="2"/>
      <c r="G910" s="2"/>
      <c r="H910" s="74"/>
      <c r="I910" s="2"/>
      <c r="J910" s="2"/>
      <c r="K910" s="2"/>
      <c r="L910" s="2"/>
      <c r="M910" s="2"/>
      <c r="N910" s="2"/>
      <c r="O910" s="62"/>
      <c r="P910" s="76"/>
    </row>
    <row r="911" ht="15.75" customHeight="1">
      <c r="A911" s="2"/>
      <c r="B911" s="74"/>
      <c r="C911" s="74"/>
      <c r="D911" s="74"/>
      <c r="E911" s="2"/>
      <c r="F911" s="2"/>
      <c r="G911" s="2"/>
      <c r="H911" s="74"/>
      <c r="I911" s="2"/>
      <c r="J911" s="2"/>
      <c r="K911" s="2"/>
      <c r="L911" s="2"/>
      <c r="M911" s="2"/>
      <c r="N911" s="2"/>
      <c r="O911" s="62"/>
      <c r="P911" s="76"/>
    </row>
    <row r="912" ht="15.75" customHeight="1">
      <c r="A912" s="2"/>
      <c r="B912" s="74"/>
      <c r="C912" s="74"/>
      <c r="D912" s="74"/>
      <c r="E912" s="2"/>
      <c r="F912" s="2"/>
      <c r="G912" s="2"/>
      <c r="H912" s="74"/>
      <c r="I912" s="2"/>
      <c r="J912" s="2"/>
      <c r="K912" s="2"/>
      <c r="L912" s="2"/>
      <c r="M912" s="2"/>
      <c r="N912" s="2"/>
      <c r="O912" s="62"/>
      <c r="P912" s="76"/>
    </row>
    <row r="913" ht="15.75" customHeight="1">
      <c r="A913" s="2"/>
      <c r="B913" s="74"/>
      <c r="C913" s="74"/>
      <c r="D913" s="74"/>
      <c r="E913" s="2"/>
      <c r="F913" s="2"/>
      <c r="G913" s="2"/>
      <c r="H913" s="74"/>
      <c r="I913" s="2"/>
      <c r="J913" s="2"/>
      <c r="K913" s="2"/>
      <c r="L913" s="2"/>
      <c r="M913" s="2"/>
      <c r="N913" s="2"/>
      <c r="O913" s="62"/>
      <c r="P913" s="76"/>
    </row>
    <row r="914" ht="15.75" customHeight="1">
      <c r="A914" s="2"/>
      <c r="B914" s="74"/>
      <c r="C914" s="74"/>
      <c r="D914" s="74"/>
      <c r="E914" s="2"/>
      <c r="F914" s="2"/>
      <c r="G914" s="2"/>
      <c r="H914" s="74"/>
      <c r="I914" s="2"/>
      <c r="J914" s="2"/>
      <c r="K914" s="2"/>
      <c r="L914" s="2"/>
      <c r="M914" s="2"/>
      <c r="N914" s="2"/>
      <c r="O914" s="62"/>
      <c r="P914" s="76"/>
    </row>
    <row r="915" ht="15.75" customHeight="1">
      <c r="A915" s="2"/>
      <c r="B915" s="74"/>
      <c r="C915" s="74"/>
      <c r="D915" s="74"/>
      <c r="E915" s="2"/>
      <c r="F915" s="2"/>
      <c r="G915" s="2"/>
      <c r="H915" s="74"/>
      <c r="I915" s="2"/>
      <c r="J915" s="2"/>
      <c r="K915" s="2"/>
      <c r="L915" s="2"/>
      <c r="M915" s="2"/>
      <c r="N915" s="2"/>
      <c r="O915" s="62"/>
      <c r="P915" s="76"/>
    </row>
    <row r="916" ht="15.75" customHeight="1">
      <c r="A916" s="2"/>
      <c r="B916" s="74"/>
      <c r="C916" s="74"/>
      <c r="D916" s="74"/>
      <c r="E916" s="2"/>
      <c r="F916" s="2"/>
      <c r="G916" s="2"/>
      <c r="H916" s="74"/>
      <c r="I916" s="2"/>
      <c r="J916" s="2"/>
      <c r="K916" s="2"/>
      <c r="L916" s="2"/>
      <c r="M916" s="2"/>
      <c r="N916" s="2"/>
      <c r="O916" s="62"/>
      <c r="P916" s="76"/>
    </row>
    <row r="917" ht="15.75" customHeight="1">
      <c r="A917" s="2"/>
      <c r="B917" s="74"/>
      <c r="C917" s="74"/>
      <c r="D917" s="74"/>
      <c r="E917" s="2"/>
      <c r="F917" s="2"/>
      <c r="G917" s="2"/>
      <c r="H917" s="74"/>
      <c r="I917" s="2"/>
      <c r="J917" s="2"/>
      <c r="K917" s="2"/>
      <c r="L917" s="2"/>
      <c r="M917" s="2"/>
      <c r="N917" s="2"/>
      <c r="O917" s="62"/>
      <c r="P917" s="76"/>
    </row>
    <row r="918" ht="15.75" customHeight="1">
      <c r="A918" s="2"/>
      <c r="B918" s="74"/>
      <c r="C918" s="74"/>
      <c r="D918" s="74"/>
      <c r="E918" s="2"/>
      <c r="F918" s="2"/>
      <c r="G918" s="2"/>
      <c r="H918" s="74"/>
      <c r="I918" s="2"/>
      <c r="J918" s="2"/>
      <c r="K918" s="2"/>
      <c r="L918" s="2"/>
      <c r="M918" s="2"/>
      <c r="N918" s="2"/>
      <c r="O918" s="62"/>
      <c r="P918" s="76"/>
    </row>
    <row r="919" ht="15.75" customHeight="1">
      <c r="A919" s="2"/>
      <c r="B919" s="74"/>
      <c r="C919" s="74"/>
      <c r="D919" s="74"/>
      <c r="E919" s="2"/>
      <c r="F919" s="2"/>
      <c r="G919" s="2"/>
      <c r="H919" s="74"/>
      <c r="I919" s="2"/>
      <c r="J919" s="2"/>
      <c r="K919" s="2"/>
      <c r="L919" s="2"/>
      <c r="M919" s="2"/>
      <c r="N919" s="2"/>
      <c r="O919" s="62"/>
      <c r="P919" s="76"/>
    </row>
    <row r="920" ht="15.75" customHeight="1">
      <c r="A920" s="2"/>
      <c r="B920" s="74"/>
      <c r="C920" s="74"/>
      <c r="D920" s="74"/>
      <c r="E920" s="2"/>
      <c r="F920" s="2"/>
      <c r="G920" s="2"/>
      <c r="H920" s="74"/>
      <c r="I920" s="2"/>
      <c r="J920" s="2"/>
      <c r="K920" s="2"/>
      <c r="L920" s="2"/>
      <c r="M920" s="2"/>
      <c r="N920" s="2"/>
      <c r="O920" s="62"/>
      <c r="P920" s="76"/>
    </row>
    <row r="921" ht="15.75" customHeight="1">
      <c r="A921" s="2"/>
      <c r="B921" s="74"/>
      <c r="C921" s="74"/>
      <c r="D921" s="74"/>
      <c r="E921" s="2"/>
      <c r="F921" s="2"/>
      <c r="G921" s="2"/>
      <c r="H921" s="74"/>
      <c r="I921" s="2"/>
      <c r="J921" s="2"/>
      <c r="K921" s="2"/>
      <c r="L921" s="2"/>
      <c r="M921" s="2"/>
      <c r="N921" s="2"/>
      <c r="O921" s="62"/>
      <c r="P921" s="76"/>
    </row>
    <row r="922" ht="15.75" customHeight="1">
      <c r="A922" s="2"/>
      <c r="B922" s="74"/>
      <c r="C922" s="74"/>
      <c r="D922" s="74"/>
      <c r="E922" s="2"/>
      <c r="F922" s="2"/>
      <c r="G922" s="2"/>
      <c r="H922" s="74"/>
      <c r="I922" s="2"/>
      <c r="J922" s="2"/>
      <c r="K922" s="2"/>
      <c r="L922" s="2"/>
      <c r="M922" s="2"/>
      <c r="N922" s="2"/>
      <c r="O922" s="62"/>
      <c r="P922" s="76"/>
    </row>
    <row r="923" ht="15.75" customHeight="1">
      <c r="A923" s="2"/>
      <c r="B923" s="74"/>
      <c r="C923" s="74"/>
      <c r="D923" s="74"/>
      <c r="E923" s="2"/>
      <c r="F923" s="2"/>
      <c r="G923" s="2"/>
      <c r="H923" s="74"/>
      <c r="I923" s="2"/>
      <c r="J923" s="2"/>
      <c r="K923" s="2"/>
      <c r="L923" s="2"/>
      <c r="M923" s="2"/>
      <c r="N923" s="2"/>
      <c r="O923" s="62"/>
      <c r="P923" s="76"/>
    </row>
    <row r="924" ht="15.75" customHeight="1">
      <c r="A924" s="2"/>
      <c r="B924" s="74"/>
      <c r="C924" s="74"/>
      <c r="D924" s="74"/>
      <c r="E924" s="2"/>
      <c r="F924" s="2"/>
      <c r="G924" s="2"/>
      <c r="H924" s="74"/>
      <c r="I924" s="2"/>
      <c r="J924" s="2"/>
      <c r="K924" s="2"/>
      <c r="L924" s="2"/>
      <c r="M924" s="2"/>
      <c r="N924" s="2"/>
      <c r="O924" s="62"/>
      <c r="P924" s="76"/>
    </row>
    <row r="925" ht="15.75" customHeight="1">
      <c r="A925" s="2"/>
      <c r="B925" s="74"/>
      <c r="C925" s="74"/>
      <c r="D925" s="74"/>
      <c r="E925" s="2"/>
      <c r="F925" s="2"/>
      <c r="G925" s="2"/>
      <c r="H925" s="74"/>
      <c r="I925" s="2"/>
      <c r="J925" s="2"/>
      <c r="K925" s="2"/>
      <c r="L925" s="2"/>
      <c r="M925" s="2"/>
      <c r="N925" s="2"/>
      <c r="O925" s="62"/>
      <c r="P925" s="76"/>
    </row>
    <row r="926" ht="15.75" customHeight="1">
      <c r="A926" s="2"/>
      <c r="B926" s="74"/>
      <c r="C926" s="74"/>
      <c r="D926" s="74"/>
      <c r="E926" s="2"/>
      <c r="F926" s="2"/>
      <c r="G926" s="2"/>
      <c r="H926" s="74"/>
      <c r="I926" s="2"/>
      <c r="J926" s="2"/>
      <c r="K926" s="2"/>
      <c r="L926" s="2"/>
      <c r="M926" s="2"/>
      <c r="N926" s="2"/>
      <c r="O926" s="62"/>
      <c r="P926" s="76"/>
    </row>
    <row r="927" ht="15.75" customHeight="1">
      <c r="A927" s="2"/>
      <c r="B927" s="74"/>
      <c r="C927" s="74"/>
      <c r="D927" s="74"/>
      <c r="E927" s="2"/>
      <c r="F927" s="2"/>
      <c r="G927" s="2"/>
      <c r="H927" s="74"/>
      <c r="I927" s="2"/>
      <c r="J927" s="2"/>
      <c r="K927" s="2"/>
      <c r="L927" s="2"/>
      <c r="M927" s="2"/>
      <c r="N927" s="2"/>
      <c r="O927" s="62"/>
      <c r="P927" s="76"/>
    </row>
    <row r="928" ht="15.75" customHeight="1">
      <c r="A928" s="2"/>
      <c r="B928" s="74"/>
      <c r="C928" s="74"/>
      <c r="D928" s="74"/>
      <c r="E928" s="2"/>
      <c r="F928" s="2"/>
      <c r="G928" s="2"/>
      <c r="H928" s="74"/>
      <c r="I928" s="2"/>
      <c r="J928" s="2"/>
      <c r="K928" s="2"/>
      <c r="L928" s="2"/>
      <c r="M928" s="2"/>
      <c r="N928" s="2"/>
      <c r="O928" s="62"/>
      <c r="P928" s="76"/>
    </row>
    <row r="929" ht="15.75" customHeight="1">
      <c r="A929" s="2"/>
      <c r="B929" s="74"/>
      <c r="C929" s="74"/>
      <c r="D929" s="74"/>
      <c r="E929" s="2"/>
      <c r="F929" s="2"/>
      <c r="G929" s="2"/>
      <c r="H929" s="74"/>
      <c r="I929" s="2"/>
      <c r="J929" s="2"/>
      <c r="K929" s="2"/>
      <c r="L929" s="2"/>
      <c r="M929" s="2"/>
      <c r="N929" s="2"/>
      <c r="O929" s="62"/>
      <c r="P929" s="76"/>
    </row>
    <row r="930" ht="15.75" customHeight="1">
      <c r="A930" s="2"/>
      <c r="B930" s="74"/>
      <c r="C930" s="74"/>
      <c r="D930" s="74"/>
      <c r="E930" s="2"/>
      <c r="F930" s="2"/>
      <c r="G930" s="2"/>
      <c r="H930" s="74"/>
      <c r="I930" s="2"/>
      <c r="J930" s="2"/>
      <c r="K930" s="2"/>
      <c r="L930" s="2"/>
      <c r="M930" s="2"/>
      <c r="N930" s="2"/>
      <c r="O930" s="62"/>
      <c r="P930" s="76"/>
    </row>
    <row r="931" ht="15.75" customHeight="1">
      <c r="A931" s="2"/>
      <c r="B931" s="74"/>
      <c r="C931" s="74"/>
      <c r="D931" s="74"/>
      <c r="E931" s="2"/>
      <c r="F931" s="2"/>
      <c r="G931" s="2"/>
      <c r="H931" s="74"/>
      <c r="I931" s="2"/>
      <c r="J931" s="2"/>
      <c r="K931" s="2"/>
      <c r="L931" s="2"/>
      <c r="M931" s="2"/>
      <c r="N931" s="2"/>
      <c r="O931" s="62"/>
      <c r="P931" s="76"/>
    </row>
    <row r="932" ht="15.75" customHeight="1">
      <c r="A932" s="2"/>
      <c r="B932" s="74"/>
      <c r="C932" s="74"/>
      <c r="D932" s="74"/>
      <c r="E932" s="2"/>
      <c r="F932" s="2"/>
      <c r="G932" s="2"/>
      <c r="H932" s="74"/>
      <c r="I932" s="2"/>
      <c r="J932" s="2"/>
      <c r="K932" s="2"/>
      <c r="L932" s="2"/>
      <c r="M932" s="2"/>
      <c r="N932" s="2"/>
      <c r="O932" s="62"/>
      <c r="P932" s="76"/>
    </row>
    <row r="933" ht="15.75" customHeight="1">
      <c r="A933" s="2"/>
      <c r="B933" s="74"/>
      <c r="C933" s="74"/>
      <c r="D933" s="74"/>
      <c r="E933" s="2"/>
      <c r="F933" s="2"/>
      <c r="G933" s="2"/>
      <c r="H933" s="74"/>
      <c r="I933" s="2"/>
      <c r="J933" s="2"/>
      <c r="K933" s="2"/>
      <c r="L933" s="2"/>
      <c r="M933" s="2"/>
      <c r="N933" s="2"/>
      <c r="O933" s="62"/>
      <c r="P933" s="76"/>
    </row>
    <row r="934" ht="15.75" customHeight="1">
      <c r="A934" s="2"/>
      <c r="B934" s="74"/>
      <c r="C934" s="74"/>
      <c r="D934" s="74"/>
      <c r="E934" s="2"/>
      <c r="F934" s="2"/>
      <c r="G934" s="2"/>
      <c r="H934" s="74"/>
      <c r="I934" s="2"/>
      <c r="J934" s="2"/>
      <c r="K934" s="2"/>
      <c r="L934" s="2"/>
      <c r="M934" s="2"/>
      <c r="N934" s="2"/>
      <c r="O934" s="62"/>
      <c r="P934" s="76"/>
    </row>
    <row r="935" ht="15.75" customHeight="1">
      <c r="A935" s="2"/>
      <c r="B935" s="74"/>
      <c r="C935" s="74"/>
      <c r="D935" s="74"/>
      <c r="E935" s="2"/>
      <c r="F935" s="2"/>
      <c r="G935" s="2"/>
      <c r="H935" s="74"/>
      <c r="I935" s="2"/>
      <c r="J935" s="2"/>
      <c r="K935" s="2"/>
      <c r="L935" s="2"/>
      <c r="M935" s="2"/>
      <c r="N935" s="2"/>
      <c r="O935" s="62"/>
      <c r="P935" s="76"/>
    </row>
    <row r="936" ht="15.75" customHeight="1">
      <c r="A936" s="2"/>
      <c r="B936" s="74"/>
      <c r="C936" s="74"/>
      <c r="D936" s="74"/>
      <c r="E936" s="2"/>
      <c r="F936" s="2"/>
      <c r="G936" s="2"/>
      <c r="H936" s="74"/>
      <c r="I936" s="2"/>
      <c r="J936" s="2"/>
      <c r="K936" s="2"/>
      <c r="L936" s="2"/>
      <c r="M936" s="2"/>
      <c r="N936" s="2"/>
      <c r="O936" s="62"/>
      <c r="P936" s="76"/>
    </row>
    <row r="937" ht="15.75" customHeight="1">
      <c r="A937" s="2"/>
      <c r="B937" s="74"/>
      <c r="C937" s="74"/>
      <c r="D937" s="74"/>
      <c r="E937" s="2"/>
      <c r="F937" s="2"/>
      <c r="G937" s="2"/>
      <c r="H937" s="74"/>
      <c r="I937" s="2"/>
      <c r="J937" s="2"/>
      <c r="K937" s="2"/>
      <c r="L937" s="2"/>
      <c r="M937" s="2"/>
      <c r="N937" s="2"/>
      <c r="O937" s="62"/>
      <c r="P937" s="76"/>
    </row>
    <row r="938" ht="15.75" customHeight="1">
      <c r="A938" s="2"/>
      <c r="B938" s="74"/>
      <c r="C938" s="74"/>
      <c r="D938" s="74"/>
      <c r="E938" s="2"/>
      <c r="F938" s="2"/>
      <c r="G938" s="2"/>
      <c r="H938" s="74"/>
      <c r="I938" s="2"/>
      <c r="J938" s="2"/>
      <c r="K938" s="2"/>
      <c r="L938" s="2"/>
      <c r="M938" s="2"/>
      <c r="N938" s="2"/>
      <c r="O938" s="62"/>
      <c r="P938" s="76"/>
    </row>
    <row r="939" ht="15.75" customHeight="1">
      <c r="A939" s="2"/>
      <c r="B939" s="74"/>
      <c r="C939" s="74"/>
      <c r="D939" s="74"/>
      <c r="E939" s="2"/>
      <c r="F939" s="2"/>
      <c r="G939" s="2"/>
      <c r="H939" s="74"/>
      <c r="I939" s="2"/>
      <c r="J939" s="2"/>
      <c r="K939" s="2"/>
      <c r="L939" s="2"/>
      <c r="M939" s="2"/>
      <c r="N939" s="2"/>
      <c r="O939" s="62"/>
      <c r="P939" s="76"/>
    </row>
    <row r="940" ht="15.75" customHeight="1">
      <c r="A940" s="2"/>
      <c r="B940" s="74"/>
      <c r="C940" s="74"/>
      <c r="D940" s="74"/>
      <c r="E940" s="2"/>
      <c r="F940" s="2"/>
      <c r="G940" s="2"/>
      <c r="H940" s="74"/>
      <c r="I940" s="2"/>
      <c r="J940" s="2"/>
      <c r="K940" s="2"/>
      <c r="L940" s="2"/>
      <c r="M940" s="2"/>
      <c r="N940" s="2"/>
      <c r="O940" s="62"/>
      <c r="P940" s="76"/>
    </row>
    <row r="941" ht="15.75" customHeight="1">
      <c r="A941" s="2"/>
      <c r="B941" s="74"/>
      <c r="C941" s="74"/>
      <c r="D941" s="74"/>
      <c r="E941" s="2"/>
      <c r="F941" s="2"/>
      <c r="G941" s="2"/>
      <c r="H941" s="74"/>
      <c r="I941" s="2"/>
      <c r="J941" s="2"/>
      <c r="K941" s="2"/>
      <c r="L941" s="2"/>
      <c r="M941" s="2"/>
      <c r="N941" s="2"/>
      <c r="O941" s="62"/>
      <c r="P941" s="76"/>
    </row>
    <row r="942" ht="15.75" customHeight="1">
      <c r="A942" s="2"/>
      <c r="B942" s="74"/>
      <c r="C942" s="74"/>
      <c r="D942" s="74"/>
      <c r="E942" s="2"/>
      <c r="F942" s="2"/>
      <c r="G942" s="2"/>
      <c r="H942" s="74"/>
      <c r="I942" s="2"/>
      <c r="J942" s="2"/>
      <c r="K942" s="2"/>
      <c r="L942" s="2"/>
      <c r="M942" s="2"/>
      <c r="N942" s="2"/>
      <c r="O942" s="62"/>
      <c r="P942" s="76"/>
    </row>
    <row r="943" ht="15.75" customHeight="1">
      <c r="A943" s="2"/>
      <c r="B943" s="74"/>
      <c r="C943" s="74"/>
      <c r="D943" s="74"/>
      <c r="E943" s="2"/>
      <c r="F943" s="2"/>
      <c r="G943" s="2"/>
      <c r="H943" s="74"/>
      <c r="I943" s="2"/>
      <c r="J943" s="2"/>
      <c r="K943" s="2"/>
      <c r="L943" s="2"/>
      <c r="M943" s="2"/>
      <c r="N943" s="2"/>
      <c r="O943" s="62"/>
      <c r="P943" s="76"/>
    </row>
    <row r="944" ht="15.75" customHeight="1">
      <c r="A944" s="2"/>
      <c r="B944" s="74"/>
      <c r="C944" s="74"/>
      <c r="D944" s="74"/>
      <c r="E944" s="2"/>
      <c r="F944" s="2"/>
      <c r="G944" s="2"/>
      <c r="H944" s="74"/>
      <c r="I944" s="2"/>
      <c r="J944" s="2"/>
      <c r="K944" s="2"/>
      <c r="L944" s="2"/>
      <c r="M944" s="2"/>
      <c r="N944" s="2"/>
      <c r="O944" s="62"/>
      <c r="P944" s="76"/>
    </row>
    <row r="945" ht="15.75" customHeight="1">
      <c r="A945" s="2"/>
      <c r="B945" s="74"/>
      <c r="C945" s="74"/>
      <c r="D945" s="74"/>
      <c r="E945" s="2"/>
      <c r="F945" s="2"/>
      <c r="G945" s="2"/>
      <c r="H945" s="74"/>
      <c r="I945" s="2"/>
      <c r="J945" s="2"/>
      <c r="K945" s="2"/>
      <c r="L945" s="2"/>
      <c r="M945" s="2"/>
      <c r="N945" s="2"/>
      <c r="O945" s="62"/>
      <c r="P945" s="76"/>
    </row>
    <row r="946" ht="15.75" customHeight="1">
      <c r="A946" s="2"/>
      <c r="B946" s="74"/>
      <c r="C946" s="74"/>
      <c r="D946" s="74"/>
      <c r="E946" s="2"/>
      <c r="F946" s="2"/>
      <c r="G946" s="2"/>
      <c r="H946" s="74"/>
      <c r="I946" s="2"/>
      <c r="J946" s="2"/>
      <c r="K946" s="2"/>
      <c r="L946" s="2"/>
      <c r="M946" s="2"/>
      <c r="N946" s="2"/>
      <c r="O946" s="62"/>
      <c r="P946" s="76"/>
    </row>
    <row r="947" ht="15.75" customHeight="1">
      <c r="A947" s="2"/>
      <c r="B947" s="74"/>
      <c r="C947" s="74"/>
      <c r="D947" s="74"/>
      <c r="E947" s="2"/>
      <c r="F947" s="2"/>
      <c r="G947" s="2"/>
      <c r="H947" s="74"/>
      <c r="I947" s="2"/>
      <c r="J947" s="2"/>
      <c r="K947" s="2"/>
      <c r="L947" s="2"/>
      <c r="M947" s="2"/>
      <c r="N947" s="2"/>
      <c r="O947" s="62"/>
      <c r="P947" s="76"/>
    </row>
    <row r="948" ht="15.75" customHeight="1">
      <c r="A948" s="2"/>
      <c r="B948" s="74"/>
      <c r="C948" s="74"/>
      <c r="D948" s="74"/>
      <c r="E948" s="2"/>
      <c r="F948" s="2"/>
      <c r="G948" s="2"/>
      <c r="H948" s="74"/>
      <c r="I948" s="2"/>
      <c r="J948" s="2"/>
      <c r="K948" s="2"/>
      <c r="L948" s="2"/>
      <c r="M948" s="2"/>
      <c r="N948" s="2"/>
      <c r="O948" s="62"/>
      <c r="P948" s="76"/>
    </row>
    <row r="949" ht="15.75" customHeight="1">
      <c r="A949" s="2"/>
      <c r="B949" s="74"/>
      <c r="C949" s="74"/>
      <c r="D949" s="74"/>
      <c r="E949" s="2"/>
      <c r="F949" s="2"/>
      <c r="G949" s="2"/>
      <c r="H949" s="74"/>
      <c r="I949" s="2"/>
      <c r="J949" s="2"/>
      <c r="K949" s="2"/>
      <c r="L949" s="2"/>
      <c r="M949" s="2"/>
      <c r="N949" s="2"/>
      <c r="O949" s="62"/>
      <c r="P949" s="76"/>
    </row>
    <row r="950" ht="15.75" customHeight="1">
      <c r="A950" s="2"/>
      <c r="B950" s="74"/>
      <c r="C950" s="74"/>
      <c r="D950" s="74"/>
      <c r="E950" s="2"/>
      <c r="F950" s="2"/>
      <c r="G950" s="2"/>
      <c r="H950" s="74"/>
      <c r="I950" s="2"/>
      <c r="J950" s="2"/>
      <c r="K950" s="2"/>
      <c r="L950" s="2"/>
      <c r="M950" s="2"/>
      <c r="N950" s="2"/>
      <c r="O950" s="62"/>
      <c r="P950" s="76"/>
    </row>
    <row r="951" ht="15.75" customHeight="1">
      <c r="A951" s="2"/>
      <c r="B951" s="74"/>
      <c r="C951" s="74"/>
      <c r="D951" s="74"/>
      <c r="E951" s="2"/>
      <c r="F951" s="2"/>
      <c r="G951" s="2"/>
      <c r="H951" s="74"/>
      <c r="I951" s="2"/>
      <c r="J951" s="2"/>
      <c r="K951" s="2"/>
      <c r="L951" s="2"/>
      <c r="M951" s="2"/>
      <c r="N951" s="2"/>
      <c r="O951" s="62"/>
      <c r="P951" s="76"/>
    </row>
    <row r="952" ht="15.75" customHeight="1">
      <c r="A952" s="2"/>
      <c r="B952" s="74"/>
      <c r="C952" s="74"/>
      <c r="D952" s="74"/>
      <c r="E952" s="2"/>
      <c r="F952" s="2"/>
      <c r="G952" s="2"/>
      <c r="H952" s="74"/>
      <c r="I952" s="2"/>
      <c r="J952" s="2"/>
      <c r="K952" s="2"/>
      <c r="L952" s="2"/>
      <c r="M952" s="2"/>
      <c r="N952" s="2"/>
      <c r="O952" s="62"/>
      <c r="P952" s="76"/>
    </row>
    <row r="953" ht="15.75" customHeight="1">
      <c r="A953" s="2"/>
      <c r="B953" s="74"/>
      <c r="C953" s="74"/>
      <c r="D953" s="74"/>
      <c r="E953" s="2"/>
      <c r="F953" s="2"/>
      <c r="G953" s="2"/>
      <c r="H953" s="74"/>
      <c r="I953" s="2"/>
      <c r="J953" s="2"/>
      <c r="K953" s="2"/>
      <c r="L953" s="2"/>
      <c r="M953" s="2"/>
      <c r="N953" s="2"/>
      <c r="O953" s="62"/>
      <c r="P953" s="76"/>
    </row>
    <row r="954" ht="15.75" customHeight="1">
      <c r="A954" s="2"/>
      <c r="B954" s="74"/>
      <c r="C954" s="74"/>
      <c r="D954" s="74"/>
      <c r="E954" s="2"/>
      <c r="F954" s="2"/>
      <c r="G954" s="2"/>
      <c r="H954" s="74"/>
      <c r="I954" s="2"/>
      <c r="J954" s="2"/>
      <c r="K954" s="2"/>
      <c r="L954" s="2"/>
      <c r="M954" s="2"/>
      <c r="N954" s="2"/>
      <c r="O954" s="62"/>
      <c r="P954" s="76"/>
    </row>
    <row r="955" ht="15.75" customHeight="1">
      <c r="A955" s="2"/>
      <c r="B955" s="74"/>
      <c r="C955" s="74"/>
      <c r="D955" s="74"/>
      <c r="E955" s="2"/>
      <c r="F955" s="2"/>
      <c r="G955" s="2"/>
      <c r="H955" s="74"/>
      <c r="I955" s="2"/>
      <c r="J955" s="2"/>
      <c r="K955" s="2"/>
      <c r="L955" s="2"/>
      <c r="M955" s="2"/>
      <c r="N955" s="2"/>
      <c r="O955" s="62"/>
      <c r="P955" s="76"/>
    </row>
    <row r="956" ht="15.75" customHeight="1">
      <c r="A956" s="2"/>
      <c r="B956" s="74"/>
      <c r="C956" s="74"/>
      <c r="D956" s="74"/>
      <c r="E956" s="2"/>
      <c r="F956" s="2"/>
      <c r="G956" s="2"/>
      <c r="H956" s="74"/>
      <c r="I956" s="2"/>
      <c r="J956" s="2"/>
      <c r="K956" s="2"/>
      <c r="L956" s="2"/>
      <c r="M956" s="2"/>
      <c r="N956" s="2"/>
      <c r="O956" s="62"/>
      <c r="P956" s="76"/>
    </row>
    <row r="957" ht="15.75" customHeight="1">
      <c r="A957" s="2"/>
      <c r="B957" s="74"/>
      <c r="C957" s="74"/>
      <c r="D957" s="74"/>
      <c r="E957" s="2"/>
      <c r="F957" s="2"/>
      <c r="G957" s="2"/>
      <c r="H957" s="74"/>
      <c r="I957" s="2"/>
      <c r="J957" s="2"/>
      <c r="K957" s="2"/>
      <c r="L957" s="2"/>
      <c r="M957" s="2"/>
      <c r="N957" s="2"/>
      <c r="O957" s="62"/>
      <c r="P957" s="76"/>
    </row>
    <row r="958" ht="15.75" customHeight="1">
      <c r="A958" s="2"/>
      <c r="B958" s="74"/>
      <c r="C958" s="74"/>
      <c r="D958" s="74"/>
      <c r="E958" s="2"/>
      <c r="F958" s="2"/>
      <c r="G958" s="2"/>
      <c r="H958" s="74"/>
      <c r="I958" s="2"/>
      <c r="J958" s="2"/>
      <c r="K958" s="2"/>
      <c r="L958" s="2"/>
      <c r="M958" s="2"/>
      <c r="N958" s="2"/>
      <c r="O958" s="62"/>
      <c r="P958" s="76"/>
    </row>
    <row r="959" ht="15.75" customHeight="1">
      <c r="A959" s="2"/>
      <c r="B959" s="74"/>
      <c r="C959" s="74"/>
      <c r="D959" s="74"/>
      <c r="E959" s="2"/>
      <c r="F959" s="2"/>
      <c r="G959" s="2"/>
      <c r="H959" s="74"/>
      <c r="I959" s="2"/>
      <c r="J959" s="2"/>
      <c r="K959" s="2"/>
      <c r="L959" s="2"/>
      <c r="M959" s="2"/>
      <c r="N959" s="2"/>
      <c r="O959" s="62"/>
      <c r="P959" s="76"/>
    </row>
    <row r="960" ht="15.75" customHeight="1">
      <c r="A960" s="2"/>
      <c r="B960" s="74"/>
      <c r="C960" s="74"/>
      <c r="D960" s="74"/>
      <c r="E960" s="2"/>
      <c r="F960" s="2"/>
      <c r="G960" s="2"/>
      <c r="H960" s="74"/>
      <c r="I960" s="2"/>
      <c r="J960" s="2"/>
      <c r="K960" s="2"/>
      <c r="L960" s="2"/>
      <c r="M960" s="2"/>
      <c r="N960" s="2"/>
      <c r="O960" s="62"/>
      <c r="P960" s="76"/>
    </row>
    <row r="961" ht="15.75" customHeight="1">
      <c r="A961" s="2"/>
      <c r="B961" s="74"/>
      <c r="C961" s="74"/>
      <c r="D961" s="74"/>
      <c r="E961" s="2"/>
      <c r="F961" s="2"/>
      <c r="G961" s="2"/>
      <c r="H961" s="74"/>
      <c r="I961" s="2"/>
      <c r="J961" s="2"/>
      <c r="K961" s="2"/>
      <c r="L961" s="2"/>
      <c r="M961" s="2"/>
      <c r="N961" s="2"/>
      <c r="O961" s="62"/>
      <c r="P961" s="76"/>
    </row>
    <row r="962" ht="15.75" customHeight="1">
      <c r="A962" s="2"/>
      <c r="B962" s="74"/>
      <c r="C962" s="74"/>
      <c r="D962" s="74"/>
      <c r="E962" s="2"/>
      <c r="F962" s="2"/>
      <c r="G962" s="2"/>
      <c r="H962" s="74"/>
      <c r="I962" s="2"/>
      <c r="J962" s="2"/>
      <c r="K962" s="2"/>
      <c r="L962" s="2"/>
      <c r="M962" s="2"/>
      <c r="N962" s="2"/>
      <c r="O962" s="62"/>
      <c r="P962" s="76"/>
    </row>
    <row r="963" ht="15.75" customHeight="1">
      <c r="A963" s="2"/>
      <c r="B963" s="74"/>
      <c r="C963" s="74"/>
      <c r="D963" s="74"/>
      <c r="E963" s="2"/>
      <c r="F963" s="2"/>
      <c r="G963" s="2"/>
      <c r="H963" s="74"/>
      <c r="I963" s="2"/>
      <c r="J963" s="2"/>
      <c r="K963" s="2"/>
      <c r="L963" s="2"/>
      <c r="M963" s="2"/>
      <c r="N963" s="2"/>
      <c r="O963" s="62"/>
      <c r="P963" s="76"/>
    </row>
    <row r="964" ht="15.75" customHeight="1">
      <c r="A964" s="2"/>
      <c r="B964" s="74"/>
      <c r="C964" s="74"/>
      <c r="D964" s="74"/>
      <c r="E964" s="2"/>
      <c r="F964" s="2"/>
      <c r="G964" s="2"/>
      <c r="H964" s="74"/>
      <c r="I964" s="2"/>
      <c r="J964" s="2"/>
      <c r="K964" s="2"/>
      <c r="L964" s="2"/>
      <c r="M964" s="2"/>
      <c r="N964" s="2"/>
      <c r="O964" s="62"/>
      <c r="P964" s="76"/>
    </row>
    <row r="965" ht="15.75" customHeight="1">
      <c r="A965" s="2"/>
      <c r="B965" s="74"/>
      <c r="C965" s="74"/>
      <c r="D965" s="74"/>
      <c r="E965" s="2"/>
      <c r="F965" s="2"/>
      <c r="G965" s="2"/>
      <c r="H965" s="74"/>
      <c r="I965" s="2"/>
      <c r="J965" s="2"/>
      <c r="K965" s="2"/>
      <c r="L965" s="2"/>
      <c r="M965" s="2"/>
      <c r="N965" s="2"/>
      <c r="O965" s="62"/>
      <c r="P965" s="76"/>
    </row>
    <row r="966" ht="15.75" customHeight="1">
      <c r="A966" s="2"/>
      <c r="B966" s="74"/>
      <c r="C966" s="74"/>
      <c r="D966" s="74"/>
      <c r="E966" s="2"/>
      <c r="F966" s="2"/>
      <c r="G966" s="2"/>
      <c r="H966" s="74"/>
      <c r="I966" s="2"/>
      <c r="J966" s="2"/>
      <c r="K966" s="2"/>
      <c r="L966" s="2"/>
      <c r="M966" s="2"/>
      <c r="N966" s="2"/>
      <c r="O966" s="62"/>
      <c r="P966" s="76"/>
    </row>
    <row r="967" ht="15.75" customHeight="1">
      <c r="A967" s="2"/>
      <c r="B967" s="74"/>
      <c r="C967" s="74"/>
      <c r="D967" s="74"/>
      <c r="E967" s="2"/>
      <c r="F967" s="2"/>
      <c r="G967" s="2"/>
      <c r="H967" s="74"/>
      <c r="I967" s="2"/>
      <c r="J967" s="2"/>
      <c r="K967" s="2"/>
      <c r="L967" s="2"/>
      <c r="M967" s="2"/>
      <c r="N967" s="2"/>
      <c r="O967" s="62"/>
      <c r="P967" s="76"/>
    </row>
    <row r="968" ht="15.75" customHeight="1">
      <c r="A968" s="2"/>
      <c r="B968" s="74"/>
      <c r="C968" s="74"/>
      <c r="D968" s="74"/>
      <c r="E968" s="2"/>
      <c r="F968" s="2"/>
      <c r="G968" s="2"/>
      <c r="H968" s="74"/>
      <c r="I968" s="2"/>
      <c r="J968" s="2"/>
      <c r="K968" s="2"/>
      <c r="L968" s="2"/>
      <c r="M968" s="2"/>
      <c r="N968" s="2"/>
      <c r="O968" s="62"/>
      <c r="P968" s="76"/>
    </row>
    <row r="969" ht="15.75" customHeight="1">
      <c r="A969" s="2"/>
      <c r="B969" s="74"/>
      <c r="C969" s="74"/>
      <c r="D969" s="74"/>
      <c r="E969" s="2"/>
      <c r="F969" s="2"/>
      <c r="G969" s="2"/>
      <c r="H969" s="74"/>
      <c r="I969" s="2"/>
      <c r="J969" s="2"/>
      <c r="K969" s="2"/>
      <c r="L969" s="2"/>
      <c r="M969" s="2"/>
      <c r="N969" s="2"/>
      <c r="O969" s="62"/>
      <c r="P969" s="76"/>
    </row>
    <row r="970" ht="15.75" customHeight="1">
      <c r="A970" s="2"/>
      <c r="B970" s="74"/>
      <c r="C970" s="74"/>
      <c r="D970" s="74"/>
      <c r="E970" s="2"/>
      <c r="F970" s="2"/>
      <c r="G970" s="2"/>
      <c r="H970" s="74"/>
      <c r="I970" s="2"/>
      <c r="J970" s="2"/>
      <c r="K970" s="2"/>
      <c r="L970" s="2"/>
      <c r="M970" s="2"/>
      <c r="N970" s="2"/>
      <c r="O970" s="62"/>
      <c r="P970" s="76"/>
    </row>
    <row r="971" ht="15.75" customHeight="1">
      <c r="A971" s="2"/>
      <c r="B971" s="74"/>
      <c r="C971" s="74"/>
      <c r="D971" s="74"/>
      <c r="E971" s="2"/>
      <c r="F971" s="2"/>
      <c r="G971" s="2"/>
      <c r="H971" s="74"/>
      <c r="I971" s="2"/>
      <c r="J971" s="2"/>
      <c r="K971" s="2"/>
      <c r="L971" s="2"/>
      <c r="M971" s="2"/>
      <c r="N971" s="2"/>
      <c r="O971" s="62"/>
      <c r="P971" s="76"/>
    </row>
    <row r="972" ht="15.75" customHeight="1">
      <c r="A972" s="2"/>
      <c r="B972" s="74"/>
      <c r="C972" s="74"/>
      <c r="D972" s="74"/>
      <c r="E972" s="2"/>
      <c r="F972" s="2"/>
      <c r="G972" s="2"/>
      <c r="H972" s="74"/>
      <c r="I972" s="2"/>
      <c r="J972" s="2"/>
      <c r="K972" s="2"/>
      <c r="L972" s="2"/>
      <c r="M972" s="2"/>
      <c r="N972" s="2"/>
      <c r="O972" s="62"/>
      <c r="P972" s="76"/>
    </row>
    <row r="973" ht="15.75" customHeight="1">
      <c r="A973" s="2"/>
      <c r="B973" s="74"/>
      <c r="C973" s="74"/>
      <c r="D973" s="74"/>
      <c r="E973" s="2"/>
      <c r="F973" s="2"/>
      <c r="G973" s="2"/>
      <c r="H973" s="74"/>
      <c r="I973" s="2"/>
      <c r="J973" s="2"/>
      <c r="K973" s="2"/>
      <c r="L973" s="2"/>
      <c r="M973" s="2"/>
      <c r="N973" s="2"/>
      <c r="O973" s="62"/>
      <c r="P973" s="76"/>
    </row>
    <row r="974" ht="15.75" customHeight="1">
      <c r="A974" s="2"/>
      <c r="B974" s="74"/>
      <c r="C974" s="74"/>
      <c r="D974" s="74"/>
      <c r="E974" s="2"/>
      <c r="F974" s="2"/>
      <c r="G974" s="2"/>
      <c r="H974" s="74"/>
      <c r="I974" s="2"/>
      <c r="J974" s="2"/>
      <c r="K974" s="2"/>
      <c r="L974" s="2"/>
      <c r="M974" s="2"/>
      <c r="N974" s="2"/>
      <c r="O974" s="62"/>
      <c r="P974" s="76"/>
    </row>
    <row r="975" ht="15.75" customHeight="1">
      <c r="A975" s="2"/>
      <c r="B975" s="74"/>
      <c r="C975" s="74"/>
      <c r="D975" s="74"/>
      <c r="E975" s="2"/>
      <c r="F975" s="2"/>
      <c r="G975" s="2"/>
      <c r="H975" s="74"/>
      <c r="I975" s="2"/>
      <c r="J975" s="2"/>
      <c r="K975" s="2"/>
      <c r="L975" s="2"/>
      <c r="M975" s="2"/>
      <c r="N975" s="2"/>
      <c r="O975" s="62"/>
      <c r="P975" s="76"/>
    </row>
    <row r="976" ht="15.75" customHeight="1">
      <c r="A976" s="2"/>
      <c r="B976" s="74"/>
      <c r="C976" s="74"/>
      <c r="D976" s="74"/>
      <c r="E976" s="2"/>
      <c r="F976" s="2"/>
      <c r="G976" s="2"/>
      <c r="H976" s="74"/>
      <c r="I976" s="2"/>
      <c r="J976" s="2"/>
      <c r="K976" s="2"/>
      <c r="L976" s="2"/>
      <c r="M976" s="2"/>
      <c r="N976" s="2"/>
      <c r="O976" s="62"/>
      <c r="P976" s="76"/>
    </row>
    <row r="977" ht="15.75" customHeight="1">
      <c r="A977" s="2"/>
      <c r="B977" s="74"/>
      <c r="C977" s="74"/>
      <c r="D977" s="74"/>
      <c r="E977" s="2"/>
      <c r="F977" s="2"/>
      <c r="G977" s="2"/>
      <c r="H977" s="74"/>
      <c r="I977" s="2"/>
      <c r="J977" s="2"/>
      <c r="K977" s="2"/>
      <c r="L977" s="2"/>
      <c r="M977" s="2"/>
      <c r="N977" s="2"/>
      <c r="O977" s="62"/>
      <c r="P977" s="76"/>
    </row>
    <row r="978" ht="15.75" customHeight="1">
      <c r="A978" s="2"/>
      <c r="B978" s="74"/>
      <c r="C978" s="74"/>
      <c r="D978" s="74"/>
      <c r="E978" s="2"/>
      <c r="F978" s="2"/>
      <c r="G978" s="2"/>
      <c r="H978" s="74"/>
      <c r="I978" s="2"/>
      <c r="J978" s="2"/>
      <c r="K978" s="2"/>
      <c r="L978" s="2"/>
      <c r="M978" s="2"/>
      <c r="N978" s="2"/>
      <c r="O978" s="62"/>
      <c r="P978" s="76"/>
    </row>
    <row r="979" ht="15.75" customHeight="1">
      <c r="A979" s="2"/>
      <c r="B979" s="74"/>
      <c r="C979" s="74"/>
      <c r="D979" s="74"/>
      <c r="E979" s="2"/>
      <c r="F979" s="2"/>
      <c r="G979" s="2"/>
      <c r="H979" s="74"/>
      <c r="I979" s="2"/>
      <c r="J979" s="2"/>
      <c r="K979" s="2"/>
      <c r="L979" s="2"/>
      <c r="M979" s="2"/>
      <c r="N979" s="2"/>
      <c r="O979" s="62"/>
      <c r="P979" s="76"/>
    </row>
    <row r="980" ht="15.75" customHeight="1">
      <c r="A980" s="2"/>
      <c r="B980" s="74"/>
      <c r="C980" s="74"/>
      <c r="D980" s="74"/>
      <c r="E980" s="2"/>
      <c r="F980" s="2"/>
      <c r="G980" s="2"/>
      <c r="H980" s="74"/>
      <c r="I980" s="2"/>
      <c r="J980" s="2"/>
      <c r="K980" s="2"/>
      <c r="L980" s="2"/>
      <c r="M980" s="2"/>
      <c r="N980" s="2"/>
      <c r="O980" s="62"/>
      <c r="P980" s="76"/>
    </row>
    <row r="981" ht="15.75" customHeight="1">
      <c r="A981" s="2"/>
      <c r="B981" s="74"/>
      <c r="C981" s="74"/>
      <c r="D981" s="74"/>
      <c r="E981" s="2"/>
      <c r="F981" s="2"/>
      <c r="G981" s="2"/>
      <c r="H981" s="74"/>
      <c r="I981" s="2"/>
      <c r="J981" s="2"/>
      <c r="K981" s="2"/>
      <c r="L981" s="2"/>
      <c r="M981" s="2"/>
      <c r="N981" s="2"/>
      <c r="O981" s="62"/>
      <c r="P981" s="76"/>
    </row>
    <row r="982" ht="15.75" customHeight="1">
      <c r="A982" s="2"/>
      <c r="B982" s="74"/>
      <c r="C982" s="74"/>
      <c r="D982" s="74"/>
      <c r="E982" s="2"/>
      <c r="F982" s="2"/>
      <c r="G982" s="2"/>
      <c r="H982" s="74"/>
      <c r="I982" s="2"/>
      <c r="J982" s="2"/>
      <c r="K982" s="2"/>
      <c r="L982" s="2"/>
      <c r="M982" s="2"/>
      <c r="N982" s="2"/>
      <c r="O982" s="62"/>
      <c r="P982" s="76"/>
    </row>
    <row r="983" ht="15.75" customHeight="1">
      <c r="A983" s="2"/>
      <c r="B983" s="74"/>
      <c r="C983" s="74"/>
      <c r="D983" s="74"/>
      <c r="E983" s="2"/>
      <c r="F983" s="2"/>
      <c r="G983" s="2"/>
      <c r="H983" s="74"/>
      <c r="I983" s="2"/>
      <c r="J983" s="2"/>
      <c r="K983" s="2"/>
      <c r="L983" s="2"/>
      <c r="M983" s="2"/>
      <c r="N983" s="2"/>
      <c r="O983" s="62"/>
      <c r="P983" s="76"/>
    </row>
    <row r="984" ht="15.75" customHeight="1">
      <c r="A984" s="2"/>
      <c r="B984" s="74"/>
      <c r="C984" s="74"/>
      <c r="D984" s="74"/>
      <c r="E984" s="2"/>
      <c r="F984" s="2"/>
      <c r="G984" s="2"/>
      <c r="H984" s="74"/>
      <c r="I984" s="2"/>
      <c r="J984" s="2"/>
      <c r="K984" s="2"/>
      <c r="L984" s="2"/>
      <c r="M984" s="2"/>
      <c r="N984" s="2"/>
      <c r="O984" s="62"/>
      <c r="P984" s="76"/>
    </row>
    <row r="985" ht="15.75" customHeight="1">
      <c r="A985" s="2"/>
      <c r="B985" s="74"/>
      <c r="C985" s="74"/>
      <c r="D985" s="74"/>
      <c r="E985" s="2"/>
      <c r="F985" s="2"/>
      <c r="G985" s="2"/>
      <c r="H985" s="74"/>
      <c r="I985" s="2"/>
      <c r="J985" s="2"/>
      <c r="K985" s="2"/>
      <c r="L985" s="2"/>
      <c r="M985" s="2"/>
      <c r="N985" s="2"/>
      <c r="O985" s="62"/>
      <c r="P985" s="76"/>
    </row>
    <row r="986" ht="15.75" customHeight="1">
      <c r="A986" s="2"/>
      <c r="B986" s="74"/>
      <c r="C986" s="74"/>
      <c r="D986" s="74"/>
      <c r="E986" s="2"/>
      <c r="F986" s="2"/>
      <c r="G986" s="2"/>
      <c r="H986" s="74"/>
      <c r="I986" s="2"/>
      <c r="J986" s="2"/>
      <c r="K986" s="2"/>
      <c r="L986" s="2"/>
      <c r="M986" s="2"/>
      <c r="N986" s="2"/>
      <c r="O986" s="62"/>
      <c r="P986" s="76"/>
    </row>
    <row r="987" ht="15.75" customHeight="1">
      <c r="A987" s="2"/>
      <c r="B987" s="74"/>
      <c r="C987" s="74"/>
      <c r="D987" s="74"/>
      <c r="E987" s="2"/>
      <c r="F987" s="2"/>
      <c r="G987" s="2"/>
      <c r="H987" s="74"/>
      <c r="I987" s="2"/>
      <c r="J987" s="2"/>
      <c r="K987" s="2"/>
      <c r="L987" s="2"/>
      <c r="M987" s="2"/>
      <c r="N987" s="2"/>
      <c r="O987" s="62"/>
      <c r="P987" s="76"/>
    </row>
    <row r="988" ht="15.75" customHeight="1">
      <c r="A988" s="2"/>
      <c r="B988" s="74"/>
      <c r="C988" s="74"/>
      <c r="D988" s="74"/>
      <c r="E988" s="2"/>
      <c r="F988" s="2"/>
      <c r="G988" s="2"/>
      <c r="H988" s="74"/>
      <c r="I988" s="2"/>
      <c r="J988" s="2"/>
      <c r="K988" s="2"/>
      <c r="L988" s="2"/>
      <c r="M988" s="2"/>
      <c r="N988" s="2"/>
      <c r="O988" s="62"/>
      <c r="P988" s="76"/>
    </row>
    <row r="989" ht="15.75" customHeight="1">
      <c r="A989" s="2"/>
      <c r="B989" s="74"/>
      <c r="C989" s="74"/>
      <c r="D989" s="74"/>
      <c r="E989" s="2"/>
      <c r="F989" s="2"/>
      <c r="G989" s="2"/>
      <c r="H989" s="74"/>
      <c r="I989" s="2"/>
      <c r="J989" s="2"/>
      <c r="K989" s="2"/>
      <c r="L989" s="2"/>
      <c r="M989" s="2"/>
      <c r="N989" s="2"/>
      <c r="O989" s="62"/>
      <c r="P989" s="76"/>
    </row>
    <row r="990" ht="15.75" customHeight="1">
      <c r="A990" s="2"/>
      <c r="B990" s="74"/>
      <c r="C990" s="74"/>
      <c r="D990" s="74"/>
      <c r="E990" s="2"/>
      <c r="F990" s="2"/>
      <c r="G990" s="2"/>
      <c r="H990" s="74"/>
      <c r="I990" s="2"/>
      <c r="J990" s="2"/>
      <c r="K990" s="2"/>
      <c r="L990" s="2"/>
      <c r="M990" s="2"/>
      <c r="N990" s="2"/>
      <c r="O990" s="62"/>
      <c r="P990" s="76"/>
    </row>
    <row r="991" ht="15.75" customHeight="1">
      <c r="A991" s="2"/>
      <c r="B991" s="74"/>
      <c r="C991" s="74"/>
      <c r="D991" s="74"/>
      <c r="E991" s="2"/>
      <c r="F991" s="2"/>
      <c r="G991" s="2"/>
      <c r="H991" s="74"/>
      <c r="I991" s="2"/>
      <c r="J991" s="2"/>
      <c r="K991" s="2"/>
      <c r="L991" s="2"/>
      <c r="M991" s="2"/>
      <c r="N991" s="2"/>
      <c r="O991" s="62"/>
      <c r="P991" s="76"/>
    </row>
    <row r="992" ht="15.75" customHeight="1">
      <c r="A992" s="2"/>
      <c r="B992" s="74"/>
      <c r="C992" s="74"/>
      <c r="D992" s="74"/>
      <c r="E992" s="2"/>
      <c r="F992" s="2"/>
      <c r="G992" s="2"/>
      <c r="H992" s="74"/>
      <c r="I992" s="2"/>
      <c r="J992" s="2"/>
      <c r="K992" s="2"/>
      <c r="L992" s="2"/>
      <c r="M992" s="2"/>
      <c r="N992" s="2"/>
      <c r="O992" s="62"/>
      <c r="P992" s="76"/>
    </row>
    <row r="993" ht="15.75" customHeight="1">
      <c r="A993" s="2"/>
      <c r="B993" s="74"/>
      <c r="C993" s="74"/>
      <c r="D993" s="74"/>
      <c r="E993" s="2"/>
      <c r="F993" s="2"/>
      <c r="G993" s="2"/>
      <c r="H993" s="74"/>
      <c r="I993" s="2"/>
      <c r="J993" s="2"/>
      <c r="K993" s="2"/>
      <c r="L993" s="2"/>
      <c r="M993" s="2"/>
      <c r="N993" s="2"/>
      <c r="O993" s="62"/>
      <c r="P993" s="76"/>
    </row>
    <row r="994" ht="15.75" customHeight="1">
      <c r="A994" s="2"/>
      <c r="B994" s="74"/>
      <c r="C994" s="74"/>
      <c r="D994" s="74"/>
      <c r="E994" s="2"/>
      <c r="F994" s="2"/>
      <c r="G994" s="2"/>
      <c r="H994" s="74"/>
      <c r="I994" s="2"/>
      <c r="J994" s="2"/>
      <c r="K994" s="2"/>
      <c r="L994" s="2"/>
      <c r="M994" s="2"/>
      <c r="N994" s="2"/>
      <c r="O994" s="62"/>
      <c r="P994" s="76"/>
    </row>
    <row r="995" ht="15.75" customHeight="1">
      <c r="A995" s="2"/>
      <c r="B995" s="74"/>
      <c r="C995" s="74"/>
      <c r="D995" s="74"/>
      <c r="E995" s="2"/>
      <c r="F995" s="2"/>
      <c r="G995" s="2"/>
      <c r="H995" s="74"/>
      <c r="I995" s="2"/>
      <c r="J995" s="2"/>
      <c r="K995" s="2"/>
      <c r="L995" s="2"/>
      <c r="M995" s="2"/>
      <c r="N995" s="2"/>
      <c r="O995" s="62"/>
      <c r="P995" s="76"/>
    </row>
    <row r="996" ht="15.75" customHeight="1">
      <c r="A996" s="2"/>
      <c r="B996" s="74"/>
      <c r="C996" s="74"/>
      <c r="D996" s="74"/>
      <c r="E996" s="2"/>
      <c r="F996" s="2"/>
      <c r="G996" s="2"/>
      <c r="H996" s="74"/>
      <c r="I996" s="2"/>
      <c r="J996" s="2"/>
      <c r="K996" s="2"/>
      <c r="L996" s="2"/>
      <c r="M996" s="2"/>
      <c r="N996" s="2"/>
      <c r="O996" s="62"/>
      <c r="P996" s="76"/>
    </row>
    <row r="997" ht="15.75" customHeight="1">
      <c r="A997" s="2"/>
      <c r="B997" s="74"/>
      <c r="C997" s="74"/>
      <c r="D997" s="74"/>
      <c r="E997" s="2"/>
      <c r="F997" s="2"/>
      <c r="G997" s="2"/>
      <c r="H997" s="74"/>
      <c r="I997" s="2"/>
      <c r="J997" s="2"/>
      <c r="K997" s="2"/>
      <c r="L997" s="2"/>
      <c r="M997" s="2"/>
      <c r="N997" s="2"/>
      <c r="O997" s="62"/>
      <c r="P997" s="76"/>
    </row>
    <row r="998" ht="15.75" customHeight="1">
      <c r="A998" s="2"/>
      <c r="B998" s="74"/>
      <c r="C998" s="74"/>
      <c r="D998" s="74"/>
      <c r="E998" s="2"/>
      <c r="F998" s="2"/>
      <c r="G998" s="2"/>
      <c r="H998" s="74"/>
      <c r="I998" s="2"/>
      <c r="J998" s="2"/>
      <c r="K998" s="2"/>
      <c r="L998" s="2"/>
      <c r="M998" s="2"/>
      <c r="N998" s="2"/>
      <c r="O998" s="62"/>
      <c r="P998" s="76"/>
    </row>
    <row r="999" ht="15.75" customHeight="1">
      <c r="A999" s="2"/>
      <c r="B999" s="74"/>
      <c r="C999" s="74"/>
      <c r="D999" s="74"/>
      <c r="E999" s="2"/>
      <c r="F999" s="2"/>
      <c r="G999" s="2"/>
      <c r="H999" s="74"/>
      <c r="I999" s="2"/>
      <c r="J999" s="2"/>
      <c r="K999" s="2"/>
      <c r="L999" s="2"/>
      <c r="M999" s="2"/>
      <c r="N999" s="2"/>
      <c r="O999" s="62"/>
      <c r="P999" s="76"/>
    </row>
    <row r="1000" ht="15.75" customHeight="1">
      <c r="A1000" s="2"/>
      <c r="B1000" s="74"/>
      <c r="C1000" s="74"/>
      <c r="D1000" s="74"/>
      <c r="E1000" s="2"/>
      <c r="F1000" s="2"/>
      <c r="G1000" s="2"/>
      <c r="H1000" s="74"/>
      <c r="I1000" s="2"/>
      <c r="J1000" s="2"/>
      <c r="K1000" s="2"/>
      <c r="L1000" s="2"/>
      <c r="M1000" s="2"/>
      <c r="N1000" s="2"/>
      <c r="O1000" s="62"/>
      <c r="P1000" s="76"/>
    </row>
  </sheetData>
  <autoFilter ref="$A$1:$P$78"/>
  <hyperlinks>
    <hyperlink r:id="rId1" ref="C2"/>
    <hyperlink r:id="rId2" ref="H2"/>
    <hyperlink r:id="rId3" ref="H3"/>
    <hyperlink r:id="rId4" ref="C4"/>
    <hyperlink r:id="rId5" ref="H4"/>
    <hyperlink r:id="rId6" location="featured" ref="P4"/>
    <hyperlink r:id="rId7" ref="C5"/>
    <hyperlink r:id="rId8" ref="H5"/>
    <hyperlink r:id="rId9" ref="C6"/>
    <hyperlink r:id="rId10" ref="H6"/>
    <hyperlink r:id="rId11" ref="C7"/>
    <hyperlink r:id="rId12" ref="H7"/>
    <hyperlink r:id="rId13" ref="C8"/>
    <hyperlink r:id="rId14" ref="H8"/>
    <hyperlink r:id="rId15" ref="C9"/>
    <hyperlink r:id="rId16" ref="H9"/>
    <hyperlink r:id="rId17" ref="C10"/>
    <hyperlink r:id="rId18" ref="H10"/>
    <hyperlink r:id="rId19" ref="C11"/>
    <hyperlink r:id="rId20" ref="H11"/>
    <hyperlink r:id="rId21" ref="C12"/>
    <hyperlink r:id="rId22" ref="H12"/>
    <hyperlink r:id="rId23" ref="C13"/>
    <hyperlink r:id="rId24" ref="H13"/>
    <hyperlink r:id="rId25" ref="C14"/>
    <hyperlink r:id="rId26" ref="H14"/>
    <hyperlink r:id="rId27" ref="C15"/>
    <hyperlink r:id="rId28" ref="H15"/>
    <hyperlink r:id="rId29" ref="C16"/>
    <hyperlink r:id="rId30" ref="H16"/>
    <hyperlink r:id="rId31" ref="C17"/>
    <hyperlink r:id="rId32" ref="H17"/>
    <hyperlink r:id="rId33" ref="C18"/>
    <hyperlink r:id="rId34" ref="H18"/>
    <hyperlink r:id="rId35" ref="C19"/>
    <hyperlink r:id="rId36" ref="H19"/>
    <hyperlink r:id="rId37" ref="C20"/>
    <hyperlink r:id="rId38" ref="H20"/>
    <hyperlink r:id="rId39" ref="C21"/>
    <hyperlink r:id="rId40" ref="H21"/>
    <hyperlink r:id="rId41" ref="C22"/>
    <hyperlink r:id="rId42" ref="H22"/>
    <hyperlink r:id="rId43" ref="C23"/>
    <hyperlink r:id="rId44" ref="H23"/>
    <hyperlink r:id="rId45" ref="C24"/>
    <hyperlink r:id="rId46" ref="H24"/>
    <hyperlink r:id="rId47" ref="C25"/>
    <hyperlink r:id="rId48" ref="H25"/>
    <hyperlink r:id="rId49" ref="C26"/>
    <hyperlink r:id="rId50" ref="H26"/>
    <hyperlink r:id="rId51" ref="C27"/>
    <hyperlink r:id="rId52" ref="H27"/>
    <hyperlink r:id="rId53" ref="C28"/>
    <hyperlink r:id="rId54" ref="H28"/>
    <hyperlink r:id="rId55" ref="C29"/>
    <hyperlink r:id="rId56" ref="H29"/>
    <hyperlink r:id="rId57" ref="C30"/>
    <hyperlink r:id="rId58" ref="H30"/>
    <hyperlink r:id="rId59" ref="C31"/>
    <hyperlink r:id="rId60" ref="H31"/>
    <hyperlink r:id="rId61" ref="C32"/>
    <hyperlink r:id="rId62" ref="H32"/>
    <hyperlink r:id="rId63" ref="C33"/>
    <hyperlink r:id="rId64" ref="H33"/>
    <hyperlink r:id="rId65" ref="C34"/>
    <hyperlink r:id="rId66" ref="H34"/>
    <hyperlink r:id="rId67" ref="C35"/>
    <hyperlink r:id="rId68" ref="H35"/>
    <hyperlink r:id="rId69" ref="C36"/>
    <hyperlink r:id="rId70" ref="H36"/>
    <hyperlink r:id="rId71" ref="C37"/>
    <hyperlink r:id="rId72" ref="H37"/>
    <hyperlink r:id="rId73" ref="C38"/>
    <hyperlink r:id="rId74" ref="H38"/>
    <hyperlink r:id="rId75" ref="C39"/>
    <hyperlink r:id="rId76" ref="H39"/>
    <hyperlink r:id="rId77" ref="C40"/>
    <hyperlink r:id="rId78" ref="H40"/>
    <hyperlink r:id="rId79" ref="C41"/>
    <hyperlink r:id="rId80" ref="H41"/>
    <hyperlink r:id="rId81" ref="C42"/>
    <hyperlink r:id="rId82" ref="H42"/>
    <hyperlink r:id="rId83" ref="C43"/>
    <hyperlink r:id="rId84" ref="H43"/>
    <hyperlink r:id="rId85" ref="C44"/>
    <hyperlink r:id="rId86" ref="C45"/>
    <hyperlink r:id="rId87" ref="C46"/>
    <hyperlink r:id="rId88" ref="C47"/>
    <hyperlink r:id="rId89" ref="C48"/>
    <hyperlink r:id="rId90" ref="C49"/>
    <hyperlink r:id="rId91" ref="C50"/>
    <hyperlink r:id="rId92" ref="C51"/>
    <hyperlink r:id="rId93" ref="C52"/>
    <hyperlink r:id="rId94" ref="C53"/>
    <hyperlink r:id="rId95" ref="C54"/>
    <hyperlink r:id="rId96" ref="C55"/>
    <hyperlink r:id="rId97" ref="C56"/>
    <hyperlink r:id="rId98" ref="C57"/>
    <hyperlink r:id="rId99" ref="C58"/>
    <hyperlink r:id="rId100" ref="C59"/>
    <hyperlink r:id="rId101" ref="C60"/>
    <hyperlink r:id="rId102" ref="C61"/>
    <hyperlink r:id="rId103" ref="C62"/>
    <hyperlink r:id="rId104" ref="C63"/>
    <hyperlink r:id="rId105" ref="C64"/>
    <hyperlink r:id="rId106" ref="C65"/>
    <hyperlink r:id="rId107" ref="C66"/>
    <hyperlink r:id="rId108" ref="C67"/>
    <hyperlink r:id="rId109" ref="C68"/>
    <hyperlink r:id="rId110" ref="C69"/>
    <hyperlink r:id="rId111" ref="C70"/>
    <hyperlink r:id="rId112" ref="C71"/>
    <hyperlink r:id="rId113" ref="C72"/>
    <hyperlink r:id="rId114" ref="C73"/>
    <hyperlink r:id="rId115" ref="C74"/>
    <hyperlink r:id="rId116" ref="C75"/>
    <hyperlink r:id="rId117" ref="C76"/>
    <hyperlink r:id="rId118" ref="C77"/>
    <hyperlink r:id="rId119" ref="C78"/>
  </hyperlinks>
  <printOptions/>
  <pageMargins bottom="0.75" footer="0.0" header="0.0" left="0.7" right="0.7" top="0.75"/>
  <pageSetup orientation="landscape"/>
  <headerFooter>
    <oddFooter>&amp;C_x000D_#000000 SBI Card Restricted</oddFooter>
  </headerFooter>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0"/>
    <col customWidth="1" min="3" max="3" width="36.88"/>
    <col customWidth="1" min="4" max="4" width="88.38"/>
    <col customWidth="1" min="5" max="5" width="22.38"/>
    <col customWidth="1" min="6" max="6" width="22.75"/>
    <col customWidth="1" min="7" max="7" width="15.75"/>
    <col customWidth="1" min="8" max="8" width="52.88"/>
    <col customWidth="1" min="9" max="26" width="8.63"/>
  </cols>
  <sheetData>
    <row r="1">
      <c r="A1" s="5" t="s">
        <v>22</v>
      </c>
      <c r="B1" s="22" t="s">
        <v>271</v>
      </c>
      <c r="C1" s="22" t="s">
        <v>1</v>
      </c>
      <c r="D1" s="5" t="s">
        <v>272</v>
      </c>
      <c r="E1" s="26" t="s">
        <v>273</v>
      </c>
      <c r="F1" s="5" t="s">
        <v>274</v>
      </c>
      <c r="G1" s="5" t="s">
        <v>275</v>
      </c>
      <c r="H1" s="5" t="s">
        <v>276</v>
      </c>
    </row>
    <row r="2">
      <c r="A2" s="13">
        <v>1.0</v>
      </c>
      <c r="B2" s="80">
        <v>46145.0</v>
      </c>
      <c r="C2" s="81"/>
      <c r="D2" s="82" t="s">
        <v>277</v>
      </c>
      <c r="E2" s="83" t="s">
        <v>278</v>
      </c>
      <c r="F2" s="20"/>
      <c r="G2" s="20"/>
      <c r="H2" s="20"/>
    </row>
    <row r="3">
      <c r="A3" s="13">
        <v>2.0</v>
      </c>
      <c r="B3" s="80">
        <v>46145.0</v>
      </c>
      <c r="C3" s="81"/>
      <c r="D3" s="82" t="s">
        <v>279</v>
      </c>
      <c r="E3" s="83" t="s">
        <v>278</v>
      </c>
      <c r="F3" s="20"/>
      <c r="G3" s="20"/>
      <c r="H3" s="20"/>
    </row>
    <row r="4">
      <c r="A4" s="13">
        <v>3.0</v>
      </c>
      <c r="B4" s="80">
        <v>46145.0</v>
      </c>
      <c r="C4" s="81"/>
      <c r="D4" s="82" t="s">
        <v>280</v>
      </c>
      <c r="E4" s="83" t="s">
        <v>278</v>
      </c>
      <c r="F4" s="20"/>
      <c r="G4" s="20"/>
      <c r="H4" s="20"/>
    </row>
    <row r="5">
      <c r="A5" s="13">
        <v>4.0</v>
      </c>
      <c r="B5" s="80">
        <v>46145.0</v>
      </c>
      <c r="C5" s="81"/>
      <c r="D5" s="82" t="s">
        <v>281</v>
      </c>
      <c r="E5" s="83" t="s">
        <v>278</v>
      </c>
      <c r="F5" s="20"/>
      <c r="G5" s="20"/>
      <c r="H5" s="20"/>
    </row>
    <row r="6">
      <c r="A6" s="13">
        <v>5.0</v>
      </c>
      <c r="B6" s="80">
        <v>46145.0</v>
      </c>
      <c r="C6" s="81"/>
      <c r="D6" s="82" t="s">
        <v>282</v>
      </c>
      <c r="E6" s="83" t="s">
        <v>278</v>
      </c>
      <c r="F6" s="20"/>
      <c r="G6" s="20"/>
      <c r="H6" s="20"/>
    </row>
    <row r="7">
      <c r="A7" s="13">
        <v>6.0</v>
      </c>
      <c r="B7" s="80">
        <v>46145.0</v>
      </c>
      <c r="C7" s="81"/>
      <c r="D7" s="82" t="s">
        <v>283</v>
      </c>
      <c r="E7" s="83" t="s">
        <v>284</v>
      </c>
      <c r="F7" s="20"/>
      <c r="G7" s="20"/>
      <c r="H7" s="20"/>
    </row>
    <row r="8">
      <c r="A8" s="13">
        <v>7.0</v>
      </c>
      <c r="B8" s="80">
        <v>46145.0</v>
      </c>
      <c r="C8" s="81"/>
      <c r="D8" s="82" t="s">
        <v>285</v>
      </c>
      <c r="E8" s="83" t="s">
        <v>284</v>
      </c>
      <c r="F8" s="20"/>
      <c r="G8" s="20"/>
      <c r="H8" s="20"/>
    </row>
    <row r="9">
      <c r="A9" s="13">
        <v>8.0</v>
      </c>
      <c r="B9" s="80">
        <v>46145.0</v>
      </c>
      <c r="C9" s="81"/>
      <c r="D9" s="82" t="s">
        <v>286</v>
      </c>
      <c r="E9" s="83" t="s">
        <v>284</v>
      </c>
      <c r="F9" s="20"/>
      <c r="G9" s="20"/>
      <c r="H9" s="20"/>
    </row>
    <row r="10">
      <c r="A10" s="13">
        <v>9.0</v>
      </c>
      <c r="B10" s="80">
        <v>46145.0</v>
      </c>
      <c r="C10" s="81"/>
      <c r="D10" s="82" t="s">
        <v>287</v>
      </c>
      <c r="E10" s="83" t="s">
        <v>278</v>
      </c>
      <c r="F10" s="20"/>
      <c r="G10" s="20"/>
      <c r="H10" s="20"/>
    </row>
    <row r="11">
      <c r="A11" s="13">
        <v>10.0</v>
      </c>
      <c r="B11" s="80">
        <v>46145.0</v>
      </c>
      <c r="C11" s="81"/>
      <c r="D11" s="82" t="s">
        <v>288</v>
      </c>
      <c r="E11" s="83" t="s">
        <v>278</v>
      </c>
      <c r="F11" s="20"/>
      <c r="G11" s="20"/>
      <c r="H11" s="20"/>
    </row>
    <row r="12">
      <c r="A12" s="13">
        <v>11.0</v>
      </c>
      <c r="B12" s="80">
        <v>46145.0</v>
      </c>
      <c r="C12" s="81"/>
      <c r="D12" s="82" t="s">
        <v>289</v>
      </c>
      <c r="E12" s="83" t="s">
        <v>284</v>
      </c>
      <c r="F12" s="20"/>
      <c r="G12" s="20"/>
      <c r="H12" s="20"/>
    </row>
    <row r="13">
      <c r="A13" s="13">
        <v>12.0</v>
      </c>
      <c r="B13" s="80">
        <v>46145.0</v>
      </c>
      <c r="C13" s="81"/>
      <c r="D13" s="82" t="s">
        <v>290</v>
      </c>
      <c r="E13" s="83" t="s">
        <v>284</v>
      </c>
      <c r="F13" s="20"/>
      <c r="G13" s="20"/>
      <c r="H13" s="20"/>
    </row>
    <row r="14">
      <c r="A14" s="13">
        <v>13.0</v>
      </c>
      <c r="B14" s="80">
        <v>46145.0</v>
      </c>
      <c r="C14" s="81"/>
      <c r="D14" s="82" t="s">
        <v>291</v>
      </c>
      <c r="E14" s="83" t="s">
        <v>284</v>
      </c>
      <c r="F14" s="20"/>
      <c r="G14" s="20"/>
      <c r="H14" s="20"/>
    </row>
    <row r="15">
      <c r="A15" s="13">
        <v>14.0</v>
      </c>
      <c r="B15" s="80">
        <v>46145.0</v>
      </c>
      <c r="C15" s="81"/>
      <c r="D15" s="82" t="s">
        <v>292</v>
      </c>
      <c r="E15" s="83" t="s">
        <v>284</v>
      </c>
      <c r="F15" s="20"/>
      <c r="G15" s="20"/>
      <c r="H15" s="20"/>
    </row>
    <row r="16">
      <c r="A16" s="13">
        <v>15.0</v>
      </c>
      <c r="B16" s="80">
        <v>46145.0</v>
      </c>
      <c r="C16" s="81"/>
      <c r="D16" s="82" t="s">
        <v>293</v>
      </c>
      <c r="E16" s="83" t="s">
        <v>284</v>
      </c>
      <c r="F16" s="20"/>
      <c r="G16" s="20"/>
      <c r="H16" s="20"/>
    </row>
    <row r="17">
      <c r="A17" s="13">
        <v>16.0</v>
      </c>
      <c r="B17" s="80">
        <v>46145.0</v>
      </c>
      <c r="C17" s="81"/>
      <c r="D17" s="82" t="s">
        <v>294</v>
      </c>
      <c r="E17" s="83" t="s">
        <v>284</v>
      </c>
      <c r="F17" s="20"/>
      <c r="G17" s="20"/>
      <c r="H17" s="20"/>
    </row>
    <row r="18">
      <c r="A18" s="13">
        <v>17.0</v>
      </c>
      <c r="B18" s="80">
        <v>46145.0</v>
      </c>
      <c r="C18" s="81"/>
      <c r="D18" s="82" t="s">
        <v>295</v>
      </c>
      <c r="E18" s="83" t="s">
        <v>284</v>
      </c>
      <c r="F18" s="20"/>
      <c r="G18" s="20"/>
      <c r="H18" s="20"/>
    </row>
    <row r="19">
      <c r="A19" s="13">
        <v>18.0</v>
      </c>
      <c r="B19" s="80">
        <v>46145.0</v>
      </c>
      <c r="C19" s="81"/>
      <c r="D19" s="82" t="s">
        <v>296</v>
      </c>
      <c r="E19" s="83" t="s">
        <v>284</v>
      </c>
      <c r="F19" s="20"/>
      <c r="G19" s="20"/>
      <c r="H19" s="20"/>
    </row>
    <row r="20">
      <c r="A20" s="13">
        <v>19.0</v>
      </c>
      <c r="B20" s="80">
        <v>46145.0</v>
      </c>
      <c r="C20" s="81"/>
      <c r="D20" s="82" t="s">
        <v>297</v>
      </c>
      <c r="E20" s="83" t="s">
        <v>284</v>
      </c>
      <c r="F20" s="20"/>
      <c r="G20" s="20"/>
      <c r="H20" s="20"/>
    </row>
    <row r="21" ht="15.75" customHeight="1">
      <c r="A21" s="13">
        <v>20.0</v>
      </c>
      <c r="B21" s="80">
        <v>46145.0</v>
      </c>
      <c r="C21" s="81"/>
      <c r="D21" s="82" t="s">
        <v>298</v>
      </c>
      <c r="E21" s="83" t="s">
        <v>284</v>
      </c>
      <c r="F21" s="20"/>
      <c r="G21" s="20"/>
      <c r="H21" s="20"/>
    </row>
    <row r="22" ht="15.75" customHeight="1">
      <c r="A22" s="13">
        <v>21.0</v>
      </c>
      <c r="B22" s="80">
        <v>46145.0</v>
      </c>
      <c r="C22" s="81"/>
      <c r="D22" s="82" t="s">
        <v>299</v>
      </c>
      <c r="E22" s="83" t="s">
        <v>284</v>
      </c>
      <c r="F22" s="20"/>
      <c r="G22" s="20"/>
      <c r="H22" s="20"/>
    </row>
    <row r="23" ht="15.75" customHeight="1">
      <c r="A23" s="13">
        <v>22.0</v>
      </c>
      <c r="B23" s="80">
        <v>46145.0</v>
      </c>
      <c r="C23" s="81"/>
      <c r="D23" s="82" t="s">
        <v>300</v>
      </c>
      <c r="E23" s="83" t="s">
        <v>284</v>
      </c>
      <c r="F23" s="20"/>
      <c r="G23" s="20"/>
      <c r="H23" s="20"/>
    </row>
    <row r="24" ht="15.75" customHeight="1">
      <c r="A24" s="13">
        <v>23.0</v>
      </c>
      <c r="B24" s="80">
        <v>46145.0</v>
      </c>
      <c r="C24" s="81"/>
      <c r="D24" s="82" t="s">
        <v>301</v>
      </c>
      <c r="E24" s="83" t="s">
        <v>284</v>
      </c>
      <c r="F24" s="20"/>
      <c r="G24" s="20"/>
      <c r="H24" s="20"/>
    </row>
    <row r="25" ht="15.75" customHeight="1">
      <c r="A25" s="13">
        <v>24.0</v>
      </c>
      <c r="B25" s="80">
        <v>46145.0</v>
      </c>
      <c r="C25" s="81"/>
      <c r="D25" s="82" t="s">
        <v>302</v>
      </c>
      <c r="E25" s="83" t="s">
        <v>284</v>
      </c>
      <c r="F25" s="20"/>
      <c r="G25" s="20"/>
      <c r="H25" s="20"/>
    </row>
    <row r="26" ht="15.75" customHeight="1">
      <c r="A26" s="13">
        <v>25.0</v>
      </c>
      <c r="B26" s="80">
        <v>46145.0</v>
      </c>
      <c r="C26" s="81"/>
      <c r="D26" s="82" t="s">
        <v>303</v>
      </c>
      <c r="E26" s="83" t="s">
        <v>284</v>
      </c>
      <c r="F26" s="20"/>
      <c r="G26" s="20"/>
      <c r="H26" s="20"/>
    </row>
    <row r="27" ht="15.75" customHeight="1">
      <c r="A27" s="13">
        <v>26.0</v>
      </c>
      <c r="B27" s="80">
        <v>46145.0</v>
      </c>
      <c r="C27" s="81"/>
      <c r="D27" s="82" t="s">
        <v>304</v>
      </c>
      <c r="E27" s="83" t="s">
        <v>284</v>
      </c>
      <c r="F27" s="20"/>
      <c r="G27" s="20"/>
      <c r="H27" s="20"/>
    </row>
    <row r="28" ht="15.75" customHeight="1">
      <c r="A28" s="13">
        <v>27.0</v>
      </c>
      <c r="B28" s="80">
        <v>46145.0</v>
      </c>
      <c r="C28" s="81"/>
      <c r="D28" s="82" t="s">
        <v>305</v>
      </c>
      <c r="E28" s="83" t="s">
        <v>284</v>
      </c>
      <c r="F28" s="20"/>
      <c r="G28" s="20"/>
      <c r="H28" s="20"/>
    </row>
    <row r="29" ht="15.75" customHeight="1">
      <c r="A29" s="13">
        <v>28.0</v>
      </c>
      <c r="B29" s="80">
        <v>46145.0</v>
      </c>
      <c r="C29" s="81"/>
      <c r="D29" s="82" t="s">
        <v>306</v>
      </c>
      <c r="E29" s="83" t="s">
        <v>284</v>
      </c>
      <c r="F29" s="20"/>
      <c r="G29" s="20"/>
      <c r="H29" s="20"/>
    </row>
    <row r="30" ht="15.75" customHeight="1">
      <c r="A30" s="13">
        <v>29.0</v>
      </c>
      <c r="B30" s="80">
        <v>46145.0</v>
      </c>
      <c r="C30" s="81"/>
      <c r="D30" s="82" t="s">
        <v>307</v>
      </c>
      <c r="E30" s="83" t="s">
        <v>284</v>
      </c>
      <c r="F30" s="20"/>
      <c r="G30" s="20"/>
      <c r="H30" s="20"/>
    </row>
    <row r="31" ht="15.75" customHeight="1">
      <c r="A31" s="13">
        <v>30.0</v>
      </c>
      <c r="B31" s="80">
        <v>46145.0</v>
      </c>
      <c r="C31" s="81"/>
      <c r="D31" s="82" t="s">
        <v>308</v>
      </c>
      <c r="E31" s="83" t="s">
        <v>284</v>
      </c>
      <c r="F31" s="20"/>
      <c r="G31" s="20"/>
      <c r="H31" s="20"/>
    </row>
    <row r="32" ht="15.75" customHeight="1">
      <c r="A32" s="13">
        <v>31.0</v>
      </c>
      <c r="B32" s="80">
        <v>46145.0</v>
      </c>
      <c r="C32" s="81"/>
      <c r="D32" s="82" t="s">
        <v>309</v>
      </c>
      <c r="E32" s="83" t="s">
        <v>284</v>
      </c>
      <c r="F32" s="20"/>
      <c r="G32" s="20"/>
      <c r="H32" s="20"/>
    </row>
    <row r="33" ht="15.75" customHeight="1">
      <c r="A33" s="13">
        <v>32.0</v>
      </c>
      <c r="B33" s="80">
        <v>46145.0</v>
      </c>
      <c r="C33" s="81"/>
      <c r="D33" s="82" t="s">
        <v>310</v>
      </c>
      <c r="E33" s="83" t="s">
        <v>284</v>
      </c>
      <c r="F33" s="20"/>
      <c r="G33" s="20"/>
      <c r="H33" s="20"/>
    </row>
    <row r="34" ht="15.75" customHeight="1">
      <c r="A34" s="13">
        <v>33.0</v>
      </c>
      <c r="B34" s="80">
        <v>46145.0</v>
      </c>
      <c r="C34" s="81"/>
      <c r="D34" s="82" t="s">
        <v>311</v>
      </c>
      <c r="E34" s="83" t="s">
        <v>284</v>
      </c>
      <c r="F34" s="20"/>
      <c r="G34" s="20"/>
      <c r="H34" s="20"/>
    </row>
    <row r="35" ht="15.75" customHeight="1">
      <c r="A35" s="13">
        <v>34.0</v>
      </c>
      <c r="B35" s="80">
        <v>46145.0</v>
      </c>
      <c r="C35" s="81"/>
      <c r="D35" s="82" t="s">
        <v>312</v>
      </c>
      <c r="E35" s="83" t="s">
        <v>284</v>
      </c>
      <c r="F35" s="20"/>
      <c r="G35" s="20"/>
      <c r="H35" s="20"/>
    </row>
    <row r="36" ht="15.75" customHeight="1">
      <c r="A36" s="13">
        <v>35.0</v>
      </c>
      <c r="B36" s="80">
        <v>46145.0</v>
      </c>
      <c r="C36" s="81"/>
      <c r="D36" s="82" t="s">
        <v>313</v>
      </c>
      <c r="E36" s="83" t="s">
        <v>284</v>
      </c>
      <c r="F36" s="20"/>
      <c r="G36" s="20"/>
      <c r="H36" s="20"/>
    </row>
    <row r="37" ht="15.75" customHeight="1">
      <c r="A37" s="13">
        <v>36.0</v>
      </c>
      <c r="B37" s="80">
        <v>46145.0</v>
      </c>
      <c r="C37" s="81"/>
      <c r="D37" s="82" t="s">
        <v>314</v>
      </c>
      <c r="E37" s="83" t="s">
        <v>284</v>
      </c>
      <c r="F37" s="20"/>
      <c r="G37" s="20"/>
      <c r="H37" s="20"/>
    </row>
    <row r="38" ht="15.75" customHeight="1">
      <c r="A38" s="13">
        <v>37.0</v>
      </c>
      <c r="B38" s="80">
        <v>46145.0</v>
      </c>
      <c r="C38" s="81"/>
      <c r="D38" s="82" t="s">
        <v>315</v>
      </c>
      <c r="E38" s="83" t="s">
        <v>284</v>
      </c>
      <c r="F38" s="20"/>
      <c r="G38" s="20"/>
      <c r="H38" s="20"/>
    </row>
    <row r="39" ht="15.75" customHeight="1">
      <c r="A39" s="13">
        <v>38.0</v>
      </c>
      <c r="B39" s="80">
        <v>46145.0</v>
      </c>
      <c r="C39" s="81"/>
      <c r="D39" s="82" t="s">
        <v>316</v>
      </c>
      <c r="E39" s="83" t="s">
        <v>284</v>
      </c>
      <c r="F39" s="20"/>
      <c r="G39" s="20"/>
      <c r="H39" s="20"/>
    </row>
    <row r="40" ht="15.75" customHeight="1">
      <c r="A40" s="13">
        <v>39.0</v>
      </c>
      <c r="B40" s="80">
        <v>46145.0</v>
      </c>
      <c r="C40" s="81"/>
      <c r="D40" s="82" t="s">
        <v>317</v>
      </c>
      <c r="E40" s="83" t="s">
        <v>284</v>
      </c>
      <c r="F40" s="20"/>
      <c r="G40" s="20"/>
      <c r="H40" s="20"/>
    </row>
    <row r="41" ht="15.75" customHeight="1">
      <c r="A41" s="13">
        <v>40.0</v>
      </c>
      <c r="B41" s="80">
        <v>46145.0</v>
      </c>
      <c r="C41" s="81"/>
      <c r="D41" s="82" t="s">
        <v>318</v>
      </c>
      <c r="E41" s="83" t="s">
        <v>284</v>
      </c>
      <c r="F41" s="20"/>
      <c r="G41" s="20"/>
      <c r="H41" s="20"/>
    </row>
    <row r="42" ht="15.75" customHeight="1">
      <c r="A42" s="13">
        <v>41.0</v>
      </c>
      <c r="B42" s="80">
        <v>46145.0</v>
      </c>
      <c r="C42" s="81"/>
      <c r="D42" s="82" t="s">
        <v>319</v>
      </c>
      <c r="E42" s="83" t="s">
        <v>284</v>
      </c>
      <c r="F42" s="20"/>
      <c r="G42" s="20"/>
      <c r="H42" s="20"/>
    </row>
    <row r="43" ht="15.75" customHeight="1">
      <c r="A43" s="13">
        <v>42.0</v>
      </c>
      <c r="B43" s="80">
        <v>46145.0</v>
      </c>
      <c r="C43" s="81"/>
      <c r="D43" s="82" t="s">
        <v>320</v>
      </c>
      <c r="E43" s="83" t="s">
        <v>284</v>
      </c>
      <c r="F43" s="20"/>
      <c r="G43" s="20"/>
      <c r="H43" s="20"/>
    </row>
    <row r="44" ht="15.75" customHeight="1">
      <c r="A44" s="13">
        <v>43.0</v>
      </c>
      <c r="B44" s="80">
        <v>46145.0</v>
      </c>
      <c r="C44" s="81"/>
      <c r="D44" s="82" t="s">
        <v>321</v>
      </c>
      <c r="E44" s="83" t="s">
        <v>284</v>
      </c>
      <c r="F44" s="20"/>
      <c r="G44" s="20"/>
      <c r="H44" s="20"/>
    </row>
    <row r="45" ht="15.75" customHeight="1">
      <c r="A45" s="13">
        <v>44.0</v>
      </c>
      <c r="B45" s="80">
        <v>46145.0</v>
      </c>
      <c r="C45" s="81"/>
      <c r="D45" s="82" t="s">
        <v>322</v>
      </c>
      <c r="E45" s="83" t="s">
        <v>284</v>
      </c>
      <c r="F45" s="20"/>
      <c r="G45" s="20"/>
      <c r="H45" s="20"/>
    </row>
    <row r="46" ht="15.75" customHeight="1">
      <c r="A46" s="13">
        <v>45.0</v>
      </c>
      <c r="B46" s="80">
        <v>46145.0</v>
      </c>
      <c r="C46" s="81"/>
      <c r="D46" s="82" t="s">
        <v>323</v>
      </c>
      <c r="E46" s="83" t="s">
        <v>284</v>
      </c>
      <c r="F46" s="20"/>
      <c r="G46" s="20"/>
      <c r="H46" s="20"/>
    </row>
    <row r="47" ht="15.75" customHeight="1">
      <c r="A47" s="13">
        <v>46.0</v>
      </c>
      <c r="B47" s="80">
        <v>46145.0</v>
      </c>
      <c r="C47" s="81"/>
      <c r="D47" s="82" t="s">
        <v>324</v>
      </c>
      <c r="E47" s="83" t="s">
        <v>284</v>
      </c>
      <c r="F47" s="20"/>
      <c r="G47" s="20"/>
      <c r="H47" s="20"/>
    </row>
    <row r="48" ht="15.75" customHeight="1">
      <c r="A48" s="13">
        <v>47.0</v>
      </c>
      <c r="B48" s="80">
        <v>46145.0</v>
      </c>
      <c r="C48" s="81"/>
      <c r="D48" s="82" t="s">
        <v>325</v>
      </c>
      <c r="E48" s="83" t="s">
        <v>284</v>
      </c>
      <c r="F48" s="20"/>
      <c r="G48" s="20"/>
      <c r="H48" s="20"/>
    </row>
    <row r="49" ht="15.75" customHeight="1">
      <c r="A49" s="13">
        <v>48.0</v>
      </c>
      <c r="B49" s="80">
        <v>46145.0</v>
      </c>
      <c r="C49" s="81"/>
      <c r="D49" s="82" t="s">
        <v>326</v>
      </c>
      <c r="E49" s="83" t="s">
        <v>284</v>
      </c>
      <c r="F49" s="20"/>
      <c r="G49" s="20"/>
      <c r="H49" s="20"/>
    </row>
    <row r="50" ht="15.75" customHeight="1">
      <c r="A50" s="13">
        <v>49.0</v>
      </c>
      <c r="B50" s="80">
        <v>46145.0</v>
      </c>
      <c r="C50" s="81"/>
      <c r="D50" s="82" t="s">
        <v>327</v>
      </c>
      <c r="E50" s="83" t="s">
        <v>284</v>
      </c>
      <c r="F50" s="20"/>
      <c r="G50" s="20"/>
      <c r="H50" s="20"/>
    </row>
    <row r="51" ht="15.75" customHeight="1">
      <c r="A51" s="13">
        <v>50.0</v>
      </c>
      <c r="B51" s="80">
        <v>46145.0</v>
      </c>
      <c r="C51" s="81"/>
      <c r="D51" s="82" t="s">
        <v>328</v>
      </c>
      <c r="E51" s="83" t="s">
        <v>284</v>
      </c>
      <c r="F51" s="20"/>
      <c r="G51" s="20"/>
      <c r="H51" s="20"/>
    </row>
    <row r="52" ht="15.75" customHeight="1">
      <c r="A52" s="13">
        <v>51.0</v>
      </c>
      <c r="B52" s="80">
        <v>46145.0</v>
      </c>
      <c r="C52" s="81"/>
      <c r="D52" s="82" t="s">
        <v>329</v>
      </c>
      <c r="E52" s="83" t="s">
        <v>284</v>
      </c>
      <c r="F52" s="20"/>
      <c r="G52" s="20"/>
      <c r="H52" s="20"/>
    </row>
    <row r="53" ht="15.75" customHeight="1">
      <c r="A53" s="13">
        <v>52.0</v>
      </c>
      <c r="B53" s="80">
        <v>46145.0</v>
      </c>
      <c r="C53" s="81"/>
      <c r="D53" s="82" t="s">
        <v>330</v>
      </c>
      <c r="E53" s="83" t="s">
        <v>284</v>
      </c>
      <c r="F53" s="20"/>
      <c r="G53" s="20"/>
      <c r="H53" s="20"/>
    </row>
    <row r="54" ht="15.75" customHeight="1">
      <c r="A54" s="13">
        <v>53.0</v>
      </c>
      <c r="B54" s="80">
        <v>46145.0</v>
      </c>
      <c r="C54" s="81"/>
      <c r="D54" s="82" t="s">
        <v>331</v>
      </c>
      <c r="E54" s="83" t="s">
        <v>284</v>
      </c>
      <c r="F54" s="20"/>
      <c r="G54" s="20"/>
      <c r="H54" s="20"/>
    </row>
    <row r="55" ht="15.75" customHeight="1">
      <c r="A55" s="13">
        <v>54.0</v>
      </c>
      <c r="B55" s="80">
        <v>46145.0</v>
      </c>
      <c r="C55" s="81"/>
      <c r="D55" s="82" t="s">
        <v>332</v>
      </c>
      <c r="E55" s="83" t="s">
        <v>284</v>
      </c>
      <c r="F55" s="20"/>
      <c r="G55" s="20"/>
      <c r="H55" s="20"/>
    </row>
    <row r="56" ht="15.75" customHeight="1">
      <c r="A56" s="13">
        <v>55.0</v>
      </c>
      <c r="B56" s="80">
        <v>46145.0</v>
      </c>
      <c r="C56" s="81"/>
      <c r="D56" s="82" t="s">
        <v>333</v>
      </c>
      <c r="E56" s="83" t="s">
        <v>284</v>
      </c>
      <c r="F56" s="20"/>
      <c r="G56" s="20"/>
      <c r="H56" s="20"/>
    </row>
    <row r="57" ht="15.75" customHeight="1">
      <c r="A57" s="13">
        <v>56.0</v>
      </c>
      <c r="B57" s="80">
        <v>46145.0</v>
      </c>
      <c r="C57" s="81"/>
      <c r="D57" s="82" t="s">
        <v>334</v>
      </c>
      <c r="E57" s="83" t="s">
        <v>284</v>
      </c>
      <c r="F57" s="20"/>
      <c r="G57" s="20"/>
      <c r="H57" s="20"/>
    </row>
    <row r="58" ht="15.75" customHeight="1">
      <c r="A58" s="13">
        <v>57.0</v>
      </c>
      <c r="B58" s="80">
        <v>46145.0</v>
      </c>
      <c r="C58" s="81"/>
      <c r="D58" s="82" t="s">
        <v>335</v>
      </c>
      <c r="E58" s="83" t="s">
        <v>284</v>
      </c>
      <c r="F58" s="20"/>
      <c r="G58" s="20"/>
      <c r="H58" s="20"/>
    </row>
    <row r="59" ht="15.75" customHeight="1">
      <c r="A59" s="13">
        <v>58.0</v>
      </c>
      <c r="B59" s="80">
        <v>46145.0</v>
      </c>
      <c r="C59" s="81"/>
      <c r="D59" s="82" t="s">
        <v>336</v>
      </c>
      <c r="E59" s="83" t="s">
        <v>284</v>
      </c>
      <c r="F59" s="20"/>
      <c r="G59" s="20"/>
      <c r="H59" s="20"/>
    </row>
    <row r="60" ht="15.75" customHeight="1">
      <c r="A60" s="13">
        <v>59.0</v>
      </c>
      <c r="B60" s="80">
        <v>46145.0</v>
      </c>
      <c r="C60" s="81"/>
      <c r="D60" s="82" t="s">
        <v>337</v>
      </c>
      <c r="E60" s="83" t="s">
        <v>284</v>
      </c>
      <c r="F60" s="20"/>
      <c r="G60" s="20"/>
      <c r="H60" s="20"/>
    </row>
    <row r="61" ht="15.75" customHeight="1">
      <c r="A61" s="13">
        <v>60.0</v>
      </c>
      <c r="B61" s="80">
        <v>46145.0</v>
      </c>
      <c r="C61" s="81"/>
      <c r="D61" s="82" t="s">
        <v>338</v>
      </c>
      <c r="E61" s="83" t="s">
        <v>284</v>
      </c>
      <c r="F61" s="20"/>
      <c r="G61" s="20"/>
      <c r="H61" s="20"/>
    </row>
    <row r="62" ht="15.75" customHeight="1">
      <c r="A62" s="13">
        <v>61.0</v>
      </c>
      <c r="B62" s="80">
        <v>46145.0</v>
      </c>
      <c r="C62" s="81"/>
      <c r="D62" s="82" t="s">
        <v>339</v>
      </c>
      <c r="E62" s="83" t="s">
        <v>284</v>
      </c>
      <c r="F62" s="20"/>
      <c r="G62" s="20"/>
      <c r="H62" s="20"/>
    </row>
    <row r="63" ht="15.75" customHeight="1">
      <c r="A63" s="13">
        <v>62.0</v>
      </c>
      <c r="B63" s="80">
        <v>46145.0</v>
      </c>
      <c r="C63" s="81"/>
      <c r="D63" s="82" t="s">
        <v>340</v>
      </c>
      <c r="E63" s="83" t="s">
        <v>284</v>
      </c>
      <c r="F63" s="20"/>
      <c r="G63" s="20"/>
      <c r="H63" s="20"/>
    </row>
    <row r="64" ht="15.75" customHeight="1">
      <c r="A64" s="13">
        <v>63.0</v>
      </c>
      <c r="B64" s="80">
        <v>46145.0</v>
      </c>
      <c r="C64" s="81"/>
      <c r="D64" s="82" t="s">
        <v>341</v>
      </c>
      <c r="E64" s="83" t="s">
        <v>284</v>
      </c>
      <c r="F64" s="20"/>
      <c r="G64" s="20"/>
      <c r="H64" s="20"/>
    </row>
    <row r="65" ht="15.75" customHeight="1">
      <c r="A65" s="13">
        <v>64.0</v>
      </c>
      <c r="B65" s="80">
        <v>46145.0</v>
      </c>
      <c r="C65" s="81"/>
      <c r="D65" s="82" t="s">
        <v>342</v>
      </c>
      <c r="E65" s="83" t="s">
        <v>284</v>
      </c>
      <c r="F65" s="20"/>
      <c r="G65" s="20"/>
      <c r="H65" s="20"/>
    </row>
    <row r="66" ht="15.75" customHeight="1">
      <c r="A66" s="13">
        <v>65.0</v>
      </c>
      <c r="B66" s="80">
        <v>46145.0</v>
      </c>
      <c r="C66" s="81"/>
      <c r="D66" s="82" t="s">
        <v>343</v>
      </c>
      <c r="E66" s="83" t="s">
        <v>284</v>
      </c>
      <c r="F66" s="20"/>
      <c r="G66" s="20"/>
      <c r="H66" s="20"/>
    </row>
    <row r="67" ht="15.75" customHeight="1">
      <c r="A67" s="13">
        <v>66.0</v>
      </c>
      <c r="B67" s="80">
        <v>46145.0</v>
      </c>
      <c r="C67" s="81"/>
      <c r="D67" s="82" t="s">
        <v>344</v>
      </c>
      <c r="E67" s="83" t="s">
        <v>284</v>
      </c>
      <c r="F67" s="20"/>
      <c r="G67" s="20"/>
      <c r="H67" s="20"/>
    </row>
    <row r="68" ht="15.75" customHeight="1">
      <c r="A68" s="13">
        <v>67.0</v>
      </c>
      <c r="B68" s="80">
        <v>46145.0</v>
      </c>
      <c r="C68" s="81"/>
      <c r="D68" s="82" t="s">
        <v>345</v>
      </c>
      <c r="E68" s="83" t="s">
        <v>284</v>
      </c>
      <c r="F68" s="20"/>
      <c r="G68" s="20"/>
      <c r="H68" s="20"/>
    </row>
    <row r="69" ht="15.75" customHeight="1">
      <c r="A69" s="13">
        <v>68.0</v>
      </c>
      <c r="B69" s="80">
        <v>46145.0</v>
      </c>
      <c r="C69" s="81"/>
      <c r="D69" s="82" t="s">
        <v>346</v>
      </c>
      <c r="E69" s="83" t="s">
        <v>284</v>
      </c>
      <c r="F69" s="20"/>
      <c r="G69" s="20"/>
      <c r="H69" s="20"/>
    </row>
    <row r="70" ht="15.75" customHeight="1">
      <c r="A70" s="13">
        <v>69.0</v>
      </c>
      <c r="B70" s="80">
        <v>46145.0</v>
      </c>
      <c r="C70" s="81"/>
      <c r="D70" s="82" t="s">
        <v>347</v>
      </c>
      <c r="E70" s="83" t="s">
        <v>284</v>
      </c>
      <c r="F70" s="20"/>
      <c r="G70" s="20"/>
      <c r="H70" s="20"/>
    </row>
    <row r="71" ht="15.75" customHeight="1">
      <c r="A71" s="13">
        <v>70.0</v>
      </c>
      <c r="B71" s="80">
        <v>46145.0</v>
      </c>
      <c r="C71" s="81"/>
      <c r="D71" s="82" t="s">
        <v>348</v>
      </c>
      <c r="E71" s="83" t="s">
        <v>284</v>
      </c>
      <c r="F71" s="20"/>
      <c r="G71" s="20"/>
      <c r="H71" s="20"/>
    </row>
    <row r="72" ht="15.75" customHeight="1">
      <c r="A72" s="13">
        <v>71.0</v>
      </c>
      <c r="B72" s="80">
        <v>46145.0</v>
      </c>
      <c r="C72" s="81"/>
      <c r="D72" s="82" t="s">
        <v>349</v>
      </c>
      <c r="E72" s="83" t="s">
        <v>284</v>
      </c>
      <c r="F72" s="20"/>
      <c r="G72" s="20"/>
      <c r="H72" s="20"/>
    </row>
    <row r="73" ht="15.75" customHeight="1">
      <c r="A73" s="13">
        <v>72.0</v>
      </c>
      <c r="B73" s="80">
        <v>46145.0</v>
      </c>
      <c r="C73" s="81"/>
      <c r="D73" s="82" t="s">
        <v>350</v>
      </c>
      <c r="E73" s="83" t="s">
        <v>284</v>
      </c>
      <c r="F73" s="20"/>
      <c r="G73" s="20"/>
      <c r="H73" s="20"/>
    </row>
    <row r="74" ht="15.75" customHeight="1">
      <c r="A74" s="13">
        <v>73.0</v>
      </c>
      <c r="B74" s="80">
        <v>46145.0</v>
      </c>
      <c r="C74" s="81"/>
      <c r="D74" s="82" t="s">
        <v>351</v>
      </c>
      <c r="E74" s="83" t="s">
        <v>284</v>
      </c>
      <c r="F74" s="20"/>
      <c r="G74" s="20"/>
      <c r="H74" s="20"/>
    </row>
    <row r="75" ht="15.75" customHeight="1">
      <c r="A75" s="13">
        <v>74.0</v>
      </c>
      <c r="B75" s="80">
        <v>46145.0</v>
      </c>
      <c r="C75" s="81"/>
      <c r="D75" s="82" t="s">
        <v>352</v>
      </c>
      <c r="E75" s="83" t="s">
        <v>284</v>
      </c>
      <c r="F75" s="20"/>
      <c r="G75" s="20"/>
      <c r="H75" s="20"/>
    </row>
    <row r="76" ht="15.75" customHeight="1">
      <c r="A76" s="13">
        <v>75.0</v>
      </c>
      <c r="B76" s="80">
        <v>46145.0</v>
      </c>
      <c r="C76" s="81"/>
      <c r="D76" s="82" t="s">
        <v>353</v>
      </c>
      <c r="E76" s="83" t="s">
        <v>284</v>
      </c>
      <c r="F76" s="20"/>
      <c r="G76" s="20"/>
      <c r="H76" s="20"/>
    </row>
    <row r="77" ht="15.75" customHeight="1">
      <c r="A77" s="13">
        <v>76.0</v>
      </c>
      <c r="B77" s="80">
        <v>46145.0</v>
      </c>
      <c r="C77" s="81"/>
      <c r="D77" s="82" t="s">
        <v>354</v>
      </c>
      <c r="E77" s="83" t="s">
        <v>284</v>
      </c>
      <c r="F77" s="20"/>
      <c r="G77" s="20"/>
      <c r="H77" s="20"/>
    </row>
    <row r="78" ht="15.75" customHeight="1">
      <c r="A78" s="13">
        <v>77.0</v>
      </c>
      <c r="B78" s="80">
        <v>46145.0</v>
      </c>
      <c r="C78" s="81"/>
      <c r="D78" s="82" t="s">
        <v>355</v>
      </c>
      <c r="E78" s="83" t="s">
        <v>284</v>
      </c>
      <c r="F78" s="20"/>
      <c r="G78" s="20"/>
      <c r="H78" s="20"/>
    </row>
    <row r="79" ht="15.75" customHeight="1">
      <c r="A79" s="13">
        <v>78.0</v>
      </c>
      <c r="B79" s="80">
        <v>46145.0</v>
      </c>
      <c r="C79" s="81"/>
      <c r="D79" s="82" t="s">
        <v>356</v>
      </c>
      <c r="E79" s="83" t="s">
        <v>284</v>
      </c>
      <c r="F79" s="20"/>
      <c r="G79" s="20"/>
      <c r="H79" s="20"/>
    </row>
    <row r="80" ht="15.75" customHeight="1">
      <c r="A80" s="13">
        <v>79.0</v>
      </c>
      <c r="B80" s="80">
        <v>46145.0</v>
      </c>
      <c r="C80" s="81"/>
      <c r="D80" s="82" t="s">
        <v>357</v>
      </c>
      <c r="E80" s="83" t="s">
        <v>284</v>
      </c>
      <c r="F80" s="20"/>
      <c r="G80" s="20"/>
      <c r="H80" s="20"/>
    </row>
    <row r="81" ht="15.75" customHeight="1">
      <c r="A81" s="13">
        <v>80.0</v>
      </c>
      <c r="B81" s="80">
        <v>46145.0</v>
      </c>
      <c r="C81" s="81"/>
      <c r="D81" s="82" t="s">
        <v>358</v>
      </c>
      <c r="E81" s="83" t="s">
        <v>284</v>
      </c>
      <c r="F81" s="20"/>
      <c r="G81" s="20"/>
      <c r="H81" s="20"/>
    </row>
    <row r="82" ht="15.75" customHeight="1">
      <c r="A82" s="13">
        <v>81.0</v>
      </c>
      <c r="B82" s="80">
        <v>46145.0</v>
      </c>
      <c r="C82" s="81"/>
      <c r="D82" s="82" t="s">
        <v>359</v>
      </c>
      <c r="E82" s="83" t="s">
        <v>284</v>
      </c>
      <c r="F82" s="20"/>
      <c r="G82" s="20"/>
      <c r="H82" s="20"/>
    </row>
    <row r="83" ht="15.75" customHeight="1">
      <c r="A83" s="13">
        <v>82.0</v>
      </c>
      <c r="B83" s="80">
        <v>46145.0</v>
      </c>
      <c r="C83" s="81"/>
      <c r="D83" s="82" t="s">
        <v>360</v>
      </c>
      <c r="E83" s="83" t="s">
        <v>284</v>
      </c>
      <c r="F83" s="20"/>
      <c r="G83" s="20"/>
      <c r="H83" s="20"/>
    </row>
    <row r="84" ht="15.75" customHeight="1">
      <c r="A84" s="13">
        <v>83.0</v>
      </c>
      <c r="B84" s="80">
        <v>46145.0</v>
      </c>
      <c r="C84" s="81"/>
      <c r="D84" s="82" t="s">
        <v>361</v>
      </c>
      <c r="E84" s="83" t="s">
        <v>284</v>
      </c>
      <c r="F84" s="20"/>
      <c r="G84" s="20"/>
      <c r="H84" s="20"/>
    </row>
    <row r="85" ht="15.75" customHeight="1">
      <c r="A85" s="13">
        <v>84.0</v>
      </c>
      <c r="B85" s="80">
        <v>46145.0</v>
      </c>
      <c r="C85" s="81"/>
      <c r="D85" s="82" t="s">
        <v>362</v>
      </c>
      <c r="E85" s="83" t="s">
        <v>284</v>
      </c>
      <c r="F85" s="20"/>
      <c r="G85" s="20"/>
      <c r="H85" s="20"/>
    </row>
    <row r="86" ht="15.75" customHeight="1">
      <c r="A86" s="13">
        <v>85.0</v>
      </c>
      <c r="B86" s="80">
        <v>46145.0</v>
      </c>
      <c r="C86" s="81"/>
      <c r="D86" s="82" t="s">
        <v>363</v>
      </c>
      <c r="E86" s="83" t="s">
        <v>284</v>
      </c>
      <c r="F86" s="20"/>
      <c r="G86" s="20"/>
      <c r="H86" s="20"/>
    </row>
    <row r="87" ht="15.75" customHeight="1">
      <c r="A87" s="13">
        <v>86.0</v>
      </c>
      <c r="B87" s="80">
        <v>46145.0</v>
      </c>
      <c r="C87" s="81"/>
      <c r="D87" s="82" t="s">
        <v>364</v>
      </c>
      <c r="E87" s="83" t="s">
        <v>284</v>
      </c>
      <c r="F87" s="20"/>
      <c r="G87" s="20"/>
      <c r="H87" s="20"/>
    </row>
    <row r="88" ht="15.75" customHeight="1">
      <c r="A88" s="13">
        <v>87.0</v>
      </c>
      <c r="B88" s="80">
        <v>46145.0</v>
      </c>
      <c r="C88" s="81"/>
      <c r="D88" s="82" t="s">
        <v>365</v>
      </c>
      <c r="E88" s="83" t="s">
        <v>284</v>
      </c>
      <c r="F88" s="20"/>
      <c r="G88" s="20"/>
      <c r="H88" s="20"/>
    </row>
    <row r="89" ht="15.75" customHeight="1">
      <c r="A89" s="13">
        <v>88.0</v>
      </c>
      <c r="B89" s="80">
        <v>46145.0</v>
      </c>
      <c r="C89" s="81"/>
      <c r="D89" s="82" t="s">
        <v>366</v>
      </c>
      <c r="E89" s="83" t="s">
        <v>284</v>
      </c>
      <c r="F89" s="20"/>
      <c r="G89" s="20"/>
      <c r="H89" s="20"/>
    </row>
    <row r="90" ht="15.75" customHeight="1">
      <c r="A90" s="13">
        <v>89.0</v>
      </c>
      <c r="B90" s="80">
        <v>46145.0</v>
      </c>
      <c r="C90" s="81"/>
      <c r="D90" s="82" t="s">
        <v>367</v>
      </c>
      <c r="E90" s="83" t="s">
        <v>284</v>
      </c>
      <c r="F90" s="20"/>
      <c r="G90" s="20"/>
      <c r="H90" s="20"/>
    </row>
    <row r="91" ht="15.75" customHeight="1">
      <c r="A91" s="13">
        <v>90.0</v>
      </c>
      <c r="B91" s="80">
        <v>46145.0</v>
      </c>
      <c r="C91" s="81"/>
      <c r="D91" s="82" t="s">
        <v>368</v>
      </c>
      <c r="E91" s="83" t="s">
        <v>284</v>
      </c>
      <c r="F91" s="20"/>
      <c r="G91" s="20"/>
      <c r="H91" s="20"/>
    </row>
    <row r="92" ht="15.75" customHeight="1">
      <c r="A92" s="13">
        <v>91.0</v>
      </c>
      <c r="B92" s="80">
        <v>46145.0</v>
      </c>
      <c r="C92" s="81"/>
      <c r="D92" s="82" t="s">
        <v>369</v>
      </c>
      <c r="E92" s="83" t="s">
        <v>284</v>
      </c>
      <c r="F92" s="20"/>
      <c r="G92" s="20"/>
      <c r="H92" s="20"/>
    </row>
    <row r="93" ht="15.75" customHeight="1">
      <c r="A93" s="13">
        <v>92.0</v>
      </c>
      <c r="B93" s="80">
        <v>46145.0</v>
      </c>
      <c r="C93" s="81"/>
      <c r="D93" s="82" t="s">
        <v>370</v>
      </c>
      <c r="E93" s="83" t="s">
        <v>284</v>
      </c>
      <c r="F93" s="20"/>
      <c r="G93" s="20"/>
      <c r="H93" s="20"/>
    </row>
    <row r="94" ht="15.75" customHeight="1">
      <c r="A94" s="13">
        <v>93.0</v>
      </c>
      <c r="B94" s="80">
        <v>46145.0</v>
      </c>
      <c r="C94" s="81"/>
      <c r="D94" s="82" t="s">
        <v>371</v>
      </c>
      <c r="E94" s="83" t="s">
        <v>284</v>
      </c>
      <c r="F94" s="20"/>
      <c r="G94" s="20"/>
      <c r="H94" s="20"/>
    </row>
    <row r="95" ht="15.75" customHeight="1">
      <c r="A95" s="13">
        <v>94.0</v>
      </c>
      <c r="B95" s="80">
        <v>46145.0</v>
      </c>
      <c r="C95" s="81"/>
      <c r="D95" s="82" t="s">
        <v>372</v>
      </c>
      <c r="E95" s="83" t="s">
        <v>284</v>
      </c>
      <c r="F95" s="20"/>
      <c r="G95" s="20"/>
      <c r="H95" s="20"/>
    </row>
    <row r="96" ht="15.75" customHeight="1">
      <c r="A96" s="13">
        <v>95.0</v>
      </c>
      <c r="B96" s="80">
        <v>46145.0</v>
      </c>
      <c r="C96" s="81"/>
      <c r="D96" s="82" t="s">
        <v>373</v>
      </c>
      <c r="E96" s="83" t="s">
        <v>284</v>
      </c>
      <c r="F96" s="20"/>
      <c r="G96" s="20"/>
      <c r="H96" s="20"/>
    </row>
    <row r="97" ht="15.75" customHeight="1">
      <c r="A97" s="13">
        <v>96.0</v>
      </c>
      <c r="B97" s="80">
        <v>46145.0</v>
      </c>
      <c r="C97" s="81"/>
      <c r="D97" s="82" t="s">
        <v>374</v>
      </c>
      <c r="E97" s="83" t="s">
        <v>284</v>
      </c>
      <c r="F97" s="20"/>
      <c r="G97" s="20"/>
      <c r="H97" s="20"/>
    </row>
    <row r="98" ht="15.75" customHeight="1">
      <c r="A98" s="13">
        <v>97.0</v>
      </c>
      <c r="B98" s="80">
        <v>46145.0</v>
      </c>
      <c r="C98" s="81"/>
      <c r="D98" s="82" t="s">
        <v>375</v>
      </c>
      <c r="E98" s="83" t="s">
        <v>284</v>
      </c>
      <c r="F98" s="20"/>
      <c r="G98" s="20"/>
      <c r="H98" s="20"/>
    </row>
    <row r="99" ht="15.75" customHeight="1">
      <c r="A99" s="13">
        <v>98.0</v>
      </c>
      <c r="B99" s="80">
        <v>46145.0</v>
      </c>
      <c r="C99" s="81"/>
      <c r="D99" s="82" t="s">
        <v>376</v>
      </c>
      <c r="E99" s="83" t="s">
        <v>284</v>
      </c>
      <c r="F99" s="20"/>
      <c r="G99" s="20"/>
      <c r="H99" s="20"/>
    </row>
    <row r="100" ht="15.75" customHeight="1">
      <c r="A100" s="13">
        <v>99.0</v>
      </c>
      <c r="B100" s="80">
        <v>46145.0</v>
      </c>
      <c r="C100" s="81"/>
      <c r="D100" s="82" t="s">
        <v>377</v>
      </c>
      <c r="E100" s="83" t="s">
        <v>284</v>
      </c>
      <c r="F100" s="20"/>
      <c r="G100" s="20"/>
      <c r="H100" s="20"/>
    </row>
    <row r="101" ht="15.75" customHeight="1">
      <c r="A101" s="13">
        <v>100.0</v>
      </c>
      <c r="B101" s="80">
        <v>46145.0</v>
      </c>
      <c r="C101" s="81"/>
      <c r="D101" s="82" t="s">
        <v>378</v>
      </c>
      <c r="E101" s="83" t="s">
        <v>284</v>
      </c>
      <c r="F101" s="20"/>
      <c r="G101" s="20"/>
      <c r="H101" s="20"/>
    </row>
    <row r="102" ht="15.75" customHeight="1">
      <c r="A102" s="13">
        <v>101.0</v>
      </c>
      <c r="B102" s="80">
        <v>46145.0</v>
      </c>
      <c r="C102" s="81"/>
      <c r="D102" s="82" t="s">
        <v>379</v>
      </c>
      <c r="E102" s="83" t="s">
        <v>284</v>
      </c>
      <c r="F102" s="20"/>
      <c r="G102" s="20"/>
      <c r="H102" s="20"/>
    </row>
    <row r="103" ht="15.75" customHeight="1">
      <c r="A103" s="13">
        <v>102.0</v>
      </c>
      <c r="B103" s="80">
        <v>46145.0</v>
      </c>
      <c r="C103" s="81"/>
      <c r="D103" s="82" t="s">
        <v>380</v>
      </c>
      <c r="E103" s="83" t="s">
        <v>284</v>
      </c>
      <c r="F103" s="20"/>
      <c r="G103" s="20"/>
      <c r="H103" s="20"/>
    </row>
    <row r="104" ht="15.75" customHeight="1">
      <c r="A104" s="13">
        <v>103.0</v>
      </c>
      <c r="B104" s="80">
        <v>46145.0</v>
      </c>
      <c r="C104" s="81"/>
      <c r="D104" s="82" t="s">
        <v>381</v>
      </c>
      <c r="E104" s="83" t="s">
        <v>284</v>
      </c>
      <c r="F104" s="20"/>
      <c r="G104" s="20"/>
      <c r="H104" s="20"/>
    </row>
    <row r="105" ht="15.75" customHeight="1">
      <c r="A105" s="13">
        <v>104.0</v>
      </c>
      <c r="B105" s="80">
        <v>46145.0</v>
      </c>
      <c r="C105" s="81"/>
      <c r="D105" s="82" t="s">
        <v>382</v>
      </c>
      <c r="E105" s="83" t="s">
        <v>284</v>
      </c>
      <c r="F105" s="20"/>
      <c r="G105" s="20"/>
      <c r="H105" s="20"/>
    </row>
    <row r="106" ht="15.75" customHeight="1">
      <c r="A106" s="13">
        <v>105.0</v>
      </c>
      <c r="B106" s="80">
        <v>46145.0</v>
      </c>
      <c r="C106" s="81"/>
      <c r="D106" s="82" t="s">
        <v>383</v>
      </c>
      <c r="E106" s="83" t="s">
        <v>284</v>
      </c>
      <c r="F106" s="20"/>
      <c r="G106" s="20"/>
      <c r="H106" s="20"/>
    </row>
    <row r="107" ht="15.75" customHeight="1">
      <c r="A107" s="13">
        <v>106.0</v>
      </c>
      <c r="B107" s="80">
        <v>46145.0</v>
      </c>
      <c r="C107" s="81"/>
      <c r="D107" s="82" t="s">
        <v>384</v>
      </c>
      <c r="E107" s="83" t="s">
        <v>284</v>
      </c>
      <c r="F107" s="20"/>
      <c r="G107" s="20"/>
      <c r="H107" s="20"/>
    </row>
    <row r="108" ht="15.75" customHeight="1">
      <c r="A108" s="13">
        <v>107.0</v>
      </c>
      <c r="B108" s="80">
        <v>46145.0</v>
      </c>
      <c r="C108" s="81"/>
      <c r="D108" s="82" t="s">
        <v>385</v>
      </c>
      <c r="E108" s="83" t="s">
        <v>284</v>
      </c>
      <c r="F108" s="20"/>
      <c r="G108" s="20"/>
      <c r="H108" s="20"/>
    </row>
    <row r="109" ht="15.75" customHeight="1">
      <c r="A109" s="13">
        <v>108.0</v>
      </c>
      <c r="B109" s="80">
        <v>46145.0</v>
      </c>
      <c r="C109" s="81"/>
      <c r="D109" s="82" t="s">
        <v>386</v>
      </c>
      <c r="E109" s="83" t="s">
        <v>284</v>
      </c>
      <c r="F109" s="20"/>
      <c r="G109" s="20"/>
      <c r="H109" s="20"/>
    </row>
    <row r="110" ht="15.75" customHeight="1">
      <c r="A110" s="13">
        <v>109.0</v>
      </c>
      <c r="B110" s="80">
        <v>46145.0</v>
      </c>
      <c r="C110" s="81"/>
      <c r="D110" s="82" t="s">
        <v>387</v>
      </c>
      <c r="E110" s="83" t="s">
        <v>284</v>
      </c>
      <c r="F110" s="20"/>
      <c r="G110" s="20"/>
      <c r="H110" s="20"/>
    </row>
    <row r="111" ht="15.75" customHeight="1">
      <c r="A111" s="13">
        <v>110.0</v>
      </c>
      <c r="B111" s="80">
        <v>46145.0</v>
      </c>
      <c r="C111" s="81"/>
      <c r="D111" s="82" t="s">
        <v>388</v>
      </c>
      <c r="E111" s="83" t="s">
        <v>284</v>
      </c>
      <c r="F111" s="20"/>
      <c r="G111" s="20"/>
      <c r="H111" s="20"/>
    </row>
    <row r="112" ht="15.75" customHeight="1">
      <c r="A112" s="13">
        <v>111.0</v>
      </c>
      <c r="B112" s="80">
        <v>46145.0</v>
      </c>
      <c r="C112" s="81"/>
      <c r="D112" s="82" t="s">
        <v>389</v>
      </c>
      <c r="E112" s="83" t="s">
        <v>284</v>
      </c>
      <c r="F112" s="20"/>
      <c r="G112" s="20"/>
      <c r="H112" s="20"/>
    </row>
    <row r="113" ht="15.75" customHeight="1">
      <c r="A113" s="13">
        <v>112.0</v>
      </c>
      <c r="B113" s="80">
        <v>46145.0</v>
      </c>
      <c r="C113" s="81"/>
      <c r="D113" s="82" t="s">
        <v>390</v>
      </c>
      <c r="E113" s="83" t="s">
        <v>284</v>
      </c>
      <c r="F113" s="20"/>
      <c r="G113" s="20"/>
      <c r="H113" s="20"/>
    </row>
    <row r="114" ht="15.75" customHeight="1">
      <c r="A114" s="13">
        <v>113.0</v>
      </c>
      <c r="B114" s="80">
        <v>46145.0</v>
      </c>
      <c r="C114" s="81"/>
      <c r="D114" s="82" t="s">
        <v>391</v>
      </c>
      <c r="E114" s="83" t="s">
        <v>284</v>
      </c>
      <c r="F114" s="20"/>
      <c r="G114" s="20"/>
      <c r="H114" s="20"/>
    </row>
    <row r="115" ht="15.75" customHeight="1">
      <c r="A115" s="13">
        <v>114.0</v>
      </c>
      <c r="B115" s="80">
        <v>46145.0</v>
      </c>
      <c r="C115" s="81"/>
      <c r="D115" s="82" t="s">
        <v>392</v>
      </c>
      <c r="E115" s="83" t="s">
        <v>278</v>
      </c>
      <c r="F115" s="20"/>
      <c r="G115" s="20"/>
      <c r="H115" s="20"/>
    </row>
    <row r="116" ht="15.75" customHeight="1">
      <c r="A116" s="13">
        <v>115.0</v>
      </c>
      <c r="B116" s="80">
        <v>46145.0</v>
      </c>
      <c r="C116" s="81"/>
      <c r="D116" s="82" t="s">
        <v>393</v>
      </c>
      <c r="E116" s="83" t="s">
        <v>278</v>
      </c>
      <c r="F116" s="20"/>
      <c r="G116" s="20"/>
      <c r="H116" s="20"/>
    </row>
    <row r="117" ht="15.75" customHeight="1">
      <c r="A117" s="13">
        <v>116.0</v>
      </c>
      <c r="B117" s="80">
        <v>46145.0</v>
      </c>
      <c r="C117" s="84"/>
      <c r="D117" s="82" t="s">
        <v>394</v>
      </c>
      <c r="E117" s="85" t="s">
        <v>284</v>
      </c>
      <c r="F117" s="20"/>
      <c r="G117" s="20"/>
      <c r="H117" s="20"/>
    </row>
    <row r="118" ht="15.75" customHeight="1">
      <c r="A118" s="13">
        <v>117.0</v>
      </c>
      <c r="B118" s="80">
        <v>46145.0</v>
      </c>
      <c r="C118" s="84"/>
      <c r="D118" s="82" t="s">
        <v>395</v>
      </c>
      <c r="E118" s="85" t="s">
        <v>284</v>
      </c>
      <c r="F118" s="20"/>
      <c r="G118" s="20"/>
      <c r="H118" s="20"/>
    </row>
    <row r="119" ht="15.75" customHeight="1">
      <c r="A119" s="13">
        <v>118.0</v>
      </c>
      <c r="B119" s="80">
        <v>46145.0</v>
      </c>
      <c r="C119" s="84"/>
      <c r="D119" s="82" t="s">
        <v>396</v>
      </c>
      <c r="E119" s="85" t="s">
        <v>284</v>
      </c>
      <c r="F119" s="20"/>
      <c r="G119" s="20"/>
      <c r="H119" s="20"/>
    </row>
    <row r="120" ht="15.75" customHeight="1">
      <c r="A120" s="13">
        <v>119.0</v>
      </c>
      <c r="B120" s="80">
        <v>46145.0</v>
      </c>
      <c r="C120" s="84"/>
      <c r="D120" s="82" t="s">
        <v>397</v>
      </c>
      <c r="E120" s="85" t="s">
        <v>284</v>
      </c>
      <c r="F120" s="20"/>
      <c r="G120" s="20"/>
      <c r="H120" s="20"/>
    </row>
    <row r="121" ht="15.75" customHeight="1">
      <c r="A121" s="13">
        <v>120.0</v>
      </c>
      <c r="B121" s="80">
        <v>46145.0</v>
      </c>
      <c r="C121" s="84"/>
      <c r="D121" s="82" t="s">
        <v>398</v>
      </c>
      <c r="E121" s="85" t="s">
        <v>284</v>
      </c>
      <c r="F121" s="20"/>
      <c r="G121" s="20"/>
      <c r="H121" s="20"/>
    </row>
    <row r="122" ht="15.75" customHeight="1">
      <c r="A122" s="13">
        <v>121.0</v>
      </c>
      <c r="B122" s="80">
        <v>46145.0</v>
      </c>
      <c r="C122" s="84"/>
      <c r="D122" s="82" t="s">
        <v>399</v>
      </c>
      <c r="E122" s="85" t="s">
        <v>284</v>
      </c>
      <c r="F122" s="20"/>
      <c r="G122" s="20"/>
      <c r="H122" s="20"/>
    </row>
    <row r="123" ht="15.75" customHeight="1">
      <c r="A123" s="13">
        <v>122.0</v>
      </c>
      <c r="B123" s="80">
        <v>46145.0</v>
      </c>
      <c r="C123" s="84"/>
      <c r="D123" s="82" t="s">
        <v>400</v>
      </c>
      <c r="E123" s="85" t="s">
        <v>284</v>
      </c>
      <c r="F123" s="20"/>
      <c r="G123" s="20"/>
      <c r="H123" s="20"/>
    </row>
    <row r="124" ht="15.75" customHeight="1">
      <c r="A124" s="13">
        <v>123.0</v>
      </c>
      <c r="B124" s="80">
        <v>46145.0</v>
      </c>
      <c r="C124" s="84"/>
      <c r="D124" s="82" t="s">
        <v>401</v>
      </c>
      <c r="E124" s="85" t="s">
        <v>284</v>
      </c>
      <c r="F124" s="20"/>
      <c r="G124" s="20"/>
      <c r="H124" s="20"/>
    </row>
    <row r="125" ht="15.75" customHeight="1">
      <c r="A125" s="13">
        <v>124.0</v>
      </c>
      <c r="B125" s="80">
        <v>46145.0</v>
      </c>
      <c r="C125" s="84"/>
      <c r="D125" s="82" t="s">
        <v>402</v>
      </c>
      <c r="E125" s="85" t="s">
        <v>284</v>
      </c>
      <c r="F125" s="20"/>
      <c r="G125" s="20"/>
      <c r="H125" s="20"/>
    </row>
    <row r="126" ht="15.75" customHeight="1">
      <c r="A126" s="13">
        <v>125.0</v>
      </c>
      <c r="B126" s="80">
        <v>46145.0</v>
      </c>
      <c r="C126" s="84"/>
      <c r="D126" s="82" t="s">
        <v>403</v>
      </c>
      <c r="E126" s="85" t="s">
        <v>284</v>
      </c>
      <c r="F126" s="20"/>
      <c r="G126" s="20"/>
      <c r="H126" s="20"/>
    </row>
    <row r="127" ht="15.75" customHeight="1">
      <c r="A127" s="13">
        <v>126.0</v>
      </c>
      <c r="B127" s="80">
        <v>46145.0</v>
      </c>
      <c r="C127" s="84"/>
      <c r="D127" s="82" t="s">
        <v>404</v>
      </c>
      <c r="E127" s="85" t="s">
        <v>284</v>
      </c>
      <c r="F127" s="20"/>
      <c r="G127" s="20"/>
      <c r="H127" s="20"/>
    </row>
    <row r="128" ht="15.75" customHeight="1">
      <c r="A128" s="13">
        <v>127.0</v>
      </c>
      <c r="B128" s="80">
        <v>46145.0</v>
      </c>
      <c r="C128" s="84"/>
      <c r="D128" s="82" t="s">
        <v>405</v>
      </c>
      <c r="E128" s="85" t="s">
        <v>284</v>
      </c>
      <c r="F128" s="20"/>
      <c r="G128" s="20"/>
      <c r="H128" s="20"/>
    </row>
    <row r="129" ht="15.75" customHeight="1">
      <c r="A129" s="13">
        <v>128.0</v>
      </c>
      <c r="B129" s="80">
        <v>46145.0</v>
      </c>
      <c r="C129" s="84"/>
      <c r="D129" s="82" t="s">
        <v>406</v>
      </c>
      <c r="E129" s="85" t="s">
        <v>284</v>
      </c>
      <c r="F129" s="20"/>
      <c r="G129" s="20"/>
      <c r="H129" s="20"/>
    </row>
    <row r="130" ht="15.75" customHeight="1">
      <c r="A130" s="13">
        <v>129.0</v>
      </c>
      <c r="B130" s="80">
        <v>46145.0</v>
      </c>
      <c r="C130" s="84"/>
      <c r="D130" s="82" t="s">
        <v>407</v>
      </c>
      <c r="E130" s="85" t="s">
        <v>284</v>
      </c>
      <c r="F130" s="20"/>
      <c r="G130" s="20"/>
      <c r="H130" s="20"/>
    </row>
    <row r="131" ht="15.75" customHeight="1">
      <c r="A131" s="13">
        <v>130.0</v>
      </c>
      <c r="B131" s="80">
        <v>46145.0</v>
      </c>
      <c r="C131" s="84"/>
      <c r="D131" s="82" t="s">
        <v>408</v>
      </c>
      <c r="E131" s="85" t="s">
        <v>284</v>
      </c>
      <c r="F131" s="20"/>
      <c r="G131" s="20"/>
      <c r="H131" s="20"/>
    </row>
    <row r="132" ht="15.75" customHeight="1">
      <c r="A132" s="13">
        <v>131.0</v>
      </c>
      <c r="B132" s="80">
        <v>46145.0</v>
      </c>
      <c r="C132" s="84"/>
      <c r="D132" s="82" t="s">
        <v>409</v>
      </c>
      <c r="E132" s="85" t="s">
        <v>284</v>
      </c>
      <c r="F132" s="20"/>
      <c r="G132" s="20"/>
      <c r="H132" s="20"/>
    </row>
    <row r="133" ht="15.75" customHeight="1">
      <c r="A133" s="13"/>
      <c r="B133" s="86"/>
      <c r="C133" s="81"/>
      <c r="D133" s="87" t="s">
        <v>410</v>
      </c>
      <c r="E133" s="83"/>
      <c r="F133" s="20"/>
      <c r="G133" s="20"/>
      <c r="H133" s="20"/>
    </row>
    <row r="134" ht="15.75" customHeight="1">
      <c r="A134" s="13">
        <v>132.0</v>
      </c>
      <c r="B134" s="80">
        <v>46145.0</v>
      </c>
      <c r="C134" s="81"/>
      <c r="D134" s="82" t="s">
        <v>411</v>
      </c>
      <c r="E134" s="83" t="s">
        <v>278</v>
      </c>
      <c r="F134" s="20"/>
      <c r="G134" s="20"/>
      <c r="H134" s="20"/>
    </row>
    <row r="135" ht="15.75" customHeight="1">
      <c r="A135" s="13">
        <v>133.0</v>
      </c>
      <c r="B135" s="80">
        <v>46145.0</v>
      </c>
      <c r="C135" s="84"/>
      <c r="D135" s="82" t="s">
        <v>412</v>
      </c>
      <c r="E135" s="85" t="s">
        <v>284</v>
      </c>
      <c r="F135" s="20"/>
      <c r="G135" s="20"/>
      <c r="H135" s="20"/>
    </row>
    <row r="136" ht="15.75" customHeight="1">
      <c r="A136" s="13">
        <v>134.0</v>
      </c>
      <c r="B136" s="80">
        <v>46145.0</v>
      </c>
      <c r="C136" s="84"/>
      <c r="D136" s="82" t="s">
        <v>413</v>
      </c>
      <c r="E136" s="85" t="s">
        <v>284</v>
      </c>
      <c r="F136" s="20"/>
      <c r="G136" s="20"/>
      <c r="H136" s="20"/>
    </row>
    <row r="137" ht="15.75" customHeight="1">
      <c r="A137" s="13">
        <v>135.0</v>
      </c>
      <c r="B137" s="80">
        <v>46145.0</v>
      </c>
      <c r="C137" s="84"/>
      <c r="D137" s="82" t="s">
        <v>414</v>
      </c>
      <c r="E137" s="85" t="s">
        <v>284</v>
      </c>
      <c r="F137" s="20"/>
      <c r="G137" s="20"/>
      <c r="H137" s="20"/>
    </row>
    <row r="138" ht="15.75" customHeight="1">
      <c r="A138" s="13">
        <v>136.0</v>
      </c>
      <c r="B138" s="80">
        <v>46145.0</v>
      </c>
      <c r="C138" s="84"/>
      <c r="D138" s="82" t="s">
        <v>415</v>
      </c>
      <c r="E138" s="85" t="s">
        <v>284</v>
      </c>
      <c r="F138" s="20"/>
      <c r="G138" s="20"/>
      <c r="H138" s="20"/>
    </row>
    <row r="139" ht="15.75" customHeight="1">
      <c r="A139" s="13">
        <v>137.0</v>
      </c>
      <c r="B139" s="80">
        <v>46145.0</v>
      </c>
      <c r="C139" s="84"/>
      <c r="D139" s="82" t="s">
        <v>416</v>
      </c>
      <c r="E139" s="85" t="s">
        <v>284</v>
      </c>
      <c r="F139" s="20"/>
      <c r="G139" s="20"/>
      <c r="H139" s="20"/>
    </row>
    <row r="140" ht="15.75" customHeight="1">
      <c r="A140" s="13">
        <v>138.0</v>
      </c>
      <c r="B140" s="80">
        <v>46145.0</v>
      </c>
      <c r="C140" s="84"/>
      <c r="D140" s="82" t="s">
        <v>417</v>
      </c>
      <c r="E140" s="85" t="s">
        <v>284</v>
      </c>
      <c r="F140" s="20"/>
      <c r="G140" s="20"/>
      <c r="H140" s="20"/>
    </row>
    <row r="141" ht="15.75" customHeight="1">
      <c r="A141" s="13">
        <v>139.0</v>
      </c>
      <c r="B141" s="80">
        <v>46145.0</v>
      </c>
      <c r="C141" s="81"/>
      <c r="D141" s="82" t="s">
        <v>418</v>
      </c>
      <c r="E141" s="83" t="s">
        <v>278</v>
      </c>
      <c r="F141" s="20"/>
      <c r="G141" s="20"/>
      <c r="H141" s="20"/>
    </row>
    <row r="142" ht="15.75" customHeight="1">
      <c r="A142" s="13">
        <v>140.0</v>
      </c>
      <c r="B142" s="80">
        <v>46145.0</v>
      </c>
      <c r="C142" s="84"/>
      <c r="D142" s="82" t="s">
        <v>419</v>
      </c>
      <c r="E142" s="85" t="s">
        <v>284</v>
      </c>
      <c r="F142" s="20"/>
      <c r="G142" s="20"/>
      <c r="H142" s="20"/>
    </row>
    <row r="143" ht="15.75" customHeight="1">
      <c r="A143" s="13">
        <v>141.0</v>
      </c>
      <c r="B143" s="80">
        <v>46145.0</v>
      </c>
      <c r="C143" s="84"/>
      <c r="D143" s="82" t="s">
        <v>195</v>
      </c>
      <c r="E143" s="85" t="s">
        <v>284</v>
      </c>
      <c r="F143" s="20"/>
      <c r="G143" s="20"/>
      <c r="H143" s="20"/>
    </row>
    <row r="144" ht="15.75" customHeight="1">
      <c r="A144" s="13">
        <v>142.0</v>
      </c>
      <c r="B144" s="80">
        <v>46145.0</v>
      </c>
      <c r="C144" s="84"/>
      <c r="D144" s="82" t="s">
        <v>420</v>
      </c>
      <c r="E144" s="85" t="s">
        <v>284</v>
      </c>
      <c r="F144" s="20"/>
      <c r="G144" s="20"/>
      <c r="H144" s="20"/>
    </row>
    <row r="145" ht="15.75" customHeight="1">
      <c r="A145" s="13">
        <v>143.0</v>
      </c>
      <c r="B145" s="80">
        <v>46145.0</v>
      </c>
      <c r="C145" s="84"/>
      <c r="D145" s="82" t="s">
        <v>421</v>
      </c>
      <c r="E145" s="85" t="s">
        <v>284</v>
      </c>
      <c r="F145" s="20"/>
      <c r="G145" s="20"/>
      <c r="H145" s="20"/>
    </row>
    <row r="146" ht="15.75" customHeight="1">
      <c r="A146" s="13">
        <v>144.0</v>
      </c>
      <c r="B146" s="80">
        <v>46145.0</v>
      </c>
      <c r="C146" s="84"/>
      <c r="D146" s="82" t="s">
        <v>422</v>
      </c>
      <c r="E146" s="85" t="s">
        <v>284</v>
      </c>
      <c r="F146" s="20"/>
      <c r="G146" s="20"/>
      <c r="H146" s="20"/>
    </row>
    <row r="147" ht="15.75" customHeight="1">
      <c r="A147" s="13">
        <v>145.0</v>
      </c>
      <c r="B147" s="80">
        <v>46145.0</v>
      </c>
      <c r="C147" s="84"/>
      <c r="D147" s="82" t="s">
        <v>207</v>
      </c>
      <c r="E147" s="85" t="s">
        <v>284</v>
      </c>
      <c r="F147" s="20"/>
      <c r="G147" s="20"/>
      <c r="H147" s="20"/>
    </row>
    <row r="148" ht="15.75" customHeight="1">
      <c r="A148" s="13">
        <v>146.0</v>
      </c>
      <c r="B148" s="80">
        <v>46145.0</v>
      </c>
      <c r="C148" s="84"/>
      <c r="D148" s="82" t="s">
        <v>423</v>
      </c>
      <c r="E148" s="85" t="s">
        <v>284</v>
      </c>
      <c r="F148" s="20"/>
      <c r="G148" s="20"/>
      <c r="H148" s="20"/>
    </row>
    <row r="149" ht="15.75" customHeight="1">
      <c r="A149" s="13">
        <v>147.0</v>
      </c>
      <c r="B149" s="80">
        <v>46145.0</v>
      </c>
      <c r="C149" s="84"/>
      <c r="D149" s="82" t="s">
        <v>424</v>
      </c>
      <c r="E149" s="85" t="s">
        <v>284</v>
      </c>
      <c r="F149" s="20"/>
      <c r="G149" s="20"/>
      <c r="H149" s="20"/>
    </row>
    <row r="150" ht="15.75" customHeight="1">
      <c r="A150" s="13"/>
      <c r="B150" s="86"/>
      <c r="C150" s="81"/>
      <c r="D150" s="87" t="s">
        <v>425</v>
      </c>
      <c r="E150" s="83"/>
      <c r="F150" s="20"/>
      <c r="G150" s="20"/>
      <c r="H150" s="20"/>
    </row>
    <row r="151" ht="15.75" customHeight="1">
      <c r="A151" s="13">
        <v>148.0</v>
      </c>
      <c r="B151" s="80">
        <v>46145.0</v>
      </c>
      <c r="C151" s="81"/>
      <c r="D151" s="82" t="s">
        <v>426</v>
      </c>
      <c r="E151" s="83" t="s">
        <v>278</v>
      </c>
      <c r="F151" s="20"/>
      <c r="G151" s="20"/>
      <c r="H151" s="20"/>
    </row>
    <row r="152" ht="15.75" customHeight="1">
      <c r="A152" s="13">
        <v>149.0</v>
      </c>
      <c r="B152" s="80">
        <v>46145.0</v>
      </c>
      <c r="C152" s="81"/>
      <c r="D152" s="82" t="s">
        <v>427</v>
      </c>
      <c r="E152" s="83" t="s">
        <v>284</v>
      </c>
      <c r="F152" s="20"/>
      <c r="G152" s="20"/>
      <c r="H152" s="20"/>
    </row>
    <row r="153" ht="15.75" customHeight="1">
      <c r="A153" s="13">
        <v>150.0</v>
      </c>
      <c r="B153" s="80">
        <v>46145.0</v>
      </c>
      <c r="C153" s="81"/>
      <c r="D153" s="82" t="s">
        <v>428</v>
      </c>
      <c r="E153" s="83" t="s">
        <v>284</v>
      </c>
      <c r="F153" s="20"/>
      <c r="G153" s="20"/>
      <c r="H153" s="20"/>
    </row>
    <row r="154" ht="15.75" customHeight="1">
      <c r="A154" s="13">
        <v>151.0</v>
      </c>
      <c r="B154" s="80">
        <v>46145.0</v>
      </c>
      <c r="C154" s="81"/>
      <c r="D154" s="82" t="s">
        <v>429</v>
      </c>
      <c r="E154" s="83" t="s">
        <v>284</v>
      </c>
      <c r="F154" s="20"/>
      <c r="G154" s="20"/>
      <c r="H154" s="20"/>
    </row>
    <row r="155" ht="15.75" customHeight="1">
      <c r="A155" s="13">
        <v>152.0</v>
      </c>
      <c r="B155" s="80">
        <v>46145.0</v>
      </c>
      <c r="C155" s="81"/>
      <c r="D155" s="82" t="s">
        <v>430</v>
      </c>
      <c r="E155" s="83" t="s">
        <v>284</v>
      </c>
      <c r="F155" s="20"/>
      <c r="G155" s="20"/>
      <c r="H155" s="20"/>
    </row>
    <row r="156" ht="15.75" customHeight="1">
      <c r="A156" s="13">
        <v>153.0</v>
      </c>
      <c r="B156" s="80">
        <v>46145.0</v>
      </c>
      <c r="C156" s="81"/>
      <c r="D156" s="82" t="s">
        <v>431</v>
      </c>
      <c r="E156" s="83" t="s">
        <v>284</v>
      </c>
      <c r="F156" s="20"/>
      <c r="G156" s="20"/>
      <c r="H156" s="20"/>
    </row>
    <row r="157" ht="15.75" customHeight="1">
      <c r="A157" s="13">
        <v>154.0</v>
      </c>
      <c r="B157" s="80">
        <v>46145.0</v>
      </c>
      <c r="C157" s="81"/>
      <c r="D157" s="82" t="s">
        <v>432</v>
      </c>
      <c r="E157" s="83" t="s">
        <v>284</v>
      </c>
      <c r="F157" s="20"/>
      <c r="G157" s="20"/>
      <c r="H157" s="20"/>
    </row>
    <row r="158" ht="15.75" customHeight="1">
      <c r="A158" s="13">
        <v>155.0</v>
      </c>
      <c r="B158" s="80">
        <v>46145.0</v>
      </c>
      <c r="C158" s="81"/>
      <c r="D158" s="82" t="s">
        <v>433</v>
      </c>
      <c r="E158" s="83" t="s">
        <v>284</v>
      </c>
      <c r="F158" s="20"/>
      <c r="G158" s="20"/>
      <c r="H158" s="20"/>
    </row>
    <row r="159" ht="15.75" customHeight="1">
      <c r="A159" s="13">
        <v>156.0</v>
      </c>
      <c r="B159" s="80">
        <v>46145.0</v>
      </c>
      <c r="C159" s="81"/>
      <c r="D159" s="82" t="s">
        <v>434</v>
      </c>
      <c r="E159" s="83" t="s">
        <v>278</v>
      </c>
      <c r="F159" s="20"/>
      <c r="G159" s="20"/>
      <c r="H159" s="20"/>
    </row>
    <row r="160" ht="15.75" customHeight="1">
      <c r="A160" s="13">
        <v>157.0</v>
      </c>
      <c r="B160" s="80">
        <v>46145.0</v>
      </c>
      <c r="C160" s="81"/>
      <c r="D160" s="82" t="s">
        <v>435</v>
      </c>
      <c r="E160" s="83" t="s">
        <v>278</v>
      </c>
      <c r="F160" s="20"/>
      <c r="G160" s="20"/>
      <c r="H160" s="20"/>
    </row>
    <row r="161" ht="15.75" customHeight="1">
      <c r="A161" s="13">
        <v>158.0</v>
      </c>
      <c r="B161" s="80">
        <v>46145.0</v>
      </c>
      <c r="C161" s="81"/>
      <c r="D161" s="82" t="s">
        <v>436</v>
      </c>
      <c r="E161" s="83" t="s">
        <v>284</v>
      </c>
      <c r="F161" s="20"/>
      <c r="G161" s="20"/>
      <c r="H161" s="20"/>
    </row>
    <row r="162" ht="15.75" customHeight="1">
      <c r="A162" s="13">
        <v>159.0</v>
      </c>
      <c r="B162" s="80">
        <v>46145.0</v>
      </c>
      <c r="C162" s="81"/>
      <c r="D162" s="82" t="s">
        <v>437</v>
      </c>
      <c r="E162" s="83" t="s">
        <v>284</v>
      </c>
      <c r="F162" s="20"/>
      <c r="G162" s="20"/>
      <c r="H162" s="20"/>
    </row>
    <row r="163" ht="15.75" customHeight="1">
      <c r="A163" s="13">
        <v>160.0</v>
      </c>
      <c r="B163" s="80">
        <v>46145.0</v>
      </c>
      <c r="C163" s="81"/>
      <c r="D163" s="82" t="s">
        <v>438</v>
      </c>
      <c r="E163" s="83" t="s">
        <v>284</v>
      </c>
      <c r="F163" s="20"/>
      <c r="G163" s="20"/>
      <c r="H163" s="20"/>
    </row>
    <row r="164" ht="15.75" customHeight="1">
      <c r="A164" s="13">
        <v>161.0</v>
      </c>
      <c r="B164" s="80">
        <v>46145.0</v>
      </c>
      <c r="C164" s="81"/>
      <c r="D164" s="82" t="s">
        <v>439</v>
      </c>
      <c r="E164" s="83" t="s">
        <v>284</v>
      </c>
      <c r="F164" s="20"/>
      <c r="G164" s="20"/>
      <c r="H164" s="20"/>
    </row>
    <row r="165" ht="15.75" customHeight="1">
      <c r="A165" s="13">
        <v>162.0</v>
      </c>
      <c r="B165" s="80">
        <v>46145.0</v>
      </c>
      <c r="C165" s="81"/>
      <c r="D165" s="82" t="s">
        <v>440</v>
      </c>
      <c r="E165" s="83" t="s">
        <v>284</v>
      </c>
      <c r="F165" s="20"/>
      <c r="G165" s="20"/>
      <c r="H165" s="20"/>
    </row>
    <row r="166" ht="15.75" customHeight="1">
      <c r="A166" s="13">
        <v>163.0</v>
      </c>
      <c r="B166" s="80">
        <v>46145.0</v>
      </c>
      <c r="C166" s="81"/>
      <c r="D166" s="82" t="s">
        <v>441</v>
      </c>
      <c r="E166" s="83" t="s">
        <v>284</v>
      </c>
      <c r="F166" s="20"/>
      <c r="G166" s="20"/>
      <c r="H166" s="20"/>
    </row>
    <row r="167" ht="15.75" customHeight="1">
      <c r="A167" s="13">
        <v>164.0</v>
      </c>
      <c r="B167" s="80">
        <v>46145.0</v>
      </c>
      <c r="C167" s="81"/>
      <c r="D167" s="82" t="s">
        <v>442</v>
      </c>
      <c r="E167" s="83" t="s">
        <v>278</v>
      </c>
      <c r="F167" s="20"/>
      <c r="G167" s="20"/>
      <c r="H167" s="20"/>
    </row>
    <row r="168" ht="15.75" customHeight="1">
      <c r="A168" s="13">
        <v>165.0</v>
      </c>
      <c r="B168" s="80">
        <v>46145.0</v>
      </c>
      <c r="C168" s="81"/>
      <c r="D168" s="82" t="s">
        <v>443</v>
      </c>
      <c r="E168" s="83" t="s">
        <v>284</v>
      </c>
      <c r="F168" s="20"/>
      <c r="G168" s="20"/>
      <c r="H168" s="20"/>
    </row>
    <row r="169" ht="15.75" customHeight="1">
      <c r="A169" s="13">
        <v>166.0</v>
      </c>
      <c r="B169" s="80">
        <v>46145.0</v>
      </c>
      <c r="C169" s="81"/>
      <c r="D169" s="82" t="s">
        <v>444</v>
      </c>
      <c r="E169" s="83" t="s">
        <v>284</v>
      </c>
      <c r="F169" s="20"/>
      <c r="G169" s="20"/>
      <c r="H169" s="20"/>
    </row>
    <row r="170" ht="15.75" customHeight="1">
      <c r="A170" s="13">
        <v>167.0</v>
      </c>
      <c r="B170" s="80">
        <v>46145.0</v>
      </c>
      <c r="C170" s="81"/>
      <c r="D170" s="82" t="s">
        <v>445</v>
      </c>
      <c r="E170" s="83" t="s">
        <v>284</v>
      </c>
      <c r="F170" s="20"/>
      <c r="G170" s="20"/>
      <c r="H170" s="20"/>
    </row>
    <row r="171" ht="15.75" customHeight="1">
      <c r="A171" s="13">
        <v>168.0</v>
      </c>
      <c r="B171" s="80">
        <v>46145.0</v>
      </c>
      <c r="C171" s="81"/>
      <c r="D171" s="82" t="s">
        <v>446</v>
      </c>
      <c r="E171" s="83" t="s">
        <v>284</v>
      </c>
      <c r="F171" s="20"/>
      <c r="G171" s="20"/>
      <c r="H171" s="20"/>
    </row>
    <row r="172" ht="15.75" customHeight="1">
      <c r="A172" s="13">
        <v>169.0</v>
      </c>
      <c r="B172" s="80">
        <v>46145.0</v>
      </c>
      <c r="C172" s="81"/>
      <c r="D172" s="82" t="s">
        <v>447</v>
      </c>
      <c r="E172" s="83" t="s">
        <v>278</v>
      </c>
      <c r="F172" s="20"/>
      <c r="G172" s="20"/>
      <c r="H172" s="20"/>
    </row>
    <row r="173" ht="15.75" customHeight="1">
      <c r="A173" s="13">
        <v>170.0</v>
      </c>
      <c r="B173" s="80">
        <v>46145.0</v>
      </c>
      <c r="C173" s="81"/>
      <c r="D173" s="82" t="s">
        <v>448</v>
      </c>
      <c r="E173" s="83" t="s">
        <v>278</v>
      </c>
      <c r="F173" s="20"/>
      <c r="G173" s="20"/>
      <c r="H173" s="20"/>
    </row>
    <row r="174" ht="15.75" customHeight="1">
      <c r="A174" s="13">
        <v>171.0</v>
      </c>
      <c r="B174" s="80">
        <v>46145.0</v>
      </c>
      <c r="C174" s="81"/>
      <c r="D174" s="82" t="s">
        <v>449</v>
      </c>
      <c r="E174" s="83"/>
      <c r="F174" s="20"/>
      <c r="G174" s="20"/>
      <c r="H174" s="20"/>
    </row>
    <row r="175" ht="15.75" customHeight="1">
      <c r="A175" s="13">
        <v>172.0</v>
      </c>
      <c r="B175" s="80">
        <v>46145.0</v>
      </c>
      <c r="C175" s="81"/>
      <c r="D175" s="82" t="s">
        <v>450</v>
      </c>
      <c r="E175" s="83"/>
      <c r="F175" s="20"/>
      <c r="G175" s="20"/>
      <c r="H175" s="20"/>
    </row>
    <row r="176" ht="15.75" customHeight="1">
      <c r="A176" s="13">
        <v>173.0</v>
      </c>
      <c r="B176" s="80">
        <v>46145.0</v>
      </c>
      <c r="C176" s="81"/>
      <c r="D176" s="82" t="s">
        <v>451</v>
      </c>
      <c r="E176" s="83"/>
      <c r="F176" s="20"/>
      <c r="G176" s="20"/>
      <c r="H176" s="20"/>
    </row>
    <row r="177" ht="15.75" customHeight="1">
      <c r="A177" s="13">
        <v>174.0</v>
      </c>
      <c r="B177" s="80">
        <v>46145.0</v>
      </c>
      <c r="C177" s="81"/>
      <c r="D177" s="82" t="s">
        <v>452</v>
      </c>
      <c r="E177" s="83"/>
      <c r="F177" s="20"/>
      <c r="G177" s="20"/>
      <c r="H177" s="20"/>
    </row>
    <row r="178" ht="15.75" customHeight="1">
      <c r="A178" s="13">
        <v>175.0</v>
      </c>
      <c r="B178" s="80">
        <v>46145.0</v>
      </c>
      <c r="C178" s="81"/>
      <c r="D178" s="82" t="s">
        <v>453</v>
      </c>
      <c r="E178" s="83"/>
      <c r="F178" s="20"/>
      <c r="G178" s="20"/>
      <c r="H178" s="20"/>
    </row>
    <row r="179" ht="15.75" customHeight="1">
      <c r="A179" s="13">
        <v>176.0</v>
      </c>
      <c r="B179" s="80">
        <v>46145.0</v>
      </c>
      <c r="C179" s="81"/>
      <c r="D179" s="82" t="s">
        <v>454</v>
      </c>
      <c r="E179" s="83"/>
      <c r="F179" s="20"/>
      <c r="G179" s="20"/>
      <c r="H179" s="20"/>
    </row>
    <row r="180" ht="15.75" customHeight="1">
      <c r="A180" s="13">
        <v>177.0</v>
      </c>
      <c r="B180" s="80">
        <v>46145.0</v>
      </c>
      <c r="C180" s="81"/>
      <c r="D180" s="82" t="s">
        <v>455</v>
      </c>
      <c r="E180" s="83"/>
      <c r="F180" s="20"/>
      <c r="G180" s="20"/>
      <c r="H180" s="20"/>
    </row>
    <row r="181" ht="15.75" customHeight="1">
      <c r="A181" s="13">
        <v>178.0</v>
      </c>
      <c r="B181" s="80">
        <v>46145.0</v>
      </c>
      <c r="C181" s="81"/>
      <c r="D181" s="82" t="s">
        <v>456</v>
      </c>
      <c r="E181" s="83"/>
      <c r="F181" s="20"/>
      <c r="G181" s="20"/>
      <c r="H181" s="20"/>
    </row>
    <row r="182" ht="15.75" customHeight="1">
      <c r="A182" s="13">
        <v>179.0</v>
      </c>
      <c r="B182" s="80">
        <v>46145.0</v>
      </c>
      <c r="C182" s="81"/>
      <c r="D182" s="82" t="s">
        <v>457</v>
      </c>
      <c r="E182" s="83"/>
      <c r="F182" s="20"/>
      <c r="G182" s="20"/>
      <c r="H182" s="20"/>
    </row>
    <row r="183" ht="15.75" customHeight="1">
      <c r="A183" s="13">
        <v>180.0</v>
      </c>
      <c r="B183" s="80">
        <v>46145.0</v>
      </c>
      <c r="C183" s="81"/>
      <c r="D183" s="82" t="s">
        <v>438</v>
      </c>
      <c r="E183" s="83" t="s">
        <v>278</v>
      </c>
      <c r="F183" s="20"/>
      <c r="G183" s="20"/>
      <c r="H183" s="20"/>
    </row>
    <row r="184" ht="15.75" customHeight="1">
      <c r="A184" s="88"/>
      <c r="B184" s="88"/>
      <c r="D184" s="89"/>
      <c r="E184" s="88"/>
    </row>
    <row r="185" ht="15.75" customHeight="1">
      <c r="A185" s="88"/>
      <c r="B185" s="88"/>
      <c r="D185" s="89"/>
      <c r="E185" s="88"/>
    </row>
    <row r="186" ht="15.75" customHeight="1">
      <c r="A186" s="88"/>
      <c r="B186" s="88"/>
      <c r="D186" s="89"/>
      <c r="E186" s="88"/>
    </row>
    <row r="187" ht="15.75" customHeight="1">
      <c r="A187" s="88"/>
      <c r="B187" s="88"/>
      <c r="D187" s="89"/>
      <c r="E187" s="88"/>
    </row>
    <row r="188" ht="15.75" customHeight="1">
      <c r="A188" s="88"/>
      <c r="B188" s="88"/>
      <c r="D188" s="89"/>
      <c r="E188" s="88"/>
    </row>
    <row r="189" ht="15.75" customHeight="1">
      <c r="A189" s="88"/>
      <c r="B189" s="88"/>
      <c r="D189" s="89"/>
      <c r="E189" s="88"/>
    </row>
    <row r="190" ht="15.75" customHeight="1">
      <c r="A190" s="88"/>
      <c r="B190" s="88"/>
      <c r="D190" s="89"/>
      <c r="E190" s="88"/>
    </row>
    <row r="191" ht="15.75" customHeight="1">
      <c r="A191" s="88"/>
      <c r="B191" s="88"/>
      <c r="D191" s="89"/>
      <c r="E191" s="88"/>
    </row>
    <row r="192" ht="15.75" customHeight="1">
      <c r="A192" s="88"/>
      <c r="B192" s="88"/>
      <c r="D192" s="89"/>
      <c r="E192" s="88"/>
    </row>
    <row r="193" ht="15.75" customHeight="1">
      <c r="A193" s="88"/>
      <c r="B193" s="88"/>
      <c r="D193" s="89"/>
      <c r="E193" s="88"/>
    </row>
    <row r="194" ht="15.75" customHeight="1">
      <c r="A194" s="88"/>
      <c r="B194" s="88"/>
      <c r="D194" s="89"/>
      <c r="E194" s="88"/>
    </row>
    <row r="195" ht="15.75" customHeight="1">
      <c r="A195" s="88"/>
      <c r="B195" s="88"/>
      <c r="D195" s="89"/>
      <c r="E195" s="88"/>
    </row>
    <row r="196" ht="15.75" customHeight="1">
      <c r="A196" s="88"/>
      <c r="B196" s="88"/>
      <c r="D196" s="89"/>
      <c r="E196" s="88"/>
    </row>
    <row r="197" ht="15.75" customHeight="1">
      <c r="A197" s="88"/>
      <c r="B197" s="88"/>
      <c r="D197" s="89"/>
      <c r="E197" s="88"/>
    </row>
    <row r="198" ht="15.75" customHeight="1">
      <c r="A198" s="88"/>
      <c r="B198" s="88"/>
      <c r="D198" s="89"/>
      <c r="E198" s="88"/>
    </row>
    <row r="199" ht="15.75" customHeight="1">
      <c r="A199" s="88"/>
      <c r="B199" s="88"/>
      <c r="D199" s="89"/>
      <c r="E199" s="88"/>
    </row>
    <row r="200" ht="15.75" customHeight="1">
      <c r="A200" s="88"/>
      <c r="B200" s="88"/>
      <c r="D200" s="89"/>
      <c r="E200" s="88"/>
    </row>
    <row r="201" ht="15.75" customHeight="1">
      <c r="A201" s="88"/>
      <c r="B201" s="88"/>
      <c r="D201" s="89"/>
      <c r="E201" s="88"/>
    </row>
    <row r="202" ht="15.75" customHeight="1">
      <c r="A202" s="88"/>
      <c r="B202" s="88"/>
      <c r="D202" s="89"/>
      <c r="E202" s="88"/>
    </row>
    <row r="203" ht="15.75" customHeight="1">
      <c r="A203" s="88"/>
      <c r="B203" s="88"/>
      <c r="D203" s="89"/>
      <c r="E203" s="88"/>
    </row>
    <row r="204" ht="15.75" customHeight="1">
      <c r="A204" s="88"/>
      <c r="B204" s="88"/>
      <c r="D204" s="89"/>
      <c r="E204" s="88"/>
    </row>
    <row r="205" ht="15.75" customHeight="1">
      <c r="A205" s="88"/>
      <c r="B205" s="88"/>
      <c r="D205" s="89"/>
      <c r="E205" s="88"/>
    </row>
    <row r="206" ht="15.75" customHeight="1">
      <c r="A206" s="88"/>
      <c r="B206" s="88"/>
      <c r="D206" s="89"/>
      <c r="E206" s="88"/>
    </row>
    <row r="207" ht="15.75" customHeight="1">
      <c r="A207" s="88"/>
      <c r="B207" s="88"/>
      <c r="D207" s="89"/>
      <c r="E207" s="88"/>
    </row>
    <row r="208" ht="15.75" customHeight="1">
      <c r="A208" s="88"/>
      <c r="B208" s="88"/>
      <c r="D208" s="89"/>
      <c r="E208" s="88"/>
    </row>
    <row r="209" ht="15.75" customHeight="1">
      <c r="A209" s="88"/>
      <c r="B209" s="88"/>
      <c r="D209" s="89"/>
      <c r="E209" s="88"/>
    </row>
    <row r="210" ht="15.75" customHeight="1">
      <c r="A210" s="88"/>
      <c r="B210" s="88"/>
      <c r="D210" s="89"/>
      <c r="E210" s="88"/>
    </row>
    <row r="211" ht="15.75" customHeight="1">
      <c r="A211" s="88"/>
      <c r="B211" s="88"/>
      <c r="D211" s="89"/>
      <c r="E211" s="88"/>
    </row>
    <row r="212" ht="15.75" customHeight="1">
      <c r="A212" s="88"/>
      <c r="B212" s="88"/>
      <c r="D212" s="89"/>
      <c r="E212" s="88"/>
    </row>
    <row r="213" ht="15.75" customHeight="1">
      <c r="A213" s="88"/>
      <c r="B213" s="88"/>
      <c r="D213" s="89"/>
      <c r="E213" s="88"/>
    </row>
    <row r="214" ht="15.75" customHeight="1">
      <c r="A214" s="88"/>
      <c r="B214" s="88"/>
      <c r="D214" s="89"/>
      <c r="E214" s="88"/>
    </row>
    <row r="215" ht="15.75" customHeight="1">
      <c r="A215" s="88"/>
      <c r="B215" s="88"/>
      <c r="D215" s="89"/>
      <c r="E215" s="88"/>
    </row>
    <row r="216" ht="15.75" customHeight="1">
      <c r="A216" s="88"/>
      <c r="B216" s="88"/>
      <c r="D216" s="89"/>
      <c r="E216" s="88"/>
    </row>
    <row r="217" ht="15.75" customHeight="1">
      <c r="A217" s="88"/>
      <c r="B217" s="88"/>
      <c r="D217" s="89"/>
      <c r="E217" s="88"/>
    </row>
    <row r="218" ht="15.75" customHeight="1">
      <c r="A218" s="88"/>
      <c r="B218" s="88"/>
      <c r="D218" s="89"/>
      <c r="E218" s="88"/>
    </row>
    <row r="219" ht="15.75" customHeight="1">
      <c r="A219" s="88"/>
      <c r="B219" s="88"/>
      <c r="D219" s="89"/>
      <c r="E219" s="88"/>
    </row>
    <row r="220" ht="15.75" customHeight="1">
      <c r="A220" s="88"/>
      <c r="B220" s="88"/>
      <c r="D220" s="89"/>
      <c r="E220" s="88"/>
    </row>
    <row r="221" ht="15.75" customHeight="1">
      <c r="A221" s="88"/>
      <c r="B221" s="88"/>
      <c r="D221" s="89"/>
      <c r="E221" s="88"/>
    </row>
    <row r="222" ht="15.75" customHeight="1">
      <c r="A222" s="88"/>
      <c r="B222" s="88"/>
      <c r="D222" s="89"/>
      <c r="E222" s="88"/>
    </row>
    <row r="223" ht="15.75" customHeight="1">
      <c r="A223" s="88"/>
      <c r="B223" s="88"/>
      <c r="D223" s="89"/>
      <c r="E223" s="88"/>
    </row>
    <row r="224" ht="15.75" customHeight="1">
      <c r="A224" s="88"/>
      <c r="B224" s="88"/>
      <c r="D224" s="89"/>
      <c r="E224" s="88"/>
    </row>
    <row r="225" ht="15.75" customHeight="1">
      <c r="A225" s="88"/>
      <c r="B225" s="88"/>
      <c r="D225" s="89"/>
      <c r="E225" s="88"/>
    </row>
    <row r="226" ht="15.75" customHeight="1">
      <c r="A226" s="88"/>
      <c r="B226" s="88"/>
      <c r="D226" s="89"/>
      <c r="E226" s="88"/>
    </row>
    <row r="227" ht="15.75" customHeight="1">
      <c r="A227" s="88"/>
      <c r="B227" s="88"/>
      <c r="D227" s="89"/>
      <c r="E227" s="88"/>
    </row>
    <row r="228" ht="15.75" customHeight="1">
      <c r="A228" s="88"/>
      <c r="B228" s="88"/>
      <c r="D228" s="89"/>
      <c r="E228" s="88"/>
    </row>
    <row r="229" ht="15.75" customHeight="1">
      <c r="A229" s="88"/>
      <c r="B229" s="88"/>
      <c r="D229" s="89"/>
      <c r="E229" s="88"/>
    </row>
    <row r="230" ht="15.75" customHeight="1">
      <c r="A230" s="88"/>
      <c r="B230" s="88"/>
      <c r="D230" s="89"/>
      <c r="E230" s="88"/>
    </row>
    <row r="231" ht="15.75" customHeight="1">
      <c r="A231" s="88"/>
      <c r="B231" s="88"/>
      <c r="D231" s="89"/>
      <c r="E231" s="88"/>
    </row>
    <row r="232" ht="15.75" customHeight="1">
      <c r="A232" s="88"/>
      <c r="B232" s="88"/>
      <c r="D232" s="89"/>
      <c r="E232" s="88"/>
    </row>
    <row r="233" ht="15.75" customHeight="1">
      <c r="A233" s="88"/>
      <c r="B233" s="88"/>
      <c r="D233" s="89"/>
      <c r="E233" s="88"/>
    </row>
    <row r="234" ht="15.75" customHeight="1">
      <c r="A234" s="88"/>
      <c r="B234" s="88"/>
      <c r="D234" s="89"/>
      <c r="E234" s="88"/>
    </row>
    <row r="235" ht="15.75" customHeight="1">
      <c r="A235" s="88"/>
      <c r="B235" s="88"/>
      <c r="D235" s="89"/>
      <c r="E235" s="88"/>
    </row>
    <row r="236" ht="15.75" customHeight="1">
      <c r="A236" s="88"/>
      <c r="B236" s="88"/>
      <c r="D236" s="89"/>
      <c r="E236" s="88"/>
    </row>
    <row r="237" ht="15.75" customHeight="1">
      <c r="A237" s="88"/>
      <c r="B237" s="88"/>
      <c r="D237" s="89"/>
      <c r="E237" s="88"/>
    </row>
    <row r="238" ht="15.75" customHeight="1">
      <c r="A238" s="88"/>
      <c r="B238" s="88"/>
      <c r="D238" s="89"/>
      <c r="E238" s="88"/>
    </row>
    <row r="239" ht="15.75" customHeight="1">
      <c r="A239" s="88"/>
      <c r="B239" s="88"/>
      <c r="D239" s="89"/>
      <c r="E239" s="88"/>
    </row>
    <row r="240" ht="15.75" customHeight="1">
      <c r="A240" s="88"/>
      <c r="B240" s="88"/>
      <c r="D240" s="89"/>
      <c r="E240" s="88"/>
    </row>
    <row r="241" ht="15.75" customHeight="1">
      <c r="A241" s="88"/>
      <c r="B241" s="88"/>
      <c r="D241" s="89"/>
      <c r="E241" s="88"/>
    </row>
    <row r="242" ht="15.75" customHeight="1">
      <c r="A242" s="88"/>
      <c r="B242" s="88"/>
      <c r="D242" s="89"/>
      <c r="E242" s="88"/>
    </row>
    <row r="243" ht="15.75" customHeight="1">
      <c r="A243" s="88"/>
      <c r="B243" s="88"/>
      <c r="D243" s="89"/>
      <c r="E243" s="88"/>
    </row>
    <row r="244" ht="15.75" customHeight="1">
      <c r="A244" s="88"/>
      <c r="B244" s="88"/>
      <c r="D244" s="89"/>
      <c r="E244" s="88"/>
    </row>
    <row r="245" ht="15.75" customHeight="1">
      <c r="A245" s="88"/>
      <c r="B245" s="88"/>
      <c r="D245" s="89"/>
      <c r="E245" s="88"/>
    </row>
    <row r="246" ht="15.75" customHeight="1">
      <c r="A246" s="88"/>
      <c r="B246" s="88"/>
      <c r="D246" s="89"/>
      <c r="E246" s="88"/>
    </row>
    <row r="247" ht="15.75" customHeight="1">
      <c r="A247" s="88"/>
      <c r="B247" s="88"/>
      <c r="D247" s="89"/>
      <c r="E247" s="88"/>
    </row>
    <row r="248" ht="15.75" customHeight="1">
      <c r="A248" s="88"/>
      <c r="B248" s="88"/>
      <c r="D248" s="89"/>
      <c r="E248" s="88"/>
    </row>
    <row r="249" ht="15.75" customHeight="1">
      <c r="A249" s="88"/>
      <c r="B249" s="88"/>
      <c r="D249" s="89"/>
      <c r="E249" s="88"/>
    </row>
    <row r="250" ht="15.75" customHeight="1">
      <c r="A250" s="88"/>
      <c r="B250" s="88"/>
      <c r="D250" s="89"/>
      <c r="E250" s="88"/>
    </row>
    <row r="251" ht="15.75" customHeight="1">
      <c r="A251" s="88"/>
      <c r="B251" s="88"/>
      <c r="D251" s="89"/>
      <c r="E251" s="88"/>
    </row>
    <row r="252" ht="15.75" customHeight="1">
      <c r="A252" s="88"/>
      <c r="B252" s="88"/>
      <c r="D252" s="89"/>
      <c r="E252" s="88"/>
    </row>
    <row r="253" ht="15.75" customHeight="1">
      <c r="A253" s="88"/>
      <c r="B253" s="88"/>
      <c r="D253" s="89"/>
      <c r="E253" s="88"/>
    </row>
    <row r="254" ht="15.75" customHeight="1">
      <c r="A254" s="88"/>
      <c r="B254" s="88"/>
      <c r="D254" s="89"/>
      <c r="E254" s="88"/>
    </row>
    <row r="255" ht="15.75" customHeight="1">
      <c r="A255" s="88"/>
      <c r="B255" s="88"/>
      <c r="D255" s="89"/>
      <c r="E255" s="88"/>
    </row>
    <row r="256" ht="15.75" customHeight="1">
      <c r="A256" s="88"/>
      <c r="B256" s="88"/>
      <c r="D256" s="89"/>
      <c r="E256" s="88"/>
    </row>
    <row r="257" ht="15.75" customHeight="1">
      <c r="A257" s="88"/>
      <c r="B257" s="88"/>
      <c r="D257" s="89"/>
      <c r="E257" s="88"/>
    </row>
    <row r="258" ht="15.75" customHeight="1">
      <c r="A258" s="88"/>
      <c r="B258" s="88"/>
      <c r="D258" s="89"/>
      <c r="E258" s="88"/>
    </row>
    <row r="259" ht="15.75" customHeight="1">
      <c r="A259" s="88"/>
      <c r="B259" s="88"/>
      <c r="D259" s="89"/>
      <c r="E259" s="88"/>
    </row>
    <row r="260" ht="15.75" customHeight="1">
      <c r="A260" s="88"/>
      <c r="B260" s="88"/>
      <c r="D260" s="89"/>
      <c r="E260" s="88"/>
    </row>
    <row r="261" ht="15.75" customHeight="1">
      <c r="A261" s="88"/>
      <c r="B261" s="88"/>
      <c r="D261" s="89"/>
      <c r="E261" s="88"/>
    </row>
    <row r="262" ht="15.75" customHeight="1">
      <c r="A262" s="88"/>
      <c r="B262" s="88"/>
      <c r="D262" s="89"/>
      <c r="E262" s="88"/>
    </row>
    <row r="263" ht="15.75" customHeight="1">
      <c r="A263" s="88"/>
      <c r="B263" s="88"/>
      <c r="D263" s="89"/>
      <c r="E263" s="88"/>
    </row>
    <row r="264" ht="15.75" customHeight="1">
      <c r="A264" s="88"/>
      <c r="B264" s="88"/>
      <c r="D264" s="89"/>
      <c r="E264" s="88"/>
    </row>
    <row r="265" ht="15.75" customHeight="1">
      <c r="A265" s="88"/>
      <c r="B265" s="88"/>
      <c r="D265" s="89"/>
      <c r="E265" s="88"/>
    </row>
    <row r="266" ht="15.75" customHeight="1">
      <c r="A266" s="88"/>
      <c r="B266" s="88"/>
      <c r="D266" s="89"/>
      <c r="E266" s="88"/>
    </row>
    <row r="267" ht="15.75" customHeight="1">
      <c r="A267" s="88"/>
      <c r="B267" s="88"/>
      <c r="D267" s="89"/>
      <c r="E267" s="88"/>
    </row>
    <row r="268" ht="15.75" customHeight="1">
      <c r="A268" s="88"/>
      <c r="B268" s="88"/>
      <c r="D268" s="89"/>
      <c r="E268" s="88"/>
    </row>
    <row r="269" ht="15.75" customHeight="1">
      <c r="A269" s="88"/>
      <c r="B269" s="88"/>
      <c r="D269" s="89"/>
      <c r="E269" s="88"/>
    </row>
    <row r="270" ht="15.75" customHeight="1">
      <c r="A270" s="88"/>
      <c r="B270" s="88"/>
      <c r="D270" s="89"/>
      <c r="E270" s="88"/>
    </row>
    <row r="271" ht="15.75" customHeight="1">
      <c r="A271" s="88"/>
      <c r="B271" s="88"/>
      <c r="D271" s="89"/>
      <c r="E271" s="88"/>
    </row>
    <row r="272" ht="15.75" customHeight="1">
      <c r="A272" s="88"/>
      <c r="B272" s="88"/>
      <c r="D272" s="89"/>
      <c r="E272" s="88"/>
    </row>
    <row r="273" ht="15.75" customHeight="1">
      <c r="A273" s="88"/>
      <c r="B273" s="88"/>
      <c r="D273" s="89"/>
      <c r="E273" s="88"/>
    </row>
    <row r="274" ht="15.75" customHeight="1">
      <c r="A274" s="88"/>
      <c r="B274" s="88"/>
      <c r="D274" s="89"/>
      <c r="E274" s="88"/>
    </row>
    <row r="275" ht="15.75" customHeight="1">
      <c r="A275" s="88"/>
      <c r="B275" s="88"/>
      <c r="D275" s="89"/>
      <c r="E275" s="88"/>
    </row>
    <row r="276" ht="15.75" customHeight="1">
      <c r="A276" s="88"/>
      <c r="B276" s="88"/>
      <c r="D276" s="89"/>
      <c r="E276" s="88"/>
    </row>
    <row r="277" ht="15.75" customHeight="1">
      <c r="A277" s="88"/>
      <c r="B277" s="88"/>
      <c r="D277" s="89"/>
      <c r="E277" s="88"/>
    </row>
    <row r="278" ht="15.75" customHeight="1">
      <c r="A278" s="88"/>
      <c r="B278" s="88"/>
      <c r="D278" s="89"/>
      <c r="E278" s="88"/>
    </row>
    <row r="279" ht="15.75" customHeight="1">
      <c r="A279" s="88"/>
      <c r="B279" s="88"/>
      <c r="D279" s="89"/>
      <c r="E279" s="88"/>
    </row>
    <row r="280" ht="15.75" customHeight="1">
      <c r="A280" s="88"/>
      <c r="B280" s="88"/>
      <c r="D280" s="89"/>
      <c r="E280" s="88"/>
    </row>
    <row r="281" ht="15.75" customHeight="1">
      <c r="A281" s="88"/>
      <c r="B281" s="88"/>
      <c r="D281" s="89"/>
      <c r="E281" s="88"/>
    </row>
    <row r="282" ht="15.75" customHeight="1">
      <c r="A282" s="88"/>
      <c r="B282" s="88"/>
      <c r="D282" s="89"/>
      <c r="E282" s="88"/>
    </row>
    <row r="283" ht="15.75" customHeight="1">
      <c r="A283" s="88"/>
      <c r="B283" s="88"/>
      <c r="D283" s="89"/>
      <c r="E283" s="88"/>
    </row>
    <row r="284" ht="15.75" customHeight="1">
      <c r="A284" s="88"/>
      <c r="B284" s="88"/>
      <c r="D284" s="89"/>
      <c r="E284" s="88"/>
    </row>
    <row r="285" ht="15.75" customHeight="1">
      <c r="A285" s="88"/>
      <c r="B285" s="88"/>
      <c r="D285" s="89"/>
      <c r="E285" s="88"/>
    </row>
    <row r="286" ht="15.75" customHeight="1">
      <c r="A286" s="88"/>
      <c r="B286" s="88"/>
      <c r="D286" s="89"/>
      <c r="E286" s="88"/>
    </row>
    <row r="287" ht="15.75" customHeight="1">
      <c r="A287" s="88"/>
      <c r="B287" s="88"/>
      <c r="D287" s="89"/>
      <c r="E287" s="88"/>
    </row>
    <row r="288" ht="15.75" customHeight="1">
      <c r="A288" s="88"/>
      <c r="B288" s="88"/>
      <c r="D288" s="89"/>
      <c r="E288" s="88"/>
    </row>
    <row r="289" ht="15.75" customHeight="1">
      <c r="A289" s="88"/>
      <c r="B289" s="88"/>
      <c r="D289" s="89"/>
      <c r="E289" s="88"/>
    </row>
    <row r="290" ht="15.75" customHeight="1">
      <c r="A290" s="88"/>
      <c r="B290" s="88"/>
      <c r="D290" s="89"/>
      <c r="E290" s="88"/>
    </row>
    <row r="291" ht="15.75" customHeight="1">
      <c r="A291" s="88"/>
      <c r="B291" s="88"/>
      <c r="D291" s="89"/>
      <c r="E291" s="88"/>
    </row>
    <row r="292" ht="15.75" customHeight="1">
      <c r="A292" s="88"/>
      <c r="B292" s="88"/>
      <c r="D292" s="89"/>
      <c r="E292" s="88"/>
    </row>
    <row r="293" ht="15.75" customHeight="1">
      <c r="A293" s="88"/>
      <c r="B293" s="88"/>
      <c r="D293" s="89"/>
      <c r="E293" s="88"/>
    </row>
    <row r="294" ht="15.75" customHeight="1">
      <c r="A294" s="88"/>
      <c r="B294" s="88"/>
      <c r="D294" s="89"/>
      <c r="E294" s="88"/>
    </row>
    <row r="295" ht="15.75" customHeight="1">
      <c r="A295" s="88"/>
      <c r="B295" s="88"/>
      <c r="D295" s="89"/>
      <c r="E295" s="88"/>
    </row>
    <row r="296" ht="15.75" customHeight="1">
      <c r="A296" s="88"/>
      <c r="B296" s="88"/>
      <c r="D296" s="89"/>
      <c r="E296" s="88"/>
    </row>
    <row r="297" ht="15.75" customHeight="1">
      <c r="A297" s="88"/>
      <c r="B297" s="88"/>
      <c r="D297" s="89"/>
      <c r="E297" s="88"/>
    </row>
    <row r="298" ht="15.75" customHeight="1">
      <c r="A298" s="88"/>
      <c r="B298" s="88"/>
      <c r="D298" s="89"/>
      <c r="E298" s="88"/>
    </row>
    <row r="299" ht="15.75" customHeight="1">
      <c r="A299" s="88"/>
      <c r="B299" s="88"/>
      <c r="D299" s="89"/>
      <c r="E299" s="88"/>
    </row>
    <row r="300" ht="15.75" customHeight="1">
      <c r="A300" s="88"/>
      <c r="B300" s="88"/>
      <c r="D300" s="89"/>
      <c r="E300" s="88"/>
    </row>
    <row r="301" ht="15.75" customHeight="1">
      <c r="A301" s="88"/>
      <c r="B301" s="88"/>
      <c r="D301" s="89"/>
      <c r="E301" s="88"/>
    </row>
    <row r="302" ht="15.75" customHeight="1">
      <c r="A302" s="88"/>
      <c r="B302" s="88"/>
      <c r="D302" s="89"/>
      <c r="E302" s="88"/>
    </row>
    <row r="303" ht="15.75" customHeight="1">
      <c r="A303" s="88"/>
      <c r="B303" s="88"/>
      <c r="D303" s="89"/>
      <c r="E303" s="88"/>
    </row>
    <row r="304" ht="15.75" customHeight="1">
      <c r="A304" s="88"/>
      <c r="B304" s="88"/>
      <c r="D304" s="89"/>
      <c r="E304" s="88"/>
    </row>
    <row r="305" ht="15.75" customHeight="1">
      <c r="A305" s="88"/>
      <c r="B305" s="88"/>
      <c r="D305" s="89"/>
      <c r="E305" s="88"/>
    </row>
    <row r="306" ht="15.75" customHeight="1">
      <c r="A306" s="88"/>
      <c r="B306" s="88"/>
      <c r="D306" s="89"/>
      <c r="E306" s="88"/>
    </row>
    <row r="307" ht="15.75" customHeight="1">
      <c r="A307" s="88"/>
      <c r="B307" s="88"/>
      <c r="D307" s="89"/>
      <c r="E307" s="88"/>
    </row>
    <row r="308" ht="15.75" customHeight="1">
      <c r="A308" s="88"/>
      <c r="B308" s="88"/>
      <c r="D308" s="89"/>
      <c r="E308" s="88"/>
    </row>
    <row r="309" ht="15.75" customHeight="1">
      <c r="A309" s="88"/>
      <c r="B309" s="88"/>
      <c r="D309" s="89"/>
      <c r="E309" s="88"/>
    </row>
    <row r="310" ht="15.75" customHeight="1">
      <c r="A310" s="88"/>
      <c r="B310" s="88"/>
      <c r="D310" s="89"/>
      <c r="E310" s="88"/>
    </row>
    <row r="311" ht="15.75" customHeight="1">
      <c r="A311" s="88"/>
      <c r="B311" s="88"/>
      <c r="D311" s="89"/>
      <c r="E311" s="88"/>
    </row>
    <row r="312" ht="15.75" customHeight="1">
      <c r="A312" s="88"/>
      <c r="B312" s="88"/>
      <c r="D312" s="89"/>
      <c r="E312" s="88"/>
    </row>
    <row r="313" ht="15.75" customHeight="1">
      <c r="A313" s="88"/>
      <c r="B313" s="88"/>
      <c r="D313" s="89"/>
      <c r="E313" s="88"/>
    </row>
    <row r="314" ht="15.75" customHeight="1">
      <c r="A314" s="88"/>
      <c r="B314" s="88"/>
      <c r="D314" s="89"/>
      <c r="E314" s="88"/>
    </row>
    <row r="315" ht="15.75" customHeight="1">
      <c r="A315" s="88"/>
      <c r="B315" s="88"/>
      <c r="D315" s="89"/>
      <c r="E315" s="88"/>
    </row>
    <row r="316" ht="15.75" customHeight="1">
      <c r="A316" s="88"/>
      <c r="B316" s="88"/>
      <c r="D316" s="89"/>
      <c r="E316" s="88"/>
    </row>
    <row r="317" ht="15.75" customHeight="1">
      <c r="A317" s="88"/>
      <c r="B317" s="88"/>
      <c r="D317" s="89"/>
      <c r="E317" s="88"/>
    </row>
    <row r="318" ht="15.75" customHeight="1">
      <c r="A318" s="88"/>
      <c r="B318" s="88"/>
      <c r="D318" s="89"/>
      <c r="E318" s="88"/>
    </row>
    <row r="319" ht="15.75" customHeight="1">
      <c r="A319" s="88"/>
      <c r="B319" s="88"/>
      <c r="D319" s="89"/>
      <c r="E319" s="88"/>
    </row>
    <row r="320" ht="15.75" customHeight="1">
      <c r="A320" s="88"/>
      <c r="B320" s="88"/>
      <c r="D320" s="89"/>
      <c r="E320" s="88"/>
    </row>
    <row r="321" ht="15.75" customHeight="1">
      <c r="A321" s="88"/>
      <c r="B321" s="88"/>
      <c r="D321" s="89"/>
      <c r="E321" s="88"/>
    </row>
    <row r="322" ht="15.75" customHeight="1">
      <c r="A322" s="88"/>
      <c r="B322" s="88"/>
      <c r="D322" s="89"/>
      <c r="E322" s="88"/>
    </row>
    <row r="323" ht="15.75" customHeight="1">
      <c r="A323" s="88"/>
      <c r="B323" s="88"/>
      <c r="D323" s="89"/>
      <c r="E323" s="88"/>
    </row>
    <row r="324" ht="15.75" customHeight="1">
      <c r="A324" s="88"/>
      <c r="B324" s="88"/>
      <c r="D324" s="89"/>
      <c r="E324" s="88"/>
    </row>
    <row r="325" ht="15.75" customHeight="1">
      <c r="A325" s="88"/>
      <c r="B325" s="88"/>
      <c r="D325" s="89"/>
      <c r="E325" s="88"/>
    </row>
    <row r="326" ht="15.75" customHeight="1">
      <c r="A326" s="88"/>
      <c r="B326" s="88"/>
      <c r="D326" s="89"/>
      <c r="E326" s="88"/>
    </row>
    <row r="327" ht="15.75" customHeight="1">
      <c r="A327" s="88"/>
      <c r="B327" s="88"/>
      <c r="D327" s="89"/>
      <c r="E327" s="88"/>
    </row>
    <row r="328" ht="15.75" customHeight="1">
      <c r="A328" s="88"/>
      <c r="B328" s="88"/>
      <c r="D328" s="89"/>
      <c r="E328" s="88"/>
    </row>
    <row r="329" ht="15.75" customHeight="1">
      <c r="A329" s="88"/>
      <c r="B329" s="88"/>
      <c r="D329" s="89"/>
      <c r="E329" s="88"/>
    </row>
    <row r="330" ht="15.75" customHeight="1">
      <c r="A330" s="88"/>
      <c r="B330" s="88"/>
      <c r="D330" s="89"/>
      <c r="E330" s="88"/>
    </row>
    <row r="331" ht="15.75" customHeight="1">
      <c r="A331" s="88"/>
      <c r="B331" s="88"/>
      <c r="D331" s="89"/>
      <c r="E331" s="88"/>
    </row>
    <row r="332" ht="15.75" customHeight="1">
      <c r="A332" s="88"/>
      <c r="B332" s="88"/>
      <c r="D332" s="89"/>
      <c r="E332" s="88"/>
    </row>
    <row r="333" ht="15.75" customHeight="1">
      <c r="A333" s="88"/>
      <c r="B333" s="88"/>
      <c r="D333" s="89"/>
      <c r="E333" s="88"/>
    </row>
    <row r="334" ht="15.75" customHeight="1">
      <c r="A334" s="88"/>
      <c r="B334" s="88"/>
      <c r="D334" s="89"/>
      <c r="E334" s="88"/>
    </row>
    <row r="335" ht="15.75" customHeight="1">
      <c r="A335" s="88"/>
      <c r="B335" s="88"/>
      <c r="D335" s="89"/>
      <c r="E335" s="88"/>
    </row>
    <row r="336" ht="15.75" customHeight="1">
      <c r="A336" s="88"/>
      <c r="B336" s="88"/>
      <c r="D336" s="89"/>
      <c r="E336" s="88"/>
    </row>
    <row r="337" ht="15.75" customHeight="1">
      <c r="A337" s="88"/>
      <c r="B337" s="88"/>
      <c r="D337" s="89"/>
      <c r="E337" s="88"/>
    </row>
    <row r="338" ht="15.75" customHeight="1">
      <c r="A338" s="88"/>
      <c r="B338" s="88"/>
      <c r="D338" s="89"/>
      <c r="E338" s="88"/>
    </row>
    <row r="339" ht="15.75" customHeight="1">
      <c r="A339" s="88"/>
      <c r="B339" s="88"/>
      <c r="D339" s="89"/>
      <c r="E339" s="88"/>
    </row>
    <row r="340" ht="15.75" customHeight="1">
      <c r="A340" s="88"/>
      <c r="B340" s="88"/>
      <c r="D340" s="89"/>
      <c r="E340" s="88"/>
    </row>
    <row r="341" ht="15.75" customHeight="1">
      <c r="A341" s="88"/>
      <c r="B341" s="88"/>
      <c r="D341" s="89"/>
      <c r="E341" s="88"/>
    </row>
    <row r="342" ht="15.75" customHeight="1">
      <c r="A342" s="88"/>
      <c r="B342" s="88"/>
      <c r="D342" s="89"/>
      <c r="E342" s="88"/>
    </row>
    <row r="343" ht="15.75" customHeight="1">
      <c r="A343" s="88"/>
      <c r="B343" s="88"/>
      <c r="D343" s="89"/>
      <c r="E343" s="88"/>
    </row>
    <row r="344" ht="15.75" customHeight="1">
      <c r="A344" s="88"/>
      <c r="B344" s="88"/>
      <c r="D344" s="89"/>
      <c r="E344" s="88"/>
    </row>
    <row r="345" ht="15.75" customHeight="1">
      <c r="A345" s="88"/>
      <c r="B345" s="88"/>
      <c r="D345" s="89"/>
      <c r="E345" s="88"/>
    </row>
    <row r="346" ht="15.75" customHeight="1">
      <c r="A346" s="88"/>
      <c r="B346" s="88"/>
      <c r="D346" s="89"/>
      <c r="E346" s="88"/>
    </row>
    <row r="347" ht="15.75" customHeight="1">
      <c r="A347" s="88"/>
      <c r="B347" s="88"/>
      <c r="D347" s="89"/>
      <c r="E347" s="88"/>
    </row>
    <row r="348" ht="15.75" customHeight="1">
      <c r="A348" s="88"/>
      <c r="B348" s="88"/>
      <c r="D348" s="89"/>
      <c r="E348" s="88"/>
    </row>
    <row r="349" ht="15.75" customHeight="1">
      <c r="A349" s="88"/>
      <c r="B349" s="88"/>
      <c r="D349" s="89"/>
      <c r="E349" s="88"/>
    </row>
    <row r="350" ht="15.75" customHeight="1">
      <c r="A350" s="88"/>
      <c r="B350" s="88"/>
      <c r="D350" s="89"/>
      <c r="E350" s="88"/>
    </row>
    <row r="351" ht="15.75" customHeight="1">
      <c r="A351" s="88"/>
      <c r="B351" s="88"/>
      <c r="D351" s="89"/>
      <c r="E351" s="88"/>
    </row>
    <row r="352" ht="15.75" customHeight="1">
      <c r="A352" s="88"/>
      <c r="B352" s="88"/>
      <c r="D352" s="89"/>
      <c r="E352" s="88"/>
    </row>
    <row r="353" ht="15.75" customHeight="1">
      <c r="A353" s="88"/>
      <c r="B353" s="88"/>
      <c r="D353" s="89"/>
      <c r="E353" s="88"/>
    </row>
    <row r="354" ht="15.75" customHeight="1">
      <c r="A354" s="88"/>
      <c r="B354" s="88"/>
      <c r="D354" s="89"/>
      <c r="E354" s="88"/>
    </row>
    <row r="355" ht="15.75" customHeight="1">
      <c r="A355" s="88"/>
      <c r="B355" s="88"/>
      <c r="D355" s="89"/>
      <c r="E355" s="88"/>
    </row>
    <row r="356" ht="15.75" customHeight="1">
      <c r="A356" s="88"/>
      <c r="B356" s="88"/>
      <c r="D356" s="89"/>
      <c r="E356" s="88"/>
    </row>
    <row r="357" ht="15.75" customHeight="1">
      <c r="A357" s="88"/>
      <c r="B357" s="88"/>
      <c r="D357" s="89"/>
      <c r="E357" s="88"/>
    </row>
    <row r="358" ht="15.75" customHeight="1">
      <c r="A358" s="88"/>
      <c r="B358" s="88"/>
      <c r="D358" s="89"/>
      <c r="E358" s="88"/>
    </row>
    <row r="359" ht="15.75" customHeight="1">
      <c r="A359" s="88"/>
      <c r="B359" s="88"/>
      <c r="D359" s="89"/>
      <c r="E359" s="88"/>
    </row>
    <row r="360" ht="15.75" customHeight="1">
      <c r="A360" s="88"/>
      <c r="B360" s="88"/>
      <c r="D360" s="89"/>
      <c r="E360" s="88"/>
    </row>
    <row r="361" ht="15.75" customHeight="1">
      <c r="A361" s="88"/>
      <c r="B361" s="88"/>
      <c r="D361" s="89"/>
      <c r="E361" s="88"/>
    </row>
    <row r="362" ht="15.75" customHeight="1">
      <c r="A362" s="88"/>
      <c r="B362" s="88"/>
      <c r="D362" s="89"/>
      <c r="E362" s="88"/>
    </row>
    <row r="363" ht="15.75" customHeight="1">
      <c r="A363" s="88"/>
      <c r="B363" s="88"/>
      <c r="D363" s="89"/>
      <c r="E363" s="88"/>
    </row>
    <row r="364" ht="15.75" customHeight="1">
      <c r="A364" s="88"/>
      <c r="B364" s="88"/>
      <c r="D364" s="89"/>
      <c r="E364" s="88"/>
    </row>
    <row r="365" ht="15.75" customHeight="1">
      <c r="A365" s="88"/>
      <c r="B365" s="88"/>
      <c r="D365" s="89"/>
      <c r="E365" s="88"/>
    </row>
    <row r="366" ht="15.75" customHeight="1">
      <c r="A366" s="88"/>
      <c r="B366" s="88"/>
      <c r="D366" s="89"/>
      <c r="E366" s="88"/>
    </row>
    <row r="367" ht="15.75" customHeight="1">
      <c r="A367" s="88"/>
      <c r="B367" s="88"/>
      <c r="D367" s="89"/>
      <c r="E367" s="88"/>
    </row>
    <row r="368" ht="15.75" customHeight="1">
      <c r="A368" s="88"/>
      <c r="B368" s="88"/>
      <c r="D368" s="89"/>
      <c r="E368" s="88"/>
    </row>
    <row r="369" ht="15.75" customHeight="1">
      <c r="A369" s="88"/>
      <c r="B369" s="88"/>
      <c r="D369" s="89"/>
      <c r="E369" s="88"/>
    </row>
    <row r="370" ht="15.75" customHeight="1">
      <c r="A370" s="88"/>
      <c r="B370" s="88"/>
      <c r="D370" s="89"/>
      <c r="E370" s="88"/>
    </row>
    <row r="371" ht="15.75" customHeight="1">
      <c r="A371" s="88"/>
      <c r="B371" s="88"/>
      <c r="D371" s="89"/>
      <c r="E371" s="88"/>
    </row>
    <row r="372" ht="15.75" customHeight="1">
      <c r="A372" s="88"/>
      <c r="B372" s="88"/>
      <c r="D372" s="89"/>
      <c r="E372" s="88"/>
    </row>
    <row r="373" ht="15.75" customHeight="1">
      <c r="A373" s="88"/>
      <c r="B373" s="88"/>
      <c r="D373" s="89"/>
      <c r="E373" s="88"/>
    </row>
    <row r="374" ht="15.75" customHeight="1">
      <c r="A374" s="88"/>
      <c r="B374" s="88"/>
      <c r="D374" s="89"/>
      <c r="E374" s="88"/>
    </row>
    <row r="375" ht="15.75" customHeight="1">
      <c r="A375" s="88"/>
      <c r="B375" s="88"/>
      <c r="D375" s="89"/>
      <c r="E375" s="88"/>
    </row>
    <row r="376" ht="15.75" customHeight="1">
      <c r="A376" s="88"/>
      <c r="B376" s="88"/>
      <c r="D376" s="89"/>
      <c r="E376" s="88"/>
    </row>
    <row r="377" ht="15.75" customHeight="1">
      <c r="A377" s="88"/>
      <c r="B377" s="88"/>
      <c r="D377" s="89"/>
      <c r="E377" s="88"/>
    </row>
    <row r="378" ht="15.75" customHeight="1">
      <c r="A378" s="88"/>
      <c r="B378" s="88"/>
      <c r="D378" s="89"/>
      <c r="E378" s="88"/>
    </row>
    <row r="379" ht="15.75" customHeight="1">
      <c r="A379" s="88"/>
      <c r="B379" s="88"/>
      <c r="D379" s="89"/>
      <c r="E379" s="88"/>
    </row>
    <row r="380" ht="15.75" customHeight="1">
      <c r="A380" s="88"/>
      <c r="B380" s="88"/>
      <c r="D380" s="89"/>
      <c r="E380" s="88"/>
    </row>
    <row r="381" ht="15.75" customHeight="1">
      <c r="A381" s="88"/>
      <c r="B381" s="88"/>
      <c r="D381" s="89"/>
      <c r="E381" s="88"/>
    </row>
    <row r="382" ht="15.75" customHeight="1">
      <c r="A382" s="88"/>
      <c r="B382" s="88"/>
      <c r="D382" s="89"/>
      <c r="E382" s="88"/>
    </row>
    <row r="383" ht="15.75" customHeight="1">
      <c r="A383" s="88"/>
      <c r="B383" s="88"/>
      <c r="D383" s="89"/>
      <c r="E383" s="88"/>
    </row>
    <row r="384" ht="15.75" customHeight="1">
      <c r="A384" s="88"/>
      <c r="B384" s="88"/>
      <c r="D384" s="89"/>
      <c r="E384" s="88"/>
    </row>
    <row r="385" ht="15.75" customHeight="1">
      <c r="A385" s="88"/>
      <c r="B385" s="88"/>
      <c r="D385" s="89"/>
      <c r="E385" s="88"/>
    </row>
    <row r="386" ht="15.75" customHeight="1">
      <c r="A386" s="88"/>
      <c r="B386" s="88"/>
      <c r="D386" s="89"/>
      <c r="E386" s="88"/>
    </row>
    <row r="387" ht="15.75" customHeight="1">
      <c r="A387" s="88"/>
      <c r="B387" s="88"/>
      <c r="D387" s="89"/>
      <c r="E387" s="88"/>
    </row>
    <row r="388" ht="15.75" customHeight="1">
      <c r="A388" s="88"/>
      <c r="B388" s="88"/>
      <c r="D388" s="89"/>
      <c r="E388" s="88"/>
    </row>
    <row r="389" ht="15.75" customHeight="1">
      <c r="A389" s="88"/>
      <c r="B389" s="88"/>
      <c r="D389" s="89"/>
      <c r="E389" s="88"/>
    </row>
    <row r="390" ht="15.75" customHeight="1">
      <c r="A390" s="88"/>
      <c r="B390" s="88"/>
      <c r="D390" s="89"/>
      <c r="E390" s="88"/>
    </row>
    <row r="391" ht="15.75" customHeight="1">
      <c r="A391" s="88"/>
      <c r="B391" s="88"/>
      <c r="D391" s="89"/>
      <c r="E391" s="88"/>
    </row>
    <row r="392" ht="15.75" customHeight="1">
      <c r="A392" s="88"/>
      <c r="B392" s="88"/>
      <c r="D392" s="89"/>
      <c r="E392" s="88"/>
    </row>
    <row r="393" ht="15.75" customHeight="1">
      <c r="A393" s="88"/>
      <c r="B393" s="88"/>
      <c r="D393" s="89"/>
      <c r="E393" s="88"/>
    </row>
    <row r="394" ht="15.75" customHeight="1">
      <c r="A394" s="88"/>
      <c r="B394" s="88"/>
      <c r="D394" s="89"/>
      <c r="E394" s="88"/>
    </row>
    <row r="395" ht="15.75" customHeight="1">
      <c r="A395" s="88"/>
      <c r="B395" s="88"/>
      <c r="D395" s="89"/>
      <c r="E395" s="88"/>
    </row>
    <row r="396" ht="15.75" customHeight="1">
      <c r="A396" s="88"/>
      <c r="B396" s="88"/>
      <c r="D396" s="89"/>
      <c r="E396" s="88"/>
    </row>
    <row r="397" ht="15.75" customHeight="1">
      <c r="A397" s="88"/>
      <c r="B397" s="88"/>
      <c r="D397" s="89"/>
      <c r="E397" s="88"/>
    </row>
    <row r="398" ht="15.75" customHeight="1">
      <c r="A398" s="88"/>
      <c r="B398" s="88"/>
      <c r="D398" s="89"/>
      <c r="E398" s="88"/>
    </row>
    <row r="399" ht="15.75" customHeight="1">
      <c r="A399" s="88"/>
      <c r="B399" s="88"/>
      <c r="D399" s="89"/>
      <c r="E399" s="88"/>
    </row>
    <row r="400" ht="15.75" customHeight="1">
      <c r="A400" s="88"/>
      <c r="B400" s="88"/>
      <c r="D400" s="89"/>
      <c r="E400" s="88"/>
    </row>
    <row r="401" ht="15.75" customHeight="1">
      <c r="A401" s="88"/>
      <c r="B401" s="88"/>
      <c r="D401" s="89"/>
      <c r="E401" s="88"/>
    </row>
    <row r="402" ht="15.75" customHeight="1">
      <c r="A402" s="88"/>
      <c r="B402" s="88"/>
      <c r="D402" s="89"/>
      <c r="E402" s="88"/>
    </row>
    <row r="403" ht="15.75" customHeight="1">
      <c r="A403" s="88"/>
      <c r="B403" s="88"/>
      <c r="D403" s="89"/>
      <c r="E403" s="88"/>
    </row>
    <row r="404" ht="15.75" customHeight="1">
      <c r="A404" s="88"/>
      <c r="B404" s="88"/>
      <c r="D404" s="89"/>
      <c r="E404" s="88"/>
    </row>
    <row r="405" ht="15.75" customHeight="1">
      <c r="A405" s="88"/>
      <c r="B405" s="88"/>
      <c r="D405" s="89"/>
      <c r="E405" s="88"/>
    </row>
    <row r="406" ht="15.75" customHeight="1">
      <c r="A406" s="88"/>
      <c r="B406" s="88"/>
      <c r="D406" s="89"/>
      <c r="E406" s="88"/>
    </row>
    <row r="407" ht="15.75" customHeight="1">
      <c r="A407" s="88"/>
      <c r="B407" s="88"/>
      <c r="D407" s="89"/>
      <c r="E407" s="88"/>
    </row>
    <row r="408" ht="15.75" customHeight="1">
      <c r="A408" s="88"/>
      <c r="B408" s="88"/>
      <c r="D408" s="89"/>
      <c r="E408" s="88"/>
    </row>
    <row r="409" ht="15.75" customHeight="1">
      <c r="A409" s="88"/>
      <c r="B409" s="88"/>
      <c r="D409" s="89"/>
      <c r="E409" s="88"/>
    </row>
    <row r="410" ht="15.75" customHeight="1">
      <c r="A410" s="88"/>
      <c r="B410" s="88"/>
      <c r="D410" s="89"/>
      <c r="E410" s="88"/>
    </row>
    <row r="411" ht="15.75" customHeight="1">
      <c r="A411" s="88"/>
      <c r="B411" s="88"/>
      <c r="D411" s="89"/>
      <c r="E411" s="88"/>
    </row>
    <row r="412" ht="15.75" customHeight="1">
      <c r="A412" s="88"/>
      <c r="B412" s="88"/>
      <c r="D412" s="89"/>
      <c r="E412" s="88"/>
    </row>
    <row r="413" ht="15.75" customHeight="1">
      <c r="A413" s="88"/>
      <c r="B413" s="88"/>
      <c r="D413" s="89"/>
      <c r="E413" s="88"/>
    </row>
    <row r="414" ht="15.75" customHeight="1">
      <c r="A414" s="88"/>
      <c r="B414" s="88"/>
      <c r="D414" s="89"/>
      <c r="E414" s="88"/>
    </row>
    <row r="415" ht="15.75" customHeight="1">
      <c r="A415" s="88"/>
      <c r="B415" s="88"/>
      <c r="D415" s="89"/>
      <c r="E415" s="88"/>
    </row>
    <row r="416" ht="15.75" customHeight="1">
      <c r="A416" s="88"/>
      <c r="B416" s="88"/>
      <c r="D416" s="89"/>
      <c r="E416" s="88"/>
    </row>
    <row r="417" ht="15.75" customHeight="1">
      <c r="A417" s="88"/>
      <c r="B417" s="88"/>
      <c r="D417" s="89"/>
      <c r="E417" s="88"/>
    </row>
    <row r="418" ht="15.75" customHeight="1">
      <c r="A418" s="88"/>
      <c r="B418" s="88"/>
      <c r="D418" s="89"/>
      <c r="E418" s="88"/>
    </row>
    <row r="419" ht="15.75" customHeight="1">
      <c r="A419" s="88"/>
      <c r="B419" s="88"/>
      <c r="D419" s="89"/>
      <c r="E419" s="88"/>
    </row>
    <row r="420" ht="15.75" customHeight="1">
      <c r="A420" s="88"/>
      <c r="B420" s="88"/>
      <c r="D420" s="89"/>
      <c r="E420" s="88"/>
    </row>
    <row r="421" ht="15.75" customHeight="1">
      <c r="A421" s="88"/>
      <c r="B421" s="88"/>
      <c r="D421" s="89"/>
      <c r="E421" s="88"/>
    </row>
    <row r="422" ht="15.75" customHeight="1">
      <c r="A422" s="88"/>
      <c r="B422" s="88"/>
      <c r="D422" s="89"/>
      <c r="E422" s="88"/>
    </row>
    <row r="423" ht="15.75" customHeight="1">
      <c r="A423" s="88"/>
      <c r="B423" s="88"/>
      <c r="D423" s="89"/>
      <c r="E423" s="88"/>
    </row>
    <row r="424" ht="15.75" customHeight="1">
      <c r="A424" s="88"/>
      <c r="B424" s="88"/>
      <c r="D424" s="89"/>
      <c r="E424" s="88"/>
    </row>
    <row r="425" ht="15.75" customHeight="1">
      <c r="A425" s="88"/>
      <c r="B425" s="88"/>
      <c r="D425" s="89"/>
      <c r="E425" s="88"/>
    </row>
    <row r="426" ht="15.75" customHeight="1">
      <c r="A426" s="88"/>
      <c r="B426" s="88"/>
      <c r="D426" s="89"/>
      <c r="E426" s="88"/>
    </row>
    <row r="427" ht="15.75" customHeight="1">
      <c r="A427" s="88"/>
      <c r="B427" s="88"/>
      <c r="D427" s="89"/>
      <c r="E427" s="88"/>
    </row>
    <row r="428" ht="15.75" customHeight="1">
      <c r="A428" s="88"/>
      <c r="B428" s="88"/>
      <c r="D428" s="89"/>
      <c r="E428" s="88"/>
    </row>
    <row r="429" ht="15.75" customHeight="1">
      <c r="A429" s="88"/>
      <c r="B429" s="88"/>
      <c r="D429" s="89"/>
      <c r="E429" s="88"/>
    </row>
    <row r="430" ht="15.75" customHeight="1">
      <c r="A430" s="88"/>
      <c r="B430" s="88"/>
      <c r="D430" s="89"/>
      <c r="E430" s="88"/>
    </row>
    <row r="431" ht="15.75" customHeight="1">
      <c r="A431" s="88"/>
      <c r="B431" s="88"/>
      <c r="D431" s="89"/>
      <c r="E431" s="88"/>
    </row>
    <row r="432" ht="15.75" customHeight="1">
      <c r="A432" s="88"/>
      <c r="B432" s="88"/>
      <c r="D432" s="89"/>
      <c r="E432" s="88"/>
    </row>
    <row r="433" ht="15.75" customHeight="1">
      <c r="A433" s="88"/>
      <c r="B433" s="88"/>
      <c r="D433" s="89"/>
      <c r="E433" s="88"/>
    </row>
    <row r="434" ht="15.75" customHeight="1">
      <c r="A434" s="88"/>
      <c r="B434" s="88"/>
      <c r="D434" s="89"/>
      <c r="E434" s="88"/>
    </row>
    <row r="435" ht="15.75" customHeight="1">
      <c r="A435" s="88"/>
      <c r="B435" s="88"/>
      <c r="D435" s="89"/>
      <c r="E435" s="88"/>
    </row>
    <row r="436" ht="15.75" customHeight="1">
      <c r="A436" s="88"/>
      <c r="B436" s="88"/>
      <c r="D436" s="89"/>
      <c r="E436" s="88"/>
    </row>
    <row r="437" ht="15.75" customHeight="1">
      <c r="A437" s="88"/>
      <c r="B437" s="88"/>
      <c r="D437" s="89"/>
      <c r="E437" s="88"/>
    </row>
    <row r="438" ht="15.75" customHeight="1">
      <c r="A438" s="88"/>
      <c r="B438" s="88"/>
      <c r="D438" s="89"/>
      <c r="E438" s="88"/>
    </row>
    <row r="439" ht="15.75" customHeight="1">
      <c r="A439" s="88"/>
      <c r="B439" s="88"/>
      <c r="D439" s="89"/>
      <c r="E439" s="88"/>
    </row>
    <row r="440" ht="15.75" customHeight="1">
      <c r="A440" s="88"/>
      <c r="B440" s="88"/>
      <c r="D440" s="89"/>
      <c r="E440" s="88"/>
    </row>
    <row r="441" ht="15.75" customHeight="1">
      <c r="A441" s="88"/>
      <c r="B441" s="88"/>
      <c r="D441" s="89"/>
      <c r="E441" s="88"/>
    </row>
    <row r="442" ht="15.75" customHeight="1">
      <c r="A442" s="88"/>
      <c r="B442" s="88"/>
      <c r="D442" s="89"/>
      <c r="E442" s="88"/>
    </row>
    <row r="443" ht="15.75" customHeight="1">
      <c r="A443" s="88"/>
      <c r="B443" s="88"/>
      <c r="D443" s="89"/>
      <c r="E443" s="88"/>
    </row>
    <row r="444" ht="15.75" customHeight="1">
      <c r="A444" s="88"/>
      <c r="B444" s="88"/>
      <c r="D444" s="89"/>
      <c r="E444" s="88"/>
    </row>
    <row r="445" ht="15.75" customHeight="1">
      <c r="A445" s="88"/>
      <c r="B445" s="88"/>
      <c r="D445" s="89"/>
      <c r="E445" s="88"/>
    </row>
    <row r="446" ht="15.75" customHeight="1">
      <c r="A446" s="88"/>
      <c r="B446" s="88"/>
      <c r="D446" s="89"/>
      <c r="E446" s="88"/>
    </row>
    <row r="447" ht="15.75" customHeight="1">
      <c r="A447" s="88"/>
      <c r="B447" s="88"/>
      <c r="D447" s="89"/>
      <c r="E447" s="88"/>
    </row>
    <row r="448" ht="15.75" customHeight="1">
      <c r="A448" s="88"/>
      <c r="B448" s="88"/>
      <c r="D448" s="89"/>
      <c r="E448" s="88"/>
    </row>
    <row r="449" ht="15.75" customHeight="1">
      <c r="A449" s="88"/>
      <c r="B449" s="88"/>
      <c r="D449" s="89"/>
      <c r="E449" s="88"/>
    </row>
    <row r="450" ht="15.75" customHeight="1">
      <c r="A450" s="88"/>
      <c r="B450" s="88"/>
      <c r="D450" s="89"/>
      <c r="E450" s="88"/>
    </row>
    <row r="451" ht="15.75" customHeight="1">
      <c r="A451" s="88"/>
      <c r="B451" s="88"/>
      <c r="D451" s="89"/>
      <c r="E451" s="88"/>
    </row>
    <row r="452" ht="15.75" customHeight="1">
      <c r="A452" s="88"/>
      <c r="B452" s="88"/>
      <c r="D452" s="89"/>
      <c r="E452" s="88"/>
    </row>
    <row r="453" ht="15.75" customHeight="1">
      <c r="A453" s="88"/>
      <c r="B453" s="88"/>
      <c r="D453" s="89"/>
      <c r="E453" s="88"/>
    </row>
    <row r="454" ht="15.75" customHeight="1">
      <c r="A454" s="88"/>
      <c r="B454" s="88"/>
      <c r="D454" s="89"/>
      <c r="E454" s="88"/>
    </row>
    <row r="455" ht="15.75" customHeight="1">
      <c r="A455" s="88"/>
      <c r="B455" s="88"/>
      <c r="D455" s="89"/>
      <c r="E455" s="88"/>
    </row>
    <row r="456" ht="15.75" customHeight="1">
      <c r="A456" s="88"/>
      <c r="B456" s="88"/>
      <c r="D456" s="89"/>
      <c r="E456" s="88"/>
    </row>
    <row r="457" ht="15.75" customHeight="1">
      <c r="A457" s="88"/>
      <c r="B457" s="88"/>
      <c r="D457" s="89"/>
      <c r="E457" s="88"/>
    </row>
    <row r="458" ht="15.75" customHeight="1">
      <c r="A458" s="88"/>
      <c r="B458" s="88"/>
      <c r="D458" s="89"/>
      <c r="E458" s="88"/>
    </row>
    <row r="459" ht="15.75" customHeight="1">
      <c r="A459" s="88"/>
      <c r="B459" s="88"/>
      <c r="D459" s="89"/>
      <c r="E459" s="88"/>
    </row>
    <row r="460" ht="15.75" customHeight="1">
      <c r="A460" s="88"/>
      <c r="B460" s="88"/>
      <c r="D460" s="89"/>
      <c r="E460" s="88"/>
    </row>
    <row r="461" ht="15.75" customHeight="1">
      <c r="A461" s="88"/>
      <c r="B461" s="88"/>
      <c r="D461" s="89"/>
      <c r="E461" s="88"/>
    </row>
    <row r="462" ht="15.75" customHeight="1">
      <c r="A462" s="88"/>
      <c r="B462" s="88"/>
      <c r="D462" s="89"/>
      <c r="E462" s="88"/>
    </row>
    <row r="463" ht="15.75" customHeight="1">
      <c r="A463" s="88"/>
      <c r="B463" s="88"/>
      <c r="D463" s="89"/>
      <c r="E463" s="88"/>
    </row>
    <row r="464" ht="15.75" customHeight="1">
      <c r="A464" s="88"/>
      <c r="B464" s="88"/>
      <c r="D464" s="89"/>
      <c r="E464" s="88"/>
    </row>
    <row r="465" ht="15.75" customHeight="1">
      <c r="A465" s="88"/>
      <c r="B465" s="88"/>
      <c r="D465" s="89"/>
      <c r="E465" s="88"/>
    </row>
    <row r="466" ht="15.75" customHeight="1">
      <c r="A466" s="88"/>
      <c r="B466" s="88"/>
      <c r="D466" s="89"/>
      <c r="E466" s="88"/>
    </row>
    <row r="467" ht="15.75" customHeight="1">
      <c r="A467" s="88"/>
      <c r="B467" s="88"/>
      <c r="D467" s="89"/>
      <c r="E467" s="88"/>
    </row>
    <row r="468" ht="15.75" customHeight="1">
      <c r="A468" s="88"/>
      <c r="B468" s="88"/>
      <c r="D468" s="89"/>
      <c r="E468" s="88"/>
    </row>
    <row r="469" ht="15.75" customHeight="1">
      <c r="A469" s="88"/>
      <c r="B469" s="88"/>
      <c r="D469" s="89"/>
      <c r="E469" s="88"/>
    </row>
    <row r="470" ht="15.75" customHeight="1">
      <c r="A470" s="88"/>
      <c r="B470" s="88"/>
      <c r="D470" s="89"/>
      <c r="E470" s="88"/>
    </row>
    <row r="471" ht="15.75" customHeight="1">
      <c r="A471" s="88"/>
      <c r="B471" s="88"/>
      <c r="D471" s="89"/>
      <c r="E471" s="88"/>
    </row>
    <row r="472" ht="15.75" customHeight="1">
      <c r="A472" s="88"/>
      <c r="B472" s="88"/>
      <c r="D472" s="89"/>
      <c r="E472" s="88"/>
    </row>
    <row r="473" ht="15.75" customHeight="1">
      <c r="A473" s="88"/>
      <c r="B473" s="88"/>
      <c r="D473" s="89"/>
      <c r="E473" s="88"/>
    </row>
    <row r="474" ht="15.75" customHeight="1">
      <c r="A474" s="88"/>
      <c r="B474" s="88"/>
      <c r="D474" s="89"/>
      <c r="E474" s="88"/>
    </row>
    <row r="475" ht="15.75" customHeight="1">
      <c r="A475" s="88"/>
      <c r="B475" s="88"/>
      <c r="D475" s="89"/>
      <c r="E475" s="88"/>
    </row>
    <row r="476" ht="15.75" customHeight="1">
      <c r="A476" s="88"/>
      <c r="B476" s="88"/>
      <c r="D476" s="89"/>
      <c r="E476" s="88"/>
    </row>
    <row r="477" ht="15.75" customHeight="1">
      <c r="A477" s="88"/>
      <c r="B477" s="88"/>
      <c r="D477" s="89"/>
      <c r="E477" s="88"/>
    </row>
    <row r="478" ht="15.75" customHeight="1">
      <c r="A478" s="88"/>
      <c r="B478" s="88"/>
      <c r="D478" s="89"/>
      <c r="E478" s="88"/>
    </row>
    <row r="479" ht="15.75" customHeight="1">
      <c r="A479" s="88"/>
      <c r="B479" s="88"/>
      <c r="D479" s="89"/>
      <c r="E479" s="88"/>
    </row>
    <row r="480" ht="15.75" customHeight="1">
      <c r="A480" s="88"/>
      <c r="B480" s="88"/>
      <c r="D480" s="89"/>
      <c r="E480" s="88"/>
    </row>
    <row r="481" ht="15.75" customHeight="1">
      <c r="A481" s="88"/>
      <c r="B481" s="88"/>
      <c r="D481" s="89"/>
      <c r="E481" s="88"/>
    </row>
    <row r="482" ht="15.75" customHeight="1">
      <c r="A482" s="88"/>
      <c r="B482" s="88"/>
      <c r="D482" s="89"/>
      <c r="E482" s="88"/>
    </row>
    <row r="483" ht="15.75" customHeight="1">
      <c r="A483" s="88"/>
      <c r="B483" s="88"/>
      <c r="D483" s="89"/>
      <c r="E483" s="88"/>
    </row>
    <row r="484" ht="15.75" customHeight="1">
      <c r="A484" s="88"/>
      <c r="B484" s="88"/>
      <c r="D484" s="89"/>
      <c r="E484" s="88"/>
    </row>
    <row r="485" ht="15.75" customHeight="1">
      <c r="A485" s="88"/>
      <c r="B485" s="88"/>
      <c r="D485" s="89"/>
      <c r="E485" s="88"/>
    </row>
    <row r="486" ht="15.75" customHeight="1">
      <c r="A486" s="88"/>
      <c r="B486" s="88"/>
      <c r="D486" s="89"/>
      <c r="E486" s="88"/>
    </row>
    <row r="487" ht="15.75" customHeight="1">
      <c r="A487" s="88"/>
      <c r="B487" s="88"/>
      <c r="D487" s="89"/>
      <c r="E487" s="88"/>
    </row>
    <row r="488" ht="15.75" customHeight="1">
      <c r="A488" s="88"/>
      <c r="B488" s="88"/>
      <c r="D488" s="89"/>
      <c r="E488" s="88"/>
    </row>
    <row r="489" ht="15.75" customHeight="1">
      <c r="A489" s="88"/>
      <c r="B489" s="88"/>
      <c r="D489" s="89"/>
      <c r="E489" s="88"/>
    </row>
    <row r="490" ht="15.75" customHeight="1">
      <c r="A490" s="88"/>
      <c r="B490" s="88"/>
      <c r="D490" s="89"/>
      <c r="E490" s="88"/>
    </row>
    <row r="491" ht="15.75" customHeight="1">
      <c r="A491" s="88"/>
      <c r="B491" s="88"/>
      <c r="D491" s="89"/>
      <c r="E491" s="88"/>
    </row>
    <row r="492" ht="15.75" customHeight="1">
      <c r="A492" s="88"/>
      <c r="B492" s="88"/>
      <c r="D492" s="89"/>
      <c r="E492" s="88"/>
    </row>
    <row r="493" ht="15.75" customHeight="1">
      <c r="A493" s="88"/>
      <c r="B493" s="88"/>
      <c r="D493" s="89"/>
      <c r="E493" s="88"/>
    </row>
    <row r="494" ht="15.75" customHeight="1">
      <c r="A494" s="88"/>
      <c r="B494" s="88"/>
      <c r="D494" s="89"/>
      <c r="E494" s="88"/>
    </row>
    <row r="495" ht="15.75" customHeight="1">
      <c r="A495" s="88"/>
      <c r="B495" s="88"/>
      <c r="D495" s="89"/>
      <c r="E495" s="88"/>
    </row>
    <row r="496" ht="15.75" customHeight="1">
      <c r="A496" s="88"/>
      <c r="B496" s="88"/>
      <c r="D496" s="89"/>
      <c r="E496" s="88"/>
    </row>
    <row r="497" ht="15.75" customHeight="1">
      <c r="A497" s="88"/>
      <c r="B497" s="88"/>
      <c r="D497" s="89"/>
      <c r="E497" s="88"/>
    </row>
    <row r="498" ht="15.75" customHeight="1">
      <c r="A498" s="88"/>
      <c r="B498" s="88"/>
      <c r="D498" s="89"/>
      <c r="E498" s="88"/>
    </row>
    <row r="499" ht="15.75" customHeight="1">
      <c r="A499" s="88"/>
      <c r="B499" s="88"/>
      <c r="D499" s="89"/>
      <c r="E499" s="88"/>
    </row>
    <row r="500" ht="15.75" customHeight="1">
      <c r="A500" s="88"/>
      <c r="B500" s="88"/>
      <c r="D500" s="89"/>
      <c r="E500" s="88"/>
    </row>
    <row r="501" ht="15.75" customHeight="1">
      <c r="A501" s="88"/>
      <c r="B501" s="88"/>
      <c r="D501" s="89"/>
      <c r="E501" s="88"/>
    </row>
    <row r="502" ht="15.75" customHeight="1">
      <c r="A502" s="88"/>
      <c r="B502" s="88"/>
      <c r="D502" s="89"/>
      <c r="E502" s="88"/>
    </row>
    <row r="503" ht="15.75" customHeight="1">
      <c r="A503" s="88"/>
      <c r="B503" s="88"/>
      <c r="D503" s="89"/>
      <c r="E503" s="88"/>
    </row>
    <row r="504" ht="15.75" customHeight="1">
      <c r="A504" s="88"/>
      <c r="B504" s="88"/>
      <c r="D504" s="89"/>
      <c r="E504" s="88"/>
    </row>
    <row r="505" ht="15.75" customHeight="1">
      <c r="A505" s="88"/>
      <c r="B505" s="88"/>
      <c r="D505" s="89"/>
      <c r="E505" s="88"/>
    </row>
    <row r="506" ht="15.75" customHeight="1">
      <c r="A506" s="88"/>
      <c r="B506" s="88"/>
      <c r="D506" s="89"/>
      <c r="E506" s="88"/>
    </row>
    <row r="507" ht="15.75" customHeight="1">
      <c r="A507" s="88"/>
      <c r="B507" s="88"/>
      <c r="D507" s="89"/>
      <c r="E507" s="88"/>
    </row>
    <row r="508" ht="15.75" customHeight="1">
      <c r="A508" s="88"/>
      <c r="B508" s="88"/>
      <c r="D508" s="89"/>
      <c r="E508" s="88"/>
    </row>
    <row r="509" ht="15.75" customHeight="1">
      <c r="A509" s="88"/>
      <c r="B509" s="88"/>
      <c r="D509" s="89"/>
      <c r="E509" s="88"/>
    </row>
    <row r="510" ht="15.75" customHeight="1">
      <c r="A510" s="88"/>
      <c r="B510" s="88"/>
      <c r="D510" s="89"/>
      <c r="E510" s="88"/>
    </row>
    <row r="511" ht="15.75" customHeight="1">
      <c r="A511" s="88"/>
      <c r="B511" s="88"/>
      <c r="D511" s="89"/>
      <c r="E511" s="88"/>
    </row>
    <row r="512" ht="15.75" customHeight="1">
      <c r="A512" s="88"/>
      <c r="B512" s="88"/>
      <c r="D512" s="89"/>
      <c r="E512" s="88"/>
    </row>
    <row r="513" ht="15.75" customHeight="1">
      <c r="A513" s="88"/>
      <c r="B513" s="88"/>
      <c r="D513" s="89"/>
      <c r="E513" s="88"/>
    </row>
    <row r="514" ht="15.75" customHeight="1">
      <c r="A514" s="88"/>
      <c r="B514" s="88"/>
      <c r="D514" s="89"/>
      <c r="E514" s="88"/>
    </row>
    <row r="515" ht="15.75" customHeight="1">
      <c r="A515" s="88"/>
      <c r="B515" s="88"/>
      <c r="D515" s="89"/>
      <c r="E515" s="88"/>
    </row>
    <row r="516" ht="15.75" customHeight="1">
      <c r="A516" s="88"/>
      <c r="B516" s="88"/>
      <c r="D516" s="89"/>
      <c r="E516" s="88"/>
    </row>
    <row r="517" ht="15.75" customHeight="1">
      <c r="A517" s="88"/>
      <c r="B517" s="88"/>
      <c r="D517" s="89"/>
      <c r="E517" s="88"/>
    </row>
    <row r="518" ht="15.75" customHeight="1">
      <c r="A518" s="88"/>
      <c r="B518" s="88"/>
      <c r="D518" s="89"/>
      <c r="E518" s="88"/>
    </row>
    <row r="519" ht="15.75" customHeight="1">
      <c r="A519" s="88"/>
      <c r="B519" s="88"/>
      <c r="D519" s="89"/>
      <c r="E519" s="88"/>
    </row>
    <row r="520" ht="15.75" customHeight="1">
      <c r="A520" s="88"/>
      <c r="B520" s="88"/>
      <c r="D520" s="89"/>
      <c r="E520" s="88"/>
    </row>
    <row r="521" ht="15.75" customHeight="1">
      <c r="A521" s="88"/>
      <c r="B521" s="88"/>
      <c r="D521" s="89"/>
      <c r="E521" s="88"/>
    </row>
    <row r="522" ht="15.75" customHeight="1">
      <c r="A522" s="88"/>
      <c r="B522" s="88"/>
      <c r="D522" s="89"/>
      <c r="E522" s="88"/>
    </row>
    <row r="523" ht="15.75" customHeight="1">
      <c r="A523" s="88"/>
      <c r="B523" s="88"/>
      <c r="D523" s="89"/>
      <c r="E523" s="88"/>
    </row>
    <row r="524" ht="15.75" customHeight="1">
      <c r="A524" s="88"/>
      <c r="B524" s="88"/>
      <c r="D524" s="89"/>
      <c r="E524" s="88"/>
    </row>
    <row r="525" ht="15.75" customHeight="1">
      <c r="A525" s="88"/>
      <c r="B525" s="88"/>
      <c r="D525" s="89"/>
      <c r="E525" s="88"/>
    </row>
    <row r="526" ht="15.75" customHeight="1">
      <c r="A526" s="88"/>
      <c r="B526" s="88"/>
      <c r="D526" s="89"/>
      <c r="E526" s="88"/>
    </row>
    <row r="527" ht="15.75" customHeight="1">
      <c r="A527" s="88"/>
      <c r="B527" s="88"/>
      <c r="D527" s="89"/>
      <c r="E527" s="88"/>
    </row>
    <row r="528" ht="15.75" customHeight="1">
      <c r="A528" s="88"/>
      <c r="B528" s="88"/>
      <c r="D528" s="89"/>
      <c r="E528" s="88"/>
    </row>
    <row r="529" ht="15.75" customHeight="1">
      <c r="A529" s="88"/>
      <c r="B529" s="88"/>
      <c r="D529" s="89"/>
      <c r="E529" s="88"/>
    </row>
    <row r="530" ht="15.75" customHeight="1">
      <c r="A530" s="88"/>
      <c r="B530" s="88"/>
      <c r="D530" s="89"/>
      <c r="E530" s="88"/>
    </row>
    <row r="531" ht="15.75" customHeight="1">
      <c r="A531" s="88"/>
      <c r="B531" s="88"/>
      <c r="D531" s="89"/>
      <c r="E531" s="88"/>
    </row>
    <row r="532" ht="15.75" customHeight="1">
      <c r="A532" s="88"/>
      <c r="B532" s="88"/>
      <c r="D532" s="89"/>
      <c r="E532" s="88"/>
    </row>
    <row r="533" ht="15.75" customHeight="1">
      <c r="A533" s="88"/>
      <c r="B533" s="88"/>
      <c r="D533" s="89"/>
      <c r="E533" s="88"/>
    </row>
    <row r="534" ht="15.75" customHeight="1">
      <c r="A534" s="88"/>
      <c r="B534" s="88"/>
      <c r="D534" s="89"/>
      <c r="E534" s="88"/>
    </row>
    <row r="535" ht="15.75" customHeight="1">
      <c r="A535" s="88"/>
      <c r="B535" s="88"/>
      <c r="D535" s="89"/>
      <c r="E535" s="88"/>
    </row>
    <row r="536" ht="15.75" customHeight="1">
      <c r="A536" s="88"/>
      <c r="B536" s="88"/>
      <c r="D536" s="89"/>
      <c r="E536" s="88"/>
    </row>
    <row r="537" ht="15.75" customHeight="1">
      <c r="A537" s="88"/>
      <c r="B537" s="88"/>
      <c r="D537" s="89"/>
      <c r="E537" s="88"/>
    </row>
    <row r="538" ht="15.75" customHeight="1">
      <c r="A538" s="88"/>
      <c r="B538" s="88"/>
      <c r="D538" s="89"/>
      <c r="E538" s="88"/>
    </row>
    <row r="539" ht="15.75" customHeight="1">
      <c r="A539" s="88"/>
      <c r="B539" s="88"/>
      <c r="D539" s="89"/>
      <c r="E539" s="88"/>
    </row>
    <row r="540" ht="15.75" customHeight="1">
      <c r="A540" s="88"/>
      <c r="B540" s="88"/>
      <c r="D540" s="89"/>
      <c r="E540" s="88"/>
    </row>
    <row r="541" ht="15.75" customHeight="1">
      <c r="A541" s="88"/>
      <c r="B541" s="88"/>
      <c r="D541" s="89"/>
      <c r="E541" s="88"/>
    </row>
    <row r="542" ht="15.75" customHeight="1">
      <c r="A542" s="88"/>
      <c r="B542" s="88"/>
      <c r="D542" s="89"/>
      <c r="E542" s="88"/>
    </row>
    <row r="543" ht="15.75" customHeight="1">
      <c r="A543" s="88"/>
      <c r="B543" s="88"/>
      <c r="D543" s="89"/>
      <c r="E543" s="88"/>
    </row>
    <row r="544" ht="15.75" customHeight="1">
      <c r="A544" s="88"/>
      <c r="B544" s="88"/>
      <c r="D544" s="89"/>
      <c r="E544" s="88"/>
    </row>
    <row r="545" ht="15.75" customHeight="1">
      <c r="A545" s="88"/>
      <c r="B545" s="88"/>
      <c r="D545" s="89"/>
      <c r="E545" s="88"/>
    </row>
    <row r="546" ht="15.75" customHeight="1">
      <c r="A546" s="88"/>
      <c r="B546" s="88"/>
      <c r="D546" s="89"/>
      <c r="E546" s="88"/>
    </row>
    <row r="547" ht="15.75" customHeight="1">
      <c r="A547" s="88"/>
      <c r="B547" s="88"/>
      <c r="D547" s="89"/>
      <c r="E547" s="88"/>
    </row>
    <row r="548" ht="15.75" customHeight="1">
      <c r="A548" s="88"/>
      <c r="B548" s="88"/>
      <c r="D548" s="89"/>
      <c r="E548" s="88"/>
    </row>
    <row r="549" ht="15.75" customHeight="1">
      <c r="A549" s="88"/>
      <c r="B549" s="88"/>
      <c r="D549" s="89"/>
      <c r="E549" s="88"/>
    </row>
    <row r="550" ht="15.75" customHeight="1">
      <c r="A550" s="88"/>
      <c r="B550" s="88"/>
      <c r="D550" s="89"/>
      <c r="E550" s="88"/>
    </row>
    <row r="551" ht="15.75" customHeight="1">
      <c r="A551" s="88"/>
      <c r="B551" s="88"/>
      <c r="D551" s="89"/>
      <c r="E551" s="88"/>
    </row>
    <row r="552" ht="15.75" customHeight="1">
      <c r="A552" s="88"/>
      <c r="B552" s="88"/>
      <c r="D552" s="89"/>
      <c r="E552" s="88"/>
    </row>
    <row r="553" ht="15.75" customHeight="1">
      <c r="A553" s="88"/>
      <c r="B553" s="88"/>
      <c r="D553" s="89"/>
      <c r="E553" s="88"/>
    </row>
    <row r="554" ht="15.75" customHeight="1">
      <c r="A554" s="88"/>
      <c r="B554" s="88"/>
      <c r="D554" s="89"/>
      <c r="E554" s="88"/>
    </row>
    <row r="555" ht="15.75" customHeight="1">
      <c r="A555" s="88"/>
      <c r="B555" s="88"/>
      <c r="D555" s="89"/>
      <c r="E555" s="88"/>
    </row>
    <row r="556" ht="15.75" customHeight="1">
      <c r="A556" s="88"/>
      <c r="B556" s="88"/>
      <c r="D556" s="89"/>
      <c r="E556" s="88"/>
    </row>
    <row r="557" ht="15.75" customHeight="1">
      <c r="A557" s="88"/>
      <c r="B557" s="88"/>
      <c r="D557" s="89"/>
      <c r="E557" s="88"/>
    </row>
    <row r="558" ht="15.75" customHeight="1">
      <c r="A558" s="88"/>
      <c r="B558" s="88"/>
      <c r="D558" s="89"/>
      <c r="E558" s="88"/>
    </row>
    <row r="559" ht="15.75" customHeight="1">
      <c r="A559" s="88"/>
      <c r="B559" s="88"/>
      <c r="D559" s="89"/>
      <c r="E559" s="88"/>
    </row>
    <row r="560" ht="15.75" customHeight="1">
      <c r="A560" s="88"/>
      <c r="B560" s="88"/>
      <c r="D560" s="89"/>
      <c r="E560" s="88"/>
    </row>
    <row r="561" ht="15.75" customHeight="1">
      <c r="A561" s="88"/>
      <c r="B561" s="88"/>
      <c r="D561" s="89"/>
      <c r="E561" s="88"/>
    </row>
    <row r="562" ht="15.75" customHeight="1">
      <c r="A562" s="88"/>
      <c r="B562" s="88"/>
      <c r="D562" s="89"/>
      <c r="E562" s="88"/>
    </row>
    <row r="563" ht="15.75" customHeight="1">
      <c r="A563" s="88"/>
      <c r="B563" s="88"/>
      <c r="D563" s="89"/>
      <c r="E563" s="88"/>
    </row>
    <row r="564" ht="15.75" customHeight="1">
      <c r="A564" s="88"/>
      <c r="B564" s="88"/>
      <c r="D564" s="89"/>
      <c r="E564" s="88"/>
    </row>
    <row r="565" ht="15.75" customHeight="1">
      <c r="A565" s="88"/>
      <c r="B565" s="88"/>
      <c r="D565" s="89"/>
      <c r="E565" s="88"/>
    </row>
    <row r="566" ht="15.75" customHeight="1">
      <c r="A566" s="88"/>
      <c r="B566" s="88"/>
      <c r="D566" s="89"/>
      <c r="E566" s="88"/>
    </row>
    <row r="567" ht="15.75" customHeight="1">
      <c r="A567" s="88"/>
      <c r="B567" s="88"/>
      <c r="D567" s="89"/>
      <c r="E567" s="88"/>
    </row>
    <row r="568" ht="15.75" customHeight="1">
      <c r="A568" s="88"/>
      <c r="B568" s="88"/>
      <c r="D568" s="89"/>
      <c r="E568" s="88"/>
    </row>
    <row r="569" ht="15.75" customHeight="1">
      <c r="A569" s="88"/>
      <c r="B569" s="88"/>
      <c r="D569" s="89"/>
      <c r="E569" s="88"/>
    </row>
    <row r="570" ht="15.75" customHeight="1">
      <c r="A570" s="88"/>
      <c r="B570" s="88"/>
      <c r="D570" s="89"/>
      <c r="E570" s="88"/>
    </row>
    <row r="571" ht="15.75" customHeight="1">
      <c r="A571" s="88"/>
      <c r="B571" s="88"/>
      <c r="D571" s="89"/>
      <c r="E571" s="88"/>
    </row>
    <row r="572" ht="15.75" customHeight="1">
      <c r="A572" s="88"/>
      <c r="B572" s="88"/>
      <c r="D572" s="89"/>
      <c r="E572" s="88"/>
    </row>
    <row r="573" ht="15.75" customHeight="1">
      <c r="A573" s="88"/>
      <c r="B573" s="88"/>
      <c r="D573" s="89"/>
      <c r="E573" s="88"/>
    </row>
    <row r="574" ht="15.75" customHeight="1">
      <c r="A574" s="88"/>
      <c r="B574" s="88"/>
      <c r="D574" s="89"/>
      <c r="E574" s="88"/>
    </row>
    <row r="575" ht="15.75" customHeight="1">
      <c r="A575" s="88"/>
      <c r="B575" s="88"/>
      <c r="D575" s="89"/>
      <c r="E575" s="88"/>
    </row>
    <row r="576" ht="15.75" customHeight="1">
      <c r="A576" s="88"/>
      <c r="B576" s="88"/>
      <c r="D576" s="89"/>
      <c r="E576" s="88"/>
    </row>
    <row r="577" ht="15.75" customHeight="1">
      <c r="A577" s="88"/>
      <c r="B577" s="88"/>
      <c r="D577" s="89"/>
      <c r="E577" s="88"/>
    </row>
    <row r="578" ht="15.75" customHeight="1">
      <c r="A578" s="88"/>
      <c r="B578" s="88"/>
      <c r="D578" s="89"/>
      <c r="E578" s="88"/>
    </row>
    <row r="579" ht="15.75" customHeight="1">
      <c r="A579" s="88"/>
      <c r="B579" s="88"/>
      <c r="D579" s="89"/>
      <c r="E579" s="88"/>
    </row>
    <row r="580" ht="15.75" customHeight="1">
      <c r="A580" s="88"/>
      <c r="B580" s="88"/>
      <c r="D580" s="89"/>
      <c r="E580" s="88"/>
    </row>
    <row r="581" ht="15.75" customHeight="1">
      <c r="A581" s="88"/>
      <c r="B581" s="88"/>
      <c r="D581" s="89"/>
      <c r="E581" s="88"/>
    </row>
    <row r="582" ht="15.75" customHeight="1">
      <c r="A582" s="88"/>
      <c r="B582" s="88"/>
      <c r="D582" s="89"/>
      <c r="E582" s="88"/>
    </row>
    <row r="583" ht="15.75" customHeight="1">
      <c r="A583" s="88"/>
      <c r="B583" s="88"/>
      <c r="D583" s="89"/>
      <c r="E583" s="88"/>
    </row>
    <row r="584" ht="15.75" customHeight="1">
      <c r="A584" s="88"/>
      <c r="B584" s="88"/>
      <c r="D584" s="89"/>
      <c r="E584" s="88"/>
    </row>
    <row r="585" ht="15.75" customHeight="1">
      <c r="A585" s="88"/>
      <c r="B585" s="88"/>
      <c r="D585" s="89"/>
      <c r="E585" s="88"/>
    </row>
    <row r="586" ht="15.75" customHeight="1">
      <c r="A586" s="88"/>
      <c r="B586" s="88"/>
      <c r="D586" s="89"/>
      <c r="E586" s="88"/>
    </row>
    <row r="587" ht="15.75" customHeight="1">
      <c r="A587" s="88"/>
      <c r="B587" s="88"/>
      <c r="D587" s="89"/>
      <c r="E587" s="88"/>
    </row>
    <row r="588" ht="15.75" customHeight="1">
      <c r="A588" s="88"/>
      <c r="B588" s="88"/>
      <c r="D588" s="89"/>
      <c r="E588" s="88"/>
    </row>
    <row r="589" ht="15.75" customHeight="1">
      <c r="A589" s="88"/>
      <c r="B589" s="88"/>
      <c r="D589" s="89"/>
      <c r="E589" s="88"/>
    </row>
    <row r="590" ht="15.75" customHeight="1">
      <c r="A590" s="88"/>
      <c r="B590" s="88"/>
      <c r="D590" s="89"/>
      <c r="E590" s="88"/>
    </row>
    <row r="591" ht="15.75" customHeight="1">
      <c r="A591" s="88"/>
      <c r="B591" s="88"/>
      <c r="D591" s="89"/>
      <c r="E591" s="88"/>
    </row>
    <row r="592" ht="15.75" customHeight="1">
      <c r="A592" s="88"/>
      <c r="B592" s="88"/>
      <c r="D592" s="89"/>
      <c r="E592" s="88"/>
    </row>
    <row r="593" ht="15.75" customHeight="1">
      <c r="A593" s="88"/>
      <c r="B593" s="88"/>
      <c r="D593" s="89"/>
      <c r="E593" s="88"/>
    </row>
    <row r="594" ht="15.75" customHeight="1">
      <c r="A594" s="88"/>
      <c r="B594" s="88"/>
      <c r="D594" s="89"/>
      <c r="E594" s="88"/>
    </row>
    <row r="595" ht="15.75" customHeight="1">
      <c r="A595" s="88"/>
      <c r="B595" s="88"/>
      <c r="D595" s="89"/>
      <c r="E595" s="88"/>
    </row>
    <row r="596" ht="15.75" customHeight="1">
      <c r="A596" s="88"/>
      <c r="B596" s="88"/>
      <c r="D596" s="89"/>
      <c r="E596" s="88"/>
    </row>
    <row r="597" ht="15.75" customHeight="1">
      <c r="A597" s="88"/>
      <c r="B597" s="88"/>
      <c r="D597" s="89"/>
      <c r="E597" s="88"/>
    </row>
    <row r="598" ht="15.75" customHeight="1">
      <c r="A598" s="88"/>
      <c r="B598" s="88"/>
      <c r="D598" s="89"/>
      <c r="E598" s="88"/>
    </row>
    <row r="599" ht="15.75" customHeight="1">
      <c r="A599" s="88"/>
      <c r="B599" s="88"/>
      <c r="D599" s="89"/>
      <c r="E599" s="88"/>
    </row>
    <row r="600" ht="15.75" customHeight="1">
      <c r="A600" s="88"/>
      <c r="B600" s="88"/>
      <c r="D600" s="89"/>
      <c r="E600" s="88"/>
    </row>
    <row r="601" ht="15.75" customHeight="1">
      <c r="A601" s="88"/>
      <c r="B601" s="88"/>
      <c r="D601" s="89"/>
      <c r="E601" s="88"/>
    </row>
    <row r="602" ht="15.75" customHeight="1">
      <c r="A602" s="88"/>
      <c r="B602" s="88"/>
      <c r="D602" s="89"/>
      <c r="E602" s="88"/>
    </row>
    <row r="603" ht="15.75" customHeight="1">
      <c r="A603" s="88"/>
      <c r="B603" s="88"/>
      <c r="D603" s="89"/>
      <c r="E603" s="88"/>
    </row>
    <row r="604" ht="15.75" customHeight="1">
      <c r="A604" s="88"/>
      <c r="B604" s="88"/>
      <c r="D604" s="89"/>
      <c r="E604" s="88"/>
    </row>
    <row r="605" ht="15.75" customHeight="1">
      <c r="A605" s="88"/>
      <c r="B605" s="88"/>
      <c r="D605" s="89"/>
      <c r="E605" s="88"/>
    </row>
    <row r="606" ht="15.75" customHeight="1">
      <c r="A606" s="88"/>
      <c r="B606" s="88"/>
      <c r="D606" s="89"/>
      <c r="E606" s="88"/>
    </row>
    <row r="607" ht="15.75" customHeight="1">
      <c r="A607" s="88"/>
      <c r="B607" s="88"/>
      <c r="D607" s="89"/>
      <c r="E607" s="88"/>
    </row>
    <row r="608" ht="15.75" customHeight="1">
      <c r="A608" s="88"/>
      <c r="B608" s="88"/>
      <c r="D608" s="89"/>
      <c r="E608" s="88"/>
    </row>
    <row r="609" ht="15.75" customHeight="1">
      <c r="A609" s="88"/>
      <c r="B609" s="88"/>
      <c r="D609" s="89"/>
      <c r="E609" s="88"/>
    </row>
    <row r="610" ht="15.75" customHeight="1">
      <c r="A610" s="88"/>
      <c r="B610" s="88"/>
      <c r="D610" s="89"/>
      <c r="E610" s="88"/>
    </row>
    <row r="611" ht="15.75" customHeight="1">
      <c r="A611" s="88"/>
      <c r="B611" s="88"/>
      <c r="D611" s="89"/>
      <c r="E611" s="88"/>
    </row>
    <row r="612" ht="15.75" customHeight="1">
      <c r="A612" s="88"/>
      <c r="B612" s="88"/>
      <c r="D612" s="89"/>
      <c r="E612" s="88"/>
    </row>
    <row r="613" ht="15.75" customHeight="1">
      <c r="A613" s="88"/>
      <c r="B613" s="88"/>
      <c r="D613" s="89"/>
      <c r="E613" s="88"/>
    </row>
    <row r="614" ht="15.75" customHeight="1">
      <c r="A614" s="88"/>
      <c r="B614" s="88"/>
      <c r="D614" s="89"/>
      <c r="E614" s="88"/>
    </row>
    <row r="615" ht="15.75" customHeight="1">
      <c r="A615" s="88"/>
      <c r="B615" s="88"/>
      <c r="D615" s="89"/>
      <c r="E615" s="88"/>
    </row>
    <row r="616" ht="15.75" customHeight="1">
      <c r="A616" s="88"/>
      <c r="B616" s="88"/>
      <c r="D616" s="89"/>
      <c r="E616" s="88"/>
    </row>
    <row r="617" ht="15.75" customHeight="1">
      <c r="A617" s="88"/>
      <c r="B617" s="88"/>
      <c r="D617" s="89"/>
      <c r="E617" s="88"/>
    </row>
    <row r="618" ht="15.75" customHeight="1">
      <c r="A618" s="88"/>
      <c r="B618" s="88"/>
      <c r="D618" s="89"/>
      <c r="E618" s="88"/>
    </row>
    <row r="619" ht="15.75" customHeight="1">
      <c r="A619" s="88"/>
      <c r="B619" s="88"/>
      <c r="D619" s="89"/>
      <c r="E619" s="88"/>
    </row>
    <row r="620" ht="15.75" customHeight="1">
      <c r="A620" s="88"/>
      <c r="B620" s="88"/>
      <c r="D620" s="89"/>
      <c r="E620" s="88"/>
    </row>
    <row r="621" ht="15.75" customHeight="1">
      <c r="A621" s="88"/>
      <c r="B621" s="88"/>
      <c r="D621" s="89"/>
      <c r="E621" s="88"/>
    </row>
    <row r="622" ht="15.75" customHeight="1">
      <c r="A622" s="88"/>
      <c r="B622" s="88"/>
      <c r="D622" s="89"/>
      <c r="E622" s="88"/>
    </row>
    <row r="623" ht="15.75" customHeight="1">
      <c r="A623" s="88"/>
      <c r="B623" s="88"/>
      <c r="D623" s="89"/>
      <c r="E623" s="88"/>
    </row>
    <row r="624" ht="15.75" customHeight="1">
      <c r="A624" s="88"/>
      <c r="B624" s="88"/>
      <c r="D624" s="89"/>
      <c r="E624" s="88"/>
    </row>
    <row r="625" ht="15.75" customHeight="1">
      <c r="A625" s="88"/>
      <c r="B625" s="88"/>
      <c r="D625" s="89"/>
      <c r="E625" s="88"/>
    </row>
    <row r="626" ht="15.75" customHeight="1">
      <c r="A626" s="88"/>
      <c r="B626" s="88"/>
      <c r="D626" s="89"/>
      <c r="E626" s="88"/>
    </row>
    <row r="627" ht="15.75" customHeight="1">
      <c r="A627" s="88"/>
      <c r="B627" s="88"/>
      <c r="D627" s="89"/>
      <c r="E627" s="88"/>
    </row>
    <row r="628" ht="15.75" customHeight="1">
      <c r="A628" s="88"/>
      <c r="B628" s="88"/>
      <c r="D628" s="89"/>
      <c r="E628" s="88"/>
    </row>
    <row r="629" ht="15.75" customHeight="1">
      <c r="A629" s="88"/>
      <c r="B629" s="88"/>
      <c r="D629" s="89"/>
      <c r="E629" s="88"/>
    </row>
    <row r="630" ht="15.75" customHeight="1">
      <c r="A630" s="88"/>
      <c r="B630" s="88"/>
      <c r="D630" s="89"/>
      <c r="E630" s="88"/>
    </row>
    <row r="631" ht="15.75" customHeight="1">
      <c r="A631" s="88"/>
      <c r="B631" s="88"/>
      <c r="D631" s="89"/>
      <c r="E631" s="88"/>
    </row>
    <row r="632" ht="15.75" customHeight="1">
      <c r="A632" s="88"/>
      <c r="B632" s="88"/>
      <c r="D632" s="89"/>
      <c r="E632" s="88"/>
    </row>
    <row r="633" ht="15.75" customHeight="1">
      <c r="A633" s="88"/>
      <c r="B633" s="88"/>
      <c r="D633" s="89"/>
      <c r="E633" s="88"/>
    </row>
    <row r="634" ht="15.75" customHeight="1">
      <c r="A634" s="88"/>
      <c r="B634" s="88"/>
      <c r="D634" s="89"/>
      <c r="E634" s="88"/>
    </row>
    <row r="635" ht="15.75" customHeight="1">
      <c r="A635" s="88"/>
      <c r="B635" s="88"/>
      <c r="D635" s="89"/>
      <c r="E635" s="88"/>
    </row>
    <row r="636" ht="15.75" customHeight="1">
      <c r="A636" s="88"/>
      <c r="B636" s="88"/>
      <c r="D636" s="89"/>
      <c r="E636" s="88"/>
    </row>
    <row r="637" ht="15.75" customHeight="1">
      <c r="A637" s="88"/>
      <c r="B637" s="88"/>
      <c r="D637" s="89"/>
      <c r="E637" s="88"/>
    </row>
    <row r="638" ht="15.75" customHeight="1">
      <c r="A638" s="88"/>
      <c r="B638" s="88"/>
      <c r="D638" s="89"/>
      <c r="E638" s="88"/>
    </row>
    <row r="639" ht="15.75" customHeight="1">
      <c r="A639" s="88"/>
      <c r="B639" s="88"/>
      <c r="D639" s="89"/>
      <c r="E639" s="88"/>
    </row>
    <row r="640" ht="15.75" customHeight="1">
      <c r="A640" s="88"/>
      <c r="B640" s="88"/>
      <c r="D640" s="89"/>
      <c r="E640" s="88"/>
    </row>
    <row r="641" ht="15.75" customHeight="1">
      <c r="A641" s="88"/>
      <c r="B641" s="88"/>
      <c r="D641" s="89"/>
      <c r="E641" s="88"/>
    </row>
    <row r="642" ht="15.75" customHeight="1">
      <c r="A642" s="88"/>
      <c r="B642" s="88"/>
      <c r="D642" s="89"/>
      <c r="E642" s="88"/>
    </row>
    <row r="643" ht="15.75" customHeight="1">
      <c r="A643" s="88"/>
      <c r="B643" s="88"/>
      <c r="D643" s="89"/>
      <c r="E643" s="88"/>
    </row>
    <row r="644" ht="15.75" customHeight="1">
      <c r="A644" s="88"/>
      <c r="B644" s="88"/>
      <c r="D644" s="89"/>
      <c r="E644" s="88"/>
    </row>
    <row r="645" ht="15.75" customHeight="1">
      <c r="A645" s="88"/>
      <c r="B645" s="88"/>
      <c r="D645" s="89"/>
      <c r="E645" s="88"/>
    </row>
    <row r="646" ht="15.75" customHeight="1">
      <c r="A646" s="88"/>
      <c r="B646" s="88"/>
      <c r="D646" s="89"/>
      <c r="E646" s="88"/>
    </row>
    <row r="647" ht="15.75" customHeight="1">
      <c r="A647" s="88"/>
      <c r="B647" s="88"/>
      <c r="D647" s="89"/>
      <c r="E647" s="88"/>
    </row>
    <row r="648" ht="15.75" customHeight="1">
      <c r="A648" s="88"/>
      <c r="B648" s="88"/>
      <c r="D648" s="89"/>
      <c r="E648" s="88"/>
    </row>
    <row r="649" ht="15.75" customHeight="1">
      <c r="A649" s="88"/>
      <c r="B649" s="88"/>
      <c r="D649" s="89"/>
      <c r="E649" s="88"/>
    </row>
    <row r="650" ht="15.75" customHeight="1">
      <c r="A650" s="88"/>
      <c r="B650" s="88"/>
      <c r="D650" s="89"/>
      <c r="E650" s="88"/>
    </row>
    <row r="651" ht="15.75" customHeight="1">
      <c r="A651" s="88"/>
      <c r="B651" s="88"/>
      <c r="D651" s="89"/>
      <c r="E651" s="88"/>
    </row>
    <row r="652" ht="15.75" customHeight="1">
      <c r="A652" s="88"/>
      <c r="B652" s="88"/>
      <c r="D652" s="89"/>
      <c r="E652" s="88"/>
    </row>
    <row r="653" ht="15.75" customHeight="1">
      <c r="A653" s="88"/>
      <c r="B653" s="88"/>
      <c r="D653" s="89"/>
      <c r="E653" s="88"/>
    </row>
    <row r="654" ht="15.75" customHeight="1">
      <c r="A654" s="88"/>
      <c r="B654" s="88"/>
      <c r="D654" s="89"/>
      <c r="E654" s="88"/>
    </row>
    <row r="655" ht="15.75" customHeight="1">
      <c r="A655" s="88"/>
      <c r="B655" s="88"/>
      <c r="D655" s="89"/>
      <c r="E655" s="88"/>
    </row>
    <row r="656" ht="15.75" customHeight="1">
      <c r="A656" s="88"/>
      <c r="B656" s="88"/>
      <c r="D656" s="89"/>
      <c r="E656" s="88"/>
    </row>
    <row r="657" ht="15.75" customHeight="1">
      <c r="A657" s="88"/>
      <c r="B657" s="88"/>
      <c r="D657" s="89"/>
      <c r="E657" s="88"/>
    </row>
    <row r="658" ht="15.75" customHeight="1">
      <c r="A658" s="88"/>
      <c r="B658" s="88"/>
      <c r="D658" s="89"/>
      <c r="E658" s="88"/>
    </row>
    <row r="659" ht="15.75" customHeight="1">
      <c r="A659" s="88"/>
      <c r="B659" s="88"/>
      <c r="D659" s="89"/>
      <c r="E659" s="88"/>
    </row>
    <row r="660" ht="15.75" customHeight="1">
      <c r="A660" s="88"/>
      <c r="B660" s="88"/>
      <c r="D660" s="89"/>
      <c r="E660" s="88"/>
    </row>
    <row r="661" ht="15.75" customHeight="1">
      <c r="A661" s="88"/>
      <c r="B661" s="88"/>
      <c r="D661" s="89"/>
      <c r="E661" s="88"/>
    </row>
    <row r="662" ht="15.75" customHeight="1">
      <c r="A662" s="88"/>
      <c r="B662" s="88"/>
      <c r="D662" s="89"/>
      <c r="E662" s="88"/>
    </row>
    <row r="663" ht="15.75" customHeight="1">
      <c r="A663" s="88"/>
      <c r="B663" s="88"/>
      <c r="D663" s="89"/>
      <c r="E663" s="88"/>
    </row>
    <row r="664" ht="15.75" customHeight="1">
      <c r="A664" s="88"/>
      <c r="B664" s="88"/>
      <c r="D664" s="89"/>
      <c r="E664" s="88"/>
    </row>
    <row r="665" ht="15.75" customHeight="1">
      <c r="A665" s="88"/>
      <c r="B665" s="88"/>
      <c r="D665" s="89"/>
      <c r="E665" s="88"/>
    </row>
    <row r="666" ht="15.75" customHeight="1">
      <c r="A666" s="88"/>
      <c r="B666" s="88"/>
      <c r="D666" s="89"/>
      <c r="E666" s="88"/>
    </row>
    <row r="667" ht="15.75" customHeight="1">
      <c r="A667" s="88"/>
      <c r="B667" s="88"/>
      <c r="D667" s="89"/>
      <c r="E667" s="88"/>
    </row>
    <row r="668" ht="15.75" customHeight="1">
      <c r="A668" s="88"/>
      <c r="B668" s="88"/>
      <c r="D668" s="89"/>
      <c r="E668" s="88"/>
    </row>
    <row r="669" ht="15.75" customHeight="1">
      <c r="A669" s="88"/>
      <c r="B669" s="88"/>
      <c r="D669" s="89"/>
      <c r="E669" s="88"/>
    </row>
    <row r="670" ht="15.75" customHeight="1">
      <c r="A670" s="88"/>
      <c r="B670" s="88"/>
      <c r="D670" s="89"/>
      <c r="E670" s="88"/>
    </row>
    <row r="671" ht="15.75" customHeight="1">
      <c r="A671" s="88"/>
      <c r="B671" s="88"/>
      <c r="D671" s="89"/>
      <c r="E671" s="88"/>
    </row>
    <row r="672" ht="15.75" customHeight="1">
      <c r="A672" s="88"/>
      <c r="B672" s="88"/>
      <c r="D672" s="89"/>
      <c r="E672" s="88"/>
    </row>
    <row r="673" ht="15.75" customHeight="1">
      <c r="A673" s="88"/>
      <c r="B673" s="88"/>
      <c r="D673" s="89"/>
      <c r="E673" s="88"/>
    </row>
    <row r="674" ht="15.75" customHeight="1">
      <c r="A674" s="88"/>
      <c r="B674" s="88"/>
      <c r="D674" s="89"/>
      <c r="E674" s="88"/>
    </row>
    <row r="675" ht="15.75" customHeight="1">
      <c r="A675" s="88"/>
      <c r="B675" s="88"/>
      <c r="D675" s="89"/>
      <c r="E675" s="88"/>
    </row>
    <row r="676" ht="15.75" customHeight="1">
      <c r="A676" s="88"/>
      <c r="B676" s="88"/>
      <c r="D676" s="89"/>
      <c r="E676" s="88"/>
    </row>
    <row r="677" ht="15.75" customHeight="1">
      <c r="A677" s="88"/>
      <c r="B677" s="88"/>
      <c r="D677" s="89"/>
      <c r="E677" s="88"/>
    </row>
    <row r="678" ht="15.75" customHeight="1">
      <c r="A678" s="88"/>
      <c r="B678" s="88"/>
      <c r="D678" s="89"/>
      <c r="E678" s="88"/>
    </row>
    <row r="679" ht="15.75" customHeight="1">
      <c r="A679" s="88"/>
      <c r="B679" s="88"/>
      <c r="D679" s="89"/>
      <c r="E679" s="88"/>
    </row>
    <row r="680" ht="15.75" customHeight="1">
      <c r="A680" s="88"/>
      <c r="B680" s="88"/>
      <c r="D680" s="89"/>
      <c r="E680" s="88"/>
    </row>
    <row r="681" ht="15.75" customHeight="1">
      <c r="A681" s="88"/>
      <c r="B681" s="88"/>
      <c r="D681" s="89"/>
      <c r="E681" s="88"/>
    </row>
    <row r="682" ht="15.75" customHeight="1">
      <c r="A682" s="88"/>
      <c r="B682" s="88"/>
      <c r="D682" s="89"/>
      <c r="E682" s="88"/>
    </row>
    <row r="683" ht="15.75" customHeight="1">
      <c r="A683" s="88"/>
      <c r="B683" s="88"/>
      <c r="D683" s="89"/>
      <c r="E683" s="88"/>
    </row>
    <row r="684" ht="15.75" customHeight="1">
      <c r="A684" s="88"/>
      <c r="B684" s="88"/>
      <c r="D684" s="89"/>
      <c r="E684" s="88"/>
    </row>
    <row r="685" ht="15.75" customHeight="1">
      <c r="A685" s="88"/>
      <c r="B685" s="88"/>
      <c r="D685" s="89"/>
      <c r="E685" s="88"/>
    </row>
    <row r="686" ht="15.75" customHeight="1">
      <c r="A686" s="88"/>
      <c r="B686" s="88"/>
      <c r="D686" s="89"/>
      <c r="E686" s="88"/>
    </row>
    <row r="687" ht="15.75" customHeight="1">
      <c r="A687" s="88"/>
      <c r="B687" s="88"/>
      <c r="D687" s="89"/>
      <c r="E687" s="88"/>
    </row>
    <row r="688" ht="15.75" customHeight="1">
      <c r="A688" s="88"/>
      <c r="B688" s="88"/>
      <c r="D688" s="89"/>
      <c r="E688" s="88"/>
    </row>
    <row r="689" ht="15.75" customHeight="1">
      <c r="A689" s="88"/>
      <c r="B689" s="88"/>
      <c r="D689" s="89"/>
      <c r="E689" s="88"/>
    </row>
    <row r="690" ht="15.75" customHeight="1">
      <c r="A690" s="88"/>
      <c r="B690" s="88"/>
      <c r="D690" s="89"/>
      <c r="E690" s="88"/>
    </row>
    <row r="691" ht="15.75" customHeight="1">
      <c r="A691" s="88"/>
      <c r="B691" s="88"/>
      <c r="D691" s="89"/>
      <c r="E691" s="88"/>
    </row>
    <row r="692" ht="15.75" customHeight="1">
      <c r="A692" s="88"/>
      <c r="B692" s="88"/>
      <c r="D692" s="89"/>
      <c r="E692" s="88"/>
    </row>
    <row r="693" ht="15.75" customHeight="1">
      <c r="A693" s="88"/>
      <c r="B693" s="88"/>
      <c r="D693" s="89"/>
      <c r="E693" s="88"/>
    </row>
    <row r="694" ht="15.75" customHeight="1">
      <c r="A694" s="88"/>
      <c r="B694" s="88"/>
      <c r="D694" s="89"/>
      <c r="E694" s="88"/>
    </row>
    <row r="695" ht="15.75" customHeight="1">
      <c r="A695" s="88"/>
      <c r="B695" s="88"/>
      <c r="D695" s="89"/>
      <c r="E695" s="88"/>
    </row>
    <row r="696" ht="15.75" customHeight="1">
      <c r="A696" s="88"/>
      <c r="B696" s="88"/>
      <c r="D696" s="89"/>
      <c r="E696" s="88"/>
    </row>
    <row r="697" ht="15.75" customHeight="1">
      <c r="A697" s="88"/>
      <c r="B697" s="88"/>
      <c r="D697" s="89"/>
      <c r="E697" s="88"/>
    </row>
    <row r="698" ht="15.75" customHeight="1">
      <c r="A698" s="88"/>
      <c r="B698" s="88"/>
      <c r="D698" s="89"/>
      <c r="E698" s="88"/>
    </row>
    <row r="699" ht="15.75" customHeight="1">
      <c r="A699" s="88"/>
      <c r="B699" s="88"/>
      <c r="D699" s="89"/>
      <c r="E699" s="88"/>
    </row>
    <row r="700" ht="15.75" customHeight="1">
      <c r="A700" s="88"/>
      <c r="B700" s="88"/>
      <c r="D700" s="89"/>
      <c r="E700" s="88"/>
    </row>
    <row r="701" ht="15.75" customHeight="1">
      <c r="A701" s="88"/>
      <c r="B701" s="88"/>
      <c r="D701" s="89"/>
      <c r="E701" s="88"/>
    </row>
    <row r="702" ht="15.75" customHeight="1">
      <c r="A702" s="88"/>
      <c r="B702" s="88"/>
      <c r="D702" s="89"/>
      <c r="E702" s="88"/>
    </row>
    <row r="703" ht="15.75" customHeight="1">
      <c r="A703" s="88"/>
      <c r="B703" s="88"/>
      <c r="D703" s="89"/>
      <c r="E703" s="88"/>
    </row>
    <row r="704" ht="15.75" customHeight="1">
      <c r="A704" s="88"/>
      <c r="B704" s="88"/>
      <c r="D704" s="89"/>
      <c r="E704" s="88"/>
    </row>
    <row r="705" ht="15.75" customHeight="1">
      <c r="A705" s="88"/>
      <c r="B705" s="88"/>
      <c r="D705" s="89"/>
      <c r="E705" s="88"/>
    </row>
    <row r="706" ht="15.75" customHeight="1">
      <c r="A706" s="88"/>
      <c r="B706" s="88"/>
      <c r="D706" s="89"/>
      <c r="E706" s="88"/>
    </row>
    <row r="707" ht="15.75" customHeight="1">
      <c r="A707" s="88"/>
      <c r="B707" s="88"/>
      <c r="D707" s="89"/>
      <c r="E707" s="88"/>
    </row>
    <row r="708" ht="15.75" customHeight="1">
      <c r="A708" s="88"/>
      <c r="B708" s="88"/>
      <c r="D708" s="89"/>
      <c r="E708" s="88"/>
    </row>
    <row r="709" ht="15.75" customHeight="1">
      <c r="A709" s="88"/>
      <c r="B709" s="88"/>
      <c r="D709" s="89"/>
      <c r="E709" s="88"/>
    </row>
    <row r="710" ht="15.75" customHeight="1">
      <c r="A710" s="88"/>
      <c r="B710" s="88"/>
      <c r="D710" s="89"/>
      <c r="E710" s="88"/>
    </row>
    <row r="711" ht="15.75" customHeight="1">
      <c r="A711" s="88"/>
      <c r="B711" s="88"/>
      <c r="D711" s="89"/>
      <c r="E711" s="88"/>
    </row>
    <row r="712" ht="15.75" customHeight="1">
      <c r="A712" s="88"/>
      <c r="B712" s="88"/>
      <c r="D712" s="89"/>
      <c r="E712" s="88"/>
    </row>
    <row r="713" ht="15.75" customHeight="1">
      <c r="A713" s="88"/>
      <c r="B713" s="88"/>
      <c r="D713" s="89"/>
      <c r="E713" s="88"/>
    </row>
    <row r="714" ht="15.75" customHeight="1">
      <c r="A714" s="88"/>
      <c r="B714" s="88"/>
      <c r="D714" s="89"/>
      <c r="E714" s="88"/>
    </row>
    <row r="715" ht="15.75" customHeight="1">
      <c r="A715" s="88"/>
      <c r="B715" s="88"/>
      <c r="D715" s="89"/>
      <c r="E715" s="88"/>
    </row>
    <row r="716" ht="15.75" customHeight="1">
      <c r="A716" s="88"/>
      <c r="B716" s="88"/>
      <c r="D716" s="89"/>
      <c r="E716" s="88"/>
    </row>
    <row r="717" ht="15.75" customHeight="1">
      <c r="A717" s="88"/>
      <c r="B717" s="88"/>
      <c r="D717" s="89"/>
      <c r="E717" s="88"/>
    </row>
    <row r="718" ht="15.75" customHeight="1">
      <c r="A718" s="88"/>
      <c r="B718" s="88"/>
      <c r="D718" s="89"/>
      <c r="E718" s="88"/>
    </row>
    <row r="719" ht="15.75" customHeight="1">
      <c r="A719" s="88"/>
      <c r="B719" s="88"/>
      <c r="D719" s="89"/>
      <c r="E719" s="88"/>
    </row>
    <row r="720" ht="15.75" customHeight="1">
      <c r="A720" s="88"/>
      <c r="B720" s="88"/>
      <c r="D720" s="89"/>
      <c r="E720" s="88"/>
    </row>
    <row r="721" ht="15.75" customHeight="1">
      <c r="A721" s="88"/>
      <c r="B721" s="88"/>
      <c r="D721" s="89"/>
      <c r="E721" s="88"/>
    </row>
    <row r="722" ht="15.75" customHeight="1">
      <c r="A722" s="88"/>
      <c r="B722" s="88"/>
      <c r="D722" s="89"/>
      <c r="E722" s="88"/>
    </row>
    <row r="723" ht="15.75" customHeight="1">
      <c r="A723" s="88"/>
      <c r="B723" s="88"/>
      <c r="D723" s="89"/>
      <c r="E723" s="88"/>
    </row>
    <row r="724" ht="15.75" customHeight="1">
      <c r="A724" s="88"/>
      <c r="B724" s="88"/>
      <c r="D724" s="89"/>
      <c r="E724" s="88"/>
    </row>
    <row r="725" ht="15.75" customHeight="1">
      <c r="A725" s="88"/>
      <c r="B725" s="88"/>
      <c r="D725" s="89"/>
      <c r="E725" s="88"/>
    </row>
    <row r="726" ht="15.75" customHeight="1">
      <c r="A726" s="88"/>
      <c r="B726" s="88"/>
      <c r="D726" s="89"/>
      <c r="E726" s="88"/>
    </row>
    <row r="727" ht="15.75" customHeight="1">
      <c r="A727" s="88"/>
      <c r="B727" s="88"/>
      <c r="D727" s="89"/>
      <c r="E727" s="88"/>
    </row>
    <row r="728" ht="15.75" customHeight="1">
      <c r="A728" s="88"/>
      <c r="B728" s="88"/>
      <c r="D728" s="89"/>
      <c r="E728" s="88"/>
    </row>
    <row r="729" ht="15.75" customHeight="1">
      <c r="A729" s="88"/>
      <c r="B729" s="88"/>
      <c r="D729" s="89"/>
      <c r="E729" s="88"/>
    </row>
    <row r="730" ht="15.75" customHeight="1">
      <c r="A730" s="88"/>
      <c r="B730" s="88"/>
      <c r="D730" s="89"/>
      <c r="E730" s="88"/>
    </row>
    <row r="731" ht="15.75" customHeight="1">
      <c r="A731" s="88"/>
      <c r="B731" s="88"/>
      <c r="D731" s="89"/>
      <c r="E731" s="88"/>
    </row>
    <row r="732" ht="15.75" customHeight="1">
      <c r="A732" s="88"/>
      <c r="B732" s="88"/>
      <c r="D732" s="89"/>
      <c r="E732" s="88"/>
    </row>
    <row r="733" ht="15.75" customHeight="1">
      <c r="A733" s="88"/>
      <c r="B733" s="88"/>
      <c r="D733" s="89"/>
      <c r="E733" s="88"/>
    </row>
    <row r="734" ht="15.75" customHeight="1">
      <c r="A734" s="88"/>
      <c r="B734" s="88"/>
      <c r="D734" s="89"/>
      <c r="E734" s="88"/>
    </row>
    <row r="735" ht="15.75" customHeight="1">
      <c r="A735" s="88"/>
      <c r="B735" s="88"/>
      <c r="D735" s="89"/>
      <c r="E735" s="88"/>
    </row>
    <row r="736" ht="15.75" customHeight="1">
      <c r="A736" s="88"/>
      <c r="B736" s="88"/>
      <c r="D736" s="89"/>
      <c r="E736" s="88"/>
    </row>
    <row r="737" ht="15.75" customHeight="1">
      <c r="A737" s="88"/>
      <c r="B737" s="88"/>
      <c r="D737" s="89"/>
      <c r="E737" s="88"/>
    </row>
    <row r="738" ht="15.75" customHeight="1">
      <c r="A738" s="88"/>
      <c r="B738" s="88"/>
      <c r="D738" s="89"/>
      <c r="E738" s="88"/>
    </row>
    <row r="739" ht="15.75" customHeight="1">
      <c r="A739" s="88"/>
      <c r="B739" s="88"/>
      <c r="D739" s="89"/>
      <c r="E739" s="88"/>
    </row>
    <row r="740" ht="15.75" customHeight="1">
      <c r="A740" s="88"/>
      <c r="B740" s="88"/>
      <c r="D740" s="89"/>
      <c r="E740" s="88"/>
    </row>
    <row r="741" ht="15.75" customHeight="1">
      <c r="A741" s="88"/>
      <c r="B741" s="88"/>
      <c r="D741" s="89"/>
      <c r="E741" s="88"/>
    </row>
    <row r="742" ht="15.75" customHeight="1">
      <c r="A742" s="88"/>
      <c r="B742" s="88"/>
      <c r="D742" s="89"/>
      <c r="E742" s="88"/>
    </row>
    <row r="743" ht="15.75" customHeight="1">
      <c r="A743" s="88"/>
      <c r="B743" s="88"/>
      <c r="D743" s="89"/>
      <c r="E743" s="88"/>
    </row>
    <row r="744" ht="15.75" customHeight="1">
      <c r="A744" s="88"/>
      <c r="B744" s="88"/>
      <c r="D744" s="89"/>
      <c r="E744" s="88"/>
    </row>
    <row r="745" ht="15.75" customHeight="1">
      <c r="A745" s="88"/>
      <c r="B745" s="88"/>
      <c r="D745" s="89"/>
      <c r="E745" s="88"/>
    </row>
    <row r="746" ht="15.75" customHeight="1">
      <c r="A746" s="88"/>
      <c r="B746" s="88"/>
      <c r="D746" s="89"/>
      <c r="E746" s="88"/>
    </row>
    <row r="747" ht="15.75" customHeight="1">
      <c r="A747" s="88"/>
      <c r="B747" s="88"/>
      <c r="D747" s="89"/>
      <c r="E747" s="88"/>
    </row>
    <row r="748" ht="15.75" customHeight="1">
      <c r="A748" s="88"/>
      <c r="B748" s="88"/>
      <c r="D748" s="89"/>
      <c r="E748" s="88"/>
    </row>
    <row r="749" ht="15.75" customHeight="1">
      <c r="A749" s="88"/>
      <c r="B749" s="88"/>
      <c r="D749" s="89"/>
      <c r="E749" s="88"/>
    </row>
    <row r="750" ht="15.75" customHeight="1">
      <c r="A750" s="88"/>
      <c r="B750" s="88"/>
      <c r="D750" s="89"/>
      <c r="E750" s="88"/>
    </row>
    <row r="751" ht="15.75" customHeight="1">
      <c r="A751" s="88"/>
      <c r="B751" s="88"/>
      <c r="D751" s="89"/>
      <c r="E751" s="88"/>
    </row>
    <row r="752" ht="15.75" customHeight="1">
      <c r="A752" s="88"/>
      <c r="B752" s="88"/>
      <c r="D752" s="89"/>
      <c r="E752" s="88"/>
    </row>
    <row r="753" ht="15.75" customHeight="1">
      <c r="A753" s="88"/>
      <c r="B753" s="88"/>
      <c r="D753" s="89"/>
      <c r="E753" s="88"/>
    </row>
    <row r="754" ht="15.75" customHeight="1">
      <c r="A754" s="88"/>
      <c r="B754" s="88"/>
      <c r="D754" s="89"/>
      <c r="E754" s="88"/>
    </row>
    <row r="755" ht="15.75" customHeight="1">
      <c r="A755" s="88"/>
      <c r="B755" s="88"/>
      <c r="D755" s="89"/>
      <c r="E755" s="88"/>
    </row>
    <row r="756" ht="15.75" customHeight="1">
      <c r="A756" s="88"/>
      <c r="B756" s="88"/>
      <c r="D756" s="89"/>
      <c r="E756" s="88"/>
    </row>
    <row r="757" ht="15.75" customHeight="1">
      <c r="A757" s="88"/>
      <c r="B757" s="88"/>
      <c r="D757" s="89"/>
      <c r="E757" s="88"/>
    </row>
    <row r="758" ht="15.75" customHeight="1">
      <c r="A758" s="88"/>
      <c r="B758" s="88"/>
      <c r="D758" s="89"/>
      <c r="E758" s="88"/>
    </row>
    <row r="759" ht="15.75" customHeight="1">
      <c r="A759" s="88"/>
      <c r="B759" s="88"/>
      <c r="D759" s="89"/>
      <c r="E759" s="88"/>
    </row>
    <row r="760" ht="15.75" customHeight="1">
      <c r="A760" s="88"/>
      <c r="B760" s="88"/>
      <c r="D760" s="89"/>
      <c r="E760" s="88"/>
    </row>
    <row r="761" ht="15.75" customHeight="1">
      <c r="A761" s="88"/>
      <c r="B761" s="88"/>
      <c r="D761" s="89"/>
      <c r="E761" s="88"/>
    </row>
    <row r="762" ht="15.75" customHeight="1">
      <c r="A762" s="88"/>
      <c r="B762" s="88"/>
      <c r="D762" s="89"/>
      <c r="E762" s="88"/>
    </row>
    <row r="763" ht="15.75" customHeight="1">
      <c r="A763" s="88"/>
      <c r="B763" s="88"/>
      <c r="D763" s="89"/>
      <c r="E763" s="88"/>
    </row>
    <row r="764" ht="15.75" customHeight="1">
      <c r="A764" s="88"/>
      <c r="B764" s="88"/>
      <c r="D764" s="89"/>
      <c r="E764" s="88"/>
    </row>
    <row r="765" ht="15.75" customHeight="1">
      <c r="A765" s="88"/>
      <c r="B765" s="88"/>
      <c r="D765" s="89"/>
      <c r="E765" s="88"/>
    </row>
    <row r="766" ht="15.75" customHeight="1">
      <c r="A766" s="88"/>
      <c r="B766" s="88"/>
      <c r="D766" s="89"/>
      <c r="E766" s="88"/>
    </row>
    <row r="767" ht="15.75" customHeight="1">
      <c r="A767" s="88"/>
      <c r="B767" s="88"/>
      <c r="D767" s="89"/>
      <c r="E767" s="88"/>
    </row>
    <row r="768" ht="15.75" customHeight="1">
      <c r="A768" s="88"/>
      <c r="B768" s="88"/>
      <c r="D768" s="89"/>
      <c r="E768" s="88"/>
    </row>
    <row r="769" ht="15.75" customHeight="1">
      <c r="A769" s="88"/>
      <c r="B769" s="88"/>
      <c r="D769" s="89"/>
      <c r="E769" s="88"/>
    </row>
    <row r="770" ht="15.75" customHeight="1">
      <c r="A770" s="88"/>
      <c r="B770" s="88"/>
      <c r="D770" s="89"/>
      <c r="E770" s="88"/>
    </row>
    <row r="771" ht="15.75" customHeight="1">
      <c r="A771" s="88"/>
      <c r="B771" s="88"/>
      <c r="D771" s="89"/>
      <c r="E771" s="88"/>
    </row>
    <row r="772" ht="15.75" customHeight="1">
      <c r="A772" s="88"/>
      <c r="B772" s="88"/>
      <c r="D772" s="89"/>
      <c r="E772" s="88"/>
    </row>
    <row r="773" ht="15.75" customHeight="1">
      <c r="A773" s="88"/>
      <c r="B773" s="88"/>
      <c r="D773" s="89"/>
      <c r="E773" s="88"/>
    </row>
    <row r="774" ht="15.75" customHeight="1">
      <c r="A774" s="88"/>
      <c r="B774" s="88"/>
      <c r="D774" s="89"/>
      <c r="E774" s="88"/>
    </row>
    <row r="775" ht="15.75" customHeight="1">
      <c r="A775" s="88"/>
      <c r="B775" s="88"/>
      <c r="D775" s="89"/>
      <c r="E775" s="88"/>
    </row>
    <row r="776" ht="15.75" customHeight="1">
      <c r="A776" s="88"/>
      <c r="B776" s="88"/>
      <c r="D776" s="89"/>
      <c r="E776" s="88"/>
    </row>
    <row r="777" ht="15.75" customHeight="1">
      <c r="A777" s="88"/>
      <c r="B777" s="88"/>
      <c r="D777" s="89"/>
      <c r="E777" s="88"/>
    </row>
    <row r="778" ht="15.75" customHeight="1">
      <c r="A778" s="88"/>
      <c r="B778" s="88"/>
      <c r="D778" s="89"/>
      <c r="E778" s="88"/>
    </row>
    <row r="779" ht="15.75" customHeight="1">
      <c r="A779" s="88"/>
      <c r="B779" s="88"/>
      <c r="D779" s="89"/>
      <c r="E779" s="88"/>
    </row>
    <row r="780" ht="15.75" customHeight="1">
      <c r="A780" s="88"/>
      <c r="B780" s="88"/>
      <c r="D780" s="89"/>
      <c r="E780" s="88"/>
    </row>
    <row r="781" ht="15.75" customHeight="1">
      <c r="A781" s="88"/>
      <c r="B781" s="88"/>
      <c r="D781" s="89"/>
      <c r="E781" s="88"/>
    </row>
    <row r="782" ht="15.75" customHeight="1">
      <c r="A782" s="88"/>
      <c r="B782" s="88"/>
      <c r="D782" s="89"/>
      <c r="E782" s="88"/>
    </row>
    <row r="783" ht="15.75" customHeight="1">
      <c r="A783" s="88"/>
      <c r="B783" s="88"/>
      <c r="D783" s="89"/>
      <c r="E783" s="88"/>
    </row>
    <row r="784" ht="15.75" customHeight="1">
      <c r="A784" s="88"/>
      <c r="B784" s="88"/>
      <c r="D784" s="89"/>
      <c r="E784" s="88"/>
    </row>
    <row r="785" ht="15.75" customHeight="1">
      <c r="A785" s="88"/>
      <c r="B785" s="88"/>
      <c r="D785" s="89"/>
      <c r="E785" s="88"/>
    </row>
    <row r="786" ht="15.75" customHeight="1">
      <c r="A786" s="88"/>
      <c r="B786" s="88"/>
      <c r="D786" s="89"/>
      <c r="E786" s="88"/>
    </row>
    <row r="787" ht="15.75" customHeight="1">
      <c r="A787" s="88"/>
      <c r="B787" s="88"/>
      <c r="D787" s="89"/>
      <c r="E787" s="88"/>
    </row>
    <row r="788" ht="15.75" customHeight="1">
      <c r="A788" s="88"/>
      <c r="B788" s="88"/>
      <c r="D788" s="89"/>
      <c r="E788" s="88"/>
    </row>
    <row r="789" ht="15.75" customHeight="1">
      <c r="A789" s="88"/>
      <c r="B789" s="88"/>
      <c r="D789" s="89"/>
      <c r="E789" s="88"/>
    </row>
    <row r="790" ht="15.75" customHeight="1">
      <c r="A790" s="88"/>
      <c r="B790" s="88"/>
      <c r="D790" s="89"/>
      <c r="E790" s="88"/>
    </row>
    <row r="791" ht="15.75" customHeight="1">
      <c r="A791" s="88"/>
      <c r="B791" s="88"/>
      <c r="D791" s="89"/>
      <c r="E791" s="88"/>
    </row>
    <row r="792" ht="15.75" customHeight="1">
      <c r="A792" s="88"/>
      <c r="B792" s="88"/>
      <c r="D792" s="89"/>
      <c r="E792" s="88"/>
    </row>
    <row r="793" ht="15.75" customHeight="1">
      <c r="A793" s="88"/>
      <c r="B793" s="88"/>
      <c r="D793" s="89"/>
      <c r="E793" s="88"/>
    </row>
    <row r="794" ht="15.75" customHeight="1">
      <c r="A794" s="88"/>
      <c r="B794" s="88"/>
      <c r="D794" s="89"/>
      <c r="E794" s="88"/>
    </row>
    <row r="795" ht="15.75" customHeight="1">
      <c r="A795" s="88"/>
      <c r="B795" s="88"/>
      <c r="D795" s="89"/>
      <c r="E795" s="88"/>
    </row>
    <row r="796" ht="15.75" customHeight="1">
      <c r="A796" s="88"/>
      <c r="B796" s="88"/>
      <c r="D796" s="89"/>
      <c r="E796" s="88"/>
    </row>
    <row r="797" ht="15.75" customHeight="1">
      <c r="A797" s="88"/>
      <c r="B797" s="88"/>
      <c r="D797" s="89"/>
      <c r="E797" s="88"/>
    </row>
    <row r="798" ht="15.75" customHeight="1">
      <c r="A798" s="88"/>
      <c r="B798" s="88"/>
      <c r="D798" s="89"/>
      <c r="E798" s="88"/>
    </row>
    <row r="799" ht="15.75" customHeight="1">
      <c r="A799" s="88"/>
      <c r="B799" s="88"/>
      <c r="D799" s="89"/>
      <c r="E799" s="88"/>
    </row>
    <row r="800" ht="15.75" customHeight="1">
      <c r="A800" s="88"/>
      <c r="B800" s="88"/>
      <c r="D800" s="89"/>
      <c r="E800" s="88"/>
    </row>
    <row r="801" ht="15.75" customHeight="1">
      <c r="A801" s="88"/>
      <c r="B801" s="88"/>
      <c r="D801" s="89"/>
      <c r="E801" s="88"/>
    </row>
    <row r="802" ht="15.75" customHeight="1">
      <c r="A802" s="88"/>
      <c r="B802" s="88"/>
      <c r="D802" s="89"/>
      <c r="E802" s="88"/>
    </row>
    <row r="803" ht="15.75" customHeight="1">
      <c r="A803" s="88"/>
      <c r="B803" s="88"/>
      <c r="D803" s="89"/>
      <c r="E803" s="88"/>
    </row>
    <row r="804" ht="15.75" customHeight="1">
      <c r="A804" s="88"/>
      <c r="B804" s="88"/>
      <c r="D804" s="89"/>
      <c r="E804" s="88"/>
    </row>
    <row r="805" ht="15.75" customHeight="1">
      <c r="A805" s="88"/>
      <c r="B805" s="88"/>
      <c r="D805" s="89"/>
      <c r="E805" s="88"/>
    </row>
    <row r="806" ht="15.75" customHeight="1">
      <c r="A806" s="88"/>
      <c r="B806" s="88"/>
      <c r="D806" s="89"/>
      <c r="E806" s="88"/>
    </row>
    <row r="807" ht="15.75" customHeight="1">
      <c r="A807" s="88"/>
      <c r="B807" s="88"/>
      <c r="D807" s="89"/>
      <c r="E807" s="88"/>
    </row>
    <row r="808" ht="15.75" customHeight="1">
      <c r="A808" s="88"/>
      <c r="B808" s="88"/>
      <c r="D808" s="89"/>
      <c r="E808" s="88"/>
    </row>
    <row r="809" ht="15.75" customHeight="1">
      <c r="A809" s="88"/>
      <c r="B809" s="88"/>
      <c r="D809" s="89"/>
      <c r="E809" s="88"/>
    </row>
    <row r="810" ht="15.75" customHeight="1">
      <c r="A810" s="88"/>
      <c r="B810" s="88"/>
      <c r="D810" s="89"/>
      <c r="E810" s="88"/>
    </row>
    <row r="811" ht="15.75" customHeight="1">
      <c r="A811" s="88"/>
      <c r="B811" s="88"/>
      <c r="D811" s="89"/>
      <c r="E811" s="88"/>
    </row>
    <row r="812" ht="15.75" customHeight="1">
      <c r="A812" s="88"/>
      <c r="B812" s="88"/>
      <c r="D812" s="89"/>
      <c r="E812" s="88"/>
    </row>
    <row r="813" ht="15.75" customHeight="1">
      <c r="A813" s="88"/>
      <c r="B813" s="88"/>
      <c r="D813" s="89"/>
      <c r="E813" s="88"/>
    </row>
    <row r="814" ht="15.75" customHeight="1">
      <c r="A814" s="88"/>
      <c r="B814" s="88"/>
      <c r="D814" s="89"/>
      <c r="E814" s="88"/>
    </row>
    <row r="815" ht="15.75" customHeight="1">
      <c r="A815" s="88"/>
      <c r="B815" s="88"/>
      <c r="D815" s="89"/>
      <c r="E815" s="88"/>
    </row>
    <row r="816" ht="15.75" customHeight="1">
      <c r="A816" s="88"/>
      <c r="B816" s="88"/>
      <c r="D816" s="89"/>
      <c r="E816" s="88"/>
    </row>
    <row r="817" ht="15.75" customHeight="1">
      <c r="A817" s="88"/>
      <c r="B817" s="88"/>
      <c r="D817" s="89"/>
      <c r="E817" s="88"/>
    </row>
    <row r="818" ht="15.75" customHeight="1">
      <c r="A818" s="88"/>
      <c r="B818" s="88"/>
      <c r="D818" s="89"/>
      <c r="E818" s="88"/>
    </row>
    <row r="819" ht="15.75" customHeight="1">
      <c r="A819" s="88"/>
      <c r="B819" s="88"/>
      <c r="D819" s="89"/>
      <c r="E819" s="88"/>
    </row>
    <row r="820" ht="15.75" customHeight="1">
      <c r="A820" s="88"/>
      <c r="B820" s="88"/>
      <c r="D820" s="89"/>
      <c r="E820" s="88"/>
    </row>
    <row r="821" ht="15.75" customHeight="1">
      <c r="A821" s="88"/>
      <c r="B821" s="88"/>
      <c r="D821" s="89"/>
      <c r="E821" s="88"/>
    </row>
    <row r="822" ht="15.75" customHeight="1">
      <c r="A822" s="88"/>
      <c r="B822" s="88"/>
      <c r="D822" s="89"/>
      <c r="E822" s="88"/>
    </row>
    <row r="823" ht="15.75" customHeight="1">
      <c r="A823" s="88"/>
      <c r="B823" s="88"/>
      <c r="D823" s="89"/>
      <c r="E823" s="88"/>
    </row>
    <row r="824" ht="15.75" customHeight="1">
      <c r="A824" s="88"/>
      <c r="B824" s="88"/>
      <c r="D824" s="89"/>
      <c r="E824" s="88"/>
    </row>
    <row r="825" ht="15.75" customHeight="1">
      <c r="A825" s="88"/>
      <c r="B825" s="88"/>
      <c r="D825" s="89"/>
      <c r="E825" s="88"/>
    </row>
    <row r="826" ht="15.75" customHeight="1">
      <c r="A826" s="88"/>
      <c r="B826" s="88"/>
      <c r="D826" s="89"/>
      <c r="E826" s="88"/>
    </row>
    <row r="827" ht="15.75" customHeight="1">
      <c r="A827" s="88"/>
      <c r="B827" s="88"/>
      <c r="D827" s="89"/>
      <c r="E827" s="88"/>
    </row>
    <row r="828" ht="15.75" customHeight="1">
      <c r="A828" s="88"/>
      <c r="B828" s="88"/>
      <c r="D828" s="89"/>
      <c r="E828" s="88"/>
    </row>
    <row r="829" ht="15.75" customHeight="1">
      <c r="A829" s="88"/>
      <c r="B829" s="88"/>
      <c r="D829" s="89"/>
      <c r="E829" s="88"/>
    </row>
    <row r="830" ht="15.75" customHeight="1">
      <c r="A830" s="88"/>
      <c r="B830" s="88"/>
      <c r="D830" s="89"/>
      <c r="E830" s="88"/>
    </row>
    <row r="831" ht="15.75" customHeight="1">
      <c r="A831" s="88"/>
      <c r="B831" s="88"/>
      <c r="D831" s="89"/>
      <c r="E831" s="88"/>
    </row>
    <row r="832" ht="15.75" customHeight="1">
      <c r="A832" s="88"/>
      <c r="B832" s="88"/>
      <c r="D832" s="89"/>
      <c r="E832" s="88"/>
    </row>
    <row r="833" ht="15.75" customHeight="1">
      <c r="A833" s="88"/>
      <c r="B833" s="88"/>
      <c r="D833" s="89"/>
      <c r="E833" s="88"/>
    </row>
    <row r="834" ht="15.75" customHeight="1">
      <c r="A834" s="88"/>
      <c r="B834" s="88"/>
      <c r="D834" s="89"/>
      <c r="E834" s="88"/>
    </row>
    <row r="835" ht="15.75" customHeight="1">
      <c r="A835" s="88"/>
      <c r="B835" s="88"/>
      <c r="D835" s="89"/>
      <c r="E835" s="88"/>
    </row>
    <row r="836" ht="15.75" customHeight="1">
      <c r="A836" s="88"/>
      <c r="B836" s="88"/>
      <c r="D836" s="89"/>
      <c r="E836" s="88"/>
    </row>
    <row r="837" ht="15.75" customHeight="1">
      <c r="A837" s="88"/>
      <c r="B837" s="88"/>
      <c r="D837" s="89"/>
      <c r="E837" s="88"/>
    </row>
    <row r="838" ht="15.75" customHeight="1">
      <c r="A838" s="88"/>
      <c r="B838" s="88"/>
      <c r="D838" s="89"/>
      <c r="E838" s="88"/>
    </row>
    <row r="839" ht="15.75" customHeight="1">
      <c r="A839" s="88"/>
      <c r="B839" s="88"/>
      <c r="D839" s="89"/>
      <c r="E839" s="88"/>
    </row>
    <row r="840" ht="15.75" customHeight="1">
      <c r="A840" s="88"/>
      <c r="B840" s="88"/>
      <c r="D840" s="89"/>
      <c r="E840" s="88"/>
    </row>
    <row r="841" ht="15.75" customHeight="1">
      <c r="A841" s="88"/>
      <c r="B841" s="88"/>
      <c r="D841" s="89"/>
      <c r="E841" s="88"/>
    </row>
    <row r="842" ht="15.75" customHeight="1">
      <c r="A842" s="88"/>
      <c r="B842" s="88"/>
      <c r="D842" s="89"/>
      <c r="E842" s="88"/>
    </row>
    <row r="843" ht="15.75" customHeight="1">
      <c r="A843" s="88"/>
      <c r="B843" s="88"/>
      <c r="D843" s="89"/>
      <c r="E843" s="88"/>
    </row>
    <row r="844" ht="15.75" customHeight="1">
      <c r="A844" s="88"/>
      <c r="B844" s="88"/>
      <c r="D844" s="89"/>
      <c r="E844" s="88"/>
    </row>
    <row r="845" ht="15.75" customHeight="1">
      <c r="A845" s="88"/>
      <c r="B845" s="88"/>
      <c r="D845" s="89"/>
      <c r="E845" s="88"/>
    </row>
    <row r="846" ht="15.75" customHeight="1">
      <c r="A846" s="88"/>
      <c r="B846" s="88"/>
      <c r="D846" s="89"/>
      <c r="E846" s="88"/>
    </row>
    <row r="847" ht="15.75" customHeight="1">
      <c r="A847" s="88"/>
      <c r="B847" s="88"/>
      <c r="D847" s="89"/>
      <c r="E847" s="88"/>
    </row>
    <row r="848" ht="15.75" customHeight="1">
      <c r="A848" s="88"/>
      <c r="B848" s="88"/>
      <c r="D848" s="89"/>
      <c r="E848" s="88"/>
    </row>
    <row r="849" ht="15.75" customHeight="1">
      <c r="A849" s="88"/>
      <c r="B849" s="88"/>
      <c r="D849" s="89"/>
      <c r="E849" s="88"/>
    </row>
    <row r="850" ht="15.75" customHeight="1">
      <c r="A850" s="88"/>
      <c r="B850" s="88"/>
      <c r="D850" s="89"/>
      <c r="E850" s="88"/>
    </row>
    <row r="851" ht="15.75" customHeight="1">
      <c r="A851" s="88"/>
      <c r="B851" s="88"/>
      <c r="D851" s="89"/>
      <c r="E851" s="88"/>
    </row>
    <row r="852" ht="15.75" customHeight="1">
      <c r="A852" s="88"/>
      <c r="B852" s="88"/>
      <c r="D852" s="89"/>
      <c r="E852" s="88"/>
    </row>
    <row r="853" ht="15.75" customHeight="1">
      <c r="A853" s="88"/>
      <c r="B853" s="88"/>
      <c r="D853" s="89"/>
      <c r="E853" s="88"/>
    </row>
    <row r="854" ht="15.75" customHeight="1">
      <c r="A854" s="88"/>
      <c r="B854" s="88"/>
      <c r="D854" s="89"/>
      <c r="E854" s="88"/>
    </row>
    <row r="855" ht="15.75" customHeight="1">
      <c r="A855" s="88"/>
      <c r="B855" s="88"/>
      <c r="D855" s="89"/>
      <c r="E855" s="88"/>
    </row>
    <row r="856" ht="15.75" customHeight="1">
      <c r="A856" s="88"/>
      <c r="B856" s="88"/>
      <c r="D856" s="89"/>
      <c r="E856" s="88"/>
    </row>
    <row r="857" ht="15.75" customHeight="1">
      <c r="A857" s="88"/>
      <c r="B857" s="88"/>
      <c r="D857" s="89"/>
      <c r="E857" s="88"/>
    </row>
    <row r="858" ht="15.75" customHeight="1">
      <c r="A858" s="88"/>
      <c r="B858" s="88"/>
      <c r="D858" s="89"/>
      <c r="E858" s="88"/>
    </row>
    <row r="859" ht="15.75" customHeight="1">
      <c r="A859" s="88"/>
      <c r="B859" s="88"/>
      <c r="D859" s="89"/>
      <c r="E859" s="88"/>
    </row>
    <row r="860" ht="15.75" customHeight="1">
      <c r="A860" s="88"/>
      <c r="B860" s="88"/>
      <c r="D860" s="89"/>
      <c r="E860" s="88"/>
    </row>
    <row r="861" ht="15.75" customHeight="1">
      <c r="A861" s="88"/>
      <c r="B861" s="88"/>
      <c r="D861" s="89"/>
      <c r="E861" s="88"/>
    </row>
    <row r="862" ht="15.75" customHeight="1">
      <c r="A862" s="88"/>
      <c r="B862" s="88"/>
      <c r="D862" s="89"/>
      <c r="E862" s="88"/>
    </row>
    <row r="863" ht="15.75" customHeight="1">
      <c r="A863" s="88"/>
      <c r="B863" s="88"/>
      <c r="D863" s="89"/>
      <c r="E863" s="88"/>
    </row>
    <row r="864" ht="15.75" customHeight="1">
      <c r="A864" s="88"/>
      <c r="B864" s="88"/>
      <c r="D864" s="89"/>
      <c r="E864" s="88"/>
    </row>
    <row r="865" ht="15.75" customHeight="1">
      <c r="A865" s="88"/>
      <c r="B865" s="88"/>
      <c r="D865" s="89"/>
      <c r="E865" s="88"/>
    </row>
    <row r="866" ht="15.75" customHeight="1">
      <c r="A866" s="88"/>
      <c r="B866" s="88"/>
      <c r="D866" s="89"/>
      <c r="E866" s="88"/>
    </row>
    <row r="867" ht="15.75" customHeight="1">
      <c r="A867" s="88"/>
      <c r="B867" s="88"/>
      <c r="D867" s="89"/>
      <c r="E867" s="88"/>
    </row>
    <row r="868" ht="15.75" customHeight="1">
      <c r="A868" s="88"/>
      <c r="B868" s="88"/>
      <c r="D868" s="89"/>
      <c r="E868" s="88"/>
    </row>
    <row r="869" ht="15.75" customHeight="1">
      <c r="A869" s="88"/>
      <c r="B869" s="88"/>
      <c r="D869" s="89"/>
      <c r="E869" s="88"/>
    </row>
    <row r="870" ht="15.75" customHeight="1">
      <c r="A870" s="88"/>
      <c r="B870" s="88"/>
      <c r="D870" s="89"/>
      <c r="E870" s="88"/>
    </row>
    <row r="871" ht="15.75" customHeight="1">
      <c r="A871" s="88"/>
      <c r="B871" s="88"/>
      <c r="D871" s="89"/>
      <c r="E871" s="88"/>
    </row>
    <row r="872" ht="15.75" customHeight="1">
      <c r="A872" s="88"/>
      <c r="B872" s="88"/>
      <c r="D872" s="89"/>
      <c r="E872" s="88"/>
    </row>
    <row r="873" ht="15.75" customHeight="1">
      <c r="A873" s="88"/>
      <c r="B873" s="88"/>
      <c r="D873" s="89"/>
      <c r="E873" s="88"/>
    </row>
    <row r="874" ht="15.75" customHeight="1">
      <c r="A874" s="88"/>
      <c r="B874" s="88"/>
      <c r="D874" s="89"/>
      <c r="E874" s="88"/>
    </row>
    <row r="875" ht="15.75" customHeight="1">
      <c r="A875" s="88"/>
      <c r="B875" s="88"/>
      <c r="D875" s="89"/>
      <c r="E875" s="88"/>
    </row>
    <row r="876" ht="15.75" customHeight="1">
      <c r="A876" s="88"/>
      <c r="B876" s="88"/>
      <c r="D876" s="89"/>
      <c r="E876" s="88"/>
    </row>
    <row r="877" ht="15.75" customHeight="1">
      <c r="A877" s="88"/>
      <c r="B877" s="88"/>
      <c r="D877" s="89"/>
      <c r="E877" s="88"/>
    </row>
    <row r="878" ht="15.75" customHeight="1">
      <c r="A878" s="88"/>
      <c r="B878" s="88"/>
      <c r="D878" s="89"/>
      <c r="E878" s="88"/>
    </row>
    <row r="879" ht="15.75" customHeight="1">
      <c r="A879" s="88"/>
      <c r="B879" s="88"/>
      <c r="D879" s="89"/>
      <c r="E879" s="88"/>
    </row>
    <row r="880" ht="15.75" customHeight="1">
      <c r="A880" s="88"/>
      <c r="B880" s="88"/>
      <c r="D880" s="89"/>
      <c r="E880" s="88"/>
    </row>
    <row r="881" ht="15.75" customHeight="1">
      <c r="A881" s="88"/>
      <c r="B881" s="88"/>
      <c r="D881" s="89"/>
      <c r="E881" s="88"/>
    </row>
    <row r="882" ht="15.75" customHeight="1">
      <c r="A882" s="88"/>
      <c r="B882" s="88"/>
      <c r="D882" s="89"/>
      <c r="E882" s="88"/>
    </row>
    <row r="883" ht="15.75" customHeight="1">
      <c r="A883" s="88"/>
      <c r="B883" s="88"/>
      <c r="D883" s="89"/>
      <c r="E883" s="88"/>
    </row>
    <row r="884" ht="15.75" customHeight="1">
      <c r="A884" s="88"/>
      <c r="B884" s="88"/>
      <c r="D884" s="89"/>
      <c r="E884" s="88"/>
    </row>
    <row r="885" ht="15.75" customHeight="1">
      <c r="A885" s="88"/>
      <c r="B885" s="88"/>
      <c r="D885" s="89"/>
      <c r="E885" s="88"/>
    </row>
    <row r="886" ht="15.75" customHeight="1">
      <c r="A886" s="88"/>
      <c r="B886" s="88"/>
      <c r="D886" s="89"/>
      <c r="E886" s="88"/>
    </row>
    <row r="887" ht="15.75" customHeight="1">
      <c r="A887" s="88"/>
      <c r="B887" s="88"/>
      <c r="D887" s="89"/>
      <c r="E887" s="88"/>
    </row>
    <row r="888" ht="15.75" customHeight="1">
      <c r="A888" s="88"/>
      <c r="B888" s="88"/>
      <c r="D888" s="89"/>
      <c r="E888" s="88"/>
    </row>
    <row r="889" ht="15.75" customHeight="1">
      <c r="A889" s="88"/>
      <c r="B889" s="88"/>
      <c r="D889" s="89"/>
      <c r="E889" s="88"/>
    </row>
    <row r="890" ht="15.75" customHeight="1">
      <c r="A890" s="88"/>
      <c r="B890" s="88"/>
      <c r="D890" s="89"/>
      <c r="E890" s="88"/>
    </row>
    <row r="891" ht="15.75" customHeight="1">
      <c r="A891" s="88"/>
      <c r="B891" s="88"/>
      <c r="D891" s="89"/>
      <c r="E891" s="88"/>
    </row>
    <row r="892" ht="15.75" customHeight="1">
      <c r="A892" s="88"/>
      <c r="B892" s="88"/>
      <c r="D892" s="89"/>
      <c r="E892" s="88"/>
    </row>
    <row r="893" ht="15.75" customHeight="1">
      <c r="A893" s="88"/>
      <c r="B893" s="88"/>
      <c r="D893" s="89"/>
      <c r="E893" s="88"/>
    </row>
    <row r="894" ht="15.75" customHeight="1">
      <c r="A894" s="88"/>
      <c r="B894" s="88"/>
      <c r="D894" s="89"/>
      <c r="E894" s="88"/>
    </row>
    <row r="895" ht="15.75" customHeight="1">
      <c r="A895" s="88"/>
      <c r="B895" s="88"/>
      <c r="D895" s="89"/>
      <c r="E895" s="88"/>
    </row>
    <row r="896" ht="15.75" customHeight="1">
      <c r="A896" s="88"/>
      <c r="B896" s="88"/>
      <c r="D896" s="89"/>
      <c r="E896" s="88"/>
    </row>
    <row r="897" ht="15.75" customHeight="1">
      <c r="A897" s="88"/>
      <c r="B897" s="88"/>
      <c r="D897" s="89"/>
      <c r="E897" s="88"/>
    </row>
    <row r="898" ht="15.75" customHeight="1">
      <c r="A898" s="88"/>
      <c r="B898" s="88"/>
      <c r="D898" s="89"/>
      <c r="E898" s="88"/>
    </row>
    <row r="899" ht="15.75" customHeight="1">
      <c r="A899" s="88"/>
      <c r="B899" s="88"/>
      <c r="D899" s="89"/>
      <c r="E899" s="88"/>
    </row>
    <row r="900" ht="15.75" customHeight="1">
      <c r="A900" s="88"/>
      <c r="B900" s="88"/>
      <c r="D900" s="89"/>
      <c r="E900" s="88"/>
    </row>
    <row r="901" ht="15.75" customHeight="1">
      <c r="A901" s="88"/>
      <c r="B901" s="88"/>
      <c r="D901" s="89"/>
      <c r="E901" s="88"/>
    </row>
    <row r="902" ht="15.75" customHeight="1">
      <c r="A902" s="88"/>
      <c r="B902" s="88"/>
      <c r="D902" s="89"/>
      <c r="E902" s="88"/>
    </row>
    <row r="903" ht="15.75" customHeight="1">
      <c r="A903" s="88"/>
      <c r="B903" s="88"/>
      <c r="D903" s="89"/>
      <c r="E903" s="88"/>
    </row>
    <row r="904" ht="15.75" customHeight="1">
      <c r="A904" s="88"/>
      <c r="B904" s="88"/>
      <c r="D904" s="89"/>
      <c r="E904" s="88"/>
    </row>
    <row r="905" ht="15.75" customHeight="1">
      <c r="A905" s="88"/>
      <c r="B905" s="88"/>
      <c r="D905" s="89"/>
      <c r="E905" s="88"/>
    </row>
    <row r="906" ht="15.75" customHeight="1">
      <c r="A906" s="88"/>
      <c r="B906" s="88"/>
      <c r="D906" s="89"/>
      <c r="E906" s="88"/>
    </row>
    <row r="907" ht="15.75" customHeight="1">
      <c r="A907" s="88"/>
      <c r="B907" s="88"/>
      <c r="D907" s="89"/>
      <c r="E907" s="88"/>
    </row>
    <row r="908" ht="15.75" customHeight="1">
      <c r="A908" s="88"/>
      <c r="B908" s="88"/>
      <c r="D908" s="89"/>
      <c r="E908" s="88"/>
    </row>
    <row r="909" ht="15.75" customHeight="1">
      <c r="A909" s="88"/>
      <c r="B909" s="88"/>
      <c r="D909" s="89"/>
      <c r="E909" s="88"/>
    </row>
    <row r="910" ht="15.75" customHeight="1">
      <c r="A910" s="88"/>
      <c r="B910" s="88"/>
      <c r="D910" s="89"/>
      <c r="E910" s="88"/>
    </row>
    <row r="911" ht="15.75" customHeight="1">
      <c r="A911" s="88"/>
      <c r="B911" s="88"/>
      <c r="D911" s="89"/>
      <c r="E911" s="88"/>
    </row>
    <row r="912" ht="15.75" customHeight="1">
      <c r="A912" s="88"/>
      <c r="B912" s="88"/>
      <c r="D912" s="89"/>
      <c r="E912" s="88"/>
    </row>
    <row r="913" ht="15.75" customHeight="1">
      <c r="A913" s="88"/>
      <c r="B913" s="88"/>
      <c r="D913" s="89"/>
      <c r="E913" s="88"/>
    </row>
    <row r="914" ht="15.75" customHeight="1">
      <c r="A914" s="88"/>
      <c r="B914" s="88"/>
      <c r="D914" s="89"/>
      <c r="E914" s="88"/>
    </row>
    <row r="915" ht="15.75" customHeight="1">
      <c r="A915" s="88"/>
      <c r="B915" s="88"/>
      <c r="D915" s="89"/>
      <c r="E915" s="88"/>
    </row>
    <row r="916" ht="15.75" customHeight="1">
      <c r="A916" s="88"/>
      <c r="B916" s="88"/>
      <c r="D916" s="89"/>
      <c r="E916" s="88"/>
    </row>
    <row r="917" ht="15.75" customHeight="1">
      <c r="A917" s="88"/>
      <c r="B917" s="88"/>
      <c r="D917" s="89"/>
      <c r="E917" s="88"/>
    </row>
    <row r="918" ht="15.75" customHeight="1">
      <c r="A918" s="88"/>
      <c r="B918" s="88"/>
      <c r="D918" s="89"/>
      <c r="E918" s="88"/>
    </row>
    <row r="919" ht="15.75" customHeight="1">
      <c r="A919" s="88"/>
      <c r="B919" s="88"/>
      <c r="D919" s="89"/>
      <c r="E919" s="88"/>
    </row>
    <row r="920" ht="15.75" customHeight="1">
      <c r="A920" s="88"/>
      <c r="B920" s="88"/>
      <c r="D920" s="89"/>
      <c r="E920" s="88"/>
    </row>
    <row r="921" ht="15.75" customHeight="1">
      <c r="A921" s="88"/>
      <c r="B921" s="88"/>
      <c r="D921" s="89"/>
      <c r="E921" s="88"/>
    </row>
    <row r="922" ht="15.75" customHeight="1">
      <c r="A922" s="88"/>
      <c r="B922" s="88"/>
      <c r="D922" s="89"/>
      <c r="E922" s="88"/>
    </row>
    <row r="923" ht="15.75" customHeight="1">
      <c r="A923" s="88"/>
      <c r="B923" s="88"/>
      <c r="D923" s="89"/>
      <c r="E923" s="88"/>
    </row>
    <row r="924" ht="15.75" customHeight="1">
      <c r="A924" s="88"/>
      <c r="B924" s="88"/>
      <c r="D924" s="89"/>
      <c r="E924" s="88"/>
    </row>
    <row r="925" ht="15.75" customHeight="1">
      <c r="A925" s="88"/>
      <c r="B925" s="88"/>
      <c r="D925" s="89"/>
      <c r="E925" s="88"/>
    </row>
    <row r="926" ht="15.75" customHeight="1">
      <c r="A926" s="88"/>
      <c r="B926" s="88"/>
      <c r="D926" s="89"/>
      <c r="E926" s="88"/>
    </row>
    <row r="927" ht="15.75" customHeight="1">
      <c r="A927" s="88"/>
      <c r="B927" s="88"/>
      <c r="D927" s="89"/>
      <c r="E927" s="88"/>
    </row>
    <row r="928" ht="15.75" customHeight="1">
      <c r="A928" s="88"/>
      <c r="B928" s="88"/>
      <c r="D928" s="89"/>
      <c r="E928" s="88"/>
    </row>
    <row r="929" ht="15.75" customHeight="1">
      <c r="A929" s="88"/>
      <c r="B929" s="88"/>
      <c r="D929" s="89"/>
      <c r="E929" s="88"/>
    </row>
    <row r="930" ht="15.75" customHeight="1">
      <c r="A930" s="88"/>
      <c r="B930" s="88"/>
      <c r="D930" s="89"/>
      <c r="E930" s="88"/>
    </row>
    <row r="931" ht="15.75" customHeight="1">
      <c r="A931" s="88"/>
      <c r="B931" s="88"/>
      <c r="D931" s="89"/>
      <c r="E931" s="88"/>
    </row>
    <row r="932" ht="15.75" customHeight="1">
      <c r="A932" s="88"/>
      <c r="B932" s="88"/>
      <c r="D932" s="89"/>
      <c r="E932" s="88"/>
    </row>
    <row r="933" ht="15.75" customHeight="1">
      <c r="A933" s="88"/>
      <c r="B933" s="88"/>
      <c r="D933" s="89"/>
      <c r="E933" s="88"/>
    </row>
    <row r="934" ht="15.75" customHeight="1">
      <c r="A934" s="88"/>
      <c r="B934" s="88"/>
      <c r="D934" s="89"/>
      <c r="E934" s="88"/>
    </row>
    <row r="935" ht="15.75" customHeight="1">
      <c r="A935" s="88"/>
      <c r="B935" s="88"/>
      <c r="D935" s="89"/>
      <c r="E935" s="88"/>
    </row>
    <row r="936" ht="15.75" customHeight="1">
      <c r="A936" s="88"/>
      <c r="B936" s="88"/>
      <c r="D936" s="89"/>
      <c r="E936" s="88"/>
    </row>
    <row r="937" ht="15.75" customHeight="1">
      <c r="A937" s="88"/>
      <c r="B937" s="88"/>
      <c r="D937" s="89"/>
      <c r="E937" s="88"/>
    </row>
    <row r="938" ht="15.75" customHeight="1">
      <c r="A938" s="88"/>
      <c r="B938" s="88"/>
      <c r="D938" s="89"/>
      <c r="E938" s="88"/>
    </row>
    <row r="939" ht="15.75" customHeight="1">
      <c r="A939" s="88"/>
      <c r="B939" s="88"/>
      <c r="D939" s="89"/>
      <c r="E939" s="88"/>
    </row>
    <row r="940" ht="15.75" customHeight="1">
      <c r="A940" s="88"/>
      <c r="B940" s="88"/>
      <c r="D940" s="89"/>
      <c r="E940" s="88"/>
    </row>
    <row r="941" ht="15.75" customHeight="1">
      <c r="A941" s="88"/>
      <c r="B941" s="88"/>
      <c r="D941" s="89"/>
      <c r="E941" s="88"/>
    </row>
    <row r="942" ht="15.75" customHeight="1">
      <c r="A942" s="88"/>
      <c r="B942" s="88"/>
      <c r="D942" s="89"/>
      <c r="E942" s="88"/>
    </row>
    <row r="943" ht="15.75" customHeight="1">
      <c r="A943" s="88"/>
      <c r="B943" s="88"/>
      <c r="D943" s="89"/>
      <c r="E943" s="88"/>
    </row>
    <row r="944" ht="15.75" customHeight="1">
      <c r="A944" s="88"/>
      <c r="B944" s="88"/>
      <c r="D944" s="89"/>
      <c r="E944" s="88"/>
    </row>
    <row r="945" ht="15.75" customHeight="1">
      <c r="A945" s="88"/>
      <c r="B945" s="88"/>
      <c r="D945" s="89"/>
      <c r="E945" s="88"/>
    </row>
    <row r="946" ht="15.75" customHeight="1">
      <c r="A946" s="88"/>
      <c r="B946" s="88"/>
      <c r="D946" s="89"/>
      <c r="E946" s="88"/>
    </row>
    <row r="947" ht="15.75" customHeight="1">
      <c r="A947" s="88"/>
      <c r="B947" s="88"/>
      <c r="D947" s="89"/>
      <c r="E947" s="88"/>
    </row>
    <row r="948" ht="15.75" customHeight="1">
      <c r="A948" s="88"/>
      <c r="B948" s="88"/>
      <c r="D948" s="89"/>
      <c r="E948" s="88"/>
    </row>
    <row r="949" ht="15.75" customHeight="1">
      <c r="A949" s="88"/>
      <c r="B949" s="88"/>
      <c r="D949" s="89"/>
      <c r="E949" s="88"/>
    </row>
    <row r="950" ht="15.75" customHeight="1">
      <c r="A950" s="88"/>
      <c r="B950" s="88"/>
      <c r="D950" s="89"/>
      <c r="E950" s="88"/>
    </row>
    <row r="951" ht="15.75" customHeight="1">
      <c r="A951" s="88"/>
      <c r="B951" s="88"/>
      <c r="D951" s="89"/>
      <c r="E951" s="88"/>
    </row>
    <row r="952" ht="15.75" customHeight="1">
      <c r="A952" s="88"/>
      <c r="B952" s="88"/>
      <c r="D952" s="89"/>
      <c r="E952" s="88"/>
    </row>
    <row r="953" ht="15.75" customHeight="1">
      <c r="A953" s="88"/>
      <c r="B953" s="88"/>
      <c r="D953" s="89"/>
      <c r="E953" s="88"/>
    </row>
    <row r="954" ht="15.75" customHeight="1">
      <c r="A954" s="88"/>
      <c r="B954" s="88"/>
      <c r="D954" s="89"/>
      <c r="E954" s="88"/>
    </row>
    <row r="955" ht="15.75" customHeight="1">
      <c r="A955" s="88"/>
      <c r="B955" s="88"/>
      <c r="D955" s="89"/>
      <c r="E955" s="88"/>
    </row>
    <row r="956" ht="15.75" customHeight="1">
      <c r="A956" s="88"/>
      <c r="B956" s="88"/>
      <c r="D956" s="89"/>
      <c r="E956" s="88"/>
    </row>
    <row r="957" ht="15.75" customHeight="1">
      <c r="A957" s="88"/>
      <c r="B957" s="88"/>
      <c r="D957" s="89"/>
      <c r="E957" s="88"/>
    </row>
    <row r="958" ht="15.75" customHeight="1">
      <c r="A958" s="88"/>
      <c r="B958" s="88"/>
      <c r="D958" s="89"/>
      <c r="E958" s="88"/>
    </row>
    <row r="959" ht="15.75" customHeight="1">
      <c r="A959" s="88"/>
      <c r="B959" s="88"/>
      <c r="D959" s="89"/>
      <c r="E959" s="88"/>
    </row>
    <row r="960" ht="15.75" customHeight="1">
      <c r="A960" s="88"/>
      <c r="B960" s="88"/>
      <c r="D960" s="89"/>
      <c r="E960" s="88"/>
    </row>
    <row r="961" ht="15.75" customHeight="1">
      <c r="A961" s="88"/>
      <c r="B961" s="88"/>
      <c r="D961" s="89"/>
      <c r="E961" s="88"/>
    </row>
    <row r="962" ht="15.75" customHeight="1">
      <c r="A962" s="88"/>
      <c r="B962" s="88"/>
      <c r="D962" s="89"/>
      <c r="E962" s="88"/>
    </row>
    <row r="963" ht="15.75" customHeight="1">
      <c r="A963" s="88"/>
      <c r="B963" s="88"/>
      <c r="D963" s="89"/>
      <c r="E963" s="88"/>
    </row>
    <row r="964" ht="15.75" customHeight="1">
      <c r="A964" s="88"/>
      <c r="B964" s="88"/>
      <c r="D964" s="89"/>
      <c r="E964" s="88"/>
    </row>
    <row r="965" ht="15.75" customHeight="1">
      <c r="A965" s="88"/>
      <c r="B965" s="88"/>
      <c r="D965" s="89"/>
      <c r="E965" s="88"/>
    </row>
    <row r="966" ht="15.75" customHeight="1">
      <c r="A966" s="88"/>
      <c r="B966" s="88"/>
      <c r="D966" s="89"/>
      <c r="E966" s="88"/>
    </row>
    <row r="967" ht="15.75" customHeight="1">
      <c r="A967" s="88"/>
      <c r="B967" s="88"/>
      <c r="D967" s="89"/>
      <c r="E967" s="88"/>
    </row>
    <row r="968" ht="15.75" customHeight="1">
      <c r="A968" s="88"/>
      <c r="B968" s="88"/>
      <c r="D968" s="89"/>
      <c r="E968" s="88"/>
    </row>
    <row r="969" ht="15.75" customHeight="1">
      <c r="A969" s="88"/>
      <c r="B969" s="88"/>
      <c r="D969" s="89"/>
      <c r="E969" s="88"/>
    </row>
    <row r="970" ht="15.75" customHeight="1">
      <c r="A970" s="88"/>
      <c r="B970" s="88"/>
      <c r="D970" s="89"/>
      <c r="E970" s="88"/>
    </row>
    <row r="971" ht="15.75" customHeight="1">
      <c r="A971" s="88"/>
      <c r="B971" s="88"/>
      <c r="D971" s="89"/>
      <c r="E971" s="88"/>
    </row>
    <row r="972" ht="15.75" customHeight="1">
      <c r="A972" s="88"/>
      <c r="B972" s="88"/>
      <c r="D972" s="89"/>
      <c r="E972" s="88"/>
    </row>
    <row r="973" ht="15.75" customHeight="1">
      <c r="A973" s="88"/>
      <c r="B973" s="88"/>
      <c r="D973" s="89"/>
      <c r="E973" s="88"/>
    </row>
    <row r="974" ht="15.75" customHeight="1">
      <c r="A974" s="88"/>
      <c r="B974" s="88"/>
      <c r="D974" s="89"/>
      <c r="E974" s="88"/>
    </row>
    <row r="975" ht="15.75" customHeight="1">
      <c r="A975" s="88"/>
      <c r="B975" s="88"/>
      <c r="D975" s="89"/>
      <c r="E975" s="88"/>
    </row>
    <row r="976" ht="15.75" customHeight="1">
      <c r="A976" s="88"/>
      <c r="B976" s="88"/>
      <c r="D976" s="89"/>
      <c r="E976" s="88"/>
    </row>
    <row r="977" ht="15.75" customHeight="1">
      <c r="A977" s="88"/>
      <c r="B977" s="88"/>
      <c r="D977" s="89"/>
      <c r="E977" s="88"/>
    </row>
    <row r="978" ht="15.75" customHeight="1">
      <c r="A978" s="88"/>
      <c r="B978" s="88"/>
      <c r="D978" s="89"/>
      <c r="E978" s="88"/>
    </row>
    <row r="979" ht="15.75" customHeight="1">
      <c r="A979" s="88"/>
      <c r="B979" s="88"/>
      <c r="D979" s="89"/>
      <c r="E979" s="88"/>
    </row>
    <row r="980" ht="15.75" customHeight="1">
      <c r="A980" s="88"/>
      <c r="B980" s="88"/>
      <c r="D980" s="89"/>
      <c r="E980" s="88"/>
    </row>
    <row r="981" ht="15.75" customHeight="1">
      <c r="A981" s="88"/>
      <c r="B981" s="88"/>
      <c r="D981" s="89"/>
      <c r="E981" s="88"/>
    </row>
    <row r="982" ht="15.75" customHeight="1">
      <c r="A982" s="88"/>
      <c r="B982" s="88"/>
      <c r="D982" s="89"/>
      <c r="E982" s="88"/>
    </row>
    <row r="983" ht="15.75" customHeight="1">
      <c r="A983" s="88"/>
      <c r="B983" s="88"/>
      <c r="D983" s="89"/>
      <c r="E983" s="88"/>
    </row>
    <row r="984" ht="15.75" customHeight="1">
      <c r="A984" s="88"/>
      <c r="B984" s="88"/>
      <c r="D984" s="89"/>
      <c r="E984" s="88"/>
    </row>
    <row r="985" ht="15.75" customHeight="1">
      <c r="A985" s="88"/>
      <c r="B985" s="88"/>
      <c r="D985" s="89"/>
      <c r="E985" s="88"/>
    </row>
    <row r="986" ht="15.75" customHeight="1">
      <c r="A986" s="88"/>
      <c r="B986" s="88"/>
      <c r="D986" s="89"/>
      <c r="E986" s="88"/>
    </row>
    <row r="987" ht="15.75" customHeight="1">
      <c r="A987" s="88"/>
      <c r="B987" s="88"/>
      <c r="D987" s="89"/>
      <c r="E987" s="88"/>
    </row>
    <row r="988" ht="15.75" customHeight="1">
      <c r="A988" s="88"/>
      <c r="B988" s="88"/>
      <c r="D988" s="89"/>
      <c r="E988" s="88"/>
    </row>
    <row r="989" ht="15.75" customHeight="1">
      <c r="A989" s="88"/>
      <c r="B989" s="88"/>
      <c r="D989" s="89"/>
      <c r="E989" s="88"/>
    </row>
    <row r="990" ht="15.75" customHeight="1">
      <c r="A990" s="88"/>
      <c r="B990" s="88"/>
      <c r="D990" s="89"/>
      <c r="E990" s="88"/>
    </row>
    <row r="991" ht="15.75" customHeight="1">
      <c r="A991" s="88"/>
      <c r="B991" s="88"/>
      <c r="D991" s="89"/>
      <c r="E991" s="88"/>
    </row>
    <row r="992" ht="15.75" customHeight="1">
      <c r="A992" s="88"/>
      <c r="B992" s="88"/>
      <c r="D992" s="89"/>
      <c r="E992" s="88"/>
    </row>
    <row r="993" ht="15.75" customHeight="1">
      <c r="A993" s="88"/>
      <c r="B993" s="88"/>
      <c r="D993" s="89"/>
      <c r="E993" s="88"/>
    </row>
    <row r="994" ht="15.75" customHeight="1">
      <c r="A994" s="88"/>
      <c r="B994" s="88"/>
      <c r="D994" s="89"/>
      <c r="E994" s="88"/>
    </row>
    <row r="995" ht="15.75" customHeight="1">
      <c r="A995" s="88"/>
      <c r="B995" s="88"/>
      <c r="D995" s="89"/>
      <c r="E995" s="88"/>
    </row>
    <row r="996" ht="15.75" customHeight="1">
      <c r="A996" s="88"/>
      <c r="B996" s="88"/>
      <c r="D996" s="89"/>
      <c r="E996" s="88"/>
    </row>
    <row r="997" ht="15.75" customHeight="1">
      <c r="A997" s="88"/>
      <c r="B997" s="88"/>
      <c r="D997" s="89"/>
      <c r="E997" s="88"/>
    </row>
    <row r="998" ht="15.75" customHeight="1">
      <c r="A998" s="88"/>
      <c r="B998" s="88"/>
      <c r="D998" s="89"/>
      <c r="E998" s="88"/>
    </row>
    <row r="999" ht="15.75" customHeight="1">
      <c r="A999" s="88"/>
      <c r="B999" s="88"/>
      <c r="D999" s="89"/>
      <c r="E999" s="88"/>
    </row>
    <row r="1000" ht="15.75" customHeight="1">
      <c r="A1000" s="88"/>
      <c r="B1000" s="88"/>
      <c r="D1000" s="89"/>
      <c r="E1000" s="88"/>
    </row>
  </sheetData>
  <autoFilter ref="$A$1:$H$183"/>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s>
  <printOptions/>
  <pageMargins bottom="0.75" footer="0.0" header="0.0" left="0.7" right="0.7" top="0.75"/>
  <pageSetup orientation="landscape"/>
  <drawing r:id="rId18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19.38"/>
    <col customWidth="1" min="3" max="3" width="38.75"/>
    <col customWidth="1" min="4" max="4" width="22.13"/>
    <col customWidth="1" min="5" max="5" width="32.38"/>
    <col customWidth="1" min="6" max="8" width="34.75"/>
    <col customWidth="1" min="9" max="26" width="8.63"/>
  </cols>
  <sheetData>
    <row r="1" ht="15.0" customHeight="1">
      <c r="A1" s="90" t="s">
        <v>1</v>
      </c>
      <c r="B1" s="90" t="s">
        <v>458</v>
      </c>
      <c r="C1" s="90" t="s">
        <v>459</v>
      </c>
      <c r="D1" s="91" t="s">
        <v>460</v>
      </c>
      <c r="E1" s="91" t="s">
        <v>461</v>
      </c>
      <c r="F1" s="90" t="s">
        <v>462</v>
      </c>
      <c r="G1" s="90" t="s">
        <v>463</v>
      </c>
      <c r="H1" s="90" t="s">
        <v>276</v>
      </c>
      <c r="I1" s="88"/>
      <c r="J1" s="88"/>
      <c r="K1" s="88"/>
      <c r="L1" s="88"/>
      <c r="M1" s="88"/>
      <c r="N1" s="88"/>
      <c r="O1" s="88"/>
      <c r="P1" s="88"/>
      <c r="Q1" s="88"/>
      <c r="R1" s="88"/>
      <c r="S1" s="88"/>
      <c r="T1" s="88"/>
      <c r="U1" s="88"/>
      <c r="V1" s="88"/>
      <c r="W1" s="88"/>
      <c r="X1" s="88"/>
      <c r="Y1" s="88"/>
      <c r="Z1" s="88"/>
    </row>
    <row r="2" ht="15.0" hidden="1" customHeight="1">
      <c r="A2" s="92" t="s">
        <v>50</v>
      </c>
      <c r="B2" s="93" t="s">
        <v>464</v>
      </c>
      <c r="C2" s="94" t="s">
        <v>465</v>
      </c>
      <c r="D2" s="95" t="s">
        <v>466</v>
      </c>
      <c r="E2" s="96" t="s">
        <v>467</v>
      </c>
      <c r="F2" s="13" t="s">
        <v>3</v>
      </c>
      <c r="G2" s="97">
        <v>46056.0</v>
      </c>
      <c r="H2" s="16"/>
    </row>
    <row r="3" ht="15.0" hidden="1" customHeight="1">
      <c r="A3" s="92" t="s">
        <v>74</v>
      </c>
      <c r="B3" s="93" t="s">
        <v>464</v>
      </c>
      <c r="C3" s="94" t="s">
        <v>468</v>
      </c>
      <c r="D3" s="95" t="s">
        <v>469</v>
      </c>
      <c r="E3" s="96" t="s">
        <v>467</v>
      </c>
      <c r="F3" s="13" t="s">
        <v>3</v>
      </c>
      <c r="G3" s="97">
        <v>46056.0</v>
      </c>
      <c r="H3" s="16"/>
    </row>
    <row r="4" ht="15.0" hidden="1" customHeight="1">
      <c r="A4" s="92" t="s">
        <v>74</v>
      </c>
      <c r="B4" s="93" t="s">
        <v>470</v>
      </c>
      <c r="C4" s="94" t="s">
        <v>468</v>
      </c>
      <c r="D4" s="95" t="s">
        <v>466</v>
      </c>
      <c r="E4" s="96" t="s">
        <v>467</v>
      </c>
      <c r="F4" s="13" t="s">
        <v>3</v>
      </c>
      <c r="G4" s="97">
        <v>46056.0</v>
      </c>
      <c r="H4" s="16"/>
    </row>
    <row r="5" ht="15.0" customHeight="1">
      <c r="A5" s="92" t="s">
        <v>74</v>
      </c>
      <c r="B5" s="93" t="s">
        <v>464</v>
      </c>
      <c r="C5" s="94" t="s">
        <v>471</v>
      </c>
      <c r="D5" s="95" t="s">
        <v>466</v>
      </c>
      <c r="E5" s="96" t="s">
        <v>472</v>
      </c>
      <c r="F5" s="13" t="s">
        <v>473</v>
      </c>
      <c r="G5" s="13" t="s">
        <v>474</v>
      </c>
      <c r="H5" s="16" t="s">
        <v>475</v>
      </c>
    </row>
    <row r="6" ht="15.0" hidden="1" customHeight="1">
      <c r="A6" s="92" t="s">
        <v>79</v>
      </c>
      <c r="B6" s="93" t="s">
        <v>464</v>
      </c>
      <c r="C6" s="94" t="s">
        <v>471</v>
      </c>
      <c r="D6" s="95" t="s">
        <v>466</v>
      </c>
      <c r="E6" s="96" t="s">
        <v>476</v>
      </c>
      <c r="F6" s="13" t="s">
        <v>3</v>
      </c>
      <c r="G6" s="97">
        <v>46056.0</v>
      </c>
      <c r="H6" s="16"/>
    </row>
    <row r="7" ht="15.0" customHeight="1">
      <c r="A7" s="92" t="s">
        <v>79</v>
      </c>
      <c r="B7" s="93" t="s">
        <v>470</v>
      </c>
      <c r="C7" s="94" t="s">
        <v>477</v>
      </c>
      <c r="D7" s="95" t="s">
        <v>466</v>
      </c>
      <c r="E7" s="96" t="s">
        <v>467</v>
      </c>
      <c r="F7" s="68" t="s">
        <v>473</v>
      </c>
      <c r="G7" s="13" t="s">
        <v>474</v>
      </c>
      <c r="H7" s="32"/>
      <c r="I7" s="45"/>
      <c r="J7" s="45"/>
      <c r="K7" s="45"/>
      <c r="L7" s="45"/>
      <c r="M7" s="45"/>
      <c r="N7" s="45"/>
      <c r="O7" s="45"/>
      <c r="P7" s="45"/>
      <c r="Q7" s="45"/>
      <c r="R7" s="45"/>
      <c r="S7" s="45"/>
      <c r="T7" s="45"/>
      <c r="U7" s="45"/>
      <c r="V7" s="45"/>
      <c r="W7" s="45"/>
      <c r="X7" s="45"/>
      <c r="Y7" s="45"/>
      <c r="Z7" s="45"/>
    </row>
    <row r="8" ht="15.0" customHeight="1">
      <c r="A8" s="92" t="s">
        <v>93</v>
      </c>
      <c r="B8" s="93" t="s">
        <v>464</v>
      </c>
      <c r="C8" s="94" t="s">
        <v>477</v>
      </c>
      <c r="D8" s="95" t="s">
        <v>466</v>
      </c>
      <c r="E8" s="96" t="s">
        <v>467</v>
      </c>
      <c r="F8" s="13" t="s">
        <v>473</v>
      </c>
      <c r="G8" s="13" t="s">
        <v>474</v>
      </c>
      <c r="H8" s="16"/>
    </row>
    <row r="9" ht="15.0" hidden="1" customHeight="1">
      <c r="A9" s="92" t="s">
        <v>478</v>
      </c>
      <c r="B9" s="93" t="s">
        <v>464</v>
      </c>
      <c r="C9" s="94" t="s">
        <v>477</v>
      </c>
      <c r="D9" s="95" t="s">
        <v>466</v>
      </c>
      <c r="E9" s="96" t="s">
        <v>467</v>
      </c>
      <c r="F9" s="13" t="s">
        <v>3</v>
      </c>
      <c r="G9" s="97">
        <v>46056.0</v>
      </c>
      <c r="H9" s="16"/>
    </row>
    <row r="10" ht="15.0" hidden="1" customHeight="1">
      <c r="A10" s="92" t="s">
        <v>100</v>
      </c>
      <c r="B10" s="93" t="s">
        <v>464</v>
      </c>
      <c r="C10" s="94" t="s">
        <v>477</v>
      </c>
      <c r="D10" s="95" t="s">
        <v>466</v>
      </c>
      <c r="E10" s="96" t="s">
        <v>467</v>
      </c>
      <c r="F10" s="13" t="s">
        <v>3</v>
      </c>
      <c r="G10" s="97">
        <v>46056.0</v>
      </c>
      <c r="H10" s="16"/>
    </row>
    <row r="11" ht="15.0" hidden="1" customHeight="1">
      <c r="A11" s="92" t="s">
        <v>479</v>
      </c>
      <c r="B11" s="93" t="s">
        <v>464</v>
      </c>
      <c r="C11" s="94" t="s">
        <v>480</v>
      </c>
      <c r="D11" s="95" t="s">
        <v>469</v>
      </c>
      <c r="E11" s="96" t="s">
        <v>467</v>
      </c>
      <c r="F11" s="13" t="s">
        <v>3</v>
      </c>
      <c r="G11" s="97">
        <v>46056.0</v>
      </c>
      <c r="H11" s="16"/>
    </row>
    <row r="12" ht="15.0" customHeight="1">
      <c r="A12" s="92" t="s">
        <v>479</v>
      </c>
      <c r="B12" s="93" t="s">
        <v>464</v>
      </c>
      <c r="C12" s="94" t="s">
        <v>480</v>
      </c>
      <c r="D12" s="95" t="s">
        <v>466</v>
      </c>
      <c r="E12" s="96" t="s">
        <v>467</v>
      </c>
      <c r="F12" s="13" t="s">
        <v>473</v>
      </c>
      <c r="G12" s="13" t="s">
        <v>474</v>
      </c>
      <c r="H12" s="16"/>
    </row>
    <row r="13" ht="15.0" hidden="1" customHeight="1">
      <c r="A13" s="92" t="s">
        <v>106</v>
      </c>
      <c r="B13" s="93" t="s">
        <v>464</v>
      </c>
      <c r="C13" s="94" t="s">
        <v>477</v>
      </c>
      <c r="D13" s="95" t="s">
        <v>469</v>
      </c>
      <c r="E13" s="96" t="s">
        <v>467</v>
      </c>
      <c r="F13" s="13" t="s">
        <v>3</v>
      </c>
      <c r="G13" s="97">
        <v>46056.0</v>
      </c>
      <c r="H13" s="16"/>
    </row>
    <row r="14" ht="15.0" hidden="1" customHeight="1">
      <c r="A14" s="92" t="s">
        <v>106</v>
      </c>
      <c r="B14" s="93" t="s">
        <v>464</v>
      </c>
      <c r="C14" s="94" t="s">
        <v>477</v>
      </c>
      <c r="D14" s="95" t="s">
        <v>466</v>
      </c>
      <c r="E14" s="96" t="s">
        <v>467</v>
      </c>
      <c r="F14" s="13" t="s">
        <v>3</v>
      </c>
      <c r="G14" s="97">
        <v>46056.0</v>
      </c>
      <c r="H14" s="16"/>
    </row>
    <row r="15" ht="15.0" hidden="1" customHeight="1">
      <c r="A15" s="92" t="s">
        <v>481</v>
      </c>
      <c r="B15" s="93" t="s">
        <v>464</v>
      </c>
      <c r="C15" s="94" t="s">
        <v>482</v>
      </c>
      <c r="D15" s="95" t="s">
        <v>466</v>
      </c>
      <c r="E15" s="96" t="s">
        <v>483</v>
      </c>
      <c r="F15" s="13" t="s">
        <v>3</v>
      </c>
      <c r="G15" s="97">
        <v>46056.0</v>
      </c>
      <c r="H15" s="16"/>
    </row>
    <row r="16" ht="15.0" customHeight="1">
      <c r="A16" s="92" t="s">
        <v>120</v>
      </c>
      <c r="B16" s="93" t="s">
        <v>470</v>
      </c>
      <c r="C16" s="94" t="s">
        <v>477</v>
      </c>
      <c r="D16" s="95" t="s">
        <v>466</v>
      </c>
      <c r="E16" s="96" t="s">
        <v>467</v>
      </c>
      <c r="F16" s="13" t="s">
        <v>473</v>
      </c>
      <c r="G16" s="13" t="s">
        <v>474</v>
      </c>
      <c r="H16" s="16"/>
    </row>
    <row r="17" ht="15.0" customHeight="1">
      <c r="A17" s="92" t="s">
        <v>120</v>
      </c>
      <c r="B17" s="93" t="s">
        <v>464</v>
      </c>
      <c r="C17" s="94" t="s">
        <v>468</v>
      </c>
      <c r="D17" s="95" t="s">
        <v>466</v>
      </c>
      <c r="E17" s="96" t="s">
        <v>484</v>
      </c>
      <c r="F17" s="13" t="s">
        <v>473</v>
      </c>
      <c r="G17" s="13" t="s">
        <v>474</v>
      </c>
      <c r="H17" s="16" t="s">
        <v>475</v>
      </c>
    </row>
    <row r="18" ht="15.0" hidden="1" customHeight="1">
      <c r="A18" s="92" t="s">
        <v>120</v>
      </c>
      <c r="B18" s="93" t="s">
        <v>464</v>
      </c>
      <c r="C18" s="94" t="s">
        <v>485</v>
      </c>
      <c r="D18" s="95" t="s">
        <v>469</v>
      </c>
      <c r="E18" s="96" t="s">
        <v>467</v>
      </c>
      <c r="F18" s="13" t="s">
        <v>3</v>
      </c>
      <c r="G18" s="97">
        <v>46056.0</v>
      </c>
      <c r="H18" s="16"/>
    </row>
    <row r="19" ht="15.0" hidden="1" customHeight="1">
      <c r="A19" s="92" t="s">
        <v>120</v>
      </c>
      <c r="B19" s="93" t="s">
        <v>470</v>
      </c>
      <c r="C19" s="94" t="s">
        <v>485</v>
      </c>
      <c r="D19" s="95" t="s">
        <v>466</v>
      </c>
      <c r="E19" s="96" t="s">
        <v>467</v>
      </c>
      <c r="F19" s="13" t="s">
        <v>3</v>
      </c>
      <c r="G19" s="97">
        <v>46056.0</v>
      </c>
      <c r="H19" s="16"/>
    </row>
    <row r="20" ht="15.0" hidden="1" customHeight="1">
      <c r="A20" s="92" t="s">
        <v>120</v>
      </c>
      <c r="B20" s="93" t="s">
        <v>464</v>
      </c>
      <c r="C20" s="94" t="s">
        <v>485</v>
      </c>
      <c r="D20" s="95" t="s">
        <v>466</v>
      </c>
      <c r="E20" s="96" t="s">
        <v>467</v>
      </c>
      <c r="F20" s="13" t="s">
        <v>3</v>
      </c>
      <c r="G20" s="97">
        <v>46056.0</v>
      </c>
      <c r="H20" s="16"/>
    </row>
    <row r="21" ht="15.0" hidden="1" customHeight="1">
      <c r="A21" s="92" t="s">
        <v>120</v>
      </c>
      <c r="B21" s="93" t="s">
        <v>464</v>
      </c>
      <c r="C21" s="94" t="s">
        <v>486</v>
      </c>
      <c r="D21" s="95" t="s">
        <v>469</v>
      </c>
      <c r="E21" s="96" t="s">
        <v>467</v>
      </c>
      <c r="F21" s="13" t="s">
        <v>3</v>
      </c>
      <c r="G21" s="97">
        <v>46056.0</v>
      </c>
      <c r="H21" s="16"/>
    </row>
    <row r="22" ht="15.75" customHeight="1">
      <c r="A22" s="98" t="s">
        <v>120</v>
      </c>
      <c r="B22" s="99" t="s">
        <v>464</v>
      </c>
      <c r="C22" s="100" t="s">
        <v>486</v>
      </c>
      <c r="D22" s="101" t="s">
        <v>466</v>
      </c>
      <c r="E22" s="96" t="s">
        <v>487</v>
      </c>
      <c r="F22" s="13" t="s">
        <v>473</v>
      </c>
      <c r="G22" s="97">
        <v>46359.0</v>
      </c>
      <c r="H22" s="16" t="s">
        <v>488</v>
      </c>
    </row>
    <row r="23" ht="15.75" hidden="1" customHeight="1">
      <c r="A23" s="92" t="s">
        <v>123</v>
      </c>
      <c r="B23" s="93" t="s">
        <v>470</v>
      </c>
      <c r="C23" s="94" t="s">
        <v>489</v>
      </c>
      <c r="D23" s="95" t="s">
        <v>469</v>
      </c>
      <c r="E23" s="96" t="s">
        <v>467</v>
      </c>
      <c r="F23" s="13" t="s">
        <v>3</v>
      </c>
      <c r="G23" s="97">
        <v>46056.0</v>
      </c>
      <c r="H23" s="16"/>
    </row>
    <row r="24" ht="15.75" hidden="1" customHeight="1">
      <c r="A24" s="98" t="s">
        <v>126</v>
      </c>
      <c r="B24" s="99" t="s">
        <v>464</v>
      </c>
      <c r="C24" s="100" t="s">
        <v>468</v>
      </c>
      <c r="D24" s="101" t="s">
        <v>469</v>
      </c>
      <c r="E24" s="96" t="s">
        <v>487</v>
      </c>
      <c r="F24" s="13" t="s">
        <v>3</v>
      </c>
      <c r="G24" s="13" t="s">
        <v>490</v>
      </c>
      <c r="H24" s="16" t="s">
        <v>491</v>
      </c>
    </row>
    <row r="25" ht="15.75" customHeight="1">
      <c r="A25" s="92" t="s">
        <v>126</v>
      </c>
      <c r="B25" s="93" t="s">
        <v>464</v>
      </c>
      <c r="C25" s="94" t="s">
        <v>468</v>
      </c>
      <c r="D25" s="95" t="s">
        <v>466</v>
      </c>
      <c r="E25" s="96" t="s">
        <v>467</v>
      </c>
      <c r="F25" s="13" t="s">
        <v>473</v>
      </c>
      <c r="G25" s="13" t="s">
        <v>474</v>
      </c>
      <c r="H25" s="16"/>
    </row>
    <row r="26" ht="15.75" hidden="1" customHeight="1">
      <c r="A26" s="92" t="s">
        <v>126</v>
      </c>
      <c r="B26" s="93" t="s">
        <v>464</v>
      </c>
      <c r="C26" s="94" t="s">
        <v>486</v>
      </c>
      <c r="D26" s="95" t="s">
        <v>466</v>
      </c>
      <c r="E26" s="96" t="s">
        <v>492</v>
      </c>
      <c r="F26" s="13" t="s">
        <v>3</v>
      </c>
      <c r="G26" s="97">
        <v>46056.0</v>
      </c>
      <c r="H26" s="16"/>
    </row>
    <row r="27" ht="15.75" hidden="1" customHeight="1">
      <c r="A27" s="92" t="s">
        <v>129</v>
      </c>
      <c r="B27" s="93" t="s">
        <v>464</v>
      </c>
      <c r="C27" s="94" t="s">
        <v>489</v>
      </c>
      <c r="D27" s="95" t="s">
        <v>469</v>
      </c>
      <c r="E27" s="96" t="s">
        <v>467</v>
      </c>
      <c r="F27" s="13" t="s">
        <v>3</v>
      </c>
      <c r="G27" s="97">
        <v>46056.0</v>
      </c>
      <c r="H27" s="16"/>
    </row>
    <row r="28" ht="15.75" hidden="1" customHeight="1">
      <c r="A28" s="92" t="s">
        <v>129</v>
      </c>
      <c r="B28" s="93" t="s">
        <v>464</v>
      </c>
      <c r="C28" s="94" t="s">
        <v>489</v>
      </c>
      <c r="D28" s="95" t="s">
        <v>466</v>
      </c>
      <c r="E28" s="96" t="s">
        <v>467</v>
      </c>
      <c r="F28" s="13" t="s">
        <v>3</v>
      </c>
      <c r="G28" s="97">
        <v>46056.0</v>
      </c>
      <c r="H28" s="16"/>
    </row>
    <row r="29" ht="15.75" hidden="1" customHeight="1">
      <c r="A29" s="92" t="s">
        <v>129</v>
      </c>
      <c r="B29" s="93" t="s">
        <v>470</v>
      </c>
      <c r="C29" s="94" t="s">
        <v>493</v>
      </c>
      <c r="D29" s="95" t="s">
        <v>494</v>
      </c>
      <c r="E29" s="96" t="s">
        <v>467</v>
      </c>
      <c r="F29" s="13" t="s">
        <v>3</v>
      </c>
      <c r="G29" s="97">
        <v>46056.0</v>
      </c>
      <c r="H29" s="16"/>
    </row>
    <row r="30" ht="15.75" hidden="1" customHeight="1">
      <c r="A30" s="92" t="s">
        <v>129</v>
      </c>
      <c r="B30" s="93" t="s">
        <v>470</v>
      </c>
      <c r="C30" s="94" t="s">
        <v>493</v>
      </c>
      <c r="D30" s="95" t="s">
        <v>469</v>
      </c>
      <c r="E30" s="96" t="s">
        <v>495</v>
      </c>
      <c r="F30" s="13" t="s">
        <v>3</v>
      </c>
      <c r="G30" s="97">
        <v>46056.0</v>
      </c>
      <c r="H30" s="16"/>
    </row>
    <row r="31" ht="15.75" customHeight="1">
      <c r="A31" s="92" t="s">
        <v>129</v>
      </c>
      <c r="B31" s="93" t="s">
        <v>470</v>
      </c>
      <c r="C31" s="94" t="s">
        <v>493</v>
      </c>
      <c r="D31" s="95" t="s">
        <v>466</v>
      </c>
      <c r="E31" s="96" t="s">
        <v>467</v>
      </c>
      <c r="F31" s="13" t="s">
        <v>473</v>
      </c>
      <c r="G31" s="13" t="s">
        <v>474</v>
      </c>
      <c r="H31" s="16"/>
    </row>
    <row r="32" ht="15.75" hidden="1" customHeight="1">
      <c r="A32" s="92" t="s">
        <v>496</v>
      </c>
      <c r="B32" s="93" t="s">
        <v>464</v>
      </c>
      <c r="C32" s="94" t="s">
        <v>497</v>
      </c>
      <c r="D32" s="95" t="s">
        <v>466</v>
      </c>
      <c r="E32" s="96" t="s">
        <v>467</v>
      </c>
      <c r="F32" s="13" t="s">
        <v>3</v>
      </c>
      <c r="G32" s="97">
        <v>46056.0</v>
      </c>
      <c r="H32" s="16"/>
    </row>
    <row r="33" ht="15.75" hidden="1" customHeight="1">
      <c r="A33" s="92" t="s">
        <v>496</v>
      </c>
      <c r="B33" s="93" t="s">
        <v>464</v>
      </c>
      <c r="C33" s="94" t="s">
        <v>477</v>
      </c>
      <c r="D33" s="95" t="s">
        <v>469</v>
      </c>
      <c r="E33" s="96" t="s">
        <v>467</v>
      </c>
      <c r="F33" s="13" t="s">
        <v>3</v>
      </c>
      <c r="G33" s="97">
        <v>46056.0</v>
      </c>
      <c r="H33" s="16"/>
    </row>
    <row r="34" ht="15.75" customHeight="1">
      <c r="A34" s="92" t="s">
        <v>496</v>
      </c>
      <c r="B34" s="93" t="s">
        <v>464</v>
      </c>
      <c r="C34" s="94" t="s">
        <v>477</v>
      </c>
      <c r="D34" s="95" t="s">
        <v>466</v>
      </c>
      <c r="E34" s="96" t="s">
        <v>498</v>
      </c>
      <c r="F34" s="13" t="s">
        <v>473</v>
      </c>
      <c r="G34" s="13" t="s">
        <v>474</v>
      </c>
      <c r="H34" s="16"/>
    </row>
    <row r="35" ht="15.75" customHeight="1">
      <c r="A35" s="92" t="s">
        <v>499</v>
      </c>
      <c r="B35" s="93" t="s">
        <v>464</v>
      </c>
      <c r="C35" s="94" t="s">
        <v>468</v>
      </c>
      <c r="D35" s="95" t="s">
        <v>466</v>
      </c>
      <c r="E35" s="96" t="s">
        <v>500</v>
      </c>
      <c r="F35" s="13" t="s">
        <v>473</v>
      </c>
      <c r="G35" s="13" t="s">
        <v>474</v>
      </c>
      <c r="H35" s="16"/>
    </row>
    <row r="36" ht="15.75" hidden="1" customHeight="1">
      <c r="A36" s="92" t="s">
        <v>501</v>
      </c>
      <c r="B36" s="93" t="s">
        <v>464</v>
      </c>
      <c r="C36" s="94" t="s">
        <v>477</v>
      </c>
      <c r="D36" s="95" t="s">
        <v>466</v>
      </c>
      <c r="E36" s="96" t="s">
        <v>467</v>
      </c>
      <c r="F36" s="13" t="s">
        <v>3</v>
      </c>
      <c r="G36" s="97">
        <v>46056.0</v>
      </c>
      <c r="H36" s="16"/>
    </row>
    <row r="37" ht="15.75" hidden="1" customHeight="1">
      <c r="A37" s="92" t="s">
        <v>502</v>
      </c>
      <c r="B37" s="93" t="s">
        <v>464</v>
      </c>
      <c r="C37" s="94" t="s">
        <v>503</v>
      </c>
      <c r="D37" s="95" t="s">
        <v>466</v>
      </c>
      <c r="E37" s="96" t="s">
        <v>467</v>
      </c>
      <c r="F37" s="13" t="s">
        <v>3</v>
      </c>
      <c r="G37" s="97">
        <v>46056.0</v>
      </c>
      <c r="H37" s="16"/>
    </row>
    <row r="38" ht="15.75" hidden="1" customHeight="1">
      <c r="A38" s="92" t="s">
        <v>154</v>
      </c>
      <c r="B38" s="93" t="s">
        <v>504</v>
      </c>
      <c r="C38" s="94" t="s">
        <v>504</v>
      </c>
      <c r="D38" s="95" t="s">
        <v>504</v>
      </c>
      <c r="E38" s="96" t="s">
        <v>467</v>
      </c>
      <c r="F38" s="13" t="s">
        <v>3</v>
      </c>
      <c r="G38" s="97">
        <v>46056.0</v>
      </c>
      <c r="H38" s="16"/>
    </row>
    <row r="39" ht="15.75" hidden="1" customHeight="1">
      <c r="A39" s="92" t="s">
        <v>505</v>
      </c>
      <c r="B39" s="93" t="s">
        <v>464</v>
      </c>
      <c r="C39" s="94" t="s">
        <v>489</v>
      </c>
      <c r="D39" s="95" t="s">
        <v>466</v>
      </c>
      <c r="E39" s="96" t="s">
        <v>506</v>
      </c>
      <c r="F39" s="13" t="s">
        <v>3</v>
      </c>
      <c r="G39" s="97">
        <v>46056.0</v>
      </c>
      <c r="H39" s="16"/>
    </row>
    <row r="40" ht="15.75" hidden="1" customHeight="1">
      <c r="A40" s="92" t="s">
        <v>161</v>
      </c>
      <c r="B40" s="93" t="s">
        <v>464</v>
      </c>
      <c r="C40" s="94" t="s">
        <v>477</v>
      </c>
      <c r="D40" s="95" t="s">
        <v>466</v>
      </c>
      <c r="E40" s="96" t="s">
        <v>467</v>
      </c>
      <c r="F40" s="13" t="s">
        <v>3</v>
      </c>
      <c r="G40" s="97">
        <v>46056.0</v>
      </c>
      <c r="H40" s="16"/>
    </row>
    <row r="41" ht="15.75" hidden="1" customHeight="1">
      <c r="A41" s="92" t="s">
        <v>164</v>
      </c>
      <c r="B41" s="93" t="s">
        <v>464</v>
      </c>
      <c r="C41" s="94" t="s">
        <v>507</v>
      </c>
      <c r="D41" s="95" t="s">
        <v>466</v>
      </c>
      <c r="E41" s="96" t="s">
        <v>467</v>
      </c>
      <c r="F41" s="13" t="s">
        <v>3</v>
      </c>
      <c r="G41" s="97">
        <v>46056.0</v>
      </c>
      <c r="H41" s="16"/>
    </row>
    <row r="42" ht="15.75" hidden="1" customHeight="1">
      <c r="A42" s="92" t="s">
        <v>167</v>
      </c>
      <c r="B42" s="93" t="s">
        <v>464</v>
      </c>
      <c r="C42" s="94" t="s">
        <v>477</v>
      </c>
      <c r="D42" s="95" t="s">
        <v>466</v>
      </c>
      <c r="E42" s="96" t="s">
        <v>467</v>
      </c>
      <c r="F42" s="13" t="s">
        <v>3</v>
      </c>
      <c r="G42" s="97">
        <v>46056.0</v>
      </c>
      <c r="H42" s="16"/>
    </row>
    <row r="43" ht="15.75" hidden="1" customHeight="1">
      <c r="A43" s="92" t="s">
        <v>508</v>
      </c>
      <c r="B43" s="93" t="s">
        <v>464</v>
      </c>
      <c r="C43" s="94" t="s">
        <v>503</v>
      </c>
      <c r="D43" s="95" t="s">
        <v>466</v>
      </c>
      <c r="E43" s="96" t="s">
        <v>467</v>
      </c>
      <c r="F43" s="13" t="s">
        <v>3</v>
      </c>
      <c r="G43" s="97">
        <v>46056.0</v>
      </c>
      <c r="H43" s="16"/>
    </row>
    <row r="44" ht="15.75" hidden="1" customHeight="1">
      <c r="A44" s="92" t="s">
        <v>509</v>
      </c>
      <c r="B44" s="93" t="s">
        <v>464</v>
      </c>
      <c r="C44" s="94" t="s">
        <v>510</v>
      </c>
      <c r="D44" s="95" t="s">
        <v>466</v>
      </c>
      <c r="E44" s="96" t="s">
        <v>511</v>
      </c>
      <c r="F44" s="13" t="s">
        <v>3</v>
      </c>
      <c r="G44" s="97">
        <v>46056.0</v>
      </c>
      <c r="H44" s="16"/>
    </row>
    <row r="45" ht="15.75" hidden="1" customHeight="1">
      <c r="A45" s="92" t="s">
        <v>176</v>
      </c>
      <c r="B45" s="93" t="s">
        <v>464</v>
      </c>
      <c r="C45" s="94" t="s">
        <v>512</v>
      </c>
      <c r="D45" s="95" t="s">
        <v>466</v>
      </c>
      <c r="E45" s="96" t="s">
        <v>467</v>
      </c>
      <c r="F45" s="13" t="s">
        <v>3</v>
      </c>
      <c r="G45" s="97">
        <v>46056.0</v>
      </c>
      <c r="H45" s="16"/>
    </row>
    <row r="46" ht="15.75" hidden="1" customHeight="1">
      <c r="A46" s="92" t="s">
        <v>176</v>
      </c>
      <c r="B46" s="93" t="s">
        <v>464</v>
      </c>
      <c r="C46" s="94" t="s">
        <v>468</v>
      </c>
      <c r="D46" s="95" t="s">
        <v>466</v>
      </c>
      <c r="E46" s="96" t="s">
        <v>513</v>
      </c>
      <c r="F46" s="13" t="s">
        <v>3</v>
      </c>
      <c r="G46" s="97">
        <v>46056.0</v>
      </c>
      <c r="H46" s="16"/>
    </row>
    <row r="47" ht="15.75" hidden="1" customHeight="1">
      <c r="A47" s="92" t="s">
        <v>514</v>
      </c>
      <c r="B47" s="93" t="s">
        <v>464</v>
      </c>
      <c r="C47" s="94" t="s">
        <v>515</v>
      </c>
      <c r="D47" s="95" t="s">
        <v>466</v>
      </c>
      <c r="E47" s="96" t="s">
        <v>467</v>
      </c>
      <c r="F47" s="13" t="s">
        <v>3</v>
      </c>
      <c r="G47" s="97">
        <v>46056.0</v>
      </c>
      <c r="H47" s="16"/>
    </row>
    <row r="48" ht="15.75" hidden="1" customHeight="1">
      <c r="A48" s="92" t="s">
        <v>514</v>
      </c>
      <c r="B48" s="93" t="s">
        <v>470</v>
      </c>
      <c r="C48" s="94" t="s">
        <v>515</v>
      </c>
      <c r="D48" s="95" t="s">
        <v>466</v>
      </c>
      <c r="E48" s="102" t="s">
        <v>467</v>
      </c>
      <c r="F48" s="13" t="s">
        <v>3</v>
      </c>
      <c r="G48" s="97">
        <v>46056.0</v>
      </c>
      <c r="H48" s="16"/>
      <c r="I48" s="62"/>
      <c r="J48" s="62"/>
      <c r="K48" s="62"/>
      <c r="L48" s="62"/>
      <c r="M48" s="62"/>
      <c r="N48" s="62"/>
      <c r="O48" s="62"/>
      <c r="P48" s="62"/>
      <c r="Q48" s="62"/>
      <c r="R48" s="62"/>
      <c r="S48" s="62"/>
      <c r="T48" s="62"/>
      <c r="U48" s="62"/>
      <c r="V48" s="62"/>
      <c r="W48" s="62"/>
      <c r="X48" s="62"/>
      <c r="Y48" s="62"/>
      <c r="Z48" s="62"/>
    </row>
    <row r="49" ht="15.75" hidden="1" customHeight="1">
      <c r="A49" s="103" t="s">
        <v>514</v>
      </c>
      <c r="B49" s="104" t="s">
        <v>464</v>
      </c>
      <c r="C49" s="105" t="s">
        <v>516</v>
      </c>
      <c r="D49" s="106" t="s">
        <v>466</v>
      </c>
      <c r="E49" s="107" t="s">
        <v>467</v>
      </c>
      <c r="F49" s="13" t="s">
        <v>3</v>
      </c>
      <c r="G49" s="97">
        <v>46056.0</v>
      </c>
      <c r="H49" s="16"/>
    </row>
    <row r="50" ht="15.0" hidden="1" customHeight="1">
      <c r="A50" s="33" t="s">
        <v>517</v>
      </c>
      <c r="B50" s="13" t="s">
        <v>464</v>
      </c>
      <c r="C50" s="16" t="s">
        <v>489</v>
      </c>
      <c r="D50" s="13" t="s">
        <v>466</v>
      </c>
      <c r="E50" s="108"/>
      <c r="F50" s="109" t="s">
        <v>3</v>
      </c>
      <c r="G50" s="110">
        <v>46268.0</v>
      </c>
      <c r="H50" s="47"/>
    </row>
    <row r="51" ht="15.0" hidden="1" customHeight="1">
      <c r="A51" s="33" t="s">
        <v>517</v>
      </c>
      <c r="B51" s="13" t="s">
        <v>464</v>
      </c>
      <c r="C51" s="16" t="s">
        <v>507</v>
      </c>
      <c r="D51" s="13" t="s">
        <v>466</v>
      </c>
      <c r="E51" s="108"/>
      <c r="F51" s="109" t="s">
        <v>3</v>
      </c>
      <c r="G51" s="110">
        <v>46268.0</v>
      </c>
      <c r="H51" s="47"/>
    </row>
    <row r="52" ht="15.0" hidden="1" customHeight="1">
      <c r="A52" s="33" t="s">
        <v>74</v>
      </c>
      <c r="B52" s="13" t="s">
        <v>464</v>
      </c>
      <c r="C52" s="16" t="s">
        <v>489</v>
      </c>
      <c r="D52" s="13" t="s">
        <v>466</v>
      </c>
      <c r="E52" s="108"/>
      <c r="F52" s="109" t="s">
        <v>3</v>
      </c>
      <c r="G52" s="110">
        <v>46268.0</v>
      </c>
      <c r="H52" s="47"/>
    </row>
    <row r="53" ht="15.0" customHeight="1">
      <c r="A53" s="33" t="s">
        <v>74</v>
      </c>
      <c r="B53" s="13" t="s">
        <v>470</v>
      </c>
      <c r="C53" s="16" t="s">
        <v>489</v>
      </c>
      <c r="D53" s="13" t="s">
        <v>469</v>
      </c>
      <c r="E53" s="108"/>
      <c r="F53" s="109" t="s">
        <v>473</v>
      </c>
      <c r="G53" s="13" t="s">
        <v>474</v>
      </c>
      <c r="H53" s="47" t="s">
        <v>518</v>
      </c>
    </row>
    <row r="54" ht="15.0" customHeight="1">
      <c r="A54" s="33" t="s">
        <v>74</v>
      </c>
      <c r="B54" s="13" t="s">
        <v>470</v>
      </c>
      <c r="C54" s="16" t="s">
        <v>489</v>
      </c>
      <c r="D54" s="13" t="s">
        <v>466</v>
      </c>
      <c r="E54" s="108"/>
      <c r="F54" s="109" t="s">
        <v>473</v>
      </c>
      <c r="G54" s="13" t="s">
        <v>474</v>
      </c>
      <c r="H54" s="47"/>
    </row>
    <row r="55" ht="15.0" hidden="1" customHeight="1">
      <c r="A55" s="33" t="s">
        <v>74</v>
      </c>
      <c r="B55" s="13" t="s">
        <v>470</v>
      </c>
      <c r="C55" s="16" t="s">
        <v>477</v>
      </c>
      <c r="D55" s="13" t="s">
        <v>466</v>
      </c>
      <c r="E55" s="108"/>
      <c r="F55" s="109" t="s">
        <v>3</v>
      </c>
      <c r="G55" s="110">
        <v>46268.0</v>
      </c>
      <c r="H55" s="47"/>
    </row>
    <row r="56" ht="15.0" hidden="1" customHeight="1">
      <c r="A56" s="33" t="s">
        <v>74</v>
      </c>
      <c r="B56" s="13" t="s">
        <v>464</v>
      </c>
      <c r="C56" s="16" t="s">
        <v>519</v>
      </c>
      <c r="D56" s="13" t="s">
        <v>466</v>
      </c>
      <c r="E56" s="108"/>
      <c r="F56" s="109" t="s">
        <v>3</v>
      </c>
      <c r="G56" s="110">
        <v>46268.0</v>
      </c>
      <c r="H56" s="47"/>
    </row>
    <row r="57" ht="15.0" customHeight="1">
      <c r="A57" s="33" t="s">
        <v>74</v>
      </c>
      <c r="B57" s="13" t="s">
        <v>470</v>
      </c>
      <c r="C57" s="16" t="s">
        <v>519</v>
      </c>
      <c r="D57" s="13" t="s">
        <v>466</v>
      </c>
      <c r="E57" s="108"/>
      <c r="F57" s="109" t="s">
        <v>473</v>
      </c>
      <c r="G57" s="13" t="s">
        <v>474</v>
      </c>
      <c r="H57" s="47"/>
    </row>
    <row r="58" ht="15.0" hidden="1" customHeight="1">
      <c r="A58" s="33" t="s">
        <v>74</v>
      </c>
      <c r="B58" s="13" t="s">
        <v>464</v>
      </c>
      <c r="C58" s="16" t="s">
        <v>507</v>
      </c>
      <c r="D58" s="13" t="s">
        <v>466</v>
      </c>
      <c r="E58" s="108"/>
      <c r="F58" s="109" t="s">
        <v>3</v>
      </c>
      <c r="G58" s="110">
        <v>46268.0</v>
      </c>
      <c r="H58" s="47"/>
    </row>
    <row r="59" ht="15.0" hidden="1" customHeight="1">
      <c r="A59" s="33" t="s">
        <v>79</v>
      </c>
      <c r="B59" s="13" t="s">
        <v>464</v>
      </c>
      <c r="C59" s="16" t="s">
        <v>489</v>
      </c>
      <c r="D59" s="13" t="s">
        <v>466</v>
      </c>
      <c r="E59" s="108"/>
      <c r="F59" s="109" t="s">
        <v>3</v>
      </c>
      <c r="G59" s="110">
        <v>46268.0</v>
      </c>
      <c r="H59" s="47"/>
    </row>
    <row r="60" ht="15.0" hidden="1" customHeight="1">
      <c r="A60" s="33" t="s">
        <v>520</v>
      </c>
      <c r="B60" s="13" t="s">
        <v>464</v>
      </c>
      <c r="C60" s="16" t="s">
        <v>507</v>
      </c>
      <c r="D60" s="13" t="s">
        <v>466</v>
      </c>
      <c r="E60" s="108"/>
      <c r="F60" s="109" t="s">
        <v>3</v>
      </c>
      <c r="G60" s="110">
        <v>46268.0</v>
      </c>
      <c r="H60" s="47"/>
    </row>
    <row r="61" ht="15.0" hidden="1" customHeight="1">
      <c r="A61" s="33" t="s">
        <v>100</v>
      </c>
      <c r="B61" s="13" t="s">
        <v>464</v>
      </c>
      <c r="C61" s="16" t="s">
        <v>519</v>
      </c>
      <c r="D61" s="13" t="s">
        <v>466</v>
      </c>
      <c r="E61" s="108"/>
      <c r="F61" s="109" t="s">
        <v>3</v>
      </c>
      <c r="G61" s="110">
        <v>46268.0</v>
      </c>
      <c r="H61" s="47"/>
    </row>
    <row r="62" ht="15.0" hidden="1" customHeight="1">
      <c r="A62" s="33" t="s">
        <v>479</v>
      </c>
      <c r="B62" s="13" t="s">
        <v>464</v>
      </c>
      <c r="C62" s="16" t="s">
        <v>521</v>
      </c>
      <c r="D62" s="13" t="s">
        <v>466</v>
      </c>
      <c r="E62" s="108"/>
      <c r="F62" s="109" t="s">
        <v>3</v>
      </c>
      <c r="G62" s="110">
        <v>46268.0</v>
      </c>
      <c r="H62" s="47"/>
    </row>
    <row r="63" ht="15.0" hidden="1" customHeight="1">
      <c r="A63" s="33" t="s">
        <v>479</v>
      </c>
      <c r="B63" s="13" t="s">
        <v>464</v>
      </c>
      <c r="C63" s="16" t="s">
        <v>522</v>
      </c>
      <c r="D63" s="13" t="s">
        <v>466</v>
      </c>
      <c r="E63" s="108"/>
      <c r="F63" s="109" t="s">
        <v>3</v>
      </c>
      <c r="G63" s="110">
        <v>46268.0</v>
      </c>
      <c r="H63" s="47"/>
    </row>
    <row r="64" ht="15.0" hidden="1" customHeight="1">
      <c r="A64" s="33" t="s">
        <v>479</v>
      </c>
      <c r="B64" s="13" t="s">
        <v>464</v>
      </c>
      <c r="C64" s="16" t="s">
        <v>507</v>
      </c>
      <c r="D64" s="13" t="s">
        <v>466</v>
      </c>
      <c r="E64" s="108"/>
      <c r="F64" s="109" t="s">
        <v>3</v>
      </c>
      <c r="G64" s="110">
        <v>46268.0</v>
      </c>
      <c r="H64" s="47"/>
    </row>
    <row r="65" ht="15.0" hidden="1" customHeight="1">
      <c r="A65" s="33" t="s">
        <v>106</v>
      </c>
      <c r="B65" s="13" t="s">
        <v>464</v>
      </c>
      <c r="C65" s="16" t="s">
        <v>497</v>
      </c>
      <c r="D65" s="13" t="s">
        <v>466</v>
      </c>
      <c r="E65" s="108"/>
      <c r="F65" s="109" t="s">
        <v>3</v>
      </c>
      <c r="G65" s="110">
        <v>46268.0</v>
      </c>
      <c r="H65" s="47"/>
    </row>
    <row r="66" ht="15.0" hidden="1" customHeight="1">
      <c r="A66" s="33" t="s">
        <v>481</v>
      </c>
      <c r="B66" s="13" t="s">
        <v>470</v>
      </c>
      <c r="C66" s="16" t="s">
        <v>468</v>
      </c>
      <c r="D66" s="13" t="s">
        <v>466</v>
      </c>
      <c r="E66" s="108"/>
      <c r="F66" s="109" t="s">
        <v>3</v>
      </c>
      <c r="G66" s="110">
        <v>46268.0</v>
      </c>
      <c r="H66" s="47"/>
    </row>
    <row r="67" ht="15.0" hidden="1" customHeight="1">
      <c r="A67" s="33" t="s">
        <v>120</v>
      </c>
      <c r="B67" s="13" t="s">
        <v>470</v>
      </c>
      <c r="C67" s="16" t="s">
        <v>523</v>
      </c>
      <c r="D67" s="13" t="s">
        <v>466</v>
      </c>
      <c r="E67" s="108"/>
      <c r="F67" s="109" t="s">
        <v>3</v>
      </c>
      <c r="G67" s="110">
        <v>46268.0</v>
      </c>
      <c r="H67" s="47"/>
    </row>
    <row r="68" ht="15.0" customHeight="1">
      <c r="A68" s="33" t="s">
        <v>120</v>
      </c>
      <c r="B68" s="13" t="s">
        <v>470</v>
      </c>
      <c r="C68" s="16" t="s">
        <v>486</v>
      </c>
      <c r="D68" s="13" t="s">
        <v>466</v>
      </c>
      <c r="E68" s="108"/>
      <c r="F68" s="109" t="s">
        <v>473</v>
      </c>
      <c r="G68" s="13" t="s">
        <v>474</v>
      </c>
      <c r="H68" s="47"/>
    </row>
    <row r="69" ht="15.0" hidden="1" customHeight="1">
      <c r="A69" s="33" t="s">
        <v>120</v>
      </c>
      <c r="B69" s="13" t="s">
        <v>470</v>
      </c>
      <c r="C69" s="16" t="s">
        <v>468</v>
      </c>
      <c r="D69" s="13" t="s">
        <v>466</v>
      </c>
      <c r="E69" s="108"/>
      <c r="F69" s="109" t="s">
        <v>3</v>
      </c>
      <c r="G69" s="110">
        <v>46268.0</v>
      </c>
      <c r="H69" s="47"/>
    </row>
    <row r="70" ht="15.0" customHeight="1">
      <c r="A70" s="33" t="s">
        <v>126</v>
      </c>
      <c r="B70" s="13" t="s">
        <v>464</v>
      </c>
      <c r="C70" s="16" t="s">
        <v>468</v>
      </c>
      <c r="D70" s="13" t="s">
        <v>466</v>
      </c>
      <c r="E70" s="108"/>
      <c r="F70" s="109" t="s">
        <v>473</v>
      </c>
      <c r="G70" s="13" t="s">
        <v>474</v>
      </c>
      <c r="H70" s="47"/>
    </row>
    <row r="71" ht="15.0" customHeight="1">
      <c r="A71" s="33" t="s">
        <v>126</v>
      </c>
      <c r="B71" s="13" t="s">
        <v>464</v>
      </c>
      <c r="C71" s="16" t="s">
        <v>468</v>
      </c>
      <c r="D71" s="13" t="s">
        <v>466</v>
      </c>
      <c r="E71" s="108"/>
      <c r="F71" s="109" t="s">
        <v>473</v>
      </c>
      <c r="G71" s="13" t="s">
        <v>474</v>
      </c>
      <c r="H71" s="47"/>
    </row>
    <row r="72" ht="15.0" hidden="1" customHeight="1">
      <c r="A72" s="33" t="s">
        <v>126</v>
      </c>
      <c r="B72" s="13" t="s">
        <v>470</v>
      </c>
      <c r="C72" s="16" t="s">
        <v>468</v>
      </c>
      <c r="D72" s="13" t="s">
        <v>469</v>
      </c>
      <c r="E72" s="108"/>
      <c r="F72" s="109" t="s">
        <v>3</v>
      </c>
      <c r="G72" s="110">
        <v>46268.0</v>
      </c>
      <c r="H72" s="47"/>
    </row>
    <row r="73" ht="15.0" hidden="1" customHeight="1">
      <c r="A73" s="33" t="s">
        <v>126</v>
      </c>
      <c r="B73" s="13" t="s">
        <v>470</v>
      </c>
      <c r="C73" s="16" t="s">
        <v>468</v>
      </c>
      <c r="D73" s="13" t="s">
        <v>466</v>
      </c>
      <c r="E73" s="108"/>
      <c r="F73" s="109" t="s">
        <v>3</v>
      </c>
      <c r="G73" s="110">
        <v>46268.0</v>
      </c>
      <c r="H73" s="47"/>
    </row>
    <row r="74" ht="15.0" hidden="1" customHeight="1">
      <c r="A74" s="33" t="s">
        <v>129</v>
      </c>
      <c r="B74" s="13" t="s">
        <v>464</v>
      </c>
      <c r="C74" s="16" t="s">
        <v>477</v>
      </c>
      <c r="D74" s="13" t="s">
        <v>466</v>
      </c>
      <c r="E74" s="108"/>
      <c r="F74" s="109" t="s">
        <v>3</v>
      </c>
      <c r="G74" s="110">
        <v>46268.0</v>
      </c>
      <c r="H74" s="47"/>
    </row>
    <row r="75" ht="15.0" hidden="1" customHeight="1">
      <c r="A75" s="111" t="s">
        <v>501</v>
      </c>
      <c r="B75" s="13" t="s">
        <v>464</v>
      </c>
      <c r="C75" s="16" t="s">
        <v>489</v>
      </c>
      <c r="D75" s="13" t="s">
        <v>466</v>
      </c>
      <c r="E75" s="108"/>
      <c r="F75" s="109" t="s">
        <v>3</v>
      </c>
      <c r="G75" s="110">
        <v>46268.0</v>
      </c>
      <c r="H75" s="47"/>
    </row>
    <row r="76" ht="15.0" hidden="1" customHeight="1">
      <c r="A76" s="111" t="s">
        <v>501</v>
      </c>
      <c r="B76" s="13" t="s">
        <v>464</v>
      </c>
      <c r="C76" s="16" t="s">
        <v>524</v>
      </c>
      <c r="D76" s="13" t="s">
        <v>466</v>
      </c>
      <c r="E76" s="108"/>
      <c r="F76" s="109" t="s">
        <v>3</v>
      </c>
      <c r="G76" s="110">
        <v>46268.0</v>
      </c>
      <c r="H76" s="47"/>
    </row>
    <row r="77" ht="15.0" hidden="1" customHeight="1">
      <c r="A77" s="111" t="s">
        <v>501</v>
      </c>
      <c r="B77" s="13" t="s">
        <v>464</v>
      </c>
      <c r="C77" s="16" t="s">
        <v>507</v>
      </c>
      <c r="D77" s="13" t="s">
        <v>466</v>
      </c>
      <c r="E77" s="108"/>
      <c r="F77" s="109" t="s">
        <v>3</v>
      </c>
      <c r="G77" s="110">
        <v>46268.0</v>
      </c>
      <c r="H77" s="47"/>
    </row>
    <row r="78" ht="15.0" hidden="1" customHeight="1">
      <c r="A78" s="33" t="s">
        <v>502</v>
      </c>
      <c r="B78" s="13" t="s">
        <v>464</v>
      </c>
      <c r="C78" s="16" t="s">
        <v>507</v>
      </c>
      <c r="D78" s="13" t="s">
        <v>466</v>
      </c>
      <c r="E78" s="108"/>
      <c r="F78" s="109" t="s">
        <v>3</v>
      </c>
      <c r="G78" s="110">
        <v>46268.0</v>
      </c>
      <c r="H78" s="47"/>
    </row>
    <row r="79" ht="15.0" hidden="1" customHeight="1">
      <c r="A79" s="33" t="s">
        <v>525</v>
      </c>
      <c r="B79" s="13" t="s">
        <v>464</v>
      </c>
      <c r="C79" s="16" t="s">
        <v>526</v>
      </c>
      <c r="D79" s="13" t="s">
        <v>466</v>
      </c>
      <c r="E79" s="108"/>
      <c r="F79" s="109" t="s">
        <v>3</v>
      </c>
      <c r="G79" s="110">
        <v>46268.0</v>
      </c>
      <c r="H79" s="47"/>
    </row>
    <row r="80" ht="15.0" hidden="1" customHeight="1">
      <c r="A80" s="33" t="s">
        <v>525</v>
      </c>
      <c r="B80" s="13" t="s">
        <v>470</v>
      </c>
      <c r="C80" s="16" t="s">
        <v>477</v>
      </c>
      <c r="D80" s="13" t="s">
        <v>466</v>
      </c>
      <c r="E80" s="108"/>
      <c r="F80" s="109" t="s">
        <v>3</v>
      </c>
      <c r="G80" s="110">
        <v>46268.0</v>
      </c>
      <c r="H80" s="47"/>
    </row>
    <row r="81" ht="15.0" hidden="1" customHeight="1">
      <c r="A81" s="33" t="s">
        <v>525</v>
      </c>
      <c r="B81" s="13" t="s">
        <v>470</v>
      </c>
      <c r="C81" s="16" t="s">
        <v>468</v>
      </c>
      <c r="D81" s="13" t="s">
        <v>466</v>
      </c>
      <c r="E81" s="108"/>
      <c r="F81" s="109" t="s">
        <v>3</v>
      </c>
      <c r="G81" s="110">
        <v>46298.0</v>
      </c>
      <c r="H81" s="47"/>
    </row>
    <row r="82" ht="15.0" hidden="1" customHeight="1">
      <c r="A82" s="33" t="s">
        <v>525</v>
      </c>
      <c r="B82" s="13" t="s">
        <v>470</v>
      </c>
      <c r="C82" s="16" t="s">
        <v>516</v>
      </c>
      <c r="D82" s="13" t="s">
        <v>466</v>
      </c>
      <c r="E82" s="108"/>
      <c r="F82" s="109" t="s">
        <v>3</v>
      </c>
      <c r="G82" s="110">
        <v>46268.0</v>
      </c>
      <c r="H82" s="47"/>
    </row>
    <row r="83" ht="15.0" hidden="1" customHeight="1">
      <c r="A83" s="33" t="s">
        <v>525</v>
      </c>
      <c r="B83" s="13" t="s">
        <v>470</v>
      </c>
      <c r="C83" s="16" t="s">
        <v>526</v>
      </c>
      <c r="D83" s="13" t="s">
        <v>466</v>
      </c>
      <c r="E83" s="108"/>
      <c r="F83" s="109" t="s">
        <v>3</v>
      </c>
      <c r="G83" s="110">
        <v>46268.0</v>
      </c>
      <c r="H83" s="47"/>
    </row>
    <row r="84" ht="15.0" hidden="1" customHeight="1">
      <c r="A84" s="33" t="s">
        <v>161</v>
      </c>
      <c r="B84" s="13" t="s">
        <v>464</v>
      </c>
      <c r="C84" s="16" t="s">
        <v>507</v>
      </c>
      <c r="D84" s="13" t="s">
        <v>466</v>
      </c>
      <c r="E84" s="108"/>
      <c r="F84" s="109" t="s">
        <v>3</v>
      </c>
      <c r="G84" s="110">
        <v>46268.0</v>
      </c>
      <c r="H84" s="47"/>
    </row>
    <row r="85" ht="15.0" hidden="1" customHeight="1">
      <c r="A85" s="33" t="s">
        <v>527</v>
      </c>
      <c r="B85" s="13" t="s">
        <v>464</v>
      </c>
      <c r="C85" s="16" t="s">
        <v>489</v>
      </c>
      <c r="D85" s="13" t="s">
        <v>466</v>
      </c>
      <c r="E85" s="108"/>
      <c r="F85" s="109" t="s">
        <v>3</v>
      </c>
      <c r="G85" s="110">
        <v>46268.0</v>
      </c>
      <c r="H85" s="47"/>
    </row>
    <row r="86" ht="15.0" hidden="1" customHeight="1">
      <c r="A86" s="33" t="s">
        <v>527</v>
      </c>
      <c r="B86" s="13" t="s">
        <v>464</v>
      </c>
      <c r="C86" s="16" t="s">
        <v>523</v>
      </c>
      <c r="D86" s="13" t="s">
        <v>466</v>
      </c>
      <c r="E86" s="108"/>
      <c r="F86" s="109" t="s">
        <v>3</v>
      </c>
      <c r="G86" s="110">
        <v>46268.0</v>
      </c>
      <c r="H86" s="47"/>
    </row>
    <row r="87" ht="15.0" customHeight="1">
      <c r="A87" s="33" t="s">
        <v>527</v>
      </c>
      <c r="B87" s="13" t="s">
        <v>464</v>
      </c>
      <c r="C87" s="16" t="s">
        <v>485</v>
      </c>
      <c r="D87" s="13" t="s">
        <v>466</v>
      </c>
      <c r="E87" s="108"/>
      <c r="F87" s="109" t="s">
        <v>473</v>
      </c>
      <c r="G87" s="13" t="s">
        <v>474</v>
      </c>
      <c r="H87" s="47"/>
    </row>
    <row r="88" ht="15.0" hidden="1" customHeight="1">
      <c r="A88" s="33" t="s">
        <v>528</v>
      </c>
      <c r="B88" s="13" t="s">
        <v>464</v>
      </c>
      <c r="C88" s="16" t="s">
        <v>524</v>
      </c>
      <c r="D88" s="13" t="s">
        <v>466</v>
      </c>
      <c r="E88" s="108"/>
      <c r="F88" s="109" t="s">
        <v>3</v>
      </c>
      <c r="G88" s="110">
        <v>46268.0</v>
      </c>
      <c r="H88" s="47"/>
    </row>
    <row r="89" ht="15.0" hidden="1" customHeight="1">
      <c r="A89" s="33" t="s">
        <v>528</v>
      </c>
      <c r="B89" s="13" t="s">
        <v>464</v>
      </c>
      <c r="C89" s="16" t="s">
        <v>507</v>
      </c>
      <c r="D89" s="13" t="s">
        <v>466</v>
      </c>
      <c r="E89" s="108"/>
      <c r="F89" s="109" t="s">
        <v>3</v>
      </c>
      <c r="G89" s="110">
        <v>46268.0</v>
      </c>
      <c r="H89" s="47"/>
    </row>
    <row r="90" ht="15.0" hidden="1" customHeight="1">
      <c r="A90" s="33" t="s">
        <v>508</v>
      </c>
      <c r="B90" s="13" t="s">
        <v>464</v>
      </c>
      <c r="C90" s="16" t="s">
        <v>507</v>
      </c>
      <c r="D90" s="13" t="s">
        <v>466</v>
      </c>
      <c r="E90" s="108"/>
      <c r="F90" s="109" t="s">
        <v>3</v>
      </c>
      <c r="G90" s="110">
        <v>46268.0</v>
      </c>
      <c r="H90" s="47"/>
    </row>
    <row r="91" ht="15.0" hidden="1" customHeight="1">
      <c r="A91" s="33" t="s">
        <v>509</v>
      </c>
      <c r="B91" s="13" t="s">
        <v>464</v>
      </c>
      <c r="C91" s="16" t="s">
        <v>507</v>
      </c>
      <c r="D91" s="13" t="s">
        <v>466</v>
      </c>
      <c r="E91" s="108"/>
      <c r="F91" s="109" t="s">
        <v>3</v>
      </c>
      <c r="G91" s="110">
        <v>46268.0</v>
      </c>
      <c r="H91" s="47"/>
    </row>
    <row r="92" ht="15.0" customHeight="1">
      <c r="A92" s="33" t="s">
        <v>180</v>
      </c>
      <c r="B92" s="13" t="s">
        <v>464</v>
      </c>
      <c r="C92" s="16" t="s">
        <v>468</v>
      </c>
      <c r="D92" s="13" t="s">
        <v>466</v>
      </c>
      <c r="E92" s="108"/>
      <c r="F92" s="109" t="s">
        <v>473</v>
      </c>
      <c r="G92" s="13" t="s">
        <v>474</v>
      </c>
      <c r="H92" s="47"/>
    </row>
    <row r="93" ht="15.0" customHeight="1">
      <c r="A93" s="69" t="s">
        <v>180</v>
      </c>
      <c r="B93" s="112" t="s">
        <v>470</v>
      </c>
      <c r="C93" s="113" t="s">
        <v>516</v>
      </c>
      <c r="D93" s="112" t="s">
        <v>466</v>
      </c>
      <c r="E93" s="114"/>
      <c r="F93" s="109" t="s">
        <v>473</v>
      </c>
      <c r="G93" s="13" t="s">
        <v>474</v>
      </c>
      <c r="H93" s="47"/>
    </row>
    <row r="94" ht="15.0" hidden="1" customHeight="1">
      <c r="A94" s="33" t="s">
        <v>58</v>
      </c>
      <c r="B94" s="13" t="s">
        <v>464</v>
      </c>
      <c r="C94" s="16" t="s">
        <v>529</v>
      </c>
      <c r="D94" s="13" t="s">
        <v>466</v>
      </c>
      <c r="E94" s="108"/>
      <c r="F94" s="109" t="s">
        <v>3</v>
      </c>
      <c r="G94" s="110">
        <v>46298.0</v>
      </c>
      <c r="H94" s="47"/>
    </row>
    <row r="95" ht="15.0" hidden="1" customHeight="1">
      <c r="A95" s="33" t="s">
        <v>58</v>
      </c>
      <c r="B95" s="13" t="s">
        <v>464</v>
      </c>
      <c r="C95" s="16" t="s">
        <v>530</v>
      </c>
      <c r="D95" s="13" t="s">
        <v>466</v>
      </c>
      <c r="E95" s="108"/>
      <c r="F95" s="109" t="s">
        <v>3</v>
      </c>
      <c r="G95" s="110">
        <v>46268.0</v>
      </c>
      <c r="H95" s="47"/>
    </row>
    <row r="96" ht="15.0" hidden="1" customHeight="1">
      <c r="A96" s="33" t="s">
        <v>58</v>
      </c>
      <c r="B96" s="13" t="s">
        <v>464</v>
      </c>
      <c r="C96" s="16" t="s">
        <v>531</v>
      </c>
      <c r="D96" s="13" t="s">
        <v>466</v>
      </c>
      <c r="E96" s="108"/>
      <c r="F96" s="109" t="s">
        <v>3</v>
      </c>
      <c r="G96" s="110">
        <v>46268.0</v>
      </c>
      <c r="H96" s="47"/>
    </row>
    <row r="97" ht="15.0" hidden="1" customHeight="1">
      <c r="A97" s="33" t="s">
        <v>58</v>
      </c>
      <c r="B97" s="13" t="s">
        <v>464</v>
      </c>
      <c r="C97" s="16" t="s">
        <v>522</v>
      </c>
      <c r="D97" s="13" t="s">
        <v>466</v>
      </c>
      <c r="E97" s="108"/>
      <c r="F97" s="109" t="s">
        <v>3</v>
      </c>
      <c r="G97" s="110">
        <v>46268.0</v>
      </c>
      <c r="H97" s="47"/>
    </row>
    <row r="98" ht="15.0" hidden="1" customHeight="1">
      <c r="A98" s="33" t="s">
        <v>58</v>
      </c>
      <c r="B98" s="13" t="s">
        <v>464</v>
      </c>
      <c r="C98" s="16" t="s">
        <v>532</v>
      </c>
      <c r="D98" s="13" t="s">
        <v>466</v>
      </c>
      <c r="E98" s="108"/>
      <c r="F98" s="109" t="s">
        <v>3</v>
      </c>
      <c r="G98" s="110">
        <v>46268.0</v>
      </c>
      <c r="H98" s="47"/>
    </row>
    <row r="99" ht="15.0" hidden="1" customHeight="1">
      <c r="A99" s="33" t="s">
        <v>58</v>
      </c>
      <c r="B99" s="13" t="s">
        <v>470</v>
      </c>
      <c r="C99" s="16" t="s">
        <v>533</v>
      </c>
      <c r="D99" s="13" t="s">
        <v>466</v>
      </c>
      <c r="E99" s="108"/>
      <c r="F99" s="109" t="s">
        <v>3</v>
      </c>
      <c r="G99" s="110">
        <v>46268.0</v>
      </c>
      <c r="H99" s="47"/>
    </row>
    <row r="100" ht="15.0" hidden="1" customHeight="1">
      <c r="A100" s="33" t="s">
        <v>58</v>
      </c>
      <c r="B100" s="13" t="s">
        <v>470</v>
      </c>
      <c r="C100" s="16" t="s">
        <v>531</v>
      </c>
      <c r="D100" s="13" t="s">
        <v>466</v>
      </c>
      <c r="E100" s="108"/>
      <c r="F100" s="109" t="s">
        <v>3</v>
      </c>
      <c r="G100" s="110">
        <v>46268.0</v>
      </c>
      <c r="H100" s="47"/>
    </row>
    <row r="101" ht="15.0" hidden="1" customHeight="1">
      <c r="A101" s="33" t="s">
        <v>63</v>
      </c>
      <c r="B101" s="13" t="s">
        <v>464</v>
      </c>
      <c r="C101" s="16" t="s">
        <v>507</v>
      </c>
      <c r="D101" s="13" t="s">
        <v>466</v>
      </c>
      <c r="E101" s="108"/>
      <c r="F101" s="109" t="s">
        <v>3</v>
      </c>
      <c r="G101" s="110">
        <v>46268.0</v>
      </c>
      <c r="H101" s="47"/>
    </row>
    <row r="102" ht="15.0" hidden="1" customHeight="1">
      <c r="A102" s="33" t="s">
        <v>70</v>
      </c>
      <c r="B102" s="13" t="s">
        <v>464</v>
      </c>
      <c r="C102" s="16" t="s">
        <v>534</v>
      </c>
      <c r="D102" s="13" t="s">
        <v>466</v>
      </c>
      <c r="E102" s="108"/>
      <c r="F102" s="109" t="s">
        <v>3</v>
      </c>
      <c r="G102" s="110">
        <v>46268.0</v>
      </c>
      <c r="H102" s="47"/>
    </row>
    <row r="103" ht="15.0" hidden="1" customHeight="1">
      <c r="A103" s="33" t="s">
        <v>70</v>
      </c>
      <c r="B103" s="13" t="s">
        <v>464</v>
      </c>
      <c r="C103" s="16" t="s">
        <v>535</v>
      </c>
      <c r="D103" s="13" t="s">
        <v>466</v>
      </c>
      <c r="E103" s="108"/>
      <c r="F103" s="109" t="s">
        <v>3</v>
      </c>
      <c r="G103" s="110">
        <v>46268.0</v>
      </c>
      <c r="H103" s="47"/>
    </row>
    <row r="104" ht="15.0" hidden="1" customHeight="1">
      <c r="A104" s="33" t="s">
        <v>70</v>
      </c>
      <c r="B104" s="13" t="s">
        <v>464</v>
      </c>
      <c r="C104" s="16" t="s">
        <v>536</v>
      </c>
      <c r="D104" s="13" t="s">
        <v>466</v>
      </c>
      <c r="E104" s="108"/>
      <c r="F104" s="109" t="s">
        <v>3</v>
      </c>
      <c r="G104" s="110">
        <v>46268.0</v>
      </c>
      <c r="H104" s="47"/>
    </row>
    <row r="105" ht="15.0" hidden="1" customHeight="1">
      <c r="A105" s="33" t="s">
        <v>70</v>
      </c>
      <c r="B105" s="13" t="s">
        <v>464</v>
      </c>
      <c r="C105" s="16" t="s">
        <v>519</v>
      </c>
      <c r="D105" s="13" t="s">
        <v>466</v>
      </c>
      <c r="E105" s="108"/>
      <c r="F105" s="109" t="s">
        <v>3</v>
      </c>
      <c r="G105" s="110">
        <v>46268.0</v>
      </c>
      <c r="H105" s="47"/>
    </row>
    <row r="106" ht="15.0" hidden="1" customHeight="1">
      <c r="A106" s="33" t="s">
        <v>70</v>
      </c>
      <c r="B106" s="13" t="s">
        <v>470</v>
      </c>
      <c r="C106" s="16" t="s">
        <v>535</v>
      </c>
      <c r="D106" s="13" t="s">
        <v>466</v>
      </c>
      <c r="E106" s="108"/>
      <c r="F106" s="109" t="s">
        <v>3</v>
      </c>
      <c r="G106" s="110">
        <v>46268.0</v>
      </c>
      <c r="H106" s="47"/>
    </row>
    <row r="107" ht="15.0" hidden="1" customHeight="1">
      <c r="A107" s="33" t="s">
        <v>82</v>
      </c>
      <c r="B107" s="13" t="s">
        <v>464</v>
      </c>
      <c r="C107" s="16" t="s">
        <v>480</v>
      </c>
      <c r="D107" s="13" t="s">
        <v>466</v>
      </c>
      <c r="E107" s="108"/>
      <c r="F107" s="109" t="s">
        <v>3</v>
      </c>
      <c r="G107" s="110">
        <v>46268.0</v>
      </c>
      <c r="H107" s="47"/>
    </row>
    <row r="108" ht="15.0" hidden="1" customHeight="1">
      <c r="A108" s="33" t="s">
        <v>82</v>
      </c>
      <c r="B108" s="13" t="s">
        <v>464</v>
      </c>
      <c r="C108" s="16" t="s">
        <v>519</v>
      </c>
      <c r="D108" s="13" t="s">
        <v>466</v>
      </c>
      <c r="E108" s="108"/>
      <c r="F108" s="109" t="s">
        <v>3</v>
      </c>
      <c r="G108" s="110">
        <v>46268.0</v>
      </c>
      <c r="H108" s="47"/>
    </row>
    <row r="109" ht="15.0" hidden="1" customHeight="1">
      <c r="A109" s="33" t="s">
        <v>85</v>
      </c>
      <c r="B109" s="13" t="s">
        <v>464</v>
      </c>
      <c r="C109" s="16" t="s">
        <v>507</v>
      </c>
      <c r="D109" s="13" t="s">
        <v>466</v>
      </c>
      <c r="E109" s="108"/>
      <c r="F109" s="109" t="s">
        <v>3</v>
      </c>
      <c r="G109" s="110">
        <v>46268.0</v>
      </c>
      <c r="H109" s="47"/>
    </row>
    <row r="110" ht="15.0" hidden="1" customHeight="1">
      <c r="A110" s="33" t="s">
        <v>85</v>
      </c>
      <c r="B110" s="13" t="s">
        <v>470</v>
      </c>
      <c r="C110" s="16" t="s">
        <v>537</v>
      </c>
      <c r="D110" s="13" t="s">
        <v>466</v>
      </c>
      <c r="E110" s="108"/>
      <c r="F110" s="109" t="s">
        <v>3</v>
      </c>
      <c r="G110" s="110">
        <v>46268.0</v>
      </c>
      <c r="H110" s="47"/>
    </row>
    <row r="111" ht="15.0" hidden="1" customHeight="1">
      <c r="A111" s="33" t="s">
        <v>187</v>
      </c>
      <c r="B111" s="13" t="s">
        <v>464</v>
      </c>
      <c r="C111" s="16" t="s">
        <v>507</v>
      </c>
      <c r="D111" s="13" t="s">
        <v>466</v>
      </c>
      <c r="E111" s="108"/>
      <c r="F111" s="109" t="s">
        <v>3</v>
      </c>
      <c r="G111" s="110">
        <v>46268.0</v>
      </c>
      <c r="H111" s="47"/>
    </row>
    <row r="112" ht="15.0" hidden="1" customHeight="1">
      <c r="A112" s="33" t="s">
        <v>187</v>
      </c>
      <c r="B112" s="13" t="s">
        <v>470</v>
      </c>
      <c r="C112" s="16" t="s">
        <v>477</v>
      </c>
      <c r="D112" s="13" t="s">
        <v>469</v>
      </c>
      <c r="E112" s="108"/>
      <c r="F112" s="109" t="s">
        <v>3</v>
      </c>
      <c r="G112" s="110">
        <v>46268.0</v>
      </c>
      <c r="H112" s="47"/>
    </row>
    <row r="113" ht="15.0" hidden="1" customHeight="1">
      <c r="A113" s="33" t="s">
        <v>187</v>
      </c>
      <c r="B113" s="13" t="s">
        <v>470</v>
      </c>
      <c r="C113" s="16" t="s">
        <v>477</v>
      </c>
      <c r="D113" s="13" t="s">
        <v>466</v>
      </c>
      <c r="E113" s="108"/>
      <c r="F113" s="109" t="s">
        <v>3</v>
      </c>
      <c r="G113" s="110">
        <v>46268.0</v>
      </c>
      <c r="H113" s="47"/>
    </row>
    <row r="114" ht="15.0" hidden="1" customHeight="1">
      <c r="A114" s="33" t="s">
        <v>110</v>
      </c>
      <c r="B114" s="13" t="s">
        <v>470</v>
      </c>
      <c r="C114" s="16" t="s">
        <v>523</v>
      </c>
      <c r="D114" s="13" t="s">
        <v>469</v>
      </c>
      <c r="E114" s="108"/>
      <c r="F114" s="109" t="s">
        <v>3</v>
      </c>
      <c r="G114" s="110">
        <v>46268.0</v>
      </c>
      <c r="H114" s="47"/>
    </row>
    <row r="115" ht="15.0" customHeight="1">
      <c r="A115" s="33" t="s">
        <v>110</v>
      </c>
      <c r="B115" s="13" t="s">
        <v>470</v>
      </c>
      <c r="C115" s="16" t="s">
        <v>523</v>
      </c>
      <c r="D115" s="13" t="s">
        <v>466</v>
      </c>
      <c r="E115" s="108"/>
      <c r="F115" s="109" t="s">
        <v>473</v>
      </c>
      <c r="G115" s="13" t="s">
        <v>474</v>
      </c>
      <c r="H115" s="47"/>
    </row>
    <row r="116" ht="15.0" hidden="1" customHeight="1">
      <c r="A116" s="33" t="s">
        <v>538</v>
      </c>
      <c r="B116" s="13" t="s">
        <v>464</v>
      </c>
      <c r="C116" s="16" t="s">
        <v>480</v>
      </c>
      <c r="D116" s="13" t="s">
        <v>466</v>
      </c>
      <c r="E116" s="108"/>
      <c r="F116" s="109" t="s">
        <v>3</v>
      </c>
      <c r="G116" s="110">
        <v>46268.0</v>
      </c>
      <c r="H116" s="47"/>
    </row>
    <row r="117" ht="15.0" hidden="1" customHeight="1">
      <c r="A117" s="33" t="s">
        <v>538</v>
      </c>
      <c r="B117" s="13" t="s">
        <v>464</v>
      </c>
      <c r="C117" s="16" t="s">
        <v>507</v>
      </c>
      <c r="D117" s="13" t="s">
        <v>466</v>
      </c>
      <c r="E117" s="108"/>
      <c r="F117" s="109" t="s">
        <v>3</v>
      </c>
      <c r="G117" s="110">
        <v>46268.0</v>
      </c>
      <c r="H117" s="47"/>
    </row>
    <row r="118" ht="15.0" hidden="1" customHeight="1">
      <c r="A118" s="33" t="s">
        <v>538</v>
      </c>
      <c r="B118" s="13" t="s">
        <v>464</v>
      </c>
      <c r="C118" s="16" t="s">
        <v>531</v>
      </c>
      <c r="D118" s="13" t="s">
        <v>466</v>
      </c>
      <c r="E118" s="108"/>
      <c r="F118" s="109" t="s">
        <v>3</v>
      </c>
      <c r="G118" s="110">
        <v>46268.0</v>
      </c>
      <c r="H118" s="47"/>
    </row>
    <row r="119" ht="15.0" hidden="1" customHeight="1">
      <c r="A119" s="33" t="s">
        <v>539</v>
      </c>
      <c r="B119" s="13" t="s">
        <v>464</v>
      </c>
      <c r="C119" s="16" t="s">
        <v>477</v>
      </c>
      <c r="D119" s="13" t="s">
        <v>466</v>
      </c>
      <c r="E119" s="108"/>
      <c r="F119" s="109" t="s">
        <v>3</v>
      </c>
      <c r="G119" s="110">
        <v>46268.0</v>
      </c>
      <c r="H119" s="47"/>
    </row>
    <row r="120" ht="15.0" hidden="1" customHeight="1">
      <c r="A120" s="33" t="s">
        <v>539</v>
      </c>
      <c r="B120" s="13" t="s">
        <v>470</v>
      </c>
      <c r="C120" s="16" t="s">
        <v>493</v>
      </c>
      <c r="D120" s="13" t="s">
        <v>466</v>
      </c>
      <c r="E120" s="108"/>
      <c r="F120" s="109" t="s">
        <v>3</v>
      </c>
      <c r="G120" s="110">
        <v>46268.0</v>
      </c>
      <c r="H120" s="47"/>
    </row>
    <row r="121" ht="15.0" hidden="1" customHeight="1">
      <c r="A121" s="33" t="s">
        <v>540</v>
      </c>
      <c r="B121" s="13" t="s">
        <v>464</v>
      </c>
      <c r="C121" s="16" t="s">
        <v>507</v>
      </c>
      <c r="D121" s="13" t="s">
        <v>466</v>
      </c>
      <c r="E121" s="108"/>
      <c r="F121" s="109" t="s">
        <v>3</v>
      </c>
      <c r="G121" s="110">
        <v>46268.0</v>
      </c>
      <c r="H121" s="47"/>
    </row>
    <row r="122" ht="15.0" hidden="1" customHeight="1">
      <c r="A122" s="33" t="s">
        <v>540</v>
      </c>
      <c r="B122" s="13" t="s">
        <v>470</v>
      </c>
      <c r="C122" s="16" t="s">
        <v>519</v>
      </c>
      <c r="D122" s="13" t="s">
        <v>469</v>
      </c>
      <c r="E122" s="108"/>
      <c r="F122" s="109" t="s">
        <v>3</v>
      </c>
      <c r="G122" s="110">
        <v>46268.0</v>
      </c>
      <c r="H122" s="47"/>
    </row>
    <row r="123" ht="15.0" customHeight="1">
      <c r="A123" s="33" t="s">
        <v>540</v>
      </c>
      <c r="B123" s="13" t="s">
        <v>470</v>
      </c>
      <c r="C123" s="16" t="s">
        <v>519</v>
      </c>
      <c r="D123" s="13" t="s">
        <v>466</v>
      </c>
      <c r="E123" s="108"/>
      <c r="F123" s="109" t="s">
        <v>473</v>
      </c>
      <c r="G123" s="13" t="s">
        <v>474</v>
      </c>
      <c r="H123" s="47"/>
    </row>
    <row r="124" ht="15.0" hidden="1" customHeight="1">
      <c r="A124" s="69" t="s">
        <v>151</v>
      </c>
      <c r="B124" s="112" t="s">
        <v>464</v>
      </c>
      <c r="C124" s="113" t="s">
        <v>507</v>
      </c>
      <c r="D124" s="112" t="s">
        <v>466</v>
      </c>
      <c r="E124" s="114"/>
      <c r="F124" s="109" t="s">
        <v>3</v>
      </c>
      <c r="G124" s="110">
        <v>46268.0</v>
      </c>
      <c r="H124" s="47"/>
    </row>
    <row r="125" ht="15.0" hidden="1" customHeight="1">
      <c r="A125" s="33" t="s">
        <v>183</v>
      </c>
      <c r="B125" s="13" t="s">
        <v>470</v>
      </c>
      <c r="C125" s="16" t="s">
        <v>477</v>
      </c>
      <c r="D125" s="13" t="s">
        <v>466</v>
      </c>
      <c r="E125" s="108"/>
      <c r="F125" s="109" t="s">
        <v>3</v>
      </c>
      <c r="G125" s="110">
        <v>46268.0</v>
      </c>
      <c r="H125" s="47"/>
    </row>
    <row r="126" ht="15.0" hidden="1" customHeight="1">
      <c r="A126" s="33" t="s">
        <v>183</v>
      </c>
      <c r="B126" s="13" t="s">
        <v>470</v>
      </c>
      <c r="C126" s="16" t="s">
        <v>516</v>
      </c>
      <c r="D126" s="13" t="s">
        <v>466</v>
      </c>
      <c r="E126" s="108"/>
      <c r="F126" s="109" t="s">
        <v>3</v>
      </c>
      <c r="G126" s="110">
        <v>46268.0</v>
      </c>
      <c r="H126" s="47"/>
    </row>
    <row r="127" ht="15.0" customHeight="1">
      <c r="A127" s="33" t="s">
        <v>541</v>
      </c>
      <c r="B127" s="13" t="s">
        <v>470</v>
      </c>
      <c r="C127" s="16" t="s">
        <v>477</v>
      </c>
      <c r="D127" s="13" t="s">
        <v>469</v>
      </c>
      <c r="E127" s="108"/>
      <c r="F127" s="109" t="s">
        <v>473</v>
      </c>
      <c r="G127" s="13" t="s">
        <v>474</v>
      </c>
      <c r="H127" s="47" t="s">
        <v>542</v>
      </c>
    </row>
    <row r="128" ht="15.0" customHeight="1">
      <c r="A128" s="33" t="s">
        <v>541</v>
      </c>
      <c r="B128" s="13" t="s">
        <v>470</v>
      </c>
      <c r="C128" s="16" t="s">
        <v>477</v>
      </c>
      <c r="D128" s="13" t="s">
        <v>466</v>
      </c>
      <c r="E128" s="108"/>
      <c r="F128" s="109" t="s">
        <v>473</v>
      </c>
      <c r="G128" s="13" t="s">
        <v>474</v>
      </c>
      <c r="H128" s="47"/>
    </row>
    <row r="129" ht="15.0" customHeight="1">
      <c r="A129" s="33" t="s">
        <v>541</v>
      </c>
      <c r="B129" s="13" t="s">
        <v>464</v>
      </c>
      <c r="C129" s="16" t="s">
        <v>543</v>
      </c>
      <c r="D129" s="13" t="s">
        <v>466</v>
      </c>
      <c r="E129" s="108"/>
      <c r="F129" s="109" t="s">
        <v>473</v>
      </c>
      <c r="G129" s="13" t="s">
        <v>474</v>
      </c>
      <c r="H129" s="47"/>
    </row>
    <row r="130" ht="15.0" hidden="1" customHeight="1">
      <c r="A130" s="33" t="s">
        <v>216</v>
      </c>
      <c r="B130" s="13" t="s">
        <v>464</v>
      </c>
      <c r="C130" s="16" t="s">
        <v>544</v>
      </c>
      <c r="D130" s="13" t="s">
        <v>466</v>
      </c>
      <c r="E130" s="108"/>
      <c r="F130" s="109" t="s">
        <v>3</v>
      </c>
      <c r="G130" s="110">
        <v>46268.0</v>
      </c>
      <c r="H130" s="47"/>
    </row>
    <row r="131" ht="15.0" hidden="1" customHeight="1">
      <c r="A131" s="33" t="s">
        <v>545</v>
      </c>
      <c r="B131" s="13" t="s">
        <v>464</v>
      </c>
      <c r="C131" s="16" t="s">
        <v>546</v>
      </c>
      <c r="D131" s="13" t="s">
        <v>466</v>
      </c>
      <c r="E131" s="108"/>
      <c r="F131" s="109" t="s">
        <v>3</v>
      </c>
      <c r="G131" s="110">
        <v>46298.0</v>
      </c>
      <c r="H131" s="47"/>
    </row>
    <row r="132" ht="15.0" hidden="1" customHeight="1">
      <c r="A132" s="33" t="s">
        <v>547</v>
      </c>
      <c r="B132" s="13" t="s">
        <v>464</v>
      </c>
      <c r="C132" s="16" t="s">
        <v>548</v>
      </c>
      <c r="D132" s="13" t="s">
        <v>469</v>
      </c>
      <c r="E132" s="108"/>
      <c r="F132" s="109" t="s">
        <v>3</v>
      </c>
      <c r="G132" s="97">
        <v>46329.0</v>
      </c>
      <c r="H132" s="47"/>
    </row>
    <row r="133" ht="15.0" customHeight="1">
      <c r="A133" s="33" t="s">
        <v>547</v>
      </c>
      <c r="B133" s="13" t="s">
        <v>464</v>
      </c>
      <c r="C133" s="16" t="s">
        <v>548</v>
      </c>
      <c r="D133" s="13" t="s">
        <v>466</v>
      </c>
      <c r="E133" s="108"/>
      <c r="F133" s="109" t="s">
        <v>473</v>
      </c>
      <c r="G133" s="13" t="s">
        <v>474</v>
      </c>
      <c r="H133" s="47"/>
    </row>
    <row r="134" ht="15.0" customHeight="1">
      <c r="A134" s="33"/>
      <c r="B134" s="13"/>
      <c r="C134" s="16"/>
      <c r="D134" s="13"/>
      <c r="E134" s="108"/>
      <c r="F134" s="13"/>
      <c r="G134" s="13"/>
      <c r="H134" s="16"/>
    </row>
    <row r="135" ht="15.0" customHeight="1">
      <c r="A135" s="33"/>
      <c r="B135" s="13"/>
      <c r="C135" s="16"/>
      <c r="D135" s="13"/>
      <c r="E135" s="108"/>
      <c r="F135" s="13"/>
      <c r="G135" s="13"/>
      <c r="H135" s="16"/>
    </row>
    <row r="136" ht="15.0" customHeight="1">
      <c r="A136" s="33"/>
      <c r="B136" s="13"/>
      <c r="C136" s="16"/>
      <c r="D136" s="13"/>
      <c r="E136" s="108"/>
      <c r="F136" s="13"/>
      <c r="G136" s="13"/>
      <c r="H136" s="16"/>
    </row>
    <row r="137" ht="15.0" customHeight="1">
      <c r="A137" s="33"/>
      <c r="B137" s="13"/>
      <c r="C137" s="16"/>
      <c r="D137" s="13"/>
      <c r="E137" s="108"/>
      <c r="F137" s="13"/>
      <c r="G137" s="13"/>
      <c r="H137" s="16"/>
    </row>
    <row r="138" ht="15.0" customHeight="1">
      <c r="A138" s="33"/>
      <c r="B138" s="13"/>
      <c r="C138" s="16"/>
      <c r="D138" s="13"/>
      <c r="E138" s="108"/>
      <c r="F138" s="13"/>
      <c r="G138" s="13"/>
      <c r="H138" s="16"/>
    </row>
    <row r="139" ht="15.0" customHeight="1">
      <c r="A139" s="33"/>
      <c r="B139" s="13"/>
      <c r="C139" s="16"/>
      <c r="D139" s="13"/>
      <c r="E139" s="108"/>
      <c r="F139" s="13"/>
      <c r="G139" s="13"/>
      <c r="H139" s="16"/>
    </row>
    <row r="140" ht="15.0" customHeight="1">
      <c r="A140" s="33"/>
      <c r="B140" s="13"/>
      <c r="C140" s="16"/>
      <c r="D140" s="13"/>
      <c r="E140" s="108"/>
      <c r="F140" s="13"/>
      <c r="G140" s="13"/>
      <c r="H140" s="16"/>
    </row>
    <row r="141" ht="15.0" customHeight="1">
      <c r="A141" s="33"/>
      <c r="B141" s="13"/>
      <c r="C141" s="16"/>
      <c r="D141" s="13"/>
      <c r="E141" s="108"/>
      <c r="F141" s="13"/>
      <c r="G141" s="13"/>
      <c r="H141" s="16"/>
    </row>
    <row r="142" ht="15.0" customHeight="1">
      <c r="A142" s="33"/>
      <c r="B142" s="13"/>
      <c r="C142" s="16"/>
      <c r="D142" s="13"/>
      <c r="E142" s="108"/>
      <c r="F142" s="13"/>
      <c r="G142" s="13"/>
      <c r="H142" s="16"/>
    </row>
    <row r="143" ht="15.0" customHeight="1">
      <c r="A143" s="33"/>
      <c r="B143" s="13"/>
      <c r="C143" s="16"/>
      <c r="D143" s="13"/>
      <c r="E143" s="108"/>
      <c r="F143" s="13"/>
      <c r="G143" s="13"/>
      <c r="H143" s="16"/>
    </row>
    <row r="144" ht="15.0" customHeight="1">
      <c r="A144" s="33"/>
      <c r="B144" s="13"/>
      <c r="C144" s="16"/>
      <c r="D144" s="13"/>
      <c r="E144" s="108"/>
      <c r="F144" s="13"/>
      <c r="G144" s="13"/>
      <c r="H144" s="16"/>
    </row>
    <row r="145" ht="15.0" customHeight="1">
      <c r="A145" s="33"/>
      <c r="B145" s="13"/>
      <c r="C145" s="16"/>
      <c r="D145" s="13"/>
      <c r="E145" s="108"/>
      <c r="F145" s="13"/>
      <c r="G145" s="13"/>
      <c r="H145" s="16"/>
    </row>
    <row r="146" ht="15.0" customHeight="1">
      <c r="A146" s="33"/>
      <c r="B146" s="13"/>
      <c r="C146" s="16"/>
      <c r="D146" s="13"/>
      <c r="E146" s="108"/>
      <c r="F146" s="13"/>
      <c r="G146" s="13"/>
      <c r="H146" s="16"/>
    </row>
    <row r="147" ht="15.0" customHeight="1">
      <c r="A147" s="33"/>
      <c r="B147" s="13"/>
      <c r="C147" s="16"/>
      <c r="D147" s="13"/>
      <c r="E147" s="108"/>
      <c r="F147" s="13"/>
      <c r="G147" s="13"/>
      <c r="H147" s="16"/>
    </row>
    <row r="148" ht="15.0" customHeight="1">
      <c r="A148" s="33"/>
      <c r="B148" s="13"/>
      <c r="C148" s="16"/>
      <c r="D148" s="13"/>
      <c r="E148" s="108"/>
      <c r="F148" s="13"/>
      <c r="G148" s="13"/>
      <c r="H148" s="16"/>
    </row>
    <row r="149" ht="15.0" customHeight="1">
      <c r="A149" s="33"/>
      <c r="B149" s="13"/>
      <c r="C149" s="16"/>
      <c r="D149" s="13"/>
      <c r="E149" s="108"/>
      <c r="F149" s="13"/>
      <c r="G149" s="13"/>
      <c r="H149" s="16"/>
    </row>
    <row r="150" ht="15.0" customHeight="1">
      <c r="A150" s="33"/>
      <c r="B150" s="13"/>
      <c r="C150" s="16"/>
      <c r="D150" s="13"/>
      <c r="E150" s="108"/>
      <c r="F150" s="13"/>
      <c r="G150" s="13"/>
      <c r="H150" s="16"/>
    </row>
    <row r="151" ht="15.0" customHeight="1">
      <c r="A151" s="33"/>
      <c r="B151" s="13"/>
      <c r="C151" s="16"/>
      <c r="D151" s="13"/>
      <c r="E151" s="108"/>
      <c r="F151" s="13"/>
      <c r="G151" s="13"/>
      <c r="H151" s="16"/>
    </row>
    <row r="152" ht="15.0" customHeight="1">
      <c r="A152" s="74"/>
      <c r="B152" s="88"/>
      <c r="C152" s="89"/>
      <c r="D152" s="88"/>
      <c r="E152" s="89"/>
      <c r="F152" s="88"/>
      <c r="G152" s="88"/>
      <c r="H152" s="89"/>
    </row>
    <row r="153" ht="15.0" customHeight="1">
      <c r="A153" s="74"/>
      <c r="B153" s="88"/>
      <c r="C153" s="89"/>
      <c r="D153" s="88"/>
      <c r="E153" s="89"/>
      <c r="F153" s="88"/>
      <c r="G153" s="88"/>
      <c r="H153" s="89"/>
    </row>
    <row r="154" ht="15.0" customHeight="1">
      <c r="A154" s="74"/>
      <c r="B154" s="88"/>
      <c r="C154" s="89"/>
      <c r="D154" s="88"/>
      <c r="E154" s="89"/>
      <c r="F154" s="88"/>
      <c r="G154" s="88"/>
      <c r="H154" s="89"/>
    </row>
    <row r="155" ht="15.0" customHeight="1">
      <c r="A155" s="74"/>
      <c r="B155" s="88"/>
      <c r="C155" s="89"/>
      <c r="D155" s="88"/>
      <c r="E155" s="89"/>
      <c r="F155" s="88"/>
      <c r="G155" s="88"/>
      <c r="H155" s="89"/>
    </row>
    <row r="156" ht="15.0" customHeight="1">
      <c r="A156" s="74"/>
      <c r="B156" s="88"/>
      <c r="C156" s="89"/>
      <c r="D156" s="88"/>
      <c r="E156" s="89"/>
      <c r="F156" s="88"/>
      <c r="G156" s="88"/>
      <c r="H156" s="89"/>
    </row>
    <row r="157" ht="15.0" customHeight="1">
      <c r="A157" s="74"/>
      <c r="B157" s="88"/>
      <c r="C157" s="89"/>
      <c r="D157" s="88"/>
      <c r="E157" s="89"/>
      <c r="F157" s="88"/>
      <c r="G157" s="88"/>
      <c r="H157" s="89"/>
    </row>
    <row r="158" ht="15.0" customHeight="1">
      <c r="A158" s="74"/>
      <c r="B158" s="88"/>
      <c r="C158" s="89"/>
      <c r="D158" s="88"/>
      <c r="E158" s="89"/>
      <c r="F158" s="88"/>
      <c r="G158" s="88"/>
      <c r="H158" s="89"/>
    </row>
    <row r="159" ht="15.0" customHeight="1">
      <c r="A159" s="74"/>
      <c r="B159" s="88"/>
      <c r="C159" s="89"/>
      <c r="D159" s="88"/>
      <c r="E159" s="89"/>
      <c r="F159" s="88"/>
      <c r="G159" s="88"/>
      <c r="H159" s="89"/>
    </row>
    <row r="160" ht="15.0" customHeight="1">
      <c r="A160" s="74"/>
      <c r="B160" s="88"/>
      <c r="C160" s="89"/>
      <c r="D160" s="88"/>
      <c r="E160" s="89"/>
      <c r="F160" s="88"/>
      <c r="G160" s="88"/>
      <c r="H160" s="89"/>
    </row>
    <row r="161" ht="15.0" customHeight="1">
      <c r="A161" s="74"/>
      <c r="B161" s="88"/>
      <c r="C161" s="89"/>
      <c r="D161" s="88"/>
      <c r="E161" s="89"/>
      <c r="F161" s="88"/>
      <c r="G161" s="88"/>
      <c r="H161" s="89"/>
    </row>
    <row r="162" ht="15.0" customHeight="1">
      <c r="A162" s="74"/>
      <c r="B162" s="88"/>
      <c r="C162" s="89"/>
      <c r="D162" s="88"/>
      <c r="E162" s="89"/>
      <c r="F162" s="88"/>
      <c r="G162" s="88"/>
      <c r="H162" s="89"/>
    </row>
    <row r="163" ht="15.0" customHeight="1">
      <c r="A163" s="74"/>
      <c r="B163" s="88"/>
      <c r="C163" s="89"/>
      <c r="D163" s="88"/>
      <c r="E163" s="89"/>
      <c r="F163" s="88"/>
      <c r="G163" s="88"/>
      <c r="H163" s="89"/>
    </row>
    <row r="164" ht="15.0" customHeight="1">
      <c r="A164" s="74"/>
      <c r="B164" s="88"/>
      <c r="C164" s="89"/>
      <c r="D164" s="88"/>
      <c r="E164" s="89"/>
      <c r="F164" s="88"/>
      <c r="G164" s="88"/>
      <c r="H164" s="89"/>
    </row>
    <row r="165" ht="15.0" customHeight="1">
      <c r="A165" s="74"/>
      <c r="B165" s="88"/>
      <c r="C165" s="89"/>
      <c r="D165" s="88"/>
      <c r="E165" s="89"/>
      <c r="F165" s="88"/>
      <c r="G165" s="88"/>
      <c r="H165" s="89"/>
    </row>
    <row r="166" ht="15.0" customHeight="1">
      <c r="A166" s="74"/>
      <c r="B166" s="88"/>
      <c r="C166" s="89"/>
      <c r="D166" s="88"/>
      <c r="E166" s="89"/>
      <c r="F166" s="88"/>
      <c r="G166" s="88"/>
      <c r="H166" s="89"/>
    </row>
    <row r="167" ht="15.0" customHeight="1">
      <c r="A167" s="74"/>
      <c r="B167" s="88"/>
      <c r="C167" s="89"/>
      <c r="D167" s="88"/>
      <c r="E167" s="89"/>
      <c r="F167" s="88"/>
      <c r="G167" s="88"/>
      <c r="H167" s="89"/>
    </row>
    <row r="168" ht="15.0" customHeight="1">
      <c r="A168" s="74"/>
      <c r="B168" s="88"/>
      <c r="C168" s="89"/>
      <c r="D168" s="88"/>
      <c r="E168" s="89"/>
      <c r="F168" s="88"/>
      <c r="G168" s="88"/>
      <c r="H168" s="89"/>
    </row>
    <row r="169" ht="15.0" customHeight="1">
      <c r="A169" s="74"/>
      <c r="B169" s="88"/>
      <c r="C169" s="89"/>
      <c r="D169" s="88"/>
      <c r="E169" s="89"/>
      <c r="F169" s="88"/>
      <c r="G169" s="88"/>
      <c r="H169" s="89"/>
    </row>
    <row r="170" ht="15.0" customHeight="1">
      <c r="A170" s="74"/>
      <c r="B170" s="88"/>
      <c r="C170" s="89"/>
      <c r="D170" s="88"/>
      <c r="E170" s="89"/>
      <c r="F170" s="88"/>
      <c r="G170" s="88"/>
      <c r="H170" s="89"/>
    </row>
    <row r="171" ht="15.0" customHeight="1">
      <c r="A171" s="74"/>
      <c r="B171" s="88"/>
      <c r="C171" s="89"/>
      <c r="D171" s="88"/>
      <c r="E171" s="89"/>
      <c r="F171" s="88"/>
      <c r="G171" s="88"/>
      <c r="H171" s="89"/>
    </row>
    <row r="172" ht="15.0" customHeight="1">
      <c r="A172" s="74"/>
      <c r="B172" s="88"/>
      <c r="C172" s="89"/>
      <c r="D172" s="88"/>
      <c r="E172" s="89"/>
      <c r="F172" s="88"/>
      <c r="G172" s="88"/>
      <c r="H172" s="89"/>
    </row>
    <row r="173" ht="15.0" customHeight="1">
      <c r="A173" s="74"/>
      <c r="B173" s="88"/>
      <c r="C173" s="89"/>
      <c r="D173" s="88"/>
      <c r="E173" s="89"/>
      <c r="F173" s="88"/>
      <c r="G173" s="88"/>
      <c r="H173" s="89"/>
    </row>
    <row r="174" ht="15.0" customHeight="1">
      <c r="A174" s="74"/>
      <c r="B174" s="88"/>
      <c r="C174" s="89"/>
      <c r="D174" s="88"/>
      <c r="E174" s="89"/>
      <c r="F174" s="88"/>
      <c r="G174" s="88"/>
      <c r="H174" s="89"/>
    </row>
    <row r="175" ht="15.0" customHeight="1">
      <c r="A175" s="74"/>
      <c r="B175" s="88"/>
      <c r="C175" s="89"/>
      <c r="D175" s="88"/>
      <c r="E175" s="89"/>
      <c r="F175" s="88"/>
      <c r="G175" s="88"/>
      <c r="H175" s="89"/>
    </row>
    <row r="176" ht="15.0" customHeight="1">
      <c r="A176" s="74"/>
      <c r="B176" s="88"/>
      <c r="C176" s="89"/>
      <c r="D176" s="88"/>
      <c r="E176" s="89"/>
      <c r="F176" s="88"/>
      <c r="G176" s="88"/>
      <c r="H176" s="89"/>
    </row>
    <row r="177" ht="15.0" customHeight="1">
      <c r="A177" s="74"/>
      <c r="B177" s="88"/>
      <c r="C177" s="89"/>
      <c r="D177" s="88"/>
      <c r="E177" s="89"/>
      <c r="F177" s="88"/>
      <c r="G177" s="88"/>
      <c r="H177" s="89"/>
    </row>
    <row r="178" ht="15.0" customHeight="1">
      <c r="A178" s="74"/>
      <c r="B178" s="88"/>
      <c r="C178" s="89"/>
      <c r="D178" s="88"/>
      <c r="E178" s="89"/>
      <c r="F178" s="88"/>
      <c r="G178" s="88"/>
      <c r="H178" s="89"/>
    </row>
    <row r="179" ht="15.0" customHeight="1">
      <c r="A179" s="74"/>
      <c r="B179" s="88"/>
      <c r="C179" s="89"/>
      <c r="D179" s="88"/>
      <c r="E179" s="89"/>
      <c r="F179" s="88"/>
      <c r="G179" s="88"/>
      <c r="H179" s="89"/>
    </row>
    <row r="180" ht="15.0" customHeight="1">
      <c r="A180" s="74"/>
      <c r="B180" s="88"/>
      <c r="C180" s="89"/>
      <c r="D180" s="88"/>
      <c r="E180" s="89"/>
      <c r="F180" s="88"/>
      <c r="G180" s="88"/>
      <c r="H180" s="89"/>
    </row>
    <row r="181" ht="15.0" customHeight="1">
      <c r="A181" s="74"/>
      <c r="B181" s="88"/>
      <c r="C181" s="89"/>
      <c r="D181" s="88"/>
      <c r="E181" s="89"/>
      <c r="F181" s="88"/>
      <c r="G181" s="88"/>
      <c r="H181" s="89"/>
    </row>
    <row r="182" ht="15.0" customHeight="1">
      <c r="A182" s="74"/>
      <c r="B182" s="88"/>
      <c r="C182" s="89"/>
      <c r="D182" s="88"/>
      <c r="E182" s="89"/>
      <c r="F182" s="88"/>
      <c r="G182" s="88"/>
      <c r="H182" s="89"/>
    </row>
    <row r="183" ht="15.0" customHeight="1">
      <c r="A183" s="74"/>
      <c r="B183" s="88"/>
      <c r="C183" s="89"/>
      <c r="D183" s="88"/>
      <c r="E183" s="89"/>
      <c r="F183" s="88"/>
      <c r="G183" s="88"/>
      <c r="H183" s="89"/>
    </row>
    <row r="184" ht="15.0" customHeight="1">
      <c r="A184" s="74"/>
      <c r="B184" s="88"/>
      <c r="C184" s="89"/>
      <c r="D184" s="88"/>
      <c r="E184" s="89"/>
      <c r="F184" s="88"/>
      <c r="G184" s="88"/>
      <c r="H184" s="89"/>
    </row>
    <row r="185" ht="15.0" customHeight="1">
      <c r="A185" s="74"/>
      <c r="B185" s="88"/>
      <c r="C185" s="89"/>
      <c r="D185" s="88"/>
      <c r="E185" s="89"/>
      <c r="F185" s="88"/>
      <c r="G185" s="88"/>
      <c r="H185" s="89"/>
    </row>
    <row r="186" ht="15.75" customHeight="1">
      <c r="A186" s="74"/>
      <c r="B186" s="88"/>
      <c r="C186" s="89"/>
      <c r="D186" s="88"/>
      <c r="E186" s="89"/>
      <c r="F186" s="88"/>
      <c r="G186" s="88"/>
      <c r="H186" s="89"/>
    </row>
    <row r="187" ht="15.75" customHeight="1">
      <c r="A187" s="74"/>
      <c r="B187" s="88"/>
      <c r="C187" s="89"/>
      <c r="D187" s="88"/>
      <c r="E187" s="89"/>
      <c r="F187" s="88"/>
      <c r="G187" s="88"/>
      <c r="H187" s="89"/>
    </row>
    <row r="188" ht="15.75" customHeight="1">
      <c r="A188" s="74"/>
      <c r="B188" s="88"/>
      <c r="C188" s="89"/>
      <c r="D188" s="88"/>
      <c r="E188" s="89"/>
      <c r="F188" s="88"/>
      <c r="G188" s="88"/>
      <c r="H188" s="89"/>
    </row>
    <row r="189" ht="15.75" customHeight="1">
      <c r="A189" s="74"/>
      <c r="B189" s="88"/>
      <c r="C189" s="89"/>
      <c r="D189" s="88"/>
      <c r="E189" s="89"/>
      <c r="F189" s="88"/>
      <c r="G189" s="88"/>
      <c r="H189" s="89"/>
    </row>
    <row r="190" ht="15.75" customHeight="1">
      <c r="A190" s="74"/>
      <c r="B190" s="88"/>
      <c r="C190" s="89"/>
      <c r="D190" s="88"/>
      <c r="E190" s="89"/>
      <c r="F190" s="88"/>
      <c r="G190" s="88"/>
      <c r="H190" s="89"/>
    </row>
    <row r="191" ht="15.75" customHeight="1">
      <c r="A191" s="74"/>
      <c r="B191" s="88"/>
      <c r="C191" s="89"/>
      <c r="D191" s="88"/>
      <c r="E191" s="89"/>
      <c r="F191" s="88"/>
      <c r="G191" s="88"/>
      <c r="H191" s="89"/>
    </row>
    <row r="192" ht="15.75" customHeight="1">
      <c r="A192" s="74"/>
      <c r="B192" s="88"/>
      <c r="C192" s="89"/>
      <c r="D192" s="88"/>
      <c r="E192" s="89"/>
      <c r="F192" s="88"/>
      <c r="G192" s="88"/>
      <c r="H192" s="89"/>
    </row>
    <row r="193" ht="15.75" customHeight="1">
      <c r="A193" s="74"/>
      <c r="B193" s="88"/>
      <c r="C193" s="89"/>
      <c r="D193" s="88"/>
      <c r="E193" s="89"/>
      <c r="F193" s="88"/>
      <c r="G193" s="88"/>
      <c r="H193" s="89"/>
    </row>
    <row r="194" ht="15.75" customHeight="1">
      <c r="A194" s="74"/>
      <c r="B194" s="88"/>
      <c r="C194" s="89"/>
      <c r="D194" s="88"/>
      <c r="E194" s="89"/>
      <c r="F194" s="88"/>
      <c r="G194" s="88"/>
      <c r="H194" s="89"/>
    </row>
    <row r="195" ht="15.75" customHeight="1">
      <c r="A195" s="74"/>
      <c r="B195" s="88"/>
      <c r="C195" s="89"/>
      <c r="D195" s="88"/>
      <c r="E195" s="89"/>
      <c r="F195" s="88"/>
      <c r="G195" s="88"/>
      <c r="H195" s="89"/>
    </row>
    <row r="196" ht="15.75" customHeight="1">
      <c r="A196" s="74"/>
      <c r="B196" s="88"/>
      <c r="C196" s="89"/>
      <c r="D196" s="88"/>
      <c r="E196" s="89"/>
      <c r="F196" s="88"/>
      <c r="G196" s="88"/>
      <c r="H196" s="89"/>
    </row>
    <row r="197" ht="15.75" customHeight="1">
      <c r="A197" s="74"/>
      <c r="B197" s="88"/>
      <c r="C197" s="89"/>
      <c r="D197" s="88"/>
      <c r="E197" s="89"/>
      <c r="F197" s="88"/>
      <c r="G197" s="88"/>
      <c r="H197" s="89"/>
    </row>
    <row r="198" ht="15.75" customHeight="1">
      <c r="A198" s="74"/>
      <c r="B198" s="88"/>
      <c r="C198" s="89"/>
      <c r="D198" s="88"/>
      <c r="E198" s="89"/>
      <c r="F198" s="88"/>
      <c r="G198" s="88"/>
      <c r="H198" s="89"/>
    </row>
    <row r="199" ht="15.75" customHeight="1">
      <c r="A199" s="74"/>
      <c r="B199" s="88"/>
      <c r="C199" s="89"/>
      <c r="D199" s="88"/>
      <c r="E199" s="89"/>
      <c r="F199" s="88"/>
      <c r="G199" s="88"/>
      <c r="H199" s="89"/>
    </row>
    <row r="200" ht="15.75" customHeight="1">
      <c r="A200" s="74"/>
      <c r="B200" s="88"/>
      <c r="C200" s="89"/>
      <c r="D200" s="88"/>
      <c r="E200" s="89"/>
      <c r="F200" s="88"/>
      <c r="G200" s="88"/>
      <c r="H200" s="89"/>
    </row>
    <row r="201" ht="15.75" customHeight="1">
      <c r="A201" s="74"/>
      <c r="B201" s="88"/>
      <c r="C201" s="89"/>
      <c r="D201" s="88"/>
      <c r="E201" s="89"/>
      <c r="F201" s="88"/>
      <c r="G201" s="88"/>
      <c r="H201" s="89"/>
    </row>
    <row r="202" ht="15.75" customHeight="1">
      <c r="A202" s="74"/>
      <c r="B202" s="88"/>
      <c r="C202" s="89"/>
      <c r="D202" s="88"/>
      <c r="E202" s="89"/>
      <c r="F202" s="88"/>
      <c r="G202" s="88"/>
      <c r="H202" s="89"/>
    </row>
    <row r="203" ht="15.75" customHeight="1">
      <c r="A203" s="74"/>
      <c r="B203" s="88"/>
      <c r="C203" s="89"/>
      <c r="D203" s="88"/>
      <c r="E203" s="89"/>
      <c r="F203" s="88"/>
      <c r="G203" s="88"/>
      <c r="H203" s="89"/>
    </row>
    <row r="204" ht="15.75" customHeight="1">
      <c r="A204" s="74"/>
      <c r="B204" s="88"/>
      <c r="C204" s="89"/>
      <c r="D204" s="88"/>
      <c r="E204" s="89"/>
      <c r="F204" s="88"/>
      <c r="G204" s="88"/>
      <c r="H204" s="89"/>
    </row>
    <row r="205" ht="15.75" customHeight="1">
      <c r="A205" s="74"/>
      <c r="B205" s="88"/>
      <c r="C205" s="89"/>
      <c r="D205" s="88"/>
      <c r="E205" s="89"/>
      <c r="F205" s="88"/>
      <c r="G205" s="88"/>
      <c r="H205" s="89"/>
    </row>
    <row r="206" ht="15.75" customHeight="1">
      <c r="A206" s="74"/>
      <c r="B206" s="88"/>
      <c r="C206" s="89"/>
      <c r="D206" s="88"/>
      <c r="E206" s="89"/>
      <c r="F206" s="88"/>
      <c r="G206" s="88"/>
      <c r="H206" s="89"/>
    </row>
    <row r="207" ht="15.75" customHeight="1">
      <c r="A207" s="74"/>
      <c r="B207" s="88"/>
      <c r="C207" s="89"/>
      <c r="D207" s="88"/>
      <c r="E207" s="89"/>
      <c r="F207" s="88"/>
      <c r="G207" s="88"/>
      <c r="H207" s="89"/>
    </row>
    <row r="208" ht="15.75" customHeight="1">
      <c r="A208" s="74"/>
      <c r="B208" s="88"/>
      <c r="C208" s="89"/>
      <c r="D208" s="88"/>
      <c r="E208" s="89"/>
      <c r="F208" s="88"/>
      <c r="G208" s="88"/>
      <c r="H208" s="89"/>
    </row>
    <row r="209" ht="15.75" customHeight="1">
      <c r="A209" s="74"/>
      <c r="B209" s="88"/>
      <c r="C209" s="89"/>
      <c r="D209" s="88"/>
      <c r="E209" s="89"/>
      <c r="F209" s="88"/>
      <c r="G209" s="88"/>
      <c r="H209" s="89"/>
    </row>
    <row r="210" ht="15.75" customHeight="1">
      <c r="A210" s="74"/>
      <c r="B210" s="88"/>
      <c r="C210" s="89"/>
      <c r="D210" s="88"/>
      <c r="E210" s="89"/>
      <c r="F210" s="88"/>
      <c r="G210" s="88"/>
      <c r="H210" s="89"/>
    </row>
    <row r="211" ht="15.75" customHeight="1">
      <c r="A211" s="74"/>
      <c r="B211" s="88"/>
      <c r="C211" s="89"/>
      <c r="D211" s="88"/>
      <c r="E211" s="89"/>
      <c r="F211" s="88"/>
      <c r="G211" s="88"/>
      <c r="H211" s="89"/>
    </row>
    <row r="212" ht="15.75" customHeight="1">
      <c r="A212" s="74"/>
      <c r="B212" s="88"/>
      <c r="C212" s="89"/>
      <c r="D212" s="88"/>
      <c r="E212" s="89"/>
      <c r="F212" s="88"/>
      <c r="G212" s="88"/>
      <c r="H212" s="89"/>
    </row>
    <row r="213" ht="15.75" customHeight="1">
      <c r="A213" s="74"/>
      <c r="B213" s="88"/>
      <c r="C213" s="89"/>
      <c r="D213" s="88"/>
      <c r="E213" s="89"/>
      <c r="F213" s="88"/>
      <c r="G213" s="88"/>
      <c r="H213" s="89"/>
    </row>
    <row r="214" ht="15.75" customHeight="1">
      <c r="A214" s="74"/>
      <c r="B214" s="88"/>
      <c r="C214" s="89"/>
      <c r="D214" s="88"/>
      <c r="E214" s="89"/>
      <c r="F214" s="88"/>
      <c r="G214" s="88"/>
      <c r="H214" s="89"/>
    </row>
    <row r="215" ht="15.75" customHeight="1">
      <c r="A215" s="74"/>
      <c r="B215" s="88"/>
      <c r="C215" s="89"/>
      <c r="D215" s="88"/>
      <c r="E215" s="89"/>
      <c r="F215" s="88"/>
      <c r="G215" s="88"/>
      <c r="H215" s="89"/>
    </row>
    <row r="216" ht="15.75" customHeight="1">
      <c r="A216" s="74"/>
      <c r="B216" s="88"/>
      <c r="C216" s="89"/>
      <c r="D216" s="88"/>
      <c r="E216" s="89"/>
      <c r="F216" s="88"/>
      <c r="G216" s="88"/>
      <c r="H216" s="89"/>
    </row>
    <row r="217" ht="15.75" customHeight="1">
      <c r="A217" s="74"/>
      <c r="B217" s="88"/>
      <c r="C217" s="89"/>
      <c r="D217" s="88"/>
      <c r="E217" s="89"/>
      <c r="F217" s="88"/>
      <c r="G217" s="88"/>
      <c r="H217" s="89"/>
    </row>
    <row r="218" ht="15.75" customHeight="1">
      <c r="A218" s="74"/>
      <c r="B218" s="88"/>
      <c r="C218" s="89"/>
      <c r="D218" s="88"/>
      <c r="E218" s="89"/>
      <c r="F218" s="88"/>
      <c r="G218" s="88"/>
      <c r="H218" s="89"/>
    </row>
    <row r="219" ht="15.75" customHeight="1">
      <c r="A219" s="74"/>
      <c r="B219" s="88"/>
      <c r="C219" s="89"/>
      <c r="D219" s="88"/>
      <c r="E219" s="89"/>
      <c r="F219" s="88"/>
      <c r="G219" s="88"/>
      <c r="H219" s="89"/>
    </row>
    <row r="220" ht="15.75" customHeight="1">
      <c r="A220" s="74"/>
      <c r="B220" s="88"/>
      <c r="C220" s="89"/>
      <c r="D220" s="88"/>
      <c r="E220" s="89"/>
      <c r="F220" s="88"/>
      <c r="G220" s="88"/>
      <c r="H220" s="89"/>
    </row>
    <row r="221" ht="15.75" customHeight="1">
      <c r="A221" s="74"/>
      <c r="B221" s="88"/>
      <c r="C221" s="89"/>
      <c r="D221" s="88"/>
      <c r="E221" s="89"/>
      <c r="F221" s="88"/>
      <c r="G221" s="88"/>
      <c r="H221" s="89"/>
    </row>
    <row r="222" ht="15.75" customHeight="1">
      <c r="A222" s="74"/>
      <c r="B222" s="88"/>
      <c r="C222" s="89"/>
      <c r="D222" s="88"/>
      <c r="E222" s="89"/>
      <c r="F222" s="88"/>
      <c r="G222" s="88"/>
      <c r="H222" s="89"/>
    </row>
    <row r="223" ht="15.75" customHeight="1">
      <c r="A223" s="74"/>
      <c r="B223" s="88"/>
      <c r="C223" s="89"/>
      <c r="D223" s="88"/>
      <c r="E223" s="89"/>
      <c r="F223" s="88"/>
      <c r="G223" s="88"/>
      <c r="H223" s="89"/>
    </row>
    <row r="224" ht="15.75" customHeight="1">
      <c r="A224" s="74"/>
      <c r="B224" s="88"/>
      <c r="C224" s="89"/>
      <c r="D224" s="88"/>
      <c r="E224" s="89"/>
      <c r="F224" s="88"/>
      <c r="G224" s="88"/>
      <c r="H224" s="89"/>
    </row>
    <row r="225" ht="15.75" customHeight="1">
      <c r="A225" s="74"/>
      <c r="B225" s="88"/>
      <c r="C225" s="89"/>
      <c r="D225" s="88"/>
      <c r="E225" s="89"/>
      <c r="F225" s="88"/>
      <c r="G225" s="88"/>
      <c r="H225" s="89"/>
    </row>
    <row r="226" ht="15.75" customHeight="1">
      <c r="A226" s="74"/>
      <c r="B226" s="88"/>
      <c r="C226" s="89"/>
      <c r="D226" s="88"/>
      <c r="E226" s="89"/>
      <c r="F226" s="88"/>
      <c r="G226" s="88"/>
      <c r="H226" s="89"/>
    </row>
    <row r="227" ht="15.75" customHeight="1">
      <c r="A227" s="74"/>
      <c r="B227" s="88"/>
      <c r="C227" s="89"/>
      <c r="D227" s="88"/>
      <c r="E227" s="89"/>
      <c r="F227" s="88"/>
      <c r="G227" s="88"/>
      <c r="H227" s="89"/>
    </row>
    <row r="228" ht="15.75" customHeight="1">
      <c r="A228" s="74"/>
      <c r="B228" s="88"/>
      <c r="C228" s="89"/>
      <c r="D228" s="88"/>
      <c r="E228" s="89"/>
      <c r="F228" s="88"/>
      <c r="G228" s="88"/>
      <c r="H228" s="89"/>
    </row>
    <row r="229" ht="15.75" customHeight="1">
      <c r="A229" s="74"/>
      <c r="B229" s="88"/>
      <c r="C229" s="89"/>
      <c r="D229" s="88"/>
      <c r="E229" s="89"/>
      <c r="F229" s="88"/>
      <c r="G229" s="88"/>
      <c r="H229" s="89"/>
    </row>
    <row r="230" ht="15.75" customHeight="1">
      <c r="A230" s="74"/>
      <c r="B230" s="88"/>
      <c r="C230" s="89"/>
      <c r="D230" s="88"/>
      <c r="E230" s="89"/>
      <c r="F230" s="88"/>
      <c r="G230" s="88"/>
      <c r="H230" s="89"/>
    </row>
    <row r="231" ht="15.75" customHeight="1">
      <c r="A231" s="74"/>
      <c r="B231" s="88"/>
      <c r="C231" s="89"/>
      <c r="D231" s="88"/>
      <c r="E231" s="89"/>
      <c r="F231" s="88"/>
      <c r="G231" s="88"/>
      <c r="H231" s="89"/>
    </row>
    <row r="232" ht="15.75" customHeight="1">
      <c r="A232" s="74"/>
      <c r="B232" s="88"/>
      <c r="C232" s="89"/>
      <c r="D232" s="88"/>
      <c r="E232" s="89"/>
      <c r="F232" s="88"/>
      <c r="G232" s="88"/>
      <c r="H232" s="89"/>
    </row>
    <row r="233" ht="15.75" customHeight="1">
      <c r="A233" s="74"/>
      <c r="B233" s="88"/>
      <c r="C233" s="89"/>
      <c r="D233" s="88"/>
      <c r="E233" s="89"/>
      <c r="F233" s="88"/>
      <c r="G233" s="88"/>
      <c r="H233" s="89"/>
    </row>
    <row r="234" ht="15.75" customHeight="1">
      <c r="A234" s="74"/>
      <c r="B234" s="88"/>
      <c r="C234" s="89"/>
      <c r="D234" s="88"/>
      <c r="E234" s="89"/>
      <c r="F234" s="88"/>
      <c r="G234" s="88"/>
      <c r="H234" s="89"/>
    </row>
    <row r="235" ht="15.75" customHeight="1">
      <c r="A235" s="74"/>
      <c r="B235" s="88"/>
      <c r="C235" s="89"/>
      <c r="D235" s="88"/>
      <c r="E235" s="89"/>
      <c r="F235" s="88"/>
      <c r="G235" s="88"/>
      <c r="H235" s="89"/>
    </row>
    <row r="236" ht="15.75" customHeight="1">
      <c r="A236" s="74"/>
      <c r="B236" s="88"/>
      <c r="C236" s="89"/>
      <c r="D236" s="88"/>
      <c r="E236" s="89"/>
      <c r="F236" s="88"/>
      <c r="G236" s="88"/>
      <c r="H236" s="89"/>
    </row>
    <row r="237" ht="15.75" customHeight="1">
      <c r="A237" s="74"/>
      <c r="B237" s="88"/>
      <c r="C237" s="89"/>
      <c r="D237" s="88"/>
      <c r="E237" s="89"/>
      <c r="F237" s="88"/>
      <c r="G237" s="88"/>
      <c r="H237" s="89"/>
    </row>
    <row r="238" ht="15.75" customHeight="1">
      <c r="A238" s="74"/>
      <c r="B238" s="88"/>
      <c r="C238" s="89"/>
      <c r="D238" s="88"/>
      <c r="E238" s="89"/>
      <c r="F238" s="88"/>
      <c r="G238" s="88"/>
      <c r="H238" s="89"/>
    </row>
    <row r="239" ht="15.75" customHeight="1">
      <c r="A239" s="74"/>
      <c r="B239" s="88"/>
      <c r="C239" s="89"/>
      <c r="D239" s="88"/>
      <c r="E239" s="89"/>
      <c r="F239" s="88"/>
      <c r="G239" s="88"/>
      <c r="H239" s="89"/>
    </row>
    <row r="240" ht="15.75" customHeight="1">
      <c r="A240" s="74"/>
      <c r="B240" s="88"/>
      <c r="C240" s="89"/>
      <c r="D240" s="88"/>
      <c r="E240" s="89"/>
      <c r="F240" s="88"/>
      <c r="G240" s="88"/>
      <c r="H240" s="89"/>
    </row>
    <row r="241" ht="15.75" customHeight="1">
      <c r="A241" s="74"/>
      <c r="B241" s="88"/>
      <c r="C241" s="89"/>
      <c r="D241" s="88"/>
      <c r="E241" s="89"/>
      <c r="F241" s="88"/>
      <c r="G241" s="88"/>
      <c r="H241" s="89"/>
    </row>
    <row r="242" ht="15.75" customHeight="1">
      <c r="A242" s="74"/>
      <c r="B242" s="88"/>
      <c r="C242" s="89"/>
      <c r="D242" s="88"/>
      <c r="E242" s="89"/>
      <c r="F242" s="88"/>
      <c r="G242" s="88"/>
      <c r="H242" s="89"/>
    </row>
    <row r="243" ht="15.75" customHeight="1">
      <c r="A243" s="74"/>
      <c r="B243" s="88"/>
      <c r="C243" s="89"/>
      <c r="D243" s="88"/>
      <c r="E243" s="89"/>
      <c r="F243" s="88"/>
      <c r="G243" s="88"/>
      <c r="H243" s="89"/>
    </row>
    <row r="244" ht="15.75" customHeight="1">
      <c r="A244" s="74"/>
      <c r="B244" s="88"/>
      <c r="C244" s="89"/>
      <c r="D244" s="88"/>
      <c r="E244" s="89"/>
      <c r="F244" s="88"/>
      <c r="G244" s="88"/>
      <c r="H244" s="89"/>
    </row>
    <row r="245" ht="15.75" customHeight="1">
      <c r="A245" s="74"/>
      <c r="B245" s="88"/>
      <c r="C245" s="89"/>
      <c r="D245" s="88"/>
      <c r="E245" s="89"/>
      <c r="F245" s="88"/>
      <c r="G245" s="88"/>
      <c r="H245" s="89"/>
    </row>
    <row r="246" ht="15.75" customHeight="1">
      <c r="A246" s="74"/>
      <c r="B246" s="88"/>
      <c r="C246" s="89"/>
      <c r="D246" s="88"/>
      <c r="E246" s="89"/>
      <c r="F246" s="88"/>
      <c r="G246" s="88"/>
      <c r="H246" s="89"/>
    </row>
    <row r="247" ht="15.75" customHeight="1">
      <c r="A247" s="74"/>
      <c r="B247" s="88"/>
      <c r="C247" s="89"/>
      <c r="D247" s="88"/>
      <c r="E247" s="89"/>
      <c r="F247" s="88"/>
      <c r="G247" s="88"/>
      <c r="H247" s="89"/>
    </row>
    <row r="248" ht="15.75" customHeight="1">
      <c r="A248" s="74"/>
      <c r="B248" s="88"/>
      <c r="C248" s="89"/>
      <c r="D248" s="88"/>
      <c r="E248" s="89"/>
      <c r="F248" s="88"/>
      <c r="G248" s="88"/>
      <c r="H248" s="89"/>
    </row>
    <row r="249" ht="15.75" customHeight="1">
      <c r="A249" s="74"/>
      <c r="B249" s="88"/>
      <c r="C249" s="89"/>
      <c r="D249" s="88"/>
      <c r="E249" s="89"/>
      <c r="F249" s="88"/>
      <c r="G249" s="88"/>
      <c r="H249" s="89"/>
    </row>
    <row r="250" ht="15.75" customHeight="1">
      <c r="A250" s="74"/>
      <c r="B250" s="88"/>
      <c r="C250" s="89"/>
      <c r="D250" s="88"/>
      <c r="E250" s="89"/>
      <c r="F250" s="88"/>
      <c r="G250" s="88"/>
      <c r="H250" s="89"/>
    </row>
    <row r="251" ht="15.75" customHeight="1">
      <c r="A251" s="74"/>
      <c r="B251" s="88"/>
      <c r="C251" s="89"/>
      <c r="D251" s="88"/>
      <c r="E251" s="89"/>
      <c r="F251" s="88"/>
      <c r="G251" s="88"/>
      <c r="H251" s="89"/>
    </row>
    <row r="252" ht="15.75" customHeight="1">
      <c r="A252" s="74"/>
      <c r="B252" s="88"/>
      <c r="C252" s="89"/>
      <c r="D252" s="88"/>
      <c r="E252" s="89"/>
      <c r="F252" s="88"/>
      <c r="G252" s="88"/>
      <c r="H252" s="89"/>
    </row>
    <row r="253" ht="15.75" customHeight="1">
      <c r="A253" s="74"/>
      <c r="B253" s="88"/>
      <c r="C253" s="89"/>
      <c r="D253" s="88"/>
      <c r="E253" s="89"/>
      <c r="F253" s="88"/>
      <c r="G253" s="88"/>
      <c r="H253" s="89"/>
    </row>
    <row r="254" ht="15.75" customHeight="1">
      <c r="A254" s="74"/>
      <c r="B254" s="88"/>
      <c r="C254" s="89"/>
      <c r="D254" s="88"/>
      <c r="E254" s="89"/>
      <c r="F254" s="88"/>
      <c r="G254" s="88"/>
      <c r="H254" s="89"/>
    </row>
    <row r="255" ht="15.75" customHeight="1">
      <c r="A255" s="74"/>
      <c r="B255" s="88"/>
      <c r="C255" s="89"/>
      <c r="D255" s="88"/>
      <c r="E255" s="89"/>
      <c r="F255" s="88"/>
      <c r="G255" s="88"/>
      <c r="H255" s="89"/>
    </row>
    <row r="256" ht="15.75" customHeight="1">
      <c r="A256" s="74"/>
      <c r="B256" s="88"/>
      <c r="C256" s="89"/>
      <c r="D256" s="88"/>
      <c r="E256" s="89"/>
      <c r="F256" s="88"/>
      <c r="G256" s="88"/>
      <c r="H256" s="89"/>
    </row>
    <row r="257" ht="15.75" customHeight="1">
      <c r="A257" s="74"/>
      <c r="B257" s="88"/>
      <c r="C257" s="89"/>
      <c r="D257" s="88"/>
      <c r="E257" s="89"/>
      <c r="F257" s="88"/>
      <c r="G257" s="88"/>
      <c r="H257" s="89"/>
    </row>
    <row r="258" ht="15.75" customHeight="1">
      <c r="A258" s="74"/>
      <c r="B258" s="88"/>
      <c r="C258" s="89"/>
      <c r="D258" s="88"/>
      <c r="E258" s="89"/>
      <c r="F258" s="88"/>
      <c r="G258" s="88"/>
      <c r="H258" s="89"/>
    </row>
    <row r="259" ht="15.75" customHeight="1">
      <c r="A259" s="74"/>
      <c r="B259" s="88"/>
      <c r="C259" s="89"/>
      <c r="D259" s="88"/>
      <c r="E259" s="89"/>
      <c r="F259" s="88"/>
      <c r="G259" s="88"/>
      <c r="H259" s="89"/>
    </row>
    <row r="260" ht="15.75" customHeight="1">
      <c r="A260" s="74"/>
      <c r="B260" s="88"/>
      <c r="C260" s="89"/>
      <c r="D260" s="88"/>
      <c r="E260" s="89"/>
      <c r="F260" s="88"/>
      <c r="G260" s="88"/>
      <c r="H260" s="89"/>
    </row>
    <row r="261" ht="15.75" customHeight="1">
      <c r="A261" s="74"/>
      <c r="B261" s="88"/>
      <c r="C261" s="89"/>
      <c r="D261" s="88"/>
      <c r="E261" s="89"/>
      <c r="F261" s="88"/>
      <c r="G261" s="88"/>
      <c r="H261" s="89"/>
    </row>
    <row r="262" ht="15.75" customHeight="1">
      <c r="A262" s="74"/>
      <c r="B262" s="88"/>
      <c r="C262" s="89"/>
      <c r="D262" s="88"/>
      <c r="E262" s="89"/>
      <c r="F262" s="88"/>
      <c r="G262" s="88"/>
      <c r="H262" s="89"/>
    </row>
    <row r="263" ht="15.75" customHeight="1">
      <c r="A263" s="74"/>
      <c r="B263" s="88"/>
      <c r="C263" s="89"/>
      <c r="D263" s="88"/>
      <c r="E263" s="89"/>
      <c r="F263" s="88"/>
      <c r="G263" s="88"/>
      <c r="H263" s="89"/>
    </row>
    <row r="264" ht="15.75" customHeight="1">
      <c r="A264" s="74"/>
      <c r="B264" s="88"/>
      <c r="C264" s="89"/>
      <c r="D264" s="88"/>
      <c r="E264" s="89"/>
      <c r="F264" s="88"/>
      <c r="G264" s="88"/>
      <c r="H264" s="89"/>
    </row>
    <row r="265" ht="15.75" customHeight="1">
      <c r="A265" s="74"/>
      <c r="B265" s="88"/>
      <c r="C265" s="89"/>
      <c r="D265" s="88"/>
      <c r="E265" s="89"/>
      <c r="F265" s="88"/>
      <c r="G265" s="88"/>
      <c r="H265" s="89"/>
    </row>
    <row r="266" ht="15.75" customHeight="1">
      <c r="A266" s="74"/>
      <c r="B266" s="88"/>
      <c r="C266" s="89"/>
      <c r="D266" s="88"/>
      <c r="E266" s="89"/>
      <c r="F266" s="88"/>
      <c r="G266" s="88"/>
      <c r="H266" s="89"/>
    </row>
    <row r="267" ht="15.75" customHeight="1">
      <c r="A267" s="74"/>
      <c r="B267" s="88"/>
      <c r="C267" s="89"/>
      <c r="D267" s="88"/>
      <c r="E267" s="89"/>
      <c r="F267" s="88"/>
      <c r="G267" s="88"/>
      <c r="H267" s="89"/>
    </row>
    <row r="268" ht="15.75" customHeight="1">
      <c r="A268" s="74"/>
      <c r="B268" s="88"/>
      <c r="C268" s="89"/>
      <c r="D268" s="88"/>
      <c r="E268" s="89"/>
      <c r="F268" s="88"/>
      <c r="G268" s="88"/>
      <c r="H268" s="89"/>
    </row>
    <row r="269" ht="15.75" customHeight="1">
      <c r="A269" s="74"/>
      <c r="B269" s="88"/>
      <c r="C269" s="89"/>
      <c r="D269" s="88"/>
      <c r="E269" s="89"/>
      <c r="F269" s="88"/>
      <c r="G269" s="88"/>
      <c r="H269" s="89"/>
    </row>
    <row r="270" ht="15.75" customHeight="1">
      <c r="A270" s="74"/>
      <c r="B270" s="88"/>
      <c r="C270" s="89"/>
      <c r="D270" s="88"/>
      <c r="E270" s="89"/>
      <c r="F270" s="88"/>
      <c r="G270" s="88"/>
      <c r="H270" s="89"/>
    </row>
    <row r="271" ht="15.75" customHeight="1">
      <c r="A271" s="74"/>
      <c r="B271" s="88"/>
      <c r="C271" s="89"/>
      <c r="D271" s="88"/>
      <c r="E271" s="89"/>
      <c r="F271" s="88"/>
      <c r="G271" s="88"/>
      <c r="H271" s="89"/>
    </row>
    <row r="272" ht="15.75" customHeight="1">
      <c r="A272" s="74"/>
      <c r="B272" s="88"/>
      <c r="C272" s="89"/>
      <c r="D272" s="88"/>
      <c r="E272" s="89"/>
      <c r="F272" s="88"/>
      <c r="G272" s="88"/>
      <c r="H272" s="89"/>
    </row>
    <row r="273" ht="15.75" customHeight="1">
      <c r="A273" s="74"/>
      <c r="B273" s="88"/>
      <c r="C273" s="89"/>
      <c r="D273" s="88"/>
      <c r="E273" s="89"/>
      <c r="F273" s="88"/>
      <c r="G273" s="88"/>
      <c r="H273" s="89"/>
    </row>
    <row r="274" ht="15.75" customHeight="1">
      <c r="A274" s="74"/>
      <c r="B274" s="88"/>
      <c r="C274" s="89"/>
      <c r="D274" s="88"/>
      <c r="E274" s="89"/>
      <c r="F274" s="88"/>
      <c r="G274" s="88"/>
      <c r="H274" s="89"/>
    </row>
    <row r="275" ht="15.75" customHeight="1">
      <c r="A275" s="74"/>
      <c r="B275" s="88"/>
      <c r="C275" s="89"/>
      <c r="D275" s="88"/>
      <c r="E275" s="89"/>
      <c r="F275" s="88"/>
      <c r="G275" s="88"/>
      <c r="H275" s="89"/>
    </row>
    <row r="276" ht="15.75" customHeight="1">
      <c r="A276" s="74"/>
      <c r="B276" s="88"/>
      <c r="C276" s="89"/>
      <c r="D276" s="88"/>
      <c r="E276" s="89"/>
      <c r="F276" s="88"/>
      <c r="G276" s="88"/>
      <c r="H276" s="89"/>
    </row>
    <row r="277" ht="15.75" customHeight="1">
      <c r="A277" s="74"/>
      <c r="B277" s="88"/>
      <c r="C277" s="89"/>
      <c r="D277" s="88"/>
      <c r="E277" s="89"/>
      <c r="F277" s="88"/>
      <c r="G277" s="88"/>
      <c r="H277" s="89"/>
    </row>
    <row r="278" ht="15.75" customHeight="1">
      <c r="A278" s="74"/>
      <c r="B278" s="88"/>
      <c r="C278" s="89"/>
      <c r="D278" s="88"/>
      <c r="E278" s="89"/>
      <c r="F278" s="88"/>
      <c r="G278" s="88"/>
      <c r="H278" s="89"/>
    </row>
    <row r="279" ht="15.75" customHeight="1">
      <c r="A279" s="74"/>
      <c r="B279" s="88"/>
      <c r="C279" s="89"/>
      <c r="D279" s="88"/>
      <c r="E279" s="89"/>
      <c r="F279" s="88"/>
      <c r="G279" s="88"/>
      <c r="H279" s="89"/>
    </row>
    <row r="280" ht="15.75" customHeight="1">
      <c r="A280" s="74"/>
      <c r="B280" s="88"/>
      <c r="C280" s="89"/>
      <c r="D280" s="88"/>
      <c r="E280" s="89"/>
      <c r="F280" s="88"/>
      <c r="G280" s="88"/>
      <c r="H280" s="89"/>
    </row>
    <row r="281" ht="15.75" customHeight="1">
      <c r="A281" s="74"/>
      <c r="B281" s="88"/>
      <c r="C281" s="89"/>
      <c r="D281" s="88"/>
      <c r="E281" s="89"/>
      <c r="F281" s="88"/>
      <c r="G281" s="88"/>
      <c r="H281" s="89"/>
    </row>
    <row r="282" ht="15.75" customHeight="1">
      <c r="A282" s="74"/>
      <c r="B282" s="88"/>
      <c r="C282" s="89"/>
      <c r="D282" s="88"/>
      <c r="E282" s="89"/>
      <c r="F282" s="88"/>
      <c r="G282" s="88"/>
      <c r="H282" s="89"/>
    </row>
    <row r="283" ht="15.75" customHeight="1">
      <c r="A283" s="74"/>
      <c r="B283" s="88"/>
      <c r="C283" s="89"/>
      <c r="D283" s="88"/>
      <c r="E283" s="89"/>
      <c r="F283" s="88"/>
      <c r="G283" s="88"/>
      <c r="H283" s="89"/>
    </row>
    <row r="284" ht="15.75" customHeight="1">
      <c r="A284" s="74"/>
      <c r="B284" s="88"/>
      <c r="C284" s="89"/>
      <c r="D284" s="88"/>
      <c r="E284" s="89"/>
      <c r="F284" s="88"/>
      <c r="G284" s="88"/>
      <c r="H284" s="89"/>
    </row>
    <row r="285" ht="15.75" customHeight="1">
      <c r="A285" s="74"/>
      <c r="B285" s="88"/>
      <c r="C285" s="89"/>
      <c r="D285" s="88"/>
      <c r="E285" s="89"/>
      <c r="F285" s="88"/>
      <c r="G285" s="88"/>
      <c r="H285" s="89"/>
    </row>
    <row r="286" ht="15.75" customHeight="1">
      <c r="A286" s="74"/>
      <c r="B286" s="88"/>
      <c r="C286" s="89"/>
      <c r="D286" s="88"/>
      <c r="E286" s="89"/>
      <c r="F286" s="88"/>
      <c r="G286" s="88"/>
      <c r="H286" s="89"/>
    </row>
    <row r="287" ht="15.75" customHeight="1">
      <c r="A287" s="74"/>
      <c r="B287" s="88"/>
      <c r="C287" s="89"/>
      <c r="D287" s="88"/>
      <c r="E287" s="89"/>
      <c r="F287" s="88"/>
      <c r="G287" s="88"/>
      <c r="H287" s="89"/>
    </row>
    <row r="288" ht="15.75" customHeight="1">
      <c r="A288" s="74"/>
      <c r="B288" s="88"/>
      <c r="C288" s="89"/>
      <c r="D288" s="88"/>
      <c r="E288" s="89"/>
      <c r="F288" s="88"/>
      <c r="G288" s="88"/>
      <c r="H288" s="89"/>
    </row>
    <row r="289" ht="15.75" customHeight="1">
      <c r="A289" s="74"/>
      <c r="B289" s="88"/>
      <c r="C289" s="89"/>
      <c r="D289" s="88"/>
      <c r="E289" s="89"/>
      <c r="F289" s="88"/>
      <c r="G289" s="88"/>
      <c r="H289" s="89"/>
    </row>
    <row r="290" ht="15.75" customHeight="1">
      <c r="A290" s="74"/>
      <c r="B290" s="88"/>
      <c r="C290" s="89"/>
      <c r="D290" s="88"/>
      <c r="E290" s="89"/>
      <c r="F290" s="88"/>
      <c r="G290" s="88"/>
      <c r="H290" s="89"/>
    </row>
    <row r="291" ht="15.75" customHeight="1">
      <c r="A291" s="74"/>
      <c r="B291" s="88"/>
      <c r="C291" s="89"/>
      <c r="D291" s="88"/>
      <c r="E291" s="89"/>
      <c r="F291" s="88"/>
      <c r="G291" s="88"/>
      <c r="H291" s="89"/>
    </row>
    <row r="292" ht="15.75" customHeight="1">
      <c r="A292" s="74"/>
      <c r="B292" s="88"/>
      <c r="C292" s="89"/>
      <c r="D292" s="88"/>
      <c r="E292" s="89"/>
      <c r="F292" s="88"/>
      <c r="G292" s="88"/>
      <c r="H292" s="89"/>
    </row>
    <row r="293" ht="15.75" customHeight="1">
      <c r="A293" s="74"/>
      <c r="B293" s="88"/>
      <c r="C293" s="89"/>
      <c r="D293" s="88"/>
      <c r="E293" s="89"/>
      <c r="F293" s="88"/>
      <c r="G293" s="88"/>
      <c r="H293" s="89"/>
    </row>
    <row r="294" ht="15.75" customHeight="1">
      <c r="A294" s="74"/>
      <c r="B294" s="88"/>
      <c r="C294" s="89"/>
      <c r="D294" s="88"/>
      <c r="E294" s="89"/>
      <c r="F294" s="88"/>
      <c r="G294" s="88"/>
      <c r="H294" s="89"/>
    </row>
    <row r="295" ht="15.75" customHeight="1">
      <c r="A295" s="74"/>
      <c r="B295" s="88"/>
      <c r="C295" s="89"/>
      <c r="D295" s="88"/>
      <c r="E295" s="89"/>
      <c r="F295" s="88"/>
      <c r="G295" s="88"/>
      <c r="H295" s="89"/>
    </row>
    <row r="296" ht="15.75" customHeight="1">
      <c r="A296" s="74"/>
      <c r="B296" s="88"/>
      <c r="C296" s="89"/>
      <c r="D296" s="88"/>
      <c r="E296" s="89"/>
      <c r="F296" s="88"/>
      <c r="G296" s="88"/>
      <c r="H296" s="89"/>
    </row>
    <row r="297" ht="15.75" customHeight="1">
      <c r="A297" s="74"/>
      <c r="B297" s="88"/>
      <c r="C297" s="89"/>
      <c r="D297" s="88"/>
      <c r="E297" s="89"/>
      <c r="F297" s="88"/>
      <c r="G297" s="88"/>
      <c r="H297" s="89"/>
    </row>
    <row r="298" ht="15.75" customHeight="1">
      <c r="A298" s="74"/>
      <c r="B298" s="88"/>
      <c r="C298" s="89"/>
      <c r="D298" s="88"/>
      <c r="E298" s="89"/>
      <c r="F298" s="88"/>
      <c r="G298" s="88"/>
      <c r="H298" s="89"/>
    </row>
    <row r="299" ht="15.75" customHeight="1">
      <c r="A299" s="74"/>
      <c r="B299" s="88"/>
      <c r="C299" s="89"/>
      <c r="D299" s="88"/>
      <c r="E299" s="89"/>
      <c r="F299" s="88"/>
      <c r="G299" s="88"/>
      <c r="H299" s="89"/>
    </row>
    <row r="300" ht="15.75" customHeight="1">
      <c r="A300" s="74"/>
      <c r="B300" s="88"/>
      <c r="C300" s="89"/>
      <c r="D300" s="88"/>
      <c r="E300" s="89"/>
      <c r="F300" s="88"/>
      <c r="G300" s="88"/>
      <c r="H300" s="89"/>
    </row>
    <row r="301" ht="15.75" customHeight="1">
      <c r="A301" s="74"/>
      <c r="B301" s="88"/>
      <c r="C301" s="89"/>
      <c r="D301" s="88"/>
      <c r="E301" s="89"/>
      <c r="F301" s="88"/>
      <c r="G301" s="88"/>
      <c r="H301" s="89"/>
    </row>
    <row r="302" ht="15.75" customHeight="1">
      <c r="A302" s="74"/>
      <c r="B302" s="88"/>
      <c r="C302" s="89"/>
      <c r="D302" s="88"/>
      <c r="E302" s="89"/>
      <c r="F302" s="88"/>
      <c r="G302" s="88"/>
      <c r="H302" s="89"/>
    </row>
    <row r="303" ht="15.75" customHeight="1">
      <c r="A303" s="74"/>
      <c r="B303" s="88"/>
      <c r="C303" s="89"/>
      <c r="D303" s="88"/>
      <c r="E303" s="89"/>
      <c r="F303" s="88"/>
      <c r="G303" s="88"/>
      <c r="H303" s="89"/>
    </row>
    <row r="304" ht="15.75" customHeight="1">
      <c r="A304" s="74"/>
      <c r="B304" s="88"/>
      <c r="C304" s="89"/>
      <c r="D304" s="88"/>
      <c r="E304" s="89"/>
      <c r="F304" s="88"/>
      <c r="G304" s="88"/>
      <c r="H304" s="89"/>
    </row>
    <row r="305" ht="15.75" customHeight="1">
      <c r="A305" s="74"/>
      <c r="B305" s="88"/>
      <c r="C305" s="89"/>
      <c r="D305" s="88"/>
      <c r="E305" s="89"/>
      <c r="F305" s="88"/>
      <c r="G305" s="88"/>
      <c r="H305" s="89"/>
    </row>
    <row r="306" ht="15.75" customHeight="1">
      <c r="A306" s="74"/>
      <c r="B306" s="88"/>
      <c r="C306" s="89"/>
      <c r="D306" s="88"/>
      <c r="E306" s="89"/>
      <c r="F306" s="88"/>
      <c r="G306" s="88"/>
      <c r="H306" s="89"/>
    </row>
    <row r="307" ht="15.75" customHeight="1">
      <c r="A307" s="74"/>
      <c r="B307" s="88"/>
      <c r="C307" s="89"/>
      <c r="D307" s="88"/>
      <c r="E307" s="89"/>
      <c r="F307" s="88"/>
      <c r="G307" s="88"/>
      <c r="H307" s="89"/>
    </row>
    <row r="308" ht="15.75" customHeight="1">
      <c r="A308" s="74"/>
      <c r="B308" s="88"/>
      <c r="C308" s="89"/>
      <c r="D308" s="88"/>
      <c r="E308" s="89"/>
      <c r="F308" s="88"/>
      <c r="G308" s="88"/>
      <c r="H308" s="89"/>
    </row>
    <row r="309" ht="15.75" customHeight="1">
      <c r="A309" s="74"/>
      <c r="B309" s="88"/>
      <c r="C309" s="89"/>
      <c r="D309" s="88"/>
      <c r="E309" s="89"/>
      <c r="F309" s="88"/>
      <c r="G309" s="88"/>
      <c r="H309" s="89"/>
    </row>
    <row r="310" ht="15.75" customHeight="1">
      <c r="A310" s="74"/>
      <c r="B310" s="88"/>
      <c r="C310" s="89"/>
      <c r="D310" s="88"/>
      <c r="E310" s="89"/>
      <c r="F310" s="88"/>
      <c r="G310" s="88"/>
      <c r="H310" s="89"/>
    </row>
    <row r="311" ht="15.75" customHeight="1">
      <c r="A311" s="74"/>
      <c r="B311" s="88"/>
      <c r="C311" s="89"/>
      <c r="D311" s="88"/>
      <c r="E311" s="89"/>
      <c r="F311" s="88"/>
      <c r="G311" s="88"/>
      <c r="H311" s="89"/>
    </row>
    <row r="312" ht="15.75" customHeight="1">
      <c r="A312" s="74"/>
      <c r="B312" s="88"/>
      <c r="C312" s="89"/>
      <c r="D312" s="88"/>
      <c r="E312" s="89"/>
      <c r="F312" s="88"/>
      <c r="G312" s="88"/>
      <c r="H312" s="89"/>
    </row>
    <row r="313" ht="15.75" customHeight="1">
      <c r="A313" s="74"/>
      <c r="B313" s="88"/>
      <c r="C313" s="89"/>
      <c r="D313" s="88"/>
      <c r="E313" s="89"/>
      <c r="F313" s="88"/>
      <c r="G313" s="88"/>
      <c r="H313" s="89"/>
    </row>
    <row r="314" ht="15.75" customHeight="1">
      <c r="A314" s="74"/>
      <c r="B314" s="88"/>
      <c r="C314" s="89"/>
      <c r="D314" s="88"/>
      <c r="E314" s="89"/>
      <c r="F314" s="88"/>
      <c r="G314" s="88"/>
      <c r="H314" s="89"/>
    </row>
    <row r="315" ht="15.75" customHeight="1">
      <c r="A315" s="74"/>
      <c r="B315" s="88"/>
      <c r="C315" s="89"/>
      <c r="D315" s="88"/>
      <c r="E315" s="89"/>
      <c r="F315" s="88"/>
      <c r="G315" s="88"/>
      <c r="H315" s="89"/>
    </row>
    <row r="316" ht="15.75" customHeight="1">
      <c r="A316" s="74"/>
      <c r="B316" s="88"/>
      <c r="C316" s="89"/>
      <c r="D316" s="88"/>
      <c r="E316" s="89"/>
      <c r="F316" s="88"/>
      <c r="G316" s="88"/>
      <c r="H316" s="89"/>
    </row>
    <row r="317" ht="15.75" customHeight="1">
      <c r="A317" s="74"/>
      <c r="B317" s="88"/>
      <c r="C317" s="89"/>
      <c r="D317" s="88"/>
      <c r="E317" s="89"/>
      <c r="F317" s="88"/>
      <c r="G317" s="88"/>
      <c r="H317" s="89"/>
    </row>
    <row r="318" ht="15.75" customHeight="1">
      <c r="A318" s="74"/>
      <c r="B318" s="88"/>
      <c r="C318" s="89"/>
      <c r="D318" s="88"/>
      <c r="E318" s="89"/>
      <c r="F318" s="88"/>
      <c r="G318" s="88"/>
      <c r="H318" s="89"/>
    </row>
    <row r="319" ht="15.75" customHeight="1">
      <c r="A319" s="74"/>
      <c r="B319" s="88"/>
      <c r="C319" s="89"/>
      <c r="D319" s="88"/>
      <c r="E319" s="89"/>
      <c r="F319" s="88"/>
      <c r="G319" s="88"/>
      <c r="H319" s="89"/>
    </row>
    <row r="320" ht="15.75" customHeight="1">
      <c r="A320" s="74"/>
      <c r="B320" s="88"/>
      <c r="C320" s="89"/>
      <c r="D320" s="88"/>
      <c r="E320" s="89"/>
      <c r="F320" s="88"/>
      <c r="G320" s="88"/>
      <c r="H320" s="89"/>
    </row>
    <row r="321" ht="15.75" customHeight="1">
      <c r="A321" s="74"/>
      <c r="B321" s="88"/>
      <c r="C321" s="89"/>
      <c r="D321" s="88"/>
      <c r="E321" s="89"/>
      <c r="F321" s="88"/>
      <c r="G321" s="88"/>
      <c r="H321" s="89"/>
    </row>
    <row r="322" ht="15.75" customHeight="1">
      <c r="A322" s="74"/>
      <c r="B322" s="88"/>
      <c r="C322" s="89"/>
      <c r="D322" s="88"/>
      <c r="E322" s="89"/>
      <c r="F322" s="88"/>
      <c r="G322" s="88"/>
      <c r="H322" s="89"/>
    </row>
    <row r="323" ht="15.75" customHeight="1">
      <c r="A323" s="74"/>
      <c r="B323" s="88"/>
      <c r="C323" s="89"/>
      <c r="D323" s="88"/>
      <c r="E323" s="89"/>
      <c r="F323" s="88"/>
      <c r="G323" s="88"/>
      <c r="H323" s="89"/>
    </row>
    <row r="324" ht="15.75" customHeight="1">
      <c r="A324" s="74"/>
      <c r="B324" s="88"/>
      <c r="C324" s="89"/>
      <c r="D324" s="88"/>
      <c r="E324" s="89"/>
      <c r="F324" s="88"/>
      <c r="G324" s="88"/>
      <c r="H324" s="89"/>
    </row>
    <row r="325" ht="15.75" customHeight="1">
      <c r="A325" s="74"/>
      <c r="B325" s="88"/>
      <c r="C325" s="89"/>
      <c r="D325" s="88"/>
      <c r="E325" s="89"/>
      <c r="F325" s="88"/>
      <c r="G325" s="88"/>
      <c r="H325" s="89"/>
    </row>
    <row r="326" ht="15.75" customHeight="1">
      <c r="A326" s="74"/>
      <c r="B326" s="88"/>
      <c r="C326" s="89"/>
      <c r="D326" s="88"/>
      <c r="E326" s="89"/>
      <c r="F326" s="88"/>
      <c r="G326" s="88"/>
      <c r="H326" s="89"/>
    </row>
    <row r="327" ht="15.75" customHeight="1">
      <c r="A327" s="74"/>
      <c r="B327" s="88"/>
      <c r="C327" s="89"/>
      <c r="D327" s="88"/>
      <c r="E327" s="89"/>
      <c r="F327" s="88"/>
      <c r="G327" s="88"/>
      <c r="H327" s="89"/>
    </row>
    <row r="328" ht="15.75" customHeight="1">
      <c r="A328" s="74"/>
      <c r="B328" s="88"/>
      <c r="C328" s="89"/>
      <c r="D328" s="88"/>
      <c r="E328" s="89"/>
      <c r="F328" s="88"/>
      <c r="G328" s="88"/>
      <c r="H328" s="89"/>
    </row>
    <row r="329" ht="15.75" customHeight="1">
      <c r="A329" s="74"/>
      <c r="B329" s="88"/>
      <c r="C329" s="89"/>
      <c r="D329" s="88"/>
      <c r="E329" s="89"/>
      <c r="F329" s="88"/>
      <c r="G329" s="88"/>
      <c r="H329" s="89"/>
    </row>
    <row r="330" ht="15.75" customHeight="1">
      <c r="A330" s="74"/>
      <c r="B330" s="88"/>
      <c r="C330" s="89"/>
      <c r="D330" s="88"/>
      <c r="E330" s="89"/>
      <c r="F330" s="88"/>
      <c r="G330" s="88"/>
      <c r="H330" s="89"/>
    </row>
    <row r="331" ht="15.75" customHeight="1">
      <c r="A331" s="74"/>
      <c r="B331" s="88"/>
      <c r="C331" s="89"/>
      <c r="D331" s="88"/>
      <c r="E331" s="89"/>
      <c r="F331" s="88"/>
      <c r="G331" s="88"/>
      <c r="H331" s="89"/>
    </row>
    <row r="332" ht="15.75" customHeight="1">
      <c r="A332" s="74"/>
      <c r="B332" s="88"/>
      <c r="C332" s="89"/>
      <c r="D332" s="88"/>
      <c r="E332" s="89"/>
      <c r="F332" s="88"/>
      <c r="G332" s="88"/>
      <c r="H332" s="89"/>
    </row>
    <row r="333" ht="15.75" customHeight="1">
      <c r="A333" s="74"/>
      <c r="B333" s="88"/>
      <c r="C333" s="89"/>
      <c r="D333" s="88"/>
      <c r="E333" s="89"/>
      <c r="F333" s="88"/>
      <c r="G333" s="88"/>
      <c r="H333" s="89"/>
    </row>
    <row r="334" ht="15.75" customHeight="1">
      <c r="A334" s="74"/>
      <c r="B334" s="88"/>
      <c r="C334" s="89"/>
      <c r="D334" s="88"/>
      <c r="E334" s="89"/>
      <c r="F334" s="88"/>
      <c r="G334" s="88"/>
      <c r="H334" s="89"/>
    </row>
    <row r="335" ht="15.75" customHeight="1">
      <c r="A335" s="74"/>
      <c r="B335" s="88"/>
      <c r="C335" s="89"/>
      <c r="D335" s="88"/>
      <c r="E335" s="89"/>
      <c r="F335" s="88"/>
      <c r="G335" s="88"/>
      <c r="H335" s="89"/>
    </row>
    <row r="336" ht="15.75" customHeight="1">
      <c r="A336" s="74"/>
      <c r="B336" s="88"/>
      <c r="C336" s="89"/>
      <c r="D336" s="88"/>
      <c r="E336" s="89"/>
      <c r="F336" s="88"/>
      <c r="G336" s="88"/>
      <c r="H336" s="89"/>
    </row>
    <row r="337" ht="15.75" customHeight="1">
      <c r="A337" s="74"/>
      <c r="B337" s="88"/>
      <c r="C337" s="89"/>
      <c r="D337" s="88"/>
      <c r="E337" s="89"/>
      <c r="F337" s="88"/>
      <c r="G337" s="88"/>
      <c r="H337" s="89"/>
    </row>
    <row r="338" ht="15.75" customHeight="1">
      <c r="A338" s="74"/>
      <c r="B338" s="88"/>
      <c r="C338" s="89"/>
      <c r="D338" s="88"/>
      <c r="E338" s="89"/>
      <c r="F338" s="88"/>
      <c r="G338" s="88"/>
      <c r="H338" s="89"/>
    </row>
    <row r="339" ht="15.75" customHeight="1">
      <c r="A339" s="74"/>
      <c r="B339" s="88"/>
      <c r="C339" s="89"/>
      <c r="D339" s="88"/>
      <c r="E339" s="89"/>
      <c r="F339" s="88"/>
      <c r="G339" s="88"/>
      <c r="H339" s="89"/>
    </row>
    <row r="340" ht="15.75" customHeight="1">
      <c r="A340" s="74"/>
      <c r="B340" s="88"/>
      <c r="C340" s="89"/>
      <c r="D340" s="88"/>
      <c r="E340" s="89"/>
      <c r="F340" s="88"/>
      <c r="G340" s="88"/>
      <c r="H340" s="89"/>
    </row>
    <row r="341" ht="15.75" customHeight="1">
      <c r="A341" s="74"/>
      <c r="B341" s="88"/>
      <c r="C341" s="89"/>
      <c r="D341" s="88"/>
      <c r="E341" s="89"/>
      <c r="F341" s="88"/>
      <c r="G341" s="88"/>
      <c r="H341" s="89"/>
    </row>
    <row r="342" ht="15.75" customHeight="1">
      <c r="A342" s="74"/>
      <c r="B342" s="88"/>
      <c r="C342" s="89"/>
      <c r="D342" s="88"/>
      <c r="E342" s="89"/>
      <c r="F342" s="88"/>
      <c r="G342" s="88"/>
      <c r="H342" s="89"/>
    </row>
    <row r="343" ht="15.75" customHeight="1">
      <c r="A343" s="74"/>
      <c r="B343" s="88"/>
      <c r="C343" s="89"/>
      <c r="D343" s="88"/>
      <c r="E343" s="89"/>
      <c r="F343" s="88"/>
      <c r="G343" s="88"/>
      <c r="H343" s="89"/>
    </row>
    <row r="344" ht="15.75" customHeight="1">
      <c r="A344" s="74"/>
      <c r="B344" s="88"/>
      <c r="C344" s="89"/>
      <c r="D344" s="88"/>
      <c r="E344" s="89"/>
      <c r="F344" s="88"/>
      <c r="G344" s="88"/>
      <c r="H344" s="89"/>
    </row>
    <row r="345" ht="15.75" customHeight="1">
      <c r="A345" s="74"/>
      <c r="B345" s="88"/>
      <c r="C345" s="89"/>
      <c r="D345" s="88"/>
      <c r="E345" s="89"/>
      <c r="F345" s="88"/>
      <c r="G345" s="88"/>
      <c r="H345" s="89"/>
    </row>
    <row r="346" ht="15.75" customHeight="1">
      <c r="A346" s="74"/>
      <c r="B346" s="88"/>
      <c r="C346" s="89"/>
      <c r="D346" s="88"/>
      <c r="E346" s="89"/>
      <c r="F346" s="88"/>
      <c r="G346" s="88"/>
      <c r="H346" s="89"/>
    </row>
    <row r="347" ht="15.75" customHeight="1">
      <c r="A347" s="74"/>
      <c r="B347" s="88"/>
      <c r="C347" s="89"/>
      <c r="D347" s="88"/>
      <c r="E347" s="89"/>
      <c r="F347" s="88"/>
      <c r="G347" s="88"/>
      <c r="H347" s="89"/>
    </row>
    <row r="348" ht="15.75" customHeight="1">
      <c r="A348" s="74"/>
      <c r="B348" s="88"/>
      <c r="C348" s="89"/>
      <c r="D348" s="88"/>
      <c r="E348" s="89"/>
      <c r="F348" s="88"/>
      <c r="G348" s="88"/>
      <c r="H348" s="89"/>
    </row>
    <row r="349" ht="15.75" customHeight="1">
      <c r="A349" s="74"/>
      <c r="B349" s="88"/>
      <c r="C349" s="89"/>
      <c r="D349" s="88"/>
      <c r="E349" s="89"/>
      <c r="F349" s="88"/>
      <c r="G349" s="88"/>
      <c r="H349" s="89"/>
    </row>
    <row r="350" ht="15.75" customHeight="1">
      <c r="A350" s="74"/>
      <c r="B350" s="88"/>
      <c r="C350" s="89"/>
      <c r="D350" s="88"/>
      <c r="E350" s="89"/>
      <c r="F350" s="88"/>
      <c r="G350" s="88"/>
      <c r="H350" s="89"/>
    </row>
    <row r="351" ht="15.75" customHeight="1">
      <c r="A351" s="74"/>
      <c r="B351" s="88"/>
      <c r="C351" s="89"/>
      <c r="D351" s="88"/>
      <c r="E351" s="89"/>
      <c r="F351" s="88"/>
      <c r="G351" s="88"/>
      <c r="H351" s="89"/>
    </row>
    <row r="352" ht="15.75" customHeight="1">
      <c r="A352" s="74"/>
      <c r="B352" s="88"/>
      <c r="C352" s="89"/>
      <c r="D352" s="88"/>
      <c r="E352" s="89"/>
      <c r="F352" s="88"/>
      <c r="G352" s="88"/>
      <c r="H352" s="89"/>
    </row>
    <row r="353" ht="15.75" customHeight="1">
      <c r="A353" s="74"/>
      <c r="B353" s="88"/>
      <c r="C353" s="89"/>
      <c r="D353" s="88"/>
      <c r="E353" s="89"/>
      <c r="F353" s="88"/>
      <c r="G353" s="88"/>
      <c r="H353" s="89"/>
    </row>
    <row r="354" ht="15.75" customHeight="1">
      <c r="A354" s="74"/>
      <c r="B354" s="88"/>
      <c r="C354" s="89"/>
      <c r="D354" s="88"/>
      <c r="E354" s="89"/>
      <c r="F354" s="88"/>
      <c r="G354" s="88"/>
      <c r="H354" s="89"/>
    </row>
    <row r="355" ht="15.75" customHeight="1">
      <c r="A355" s="74"/>
      <c r="B355" s="88"/>
      <c r="C355" s="89"/>
      <c r="D355" s="88"/>
      <c r="E355" s="89"/>
      <c r="F355" s="88"/>
      <c r="G355" s="88"/>
      <c r="H355" s="89"/>
    </row>
    <row r="356" ht="15.75" customHeight="1">
      <c r="A356" s="74"/>
      <c r="B356" s="88"/>
      <c r="C356" s="89"/>
      <c r="D356" s="88"/>
      <c r="E356" s="89"/>
      <c r="F356" s="88"/>
      <c r="G356" s="88"/>
      <c r="H356" s="89"/>
    </row>
    <row r="357" ht="15.75" customHeight="1">
      <c r="A357" s="74"/>
      <c r="B357" s="88"/>
      <c r="C357" s="89"/>
      <c r="D357" s="88"/>
      <c r="E357" s="89"/>
      <c r="F357" s="88"/>
      <c r="G357" s="88"/>
      <c r="H357" s="89"/>
    </row>
    <row r="358" ht="15.75" customHeight="1">
      <c r="A358" s="74"/>
      <c r="B358" s="88"/>
      <c r="C358" s="89"/>
      <c r="D358" s="88"/>
      <c r="E358" s="89"/>
      <c r="F358" s="88"/>
      <c r="G358" s="88"/>
      <c r="H358" s="89"/>
    </row>
    <row r="359" ht="15.75" customHeight="1">
      <c r="A359" s="74"/>
      <c r="B359" s="88"/>
      <c r="C359" s="89"/>
      <c r="D359" s="88"/>
      <c r="E359" s="89"/>
      <c r="F359" s="88"/>
      <c r="G359" s="88"/>
      <c r="H359" s="89"/>
    </row>
    <row r="360" ht="15.75" customHeight="1">
      <c r="A360" s="74"/>
      <c r="B360" s="88"/>
      <c r="C360" s="89"/>
      <c r="D360" s="88"/>
      <c r="E360" s="89"/>
      <c r="F360" s="88"/>
      <c r="G360" s="88"/>
      <c r="H360" s="89"/>
    </row>
    <row r="361" ht="15.75" customHeight="1">
      <c r="A361" s="74"/>
      <c r="B361" s="88"/>
      <c r="C361" s="89"/>
      <c r="D361" s="88"/>
      <c r="E361" s="89"/>
      <c r="F361" s="88"/>
      <c r="G361" s="88"/>
      <c r="H361" s="89"/>
    </row>
    <row r="362" ht="15.75" customHeight="1">
      <c r="A362" s="74"/>
      <c r="B362" s="88"/>
      <c r="C362" s="89"/>
      <c r="D362" s="88"/>
      <c r="E362" s="89"/>
      <c r="F362" s="88"/>
      <c r="G362" s="88"/>
      <c r="H362" s="89"/>
    </row>
    <row r="363" ht="15.75" customHeight="1">
      <c r="A363" s="74"/>
      <c r="B363" s="88"/>
      <c r="C363" s="89"/>
      <c r="D363" s="88"/>
      <c r="E363" s="89"/>
      <c r="F363" s="88"/>
      <c r="G363" s="88"/>
      <c r="H363" s="89"/>
    </row>
    <row r="364" ht="15.75" customHeight="1">
      <c r="A364" s="74"/>
      <c r="B364" s="88"/>
      <c r="C364" s="89"/>
      <c r="D364" s="88"/>
      <c r="E364" s="89"/>
      <c r="F364" s="88"/>
      <c r="G364" s="88"/>
      <c r="H364" s="89"/>
    </row>
    <row r="365" ht="15.75" customHeight="1">
      <c r="A365" s="74"/>
      <c r="B365" s="88"/>
      <c r="C365" s="89"/>
      <c r="D365" s="88"/>
      <c r="E365" s="89"/>
      <c r="F365" s="88"/>
      <c r="G365" s="88"/>
      <c r="H365" s="89"/>
    </row>
    <row r="366" ht="15.75" customHeight="1">
      <c r="A366" s="74"/>
      <c r="B366" s="88"/>
      <c r="C366" s="89"/>
      <c r="D366" s="88"/>
      <c r="E366" s="89"/>
      <c r="F366" s="88"/>
      <c r="G366" s="88"/>
      <c r="H366" s="89"/>
    </row>
    <row r="367" ht="15.75" customHeight="1">
      <c r="A367" s="74"/>
      <c r="B367" s="88"/>
      <c r="C367" s="89"/>
      <c r="D367" s="88"/>
      <c r="E367" s="89"/>
      <c r="F367" s="88"/>
      <c r="G367" s="88"/>
      <c r="H367" s="89"/>
    </row>
    <row r="368" ht="15.75" customHeight="1">
      <c r="A368" s="74"/>
      <c r="B368" s="88"/>
      <c r="C368" s="89"/>
      <c r="D368" s="88"/>
      <c r="E368" s="89"/>
      <c r="F368" s="88"/>
      <c r="G368" s="88"/>
      <c r="H368" s="89"/>
    </row>
    <row r="369" ht="15.75" customHeight="1">
      <c r="A369" s="74"/>
      <c r="B369" s="88"/>
      <c r="C369" s="89"/>
      <c r="D369" s="88"/>
      <c r="E369" s="89"/>
      <c r="F369" s="88"/>
      <c r="G369" s="88"/>
      <c r="H369" s="89"/>
    </row>
    <row r="370" ht="15.75" customHeight="1">
      <c r="A370" s="74"/>
      <c r="B370" s="88"/>
      <c r="C370" s="89"/>
      <c r="D370" s="88"/>
      <c r="E370" s="89"/>
      <c r="F370" s="88"/>
      <c r="G370" s="88"/>
      <c r="H370" s="89"/>
    </row>
    <row r="371" ht="15.75" customHeight="1">
      <c r="A371" s="74"/>
      <c r="B371" s="88"/>
      <c r="C371" s="89"/>
      <c r="D371" s="88"/>
      <c r="E371" s="89"/>
      <c r="F371" s="88"/>
      <c r="G371" s="88"/>
      <c r="H371" s="89"/>
    </row>
    <row r="372" ht="15.75" customHeight="1">
      <c r="A372" s="74"/>
      <c r="B372" s="88"/>
      <c r="C372" s="89"/>
      <c r="D372" s="88"/>
      <c r="E372" s="89"/>
      <c r="F372" s="88"/>
      <c r="G372" s="88"/>
      <c r="H372" s="89"/>
    </row>
    <row r="373" ht="15.75" customHeight="1">
      <c r="A373" s="74"/>
      <c r="B373" s="88"/>
      <c r="C373" s="89"/>
      <c r="D373" s="88"/>
      <c r="E373" s="89"/>
      <c r="F373" s="88"/>
      <c r="G373" s="88"/>
      <c r="H373" s="89"/>
    </row>
    <row r="374" ht="15.75" customHeight="1">
      <c r="A374" s="74"/>
      <c r="B374" s="88"/>
      <c r="C374" s="89"/>
      <c r="D374" s="88"/>
      <c r="E374" s="89"/>
      <c r="F374" s="88"/>
      <c r="G374" s="88"/>
      <c r="H374" s="89"/>
    </row>
    <row r="375" ht="15.75" customHeight="1">
      <c r="A375" s="74"/>
      <c r="B375" s="88"/>
      <c r="C375" s="89"/>
      <c r="D375" s="88"/>
      <c r="E375" s="89"/>
      <c r="F375" s="88"/>
      <c r="G375" s="88"/>
      <c r="H375" s="89"/>
    </row>
    <row r="376" ht="15.75" customHeight="1">
      <c r="A376" s="74"/>
      <c r="B376" s="88"/>
      <c r="C376" s="89"/>
      <c r="D376" s="88"/>
      <c r="E376" s="89"/>
      <c r="F376" s="88"/>
      <c r="G376" s="88"/>
      <c r="H376" s="89"/>
    </row>
    <row r="377" ht="15.75" customHeight="1">
      <c r="A377" s="74"/>
      <c r="B377" s="88"/>
      <c r="C377" s="89"/>
      <c r="D377" s="88"/>
      <c r="E377" s="89"/>
      <c r="F377" s="88"/>
      <c r="G377" s="88"/>
      <c r="H377" s="89"/>
    </row>
    <row r="378" ht="15.75" customHeight="1">
      <c r="A378" s="74"/>
      <c r="B378" s="88"/>
      <c r="C378" s="89"/>
      <c r="D378" s="88"/>
      <c r="E378" s="89"/>
      <c r="F378" s="88"/>
      <c r="G378" s="88"/>
      <c r="H378" s="89"/>
    </row>
    <row r="379" ht="15.75" customHeight="1">
      <c r="A379" s="74"/>
      <c r="B379" s="88"/>
      <c r="C379" s="89"/>
      <c r="D379" s="88"/>
      <c r="E379" s="89"/>
      <c r="F379" s="88"/>
      <c r="G379" s="88"/>
      <c r="H379" s="89"/>
    </row>
    <row r="380" ht="15.75" customHeight="1">
      <c r="A380" s="74"/>
      <c r="B380" s="88"/>
      <c r="C380" s="89"/>
      <c r="D380" s="88"/>
      <c r="E380" s="89"/>
      <c r="F380" s="88"/>
      <c r="G380" s="88"/>
      <c r="H380" s="89"/>
    </row>
    <row r="381" ht="15.75" customHeight="1">
      <c r="A381" s="74"/>
      <c r="B381" s="88"/>
      <c r="C381" s="89"/>
      <c r="D381" s="88"/>
      <c r="E381" s="89"/>
      <c r="F381" s="88"/>
      <c r="G381" s="88"/>
      <c r="H381" s="89"/>
    </row>
    <row r="382" ht="15.75" customHeight="1">
      <c r="A382" s="74"/>
      <c r="B382" s="88"/>
      <c r="C382" s="89"/>
      <c r="D382" s="88"/>
      <c r="E382" s="89"/>
      <c r="F382" s="88"/>
      <c r="G382" s="88"/>
      <c r="H382" s="89"/>
    </row>
    <row r="383" ht="15.75" customHeight="1">
      <c r="A383" s="74"/>
      <c r="B383" s="88"/>
      <c r="C383" s="89"/>
      <c r="D383" s="88"/>
      <c r="E383" s="89"/>
      <c r="F383" s="88"/>
      <c r="G383" s="88"/>
      <c r="H383" s="89"/>
    </row>
    <row r="384" ht="15.75" customHeight="1">
      <c r="A384" s="74"/>
      <c r="B384" s="88"/>
      <c r="C384" s="89"/>
      <c r="D384" s="88"/>
      <c r="E384" s="89"/>
      <c r="F384" s="88"/>
      <c r="G384" s="88"/>
      <c r="H384" s="89"/>
    </row>
    <row r="385" ht="15.75" customHeight="1">
      <c r="A385" s="74"/>
      <c r="B385" s="88"/>
      <c r="C385" s="89"/>
      <c r="D385" s="88"/>
      <c r="E385" s="89"/>
      <c r="F385" s="88"/>
      <c r="G385" s="88"/>
      <c r="H385" s="89"/>
    </row>
    <row r="386" ht="15.75" customHeight="1">
      <c r="A386" s="74"/>
      <c r="B386" s="88"/>
      <c r="C386" s="89"/>
      <c r="D386" s="88"/>
      <c r="E386" s="89"/>
      <c r="F386" s="88"/>
      <c r="G386" s="88"/>
      <c r="H386" s="89"/>
    </row>
    <row r="387" ht="15.75" customHeight="1">
      <c r="A387" s="74"/>
      <c r="B387" s="88"/>
      <c r="C387" s="89"/>
      <c r="D387" s="88"/>
      <c r="E387" s="89"/>
      <c r="F387" s="88"/>
      <c r="G387" s="88"/>
      <c r="H387" s="89"/>
    </row>
    <row r="388" ht="15.75" customHeight="1">
      <c r="A388" s="74"/>
      <c r="B388" s="88"/>
      <c r="C388" s="89"/>
      <c r="D388" s="88"/>
      <c r="E388" s="89"/>
      <c r="F388" s="88"/>
      <c r="G388" s="88"/>
      <c r="H388" s="89"/>
    </row>
    <row r="389" ht="15.75" customHeight="1">
      <c r="A389" s="74"/>
      <c r="B389" s="88"/>
      <c r="C389" s="89"/>
      <c r="D389" s="88"/>
      <c r="E389" s="89"/>
      <c r="F389" s="88"/>
      <c r="G389" s="88"/>
      <c r="H389" s="89"/>
    </row>
    <row r="390" ht="15.75" customHeight="1">
      <c r="A390" s="74"/>
      <c r="B390" s="88"/>
      <c r="C390" s="89"/>
      <c r="D390" s="88"/>
      <c r="E390" s="89"/>
      <c r="F390" s="88"/>
      <c r="G390" s="88"/>
      <c r="H390" s="89"/>
    </row>
    <row r="391" ht="15.75" customHeight="1">
      <c r="A391" s="74"/>
      <c r="B391" s="88"/>
      <c r="C391" s="89"/>
      <c r="D391" s="88"/>
      <c r="E391" s="89"/>
      <c r="F391" s="88"/>
      <c r="G391" s="88"/>
      <c r="H391" s="89"/>
    </row>
    <row r="392" ht="15.75" customHeight="1">
      <c r="A392" s="74"/>
      <c r="B392" s="88"/>
      <c r="C392" s="89"/>
      <c r="D392" s="88"/>
      <c r="E392" s="89"/>
      <c r="F392" s="88"/>
      <c r="G392" s="88"/>
      <c r="H392" s="89"/>
    </row>
    <row r="393" ht="15.75" customHeight="1">
      <c r="A393" s="74"/>
      <c r="B393" s="88"/>
      <c r="C393" s="89"/>
      <c r="D393" s="88"/>
      <c r="E393" s="89"/>
      <c r="F393" s="88"/>
      <c r="G393" s="88"/>
      <c r="H393" s="89"/>
    </row>
    <row r="394" ht="15.75" customHeight="1">
      <c r="A394" s="74"/>
      <c r="B394" s="88"/>
      <c r="C394" s="89"/>
      <c r="D394" s="88"/>
      <c r="E394" s="89"/>
      <c r="F394" s="88"/>
      <c r="G394" s="88"/>
      <c r="H394" s="89"/>
    </row>
    <row r="395" ht="15.75" customHeight="1">
      <c r="A395" s="74"/>
      <c r="B395" s="88"/>
      <c r="C395" s="89"/>
      <c r="D395" s="88"/>
      <c r="E395" s="89"/>
      <c r="F395" s="88"/>
      <c r="G395" s="88"/>
      <c r="H395" s="89"/>
    </row>
    <row r="396" ht="15.75" customHeight="1">
      <c r="A396" s="74"/>
      <c r="B396" s="88"/>
      <c r="C396" s="89"/>
      <c r="D396" s="88"/>
      <c r="E396" s="89"/>
      <c r="F396" s="88"/>
      <c r="G396" s="88"/>
      <c r="H396" s="89"/>
    </row>
    <row r="397" ht="15.75" customHeight="1">
      <c r="A397" s="74"/>
      <c r="B397" s="88"/>
      <c r="C397" s="89"/>
      <c r="D397" s="88"/>
      <c r="E397" s="89"/>
      <c r="F397" s="88"/>
      <c r="G397" s="88"/>
      <c r="H397" s="89"/>
    </row>
    <row r="398" ht="15.75" customHeight="1">
      <c r="A398" s="74"/>
      <c r="B398" s="88"/>
      <c r="C398" s="89"/>
      <c r="D398" s="88"/>
      <c r="E398" s="89"/>
      <c r="F398" s="88"/>
      <c r="G398" s="88"/>
      <c r="H398" s="89"/>
    </row>
    <row r="399" ht="15.75" customHeight="1">
      <c r="A399" s="74"/>
      <c r="B399" s="88"/>
      <c r="C399" s="89"/>
      <c r="D399" s="88"/>
      <c r="E399" s="89"/>
      <c r="F399" s="88"/>
      <c r="G399" s="88"/>
      <c r="H399" s="89"/>
    </row>
    <row r="400" ht="15.75" customHeight="1">
      <c r="A400" s="74"/>
      <c r="B400" s="88"/>
      <c r="C400" s="89"/>
      <c r="D400" s="88"/>
      <c r="E400" s="89"/>
      <c r="F400" s="88"/>
      <c r="G400" s="88"/>
      <c r="H400" s="89"/>
    </row>
    <row r="401" ht="15.75" customHeight="1">
      <c r="A401" s="74"/>
      <c r="B401" s="88"/>
      <c r="C401" s="89"/>
      <c r="D401" s="88"/>
      <c r="E401" s="89"/>
      <c r="F401" s="88"/>
      <c r="G401" s="88"/>
      <c r="H401" s="89"/>
    </row>
    <row r="402" ht="15.75" customHeight="1">
      <c r="A402" s="74"/>
      <c r="B402" s="88"/>
      <c r="C402" s="89"/>
      <c r="D402" s="88"/>
      <c r="E402" s="89"/>
      <c r="F402" s="88"/>
      <c r="G402" s="88"/>
      <c r="H402" s="89"/>
    </row>
    <row r="403" ht="15.75" customHeight="1">
      <c r="A403" s="74"/>
      <c r="B403" s="88"/>
      <c r="C403" s="89"/>
      <c r="D403" s="88"/>
      <c r="E403" s="89"/>
      <c r="F403" s="88"/>
      <c r="G403" s="88"/>
      <c r="H403" s="89"/>
    </row>
    <row r="404" ht="15.75" customHeight="1">
      <c r="A404" s="74"/>
      <c r="B404" s="88"/>
      <c r="C404" s="89"/>
      <c r="D404" s="88"/>
      <c r="E404" s="89"/>
      <c r="F404" s="88"/>
      <c r="G404" s="88"/>
      <c r="H404" s="89"/>
    </row>
    <row r="405" ht="15.75" customHeight="1">
      <c r="A405" s="74"/>
      <c r="B405" s="88"/>
      <c r="C405" s="89"/>
      <c r="D405" s="88"/>
      <c r="E405" s="89"/>
      <c r="F405" s="88"/>
      <c r="G405" s="88"/>
      <c r="H405" s="89"/>
    </row>
    <row r="406" ht="15.75" customHeight="1">
      <c r="A406" s="74"/>
      <c r="B406" s="88"/>
      <c r="C406" s="89"/>
      <c r="D406" s="88"/>
      <c r="E406" s="89"/>
      <c r="F406" s="88"/>
      <c r="G406" s="88"/>
      <c r="H406" s="89"/>
    </row>
    <row r="407" ht="15.75" customHeight="1">
      <c r="A407" s="74"/>
      <c r="B407" s="88"/>
      <c r="C407" s="89"/>
      <c r="D407" s="88"/>
      <c r="E407" s="89"/>
      <c r="F407" s="88"/>
      <c r="G407" s="88"/>
      <c r="H407" s="89"/>
    </row>
    <row r="408" ht="15.75" customHeight="1">
      <c r="A408" s="74"/>
      <c r="B408" s="88"/>
      <c r="C408" s="89"/>
      <c r="D408" s="88"/>
      <c r="E408" s="89"/>
      <c r="F408" s="88"/>
      <c r="G408" s="88"/>
      <c r="H408" s="89"/>
    </row>
    <row r="409" ht="15.75" customHeight="1">
      <c r="A409" s="74"/>
      <c r="B409" s="88"/>
      <c r="C409" s="89"/>
      <c r="D409" s="88"/>
      <c r="E409" s="89"/>
      <c r="F409" s="88"/>
      <c r="G409" s="88"/>
      <c r="H409" s="89"/>
    </row>
    <row r="410" ht="15.75" customHeight="1">
      <c r="A410" s="74"/>
      <c r="B410" s="88"/>
      <c r="C410" s="89"/>
      <c r="D410" s="88"/>
      <c r="E410" s="89"/>
      <c r="F410" s="88"/>
      <c r="G410" s="88"/>
      <c r="H410" s="89"/>
    </row>
    <row r="411" ht="15.75" customHeight="1">
      <c r="A411" s="74"/>
      <c r="B411" s="88"/>
      <c r="C411" s="89"/>
      <c r="D411" s="88"/>
      <c r="E411" s="89"/>
      <c r="F411" s="88"/>
      <c r="G411" s="88"/>
      <c r="H411" s="89"/>
    </row>
    <row r="412" ht="15.75" customHeight="1">
      <c r="A412" s="74"/>
      <c r="B412" s="88"/>
      <c r="C412" s="89"/>
      <c r="D412" s="88"/>
      <c r="E412" s="89"/>
      <c r="F412" s="88"/>
      <c r="G412" s="88"/>
      <c r="H412" s="89"/>
    </row>
    <row r="413" ht="15.75" customHeight="1">
      <c r="A413" s="74"/>
      <c r="B413" s="88"/>
      <c r="C413" s="89"/>
      <c r="D413" s="88"/>
      <c r="E413" s="89"/>
      <c r="F413" s="88"/>
      <c r="G413" s="88"/>
      <c r="H413" s="89"/>
    </row>
    <row r="414" ht="15.75" customHeight="1">
      <c r="A414" s="74"/>
      <c r="B414" s="88"/>
      <c r="C414" s="89"/>
      <c r="D414" s="88"/>
      <c r="E414" s="89"/>
      <c r="F414" s="88"/>
      <c r="G414" s="88"/>
      <c r="H414" s="89"/>
    </row>
    <row r="415" ht="15.75" customHeight="1">
      <c r="A415" s="74"/>
      <c r="B415" s="88"/>
      <c r="C415" s="89"/>
      <c r="D415" s="88"/>
      <c r="E415" s="89"/>
      <c r="F415" s="88"/>
      <c r="G415" s="88"/>
      <c r="H415" s="89"/>
    </row>
    <row r="416" ht="15.75" customHeight="1">
      <c r="A416" s="74"/>
      <c r="B416" s="88"/>
      <c r="C416" s="89"/>
      <c r="D416" s="88"/>
      <c r="E416" s="89"/>
      <c r="F416" s="88"/>
      <c r="G416" s="88"/>
      <c r="H416" s="89"/>
    </row>
    <row r="417" ht="15.75" customHeight="1">
      <c r="A417" s="74"/>
      <c r="B417" s="88"/>
      <c r="C417" s="89"/>
      <c r="D417" s="88"/>
      <c r="E417" s="89"/>
      <c r="F417" s="88"/>
      <c r="G417" s="88"/>
      <c r="H417" s="89"/>
    </row>
    <row r="418" ht="15.75" customHeight="1">
      <c r="A418" s="74"/>
      <c r="B418" s="88"/>
      <c r="C418" s="89"/>
      <c r="D418" s="88"/>
      <c r="E418" s="89"/>
      <c r="F418" s="88"/>
      <c r="G418" s="88"/>
      <c r="H418" s="89"/>
    </row>
    <row r="419" ht="15.75" customHeight="1">
      <c r="A419" s="74"/>
      <c r="B419" s="88"/>
      <c r="C419" s="89"/>
      <c r="D419" s="88"/>
      <c r="E419" s="89"/>
      <c r="F419" s="88"/>
      <c r="G419" s="88"/>
      <c r="H419" s="89"/>
    </row>
    <row r="420" ht="15.75" customHeight="1">
      <c r="A420" s="74"/>
      <c r="B420" s="88"/>
      <c r="C420" s="89"/>
      <c r="D420" s="88"/>
      <c r="E420" s="89"/>
      <c r="F420" s="88"/>
      <c r="G420" s="88"/>
      <c r="H420" s="89"/>
    </row>
    <row r="421" ht="15.75" customHeight="1">
      <c r="A421" s="74"/>
      <c r="B421" s="88"/>
      <c r="C421" s="89"/>
      <c r="D421" s="88"/>
      <c r="E421" s="89"/>
      <c r="F421" s="88"/>
      <c r="G421" s="88"/>
      <c r="H421" s="89"/>
    </row>
    <row r="422" ht="15.75" customHeight="1">
      <c r="A422" s="74"/>
      <c r="B422" s="88"/>
      <c r="C422" s="89"/>
      <c r="D422" s="88"/>
      <c r="E422" s="89"/>
      <c r="F422" s="88"/>
      <c r="G422" s="88"/>
      <c r="H422" s="89"/>
    </row>
    <row r="423" ht="15.75" customHeight="1">
      <c r="A423" s="74"/>
      <c r="B423" s="88"/>
      <c r="C423" s="89"/>
      <c r="D423" s="88"/>
      <c r="E423" s="89"/>
      <c r="F423" s="88"/>
      <c r="G423" s="88"/>
      <c r="H423" s="89"/>
    </row>
    <row r="424" ht="15.75" customHeight="1">
      <c r="A424" s="74"/>
      <c r="B424" s="88"/>
      <c r="C424" s="89"/>
      <c r="D424" s="88"/>
      <c r="E424" s="89"/>
      <c r="F424" s="88"/>
      <c r="G424" s="88"/>
      <c r="H424" s="89"/>
    </row>
    <row r="425" ht="15.75" customHeight="1">
      <c r="A425" s="74"/>
      <c r="B425" s="88"/>
      <c r="C425" s="89"/>
      <c r="D425" s="88"/>
      <c r="E425" s="89"/>
      <c r="F425" s="88"/>
      <c r="G425" s="88"/>
      <c r="H425" s="89"/>
    </row>
    <row r="426" ht="15.75" customHeight="1">
      <c r="A426" s="74"/>
      <c r="B426" s="88"/>
      <c r="C426" s="89"/>
      <c r="D426" s="88"/>
      <c r="E426" s="89"/>
      <c r="F426" s="88"/>
      <c r="G426" s="88"/>
      <c r="H426" s="89"/>
    </row>
    <row r="427" ht="15.75" customHeight="1">
      <c r="A427" s="74"/>
      <c r="B427" s="88"/>
      <c r="C427" s="89"/>
      <c r="D427" s="88"/>
      <c r="E427" s="89"/>
      <c r="F427" s="88"/>
      <c r="G427" s="88"/>
      <c r="H427" s="89"/>
    </row>
    <row r="428" ht="15.75" customHeight="1">
      <c r="A428" s="74"/>
      <c r="B428" s="88"/>
      <c r="C428" s="89"/>
      <c r="D428" s="88"/>
      <c r="E428" s="89"/>
      <c r="F428" s="88"/>
      <c r="G428" s="88"/>
      <c r="H428" s="89"/>
    </row>
    <row r="429" ht="15.75" customHeight="1">
      <c r="A429" s="74"/>
      <c r="B429" s="88"/>
      <c r="C429" s="89"/>
      <c r="D429" s="88"/>
      <c r="E429" s="89"/>
      <c r="F429" s="88"/>
      <c r="G429" s="88"/>
      <c r="H429" s="89"/>
    </row>
    <row r="430" ht="15.75" customHeight="1">
      <c r="A430" s="74"/>
      <c r="B430" s="88"/>
      <c r="C430" s="89"/>
      <c r="D430" s="88"/>
      <c r="E430" s="89"/>
      <c r="F430" s="88"/>
      <c r="G430" s="88"/>
      <c r="H430" s="89"/>
    </row>
    <row r="431" ht="15.75" customHeight="1">
      <c r="A431" s="74"/>
      <c r="B431" s="88"/>
      <c r="C431" s="89"/>
      <c r="D431" s="88"/>
      <c r="E431" s="89"/>
      <c r="F431" s="88"/>
      <c r="G431" s="88"/>
      <c r="H431" s="89"/>
    </row>
    <row r="432" ht="15.75" customHeight="1">
      <c r="A432" s="74"/>
      <c r="B432" s="88"/>
      <c r="C432" s="89"/>
      <c r="D432" s="88"/>
      <c r="E432" s="89"/>
      <c r="F432" s="88"/>
      <c r="G432" s="88"/>
      <c r="H432" s="89"/>
    </row>
    <row r="433" ht="15.75" customHeight="1">
      <c r="A433" s="74"/>
      <c r="B433" s="88"/>
      <c r="C433" s="89"/>
      <c r="D433" s="88"/>
      <c r="E433" s="89"/>
      <c r="F433" s="88"/>
      <c r="G433" s="88"/>
      <c r="H433" s="89"/>
    </row>
    <row r="434" ht="15.75" customHeight="1">
      <c r="A434" s="74"/>
      <c r="B434" s="88"/>
      <c r="C434" s="89"/>
      <c r="D434" s="88"/>
      <c r="E434" s="89"/>
      <c r="F434" s="88"/>
      <c r="G434" s="88"/>
      <c r="H434" s="89"/>
    </row>
    <row r="435" ht="15.75" customHeight="1">
      <c r="A435" s="74"/>
      <c r="B435" s="88"/>
      <c r="C435" s="89"/>
      <c r="D435" s="88"/>
      <c r="E435" s="89"/>
      <c r="F435" s="88"/>
      <c r="G435" s="88"/>
      <c r="H435" s="89"/>
    </row>
    <row r="436" ht="15.75" customHeight="1">
      <c r="A436" s="74"/>
      <c r="B436" s="88"/>
      <c r="C436" s="89"/>
      <c r="D436" s="88"/>
      <c r="E436" s="89"/>
      <c r="F436" s="88"/>
      <c r="G436" s="88"/>
      <c r="H436" s="89"/>
    </row>
    <row r="437" ht="15.75" customHeight="1">
      <c r="A437" s="74"/>
      <c r="B437" s="88"/>
      <c r="C437" s="89"/>
      <c r="D437" s="88"/>
      <c r="E437" s="89"/>
      <c r="F437" s="88"/>
      <c r="G437" s="88"/>
      <c r="H437" s="89"/>
    </row>
    <row r="438" ht="15.75" customHeight="1">
      <c r="A438" s="74"/>
      <c r="B438" s="88"/>
      <c r="C438" s="89"/>
      <c r="D438" s="88"/>
      <c r="E438" s="89"/>
      <c r="F438" s="88"/>
      <c r="G438" s="88"/>
      <c r="H438" s="89"/>
    </row>
    <row r="439" ht="15.75" customHeight="1">
      <c r="A439" s="74"/>
      <c r="B439" s="88"/>
      <c r="C439" s="89"/>
      <c r="D439" s="88"/>
      <c r="E439" s="89"/>
      <c r="F439" s="88"/>
      <c r="G439" s="88"/>
      <c r="H439" s="89"/>
    </row>
    <row r="440" ht="15.75" customHeight="1">
      <c r="A440" s="74"/>
      <c r="B440" s="88"/>
      <c r="C440" s="89"/>
      <c r="D440" s="88"/>
      <c r="E440" s="89"/>
      <c r="F440" s="88"/>
      <c r="G440" s="88"/>
      <c r="H440" s="89"/>
    </row>
    <row r="441" ht="15.75" customHeight="1">
      <c r="A441" s="74"/>
      <c r="B441" s="88"/>
      <c r="C441" s="89"/>
      <c r="D441" s="88"/>
      <c r="E441" s="89"/>
      <c r="F441" s="88"/>
      <c r="G441" s="88"/>
      <c r="H441" s="89"/>
    </row>
    <row r="442" ht="15.75" customHeight="1">
      <c r="A442" s="74"/>
      <c r="B442" s="88"/>
      <c r="C442" s="89"/>
      <c r="D442" s="88"/>
      <c r="E442" s="89"/>
      <c r="F442" s="88"/>
      <c r="G442" s="88"/>
      <c r="H442" s="89"/>
    </row>
    <row r="443" ht="15.75" customHeight="1">
      <c r="A443" s="74"/>
      <c r="B443" s="88"/>
      <c r="C443" s="89"/>
      <c r="D443" s="88"/>
      <c r="E443" s="89"/>
      <c r="F443" s="88"/>
      <c r="G443" s="88"/>
      <c r="H443" s="89"/>
    </row>
    <row r="444" ht="15.75" customHeight="1">
      <c r="A444" s="74"/>
      <c r="B444" s="88"/>
      <c r="C444" s="89"/>
      <c r="D444" s="88"/>
      <c r="E444" s="89"/>
      <c r="F444" s="88"/>
      <c r="G444" s="88"/>
      <c r="H444" s="89"/>
    </row>
    <row r="445" ht="15.75" customHeight="1">
      <c r="A445" s="74"/>
      <c r="B445" s="88"/>
      <c r="C445" s="89"/>
      <c r="D445" s="88"/>
      <c r="E445" s="89"/>
      <c r="F445" s="88"/>
      <c r="G445" s="88"/>
      <c r="H445" s="89"/>
    </row>
    <row r="446" ht="15.75" customHeight="1">
      <c r="A446" s="74"/>
      <c r="B446" s="88"/>
      <c r="C446" s="89"/>
      <c r="D446" s="88"/>
      <c r="E446" s="89"/>
      <c r="F446" s="88"/>
      <c r="G446" s="88"/>
      <c r="H446" s="89"/>
    </row>
    <row r="447" ht="15.75" customHeight="1">
      <c r="A447" s="74"/>
      <c r="B447" s="88"/>
      <c r="C447" s="89"/>
      <c r="D447" s="88"/>
      <c r="E447" s="89"/>
      <c r="F447" s="88"/>
      <c r="G447" s="88"/>
      <c r="H447" s="89"/>
    </row>
    <row r="448" ht="15.75" customHeight="1">
      <c r="A448" s="74"/>
      <c r="B448" s="88"/>
      <c r="C448" s="89"/>
      <c r="D448" s="88"/>
      <c r="E448" s="89"/>
      <c r="F448" s="88"/>
      <c r="G448" s="88"/>
      <c r="H448" s="89"/>
    </row>
    <row r="449" ht="15.75" customHeight="1">
      <c r="A449" s="74"/>
      <c r="B449" s="88"/>
      <c r="C449" s="89"/>
      <c r="D449" s="88"/>
      <c r="E449" s="89"/>
      <c r="F449" s="88"/>
      <c r="G449" s="88"/>
      <c r="H449" s="89"/>
    </row>
    <row r="450" ht="15.75" customHeight="1">
      <c r="A450" s="74"/>
      <c r="B450" s="88"/>
      <c r="C450" s="89"/>
      <c r="D450" s="88"/>
      <c r="E450" s="89"/>
      <c r="F450" s="88"/>
      <c r="G450" s="88"/>
      <c r="H450" s="89"/>
    </row>
    <row r="451" ht="15.75" customHeight="1">
      <c r="A451" s="74"/>
      <c r="B451" s="88"/>
      <c r="C451" s="89"/>
      <c r="D451" s="88"/>
      <c r="E451" s="89"/>
      <c r="F451" s="88"/>
      <c r="G451" s="88"/>
      <c r="H451" s="89"/>
    </row>
    <row r="452" ht="15.75" customHeight="1">
      <c r="A452" s="74"/>
      <c r="B452" s="88"/>
      <c r="C452" s="89"/>
      <c r="D452" s="88"/>
      <c r="E452" s="89"/>
      <c r="F452" s="88"/>
      <c r="G452" s="88"/>
      <c r="H452" s="89"/>
    </row>
    <row r="453" ht="15.75" customHeight="1">
      <c r="A453" s="74"/>
      <c r="B453" s="88"/>
      <c r="C453" s="89"/>
      <c r="D453" s="88"/>
      <c r="E453" s="89"/>
      <c r="F453" s="88"/>
      <c r="G453" s="88"/>
      <c r="H453" s="89"/>
    </row>
    <row r="454" ht="15.75" customHeight="1">
      <c r="A454" s="74"/>
      <c r="B454" s="88"/>
      <c r="C454" s="89"/>
      <c r="D454" s="88"/>
      <c r="E454" s="89"/>
      <c r="F454" s="88"/>
      <c r="G454" s="88"/>
      <c r="H454" s="89"/>
    </row>
    <row r="455" ht="15.75" customHeight="1">
      <c r="A455" s="74"/>
      <c r="B455" s="88"/>
      <c r="C455" s="89"/>
      <c r="D455" s="88"/>
      <c r="E455" s="89"/>
      <c r="F455" s="88"/>
      <c r="G455" s="88"/>
      <c r="H455" s="89"/>
    </row>
    <row r="456" ht="15.75" customHeight="1">
      <c r="A456" s="74"/>
      <c r="B456" s="88"/>
      <c r="C456" s="89"/>
      <c r="D456" s="88"/>
      <c r="E456" s="89"/>
      <c r="F456" s="88"/>
      <c r="G456" s="88"/>
      <c r="H456" s="89"/>
    </row>
    <row r="457" ht="15.75" customHeight="1">
      <c r="A457" s="74"/>
      <c r="B457" s="88"/>
      <c r="C457" s="89"/>
      <c r="D457" s="88"/>
      <c r="E457" s="89"/>
      <c r="F457" s="88"/>
      <c r="G457" s="88"/>
      <c r="H457" s="89"/>
    </row>
    <row r="458" ht="15.75" customHeight="1">
      <c r="A458" s="74"/>
      <c r="B458" s="88"/>
      <c r="C458" s="89"/>
      <c r="D458" s="88"/>
      <c r="E458" s="89"/>
      <c r="F458" s="88"/>
      <c r="G458" s="88"/>
      <c r="H458" s="89"/>
    </row>
    <row r="459" ht="15.75" customHeight="1">
      <c r="A459" s="74"/>
      <c r="B459" s="88"/>
      <c r="C459" s="89"/>
      <c r="D459" s="88"/>
      <c r="E459" s="89"/>
      <c r="F459" s="88"/>
      <c r="G459" s="88"/>
      <c r="H459" s="89"/>
    </row>
    <row r="460" ht="15.75" customHeight="1">
      <c r="A460" s="74"/>
      <c r="B460" s="88"/>
      <c r="C460" s="89"/>
      <c r="D460" s="88"/>
      <c r="E460" s="89"/>
      <c r="F460" s="88"/>
      <c r="G460" s="88"/>
      <c r="H460" s="89"/>
    </row>
    <row r="461" ht="15.75" customHeight="1">
      <c r="A461" s="74"/>
      <c r="B461" s="88"/>
      <c r="C461" s="89"/>
      <c r="D461" s="88"/>
      <c r="E461" s="89"/>
      <c r="F461" s="88"/>
      <c r="G461" s="88"/>
      <c r="H461" s="89"/>
    </row>
    <row r="462" ht="15.75" customHeight="1">
      <c r="A462" s="74"/>
      <c r="B462" s="88"/>
      <c r="C462" s="89"/>
      <c r="D462" s="88"/>
      <c r="E462" s="89"/>
      <c r="F462" s="88"/>
      <c r="G462" s="88"/>
      <c r="H462" s="89"/>
    </row>
    <row r="463" ht="15.75" customHeight="1">
      <c r="A463" s="74"/>
      <c r="B463" s="88"/>
      <c r="C463" s="89"/>
      <c r="D463" s="88"/>
      <c r="E463" s="89"/>
      <c r="F463" s="88"/>
      <c r="G463" s="88"/>
      <c r="H463" s="89"/>
    </row>
    <row r="464" ht="15.75" customHeight="1">
      <c r="A464" s="74"/>
      <c r="B464" s="88"/>
      <c r="C464" s="89"/>
      <c r="D464" s="88"/>
      <c r="E464" s="89"/>
      <c r="F464" s="88"/>
      <c r="G464" s="88"/>
      <c r="H464" s="89"/>
    </row>
    <row r="465" ht="15.75" customHeight="1">
      <c r="A465" s="74"/>
      <c r="B465" s="88"/>
      <c r="C465" s="89"/>
      <c r="D465" s="88"/>
      <c r="E465" s="89"/>
      <c r="F465" s="88"/>
      <c r="G465" s="88"/>
      <c r="H465" s="89"/>
    </row>
    <row r="466" ht="15.75" customHeight="1">
      <c r="A466" s="74"/>
      <c r="B466" s="88"/>
      <c r="C466" s="89"/>
      <c r="D466" s="88"/>
      <c r="E466" s="89"/>
      <c r="F466" s="88"/>
      <c r="G466" s="88"/>
      <c r="H466" s="89"/>
    </row>
    <row r="467" ht="15.75" customHeight="1">
      <c r="A467" s="74"/>
      <c r="B467" s="88"/>
      <c r="C467" s="89"/>
      <c r="D467" s="88"/>
      <c r="E467" s="89"/>
      <c r="F467" s="88"/>
      <c r="G467" s="88"/>
      <c r="H467" s="89"/>
    </row>
    <row r="468" ht="15.75" customHeight="1">
      <c r="A468" s="74"/>
      <c r="B468" s="88"/>
      <c r="C468" s="89"/>
      <c r="D468" s="88"/>
      <c r="E468" s="89"/>
      <c r="F468" s="88"/>
      <c r="G468" s="88"/>
      <c r="H468" s="89"/>
    </row>
    <row r="469" ht="15.75" customHeight="1">
      <c r="A469" s="74"/>
      <c r="B469" s="88"/>
      <c r="C469" s="89"/>
      <c r="D469" s="88"/>
      <c r="E469" s="89"/>
      <c r="F469" s="88"/>
      <c r="G469" s="88"/>
      <c r="H469" s="89"/>
    </row>
    <row r="470" ht="15.75" customHeight="1">
      <c r="A470" s="74"/>
      <c r="B470" s="88"/>
      <c r="C470" s="89"/>
      <c r="D470" s="88"/>
      <c r="E470" s="89"/>
      <c r="F470" s="88"/>
      <c r="G470" s="88"/>
      <c r="H470" s="89"/>
    </row>
    <row r="471" ht="15.75" customHeight="1">
      <c r="A471" s="74"/>
      <c r="B471" s="88"/>
      <c r="C471" s="89"/>
      <c r="D471" s="88"/>
      <c r="E471" s="89"/>
      <c r="F471" s="88"/>
      <c r="G471" s="88"/>
      <c r="H471" s="89"/>
    </row>
    <row r="472" ht="15.75" customHeight="1">
      <c r="A472" s="74"/>
      <c r="B472" s="88"/>
      <c r="C472" s="89"/>
      <c r="D472" s="88"/>
      <c r="E472" s="89"/>
      <c r="F472" s="88"/>
      <c r="G472" s="88"/>
      <c r="H472" s="89"/>
    </row>
    <row r="473" ht="15.75" customHeight="1">
      <c r="A473" s="74"/>
      <c r="B473" s="88"/>
      <c r="C473" s="89"/>
      <c r="D473" s="88"/>
      <c r="E473" s="89"/>
      <c r="F473" s="88"/>
      <c r="G473" s="88"/>
      <c r="H473" s="89"/>
    </row>
    <row r="474" ht="15.75" customHeight="1">
      <c r="A474" s="74"/>
      <c r="B474" s="88"/>
      <c r="C474" s="89"/>
      <c r="D474" s="88"/>
      <c r="E474" s="89"/>
      <c r="F474" s="88"/>
      <c r="G474" s="88"/>
      <c r="H474" s="89"/>
    </row>
    <row r="475" ht="15.75" customHeight="1">
      <c r="A475" s="74"/>
      <c r="B475" s="88"/>
      <c r="C475" s="89"/>
      <c r="D475" s="88"/>
      <c r="E475" s="89"/>
      <c r="F475" s="88"/>
      <c r="G475" s="88"/>
      <c r="H475" s="89"/>
    </row>
    <row r="476" ht="15.75" customHeight="1">
      <c r="A476" s="74"/>
      <c r="B476" s="88"/>
      <c r="C476" s="89"/>
      <c r="D476" s="88"/>
      <c r="E476" s="89"/>
      <c r="F476" s="88"/>
      <c r="G476" s="88"/>
      <c r="H476" s="89"/>
    </row>
    <row r="477" ht="15.75" customHeight="1">
      <c r="A477" s="74"/>
      <c r="B477" s="88"/>
      <c r="C477" s="89"/>
      <c r="D477" s="88"/>
      <c r="E477" s="89"/>
      <c r="F477" s="88"/>
      <c r="G477" s="88"/>
      <c r="H477" s="89"/>
    </row>
    <row r="478" ht="15.75" customHeight="1">
      <c r="A478" s="74"/>
      <c r="B478" s="88"/>
      <c r="C478" s="89"/>
      <c r="D478" s="88"/>
      <c r="E478" s="89"/>
      <c r="F478" s="88"/>
      <c r="G478" s="88"/>
      <c r="H478" s="89"/>
    </row>
    <row r="479" ht="15.75" customHeight="1">
      <c r="A479" s="74"/>
      <c r="B479" s="88"/>
      <c r="C479" s="89"/>
      <c r="D479" s="88"/>
      <c r="E479" s="89"/>
      <c r="F479" s="88"/>
      <c r="G479" s="88"/>
      <c r="H479" s="89"/>
    </row>
    <row r="480" ht="15.75" customHeight="1">
      <c r="A480" s="74"/>
      <c r="B480" s="88"/>
      <c r="C480" s="89"/>
      <c r="D480" s="88"/>
      <c r="E480" s="89"/>
      <c r="F480" s="88"/>
      <c r="G480" s="88"/>
      <c r="H480" s="89"/>
    </row>
    <row r="481" ht="15.75" customHeight="1">
      <c r="A481" s="74"/>
      <c r="B481" s="88"/>
      <c r="C481" s="89"/>
      <c r="D481" s="88"/>
      <c r="E481" s="89"/>
      <c r="F481" s="88"/>
      <c r="G481" s="88"/>
      <c r="H481" s="89"/>
    </row>
    <row r="482" ht="15.75" customHeight="1">
      <c r="A482" s="74"/>
      <c r="B482" s="88"/>
      <c r="C482" s="89"/>
      <c r="D482" s="88"/>
      <c r="E482" s="89"/>
      <c r="F482" s="88"/>
      <c r="G482" s="88"/>
      <c r="H482" s="89"/>
    </row>
    <row r="483" ht="15.75" customHeight="1">
      <c r="A483" s="74"/>
      <c r="B483" s="88"/>
      <c r="C483" s="89"/>
      <c r="D483" s="88"/>
      <c r="E483" s="89"/>
      <c r="F483" s="88"/>
      <c r="G483" s="88"/>
      <c r="H483" s="89"/>
    </row>
    <row r="484" ht="15.75" customHeight="1">
      <c r="A484" s="74"/>
      <c r="B484" s="88"/>
      <c r="C484" s="89"/>
      <c r="D484" s="88"/>
      <c r="E484" s="89"/>
      <c r="F484" s="88"/>
      <c r="G484" s="88"/>
      <c r="H484" s="89"/>
    </row>
    <row r="485" ht="15.75" customHeight="1">
      <c r="A485" s="74"/>
      <c r="B485" s="88"/>
      <c r="C485" s="89"/>
      <c r="D485" s="88"/>
      <c r="E485" s="89"/>
      <c r="F485" s="88"/>
      <c r="G485" s="88"/>
      <c r="H485" s="89"/>
    </row>
    <row r="486" ht="15.75" customHeight="1">
      <c r="A486" s="74"/>
      <c r="B486" s="88"/>
      <c r="C486" s="89"/>
      <c r="D486" s="88"/>
      <c r="E486" s="89"/>
      <c r="F486" s="88"/>
      <c r="G486" s="88"/>
      <c r="H486" s="89"/>
    </row>
    <row r="487" ht="15.75" customHeight="1">
      <c r="A487" s="74"/>
      <c r="B487" s="88"/>
      <c r="C487" s="89"/>
      <c r="D487" s="88"/>
      <c r="E487" s="89"/>
      <c r="F487" s="88"/>
      <c r="G487" s="88"/>
      <c r="H487" s="89"/>
    </row>
    <row r="488" ht="15.75" customHeight="1">
      <c r="A488" s="74"/>
      <c r="B488" s="88"/>
      <c r="C488" s="89"/>
      <c r="D488" s="88"/>
      <c r="E488" s="89"/>
      <c r="F488" s="88"/>
      <c r="G488" s="88"/>
      <c r="H488" s="89"/>
    </row>
    <row r="489" ht="15.75" customHeight="1">
      <c r="A489" s="74"/>
      <c r="B489" s="88"/>
      <c r="C489" s="89"/>
      <c r="D489" s="88"/>
      <c r="E489" s="89"/>
      <c r="F489" s="88"/>
      <c r="G489" s="88"/>
      <c r="H489" s="89"/>
    </row>
    <row r="490" ht="15.75" customHeight="1">
      <c r="A490" s="74"/>
      <c r="B490" s="88"/>
      <c r="C490" s="89"/>
      <c r="D490" s="88"/>
      <c r="E490" s="89"/>
      <c r="F490" s="88"/>
      <c r="G490" s="88"/>
      <c r="H490" s="89"/>
    </row>
    <row r="491" ht="15.75" customHeight="1">
      <c r="A491" s="74"/>
      <c r="B491" s="88"/>
      <c r="C491" s="89"/>
      <c r="D491" s="88"/>
      <c r="E491" s="89"/>
      <c r="F491" s="88"/>
      <c r="G491" s="88"/>
      <c r="H491" s="89"/>
    </row>
    <row r="492" ht="15.75" customHeight="1">
      <c r="A492" s="74"/>
      <c r="B492" s="88"/>
      <c r="C492" s="89"/>
      <c r="D492" s="88"/>
      <c r="E492" s="89"/>
      <c r="F492" s="88"/>
      <c r="G492" s="88"/>
      <c r="H492" s="89"/>
    </row>
    <row r="493" ht="15.75" customHeight="1">
      <c r="A493" s="74"/>
      <c r="B493" s="88"/>
      <c r="C493" s="89"/>
      <c r="D493" s="88"/>
      <c r="E493" s="89"/>
      <c r="F493" s="88"/>
      <c r="G493" s="88"/>
      <c r="H493" s="89"/>
    </row>
    <row r="494" ht="15.75" customHeight="1">
      <c r="A494" s="74"/>
      <c r="B494" s="88"/>
      <c r="C494" s="89"/>
      <c r="D494" s="88"/>
      <c r="E494" s="89"/>
      <c r="F494" s="88"/>
      <c r="G494" s="88"/>
      <c r="H494" s="89"/>
    </row>
    <row r="495" ht="15.75" customHeight="1">
      <c r="A495" s="74"/>
      <c r="B495" s="88"/>
      <c r="C495" s="89"/>
      <c r="D495" s="88"/>
      <c r="E495" s="89"/>
      <c r="F495" s="88"/>
      <c r="G495" s="88"/>
      <c r="H495" s="89"/>
    </row>
    <row r="496" ht="15.75" customHeight="1">
      <c r="A496" s="74"/>
      <c r="B496" s="88"/>
      <c r="C496" s="89"/>
      <c r="D496" s="88"/>
      <c r="E496" s="89"/>
      <c r="F496" s="88"/>
      <c r="G496" s="88"/>
      <c r="H496" s="89"/>
    </row>
    <row r="497" ht="15.75" customHeight="1">
      <c r="A497" s="74"/>
      <c r="B497" s="88"/>
      <c r="C497" s="89"/>
      <c r="D497" s="88"/>
      <c r="E497" s="89"/>
      <c r="F497" s="88"/>
      <c r="G497" s="88"/>
      <c r="H497" s="89"/>
    </row>
    <row r="498" ht="15.75" customHeight="1">
      <c r="A498" s="74"/>
      <c r="B498" s="88"/>
      <c r="C498" s="89"/>
      <c r="D498" s="88"/>
      <c r="E498" s="89"/>
      <c r="F498" s="88"/>
      <c r="G498" s="88"/>
      <c r="H498" s="89"/>
    </row>
    <row r="499" ht="15.75" customHeight="1">
      <c r="A499" s="74"/>
      <c r="B499" s="88"/>
      <c r="C499" s="89"/>
      <c r="D499" s="88"/>
      <c r="E499" s="89"/>
      <c r="F499" s="88"/>
      <c r="G499" s="88"/>
      <c r="H499" s="89"/>
    </row>
    <row r="500" ht="15.75" customHeight="1">
      <c r="A500" s="74"/>
      <c r="B500" s="88"/>
      <c r="C500" s="89"/>
      <c r="D500" s="88"/>
      <c r="E500" s="89"/>
      <c r="F500" s="88"/>
      <c r="G500" s="88"/>
      <c r="H500" s="89"/>
    </row>
    <row r="501" ht="15.75" customHeight="1">
      <c r="A501" s="74"/>
      <c r="B501" s="88"/>
      <c r="C501" s="89"/>
      <c r="D501" s="88"/>
      <c r="E501" s="89"/>
      <c r="F501" s="88"/>
      <c r="G501" s="88"/>
      <c r="H501" s="89"/>
    </row>
    <row r="502" ht="15.75" customHeight="1">
      <c r="A502" s="74"/>
      <c r="B502" s="88"/>
      <c r="C502" s="89"/>
      <c r="D502" s="88"/>
      <c r="E502" s="89"/>
      <c r="F502" s="88"/>
      <c r="G502" s="88"/>
      <c r="H502" s="89"/>
    </row>
    <row r="503" ht="15.75" customHeight="1">
      <c r="A503" s="74"/>
      <c r="B503" s="88"/>
      <c r="C503" s="89"/>
      <c r="D503" s="88"/>
      <c r="E503" s="89"/>
      <c r="F503" s="88"/>
      <c r="G503" s="88"/>
      <c r="H503" s="89"/>
    </row>
    <row r="504" ht="15.75" customHeight="1">
      <c r="A504" s="74"/>
      <c r="B504" s="88"/>
      <c r="C504" s="89"/>
      <c r="D504" s="88"/>
      <c r="E504" s="89"/>
      <c r="F504" s="88"/>
      <c r="G504" s="88"/>
      <c r="H504" s="89"/>
    </row>
    <row r="505" ht="15.75" customHeight="1">
      <c r="A505" s="74"/>
      <c r="B505" s="88"/>
      <c r="C505" s="89"/>
      <c r="D505" s="88"/>
      <c r="E505" s="89"/>
      <c r="F505" s="88"/>
      <c r="G505" s="88"/>
      <c r="H505" s="89"/>
    </row>
    <row r="506" ht="15.75" customHeight="1">
      <c r="A506" s="74"/>
      <c r="B506" s="88"/>
      <c r="C506" s="89"/>
      <c r="D506" s="88"/>
      <c r="E506" s="89"/>
      <c r="F506" s="88"/>
      <c r="G506" s="88"/>
      <c r="H506" s="89"/>
    </row>
    <row r="507" ht="15.75" customHeight="1">
      <c r="A507" s="74"/>
      <c r="B507" s="88"/>
      <c r="C507" s="89"/>
      <c r="D507" s="88"/>
      <c r="E507" s="89"/>
      <c r="F507" s="88"/>
      <c r="G507" s="88"/>
      <c r="H507" s="89"/>
    </row>
    <row r="508" ht="15.75" customHeight="1">
      <c r="A508" s="74"/>
      <c r="B508" s="88"/>
      <c r="C508" s="89"/>
      <c r="D508" s="88"/>
      <c r="E508" s="89"/>
      <c r="F508" s="88"/>
      <c r="G508" s="88"/>
      <c r="H508" s="89"/>
    </row>
    <row r="509" ht="15.75" customHeight="1">
      <c r="A509" s="74"/>
      <c r="B509" s="88"/>
      <c r="C509" s="89"/>
      <c r="D509" s="88"/>
      <c r="E509" s="89"/>
      <c r="F509" s="88"/>
      <c r="G509" s="88"/>
      <c r="H509" s="89"/>
    </row>
    <row r="510" ht="15.75" customHeight="1">
      <c r="A510" s="74"/>
      <c r="B510" s="88"/>
      <c r="C510" s="89"/>
      <c r="D510" s="88"/>
      <c r="E510" s="89"/>
      <c r="F510" s="88"/>
      <c r="G510" s="88"/>
      <c r="H510" s="89"/>
    </row>
    <row r="511" ht="15.75" customHeight="1">
      <c r="A511" s="74"/>
      <c r="B511" s="88"/>
      <c r="C511" s="89"/>
      <c r="D511" s="88"/>
      <c r="E511" s="89"/>
      <c r="F511" s="88"/>
      <c r="G511" s="88"/>
      <c r="H511" s="89"/>
    </row>
    <row r="512" ht="15.75" customHeight="1">
      <c r="A512" s="74"/>
      <c r="B512" s="88"/>
      <c r="C512" s="89"/>
      <c r="D512" s="88"/>
      <c r="E512" s="89"/>
      <c r="F512" s="88"/>
      <c r="G512" s="88"/>
      <c r="H512" s="89"/>
    </row>
    <row r="513" ht="15.75" customHeight="1">
      <c r="A513" s="74"/>
      <c r="B513" s="88"/>
      <c r="C513" s="89"/>
      <c r="D513" s="88"/>
      <c r="E513" s="89"/>
      <c r="F513" s="88"/>
      <c r="G513" s="88"/>
      <c r="H513" s="89"/>
    </row>
    <row r="514" ht="15.75" customHeight="1">
      <c r="A514" s="74"/>
      <c r="B514" s="88"/>
      <c r="C514" s="89"/>
      <c r="D514" s="88"/>
      <c r="E514" s="89"/>
      <c r="F514" s="88"/>
      <c r="G514" s="88"/>
      <c r="H514" s="89"/>
    </row>
    <row r="515" ht="15.75" customHeight="1">
      <c r="A515" s="74"/>
      <c r="B515" s="88"/>
      <c r="C515" s="89"/>
      <c r="D515" s="88"/>
      <c r="E515" s="89"/>
      <c r="F515" s="88"/>
      <c r="G515" s="88"/>
      <c r="H515" s="89"/>
    </row>
    <row r="516" ht="15.75" customHeight="1">
      <c r="A516" s="74"/>
      <c r="B516" s="88"/>
      <c r="C516" s="89"/>
      <c r="D516" s="88"/>
      <c r="E516" s="89"/>
      <c r="F516" s="88"/>
      <c r="G516" s="88"/>
      <c r="H516" s="89"/>
    </row>
    <row r="517" ht="15.75" customHeight="1">
      <c r="A517" s="74"/>
      <c r="B517" s="88"/>
      <c r="C517" s="89"/>
      <c r="D517" s="88"/>
      <c r="E517" s="89"/>
      <c r="F517" s="88"/>
      <c r="G517" s="88"/>
      <c r="H517" s="89"/>
    </row>
    <row r="518" ht="15.75" customHeight="1">
      <c r="A518" s="74"/>
      <c r="B518" s="88"/>
      <c r="C518" s="89"/>
      <c r="D518" s="88"/>
      <c r="E518" s="89"/>
      <c r="F518" s="88"/>
      <c r="G518" s="88"/>
      <c r="H518" s="89"/>
    </row>
    <row r="519" ht="15.75" customHeight="1">
      <c r="A519" s="74"/>
      <c r="B519" s="88"/>
      <c r="C519" s="89"/>
      <c r="D519" s="88"/>
      <c r="E519" s="89"/>
      <c r="F519" s="88"/>
      <c r="G519" s="88"/>
      <c r="H519" s="89"/>
    </row>
    <row r="520" ht="15.75" customHeight="1">
      <c r="A520" s="74"/>
      <c r="B520" s="88"/>
      <c r="C520" s="89"/>
      <c r="D520" s="88"/>
      <c r="E520" s="89"/>
      <c r="F520" s="88"/>
      <c r="G520" s="88"/>
      <c r="H520" s="89"/>
    </row>
    <row r="521" ht="15.75" customHeight="1">
      <c r="A521" s="74"/>
      <c r="B521" s="88"/>
      <c r="C521" s="89"/>
      <c r="D521" s="88"/>
      <c r="E521" s="89"/>
      <c r="F521" s="88"/>
      <c r="G521" s="88"/>
      <c r="H521" s="89"/>
    </row>
    <row r="522" ht="15.75" customHeight="1">
      <c r="A522" s="74"/>
      <c r="B522" s="88"/>
      <c r="C522" s="89"/>
      <c r="D522" s="88"/>
      <c r="E522" s="89"/>
      <c r="F522" s="88"/>
      <c r="G522" s="88"/>
      <c r="H522" s="89"/>
    </row>
    <row r="523" ht="15.75" customHeight="1">
      <c r="A523" s="74"/>
      <c r="B523" s="88"/>
      <c r="C523" s="89"/>
      <c r="D523" s="88"/>
      <c r="E523" s="89"/>
      <c r="F523" s="88"/>
      <c r="G523" s="88"/>
      <c r="H523" s="89"/>
    </row>
    <row r="524" ht="15.75" customHeight="1">
      <c r="A524" s="74"/>
      <c r="B524" s="88"/>
      <c r="C524" s="89"/>
      <c r="D524" s="88"/>
      <c r="E524" s="89"/>
      <c r="F524" s="88"/>
      <c r="G524" s="88"/>
      <c r="H524" s="89"/>
    </row>
    <row r="525" ht="15.75" customHeight="1">
      <c r="A525" s="74"/>
      <c r="B525" s="88"/>
      <c r="C525" s="89"/>
      <c r="D525" s="88"/>
      <c r="E525" s="89"/>
      <c r="F525" s="88"/>
      <c r="G525" s="88"/>
      <c r="H525" s="89"/>
    </row>
    <row r="526" ht="15.75" customHeight="1">
      <c r="A526" s="74"/>
      <c r="B526" s="88"/>
      <c r="C526" s="89"/>
      <c r="D526" s="88"/>
      <c r="E526" s="89"/>
      <c r="F526" s="88"/>
      <c r="G526" s="88"/>
      <c r="H526" s="89"/>
    </row>
    <row r="527" ht="15.75" customHeight="1">
      <c r="A527" s="74"/>
      <c r="B527" s="88"/>
      <c r="C527" s="89"/>
      <c r="D527" s="88"/>
      <c r="E527" s="89"/>
      <c r="F527" s="88"/>
      <c r="G527" s="88"/>
      <c r="H527" s="89"/>
    </row>
    <row r="528" ht="15.75" customHeight="1">
      <c r="A528" s="74"/>
      <c r="B528" s="88"/>
      <c r="C528" s="89"/>
      <c r="D528" s="88"/>
      <c r="E528" s="89"/>
      <c r="F528" s="88"/>
      <c r="G528" s="88"/>
      <c r="H528" s="89"/>
    </row>
    <row r="529" ht="15.75" customHeight="1">
      <c r="A529" s="74"/>
      <c r="B529" s="88"/>
      <c r="C529" s="89"/>
      <c r="D529" s="88"/>
      <c r="E529" s="89"/>
      <c r="F529" s="88"/>
      <c r="G529" s="88"/>
      <c r="H529" s="89"/>
    </row>
    <row r="530" ht="15.75" customHeight="1">
      <c r="A530" s="74"/>
      <c r="B530" s="88"/>
      <c r="C530" s="89"/>
      <c r="D530" s="88"/>
      <c r="E530" s="89"/>
      <c r="F530" s="88"/>
      <c r="G530" s="88"/>
      <c r="H530" s="89"/>
    </row>
    <row r="531" ht="15.75" customHeight="1">
      <c r="A531" s="74"/>
      <c r="B531" s="88"/>
      <c r="C531" s="89"/>
      <c r="D531" s="88"/>
      <c r="E531" s="89"/>
      <c r="F531" s="88"/>
      <c r="G531" s="88"/>
      <c r="H531" s="89"/>
    </row>
    <row r="532" ht="15.75" customHeight="1">
      <c r="A532" s="74"/>
      <c r="B532" s="88"/>
      <c r="C532" s="89"/>
      <c r="D532" s="88"/>
      <c r="E532" s="89"/>
      <c r="F532" s="88"/>
      <c r="G532" s="88"/>
      <c r="H532" s="89"/>
    </row>
    <row r="533" ht="15.75" customHeight="1">
      <c r="A533" s="74"/>
      <c r="B533" s="88"/>
      <c r="C533" s="89"/>
      <c r="D533" s="88"/>
      <c r="E533" s="89"/>
      <c r="F533" s="88"/>
      <c r="G533" s="88"/>
      <c r="H533" s="89"/>
    </row>
    <row r="534" ht="15.75" customHeight="1">
      <c r="A534" s="74"/>
      <c r="B534" s="88"/>
      <c r="C534" s="89"/>
      <c r="D534" s="88"/>
      <c r="E534" s="89"/>
      <c r="F534" s="88"/>
      <c r="G534" s="88"/>
      <c r="H534" s="89"/>
    </row>
    <row r="535" ht="15.75" customHeight="1">
      <c r="A535" s="74"/>
      <c r="B535" s="88"/>
      <c r="C535" s="89"/>
      <c r="D535" s="88"/>
      <c r="E535" s="89"/>
      <c r="F535" s="88"/>
      <c r="G535" s="88"/>
      <c r="H535" s="89"/>
    </row>
    <row r="536" ht="15.75" customHeight="1">
      <c r="A536" s="74"/>
      <c r="B536" s="88"/>
      <c r="C536" s="89"/>
      <c r="D536" s="88"/>
      <c r="E536" s="89"/>
      <c r="F536" s="88"/>
      <c r="G536" s="88"/>
      <c r="H536" s="89"/>
    </row>
    <row r="537" ht="15.75" customHeight="1">
      <c r="A537" s="74"/>
      <c r="B537" s="88"/>
      <c r="C537" s="89"/>
      <c r="D537" s="88"/>
      <c r="E537" s="89"/>
      <c r="F537" s="88"/>
      <c r="G537" s="88"/>
      <c r="H537" s="89"/>
    </row>
    <row r="538" ht="15.75" customHeight="1">
      <c r="A538" s="74"/>
      <c r="B538" s="88"/>
      <c r="C538" s="89"/>
      <c r="D538" s="88"/>
      <c r="E538" s="89"/>
      <c r="F538" s="88"/>
      <c r="G538" s="88"/>
      <c r="H538" s="89"/>
    </row>
    <row r="539" ht="15.75" customHeight="1">
      <c r="A539" s="74"/>
      <c r="B539" s="88"/>
      <c r="C539" s="89"/>
      <c r="D539" s="88"/>
      <c r="E539" s="89"/>
      <c r="F539" s="88"/>
      <c r="G539" s="88"/>
      <c r="H539" s="89"/>
    </row>
    <row r="540" ht="15.75" customHeight="1">
      <c r="A540" s="74"/>
      <c r="B540" s="88"/>
      <c r="C540" s="89"/>
      <c r="D540" s="88"/>
      <c r="E540" s="89"/>
      <c r="F540" s="88"/>
      <c r="G540" s="88"/>
      <c r="H540" s="89"/>
    </row>
    <row r="541" ht="15.75" customHeight="1">
      <c r="A541" s="74"/>
      <c r="B541" s="88"/>
      <c r="C541" s="89"/>
      <c r="D541" s="88"/>
      <c r="E541" s="89"/>
      <c r="F541" s="88"/>
      <c r="G541" s="88"/>
      <c r="H541" s="89"/>
    </row>
    <row r="542" ht="15.75" customHeight="1">
      <c r="A542" s="74"/>
      <c r="B542" s="88"/>
      <c r="C542" s="89"/>
      <c r="D542" s="88"/>
      <c r="E542" s="89"/>
      <c r="F542" s="88"/>
      <c r="G542" s="88"/>
      <c r="H542" s="89"/>
    </row>
    <row r="543" ht="15.75" customHeight="1">
      <c r="A543" s="74"/>
      <c r="B543" s="88"/>
      <c r="C543" s="89"/>
      <c r="D543" s="88"/>
      <c r="E543" s="89"/>
      <c r="F543" s="88"/>
      <c r="G543" s="88"/>
      <c r="H543" s="89"/>
    </row>
    <row r="544" ht="15.75" customHeight="1">
      <c r="A544" s="74"/>
      <c r="B544" s="88"/>
      <c r="C544" s="89"/>
      <c r="D544" s="88"/>
      <c r="E544" s="89"/>
      <c r="F544" s="88"/>
      <c r="G544" s="88"/>
      <c r="H544" s="89"/>
    </row>
    <row r="545" ht="15.75" customHeight="1">
      <c r="A545" s="74"/>
      <c r="B545" s="88"/>
      <c r="C545" s="89"/>
      <c r="D545" s="88"/>
      <c r="E545" s="89"/>
      <c r="F545" s="88"/>
      <c r="G545" s="88"/>
      <c r="H545" s="89"/>
    </row>
    <row r="546" ht="15.75" customHeight="1">
      <c r="A546" s="74"/>
      <c r="B546" s="88"/>
      <c r="C546" s="89"/>
      <c r="D546" s="88"/>
      <c r="E546" s="89"/>
      <c r="F546" s="88"/>
      <c r="G546" s="88"/>
      <c r="H546" s="89"/>
    </row>
    <row r="547" ht="15.75" customHeight="1">
      <c r="A547" s="74"/>
      <c r="B547" s="88"/>
      <c r="C547" s="89"/>
      <c r="D547" s="88"/>
      <c r="E547" s="89"/>
      <c r="F547" s="88"/>
      <c r="G547" s="88"/>
      <c r="H547" s="89"/>
    </row>
    <row r="548" ht="15.75" customHeight="1">
      <c r="A548" s="74"/>
      <c r="B548" s="88"/>
      <c r="C548" s="89"/>
      <c r="D548" s="88"/>
      <c r="E548" s="89"/>
      <c r="F548" s="88"/>
      <c r="G548" s="88"/>
      <c r="H548" s="89"/>
    </row>
    <row r="549" ht="15.75" customHeight="1">
      <c r="A549" s="74"/>
      <c r="B549" s="88"/>
      <c r="C549" s="89"/>
      <c r="D549" s="88"/>
      <c r="E549" s="89"/>
      <c r="F549" s="88"/>
      <c r="G549" s="88"/>
      <c r="H549" s="89"/>
    </row>
    <row r="550" ht="15.75" customHeight="1">
      <c r="A550" s="74"/>
      <c r="B550" s="88"/>
      <c r="C550" s="89"/>
      <c r="D550" s="88"/>
      <c r="E550" s="89"/>
      <c r="F550" s="88"/>
      <c r="G550" s="88"/>
      <c r="H550" s="89"/>
    </row>
    <row r="551" ht="15.75" customHeight="1">
      <c r="A551" s="74"/>
      <c r="B551" s="88"/>
      <c r="C551" s="89"/>
      <c r="D551" s="88"/>
      <c r="E551" s="89"/>
      <c r="F551" s="88"/>
      <c r="G551" s="88"/>
      <c r="H551" s="89"/>
    </row>
    <row r="552" ht="15.75" customHeight="1">
      <c r="A552" s="74"/>
      <c r="B552" s="88"/>
      <c r="C552" s="89"/>
      <c r="D552" s="88"/>
      <c r="E552" s="89"/>
      <c r="F552" s="88"/>
      <c r="G552" s="88"/>
      <c r="H552" s="89"/>
    </row>
    <row r="553" ht="15.75" customHeight="1">
      <c r="A553" s="74"/>
      <c r="B553" s="88"/>
      <c r="C553" s="89"/>
      <c r="D553" s="88"/>
      <c r="E553" s="89"/>
      <c r="F553" s="88"/>
      <c r="G553" s="88"/>
      <c r="H553" s="89"/>
    </row>
    <row r="554" ht="15.75" customHeight="1">
      <c r="A554" s="74"/>
      <c r="B554" s="88"/>
      <c r="C554" s="89"/>
      <c r="D554" s="88"/>
      <c r="E554" s="89"/>
      <c r="F554" s="88"/>
      <c r="G554" s="88"/>
      <c r="H554" s="89"/>
    </row>
    <row r="555" ht="15.75" customHeight="1">
      <c r="A555" s="74"/>
      <c r="B555" s="88"/>
      <c r="C555" s="89"/>
      <c r="D555" s="88"/>
      <c r="E555" s="89"/>
      <c r="F555" s="88"/>
      <c r="G555" s="88"/>
      <c r="H555" s="89"/>
    </row>
    <row r="556" ht="15.75" customHeight="1">
      <c r="A556" s="74"/>
      <c r="B556" s="88"/>
      <c r="C556" s="89"/>
      <c r="D556" s="88"/>
      <c r="E556" s="89"/>
      <c r="F556" s="88"/>
      <c r="G556" s="88"/>
      <c r="H556" s="89"/>
    </row>
    <row r="557" ht="15.75" customHeight="1">
      <c r="A557" s="74"/>
      <c r="B557" s="88"/>
      <c r="C557" s="89"/>
      <c r="D557" s="88"/>
      <c r="E557" s="89"/>
      <c r="F557" s="88"/>
      <c r="G557" s="88"/>
      <c r="H557" s="89"/>
    </row>
    <row r="558" ht="15.75" customHeight="1">
      <c r="A558" s="74"/>
      <c r="B558" s="88"/>
      <c r="C558" s="89"/>
      <c r="D558" s="88"/>
      <c r="E558" s="89"/>
      <c r="F558" s="88"/>
      <c r="G558" s="88"/>
      <c r="H558" s="89"/>
    </row>
    <row r="559" ht="15.75" customHeight="1">
      <c r="A559" s="74"/>
      <c r="B559" s="88"/>
      <c r="C559" s="89"/>
      <c r="D559" s="88"/>
      <c r="E559" s="89"/>
      <c r="F559" s="88"/>
      <c r="G559" s="88"/>
      <c r="H559" s="89"/>
    </row>
    <row r="560" ht="15.75" customHeight="1">
      <c r="A560" s="74"/>
      <c r="B560" s="88"/>
      <c r="C560" s="89"/>
      <c r="D560" s="88"/>
      <c r="E560" s="89"/>
      <c r="F560" s="88"/>
      <c r="G560" s="88"/>
      <c r="H560" s="89"/>
    </row>
    <row r="561" ht="15.75" customHeight="1">
      <c r="A561" s="74"/>
      <c r="B561" s="88"/>
      <c r="C561" s="89"/>
      <c r="D561" s="88"/>
      <c r="E561" s="89"/>
      <c r="F561" s="88"/>
      <c r="G561" s="88"/>
      <c r="H561" s="89"/>
    </row>
    <row r="562" ht="15.75" customHeight="1">
      <c r="A562" s="74"/>
      <c r="B562" s="88"/>
      <c r="C562" s="89"/>
      <c r="D562" s="88"/>
      <c r="E562" s="89"/>
      <c r="F562" s="88"/>
      <c r="G562" s="88"/>
      <c r="H562" s="89"/>
    </row>
    <row r="563" ht="15.75" customHeight="1">
      <c r="A563" s="74"/>
      <c r="B563" s="88"/>
      <c r="C563" s="89"/>
      <c r="D563" s="88"/>
      <c r="E563" s="89"/>
      <c r="F563" s="88"/>
      <c r="G563" s="88"/>
      <c r="H563" s="89"/>
    </row>
    <row r="564" ht="15.75" customHeight="1">
      <c r="A564" s="74"/>
      <c r="B564" s="88"/>
      <c r="C564" s="89"/>
      <c r="D564" s="88"/>
      <c r="E564" s="89"/>
      <c r="F564" s="88"/>
      <c r="G564" s="88"/>
      <c r="H564" s="89"/>
    </row>
    <row r="565" ht="15.75" customHeight="1">
      <c r="A565" s="74"/>
      <c r="B565" s="88"/>
      <c r="C565" s="89"/>
      <c r="D565" s="88"/>
      <c r="E565" s="89"/>
      <c r="F565" s="88"/>
      <c r="G565" s="88"/>
      <c r="H565" s="89"/>
    </row>
    <row r="566" ht="15.75" customHeight="1">
      <c r="A566" s="74"/>
      <c r="B566" s="88"/>
      <c r="C566" s="89"/>
      <c r="D566" s="88"/>
      <c r="E566" s="89"/>
      <c r="F566" s="88"/>
      <c r="G566" s="88"/>
      <c r="H566" s="89"/>
    </row>
    <row r="567" ht="15.75" customHeight="1">
      <c r="A567" s="74"/>
      <c r="B567" s="88"/>
      <c r="C567" s="89"/>
      <c r="D567" s="88"/>
      <c r="E567" s="89"/>
      <c r="F567" s="88"/>
      <c r="G567" s="88"/>
      <c r="H567" s="89"/>
    </row>
    <row r="568" ht="15.75" customHeight="1">
      <c r="A568" s="74"/>
      <c r="B568" s="88"/>
      <c r="C568" s="89"/>
      <c r="D568" s="88"/>
      <c r="E568" s="89"/>
      <c r="F568" s="88"/>
      <c r="G568" s="88"/>
      <c r="H568" s="89"/>
    </row>
    <row r="569" ht="15.75" customHeight="1">
      <c r="A569" s="74"/>
      <c r="B569" s="88"/>
      <c r="C569" s="89"/>
      <c r="D569" s="88"/>
      <c r="E569" s="89"/>
      <c r="F569" s="88"/>
      <c r="G569" s="88"/>
      <c r="H569" s="89"/>
    </row>
    <row r="570" ht="15.75" customHeight="1">
      <c r="A570" s="74"/>
      <c r="B570" s="88"/>
      <c r="C570" s="89"/>
      <c r="D570" s="88"/>
      <c r="E570" s="89"/>
      <c r="F570" s="88"/>
      <c r="G570" s="88"/>
      <c r="H570" s="89"/>
    </row>
    <row r="571" ht="15.75" customHeight="1">
      <c r="A571" s="74"/>
      <c r="B571" s="88"/>
      <c r="C571" s="89"/>
      <c r="D571" s="88"/>
      <c r="E571" s="89"/>
      <c r="F571" s="88"/>
      <c r="G571" s="88"/>
      <c r="H571" s="89"/>
    </row>
    <row r="572" ht="15.75" customHeight="1">
      <c r="A572" s="74"/>
      <c r="B572" s="88"/>
      <c r="C572" s="89"/>
      <c r="D572" s="88"/>
      <c r="E572" s="89"/>
      <c r="F572" s="88"/>
      <c r="G572" s="88"/>
      <c r="H572" s="89"/>
    </row>
    <row r="573" ht="15.75" customHeight="1">
      <c r="A573" s="74"/>
      <c r="B573" s="88"/>
      <c r="C573" s="89"/>
      <c r="D573" s="88"/>
      <c r="E573" s="89"/>
      <c r="F573" s="88"/>
      <c r="G573" s="88"/>
      <c r="H573" s="89"/>
    </row>
    <row r="574" ht="15.75" customHeight="1">
      <c r="A574" s="74"/>
      <c r="B574" s="88"/>
      <c r="C574" s="89"/>
      <c r="D574" s="88"/>
      <c r="E574" s="89"/>
      <c r="F574" s="88"/>
      <c r="G574" s="88"/>
      <c r="H574" s="89"/>
    </row>
    <row r="575" ht="15.75" customHeight="1">
      <c r="A575" s="74"/>
      <c r="B575" s="88"/>
      <c r="C575" s="89"/>
      <c r="D575" s="88"/>
      <c r="E575" s="89"/>
      <c r="F575" s="88"/>
      <c r="G575" s="88"/>
      <c r="H575" s="89"/>
    </row>
    <row r="576" ht="15.75" customHeight="1">
      <c r="A576" s="74"/>
      <c r="B576" s="88"/>
      <c r="C576" s="89"/>
      <c r="D576" s="88"/>
      <c r="E576" s="89"/>
      <c r="F576" s="88"/>
      <c r="G576" s="88"/>
      <c r="H576" s="89"/>
    </row>
    <row r="577" ht="15.75" customHeight="1">
      <c r="A577" s="74"/>
      <c r="B577" s="88"/>
      <c r="C577" s="89"/>
      <c r="D577" s="88"/>
      <c r="E577" s="89"/>
      <c r="F577" s="88"/>
      <c r="G577" s="88"/>
      <c r="H577" s="89"/>
    </row>
    <row r="578" ht="15.75" customHeight="1">
      <c r="A578" s="74"/>
      <c r="B578" s="88"/>
      <c r="C578" s="89"/>
      <c r="D578" s="88"/>
      <c r="E578" s="89"/>
      <c r="F578" s="88"/>
      <c r="G578" s="88"/>
      <c r="H578" s="89"/>
    </row>
    <row r="579" ht="15.75" customHeight="1">
      <c r="A579" s="74"/>
      <c r="B579" s="88"/>
      <c r="C579" s="89"/>
      <c r="D579" s="88"/>
      <c r="E579" s="89"/>
      <c r="F579" s="88"/>
      <c r="G579" s="88"/>
      <c r="H579" s="89"/>
    </row>
    <row r="580" ht="15.75" customHeight="1">
      <c r="A580" s="74"/>
      <c r="B580" s="88"/>
      <c r="C580" s="89"/>
      <c r="D580" s="88"/>
      <c r="E580" s="89"/>
      <c r="F580" s="88"/>
      <c r="G580" s="88"/>
      <c r="H580" s="89"/>
    </row>
    <row r="581" ht="15.75" customHeight="1">
      <c r="A581" s="74"/>
      <c r="B581" s="88"/>
      <c r="C581" s="89"/>
      <c r="D581" s="88"/>
      <c r="E581" s="89"/>
      <c r="F581" s="88"/>
      <c r="G581" s="88"/>
      <c r="H581" s="89"/>
    </row>
    <row r="582" ht="15.75" customHeight="1">
      <c r="A582" s="74"/>
      <c r="B582" s="88"/>
      <c r="C582" s="89"/>
      <c r="D582" s="88"/>
      <c r="E582" s="89"/>
      <c r="F582" s="88"/>
      <c r="G582" s="88"/>
      <c r="H582" s="89"/>
    </row>
    <row r="583" ht="15.75" customHeight="1">
      <c r="A583" s="74"/>
      <c r="B583" s="88"/>
      <c r="C583" s="89"/>
      <c r="D583" s="88"/>
      <c r="E583" s="89"/>
      <c r="F583" s="88"/>
      <c r="G583" s="88"/>
      <c r="H583" s="89"/>
    </row>
    <row r="584" ht="15.75" customHeight="1">
      <c r="A584" s="74"/>
      <c r="B584" s="88"/>
      <c r="C584" s="89"/>
      <c r="D584" s="88"/>
      <c r="E584" s="89"/>
      <c r="F584" s="88"/>
      <c r="G584" s="88"/>
      <c r="H584" s="89"/>
    </row>
    <row r="585" ht="15.75" customHeight="1">
      <c r="A585" s="74"/>
      <c r="B585" s="88"/>
      <c r="C585" s="89"/>
      <c r="D585" s="88"/>
      <c r="E585" s="89"/>
      <c r="F585" s="88"/>
      <c r="G585" s="88"/>
      <c r="H585" s="89"/>
    </row>
    <row r="586" ht="15.75" customHeight="1">
      <c r="A586" s="74"/>
      <c r="B586" s="88"/>
      <c r="C586" s="89"/>
      <c r="D586" s="88"/>
      <c r="E586" s="89"/>
      <c r="F586" s="88"/>
      <c r="G586" s="88"/>
      <c r="H586" s="89"/>
    </row>
    <row r="587" ht="15.75" customHeight="1">
      <c r="A587" s="74"/>
      <c r="B587" s="88"/>
      <c r="C587" s="89"/>
      <c r="D587" s="88"/>
      <c r="E587" s="89"/>
      <c r="F587" s="88"/>
      <c r="G587" s="88"/>
      <c r="H587" s="89"/>
    </row>
    <row r="588" ht="15.75" customHeight="1">
      <c r="A588" s="74"/>
      <c r="B588" s="88"/>
      <c r="C588" s="89"/>
      <c r="D588" s="88"/>
      <c r="E588" s="89"/>
      <c r="F588" s="88"/>
      <c r="G588" s="88"/>
      <c r="H588" s="89"/>
    </row>
    <row r="589" ht="15.75" customHeight="1">
      <c r="A589" s="74"/>
      <c r="B589" s="88"/>
      <c r="C589" s="89"/>
      <c r="D589" s="88"/>
      <c r="E589" s="89"/>
      <c r="F589" s="88"/>
      <c r="G589" s="88"/>
      <c r="H589" s="89"/>
    </row>
    <row r="590" ht="15.75" customHeight="1">
      <c r="A590" s="74"/>
      <c r="B590" s="88"/>
      <c r="C590" s="89"/>
      <c r="D590" s="88"/>
      <c r="E590" s="89"/>
      <c r="F590" s="88"/>
      <c r="G590" s="88"/>
      <c r="H590" s="89"/>
    </row>
    <row r="591" ht="15.75" customHeight="1">
      <c r="A591" s="74"/>
      <c r="B591" s="88"/>
      <c r="C591" s="89"/>
      <c r="D591" s="88"/>
      <c r="E591" s="89"/>
      <c r="F591" s="88"/>
      <c r="G591" s="88"/>
      <c r="H591" s="89"/>
    </row>
    <row r="592" ht="15.75" customHeight="1">
      <c r="A592" s="74"/>
      <c r="B592" s="88"/>
      <c r="C592" s="89"/>
      <c r="D592" s="88"/>
      <c r="E592" s="89"/>
      <c r="F592" s="88"/>
      <c r="G592" s="88"/>
      <c r="H592" s="89"/>
    </row>
    <row r="593" ht="15.75" customHeight="1">
      <c r="A593" s="74"/>
      <c r="B593" s="88"/>
      <c r="C593" s="89"/>
      <c r="D593" s="88"/>
      <c r="E593" s="89"/>
      <c r="F593" s="88"/>
      <c r="G593" s="88"/>
      <c r="H593" s="89"/>
    </row>
    <row r="594" ht="15.75" customHeight="1">
      <c r="A594" s="74"/>
      <c r="B594" s="88"/>
      <c r="C594" s="89"/>
      <c r="D594" s="88"/>
      <c r="E594" s="89"/>
      <c r="F594" s="88"/>
      <c r="G594" s="88"/>
      <c r="H594" s="89"/>
    </row>
    <row r="595" ht="15.75" customHeight="1">
      <c r="A595" s="74"/>
      <c r="B595" s="88"/>
      <c r="C595" s="89"/>
      <c r="D595" s="88"/>
      <c r="E595" s="89"/>
      <c r="F595" s="88"/>
      <c r="G595" s="88"/>
      <c r="H595" s="89"/>
    </row>
    <row r="596" ht="15.75" customHeight="1">
      <c r="A596" s="74"/>
      <c r="B596" s="88"/>
      <c r="C596" s="89"/>
      <c r="D596" s="88"/>
      <c r="E596" s="89"/>
      <c r="F596" s="88"/>
      <c r="G596" s="88"/>
      <c r="H596" s="89"/>
    </row>
    <row r="597" ht="15.75" customHeight="1">
      <c r="A597" s="74"/>
      <c r="B597" s="88"/>
      <c r="C597" s="89"/>
      <c r="D597" s="88"/>
      <c r="E597" s="89"/>
      <c r="F597" s="88"/>
      <c r="G597" s="88"/>
      <c r="H597" s="89"/>
    </row>
    <row r="598" ht="15.75" customHeight="1">
      <c r="A598" s="74"/>
      <c r="B598" s="88"/>
      <c r="C598" s="89"/>
      <c r="D598" s="88"/>
      <c r="E598" s="89"/>
      <c r="F598" s="88"/>
      <c r="G598" s="88"/>
      <c r="H598" s="89"/>
    </row>
    <row r="599" ht="15.75" customHeight="1">
      <c r="A599" s="74"/>
      <c r="B599" s="88"/>
      <c r="C599" s="89"/>
      <c r="D599" s="88"/>
      <c r="E599" s="89"/>
      <c r="F599" s="88"/>
      <c r="G599" s="88"/>
      <c r="H599" s="89"/>
    </row>
    <row r="600" ht="15.75" customHeight="1">
      <c r="A600" s="74"/>
      <c r="B600" s="88"/>
      <c r="C600" s="89"/>
      <c r="D600" s="88"/>
      <c r="E600" s="89"/>
      <c r="F600" s="88"/>
      <c r="G600" s="88"/>
      <c r="H600" s="89"/>
    </row>
    <row r="601" ht="15.75" customHeight="1">
      <c r="A601" s="74"/>
      <c r="B601" s="88"/>
      <c r="C601" s="89"/>
      <c r="D601" s="88"/>
      <c r="E601" s="89"/>
      <c r="F601" s="88"/>
      <c r="G601" s="88"/>
      <c r="H601" s="89"/>
    </row>
    <row r="602" ht="15.75" customHeight="1">
      <c r="A602" s="74"/>
      <c r="B602" s="88"/>
      <c r="C602" s="89"/>
      <c r="D602" s="88"/>
      <c r="E602" s="89"/>
      <c r="F602" s="88"/>
      <c r="G602" s="88"/>
      <c r="H602" s="89"/>
    </row>
    <row r="603" ht="15.75" customHeight="1">
      <c r="A603" s="74"/>
      <c r="B603" s="88"/>
      <c r="C603" s="89"/>
      <c r="D603" s="88"/>
      <c r="E603" s="89"/>
      <c r="F603" s="88"/>
      <c r="G603" s="88"/>
      <c r="H603" s="89"/>
    </row>
    <row r="604" ht="15.75" customHeight="1">
      <c r="A604" s="74"/>
      <c r="B604" s="88"/>
      <c r="C604" s="89"/>
      <c r="D604" s="88"/>
      <c r="E604" s="89"/>
      <c r="F604" s="88"/>
      <c r="G604" s="88"/>
      <c r="H604" s="89"/>
    </row>
    <row r="605" ht="15.75" customHeight="1">
      <c r="A605" s="74"/>
      <c r="B605" s="88"/>
      <c r="C605" s="89"/>
      <c r="D605" s="88"/>
      <c r="E605" s="89"/>
      <c r="F605" s="88"/>
      <c r="G605" s="88"/>
      <c r="H605" s="89"/>
    </row>
    <row r="606" ht="15.75" customHeight="1">
      <c r="A606" s="74"/>
      <c r="B606" s="88"/>
      <c r="C606" s="89"/>
      <c r="D606" s="88"/>
      <c r="E606" s="89"/>
      <c r="F606" s="88"/>
      <c r="G606" s="88"/>
      <c r="H606" s="89"/>
    </row>
    <row r="607" ht="15.75" customHeight="1">
      <c r="A607" s="74"/>
      <c r="B607" s="88"/>
      <c r="C607" s="89"/>
      <c r="D607" s="88"/>
      <c r="E607" s="89"/>
      <c r="F607" s="88"/>
      <c r="G607" s="88"/>
      <c r="H607" s="89"/>
    </row>
    <row r="608" ht="15.75" customHeight="1">
      <c r="A608" s="74"/>
      <c r="B608" s="88"/>
      <c r="C608" s="89"/>
      <c r="D608" s="88"/>
      <c r="E608" s="89"/>
      <c r="F608" s="88"/>
      <c r="G608" s="88"/>
      <c r="H608" s="89"/>
    </row>
    <row r="609" ht="15.75" customHeight="1">
      <c r="A609" s="74"/>
      <c r="B609" s="88"/>
      <c r="C609" s="89"/>
      <c r="D609" s="88"/>
      <c r="E609" s="89"/>
      <c r="F609" s="88"/>
      <c r="G609" s="88"/>
      <c r="H609" s="89"/>
    </row>
    <row r="610" ht="15.75" customHeight="1">
      <c r="A610" s="74"/>
      <c r="B610" s="88"/>
      <c r="C610" s="89"/>
      <c r="D610" s="88"/>
      <c r="E610" s="89"/>
      <c r="F610" s="88"/>
      <c r="G610" s="88"/>
      <c r="H610" s="89"/>
    </row>
    <row r="611" ht="15.75" customHeight="1">
      <c r="A611" s="74"/>
      <c r="B611" s="88"/>
      <c r="C611" s="89"/>
      <c r="D611" s="88"/>
      <c r="E611" s="89"/>
      <c r="F611" s="88"/>
      <c r="G611" s="88"/>
      <c r="H611" s="89"/>
    </row>
    <row r="612" ht="15.75" customHeight="1">
      <c r="A612" s="74"/>
      <c r="B612" s="88"/>
      <c r="C612" s="89"/>
      <c r="D612" s="88"/>
      <c r="E612" s="89"/>
      <c r="F612" s="88"/>
      <c r="G612" s="88"/>
      <c r="H612" s="89"/>
    </row>
    <row r="613" ht="15.75" customHeight="1">
      <c r="A613" s="74"/>
      <c r="B613" s="88"/>
      <c r="C613" s="89"/>
      <c r="D613" s="88"/>
      <c r="E613" s="89"/>
      <c r="F613" s="88"/>
      <c r="G613" s="88"/>
      <c r="H613" s="89"/>
    </row>
    <row r="614" ht="15.75" customHeight="1">
      <c r="A614" s="74"/>
      <c r="B614" s="88"/>
      <c r="C614" s="89"/>
      <c r="D614" s="88"/>
      <c r="E614" s="89"/>
      <c r="F614" s="88"/>
      <c r="G614" s="88"/>
      <c r="H614" s="89"/>
    </row>
    <row r="615" ht="15.75" customHeight="1">
      <c r="A615" s="74"/>
      <c r="B615" s="88"/>
      <c r="C615" s="89"/>
      <c r="D615" s="88"/>
      <c r="E615" s="89"/>
      <c r="F615" s="88"/>
      <c r="G615" s="88"/>
      <c r="H615" s="89"/>
    </row>
    <row r="616" ht="15.75" customHeight="1">
      <c r="A616" s="74"/>
      <c r="B616" s="88"/>
      <c r="C616" s="89"/>
      <c r="D616" s="88"/>
      <c r="E616" s="89"/>
      <c r="F616" s="88"/>
      <c r="G616" s="88"/>
      <c r="H616" s="89"/>
    </row>
    <row r="617" ht="15.75" customHeight="1">
      <c r="A617" s="74"/>
      <c r="B617" s="88"/>
      <c r="C617" s="89"/>
      <c r="D617" s="88"/>
      <c r="E617" s="89"/>
      <c r="F617" s="88"/>
      <c r="G617" s="88"/>
      <c r="H617" s="89"/>
    </row>
    <row r="618" ht="15.75" customHeight="1">
      <c r="A618" s="74"/>
      <c r="B618" s="88"/>
      <c r="C618" s="89"/>
      <c r="D618" s="88"/>
      <c r="E618" s="89"/>
      <c r="F618" s="88"/>
      <c r="G618" s="88"/>
      <c r="H618" s="89"/>
    </row>
    <row r="619" ht="15.75" customHeight="1">
      <c r="A619" s="74"/>
      <c r="B619" s="88"/>
      <c r="C619" s="89"/>
      <c r="D619" s="88"/>
      <c r="E619" s="89"/>
      <c r="F619" s="88"/>
      <c r="G619" s="88"/>
      <c r="H619" s="89"/>
    </row>
    <row r="620" ht="15.75" customHeight="1">
      <c r="A620" s="74"/>
      <c r="B620" s="88"/>
      <c r="C620" s="89"/>
      <c r="D620" s="88"/>
      <c r="E620" s="89"/>
      <c r="F620" s="88"/>
      <c r="G620" s="88"/>
      <c r="H620" s="89"/>
    </row>
    <row r="621" ht="15.75" customHeight="1">
      <c r="A621" s="74"/>
      <c r="B621" s="88"/>
      <c r="C621" s="89"/>
      <c r="D621" s="88"/>
      <c r="E621" s="89"/>
      <c r="F621" s="88"/>
      <c r="G621" s="88"/>
      <c r="H621" s="89"/>
    </row>
    <row r="622" ht="15.75" customHeight="1">
      <c r="A622" s="74"/>
      <c r="B622" s="88"/>
      <c r="C622" s="89"/>
      <c r="D622" s="88"/>
      <c r="E622" s="89"/>
      <c r="F622" s="88"/>
      <c r="G622" s="88"/>
      <c r="H622" s="89"/>
    </row>
    <row r="623" ht="15.75" customHeight="1">
      <c r="A623" s="74"/>
      <c r="B623" s="88"/>
      <c r="C623" s="89"/>
      <c r="D623" s="88"/>
      <c r="E623" s="89"/>
      <c r="F623" s="88"/>
      <c r="G623" s="88"/>
      <c r="H623" s="89"/>
    </row>
    <row r="624" ht="15.75" customHeight="1">
      <c r="A624" s="74"/>
      <c r="B624" s="88"/>
      <c r="C624" s="89"/>
      <c r="D624" s="88"/>
      <c r="E624" s="89"/>
      <c r="F624" s="88"/>
      <c r="G624" s="88"/>
      <c r="H624" s="89"/>
    </row>
    <row r="625" ht="15.75" customHeight="1">
      <c r="A625" s="74"/>
      <c r="B625" s="88"/>
      <c r="C625" s="89"/>
      <c r="D625" s="88"/>
      <c r="E625" s="89"/>
      <c r="F625" s="88"/>
      <c r="G625" s="88"/>
      <c r="H625" s="89"/>
    </row>
    <row r="626" ht="15.75" customHeight="1">
      <c r="A626" s="74"/>
      <c r="B626" s="88"/>
      <c r="C626" s="89"/>
      <c r="D626" s="88"/>
      <c r="E626" s="89"/>
      <c r="F626" s="88"/>
      <c r="G626" s="88"/>
      <c r="H626" s="89"/>
    </row>
    <row r="627" ht="15.75" customHeight="1">
      <c r="A627" s="74"/>
      <c r="B627" s="88"/>
      <c r="C627" s="89"/>
      <c r="D627" s="88"/>
      <c r="E627" s="89"/>
      <c r="F627" s="88"/>
      <c r="G627" s="88"/>
      <c r="H627" s="89"/>
    </row>
    <row r="628" ht="15.75" customHeight="1">
      <c r="A628" s="74"/>
      <c r="B628" s="88"/>
      <c r="C628" s="89"/>
      <c r="D628" s="88"/>
      <c r="E628" s="89"/>
      <c r="F628" s="88"/>
      <c r="G628" s="88"/>
      <c r="H628" s="89"/>
    </row>
    <row r="629" ht="15.75" customHeight="1">
      <c r="A629" s="74"/>
      <c r="B629" s="88"/>
      <c r="C629" s="89"/>
      <c r="D629" s="88"/>
      <c r="E629" s="89"/>
      <c r="F629" s="88"/>
      <c r="G629" s="88"/>
      <c r="H629" s="89"/>
    </row>
    <row r="630" ht="15.75" customHeight="1">
      <c r="A630" s="74"/>
      <c r="B630" s="88"/>
      <c r="C630" s="89"/>
      <c r="D630" s="88"/>
      <c r="E630" s="89"/>
      <c r="F630" s="88"/>
      <c r="G630" s="88"/>
      <c r="H630" s="89"/>
    </row>
    <row r="631" ht="15.75" customHeight="1">
      <c r="A631" s="74"/>
      <c r="B631" s="88"/>
      <c r="C631" s="89"/>
      <c r="D631" s="88"/>
      <c r="E631" s="89"/>
      <c r="F631" s="88"/>
      <c r="G631" s="88"/>
      <c r="H631" s="89"/>
    </row>
    <row r="632" ht="15.75" customHeight="1">
      <c r="A632" s="74"/>
      <c r="B632" s="88"/>
      <c r="C632" s="89"/>
      <c r="D632" s="88"/>
      <c r="E632" s="89"/>
      <c r="F632" s="88"/>
      <c r="G632" s="88"/>
      <c r="H632" s="89"/>
    </row>
    <row r="633" ht="15.75" customHeight="1">
      <c r="A633" s="74"/>
      <c r="B633" s="88"/>
      <c r="C633" s="89"/>
      <c r="D633" s="88"/>
      <c r="E633" s="89"/>
      <c r="F633" s="88"/>
      <c r="G633" s="88"/>
      <c r="H633" s="89"/>
    </row>
    <row r="634" ht="15.75" customHeight="1">
      <c r="A634" s="74"/>
      <c r="B634" s="88"/>
      <c r="C634" s="89"/>
      <c r="D634" s="88"/>
      <c r="E634" s="89"/>
      <c r="F634" s="88"/>
      <c r="G634" s="88"/>
      <c r="H634" s="89"/>
    </row>
    <row r="635" ht="15.75" customHeight="1">
      <c r="A635" s="74"/>
      <c r="B635" s="88"/>
      <c r="C635" s="89"/>
      <c r="D635" s="88"/>
      <c r="E635" s="89"/>
      <c r="F635" s="88"/>
      <c r="G635" s="88"/>
      <c r="H635" s="89"/>
    </row>
    <row r="636" ht="15.75" customHeight="1">
      <c r="A636" s="74"/>
      <c r="B636" s="88"/>
      <c r="C636" s="89"/>
      <c r="D636" s="88"/>
      <c r="E636" s="89"/>
      <c r="F636" s="88"/>
      <c r="G636" s="88"/>
      <c r="H636" s="89"/>
    </row>
    <row r="637" ht="15.75" customHeight="1">
      <c r="A637" s="74"/>
      <c r="B637" s="88"/>
      <c r="C637" s="89"/>
      <c r="D637" s="88"/>
      <c r="E637" s="89"/>
      <c r="F637" s="88"/>
      <c r="G637" s="88"/>
      <c r="H637" s="89"/>
    </row>
    <row r="638" ht="15.75" customHeight="1">
      <c r="A638" s="74"/>
      <c r="B638" s="88"/>
      <c r="C638" s="89"/>
      <c r="D638" s="88"/>
      <c r="E638" s="89"/>
      <c r="F638" s="88"/>
      <c r="G638" s="88"/>
      <c r="H638" s="89"/>
    </row>
    <row r="639" ht="15.75" customHeight="1">
      <c r="A639" s="74"/>
      <c r="B639" s="88"/>
      <c r="C639" s="89"/>
      <c r="D639" s="88"/>
      <c r="E639" s="89"/>
      <c r="F639" s="88"/>
      <c r="G639" s="88"/>
      <c r="H639" s="89"/>
    </row>
    <row r="640" ht="15.75" customHeight="1">
      <c r="A640" s="74"/>
      <c r="B640" s="88"/>
      <c r="C640" s="89"/>
      <c r="D640" s="88"/>
      <c r="E640" s="89"/>
      <c r="F640" s="88"/>
      <c r="G640" s="88"/>
      <c r="H640" s="89"/>
    </row>
    <row r="641" ht="15.75" customHeight="1">
      <c r="A641" s="74"/>
      <c r="B641" s="88"/>
      <c r="C641" s="89"/>
      <c r="D641" s="88"/>
      <c r="E641" s="89"/>
      <c r="F641" s="88"/>
      <c r="G641" s="88"/>
      <c r="H641" s="89"/>
    </row>
    <row r="642" ht="15.75" customHeight="1">
      <c r="A642" s="74"/>
      <c r="B642" s="88"/>
      <c r="C642" s="89"/>
      <c r="D642" s="88"/>
      <c r="E642" s="89"/>
      <c r="F642" s="88"/>
      <c r="G642" s="88"/>
      <c r="H642" s="89"/>
    </row>
    <row r="643" ht="15.75" customHeight="1">
      <c r="A643" s="74"/>
      <c r="B643" s="88"/>
      <c r="C643" s="89"/>
      <c r="D643" s="88"/>
      <c r="E643" s="89"/>
      <c r="F643" s="88"/>
      <c r="G643" s="88"/>
      <c r="H643" s="89"/>
    </row>
    <row r="644" ht="15.75" customHeight="1">
      <c r="A644" s="74"/>
      <c r="B644" s="88"/>
      <c r="C644" s="89"/>
      <c r="D644" s="88"/>
      <c r="E644" s="89"/>
      <c r="F644" s="88"/>
      <c r="G644" s="88"/>
      <c r="H644" s="89"/>
    </row>
    <row r="645" ht="15.75" customHeight="1">
      <c r="A645" s="74"/>
      <c r="B645" s="88"/>
      <c r="C645" s="89"/>
      <c r="D645" s="88"/>
      <c r="E645" s="89"/>
      <c r="F645" s="88"/>
      <c r="G645" s="88"/>
      <c r="H645" s="89"/>
    </row>
    <row r="646" ht="15.75" customHeight="1">
      <c r="A646" s="74"/>
      <c r="B646" s="88"/>
      <c r="C646" s="89"/>
      <c r="D646" s="88"/>
      <c r="E646" s="89"/>
      <c r="F646" s="88"/>
      <c r="G646" s="88"/>
      <c r="H646" s="89"/>
    </row>
    <row r="647" ht="15.75" customHeight="1">
      <c r="A647" s="74"/>
      <c r="B647" s="88"/>
      <c r="C647" s="89"/>
      <c r="D647" s="88"/>
      <c r="E647" s="89"/>
      <c r="F647" s="88"/>
      <c r="G647" s="88"/>
      <c r="H647" s="89"/>
    </row>
    <row r="648" ht="15.75" customHeight="1">
      <c r="A648" s="74"/>
      <c r="B648" s="88"/>
      <c r="C648" s="89"/>
      <c r="D648" s="88"/>
      <c r="E648" s="89"/>
      <c r="F648" s="88"/>
      <c r="G648" s="88"/>
      <c r="H648" s="89"/>
    </row>
    <row r="649" ht="15.75" customHeight="1">
      <c r="A649" s="74"/>
      <c r="B649" s="88"/>
      <c r="C649" s="89"/>
      <c r="D649" s="88"/>
      <c r="E649" s="89"/>
      <c r="F649" s="88"/>
      <c r="G649" s="88"/>
      <c r="H649" s="89"/>
    </row>
    <row r="650" ht="15.75" customHeight="1">
      <c r="A650" s="74"/>
      <c r="B650" s="88"/>
      <c r="C650" s="89"/>
      <c r="D650" s="88"/>
      <c r="E650" s="89"/>
      <c r="F650" s="88"/>
      <c r="G650" s="88"/>
      <c r="H650" s="89"/>
    </row>
    <row r="651" ht="15.75" customHeight="1">
      <c r="A651" s="74"/>
      <c r="B651" s="88"/>
      <c r="C651" s="89"/>
      <c r="D651" s="88"/>
      <c r="E651" s="89"/>
      <c r="F651" s="88"/>
      <c r="G651" s="88"/>
      <c r="H651" s="89"/>
    </row>
    <row r="652" ht="15.75" customHeight="1">
      <c r="A652" s="74"/>
      <c r="B652" s="88"/>
      <c r="C652" s="89"/>
      <c r="D652" s="88"/>
      <c r="E652" s="89"/>
      <c r="F652" s="88"/>
      <c r="G652" s="88"/>
      <c r="H652" s="89"/>
    </row>
    <row r="653" ht="15.75" customHeight="1">
      <c r="A653" s="74"/>
      <c r="B653" s="88"/>
      <c r="C653" s="89"/>
      <c r="D653" s="88"/>
      <c r="E653" s="89"/>
      <c r="F653" s="88"/>
      <c r="G653" s="88"/>
      <c r="H653" s="89"/>
    </row>
    <row r="654" ht="15.75" customHeight="1">
      <c r="A654" s="74"/>
      <c r="B654" s="88"/>
      <c r="C654" s="89"/>
      <c r="D654" s="88"/>
      <c r="E654" s="89"/>
      <c r="F654" s="88"/>
      <c r="G654" s="88"/>
      <c r="H654" s="89"/>
    </row>
    <row r="655" ht="15.75" customHeight="1">
      <c r="A655" s="74"/>
      <c r="B655" s="88"/>
      <c r="C655" s="89"/>
      <c r="D655" s="88"/>
      <c r="E655" s="89"/>
      <c r="F655" s="88"/>
      <c r="G655" s="88"/>
      <c r="H655" s="89"/>
    </row>
    <row r="656" ht="15.75" customHeight="1">
      <c r="A656" s="74"/>
      <c r="B656" s="88"/>
      <c r="C656" s="89"/>
      <c r="D656" s="88"/>
      <c r="E656" s="89"/>
      <c r="F656" s="88"/>
      <c r="G656" s="88"/>
      <c r="H656" s="89"/>
    </row>
    <row r="657" ht="15.75" customHeight="1">
      <c r="A657" s="74"/>
      <c r="B657" s="88"/>
      <c r="C657" s="89"/>
      <c r="D657" s="88"/>
      <c r="E657" s="89"/>
      <c r="F657" s="88"/>
      <c r="G657" s="88"/>
      <c r="H657" s="89"/>
    </row>
    <row r="658" ht="15.75" customHeight="1">
      <c r="A658" s="74"/>
      <c r="B658" s="88"/>
      <c r="C658" s="89"/>
      <c r="D658" s="88"/>
      <c r="E658" s="89"/>
      <c r="F658" s="88"/>
      <c r="G658" s="88"/>
      <c r="H658" s="89"/>
    </row>
    <row r="659" ht="15.75" customHeight="1">
      <c r="A659" s="74"/>
      <c r="B659" s="88"/>
      <c r="C659" s="89"/>
      <c r="D659" s="88"/>
      <c r="E659" s="89"/>
      <c r="F659" s="88"/>
      <c r="G659" s="88"/>
      <c r="H659" s="89"/>
    </row>
    <row r="660" ht="15.75" customHeight="1">
      <c r="A660" s="74"/>
      <c r="B660" s="88"/>
      <c r="C660" s="89"/>
      <c r="D660" s="88"/>
      <c r="E660" s="89"/>
      <c r="F660" s="88"/>
      <c r="G660" s="88"/>
      <c r="H660" s="89"/>
    </row>
    <row r="661" ht="15.75" customHeight="1">
      <c r="A661" s="74"/>
      <c r="B661" s="88"/>
      <c r="C661" s="89"/>
      <c r="D661" s="88"/>
      <c r="E661" s="89"/>
      <c r="F661" s="88"/>
      <c r="G661" s="88"/>
      <c r="H661" s="89"/>
    </row>
    <row r="662" ht="15.75" customHeight="1">
      <c r="A662" s="74"/>
      <c r="B662" s="88"/>
      <c r="C662" s="89"/>
      <c r="D662" s="88"/>
      <c r="E662" s="89"/>
      <c r="F662" s="88"/>
      <c r="G662" s="88"/>
      <c r="H662" s="89"/>
    </row>
    <row r="663" ht="15.75" customHeight="1">
      <c r="A663" s="74"/>
      <c r="B663" s="88"/>
      <c r="C663" s="89"/>
      <c r="D663" s="88"/>
      <c r="E663" s="89"/>
      <c r="F663" s="88"/>
      <c r="G663" s="88"/>
      <c r="H663" s="89"/>
    </row>
    <row r="664" ht="15.75" customHeight="1">
      <c r="A664" s="74"/>
      <c r="B664" s="88"/>
      <c r="C664" s="89"/>
      <c r="D664" s="88"/>
      <c r="E664" s="89"/>
      <c r="F664" s="88"/>
      <c r="G664" s="88"/>
      <c r="H664" s="89"/>
    </row>
    <row r="665" ht="15.75" customHeight="1">
      <c r="A665" s="74"/>
      <c r="B665" s="88"/>
      <c r="C665" s="89"/>
      <c r="D665" s="88"/>
      <c r="E665" s="89"/>
      <c r="F665" s="88"/>
      <c r="G665" s="88"/>
      <c r="H665" s="89"/>
    </row>
    <row r="666" ht="15.75" customHeight="1">
      <c r="A666" s="74"/>
      <c r="B666" s="88"/>
      <c r="C666" s="89"/>
      <c r="D666" s="88"/>
      <c r="E666" s="89"/>
      <c r="F666" s="88"/>
      <c r="G666" s="88"/>
      <c r="H666" s="89"/>
    </row>
    <row r="667" ht="15.75" customHeight="1">
      <c r="A667" s="74"/>
      <c r="B667" s="88"/>
      <c r="C667" s="89"/>
      <c r="D667" s="88"/>
      <c r="E667" s="89"/>
      <c r="F667" s="88"/>
      <c r="G667" s="88"/>
      <c r="H667" s="89"/>
    </row>
    <row r="668" ht="15.75" customHeight="1">
      <c r="A668" s="74"/>
      <c r="B668" s="88"/>
      <c r="C668" s="89"/>
      <c r="D668" s="88"/>
      <c r="E668" s="89"/>
      <c r="F668" s="88"/>
      <c r="G668" s="88"/>
      <c r="H668" s="89"/>
    </row>
    <row r="669" ht="15.75" customHeight="1">
      <c r="A669" s="74"/>
      <c r="B669" s="88"/>
      <c r="C669" s="89"/>
      <c r="D669" s="88"/>
      <c r="E669" s="89"/>
      <c r="F669" s="88"/>
      <c r="G669" s="88"/>
      <c r="H669" s="89"/>
    </row>
    <row r="670" ht="15.75" customHeight="1">
      <c r="A670" s="74"/>
      <c r="B670" s="88"/>
      <c r="C670" s="89"/>
      <c r="D670" s="88"/>
      <c r="E670" s="89"/>
      <c r="F670" s="88"/>
      <c r="G670" s="88"/>
      <c r="H670" s="89"/>
    </row>
    <row r="671" ht="15.75" customHeight="1">
      <c r="A671" s="74"/>
      <c r="B671" s="88"/>
      <c r="C671" s="89"/>
      <c r="D671" s="88"/>
      <c r="E671" s="89"/>
      <c r="F671" s="88"/>
      <c r="G671" s="88"/>
      <c r="H671" s="89"/>
    </row>
    <row r="672" ht="15.75" customHeight="1">
      <c r="A672" s="74"/>
      <c r="B672" s="88"/>
      <c r="C672" s="89"/>
      <c r="D672" s="88"/>
      <c r="E672" s="89"/>
      <c r="F672" s="88"/>
      <c r="G672" s="88"/>
      <c r="H672" s="89"/>
    </row>
    <row r="673" ht="15.75" customHeight="1">
      <c r="A673" s="74"/>
      <c r="B673" s="88"/>
      <c r="C673" s="89"/>
      <c r="D673" s="88"/>
      <c r="E673" s="89"/>
      <c r="F673" s="88"/>
      <c r="G673" s="88"/>
      <c r="H673" s="89"/>
    </row>
    <row r="674" ht="15.75" customHeight="1">
      <c r="A674" s="74"/>
      <c r="B674" s="88"/>
      <c r="C674" s="89"/>
      <c r="D674" s="88"/>
      <c r="E674" s="89"/>
      <c r="F674" s="88"/>
      <c r="G674" s="88"/>
      <c r="H674" s="89"/>
    </row>
    <row r="675" ht="15.75" customHeight="1">
      <c r="A675" s="74"/>
      <c r="B675" s="88"/>
      <c r="C675" s="89"/>
      <c r="D675" s="88"/>
      <c r="E675" s="89"/>
      <c r="F675" s="88"/>
      <c r="G675" s="88"/>
      <c r="H675" s="89"/>
    </row>
    <row r="676" ht="15.75" customHeight="1">
      <c r="A676" s="74"/>
      <c r="B676" s="88"/>
      <c r="C676" s="89"/>
      <c r="D676" s="88"/>
      <c r="E676" s="89"/>
      <c r="F676" s="88"/>
      <c r="G676" s="88"/>
      <c r="H676" s="89"/>
    </row>
    <row r="677" ht="15.75" customHeight="1">
      <c r="A677" s="74"/>
      <c r="B677" s="88"/>
      <c r="C677" s="89"/>
      <c r="D677" s="88"/>
      <c r="E677" s="89"/>
      <c r="F677" s="88"/>
      <c r="G677" s="88"/>
      <c r="H677" s="89"/>
    </row>
    <row r="678" ht="15.75" customHeight="1">
      <c r="A678" s="74"/>
      <c r="B678" s="88"/>
      <c r="C678" s="89"/>
      <c r="D678" s="88"/>
      <c r="E678" s="89"/>
      <c r="F678" s="88"/>
      <c r="G678" s="88"/>
      <c r="H678" s="89"/>
    </row>
    <row r="679" ht="15.75" customHeight="1">
      <c r="A679" s="74"/>
      <c r="B679" s="88"/>
      <c r="C679" s="89"/>
      <c r="D679" s="88"/>
      <c r="E679" s="89"/>
      <c r="F679" s="88"/>
      <c r="G679" s="88"/>
      <c r="H679" s="89"/>
    </row>
    <row r="680" ht="15.75" customHeight="1">
      <c r="A680" s="74"/>
      <c r="B680" s="88"/>
      <c r="C680" s="89"/>
      <c r="D680" s="88"/>
      <c r="E680" s="89"/>
      <c r="F680" s="88"/>
      <c r="G680" s="88"/>
      <c r="H680" s="89"/>
    </row>
    <row r="681" ht="15.75" customHeight="1">
      <c r="A681" s="74"/>
      <c r="B681" s="88"/>
      <c r="C681" s="89"/>
      <c r="D681" s="88"/>
      <c r="E681" s="89"/>
      <c r="F681" s="88"/>
      <c r="G681" s="88"/>
      <c r="H681" s="89"/>
    </row>
    <row r="682" ht="15.75" customHeight="1">
      <c r="A682" s="74"/>
      <c r="B682" s="88"/>
      <c r="C682" s="89"/>
      <c r="D682" s="88"/>
      <c r="E682" s="89"/>
      <c r="F682" s="88"/>
      <c r="G682" s="88"/>
      <c r="H682" s="89"/>
    </row>
    <row r="683" ht="15.75" customHeight="1">
      <c r="A683" s="74"/>
      <c r="B683" s="88"/>
      <c r="C683" s="89"/>
      <c r="D683" s="88"/>
      <c r="E683" s="89"/>
      <c r="F683" s="88"/>
      <c r="G683" s="88"/>
      <c r="H683" s="89"/>
    </row>
    <row r="684" ht="15.75" customHeight="1">
      <c r="A684" s="74"/>
      <c r="B684" s="88"/>
      <c r="C684" s="89"/>
      <c r="D684" s="88"/>
      <c r="E684" s="89"/>
      <c r="F684" s="88"/>
      <c r="G684" s="88"/>
      <c r="H684" s="89"/>
    </row>
    <row r="685" ht="15.75" customHeight="1">
      <c r="A685" s="74"/>
      <c r="B685" s="88"/>
      <c r="C685" s="89"/>
      <c r="D685" s="88"/>
      <c r="E685" s="89"/>
      <c r="F685" s="88"/>
      <c r="G685" s="88"/>
      <c r="H685" s="89"/>
    </row>
    <row r="686" ht="15.75" customHeight="1">
      <c r="A686" s="74"/>
      <c r="B686" s="88"/>
      <c r="C686" s="89"/>
      <c r="D686" s="88"/>
      <c r="E686" s="89"/>
      <c r="F686" s="88"/>
      <c r="G686" s="88"/>
      <c r="H686" s="89"/>
    </row>
    <row r="687" ht="15.75" customHeight="1">
      <c r="A687" s="74"/>
      <c r="B687" s="88"/>
      <c r="C687" s="89"/>
      <c r="D687" s="88"/>
      <c r="E687" s="89"/>
      <c r="F687" s="88"/>
      <c r="G687" s="88"/>
      <c r="H687" s="89"/>
    </row>
    <row r="688" ht="15.75" customHeight="1">
      <c r="A688" s="74"/>
      <c r="B688" s="88"/>
      <c r="C688" s="89"/>
      <c r="D688" s="88"/>
      <c r="E688" s="89"/>
      <c r="F688" s="88"/>
      <c r="G688" s="88"/>
      <c r="H688" s="89"/>
    </row>
    <row r="689" ht="15.75" customHeight="1">
      <c r="A689" s="74"/>
      <c r="B689" s="88"/>
      <c r="C689" s="89"/>
      <c r="D689" s="88"/>
      <c r="E689" s="89"/>
      <c r="F689" s="88"/>
      <c r="G689" s="88"/>
      <c r="H689" s="89"/>
    </row>
    <row r="690" ht="15.75" customHeight="1">
      <c r="A690" s="74"/>
      <c r="B690" s="88"/>
      <c r="C690" s="89"/>
      <c r="D690" s="88"/>
      <c r="E690" s="89"/>
      <c r="F690" s="88"/>
      <c r="G690" s="88"/>
      <c r="H690" s="89"/>
    </row>
    <row r="691" ht="15.75" customHeight="1">
      <c r="A691" s="74"/>
      <c r="B691" s="88"/>
      <c r="C691" s="89"/>
      <c r="D691" s="88"/>
      <c r="E691" s="89"/>
      <c r="F691" s="88"/>
      <c r="G691" s="88"/>
      <c r="H691" s="89"/>
    </row>
    <row r="692" ht="15.75" customHeight="1">
      <c r="A692" s="74"/>
      <c r="B692" s="88"/>
      <c r="C692" s="89"/>
      <c r="D692" s="88"/>
      <c r="E692" s="89"/>
      <c r="F692" s="88"/>
      <c r="G692" s="88"/>
      <c r="H692" s="89"/>
    </row>
    <row r="693" ht="15.75" customHeight="1">
      <c r="A693" s="74"/>
      <c r="B693" s="88"/>
      <c r="C693" s="89"/>
      <c r="D693" s="88"/>
      <c r="E693" s="89"/>
      <c r="F693" s="88"/>
      <c r="G693" s="88"/>
      <c r="H693" s="89"/>
    </row>
    <row r="694" ht="15.75" customHeight="1">
      <c r="A694" s="74"/>
      <c r="B694" s="88"/>
      <c r="C694" s="89"/>
      <c r="D694" s="88"/>
      <c r="E694" s="89"/>
      <c r="F694" s="88"/>
      <c r="G694" s="88"/>
      <c r="H694" s="89"/>
    </row>
    <row r="695" ht="15.75" customHeight="1">
      <c r="A695" s="74"/>
      <c r="B695" s="88"/>
      <c r="C695" s="89"/>
      <c r="D695" s="88"/>
      <c r="E695" s="89"/>
      <c r="F695" s="88"/>
      <c r="G695" s="88"/>
      <c r="H695" s="89"/>
    </row>
    <row r="696" ht="15.75" customHeight="1">
      <c r="A696" s="74"/>
      <c r="B696" s="88"/>
      <c r="C696" s="89"/>
      <c r="D696" s="88"/>
      <c r="E696" s="89"/>
      <c r="F696" s="88"/>
      <c r="G696" s="88"/>
      <c r="H696" s="89"/>
    </row>
    <row r="697" ht="15.75" customHeight="1">
      <c r="A697" s="74"/>
      <c r="B697" s="88"/>
      <c r="C697" s="89"/>
      <c r="D697" s="88"/>
      <c r="E697" s="89"/>
      <c r="F697" s="88"/>
      <c r="G697" s="88"/>
      <c r="H697" s="89"/>
    </row>
    <row r="698" ht="15.75" customHeight="1">
      <c r="A698" s="74"/>
      <c r="B698" s="88"/>
      <c r="C698" s="89"/>
      <c r="D698" s="88"/>
      <c r="E698" s="89"/>
      <c r="F698" s="88"/>
      <c r="G698" s="88"/>
      <c r="H698" s="89"/>
    </row>
    <row r="699" ht="15.75" customHeight="1">
      <c r="A699" s="74"/>
      <c r="B699" s="88"/>
      <c r="C699" s="89"/>
      <c r="D699" s="88"/>
      <c r="E699" s="89"/>
      <c r="F699" s="88"/>
      <c r="G699" s="88"/>
      <c r="H699" s="89"/>
    </row>
    <row r="700" ht="15.75" customHeight="1">
      <c r="A700" s="74"/>
      <c r="B700" s="88"/>
      <c r="C700" s="89"/>
      <c r="D700" s="88"/>
      <c r="E700" s="89"/>
      <c r="F700" s="88"/>
      <c r="G700" s="88"/>
      <c r="H700" s="89"/>
    </row>
    <row r="701" ht="15.75" customHeight="1">
      <c r="A701" s="74"/>
      <c r="B701" s="88"/>
      <c r="C701" s="89"/>
      <c r="D701" s="88"/>
      <c r="E701" s="89"/>
      <c r="F701" s="88"/>
      <c r="G701" s="88"/>
      <c r="H701" s="89"/>
    </row>
    <row r="702" ht="15.75" customHeight="1">
      <c r="A702" s="74"/>
      <c r="B702" s="88"/>
      <c r="C702" s="89"/>
      <c r="D702" s="88"/>
      <c r="E702" s="89"/>
      <c r="F702" s="88"/>
      <c r="G702" s="88"/>
      <c r="H702" s="89"/>
    </row>
    <row r="703" ht="15.75" customHeight="1">
      <c r="A703" s="74"/>
      <c r="B703" s="88"/>
      <c r="C703" s="89"/>
      <c r="D703" s="88"/>
      <c r="E703" s="89"/>
      <c r="F703" s="88"/>
      <c r="G703" s="88"/>
      <c r="H703" s="89"/>
    </row>
    <row r="704" ht="15.75" customHeight="1">
      <c r="A704" s="74"/>
      <c r="B704" s="88"/>
      <c r="C704" s="89"/>
      <c r="D704" s="88"/>
      <c r="E704" s="89"/>
      <c r="F704" s="88"/>
      <c r="G704" s="88"/>
      <c r="H704" s="89"/>
    </row>
    <row r="705" ht="15.75" customHeight="1">
      <c r="A705" s="74"/>
      <c r="B705" s="88"/>
      <c r="C705" s="89"/>
      <c r="D705" s="88"/>
      <c r="E705" s="89"/>
      <c r="F705" s="88"/>
      <c r="G705" s="88"/>
      <c r="H705" s="89"/>
    </row>
    <row r="706" ht="15.75" customHeight="1">
      <c r="A706" s="74"/>
      <c r="B706" s="88"/>
      <c r="C706" s="89"/>
      <c r="D706" s="88"/>
      <c r="E706" s="89"/>
      <c r="F706" s="88"/>
      <c r="G706" s="88"/>
      <c r="H706" s="89"/>
    </row>
    <row r="707" ht="15.75" customHeight="1">
      <c r="A707" s="74"/>
      <c r="B707" s="88"/>
      <c r="C707" s="89"/>
      <c r="D707" s="88"/>
      <c r="E707" s="89"/>
      <c r="F707" s="88"/>
      <c r="G707" s="88"/>
      <c r="H707" s="89"/>
    </row>
    <row r="708" ht="15.75" customHeight="1">
      <c r="A708" s="74"/>
      <c r="B708" s="88"/>
      <c r="C708" s="89"/>
      <c r="D708" s="88"/>
      <c r="E708" s="89"/>
      <c r="F708" s="88"/>
      <c r="G708" s="88"/>
      <c r="H708" s="89"/>
    </row>
    <row r="709" ht="15.75" customHeight="1">
      <c r="A709" s="74"/>
      <c r="B709" s="88"/>
      <c r="C709" s="89"/>
      <c r="D709" s="88"/>
      <c r="E709" s="89"/>
      <c r="F709" s="88"/>
      <c r="G709" s="88"/>
      <c r="H709" s="89"/>
    </row>
    <row r="710" ht="15.75" customHeight="1">
      <c r="A710" s="74"/>
      <c r="B710" s="88"/>
      <c r="C710" s="89"/>
      <c r="D710" s="88"/>
      <c r="E710" s="89"/>
      <c r="F710" s="88"/>
      <c r="G710" s="88"/>
      <c r="H710" s="89"/>
    </row>
    <row r="711" ht="15.75" customHeight="1">
      <c r="A711" s="74"/>
      <c r="B711" s="88"/>
      <c r="C711" s="89"/>
      <c r="D711" s="88"/>
      <c r="E711" s="89"/>
      <c r="F711" s="88"/>
      <c r="G711" s="88"/>
      <c r="H711" s="89"/>
    </row>
    <row r="712" ht="15.75" customHeight="1">
      <c r="A712" s="74"/>
      <c r="B712" s="88"/>
      <c r="C712" s="89"/>
      <c r="D712" s="88"/>
      <c r="E712" s="89"/>
      <c r="F712" s="88"/>
      <c r="G712" s="88"/>
      <c r="H712" s="89"/>
    </row>
    <row r="713" ht="15.75" customHeight="1">
      <c r="A713" s="74"/>
      <c r="B713" s="88"/>
      <c r="C713" s="89"/>
      <c r="D713" s="88"/>
      <c r="E713" s="89"/>
      <c r="F713" s="88"/>
      <c r="G713" s="88"/>
      <c r="H713" s="89"/>
    </row>
    <row r="714" ht="15.75" customHeight="1">
      <c r="A714" s="74"/>
      <c r="B714" s="88"/>
      <c r="C714" s="89"/>
      <c r="D714" s="88"/>
      <c r="E714" s="89"/>
      <c r="F714" s="88"/>
      <c r="G714" s="88"/>
      <c r="H714" s="89"/>
    </row>
    <row r="715" ht="15.75" customHeight="1">
      <c r="A715" s="74"/>
      <c r="B715" s="88"/>
      <c r="C715" s="89"/>
      <c r="D715" s="88"/>
      <c r="E715" s="89"/>
      <c r="F715" s="88"/>
      <c r="G715" s="88"/>
      <c r="H715" s="89"/>
    </row>
    <row r="716" ht="15.75" customHeight="1">
      <c r="A716" s="74"/>
      <c r="B716" s="88"/>
      <c r="C716" s="89"/>
      <c r="D716" s="88"/>
      <c r="E716" s="89"/>
      <c r="F716" s="88"/>
      <c r="G716" s="88"/>
      <c r="H716" s="89"/>
    </row>
    <row r="717" ht="15.75" customHeight="1">
      <c r="A717" s="74"/>
      <c r="B717" s="88"/>
      <c r="C717" s="89"/>
      <c r="D717" s="88"/>
      <c r="E717" s="89"/>
      <c r="F717" s="88"/>
      <c r="G717" s="88"/>
      <c r="H717" s="89"/>
    </row>
    <row r="718" ht="15.75" customHeight="1">
      <c r="A718" s="74"/>
      <c r="B718" s="88"/>
      <c r="C718" s="89"/>
      <c r="D718" s="88"/>
      <c r="E718" s="89"/>
      <c r="F718" s="88"/>
      <c r="G718" s="88"/>
      <c r="H718" s="89"/>
    </row>
    <row r="719" ht="15.75" customHeight="1">
      <c r="A719" s="74"/>
      <c r="B719" s="88"/>
      <c r="C719" s="89"/>
      <c r="D719" s="88"/>
      <c r="E719" s="89"/>
      <c r="F719" s="88"/>
      <c r="G719" s="88"/>
      <c r="H719" s="89"/>
    </row>
    <row r="720" ht="15.75" customHeight="1">
      <c r="A720" s="74"/>
      <c r="B720" s="88"/>
      <c r="C720" s="89"/>
      <c r="D720" s="88"/>
      <c r="E720" s="89"/>
      <c r="F720" s="88"/>
      <c r="G720" s="88"/>
      <c r="H720" s="89"/>
    </row>
    <row r="721" ht="15.75" customHeight="1">
      <c r="A721" s="74"/>
      <c r="B721" s="88"/>
      <c r="C721" s="89"/>
      <c r="D721" s="88"/>
      <c r="E721" s="89"/>
      <c r="F721" s="88"/>
      <c r="G721" s="88"/>
      <c r="H721" s="89"/>
    </row>
    <row r="722" ht="15.75" customHeight="1">
      <c r="A722" s="74"/>
      <c r="B722" s="88"/>
      <c r="C722" s="89"/>
      <c r="D722" s="88"/>
      <c r="E722" s="89"/>
      <c r="F722" s="88"/>
      <c r="G722" s="88"/>
      <c r="H722" s="89"/>
    </row>
    <row r="723" ht="15.75" customHeight="1">
      <c r="A723" s="74"/>
      <c r="B723" s="88"/>
      <c r="C723" s="89"/>
      <c r="D723" s="88"/>
      <c r="E723" s="89"/>
      <c r="F723" s="88"/>
      <c r="G723" s="88"/>
      <c r="H723" s="89"/>
    </row>
    <row r="724" ht="15.75" customHeight="1">
      <c r="A724" s="74"/>
      <c r="B724" s="88"/>
      <c r="C724" s="89"/>
      <c r="D724" s="88"/>
      <c r="E724" s="89"/>
      <c r="F724" s="88"/>
      <c r="G724" s="88"/>
      <c r="H724" s="89"/>
    </row>
    <row r="725" ht="15.75" customHeight="1">
      <c r="A725" s="74"/>
      <c r="B725" s="88"/>
      <c r="C725" s="89"/>
      <c r="D725" s="88"/>
      <c r="E725" s="89"/>
      <c r="F725" s="88"/>
      <c r="G725" s="88"/>
      <c r="H725" s="89"/>
    </row>
    <row r="726" ht="15.75" customHeight="1">
      <c r="A726" s="74"/>
      <c r="B726" s="88"/>
      <c r="C726" s="89"/>
      <c r="D726" s="88"/>
      <c r="E726" s="89"/>
      <c r="F726" s="88"/>
      <c r="G726" s="88"/>
      <c r="H726" s="89"/>
    </row>
    <row r="727" ht="15.75" customHeight="1">
      <c r="A727" s="74"/>
      <c r="B727" s="88"/>
      <c r="C727" s="89"/>
      <c r="D727" s="88"/>
      <c r="E727" s="89"/>
      <c r="F727" s="88"/>
      <c r="G727" s="88"/>
      <c r="H727" s="89"/>
    </row>
    <row r="728" ht="15.75" customHeight="1">
      <c r="A728" s="74"/>
      <c r="B728" s="88"/>
      <c r="C728" s="89"/>
      <c r="D728" s="88"/>
      <c r="E728" s="89"/>
      <c r="F728" s="88"/>
      <c r="G728" s="88"/>
      <c r="H728" s="89"/>
    </row>
    <row r="729" ht="15.75" customHeight="1">
      <c r="A729" s="74"/>
      <c r="B729" s="88"/>
      <c r="C729" s="89"/>
      <c r="D729" s="88"/>
      <c r="E729" s="89"/>
      <c r="F729" s="88"/>
      <c r="G729" s="88"/>
      <c r="H729" s="89"/>
    </row>
    <row r="730" ht="15.75" customHeight="1">
      <c r="A730" s="74"/>
      <c r="B730" s="88"/>
      <c r="C730" s="89"/>
      <c r="D730" s="88"/>
      <c r="E730" s="89"/>
      <c r="F730" s="88"/>
      <c r="G730" s="88"/>
      <c r="H730" s="89"/>
    </row>
    <row r="731" ht="15.75" customHeight="1">
      <c r="A731" s="74"/>
      <c r="B731" s="88"/>
      <c r="C731" s="89"/>
      <c r="D731" s="88"/>
      <c r="E731" s="89"/>
      <c r="F731" s="88"/>
      <c r="G731" s="88"/>
      <c r="H731" s="89"/>
    </row>
    <row r="732" ht="15.75" customHeight="1">
      <c r="A732" s="74"/>
      <c r="B732" s="88"/>
      <c r="C732" s="89"/>
      <c r="D732" s="88"/>
      <c r="E732" s="89"/>
      <c r="F732" s="88"/>
      <c r="G732" s="88"/>
      <c r="H732" s="89"/>
    </row>
    <row r="733" ht="15.75" customHeight="1">
      <c r="A733" s="74"/>
      <c r="B733" s="88"/>
      <c r="C733" s="89"/>
      <c r="D733" s="88"/>
      <c r="E733" s="89"/>
      <c r="F733" s="88"/>
      <c r="G733" s="88"/>
      <c r="H733" s="89"/>
    </row>
    <row r="734" ht="15.75" customHeight="1">
      <c r="A734" s="74"/>
      <c r="B734" s="88"/>
      <c r="C734" s="89"/>
      <c r="D734" s="88"/>
      <c r="E734" s="89"/>
      <c r="F734" s="88"/>
      <c r="G734" s="88"/>
      <c r="H734" s="89"/>
    </row>
    <row r="735" ht="15.75" customHeight="1">
      <c r="A735" s="74"/>
      <c r="B735" s="88"/>
      <c r="C735" s="89"/>
      <c r="D735" s="88"/>
      <c r="E735" s="89"/>
      <c r="F735" s="88"/>
      <c r="G735" s="88"/>
      <c r="H735" s="89"/>
    </row>
    <row r="736" ht="15.75" customHeight="1">
      <c r="A736" s="74"/>
      <c r="B736" s="88"/>
      <c r="C736" s="89"/>
      <c r="D736" s="88"/>
      <c r="E736" s="89"/>
      <c r="F736" s="88"/>
      <c r="G736" s="88"/>
      <c r="H736" s="89"/>
    </row>
    <row r="737" ht="15.75" customHeight="1">
      <c r="A737" s="74"/>
      <c r="B737" s="88"/>
      <c r="C737" s="89"/>
      <c r="D737" s="88"/>
      <c r="E737" s="89"/>
      <c r="F737" s="88"/>
      <c r="G737" s="88"/>
      <c r="H737" s="89"/>
    </row>
    <row r="738" ht="15.75" customHeight="1">
      <c r="A738" s="74"/>
      <c r="B738" s="88"/>
      <c r="C738" s="89"/>
      <c r="D738" s="88"/>
      <c r="E738" s="89"/>
      <c r="F738" s="88"/>
      <c r="G738" s="88"/>
      <c r="H738" s="89"/>
    </row>
    <row r="739" ht="15.75" customHeight="1">
      <c r="A739" s="74"/>
      <c r="B739" s="88"/>
      <c r="C739" s="89"/>
      <c r="D739" s="88"/>
      <c r="E739" s="89"/>
      <c r="F739" s="88"/>
      <c r="G739" s="88"/>
      <c r="H739" s="89"/>
    </row>
    <row r="740" ht="15.75" customHeight="1">
      <c r="A740" s="74"/>
      <c r="B740" s="88"/>
      <c r="C740" s="89"/>
      <c r="D740" s="88"/>
      <c r="E740" s="89"/>
      <c r="F740" s="88"/>
      <c r="G740" s="88"/>
      <c r="H740" s="89"/>
    </row>
    <row r="741" ht="15.75" customHeight="1">
      <c r="A741" s="74"/>
      <c r="B741" s="88"/>
      <c r="C741" s="89"/>
      <c r="D741" s="88"/>
      <c r="E741" s="89"/>
      <c r="F741" s="88"/>
      <c r="G741" s="88"/>
      <c r="H741" s="89"/>
    </row>
    <row r="742" ht="15.75" customHeight="1">
      <c r="A742" s="74"/>
      <c r="B742" s="88"/>
      <c r="C742" s="89"/>
      <c r="D742" s="88"/>
      <c r="E742" s="89"/>
      <c r="F742" s="88"/>
      <c r="G742" s="88"/>
      <c r="H742" s="89"/>
    </row>
    <row r="743" ht="15.75" customHeight="1">
      <c r="A743" s="74"/>
      <c r="B743" s="88"/>
      <c r="C743" s="89"/>
      <c r="D743" s="88"/>
      <c r="E743" s="89"/>
      <c r="F743" s="88"/>
      <c r="G743" s="88"/>
      <c r="H743" s="89"/>
    </row>
    <row r="744" ht="15.75" customHeight="1">
      <c r="A744" s="74"/>
      <c r="B744" s="88"/>
      <c r="C744" s="89"/>
      <c r="D744" s="88"/>
      <c r="E744" s="89"/>
      <c r="F744" s="88"/>
      <c r="G744" s="88"/>
      <c r="H744" s="89"/>
    </row>
    <row r="745" ht="15.75" customHeight="1">
      <c r="A745" s="74"/>
      <c r="B745" s="88"/>
      <c r="C745" s="89"/>
      <c r="D745" s="88"/>
      <c r="E745" s="89"/>
      <c r="F745" s="88"/>
      <c r="G745" s="88"/>
      <c r="H745" s="89"/>
    </row>
    <row r="746" ht="15.75" customHeight="1">
      <c r="A746" s="74"/>
      <c r="B746" s="88"/>
      <c r="C746" s="89"/>
      <c r="D746" s="88"/>
      <c r="E746" s="89"/>
      <c r="F746" s="88"/>
      <c r="G746" s="88"/>
      <c r="H746" s="89"/>
    </row>
    <row r="747" ht="15.75" customHeight="1">
      <c r="A747" s="74"/>
      <c r="B747" s="88"/>
      <c r="C747" s="89"/>
      <c r="D747" s="88"/>
      <c r="E747" s="89"/>
      <c r="F747" s="88"/>
      <c r="G747" s="88"/>
      <c r="H747" s="89"/>
    </row>
    <row r="748" ht="15.75" customHeight="1">
      <c r="A748" s="74"/>
      <c r="B748" s="88"/>
      <c r="C748" s="89"/>
      <c r="D748" s="88"/>
      <c r="E748" s="89"/>
      <c r="F748" s="88"/>
      <c r="G748" s="88"/>
      <c r="H748" s="89"/>
    </row>
    <row r="749" ht="15.75" customHeight="1">
      <c r="A749" s="74"/>
      <c r="B749" s="88"/>
      <c r="C749" s="89"/>
      <c r="D749" s="88"/>
      <c r="E749" s="89"/>
      <c r="F749" s="88"/>
      <c r="G749" s="88"/>
      <c r="H749" s="89"/>
    </row>
    <row r="750" ht="15.75" customHeight="1">
      <c r="A750" s="74"/>
      <c r="B750" s="88"/>
      <c r="C750" s="89"/>
      <c r="D750" s="88"/>
      <c r="E750" s="89"/>
      <c r="F750" s="88"/>
      <c r="G750" s="88"/>
      <c r="H750" s="89"/>
    </row>
    <row r="751" ht="15.75" customHeight="1">
      <c r="A751" s="74"/>
      <c r="B751" s="88"/>
      <c r="C751" s="89"/>
      <c r="D751" s="88"/>
      <c r="E751" s="89"/>
      <c r="F751" s="88"/>
      <c r="G751" s="88"/>
      <c r="H751" s="89"/>
    </row>
    <row r="752" ht="15.75" customHeight="1">
      <c r="A752" s="74"/>
      <c r="B752" s="88"/>
      <c r="C752" s="89"/>
      <c r="D752" s="88"/>
      <c r="E752" s="89"/>
      <c r="F752" s="88"/>
      <c r="G752" s="88"/>
      <c r="H752" s="89"/>
    </row>
    <row r="753" ht="15.75" customHeight="1">
      <c r="A753" s="74"/>
      <c r="B753" s="88"/>
      <c r="C753" s="89"/>
      <c r="D753" s="88"/>
      <c r="E753" s="89"/>
      <c r="F753" s="88"/>
      <c r="G753" s="88"/>
      <c r="H753" s="89"/>
    </row>
    <row r="754" ht="15.75" customHeight="1">
      <c r="A754" s="74"/>
      <c r="B754" s="88"/>
      <c r="C754" s="89"/>
      <c r="D754" s="88"/>
      <c r="E754" s="89"/>
      <c r="F754" s="88"/>
      <c r="G754" s="88"/>
      <c r="H754" s="89"/>
    </row>
    <row r="755" ht="15.75" customHeight="1">
      <c r="A755" s="74"/>
      <c r="B755" s="88"/>
      <c r="C755" s="89"/>
      <c r="D755" s="88"/>
      <c r="E755" s="89"/>
      <c r="F755" s="88"/>
      <c r="G755" s="88"/>
      <c r="H755" s="89"/>
    </row>
    <row r="756" ht="15.75" customHeight="1">
      <c r="A756" s="74"/>
      <c r="B756" s="88"/>
      <c r="C756" s="89"/>
      <c r="D756" s="88"/>
      <c r="E756" s="89"/>
      <c r="F756" s="88"/>
      <c r="G756" s="88"/>
      <c r="H756" s="89"/>
    </row>
    <row r="757" ht="15.75" customHeight="1">
      <c r="A757" s="74"/>
      <c r="B757" s="88"/>
      <c r="C757" s="89"/>
      <c r="D757" s="88"/>
      <c r="E757" s="89"/>
      <c r="F757" s="88"/>
      <c r="G757" s="88"/>
      <c r="H757" s="89"/>
    </row>
    <row r="758" ht="15.75" customHeight="1">
      <c r="A758" s="74"/>
      <c r="B758" s="88"/>
      <c r="C758" s="89"/>
      <c r="D758" s="88"/>
      <c r="E758" s="89"/>
      <c r="F758" s="88"/>
      <c r="G758" s="88"/>
      <c r="H758" s="89"/>
    </row>
    <row r="759" ht="15.75" customHeight="1">
      <c r="A759" s="74"/>
      <c r="B759" s="88"/>
      <c r="C759" s="89"/>
      <c r="D759" s="88"/>
      <c r="E759" s="89"/>
      <c r="F759" s="88"/>
      <c r="G759" s="88"/>
      <c r="H759" s="89"/>
    </row>
    <row r="760" ht="15.75" customHeight="1">
      <c r="A760" s="74"/>
      <c r="B760" s="88"/>
      <c r="C760" s="89"/>
      <c r="D760" s="88"/>
      <c r="E760" s="89"/>
      <c r="F760" s="88"/>
      <c r="G760" s="88"/>
      <c r="H760" s="89"/>
    </row>
    <row r="761" ht="15.75" customHeight="1">
      <c r="A761" s="74"/>
      <c r="B761" s="88"/>
      <c r="C761" s="89"/>
      <c r="D761" s="88"/>
      <c r="E761" s="89"/>
      <c r="F761" s="88"/>
      <c r="G761" s="88"/>
      <c r="H761" s="89"/>
    </row>
    <row r="762" ht="15.75" customHeight="1">
      <c r="A762" s="74"/>
      <c r="B762" s="88"/>
      <c r="C762" s="89"/>
      <c r="D762" s="88"/>
      <c r="E762" s="89"/>
      <c r="F762" s="88"/>
      <c r="G762" s="88"/>
      <c r="H762" s="89"/>
    </row>
    <row r="763" ht="15.75" customHeight="1">
      <c r="A763" s="74"/>
      <c r="B763" s="88"/>
      <c r="C763" s="89"/>
      <c r="D763" s="88"/>
      <c r="E763" s="89"/>
      <c r="F763" s="88"/>
      <c r="G763" s="88"/>
      <c r="H763" s="89"/>
    </row>
    <row r="764" ht="15.75" customHeight="1">
      <c r="A764" s="74"/>
      <c r="B764" s="88"/>
      <c r="C764" s="89"/>
      <c r="D764" s="88"/>
      <c r="E764" s="89"/>
      <c r="F764" s="88"/>
      <c r="G764" s="88"/>
      <c r="H764" s="89"/>
    </row>
    <row r="765" ht="15.75" customHeight="1">
      <c r="A765" s="74"/>
      <c r="B765" s="88"/>
      <c r="C765" s="89"/>
      <c r="D765" s="88"/>
      <c r="E765" s="89"/>
      <c r="F765" s="88"/>
      <c r="G765" s="88"/>
      <c r="H765" s="89"/>
    </row>
    <row r="766" ht="15.75" customHeight="1">
      <c r="A766" s="74"/>
      <c r="B766" s="88"/>
      <c r="C766" s="89"/>
      <c r="D766" s="88"/>
      <c r="E766" s="89"/>
      <c r="F766" s="88"/>
      <c r="G766" s="88"/>
      <c r="H766" s="89"/>
    </row>
    <row r="767" ht="15.75" customHeight="1">
      <c r="A767" s="74"/>
      <c r="B767" s="88"/>
      <c r="C767" s="89"/>
      <c r="D767" s="88"/>
      <c r="E767" s="89"/>
      <c r="F767" s="88"/>
      <c r="G767" s="88"/>
      <c r="H767" s="89"/>
    </row>
    <row r="768" ht="15.75" customHeight="1">
      <c r="A768" s="74"/>
      <c r="B768" s="88"/>
      <c r="C768" s="89"/>
      <c r="D768" s="88"/>
      <c r="E768" s="89"/>
      <c r="F768" s="88"/>
      <c r="G768" s="88"/>
      <c r="H768" s="89"/>
    </row>
    <row r="769" ht="15.75" customHeight="1">
      <c r="A769" s="74"/>
      <c r="B769" s="88"/>
      <c r="C769" s="89"/>
      <c r="D769" s="88"/>
      <c r="E769" s="89"/>
      <c r="F769" s="88"/>
      <c r="G769" s="88"/>
      <c r="H769" s="89"/>
    </row>
    <row r="770" ht="15.75" customHeight="1">
      <c r="A770" s="74"/>
      <c r="B770" s="88"/>
      <c r="C770" s="89"/>
      <c r="D770" s="88"/>
      <c r="E770" s="89"/>
      <c r="F770" s="88"/>
      <c r="G770" s="88"/>
      <c r="H770" s="89"/>
    </row>
    <row r="771" ht="15.75" customHeight="1">
      <c r="A771" s="74"/>
      <c r="B771" s="88"/>
      <c r="C771" s="89"/>
      <c r="D771" s="88"/>
      <c r="E771" s="89"/>
      <c r="F771" s="88"/>
      <c r="G771" s="88"/>
      <c r="H771" s="89"/>
    </row>
    <row r="772" ht="15.75" customHeight="1">
      <c r="A772" s="74"/>
      <c r="B772" s="88"/>
      <c r="C772" s="89"/>
      <c r="D772" s="88"/>
      <c r="E772" s="89"/>
      <c r="F772" s="88"/>
      <c r="G772" s="88"/>
      <c r="H772" s="89"/>
    </row>
    <row r="773" ht="15.75" customHeight="1">
      <c r="A773" s="74"/>
      <c r="B773" s="88"/>
      <c r="C773" s="89"/>
      <c r="D773" s="88"/>
      <c r="E773" s="89"/>
      <c r="F773" s="88"/>
      <c r="G773" s="88"/>
      <c r="H773" s="89"/>
    </row>
    <row r="774" ht="15.75" customHeight="1">
      <c r="A774" s="74"/>
      <c r="B774" s="88"/>
      <c r="C774" s="89"/>
      <c r="D774" s="88"/>
      <c r="E774" s="89"/>
      <c r="F774" s="88"/>
      <c r="G774" s="88"/>
      <c r="H774" s="89"/>
    </row>
    <row r="775" ht="15.75" customHeight="1">
      <c r="A775" s="74"/>
      <c r="B775" s="88"/>
      <c r="C775" s="89"/>
      <c r="D775" s="88"/>
      <c r="E775" s="89"/>
      <c r="F775" s="88"/>
      <c r="G775" s="88"/>
      <c r="H775" s="89"/>
    </row>
    <row r="776" ht="15.75" customHeight="1">
      <c r="A776" s="74"/>
      <c r="B776" s="88"/>
      <c r="C776" s="89"/>
      <c r="D776" s="88"/>
      <c r="E776" s="89"/>
      <c r="F776" s="88"/>
      <c r="G776" s="88"/>
      <c r="H776" s="89"/>
    </row>
    <row r="777" ht="15.75" customHeight="1">
      <c r="A777" s="74"/>
      <c r="B777" s="88"/>
      <c r="C777" s="89"/>
      <c r="D777" s="88"/>
      <c r="E777" s="89"/>
      <c r="F777" s="88"/>
      <c r="G777" s="88"/>
      <c r="H777" s="89"/>
    </row>
    <row r="778" ht="15.75" customHeight="1">
      <c r="A778" s="74"/>
      <c r="B778" s="88"/>
      <c r="C778" s="89"/>
      <c r="D778" s="88"/>
      <c r="E778" s="89"/>
      <c r="F778" s="88"/>
      <c r="G778" s="88"/>
      <c r="H778" s="89"/>
    </row>
    <row r="779" ht="15.75" customHeight="1">
      <c r="A779" s="74"/>
      <c r="B779" s="88"/>
      <c r="C779" s="89"/>
      <c r="D779" s="88"/>
      <c r="E779" s="89"/>
      <c r="F779" s="88"/>
      <c r="G779" s="88"/>
      <c r="H779" s="89"/>
    </row>
    <row r="780" ht="15.75" customHeight="1">
      <c r="A780" s="74"/>
      <c r="B780" s="88"/>
      <c r="C780" s="89"/>
      <c r="D780" s="88"/>
      <c r="E780" s="89"/>
      <c r="F780" s="88"/>
      <c r="G780" s="88"/>
      <c r="H780" s="89"/>
    </row>
    <row r="781" ht="15.75" customHeight="1">
      <c r="A781" s="74"/>
      <c r="B781" s="88"/>
      <c r="C781" s="89"/>
      <c r="D781" s="88"/>
      <c r="E781" s="89"/>
      <c r="F781" s="88"/>
      <c r="G781" s="88"/>
      <c r="H781" s="89"/>
    </row>
    <row r="782" ht="15.75" customHeight="1">
      <c r="A782" s="74"/>
      <c r="B782" s="88"/>
      <c r="C782" s="89"/>
      <c r="D782" s="88"/>
      <c r="E782" s="89"/>
      <c r="F782" s="88"/>
      <c r="G782" s="88"/>
      <c r="H782" s="89"/>
    </row>
    <row r="783" ht="15.75" customHeight="1">
      <c r="A783" s="74"/>
      <c r="B783" s="88"/>
      <c r="C783" s="89"/>
      <c r="D783" s="88"/>
      <c r="E783" s="89"/>
      <c r="F783" s="88"/>
      <c r="G783" s="88"/>
      <c r="H783" s="89"/>
    </row>
    <row r="784" ht="15.75" customHeight="1">
      <c r="A784" s="74"/>
      <c r="B784" s="88"/>
      <c r="C784" s="89"/>
      <c r="D784" s="88"/>
      <c r="E784" s="89"/>
      <c r="F784" s="88"/>
      <c r="G784" s="88"/>
      <c r="H784" s="89"/>
    </row>
    <row r="785" ht="15.75" customHeight="1">
      <c r="A785" s="74"/>
      <c r="B785" s="88"/>
      <c r="C785" s="89"/>
      <c r="D785" s="88"/>
      <c r="E785" s="89"/>
      <c r="F785" s="88"/>
      <c r="G785" s="88"/>
      <c r="H785" s="89"/>
    </row>
    <row r="786" ht="15.75" customHeight="1">
      <c r="A786" s="74"/>
      <c r="B786" s="88"/>
      <c r="C786" s="89"/>
      <c r="D786" s="88"/>
      <c r="E786" s="89"/>
      <c r="F786" s="88"/>
      <c r="G786" s="88"/>
      <c r="H786" s="89"/>
    </row>
    <row r="787" ht="15.75" customHeight="1">
      <c r="A787" s="74"/>
      <c r="B787" s="88"/>
      <c r="C787" s="89"/>
      <c r="D787" s="88"/>
      <c r="E787" s="89"/>
      <c r="F787" s="88"/>
      <c r="G787" s="88"/>
      <c r="H787" s="89"/>
    </row>
    <row r="788" ht="15.75" customHeight="1">
      <c r="A788" s="74"/>
      <c r="B788" s="88"/>
      <c r="C788" s="89"/>
      <c r="D788" s="88"/>
      <c r="E788" s="89"/>
      <c r="F788" s="88"/>
      <c r="G788" s="88"/>
      <c r="H788" s="89"/>
    </row>
    <row r="789" ht="15.75" customHeight="1">
      <c r="A789" s="74"/>
      <c r="B789" s="88"/>
      <c r="C789" s="89"/>
      <c r="D789" s="88"/>
      <c r="E789" s="89"/>
      <c r="F789" s="88"/>
      <c r="G789" s="88"/>
      <c r="H789" s="89"/>
    </row>
    <row r="790" ht="15.75" customHeight="1">
      <c r="A790" s="74"/>
      <c r="B790" s="88"/>
      <c r="C790" s="89"/>
      <c r="D790" s="88"/>
      <c r="E790" s="89"/>
      <c r="F790" s="88"/>
      <c r="G790" s="88"/>
      <c r="H790" s="89"/>
    </row>
    <row r="791" ht="15.75" customHeight="1">
      <c r="A791" s="74"/>
      <c r="B791" s="88"/>
      <c r="C791" s="89"/>
      <c r="D791" s="88"/>
      <c r="E791" s="89"/>
      <c r="F791" s="88"/>
      <c r="G791" s="88"/>
      <c r="H791" s="89"/>
    </row>
    <row r="792" ht="15.75" customHeight="1">
      <c r="A792" s="74"/>
      <c r="B792" s="88"/>
      <c r="C792" s="89"/>
      <c r="D792" s="88"/>
      <c r="E792" s="89"/>
      <c r="F792" s="88"/>
      <c r="G792" s="88"/>
      <c r="H792" s="89"/>
    </row>
    <row r="793" ht="15.75" customHeight="1">
      <c r="A793" s="74"/>
      <c r="B793" s="88"/>
      <c r="C793" s="89"/>
      <c r="D793" s="88"/>
      <c r="E793" s="89"/>
      <c r="F793" s="88"/>
      <c r="G793" s="88"/>
      <c r="H793" s="89"/>
    </row>
    <row r="794" ht="15.75" customHeight="1">
      <c r="A794" s="74"/>
      <c r="B794" s="88"/>
      <c r="C794" s="89"/>
      <c r="D794" s="88"/>
      <c r="E794" s="89"/>
      <c r="F794" s="88"/>
      <c r="G794" s="88"/>
      <c r="H794" s="89"/>
    </row>
    <row r="795" ht="15.75" customHeight="1">
      <c r="A795" s="74"/>
      <c r="B795" s="88"/>
      <c r="C795" s="89"/>
      <c r="D795" s="88"/>
      <c r="E795" s="89"/>
      <c r="F795" s="88"/>
      <c r="G795" s="88"/>
      <c r="H795" s="89"/>
    </row>
    <row r="796" ht="15.75" customHeight="1">
      <c r="A796" s="74"/>
      <c r="B796" s="88"/>
      <c r="C796" s="89"/>
      <c r="D796" s="88"/>
      <c r="E796" s="89"/>
      <c r="F796" s="88"/>
      <c r="G796" s="88"/>
      <c r="H796" s="89"/>
    </row>
    <row r="797" ht="15.75" customHeight="1">
      <c r="A797" s="74"/>
      <c r="B797" s="88"/>
      <c r="C797" s="89"/>
      <c r="D797" s="88"/>
      <c r="E797" s="89"/>
      <c r="F797" s="88"/>
      <c r="G797" s="88"/>
      <c r="H797" s="89"/>
    </row>
    <row r="798" ht="15.75" customHeight="1">
      <c r="A798" s="74"/>
      <c r="B798" s="88"/>
      <c r="C798" s="89"/>
      <c r="D798" s="88"/>
      <c r="E798" s="89"/>
      <c r="F798" s="88"/>
      <c r="G798" s="88"/>
      <c r="H798" s="89"/>
    </row>
    <row r="799" ht="15.75" customHeight="1">
      <c r="A799" s="74"/>
      <c r="B799" s="88"/>
      <c r="C799" s="89"/>
      <c r="D799" s="88"/>
      <c r="E799" s="89"/>
      <c r="F799" s="88"/>
      <c r="G799" s="88"/>
      <c r="H799" s="89"/>
    </row>
    <row r="800" ht="15.75" customHeight="1">
      <c r="A800" s="74"/>
      <c r="B800" s="88"/>
      <c r="C800" s="89"/>
      <c r="D800" s="88"/>
      <c r="E800" s="89"/>
      <c r="F800" s="88"/>
      <c r="G800" s="88"/>
      <c r="H800" s="89"/>
    </row>
    <row r="801" ht="15.75" customHeight="1">
      <c r="A801" s="74"/>
      <c r="B801" s="88"/>
      <c r="C801" s="89"/>
      <c r="D801" s="88"/>
      <c r="E801" s="89"/>
      <c r="F801" s="88"/>
      <c r="G801" s="88"/>
      <c r="H801" s="89"/>
    </row>
    <row r="802" ht="15.75" customHeight="1">
      <c r="A802" s="74"/>
      <c r="B802" s="88"/>
      <c r="C802" s="89"/>
      <c r="D802" s="88"/>
      <c r="E802" s="89"/>
      <c r="F802" s="88"/>
      <c r="G802" s="88"/>
      <c r="H802" s="89"/>
    </row>
    <row r="803" ht="15.75" customHeight="1">
      <c r="A803" s="74"/>
      <c r="B803" s="88"/>
      <c r="C803" s="89"/>
      <c r="D803" s="88"/>
      <c r="E803" s="89"/>
      <c r="F803" s="88"/>
      <c r="G803" s="88"/>
      <c r="H803" s="89"/>
    </row>
    <row r="804" ht="15.75" customHeight="1">
      <c r="A804" s="74"/>
      <c r="B804" s="88"/>
      <c r="C804" s="89"/>
      <c r="D804" s="88"/>
      <c r="E804" s="89"/>
      <c r="F804" s="88"/>
      <c r="G804" s="88"/>
      <c r="H804" s="89"/>
    </row>
    <row r="805" ht="15.75" customHeight="1">
      <c r="A805" s="74"/>
      <c r="B805" s="88"/>
      <c r="C805" s="89"/>
      <c r="D805" s="88"/>
      <c r="E805" s="89"/>
      <c r="F805" s="88"/>
      <c r="G805" s="88"/>
      <c r="H805" s="89"/>
    </row>
    <row r="806" ht="15.75" customHeight="1">
      <c r="A806" s="74"/>
      <c r="B806" s="88"/>
      <c r="C806" s="89"/>
      <c r="D806" s="88"/>
      <c r="E806" s="89"/>
      <c r="F806" s="88"/>
      <c r="G806" s="88"/>
      <c r="H806" s="89"/>
    </row>
    <row r="807" ht="15.75" customHeight="1">
      <c r="A807" s="74"/>
      <c r="B807" s="88"/>
      <c r="C807" s="89"/>
      <c r="D807" s="88"/>
      <c r="E807" s="89"/>
      <c r="F807" s="88"/>
      <c r="G807" s="88"/>
      <c r="H807" s="89"/>
    </row>
    <row r="808" ht="15.75" customHeight="1">
      <c r="A808" s="74"/>
      <c r="B808" s="88"/>
      <c r="C808" s="89"/>
      <c r="D808" s="88"/>
      <c r="E808" s="89"/>
      <c r="F808" s="88"/>
      <c r="G808" s="88"/>
      <c r="H808" s="89"/>
    </row>
    <row r="809" ht="15.75" customHeight="1">
      <c r="A809" s="74"/>
      <c r="B809" s="88"/>
      <c r="C809" s="89"/>
      <c r="D809" s="88"/>
      <c r="E809" s="89"/>
      <c r="F809" s="88"/>
      <c r="G809" s="88"/>
      <c r="H809" s="89"/>
    </row>
    <row r="810" ht="15.75" customHeight="1">
      <c r="A810" s="74"/>
      <c r="B810" s="88"/>
      <c r="C810" s="89"/>
      <c r="D810" s="88"/>
      <c r="E810" s="89"/>
      <c r="F810" s="88"/>
      <c r="G810" s="88"/>
      <c r="H810" s="89"/>
    </row>
    <row r="811" ht="15.75" customHeight="1">
      <c r="A811" s="74"/>
      <c r="B811" s="88"/>
      <c r="C811" s="89"/>
      <c r="D811" s="88"/>
      <c r="E811" s="89"/>
      <c r="F811" s="88"/>
      <c r="G811" s="88"/>
      <c r="H811" s="89"/>
    </row>
    <row r="812" ht="15.75" customHeight="1">
      <c r="A812" s="74"/>
      <c r="B812" s="88"/>
      <c r="C812" s="89"/>
      <c r="D812" s="88"/>
      <c r="E812" s="89"/>
      <c r="F812" s="88"/>
      <c r="G812" s="88"/>
      <c r="H812" s="89"/>
    </row>
    <row r="813" ht="15.75" customHeight="1">
      <c r="A813" s="74"/>
      <c r="B813" s="88"/>
      <c r="C813" s="89"/>
      <c r="D813" s="88"/>
      <c r="E813" s="89"/>
      <c r="F813" s="88"/>
      <c r="G813" s="88"/>
      <c r="H813" s="89"/>
    </row>
    <row r="814" ht="15.75" customHeight="1">
      <c r="A814" s="74"/>
      <c r="B814" s="88"/>
      <c r="C814" s="89"/>
      <c r="D814" s="88"/>
      <c r="E814" s="89"/>
      <c r="F814" s="88"/>
      <c r="G814" s="88"/>
      <c r="H814" s="89"/>
    </row>
    <row r="815" ht="15.75" customHeight="1">
      <c r="A815" s="74"/>
      <c r="B815" s="88"/>
      <c r="C815" s="89"/>
      <c r="D815" s="88"/>
      <c r="E815" s="89"/>
      <c r="F815" s="88"/>
      <c r="G815" s="88"/>
      <c r="H815" s="89"/>
    </row>
    <row r="816" ht="15.75" customHeight="1">
      <c r="A816" s="74"/>
      <c r="B816" s="88"/>
      <c r="C816" s="89"/>
      <c r="D816" s="88"/>
      <c r="E816" s="89"/>
      <c r="F816" s="88"/>
      <c r="G816" s="88"/>
      <c r="H816" s="89"/>
    </row>
    <row r="817" ht="15.75" customHeight="1">
      <c r="A817" s="74"/>
      <c r="B817" s="88"/>
      <c r="C817" s="89"/>
      <c r="D817" s="88"/>
      <c r="E817" s="89"/>
      <c r="F817" s="88"/>
      <c r="G817" s="88"/>
      <c r="H817" s="89"/>
    </row>
    <row r="818" ht="15.75" customHeight="1">
      <c r="A818" s="74"/>
      <c r="B818" s="88"/>
      <c r="C818" s="89"/>
      <c r="D818" s="88"/>
      <c r="E818" s="89"/>
      <c r="F818" s="88"/>
      <c r="G818" s="88"/>
      <c r="H818" s="89"/>
    </row>
    <row r="819" ht="15.75" customHeight="1">
      <c r="A819" s="74"/>
      <c r="B819" s="88"/>
      <c r="C819" s="89"/>
      <c r="D819" s="88"/>
      <c r="E819" s="89"/>
      <c r="F819" s="88"/>
      <c r="G819" s="88"/>
      <c r="H819" s="89"/>
    </row>
    <row r="820" ht="15.75" customHeight="1">
      <c r="A820" s="74"/>
      <c r="B820" s="88"/>
      <c r="C820" s="89"/>
      <c r="D820" s="88"/>
      <c r="E820" s="89"/>
      <c r="F820" s="88"/>
      <c r="G820" s="88"/>
      <c r="H820" s="89"/>
    </row>
    <row r="821" ht="15.75" customHeight="1">
      <c r="A821" s="74"/>
      <c r="B821" s="88"/>
      <c r="C821" s="89"/>
      <c r="D821" s="88"/>
      <c r="E821" s="89"/>
      <c r="F821" s="88"/>
      <c r="G821" s="88"/>
      <c r="H821" s="89"/>
    </row>
    <row r="822" ht="15.75" customHeight="1">
      <c r="A822" s="74"/>
      <c r="B822" s="88"/>
      <c r="C822" s="89"/>
      <c r="D822" s="88"/>
      <c r="E822" s="89"/>
      <c r="F822" s="88"/>
      <c r="G822" s="88"/>
      <c r="H822" s="89"/>
    </row>
    <row r="823" ht="15.75" customHeight="1">
      <c r="A823" s="74"/>
      <c r="B823" s="88"/>
      <c r="C823" s="89"/>
      <c r="D823" s="88"/>
      <c r="E823" s="89"/>
      <c r="F823" s="88"/>
      <c r="G823" s="88"/>
      <c r="H823" s="89"/>
    </row>
    <row r="824" ht="15.75" customHeight="1">
      <c r="A824" s="74"/>
      <c r="B824" s="88"/>
      <c r="C824" s="89"/>
      <c r="D824" s="88"/>
      <c r="E824" s="89"/>
      <c r="F824" s="88"/>
      <c r="G824" s="88"/>
      <c r="H824" s="89"/>
    </row>
    <row r="825" ht="15.75" customHeight="1">
      <c r="A825" s="74"/>
      <c r="B825" s="88"/>
      <c r="C825" s="89"/>
      <c r="D825" s="88"/>
      <c r="E825" s="89"/>
      <c r="F825" s="88"/>
      <c r="G825" s="88"/>
      <c r="H825" s="89"/>
    </row>
    <row r="826" ht="15.75" customHeight="1">
      <c r="A826" s="74"/>
      <c r="B826" s="88"/>
      <c r="C826" s="89"/>
      <c r="D826" s="88"/>
      <c r="E826" s="89"/>
      <c r="F826" s="88"/>
      <c r="G826" s="88"/>
      <c r="H826" s="89"/>
    </row>
    <row r="827" ht="15.75" customHeight="1">
      <c r="A827" s="74"/>
      <c r="B827" s="88"/>
      <c r="C827" s="89"/>
      <c r="D827" s="88"/>
      <c r="E827" s="89"/>
      <c r="F827" s="88"/>
      <c r="G827" s="88"/>
      <c r="H827" s="89"/>
    </row>
    <row r="828" ht="15.75" customHeight="1">
      <c r="A828" s="74"/>
      <c r="B828" s="88"/>
      <c r="C828" s="89"/>
      <c r="D828" s="88"/>
      <c r="E828" s="89"/>
      <c r="F828" s="88"/>
      <c r="G828" s="88"/>
      <c r="H828" s="89"/>
    </row>
    <row r="829" ht="15.75" customHeight="1">
      <c r="A829" s="74"/>
      <c r="B829" s="88"/>
      <c r="C829" s="89"/>
      <c r="D829" s="88"/>
      <c r="E829" s="89"/>
      <c r="F829" s="88"/>
      <c r="G829" s="88"/>
      <c r="H829" s="89"/>
    </row>
    <row r="830" ht="15.75" customHeight="1">
      <c r="A830" s="74"/>
      <c r="B830" s="88"/>
      <c r="C830" s="89"/>
      <c r="D830" s="88"/>
      <c r="E830" s="89"/>
      <c r="F830" s="88"/>
      <c r="G830" s="88"/>
      <c r="H830" s="89"/>
    </row>
    <row r="831" ht="15.75" customHeight="1">
      <c r="A831" s="74"/>
      <c r="B831" s="88"/>
      <c r="C831" s="89"/>
      <c r="D831" s="88"/>
      <c r="E831" s="89"/>
      <c r="F831" s="88"/>
      <c r="G831" s="88"/>
      <c r="H831" s="89"/>
    </row>
    <row r="832" ht="15.75" customHeight="1">
      <c r="A832" s="74"/>
      <c r="B832" s="88"/>
      <c r="C832" s="89"/>
      <c r="D832" s="88"/>
      <c r="E832" s="89"/>
      <c r="F832" s="88"/>
      <c r="G832" s="88"/>
      <c r="H832" s="89"/>
    </row>
    <row r="833" ht="15.75" customHeight="1">
      <c r="A833" s="74"/>
      <c r="B833" s="88"/>
      <c r="C833" s="89"/>
      <c r="D833" s="88"/>
      <c r="E833" s="89"/>
      <c r="F833" s="88"/>
      <c r="G833" s="88"/>
      <c r="H833" s="89"/>
    </row>
    <row r="834" ht="15.75" customHeight="1">
      <c r="A834" s="74"/>
      <c r="B834" s="88"/>
      <c r="C834" s="89"/>
      <c r="D834" s="88"/>
      <c r="E834" s="89"/>
      <c r="F834" s="88"/>
      <c r="G834" s="88"/>
      <c r="H834" s="89"/>
    </row>
    <row r="835" ht="15.75" customHeight="1">
      <c r="A835" s="74"/>
      <c r="B835" s="88"/>
      <c r="C835" s="89"/>
      <c r="D835" s="88"/>
      <c r="E835" s="89"/>
      <c r="F835" s="88"/>
      <c r="G835" s="88"/>
      <c r="H835" s="89"/>
    </row>
    <row r="836" ht="15.75" customHeight="1">
      <c r="A836" s="74"/>
      <c r="B836" s="88"/>
      <c r="C836" s="89"/>
      <c r="D836" s="88"/>
      <c r="E836" s="89"/>
      <c r="F836" s="88"/>
      <c r="G836" s="88"/>
      <c r="H836" s="89"/>
    </row>
    <row r="837" ht="15.75" customHeight="1">
      <c r="A837" s="74"/>
      <c r="B837" s="88"/>
      <c r="C837" s="89"/>
      <c r="D837" s="88"/>
      <c r="E837" s="89"/>
      <c r="F837" s="88"/>
      <c r="G837" s="88"/>
      <c r="H837" s="89"/>
    </row>
    <row r="838" ht="15.75" customHeight="1">
      <c r="A838" s="74"/>
      <c r="B838" s="88"/>
      <c r="C838" s="89"/>
      <c r="D838" s="88"/>
      <c r="E838" s="89"/>
      <c r="F838" s="88"/>
      <c r="G838" s="88"/>
      <c r="H838" s="89"/>
    </row>
    <row r="839" ht="15.75" customHeight="1">
      <c r="A839" s="74"/>
      <c r="B839" s="88"/>
      <c r="C839" s="89"/>
      <c r="D839" s="88"/>
      <c r="E839" s="89"/>
      <c r="F839" s="88"/>
      <c r="G839" s="88"/>
      <c r="H839" s="89"/>
    </row>
    <row r="840" ht="15.75" customHeight="1">
      <c r="A840" s="74"/>
      <c r="B840" s="88"/>
      <c r="C840" s="89"/>
      <c r="D840" s="88"/>
      <c r="E840" s="89"/>
      <c r="F840" s="88"/>
      <c r="G840" s="88"/>
      <c r="H840" s="89"/>
    </row>
    <row r="841" ht="15.75" customHeight="1">
      <c r="A841" s="74"/>
      <c r="B841" s="88"/>
      <c r="C841" s="89"/>
      <c r="D841" s="88"/>
      <c r="E841" s="89"/>
      <c r="F841" s="88"/>
      <c r="G841" s="88"/>
      <c r="H841" s="89"/>
    </row>
    <row r="842" ht="15.75" customHeight="1">
      <c r="A842" s="74"/>
      <c r="B842" s="88"/>
      <c r="C842" s="89"/>
      <c r="D842" s="88"/>
      <c r="E842" s="89"/>
      <c r="F842" s="88"/>
      <c r="G842" s="88"/>
      <c r="H842" s="89"/>
    </row>
    <row r="843" ht="15.75" customHeight="1">
      <c r="A843" s="74"/>
      <c r="B843" s="88"/>
      <c r="C843" s="89"/>
      <c r="D843" s="88"/>
      <c r="E843" s="89"/>
      <c r="F843" s="88"/>
      <c r="G843" s="88"/>
      <c r="H843" s="89"/>
    </row>
    <row r="844" ht="15.75" customHeight="1">
      <c r="A844" s="74"/>
      <c r="B844" s="88"/>
      <c r="C844" s="89"/>
      <c r="D844" s="88"/>
      <c r="E844" s="89"/>
      <c r="F844" s="88"/>
      <c r="G844" s="88"/>
      <c r="H844" s="89"/>
    </row>
    <row r="845" ht="15.75" customHeight="1">
      <c r="A845" s="74"/>
      <c r="B845" s="88"/>
      <c r="C845" s="89"/>
      <c r="D845" s="88"/>
      <c r="E845" s="89"/>
      <c r="F845" s="88"/>
      <c r="G845" s="88"/>
      <c r="H845" s="89"/>
    </row>
    <row r="846" ht="15.75" customHeight="1">
      <c r="A846" s="74"/>
      <c r="B846" s="88"/>
      <c r="C846" s="89"/>
      <c r="D846" s="88"/>
      <c r="E846" s="89"/>
      <c r="F846" s="88"/>
      <c r="G846" s="88"/>
      <c r="H846" s="89"/>
    </row>
    <row r="847" ht="15.75" customHeight="1">
      <c r="A847" s="74"/>
      <c r="B847" s="88"/>
      <c r="C847" s="89"/>
      <c r="D847" s="88"/>
      <c r="E847" s="89"/>
      <c r="F847" s="88"/>
      <c r="G847" s="88"/>
      <c r="H847" s="89"/>
    </row>
    <row r="848" ht="15.75" customHeight="1">
      <c r="A848" s="74"/>
      <c r="B848" s="88"/>
      <c r="C848" s="89"/>
      <c r="D848" s="88"/>
      <c r="E848" s="89"/>
      <c r="F848" s="88"/>
      <c r="G848" s="88"/>
      <c r="H848" s="89"/>
    </row>
    <row r="849" ht="15.75" customHeight="1">
      <c r="A849" s="74"/>
      <c r="B849" s="88"/>
      <c r="C849" s="89"/>
      <c r="D849" s="88"/>
      <c r="E849" s="89"/>
      <c r="F849" s="88"/>
      <c r="G849" s="88"/>
      <c r="H849" s="89"/>
    </row>
    <row r="850" ht="15.75" customHeight="1">
      <c r="A850" s="74"/>
      <c r="B850" s="88"/>
      <c r="C850" s="89"/>
      <c r="D850" s="88"/>
      <c r="E850" s="89"/>
      <c r="F850" s="88"/>
      <c r="G850" s="88"/>
      <c r="H850" s="89"/>
    </row>
    <row r="851" ht="15.75" customHeight="1">
      <c r="A851" s="74"/>
      <c r="B851" s="88"/>
      <c r="C851" s="89"/>
      <c r="D851" s="88"/>
      <c r="E851" s="89"/>
      <c r="F851" s="88"/>
      <c r="G851" s="88"/>
      <c r="H851" s="89"/>
    </row>
    <row r="852" ht="15.75" customHeight="1">
      <c r="A852" s="74"/>
      <c r="B852" s="88"/>
      <c r="C852" s="89"/>
      <c r="D852" s="88"/>
      <c r="E852" s="89"/>
      <c r="F852" s="88"/>
      <c r="G852" s="88"/>
      <c r="H852" s="89"/>
    </row>
    <row r="853" ht="15.75" customHeight="1">
      <c r="A853" s="74"/>
      <c r="B853" s="88"/>
      <c r="C853" s="89"/>
      <c r="D853" s="88"/>
      <c r="E853" s="89"/>
      <c r="F853" s="88"/>
      <c r="G853" s="88"/>
      <c r="H853" s="89"/>
    </row>
    <row r="854" ht="15.75" customHeight="1">
      <c r="A854" s="74"/>
      <c r="B854" s="88"/>
      <c r="C854" s="89"/>
      <c r="D854" s="88"/>
      <c r="E854" s="89"/>
      <c r="F854" s="88"/>
      <c r="G854" s="88"/>
      <c r="H854" s="89"/>
    </row>
    <row r="855" ht="15.75" customHeight="1">
      <c r="A855" s="74"/>
      <c r="B855" s="88"/>
      <c r="C855" s="89"/>
      <c r="D855" s="88"/>
      <c r="E855" s="89"/>
      <c r="F855" s="88"/>
      <c r="G855" s="88"/>
      <c r="H855" s="89"/>
    </row>
    <row r="856" ht="15.75" customHeight="1">
      <c r="A856" s="74"/>
      <c r="B856" s="88"/>
      <c r="C856" s="89"/>
      <c r="D856" s="88"/>
      <c r="E856" s="89"/>
      <c r="F856" s="88"/>
      <c r="G856" s="88"/>
      <c r="H856" s="89"/>
    </row>
    <row r="857" ht="15.75" customHeight="1">
      <c r="A857" s="74"/>
      <c r="B857" s="88"/>
      <c r="C857" s="89"/>
      <c r="D857" s="88"/>
      <c r="E857" s="89"/>
      <c r="F857" s="88"/>
      <c r="G857" s="88"/>
      <c r="H857" s="89"/>
    </row>
    <row r="858" ht="15.75" customHeight="1">
      <c r="A858" s="74"/>
      <c r="B858" s="88"/>
      <c r="C858" s="89"/>
      <c r="D858" s="88"/>
      <c r="E858" s="89"/>
      <c r="F858" s="88"/>
      <c r="G858" s="88"/>
      <c r="H858" s="89"/>
    </row>
    <row r="859" ht="15.75" customHeight="1">
      <c r="A859" s="74"/>
      <c r="B859" s="88"/>
      <c r="C859" s="89"/>
      <c r="D859" s="88"/>
      <c r="E859" s="89"/>
      <c r="F859" s="88"/>
      <c r="G859" s="88"/>
      <c r="H859" s="89"/>
    </row>
    <row r="860" ht="15.75" customHeight="1">
      <c r="A860" s="74"/>
      <c r="B860" s="88"/>
      <c r="C860" s="89"/>
      <c r="D860" s="88"/>
      <c r="E860" s="89"/>
      <c r="F860" s="88"/>
      <c r="G860" s="88"/>
      <c r="H860" s="89"/>
    </row>
    <row r="861" ht="15.75" customHeight="1">
      <c r="A861" s="74"/>
      <c r="B861" s="88"/>
      <c r="C861" s="89"/>
      <c r="D861" s="88"/>
      <c r="E861" s="89"/>
      <c r="F861" s="88"/>
      <c r="G861" s="88"/>
      <c r="H861" s="89"/>
    </row>
    <row r="862" ht="15.75" customHeight="1">
      <c r="A862" s="74"/>
      <c r="B862" s="88"/>
      <c r="C862" s="89"/>
      <c r="D862" s="88"/>
      <c r="E862" s="89"/>
      <c r="F862" s="88"/>
      <c r="G862" s="88"/>
      <c r="H862" s="89"/>
    </row>
    <row r="863" ht="15.75" customHeight="1">
      <c r="A863" s="74"/>
      <c r="B863" s="88"/>
      <c r="C863" s="89"/>
      <c r="D863" s="88"/>
      <c r="E863" s="89"/>
      <c r="F863" s="88"/>
      <c r="G863" s="88"/>
      <c r="H863" s="89"/>
    </row>
    <row r="864" ht="15.75" customHeight="1">
      <c r="A864" s="74"/>
      <c r="B864" s="88"/>
      <c r="C864" s="89"/>
      <c r="D864" s="88"/>
      <c r="E864" s="89"/>
      <c r="F864" s="88"/>
      <c r="G864" s="88"/>
      <c r="H864" s="89"/>
    </row>
    <row r="865" ht="15.75" customHeight="1">
      <c r="A865" s="74"/>
      <c r="B865" s="88"/>
      <c r="C865" s="89"/>
      <c r="D865" s="88"/>
      <c r="E865" s="89"/>
      <c r="F865" s="88"/>
      <c r="G865" s="88"/>
      <c r="H865" s="89"/>
    </row>
    <row r="866" ht="15.75" customHeight="1">
      <c r="A866" s="74"/>
      <c r="B866" s="88"/>
      <c r="C866" s="89"/>
      <c r="D866" s="88"/>
      <c r="E866" s="89"/>
      <c r="F866" s="88"/>
      <c r="G866" s="88"/>
      <c r="H866" s="89"/>
    </row>
    <row r="867" ht="15.75" customHeight="1">
      <c r="A867" s="74"/>
      <c r="B867" s="88"/>
      <c r="C867" s="89"/>
      <c r="D867" s="88"/>
      <c r="E867" s="89"/>
      <c r="F867" s="88"/>
      <c r="G867" s="88"/>
      <c r="H867" s="89"/>
    </row>
    <row r="868" ht="15.75" customHeight="1">
      <c r="A868" s="74"/>
      <c r="B868" s="88"/>
      <c r="C868" s="89"/>
      <c r="D868" s="88"/>
      <c r="E868" s="89"/>
      <c r="F868" s="88"/>
      <c r="G868" s="88"/>
      <c r="H868" s="89"/>
    </row>
    <row r="869" ht="15.75" customHeight="1">
      <c r="A869" s="74"/>
      <c r="B869" s="88"/>
      <c r="C869" s="89"/>
      <c r="D869" s="88"/>
      <c r="E869" s="89"/>
      <c r="F869" s="88"/>
      <c r="G869" s="88"/>
      <c r="H869" s="89"/>
    </row>
    <row r="870" ht="15.75" customHeight="1">
      <c r="A870" s="74"/>
      <c r="B870" s="88"/>
      <c r="C870" s="89"/>
      <c r="D870" s="88"/>
      <c r="E870" s="89"/>
      <c r="F870" s="88"/>
      <c r="G870" s="88"/>
      <c r="H870" s="89"/>
    </row>
    <row r="871" ht="15.75" customHeight="1">
      <c r="A871" s="74"/>
      <c r="B871" s="88"/>
      <c r="C871" s="89"/>
      <c r="D871" s="88"/>
      <c r="E871" s="89"/>
      <c r="F871" s="88"/>
      <c r="G871" s="88"/>
      <c r="H871" s="89"/>
    </row>
    <row r="872" ht="15.75" customHeight="1">
      <c r="A872" s="74"/>
      <c r="B872" s="88"/>
      <c r="C872" s="89"/>
      <c r="D872" s="88"/>
      <c r="E872" s="89"/>
      <c r="F872" s="88"/>
      <c r="G872" s="88"/>
      <c r="H872" s="89"/>
    </row>
    <row r="873" ht="15.75" customHeight="1">
      <c r="A873" s="74"/>
      <c r="B873" s="88"/>
      <c r="C873" s="89"/>
      <c r="D873" s="88"/>
      <c r="E873" s="89"/>
      <c r="F873" s="88"/>
      <c r="G873" s="88"/>
      <c r="H873" s="89"/>
    </row>
    <row r="874" ht="15.75" customHeight="1">
      <c r="A874" s="74"/>
      <c r="B874" s="88"/>
      <c r="C874" s="89"/>
      <c r="D874" s="88"/>
      <c r="E874" s="89"/>
      <c r="F874" s="88"/>
      <c r="G874" s="88"/>
      <c r="H874" s="89"/>
    </row>
    <row r="875" ht="15.75" customHeight="1">
      <c r="A875" s="74"/>
      <c r="B875" s="88"/>
      <c r="C875" s="89"/>
      <c r="D875" s="88"/>
      <c r="E875" s="89"/>
      <c r="F875" s="88"/>
      <c r="G875" s="88"/>
      <c r="H875" s="89"/>
    </row>
    <row r="876" ht="15.75" customHeight="1">
      <c r="A876" s="74"/>
      <c r="B876" s="88"/>
      <c r="C876" s="89"/>
      <c r="D876" s="88"/>
      <c r="E876" s="89"/>
      <c r="F876" s="88"/>
      <c r="G876" s="88"/>
      <c r="H876" s="89"/>
    </row>
    <row r="877" ht="15.75" customHeight="1">
      <c r="A877" s="74"/>
      <c r="B877" s="88"/>
      <c r="C877" s="89"/>
      <c r="D877" s="88"/>
      <c r="E877" s="89"/>
      <c r="F877" s="88"/>
      <c r="G877" s="88"/>
      <c r="H877" s="89"/>
    </row>
    <row r="878" ht="15.75" customHeight="1">
      <c r="A878" s="74"/>
      <c r="B878" s="88"/>
      <c r="C878" s="89"/>
      <c r="D878" s="88"/>
      <c r="E878" s="89"/>
      <c r="F878" s="88"/>
      <c r="G878" s="88"/>
      <c r="H878" s="89"/>
    </row>
    <row r="879" ht="15.75" customHeight="1">
      <c r="A879" s="74"/>
      <c r="B879" s="88"/>
      <c r="C879" s="89"/>
      <c r="D879" s="88"/>
      <c r="E879" s="89"/>
      <c r="F879" s="88"/>
      <c r="G879" s="88"/>
      <c r="H879" s="89"/>
    </row>
    <row r="880" ht="15.75" customHeight="1">
      <c r="A880" s="74"/>
      <c r="B880" s="88"/>
      <c r="C880" s="89"/>
      <c r="D880" s="88"/>
      <c r="E880" s="89"/>
      <c r="F880" s="88"/>
      <c r="G880" s="88"/>
      <c r="H880" s="89"/>
    </row>
    <row r="881" ht="15.75" customHeight="1">
      <c r="A881" s="74"/>
      <c r="B881" s="88"/>
      <c r="C881" s="89"/>
      <c r="D881" s="88"/>
      <c r="E881" s="89"/>
      <c r="F881" s="88"/>
      <c r="G881" s="88"/>
      <c r="H881" s="89"/>
    </row>
    <row r="882" ht="15.75" customHeight="1">
      <c r="A882" s="74"/>
      <c r="B882" s="88"/>
      <c r="C882" s="89"/>
      <c r="D882" s="88"/>
      <c r="E882" s="89"/>
      <c r="F882" s="88"/>
      <c r="G882" s="88"/>
      <c r="H882" s="89"/>
    </row>
    <row r="883" ht="15.75" customHeight="1">
      <c r="A883" s="74"/>
      <c r="B883" s="88"/>
      <c r="C883" s="89"/>
      <c r="D883" s="88"/>
      <c r="E883" s="89"/>
      <c r="F883" s="88"/>
      <c r="G883" s="88"/>
      <c r="H883" s="89"/>
    </row>
    <row r="884" ht="15.75" customHeight="1">
      <c r="A884" s="74"/>
      <c r="B884" s="88"/>
      <c r="C884" s="89"/>
      <c r="D884" s="88"/>
      <c r="E884" s="89"/>
      <c r="F884" s="88"/>
      <c r="G884" s="88"/>
      <c r="H884" s="89"/>
    </row>
    <row r="885" ht="15.75" customHeight="1">
      <c r="A885" s="74"/>
      <c r="B885" s="88"/>
      <c r="C885" s="89"/>
      <c r="D885" s="88"/>
      <c r="E885" s="89"/>
      <c r="F885" s="88"/>
      <c r="G885" s="88"/>
      <c r="H885" s="89"/>
    </row>
    <row r="886" ht="15.75" customHeight="1">
      <c r="A886" s="74"/>
      <c r="B886" s="88"/>
      <c r="C886" s="89"/>
      <c r="D886" s="88"/>
      <c r="E886" s="89"/>
      <c r="F886" s="88"/>
      <c r="G886" s="88"/>
      <c r="H886" s="89"/>
    </row>
    <row r="887" ht="15.75" customHeight="1">
      <c r="A887" s="74"/>
      <c r="B887" s="88"/>
      <c r="C887" s="89"/>
      <c r="D887" s="88"/>
      <c r="E887" s="89"/>
      <c r="F887" s="88"/>
      <c r="G887" s="88"/>
      <c r="H887" s="89"/>
    </row>
    <row r="888" ht="15.75" customHeight="1">
      <c r="A888" s="74"/>
      <c r="B888" s="88"/>
      <c r="C888" s="89"/>
      <c r="D888" s="88"/>
      <c r="E888" s="89"/>
      <c r="F888" s="88"/>
      <c r="G888" s="88"/>
      <c r="H888" s="89"/>
    </row>
    <row r="889" ht="15.75" customHeight="1">
      <c r="A889" s="74"/>
      <c r="B889" s="88"/>
      <c r="C889" s="89"/>
      <c r="D889" s="88"/>
      <c r="E889" s="89"/>
      <c r="F889" s="88"/>
      <c r="G889" s="88"/>
      <c r="H889" s="89"/>
    </row>
    <row r="890" ht="15.75" customHeight="1">
      <c r="A890" s="74"/>
      <c r="B890" s="88"/>
      <c r="C890" s="89"/>
      <c r="D890" s="88"/>
      <c r="E890" s="89"/>
      <c r="F890" s="88"/>
      <c r="G890" s="88"/>
      <c r="H890" s="89"/>
    </row>
    <row r="891" ht="15.75" customHeight="1">
      <c r="A891" s="74"/>
      <c r="B891" s="88"/>
      <c r="C891" s="89"/>
      <c r="D891" s="88"/>
      <c r="E891" s="89"/>
      <c r="F891" s="88"/>
      <c r="G891" s="88"/>
      <c r="H891" s="89"/>
    </row>
    <row r="892" ht="15.75" customHeight="1">
      <c r="A892" s="74"/>
      <c r="B892" s="88"/>
      <c r="C892" s="89"/>
      <c r="D892" s="88"/>
      <c r="E892" s="89"/>
      <c r="F892" s="88"/>
      <c r="G892" s="88"/>
      <c r="H892" s="89"/>
    </row>
    <row r="893" ht="15.75" customHeight="1">
      <c r="A893" s="74"/>
      <c r="B893" s="88"/>
      <c r="C893" s="89"/>
      <c r="D893" s="88"/>
      <c r="E893" s="89"/>
      <c r="F893" s="88"/>
      <c r="G893" s="88"/>
      <c r="H893" s="89"/>
    </row>
    <row r="894" ht="15.75" customHeight="1">
      <c r="A894" s="74"/>
      <c r="B894" s="88"/>
      <c r="C894" s="89"/>
      <c r="D894" s="88"/>
      <c r="E894" s="89"/>
      <c r="F894" s="88"/>
      <c r="G894" s="88"/>
      <c r="H894" s="89"/>
    </row>
    <row r="895" ht="15.75" customHeight="1">
      <c r="A895" s="74"/>
      <c r="B895" s="88"/>
      <c r="C895" s="89"/>
      <c r="D895" s="88"/>
      <c r="E895" s="89"/>
      <c r="F895" s="88"/>
      <c r="G895" s="88"/>
      <c r="H895" s="89"/>
    </row>
    <row r="896" ht="15.75" customHeight="1">
      <c r="A896" s="74"/>
      <c r="B896" s="88"/>
      <c r="C896" s="89"/>
      <c r="D896" s="88"/>
      <c r="E896" s="89"/>
      <c r="F896" s="88"/>
      <c r="G896" s="88"/>
      <c r="H896" s="89"/>
    </row>
    <row r="897" ht="15.75" customHeight="1">
      <c r="A897" s="74"/>
      <c r="B897" s="88"/>
      <c r="C897" s="89"/>
      <c r="D897" s="88"/>
      <c r="E897" s="89"/>
      <c r="F897" s="88"/>
      <c r="G897" s="88"/>
      <c r="H897" s="89"/>
    </row>
    <row r="898" ht="15.75" customHeight="1">
      <c r="A898" s="74"/>
      <c r="B898" s="88"/>
      <c r="C898" s="89"/>
      <c r="D898" s="88"/>
      <c r="E898" s="89"/>
      <c r="F898" s="88"/>
      <c r="G898" s="88"/>
      <c r="H898" s="89"/>
    </row>
    <row r="899" ht="15.75" customHeight="1">
      <c r="A899" s="74"/>
      <c r="B899" s="88"/>
      <c r="C899" s="89"/>
      <c r="D899" s="88"/>
      <c r="E899" s="89"/>
      <c r="F899" s="88"/>
      <c r="G899" s="88"/>
      <c r="H899" s="89"/>
    </row>
    <row r="900" ht="15.75" customHeight="1">
      <c r="A900" s="74"/>
      <c r="B900" s="88"/>
      <c r="C900" s="89"/>
      <c r="D900" s="88"/>
      <c r="E900" s="89"/>
      <c r="F900" s="88"/>
      <c r="G900" s="88"/>
      <c r="H900" s="89"/>
    </row>
    <row r="901" ht="15.75" customHeight="1">
      <c r="A901" s="74"/>
      <c r="B901" s="88"/>
      <c r="C901" s="89"/>
      <c r="D901" s="88"/>
      <c r="E901" s="89"/>
      <c r="F901" s="88"/>
      <c r="G901" s="88"/>
      <c r="H901" s="89"/>
    </row>
    <row r="902" ht="15.75" customHeight="1">
      <c r="A902" s="74"/>
      <c r="B902" s="88"/>
      <c r="C902" s="89"/>
      <c r="D902" s="88"/>
      <c r="E902" s="89"/>
      <c r="F902" s="88"/>
      <c r="G902" s="88"/>
      <c r="H902" s="89"/>
    </row>
    <row r="903" ht="15.75" customHeight="1">
      <c r="A903" s="74"/>
      <c r="B903" s="88"/>
      <c r="C903" s="89"/>
      <c r="D903" s="88"/>
      <c r="E903" s="89"/>
      <c r="F903" s="88"/>
      <c r="G903" s="88"/>
      <c r="H903" s="89"/>
    </row>
    <row r="904" ht="15.75" customHeight="1">
      <c r="A904" s="74"/>
      <c r="B904" s="88"/>
      <c r="C904" s="89"/>
      <c r="D904" s="88"/>
      <c r="E904" s="89"/>
      <c r="F904" s="88"/>
      <c r="G904" s="88"/>
      <c r="H904" s="89"/>
    </row>
    <row r="905" ht="15.75" customHeight="1">
      <c r="A905" s="74"/>
      <c r="B905" s="88"/>
      <c r="C905" s="89"/>
      <c r="D905" s="88"/>
      <c r="E905" s="89"/>
      <c r="F905" s="88"/>
      <c r="G905" s="88"/>
      <c r="H905" s="89"/>
    </row>
    <row r="906" ht="15.75" customHeight="1">
      <c r="A906" s="74"/>
      <c r="B906" s="88"/>
      <c r="C906" s="89"/>
      <c r="D906" s="88"/>
      <c r="E906" s="89"/>
      <c r="F906" s="88"/>
      <c r="G906" s="88"/>
      <c r="H906" s="89"/>
    </row>
    <row r="907" ht="15.75" customHeight="1">
      <c r="A907" s="74"/>
      <c r="B907" s="88"/>
      <c r="C907" s="89"/>
      <c r="D907" s="88"/>
      <c r="E907" s="89"/>
      <c r="F907" s="88"/>
      <c r="G907" s="88"/>
      <c r="H907" s="89"/>
    </row>
    <row r="908" ht="15.75" customHeight="1">
      <c r="A908" s="74"/>
      <c r="B908" s="88"/>
      <c r="C908" s="89"/>
      <c r="D908" s="88"/>
      <c r="E908" s="89"/>
      <c r="F908" s="88"/>
      <c r="G908" s="88"/>
      <c r="H908" s="89"/>
    </row>
    <row r="909" ht="15.75" customHeight="1">
      <c r="A909" s="74"/>
      <c r="B909" s="88"/>
      <c r="C909" s="89"/>
      <c r="D909" s="88"/>
      <c r="E909" s="89"/>
      <c r="F909" s="88"/>
      <c r="G909" s="88"/>
      <c r="H909" s="89"/>
    </row>
    <row r="910" ht="15.75" customHeight="1">
      <c r="A910" s="74"/>
      <c r="B910" s="88"/>
      <c r="C910" s="89"/>
      <c r="D910" s="88"/>
      <c r="E910" s="89"/>
      <c r="F910" s="88"/>
      <c r="G910" s="88"/>
      <c r="H910" s="89"/>
    </row>
    <row r="911" ht="15.75" customHeight="1">
      <c r="A911" s="74"/>
      <c r="B911" s="88"/>
      <c r="C911" s="89"/>
      <c r="D911" s="88"/>
      <c r="E911" s="89"/>
      <c r="F911" s="88"/>
      <c r="G911" s="88"/>
      <c r="H911" s="89"/>
    </row>
    <row r="912" ht="15.75" customHeight="1">
      <c r="A912" s="74"/>
      <c r="B912" s="88"/>
      <c r="C912" s="89"/>
      <c r="D912" s="88"/>
      <c r="E912" s="89"/>
      <c r="F912" s="88"/>
      <c r="G912" s="88"/>
      <c r="H912" s="89"/>
    </row>
    <row r="913" ht="15.75" customHeight="1">
      <c r="A913" s="74"/>
      <c r="B913" s="88"/>
      <c r="C913" s="89"/>
      <c r="D913" s="88"/>
      <c r="E913" s="89"/>
      <c r="F913" s="88"/>
      <c r="G913" s="88"/>
      <c r="H913" s="89"/>
    </row>
    <row r="914" ht="15.75" customHeight="1">
      <c r="A914" s="74"/>
      <c r="B914" s="88"/>
      <c r="C914" s="89"/>
      <c r="D914" s="88"/>
      <c r="E914" s="89"/>
      <c r="F914" s="88"/>
      <c r="G914" s="88"/>
      <c r="H914" s="89"/>
    </row>
    <row r="915" ht="15.75" customHeight="1">
      <c r="A915" s="74"/>
      <c r="B915" s="88"/>
      <c r="C915" s="89"/>
      <c r="D915" s="88"/>
      <c r="E915" s="89"/>
      <c r="F915" s="88"/>
      <c r="G915" s="88"/>
      <c r="H915" s="89"/>
    </row>
    <row r="916" ht="15.75" customHeight="1">
      <c r="A916" s="74"/>
      <c r="B916" s="88"/>
      <c r="C916" s="89"/>
      <c r="D916" s="88"/>
      <c r="E916" s="89"/>
      <c r="F916" s="88"/>
      <c r="G916" s="88"/>
      <c r="H916" s="89"/>
    </row>
    <row r="917" ht="15.75" customHeight="1">
      <c r="A917" s="74"/>
      <c r="B917" s="88"/>
      <c r="C917" s="89"/>
      <c r="D917" s="88"/>
      <c r="E917" s="89"/>
      <c r="F917" s="88"/>
      <c r="G917" s="88"/>
      <c r="H917" s="89"/>
    </row>
    <row r="918" ht="15.75" customHeight="1">
      <c r="A918" s="74"/>
      <c r="B918" s="88"/>
      <c r="C918" s="89"/>
      <c r="D918" s="88"/>
      <c r="E918" s="89"/>
      <c r="F918" s="88"/>
      <c r="G918" s="88"/>
      <c r="H918" s="89"/>
    </row>
    <row r="919" ht="15.75" customHeight="1">
      <c r="A919" s="74"/>
      <c r="B919" s="88"/>
      <c r="C919" s="89"/>
      <c r="D919" s="88"/>
      <c r="E919" s="89"/>
      <c r="F919" s="88"/>
      <c r="G919" s="88"/>
      <c r="H919" s="89"/>
    </row>
    <row r="920" ht="15.75" customHeight="1">
      <c r="A920" s="74"/>
      <c r="B920" s="88"/>
      <c r="C920" s="89"/>
      <c r="D920" s="88"/>
      <c r="E920" s="89"/>
      <c r="F920" s="88"/>
      <c r="G920" s="88"/>
      <c r="H920" s="89"/>
    </row>
    <row r="921" ht="15.75" customHeight="1">
      <c r="A921" s="74"/>
      <c r="B921" s="88"/>
      <c r="C921" s="89"/>
      <c r="D921" s="88"/>
      <c r="E921" s="89"/>
      <c r="F921" s="88"/>
      <c r="G921" s="88"/>
      <c r="H921" s="89"/>
    </row>
    <row r="922" ht="15.75" customHeight="1">
      <c r="A922" s="74"/>
      <c r="B922" s="88"/>
      <c r="C922" s="89"/>
      <c r="D922" s="88"/>
      <c r="E922" s="89"/>
      <c r="F922" s="88"/>
      <c r="G922" s="88"/>
      <c r="H922" s="89"/>
    </row>
    <row r="923" ht="15.75" customHeight="1">
      <c r="A923" s="74"/>
      <c r="B923" s="88"/>
      <c r="C923" s="89"/>
      <c r="D923" s="88"/>
      <c r="E923" s="89"/>
      <c r="F923" s="88"/>
      <c r="G923" s="88"/>
      <c r="H923" s="89"/>
    </row>
    <row r="924" ht="15.75" customHeight="1">
      <c r="A924" s="74"/>
      <c r="B924" s="88"/>
      <c r="C924" s="89"/>
      <c r="D924" s="88"/>
      <c r="E924" s="89"/>
      <c r="F924" s="88"/>
      <c r="G924" s="88"/>
      <c r="H924" s="89"/>
    </row>
    <row r="925" ht="15.75" customHeight="1">
      <c r="A925" s="74"/>
      <c r="B925" s="88"/>
      <c r="C925" s="89"/>
      <c r="D925" s="88"/>
      <c r="E925" s="89"/>
      <c r="F925" s="88"/>
      <c r="G925" s="88"/>
      <c r="H925" s="89"/>
    </row>
    <row r="926" ht="15.75" customHeight="1">
      <c r="A926" s="74"/>
      <c r="B926" s="88"/>
      <c r="C926" s="89"/>
      <c r="D926" s="88"/>
      <c r="E926" s="89"/>
      <c r="F926" s="88"/>
      <c r="G926" s="88"/>
      <c r="H926" s="89"/>
    </row>
    <row r="927" ht="15.75" customHeight="1">
      <c r="A927" s="74"/>
      <c r="B927" s="88"/>
      <c r="C927" s="89"/>
      <c r="D927" s="88"/>
      <c r="E927" s="89"/>
      <c r="F927" s="88"/>
      <c r="G927" s="88"/>
      <c r="H927" s="89"/>
    </row>
    <row r="928" ht="15.75" customHeight="1">
      <c r="A928" s="74"/>
      <c r="B928" s="88"/>
      <c r="C928" s="89"/>
      <c r="D928" s="88"/>
      <c r="E928" s="89"/>
      <c r="F928" s="88"/>
      <c r="G928" s="88"/>
      <c r="H928" s="89"/>
    </row>
    <row r="929" ht="15.75" customHeight="1">
      <c r="A929" s="74"/>
      <c r="B929" s="88"/>
      <c r="C929" s="89"/>
      <c r="D929" s="88"/>
      <c r="E929" s="89"/>
      <c r="F929" s="88"/>
      <c r="G929" s="88"/>
      <c r="H929" s="89"/>
    </row>
    <row r="930" ht="15.75" customHeight="1">
      <c r="A930" s="74"/>
      <c r="B930" s="88"/>
      <c r="C930" s="89"/>
      <c r="D930" s="88"/>
      <c r="E930" s="89"/>
      <c r="F930" s="88"/>
      <c r="G930" s="88"/>
      <c r="H930" s="89"/>
    </row>
    <row r="931" ht="15.75" customHeight="1">
      <c r="A931" s="74"/>
      <c r="B931" s="88"/>
      <c r="C931" s="89"/>
      <c r="D931" s="88"/>
      <c r="E931" s="89"/>
      <c r="F931" s="88"/>
      <c r="G931" s="88"/>
      <c r="H931" s="89"/>
    </row>
    <row r="932" ht="15.75" customHeight="1">
      <c r="A932" s="74"/>
      <c r="B932" s="88"/>
      <c r="C932" s="89"/>
      <c r="D932" s="88"/>
      <c r="E932" s="89"/>
      <c r="F932" s="88"/>
      <c r="G932" s="88"/>
      <c r="H932" s="89"/>
    </row>
    <row r="933" ht="15.75" customHeight="1">
      <c r="A933" s="74"/>
      <c r="B933" s="88"/>
      <c r="C933" s="89"/>
      <c r="D933" s="88"/>
      <c r="E933" s="89"/>
      <c r="F933" s="88"/>
      <c r="G933" s="88"/>
      <c r="H933" s="89"/>
    </row>
    <row r="934" ht="15.75" customHeight="1">
      <c r="A934" s="74"/>
      <c r="B934" s="88"/>
      <c r="C934" s="89"/>
      <c r="D934" s="88"/>
      <c r="E934" s="89"/>
      <c r="F934" s="88"/>
      <c r="G934" s="88"/>
      <c r="H934" s="89"/>
    </row>
    <row r="935" ht="15.75" customHeight="1">
      <c r="A935" s="74"/>
      <c r="B935" s="88"/>
      <c r="C935" s="89"/>
      <c r="D935" s="88"/>
      <c r="E935" s="89"/>
      <c r="F935" s="88"/>
      <c r="G935" s="88"/>
      <c r="H935" s="89"/>
    </row>
    <row r="936" ht="15.75" customHeight="1">
      <c r="A936" s="74"/>
      <c r="B936" s="88"/>
      <c r="C936" s="89"/>
      <c r="D936" s="88"/>
      <c r="E936" s="89"/>
      <c r="F936" s="88"/>
      <c r="G936" s="88"/>
      <c r="H936" s="89"/>
    </row>
    <row r="937" ht="15.75" customHeight="1">
      <c r="A937" s="74"/>
      <c r="B937" s="88"/>
      <c r="C937" s="89"/>
      <c r="D937" s="88"/>
      <c r="E937" s="89"/>
      <c r="F937" s="88"/>
      <c r="G937" s="88"/>
      <c r="H937" s="89"/>
    </row>
    <row r="938" ht="15.75" customHeight="1">
      <c r="A938" s="74"/>
      <c r="B938" s="88"/>
      <c r="C938" s="89"/>
      <c r="D938" s="88"/>
      <c r="E938" s="89"/>
      <c r="F938" s="88"/>
      <c r="G938" s="88"/>
      <c r="H938" s="89"/>
    </row>
    <row r="939" ht="15.75" customHeight="1">
      <c r="A939" s="74"/>
      <c r="B939" s="88"/>
      <c r="C939" s="89"/>
      <c r="D939" s="88"/>
      <c r="E939" s="89"/>
      <c r="F939" s="88"/>
      <c r="G939" s="88"/>
      <c r="H939" s="89"/>
    </row>
    <row r="940" ht="15.75" customHeight="1">
      <c r="A940" s="74"/>
      <c r="B940" s="88"/>
      <c r="C940" s="89"/>
      <c r="D940" s="88"/>
      <c r="E940" s="89"/>
      <c r="F940" s="88"/>
      <c r="G940" s="88"/>
      <c r="H940" s="89"/>
    </row>
    <row r="941" ht="15.75" customHeight="1">
      <c r="A941" s="74"/>
      <c r="B941" s="88"/>
      <c r="C941" s="89"/>
      <c r="D941" s="88"/>
      <c r="E941" s="89"/>
      <c r="F941" s="88"/>
      <c r="G941" s="88"/>
      <c r="H941" s="89"/>
    </row>
    <row r="942" ht="15.75" customHeight="1">
      <c r="A942" s="74"/>
      <c r="B942" s="88"/>
      <c r="C942" s="89"/>
      <c r="D942" s="88"/>
      <c r="E942" s="89"/>
      <c r="F942" s="88"/>
      <c r="G942" s="88"/>
      <c r="H942" s="89"/>
    </row>
    <row r="943" ht="15.75" customHeight="1">
      <c r="A943" s="74"/>
      <c r="B943" s="88"/>
      <c r="C943" s="89"/>
      <c r="D943" s="88"/>
      <c r="E943" s="89"/>
      <c r="F943" s="88"/>
      <c r="G943" s="88"/>
      <c r="H943" s="89"/>
    </row>
    <row r="944" ht="15.75" customHeight="1">
      <c r="A944" s="74"/>
      <c r="B944" s="88"/>
      <c r="C944" s="89"/>
      <c r="D944" s="88"/>
      <c r="E944" s="89"/>
      <c r="F944" s="88"/>
      <c r="G944" s="88"/>
      <c r="H944" s="89"/>
    </row>
    <row r="945" ht="15.75" customHeight="1">
      <c r="A945" s="74"/>
      <c r="B945" s="88"/>
      <c r="C945" s="89"/>
      <c r="D945" s="88"/>
      <c r="E945" s="89"/>
      <c r="F945" s="88"/>
      <c r="G945" s="88"/>
      <c r="H945" s="89"/>
    </row>
    <row r="946" ht="15.75" customHeight="1">
      <c r="A946" s="74"/>
      <c r="B946" s="88"/>
      <c r="C946" s="89"/>
      <c r="D946" s="88"/>
      <c r="E946" s="89"/>
      <c r="F946" s="88"/>
      <c r="G946" s="88"/>
      <c r="H946" s="89"/>
    </row>
    <row r="947" ht="15.75" customHeight="1">
      <c r="A947" s="74"/>
      <c r="B947" s="88"/>
      <c r="C947" s="89"/>
      <c r="D947" s="88"/>
      <c r="E947" s="89"/>
      <c r="F947" s="88"/>
      <c r="G947" s="88"/>
      <c r="H947" s="89"/>
    </row>
    <row r="948" ht="15.75" customHeight="1">
      <c r="A948" s="74"/>
      <c r="B948" s="88"/>
      <c r="C948" s="89"/>
      <c r="D948" s="88"/>
      <c r="E948" s="89"/>
      <c r="F948" s="88"/>
      <c r="G948" s="88"/>
      <c r="H948" s="89"/>
    </row>
    <row r="949" ht="15.75" customHeight="1">
      <c r="A949" s="74"/>
      <c r="B949" s="88"/>
      <c r="C949" s="89"/>
      <c r="D949" s="88"/>
      <c r="E949" s="89"/>
      <c r="F949" s="88"/>
      <c r="G949" s="88"/>
      <c r="H949" s="89"/>
    </row>
    <row r="950" ht="15.75" customHeight="1">
      <c r="A950" s="74"/>
      <c r="B950" s="88"/>
      <c r="C950" s="89"/>
      <c r="D950" s="88"/>
      <c r="E950" s="89"/>
      <c r="F950" s="88"/>
      <c r="G950" s="88"/>
      <c r="H950" s="89"/>
    </row>
    <row r="951" ht="15.75" customHeight="1">
      <c r="A951" s="74"/>
      <c r="B951" s="88"/>
      <c r="C951" s="89"/>
      <c r="D951" s="88"/>
      <c r="E951" s="89"/>
      <c r="F951" s="88"/>
      <c r="G951" s="88"/>
      <c r="H951" s="89"/>
    </row>
    <row r="952" ht="15.75" customHeight="1">
      <c r="A952" s="74"/>
      <c r="B952" s="88"/>
      <c r="C952" s="89"/>
      <c r="D952" s="88"/>
      <c r="E952" s="89"/>
      <c r="F952" s="88"/>
      <c r="G952" s="88"/>
      <c r="H952" s="89"/>
    </row>
    <row r="953" ht="15.75" customHeight="1">
      <c r="A953" s="74"/>
      <c r="B953" s="88"/>
      <c r="C953" s="89"/>
      <c r="D953" s="88"/>
      <c r="E953" s="89"/>
      <c r="F953" s="88"/>
      <c r="G953" s="88"/>
      <c r="H953" s="89"/>
    </row>
    <row r="954" ht="15.75" customHeight="1">
      <c r="A954" s="74"/>
      <c r="B954" s="88"/>
      <c r="C954" s="89"/>
      <c r="D954" s="88"/>
      <c r="E954" s="89"/>
      <c r="F954" s="88"/>
      <c r="G954" s="88"/>
      <c r="H954" s="89"/>
    </row>
    <row r="955" ht="15.75" customHeight="1">
      <c r="A955" s="74"/>
      <c r="B955" s="88"/>
      <c r="C955" s="89"/>
      <c r="D955" s="88"/>
      <c r="E955" s="89"/>
      <c r="F955" s="88"/>
      <c r="G955" s="88"/>
      <c r="H955" s="89"/>
    </row>
    <row r="956" ht="15.75" customHeight="1">
      <c r="A956" s="74"/>
      <c r="B956" s="88"/>
      <c r="C956" s="89"/>
      <c r="D956" s="88"/>
      <c r="E956" s="89"/>
      <c r="F956" s="88"/>
      <c r="G956" s="88"/>
      <c r="H956" s="89"/>
    </row>
    <row r="957" ht="15.75" customHeight="1">
      <c r="A957" s="74"/>
      <c r="B957" s="88"/>
      <c r="C957" s="89"/>
      <c r="D957" s="88"/>
      <c r="E957" s="89"/>
      <c r="F957" s="88"/>
      <c r="G957" s="88"/>
      <c r="H957" s="89"/>
    </row>
    <row r="958" ht="15.75" customHeight="1">
      <c r="A958" s="74"/>
      <c r="B958" s="88"/>
      <c r="C958" s="89"/>
      <c r="D958" s="88"/>
      <c r="E958" s="89"/>
      <c r="F958" s="88"/>
      <c r="G958" s="88"/>
      <c r="H958" s="89"/>
    </row>
    <row r="959" ht="15.75" customHeight="1">
      <c r="A959" s="74"/>
      <c r="B959" s="88"/>
      <c r="C959" s="89"/>
      <c r="D959" s="88"/>
      <c r="E959" s="89"/>
      <c r="F959" s="88"/>
      <c r="G959" s="88"/>
      <c r="H959" s="89"/>
    </row>
    <row r="960" ht="15.75" customHeight="1">
      <c r="A960" s="74"/>
      <c r="B960" s="88"/>
      <c r="C960" s="89"/>
      <c r="D960" s="88"/>
      <c r="E960" s="89"/>
      <c r="F960" s="88"/>
      <c r="G960" s="88"/>
      <c r="H960" s="89"/>
    </row>
    <row r="961" ht="15.75" customHeight="1">
      <c r="A961" s="74"/>
      <c r="B961" s="88"/>
      <c r="C961" s="89"/>
      <c r="D961" s="88"/>
      <c r="E961" s="89"/>
      <c r="F961" s="88"/>
      <c r="G961" s="88"/>
      <c r="H961" s="89"/>
    </row>
    <row r="962" ht="15.75" customHeight="1">
      <c r="A962" s="74"/>
      <c r="B962" s="88"/>
      <c r="C962" s="89"/>
      <c r="D962" s="88"/>
      <c r="E962" s="89"/>
      <c r="F962" s="88"/>
      <c r="G962" s="88"/>
      <c r="H962" s="89"/>
    </row>
    <row r="963" ht="15.75" customHeight="1">
      <c r="A963" s="74"/>
      <c r="B963" s="88"/>
      <c r="C963" s="89"/>
      <c r="D963" s="88"/>
      <c r="E963" s="89"/>
      <c r="F963" s="88"/>
      <c r="G963" s="88"/>
      <c r="H963" s="89"/>
    </row>
    <row r="964" ht="15.75" customHeight="1">
      <c r="A964" s="74"/>
      <c r="B964" s="88"/>
      <c r="C964" s="89"/>
      <c r="D964" s="88"/>
      <c r="E964" s="89"/>
      <c r="F964" s="88"/>
      <c r="G964" s="88"/>
      <c r="H964" s="89"/>
    </row>
    <row r="965" ht="15.75" customHeight="1">
      <c r="A965" s="74"/>
      <c r="B965" s="88"/>
      <c r="C965" s="89"/>
      <c r="D965" s="88"/>
      <c r="E965" s="89"/>
      <c r="F965" s="88"/>
      <c r="G965" s="88"/>
      <c r="H965" s="89"/>
    </row>
    <row r="966" ht="15.75" customHeight="1">
      <c r="A966" s="74"/>
      <c r="B966" s="88"/>
      <c r="C966" s="89"/>
      <c r="D966" s="88"/>
      <c r="E966" s="89"/>
      <c r="F966" s="88"/>
      <c r="G966" s="88"/>
      <c r="H966" s="89"/>
    </row>
    <row r="967" ht="15.75" customHeight="1">
      <c r="A967" s="74"/>
      <c r="B967" s="88"/>
      <c r="C967" s="89"/>
      <c r="D967" s="88"/>
      <c r="E967" s="89"/>
      <c r="F967" s="88"/>
      <c r="G967" s="88"/>
      <c r="H967" s="89"/>
    </row>
    <row r="968" ht="15.75" customHeight="1">
      <c r="A968" s="74"/>
      <c r="B968" s="88"/>
      <c r="C968" s="89"/>
      <c r="D968" s="88"/>
      <c r="E968" s="89"/>
      <c r="F968" s="88"/>
      <c r="G968" s="88"/>
      <c r="H968" s="89"/>
    </row>
    <row r="969" ht="15.75" customHeight="1">
      <c r="A969" s="74"/>
      <c r="B969" s="88"/>
      <c r="C969" s="89"/>
      <c r="D969" s="88"/>
      <c r="E969" s="89"/>
      <c r="F969" s="88"/>
      <c r="G969" s="88"/>
      <c r="H969" s="89"/>
    </row>
    <row r="970" ht="15.75" customHeight="1">
      <c r="A970" s="74"/>
      <c r="B970" s="88"/>
      <c r="C970" s="89"/>
      <c r="D970" s="88"/>
      <c r="E970" s="89"/>
      <c r="F970" s="88"/>
      <c r="G970" s="88"/>
      <c r="H970" s="89"/>
    </row>
    <row r="971" ht="15.75" customHeight="1">
      <c r="A971" s="74"/>
      <c r="B971" s="88"/>
      <c r="C971" s="89"/>
      <c r="D971" s="88"/>
      <c r="E971" s="89"/>
      <c r="F971" s="88"/>
      <c r="G971" s="88"/>
      <c r="H971" s="89"/>
    </row>
    <row r="972" ht="15.75" customHeight="1">
      <c r="A972" s="74"/>
      <c r="B972" s="88"/>
      <c r="C972" s="89"/>
      <c r="D972" s="88"/>
      <c r="E972" s="89"/>
      <c r="F972" s="88"/>
      <c r="G972" s="88"/>
      <c r="H972" s="89"/>
    </row>
    <row r="973" ht="15.75" customHeight="1">
      <c r="A973" s="74"/>
      <c r="B973" s="88"/>
      <c r="C973" s="89"/>
      <c r="D973" s="88"/>
      <c r="E973" s="89"/>
      <c r="F973" s="88"/>
      <c r="G973" s="88"/>
      <c r="H973" s="89"/>
    </row>
    <row r="974" ht="15.75" customHeight="1">
      <c r="A974" s="74"/>
      <c r="B974" s="88"/>
      <c r="C974" s="89"/>
      <c r="D974" s="88"/>
      <c r="E974" s="89"/>
      <c r="F974" s="88"/>
      <c r="G974" s="88"/>
      <c r="H974" s="89"/>
    </row>
    <row r="975" ht="15.75" customHeight="1">
      <c r="A975" s="74"/>
      <c r="B975" s="88"/>
      <c r="C975" s="89"/>
      <c r="D975" s="88"/>
      <c r="E975" s="89"/>
      <c r="F975" s="88"/>
      <c r="G975" s="88"/>
      <c r="H975" s="89"/>
    </row>
    <row r="976" ht="15.75" customHeight="1">
      <c r="A976" s="74"/>
      <c r="B976" s="88"/>
      <c r="C976" s="89"/>
      <c r="D976" s="88"/>
      <c r="E976" s="89"/>
      <c r="F976" s="88"/>
      <c r="G976" s="88"/>
      <c r="H976" s="89"/>
    </row>
    <row r="977" ht="15.75" customHeight="1">
      <c r="A977" s="74"/>
      <c r="B977" s="88"/>
      <c r="C977" s="89"/>
      <c r="D977" s="88"/>
      <c r="E977" s="89"/>
      <c r="F977" s="88"/>
      <c r="G977" s="88"/>
      <c r="H977" s="89"/>
    </row>
    <row r="978" ht="15.75" customHeight="1">
      <c r="A978" s="74"/>
      <c r="B978" s="88"/>
      <c r="C978" s="89"/>
      <c r="D978" s="88"/>
      <c r="E978" s="89"/>
      <c r="F978" s="88"/>
      <c r="G978" s="88"/>
      <c r="H978" s="89"/>
    </row>
    <row r="979" ht="15.75" customHeight="1">
      <c r="A979" s="74"/>
      <c r="B979" s="88"/>
      <c r="C979" s="89"/>
      <c r="D979" s="88"/>
      <c r="E979" s="89"/>
      <c r="F979" s="88"/>
      <c r="G979" s="88"/>
      <c r="H979" s="89"/>
    </row>
    <row r="980" ht="15.75" customHeight="1">
      <c r="A980" s="74"/>
      <c r="B980" s="88"/>
      <c r="C980" s="89"/>
      <c r="D980" s="88"/>
      <c r="E980" s="89"/>
      <c r="F980" s="88"/>
      <c r="G980" s="88"/>
      <c r="H980" s="89"/>
    </row>
    <row r="981" ht="15.75" customHeight="1">
      <c r="A981" s="74"/>
      <c r="B981" s="88"/>
      <c r="C981" s="89"/>
      <c r="D981" s="88"/>
      <c r="E981" s="89"/>
      <c r="F981" s="88"/>
      <c r="G981" s="88"/>
      <c r="H981" s="89"/>
    </row>
    <row r="982" ht="15.75" customHeight="1">
      <c r="A982" s="74"/>
      <c r="B982" s="88"/>
      <c r="C982" s="89"/>
      <c r="D982" s="88"/>
      <c r="E982" s="89"/>
      <c r="F982" s="88"/>
      <c r="G982" s="88"/>
      <c r="H982" s="89"/>
    </row>
    <row r="983" ht="15.75" customHeight="1">
      <c r="A983" s="74"/>
      <c r="B983" s="88"/>
      <c r="C983" s="89"/>
      <c r="D983" s="88"/>
      <c r="E983" s="89"/>
      <c r="F983" s="88"/>
      <c r="G983" s="88"/>
      <c r="H983" s="89"/>
    </row>
    <row r="984" ht="15.75" customHeight="1">
      <c r="A984" s="74"/>
      <c r="B984" s="88"/>
      <c r="C984" s="89"/>
      <c r="D984" s="88"/>
      <c r="E984" s="89"/>
      <c r="F984" s="88"/>
      <c r="G984" s="88"/>
      <c r="H984" s="89"/>
    </row>
    <row r="985" ht="15.75" customHeight="1">
      <c r="A985" s="74"/>
      <c r="B985" s="88"/>
      <c r="C985" s="89"/>
      <c r="D985" s="88"/>
      <c r="E985" s="89"/>
      <c r="F985" s="88"/>
      <c r="G985" s="88"/>
      <c r="H985" s="89"/>
    </row>
    <row r="986" ht="15.75" customHeight="1">
      <c r="A986" s="74"/>
      <c r="B986" s="88"/>
      <c r="C986" s="89"/>
      <c r="D986" s="88"/>
      <c r="E986" s="89"/>
      <c r="F986" s="88"/>
      <c r="G986" s="88"/>
      <c r="H986" s="89"/>
    </row>
    <row r="987" ht="15.75" customHeight="1">
      <c r="A987" s="74"/>
      <c r="B987" s="88"/>
      <c r="C987" s="89"/>
      <c r="D987" s="88"/>
      <c r="E987" s="89"/>
      <c r="F987" s="88"/>
      <c r="G987" s="88"/>
      <c r="H987" s="89"/>
    </row>
    <row r="988" ht="15.75" customHeight="1">
      <c r="A988" s="74"/>
      <c r="B988" s="88"/>
      <c r="C988" s="89"/>
      <c r="D988" s="88"/>
      <c r="E988" s="89"/>
      <c r="F988" s="88"/>
      <c r="G988" s="88"/>
      <c r="H988" s="89"/>
    </row>
    <row r="989" ht="15.75" customHeight="1">
      <c r="A989" s="74"/>
      <c r="B989" s="88"/>
      <c r="C989" s="89"/>
      <c r="D989" s="88"/>
      <c r="E989" s="89"/>
      <c r="F989" s="88"/>
      <c r="G989" s="88"/>
      <c r="H989" s="89"/>
    </row>
    <row r="990" ht="15.75" customHeight="1">
      <c r="A990" s="74"/>
      <c r="B990" s="88"/>
      <c r="C990" s="89"/>
      <c r="D990" s="88"/>
      <c r="E990" s="89"/>
      <c r="F990" s="88"/>
      <c r="G990" s="88"/>
      <c r="H990" s="89"/>
    </row>
    <row r="991" ht="15.75" customHeight="1">
      <c r="A991" s="74"/>
      <c r="B991" s="88"/>
      <c r="C991" s="89"/>
      <c r="D991" s="88"/>
      <c r="E991" s="89"/>
      <c r="F991" s="88"/>
      <c r="G991" s="88"/>
      <c r="H991" s="89"/>
    </row>
    <row r="992" ht="15.75" customHeight="1">
      <c r="A992" s="74"/>
      <c r="B992" s="88"/>
      <c r="C992" s="89"/>
      <c r="D992" s="88"/>
      <c r="E992" s="89"/>
      <c r="F992" s="88"/>
      <c r="G992" s="88"/>
      <c r="H992" s="89"/>
    </row>
    <row r="993" ht="15.75" customHeight="1">
      <c r="A993" s="74"/>
      <c r="B993" s="88"/>
      <c r="C993" s="89"/>
      <c r="D993" s="88"/>
      <c r="E993" s="89"/>
      <c r="F993" s="88"/>
      <c r="G993" s="88"/>
      <c r="H993" s="89"/>
    </row>
    <row r="994" ht="15.75" customHeight="1">
      <c r="A994" s="74"/>
      <c r="B994" s="88"/>
      <c r="C994" s="89"/>
      <c r="D994" s="88"/>
      <c r="E994" s="89"/>
      <c r="F994" s="88"/>
      <c r="G994" s="88"/>
      <c r="H994" s="89"/>
    </row>
    <row r="995" ht="15.75" customHeight="1">
      <c r="A995" s="74"/>
      <c r="B995" s="88"/>
      <c r="C995" s="89"/>
      <c r="D995" s="88"/>
      <c r="E995" s="89"/>
      <c r="F995" s="88"/>
      <c r="G995" s="88"/>
      <c r="H995" s="89"/>
    </row>
    <row r="996" ht="15.75" customHeight="1">
      <c r="A996" s="74"/>
      <c r="B996" s="88"/>
      <c r="C996" s="89"/>
      <c r="D996" s="88"/>
      <c r="E996" s="89"/>
      <c r="F996" s="88"/>
      <c r="G996" s="88"/>
      <c r="H996" s="89"/>
    </row>
    <row r="997" ht="15.75" customHeight="1">
      <c r="A997" s="74"/>
      <c r="B997" s="88"/>
      <c r="C997" s="89"/>
      <c r="D997" s="88"/>
      <c r="E997" s="89"/>
      <c r="F997" s="88"/>
      <c r="G997" s="88"/>
      <c r="H997" s="89"/>
    </row>
    <row r="998" ht="15.75" customHeight="1">
      <c r="A998" s="74"/>
      <c r="B998" s="88"/>
      <c r="C998" s="89"/>
      <c r="D998" s="88"/>
      <c r="E998" s="89"/>
      <c r="F998" s="88"/>
      <c r="G998" s="88"/>
      <c r="H998" s="89"/>
    </row>
    <row r="999" ht="15.75" customHeight="1">
      <c r="A999" s="74"/>
      <c r="B999" s="88"/>
      <c r="C999" s="89"/>
      <c r="D999" s="88"/>
      <c r="E999" s="89"/>
      <c r="F999" s="88"/>
      <c r="G999" s="88"/>
      <c r="H999" s="89"/>
    </row>
    <row r="1000" ht="15.75" customHeight="1">
      <c r="A1000" s="74"/>
      <c r="B1000" s="88"/>
      <c r="C1000" s="89"/>
      <c r="D1000" s="88"/>
      <c r="E1000" s="89"/>
      <c r="F1000" s="88"/>
      <c r="G1000" s="88"/>
      <c r="H1000" s="89"/>
    </row>
  </sheetData>
  <autoFilter ref="$A$1:$F$151">
    <filterColumn colId="5">
      <filters blank="1">
        <filter val="Unresolved"/>
      </filters>
    </filterColumn>
  </autoFilter>
  <printOptions/>
  <pageMargins bottom="0.75" footer="0.0" header="0.0" left="0.7" right="0.7" top="0.75"/>
  <pageSetup orientation="landscape"/>
  <headerFooter>
    <oddFooter>&amp;C_x000D_#000000 SBI Card Restricted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88"/>
    <col customWidth="1" min="2" max="2" width="48.38"/>
    <col customWidth="1" min="3" max="3" width="51.25"/>
    <col customWidth="1" min="4" max="4" width="52.75"/>
    <col customWidth="1" min="5" max="7" width="20.0"/>
    <col customWidth="1" min="8" max="8" width="39.63"/>
    <col customWidth="1" min="9" max="26" width="8.63"/>
  </cols>
  <sheetData>
    <row r="1">
      <c r="A1" s="115" t="s">
        <v>549</v>
      </c>
      <c r="B1" s="115" t="s">
        <v>550</v>
      </c>
      <c r="C1" s="115" t="s">
        <v>551</v>
      </c>
      <c r="D1" s="115" t="s">
        <v>552</v>
      </c>
      <c r="E1" s="115" t="s">
        <v>553</v>
      </c>
      <c r="F1" s="115" t="s">
        <v>550</v>
      </c>
      <c r="G1" s="115" t="s">
        <v>554</v>
      </c>
      <c r="H1" s="116" t="s">
        <v>276</v>
      </c>
      <c r="I1" s="62"/>
      <c r="J1" s="62"/>
      <c r="K1" s="62"/>
      <c r="L1" s="62"/>
      <c r="M1" s="62"/>
      <c r="N1" s="62"/>
      <c r="O1" s="62"/>
      <c r="P1" s="62"/>
      <c r="Q1" s="62"/>
      <c r="R1" s="62"/>
      <c r="S1" s="62"/>
      <c r="T1" s="62"/>
      <c r="U1" s="62"/>
      <c r="V1" s="62"/>
      <c r="W1" s="62"/>
      <c r="X1" s="62"/>
      <c r="Y1" s="62"/>
      <c r="Z1" s="62"/>
    </row>
    <row r="2">
      <c r="A2" s="117" t="s">
        <v>555</v>
      </c>
      <c r="B2" s="117" t="s">
        <v>556</v>
      </c>
      <c r="C2" s="118" t="s">
        <v>557</v>
      </c>
      <c r="D2" s="118" t="s">
        <v>558</v>
      </c>
      <c r="E2" s="66" t="s">
        <v>559</v>
      </c>
      <c r="F2" s="66" t="s">
        <v>559</v>
      </c>
      <c r="G2" s="66" t="s">
        <v>560</v>
      </c>
      <c r="H2" s="47" t="s">
        <v>561</v>
      </c>
      <c r="I2" s="119"/>
      <c r="J2" s="119"/>
      <c r="K2" s="119"/>
      <c r="L2" s="119"/>
      <c r="M2" s="119"/>
      <c r="N2" s="119"/>
      <c r="O2" s="119"/>
      <c r="P2" s="119"/>
      <c r="Q2" s="119"/>
      <c r="R2" s="119"/>
      <c r="S2" s="119"/>
      <c r="T2" s="119"/>
      <c r="U2" s="119"/>
      <c r="V2" s="119"/>
      <c r="W2" s="119"/>
      <c r="X2" s="119"/>
      <c r="Y2" s="119"/>
      <c r="Z2" s="119"/>
    </row>
    <row r="3">
      <c r="A3" s="111" t="s">
        <v>562</v>
      </c>
      <c r="B3" s="111" t="s">
        <v>563</v>
      </c>
      <c r="C3" s="33" t="s">
        <v>564</v>
      </c>
      <c r="D3" s="33" t="s">
        <v>564</v>
      </c>
      <c r="E3" s="66" t="s">
        <v>559</v>
      </c>
      <c r="F3" s="66" t="s">
        <v>559</v>
      </c>
      <c r="G3" s="66" t="s">
        <v>559</v>
      </c>
      <c r="H3" s="47"/>
      <c r="I3" s="62"/>
      <c r="J3" s="62"/>
      <c r="K3" s="62"/>
      <c r="L3" s="62"/>
      <c r="M3" s="62"/>
      <c r="N3" s="62"/>
      <c r="O3" s="62"/>
      <c r="P3" s="62"/>
      <c r="Q3" s="62"/>
      <c r="R3" s="62"/>
      <c r="S3" s="62"/>
      <c r="T3" s="62"/>
      <c r="U3" s="62"/>
      <c r="V3" s="62"/>
      <c r="W3" s="62"/>
      <c r="X3" s="62"/>
      <c r="Y3" s="62"/>
      <c r="Z3" s="62"/>
    </row>
    <row r="4">
      <c r="A4" s="111" t="s">
        <v>145</v>
      </c>
      <c r="B4" s="117" t="s">
        <v>565</v>
      </c>
      <c r="C4" s="120" t="s">
        <v>566</v>
      </c>
      <c r="D4" s="118" t="s">
        <v>567</v>
      </c>
      <c r="E4" s="66" t="s">
        <v>559</v>
      </c>
      <c r="F4" s="66" t="s">
        <v>559</v>
      </c>
      <c r="G4" s="66" t="s">
        <v>559</v>
      </c>
      <c r="H4" s="47" t="s">
        <v>568</v>
      </c>
      <c r="I4" s="62"/>
      <c r="J4" s="62"/>
      <c r="K4" s="62"/>
      <c r="L4" s="62"/>
      <c r="M4" s="62"/>
      <c r="N4" s="62"/>
      <c r="O4" s="62"/>
      <c r="P4" s="62"/>
      <c r="Q4" s="62"/>
      <c r="R4" s="62"/>
      <c r="S4" s="62"/>
      <c r="T4" s="62"/>
      <c r="U4" s="62"/>
      <c r="V4" s="62"/>
      <c r="W4" s="62"/>
      <c r="X4" s="62"/>
      <c r="Y4" s="62"/>
      <c r="Z4" s="62"/>
    </row>
    <row r="5">
      <c r="A5" s="111" t="s">
        <v>50</v>
      </c>
      <c r="B5" s="111" t="s">
        <v>569</v>
      </c>
      <c r="C5" s="33" t="s">
        <v>570</v>
      </c>
      <c r="D5" s="33" t="s">
        <v>39</v>
      </c>
      <c r="E5" s="7" t="s">
        <v>39</v>
      </c>
      <c r="F5" s="7" t="s">
        <v>39</v>
      </c>
      <c r="G5" s="7" t="s">
        <v>39</v>
      </c>
      <c r="H5" s="47"/>
      <c r="I5" s="62"/>
      <c r="J5" s="62"/>
      <c r="K5" s="62"/>
      <c r="L5" s="62"/>
      <c r="M5" s="62"/>
      <c r="N5" s="62"/>
      <c r="O5" s="62"/>
      <c r="P5" s="62"/>
      <c r="Q5" s="62"/>
      <c r="R5" s="62"/>
      <c r="S5" s="62"/>
      <c r="T5" s="62"/>
      <c r="U5" s="62"/>
      <c r="V5" s="62"/>
      <c r="W5" s="62"/>
      <c r="X5" s="62"/>
      <c r="Y5" s="62"/>
      <c r="Z5" s="62"/>
    </row>
    <row r="6">
      <c r="A6" s="111" t="s">
        <v>571</v>
      </c>
      <c r="B6" s="117" t="s">
        <v>572</v>
      </c>
      <c r="C6" s="120" t="s">
        <v>573</v>
      </c>
      <c r="D6" s="118" t="s">
        <v>574</v>
      </c>
      <c r="E6" s="66" t="s">
        <v>559</v>
      </c>
      <c r="F6" s="66" t="s">
        <v>559</v>
      </c>
      <c r="G6" s="66" t="s">
        <v>559</v>
      </c>
      <c r="H6" s="47"/>
      <c r="I6" s="62"/>
      <c r="J6" s="62"/>
      <c r="K6" s="62"/>
      <c r="L6" s="62"/>
      <c r="M6" s="62"/>
      <c r="N6" s="62"/>
      <c r="O6" s="62"/>
      <c r="P6" s="62"/>
      <c r="Q6" s="62"/>
      <c r="R6" s="62"/>
      <c r="S6" s="62"/>
      <c r="T6" s="62"/>
      <c r="U6" s="62"/>
      <c r="V6" s="62"/>
      <c r="W6" s="62"/>
      <c r="X6" s="62"/>
      <c r="Y6" s="62"/>
      <c r="Z6" s="62"/>
    </row>
    <row r="7">
      <c r="A7" s="111" t="s">
        <v>479</v>
      </c>
      <c r="B7" s="117" t="s">
        <v>575</v>
      </c>
      <c r="C7" s="118" t="s">
        <v>576</v>
      </c>
      <c r="D7" s="118" t="s">
        <v>577</v>
      </c>
      <c r="E7" s="66" t="s">
        <v>559</v>
      </c>
      <c r="F7" s="66" t="s">
        <v>559</v>
      </c>
      <c r="G7" s="66" t="s">
        <v>559</v>
      </c>
      <c r="H7" s="47" t="s">
        <v>578</v>
      </c>
      <c r="I7" s="62"/>
      <c r="J7" s="62"/>
      <c r="K7" s="62"/>
      <c r="L7" s="62"/>
      <c r="M7" s="62"/>
      <c r="N7" s="62"/>
      <c r="O7" s="62"/>
      <c r="P7" s="62"/>
      <c r="Q7" s="62"/>
      <c r="R7" s="62"/>
      <c r="S7" s="62"/>
      <c r="T7" s="62"/>
      <c r="U7" s="62"/>
      <c r="V7" s="62"/>
      <c r="W7" s="62"/>
      <c r="X7" s="62"/>
      <c r="Y7" s="62"/>
      <c r="Z7" s="62"/>
    </row>
    <row r="8">
      <c r="A8" s="111" t="s">
        <v>579</v>
      </c>
      <c r="B8" s="111" t="s">
        <v>569</v>
      </c>
      <c r="C8" s="33" t="s">
        <v>570</v>
      </c>
      <c r="D8" s="33" t="s">
        <v>39</v>
      </c>
      <c r="E8" s="7" t="s">
        <v>39</v>
      </c>
      <c r="F8" s="7" t="s">
        <v>39</v>
      </c>
      <c r="G8" s="7" t="s">
        <v>39</v>
      </c>
      <c r="H8" s="47"/>
      <c r="I8" s="62"/>
      <c r="J8" s="62"/>
      <c r="K8" s="62"/>
      <c r="L8" s="62"/>
      <c r="M8" s="62"/>
      <c r="N8" s="62"/>
      <c r="O8" s="62"/>
      <c r="P8" s="62"/>
      <c r="Q8" s="62"/>
      <c r="R8" s="62"/>
      <c r="S8" s="62"/>
      <c r="T8" s="62"/>
      <c r="U8" s="62"/>
      <c r="V8" s="62"/>
      <c r="W8" s="62"/>
      <c r="X8" s="62"/>
      <c r="Y8" s="62"/>
      <c r="Z8" s="62"/>
    </row>
    <row r="9">
      <c r="A9" s="111" t="s">
        <v>85</v>
      </c>
      <c r="B9" s="117" t="s">
        <v>580</v>
      </c>
      <c r="C9" s="118" t="s">
        <v>581</v>
      </c>
      <c r="D9" s="118" t="s">
        <v>582</v>
      </c>
      <c r="E9" s="66" t="s">
        <v>559</v>
      </c>
      <c r="F9" s="66" t="s">
        <v>559</v>
      </c>
      <c r="G9" s="66" t="s">
        <v>559</v>
      </c>
      <c r="H9" s="47" t="s">
        <v>583</v>
      </c>
      <c r="I9" s="62"/>
      <c r="J9" s="62"/>
      <c r="K9" s="62"/>
      <c r="L9" s="62"/>
      <c r="M9" s="62"/>
      <c r="N9" s="62"/>
      <c r="O9" s="62"/>
      <c r="P9" s="62"/>
      <c r="Q9" s="62"/>
      <c r="R9" s="62"/>
      <c r="S9" s="62"/>
      <c r="T9" s="62"/>
      <c r="U9" s="62"/>
      <c r="V9" s="62"/>
      <c r="W9" s="62"/>
      <c r="X9" s="62"/>
      <c r="Y9" s="62"/>
      <c r="Z9" s="62"/>
    </row>
    <row r="10">
      <c r="A10" s="111" t="s">
        <v>584</v>
      </c>
      <c r="B10" s="111" t="s">
        <v>585</v>
      </c>
      <c r="C10" s="33" t="s">
        <v>586</v>
      </c>
      <c r="D10" s="33" t="s">
        <v>586</v>
      </c>
      <c r="E10" s="66" t="s">
        <v>559</v>
      </c>
      <c r="F10" s="66" t="s">
        <v>559</v>
      </c>
      <c r="G10" s="66" t="s">
        <v>559</v>
      </c>
      <c r="H10" s="47" t="s">
        <v>587</v>
      </c>
      <c r="I10" s="62"/>
      <c r="J10" s="62"/>
      <c r="K10" s="62"/>
      <c r="L10" s="62"/>
      <c r="M10" s="62"/>
      <c r="N10" s="62"/>
      <c r="O10" s="62"/>
      <c r="P10" s="62"/>
      <c r="Q10" s="62"/>
      <c r="R10" s="62"/>
      <c r="S10" s="62"/>
      <c r="T10" s="62"/>
      <c r="U10" s="62"/>
      <c r="V10" s="62"/>
      <c r="W10" s="62"/>
      <c r="X10" s="62"/>
      <c r="Y10" s="62"/>
      <c r="Z10" s="62"/>
    </row>
    <row r="11">
      <c r="A11" s="111" t="s">
        <v>588</v>
      </c>
      <c r="B11" s="117" t="s">
        <v>589</v>
      </c>
      <c r="C11" s="118" t="s">
        <v>590</v>
      </c>
      <c r="D11" s="118" t="s">
        <v>590</v>
      </c>
      <c r="E11" s="66" t="s">
        <v>559</v>
      </c>
      <c r="F11" s="66" t="s">
        <v>559</v>
      </c>
      <c r="G11" s="66" t="s">
        <v>559</v>
      </c>
      <c r="H11" s="47"/>
      <c r="I11" s="62"/>
      <c r="J11" s="62"/>
      <c r="K11" s="62"/>
      <c r="L11" s="62"/>
      <c r="M11" s="62"/>
      <c r="N11" s="62"/>
      <c r="O11" s="62"/>
      <c r="P11" s="62"/>
      <c r="Q11" s="62"/>
      <c r="R11" s="62"/>
      <c r="S11" s="62"/>
      <c r="T11" s="62"/>
      <c r="U11" s="62"/>
      <c r="V11" s="62"/>
      <c r="W11" s="62"/>
      <c r="X11" s="62"/>
      <c r="Y11" s="62"/>
      <c r="Z11" s="62"/>
    </row>
    <row r="12">
      <c r="A12" s="111" t="s">
        <v>591</v>
      </c>
      <c r="B12" s="117" t="s">
        <v>592</v>
      </c>
      <c r="C12" s="118" t="s">
        <v>593</v>
      </c>
      <c r="D12" s="118" t="s">
        <v>593</v>
      </c>
      <c r="E12" s="66" t="s">
        <v>559</v>
      </c>
      <c r="F12" s="66" t="s">
        <v>559</v>
      </c>
      <c r="G12" s="66" t="s">
        <v>559</v>
      </c>
      <c r="H12" s="47" t="s">
        <v>594</v>
      </c>
      <c r="I12" s="62"/>
      <c r="J12" s="62"/>
      <c r="K12" s="62"/>
      <c r="L12" s="62"/>
      <c r="M12" s="62"/>
      <c r="N12" s="62"/>
      <c r="O12" s="62"/>
      <c r="P12" s="62"/>
      <c r="Q12" s="62"/>
      <c r="R12" s="62"/>
      <c r="S12" s="62"/>
      <c r="T12" s="62"/>
      <c r="U12" s="62"/>
      <c r="V12" s="62"/>
      <c r="W12" s="62"/>
      <c r="X12" s="62"/>
      <c r="Y12" s="62"/>
      <c r="Z12" s="62"/>
    </row>
    <row r="13">
      <c r="A13" s="111" t="s">
        <v>502</v>
      </c>
      <c r="B13" s="111" t="s">
        <v>595</v>
      </c>
      <c r="C13" s="33" t="s">
        <v>596</v>
      </c>
      <c r="D13" s="33" t="s">
        <v>597</v>
      </c>
      <c r="E13" s="66" t="s">
        <v>559</v>
      </c>
      <c r="F13" s="66" t="s">
        <v>559</v>
      </c>
      <c r="G13" s="66" t="s">
        <v>559</v>
      </c>
      <c r="H13" s="47" t="s">
        <v>598</v>
      </c>
      <c r="I13" s="62"/>
      <c r="J13" s="62"/>
      <c r="K13" s="62"/>
      <c r="L13" s="62"/>
      <c r="M13" s="62"/>
      <c r="N13" s="62"/>
      <c r="O13" s="62"/>
      <c r="P13" s="62"/>
      <c r="Q13" s="62"/>
      <c r="R13" s="62"/>
      <c r="S13" s="62"/>
      <c r="T13" s="62"/>
      <c r="U13" s="62"/>
      <c r="V13" s="62"/>
      <c r="W13" s="62"/>
      <c r="X13" s="62"/>
      <c r="Y13" s="62"/>
      <c r="Z13" s="62"/>
    </row>
    <row r="14">
      <c r="A14" s="111" t="s">
        <v>135</v>
      </c>
      <c r="B14" s="111" t="s">
        <v>569</v>
      </c>
      <c r="C14" s="33" t="s">
        <v>570</v>
      </c>
      <c r="D14" s="33" t="s">
        <v>39</v>
      </c>
      <c r="E14" s="7" t="s">
        <v>39</v>
      </c>
      <c r="F14" s="7" t="s">
        <v>39</v>
      </c>
      <c r="G14" s="7" t="s">
        <v>39</v>
      </c>
      <c r="H14" s="47"/>
      <c r="I14" s="62"/>
      <c r="J14" s="62"/>
      <c r="K14" s="62"/>
      <c r="L14" s="62"/>
      <c r="M14" s="62"/>
      <c r="N14" s="62"/>
      <c r="O14" s="62"/>
      <c r="P14" s="62"/>
      <c r="Q14" s="62"/>
      <c r="R14" s="62"/>
      <c r="S14" s="62"/>
      <c r="T14" s="62"/>
      <c r="U14" s="62"/>
      <c r="V14" s="62"/>
      <c r="W14" s="62"/>
      <c r="X14" s="62"/>
      <c r="Y14" s="62"/>
      <c r="Z14" s="62"/>
    </row>
    <row r="15">
      <c r="A15" s="111" t="s">
        <v>599</v>
      </c>
      <c r="B15" s="117" t="s">
        <v>600</v>
      </c>
      <c r="C15" s="118" t="s">
        <v>601</v>
      </c>
      <c r="D15" s="118" t="s">
        <v>602</v>
      </c>
      <c r="E15" s="66" t="s">
        <v>559</v>
      </c>
      <c r="F15" s="66" t="s">
        <v>559</v>
      </c>
      <c r="G15" s="66" t="s">
        <v>559</v>
      </c>
      <c r="H15" s="47" t="s">
        <v>603</v>
      </c>
      <c r="I15" s="62"/>
      <c r="J15" s="62"/>
      <c r="K15" s="62"/>
      <c r="L15" s="62"/>
      <c r="M15" s="62"/>
      <c r="N15" s="62"/>
      <c r="O15" s="62"/>
      <c r="P15" s="62"/>
      <c r="Q15" s="62"/>
      <c r="R15" s="62"/>
      <c r="S15" s="62"/>
      <c r="T15" s="62"/>
      <c r="U15" s="62"/>
      <c r="V15" s="62"/>
      <c r="W15" s="62"/>
      <c r="X15" s="62"/>
      <c r="Y15" s="62"/>
      <c r="Z15" s="62"/>
    </row>
    <row r="16">
      <c r="A16" s="111" t="s">
        <v>123</v>
      </c>
      <c r="B16" s="111" t="s">
        <v>604</v>
      </c>
      <c r="C16" s="33" t="s">
        <v>605</v>
      </c>
      <c r="D16" s="33" t="s">
        <v>606</v>
      </c>
      <c r="E16" s="66" t="s">
        <v>559</v>
      </c>
      <c r="F16" s="66" t="s">
        <v>559</v>
      </c>
      <c r="G16" s="66" t="s">
        <v>559</v>
      </c>
      <c r="H16" s="47" t="s">
        <v>607</v>
      </c>
      <c r="I16" s="62"/>
      <c r="J16" s="62"/>
      <c r="K16" s="62"/>
      <c r="L16" s="62"/>
      <c r="M16" s="62"/>
      <c r="N16" s="62"/>
      <c r="O16" s="62"/>
      <c r="P16" s="62"/>
      <c r="Q16" s="62"/>
      <c r="R16" s="62"/>
      <c r="S16" s="62"/>
      <c r="T16" s="62"/>
      <c r="U16" s="62"/>
      <c r="V16" s="62"/>
      <c r="W16" s="62"/>
      <c r="X16" s="62"/>
      <c r="Y16" s="62"/>
      <c r="Z16" s="62"/>
    </row>
    <row r="17">
      <c r="A17" s="111" t="s">
        <v>608</v>
      </c>
      <c r="B17" s="117" t="s">
        <v>609</v>
      </c>
      <c r="C17" s="118" t="s">
        <v>610</v>
      </c>
      <c r="D17" s="118" t="s">
        <v>610</v>
      </c>
      <c r="E17" s="66" t="s">
        <v>559</v>
      </c>
      <c r="F17" s="66" t="s">
        <v>560</v>
      </c>
      <c r="G17" s="66" t="s">
        <v>560</v>
      </c>
      <c r="H17" s="47" t="s">
        <v>611</v>
      </c>
      <c r="I17" s="62"/>
      <c r="J17" s="62"/>
      <c r="K17" s="62"/>
      <c r="L17" s="62"/>
      <c r="M17" s="62"/>
      <c r="N17" s="62"/>
      <c r="O17" s="62"/>
      <c r="P17" s="62"/>
      <c r="Q17" s="62"/>
      <c r="R17" s="62"/>
      <c r="S17" s="62"/>
      <c r="T17" s="62"/>
      <c r="U17" s="62"/>
      <c r="V17" s="62"/>
      <c r="W17" s="62"/>
      <c r="X17" s="62"/>
      <c r="Y17" s="62"/>
      <c r="Z17" s="62"/>
    </row>
    <row r="18">
      <c r="A18" s="111" t="s">
        <v>509</v>
      </c>
      <c r="B18" s="111" t="s">
        <v>612</v>
      </c>
      <c r="C18" s="33" t="s">
        <v>613</v>
      </c>
      <c r="D18" s="33" t="s">
        <v>614</v>
      </c>
      <c r="E18" s="66" t="s">
        <v>559</v>
      </c>
      <c r="F18" s="66" t="s">
        <v>559</v>
      </c>
      <c r="G18" s="66" t="s">
        <v>559</v>
      </c>
      <c r="H18" s="47" t="s">
        <v>615</v>
      </c>
      <c r="I18" s="62"/>
      <c r="J18" s="62"/>
      <c r="K18" s="62"/>
      <c r="L18" s="62"/>
      <c r="M18" s="62"/>
      <c r="N18" s="62"/>
      <c r="O18" s="62"/>
      <c r="P18" s="62"/>
      <c r="Q18" s="62"/>
      <c r="R18" s="62"/>
      <c r="S18" s="62"/>
      <c r="T18" s="62"/>
      <c r="U18" s="62"/>
      <c r="V18" s="62"/>
      <c r="W18" s="62"/>
      <c r="X18" s="62"/>
      <c r="Y18" s="62"/>
      <c r="Z18" s="62"/>
    </row>
    <row r="19">
      <c r="A19" s="121" t="s">
        <v>616</v>
      </c>
      <c r="B19" s="111" t="s">
        <v>569</v>
      </c>
      <c r="C19" s="33" t="s">
        <v>570</v>
      </c>
      <c r="D19" s="33" t="s">
        <v>39</v>
      </c>
      <c r="E19" s="7" t="s">
        <v>39</v>
      </c>
      <c r="F19" s="7" t="s">
        <v>39</v>
      </c>
      <c r="G19" s="7" t="s">
        <v>39</v>
      </c>
      <c r="H19" s="47"/>
      <c r="I19" s="62"/>
      <c r="J19" s="62"/>
      <c r="K19" s="62"/>
      <c r="L19" s="62"/>
      <c r="M19" s="62"/>
      <c r="N19" s="62"/>
      <c r="O19" s="62"/>
      <c r="P19" s="62"/>
      <c r="Q19" s="62"/>
      <c r="R19" s="62"/>
      <c r="S19" s="62"/>
      <c r="T19" s="62"/>
      <c r="U19" s="62"/>
      <c r="V19" s="62"/>
      <c r="W19" s="62"/>
      <c r="X19" s="62"/>
      <c r="Y19" s="62"/>
      <c r="Z19" s="62"/>
    </row>
    <row r="20">
      <c r="A20" s="121" t="s">
        <v>617</v>
      </c>
      <c r="B20" s="111" t="s">
        <v>569</v>
      </c>
      <c r="C20" s="33" t="s">
        <v>570</v>
      </c>
      <c r="D20" s="33" t="s">
        <v>39</v>
      </c>
      <c r="E20" s="7" t="s">
        <v>39</v>
      </c>
      <c r="F20" s="7" t="s">
        <v>39</v>
      </c>
      <c r="G20" s="7" t="s">
        <v>39</v>
      </c>
      <c r="H20" s="47"/>
      <c r="I20" s="62"/>
      <c r="J20" s="62"/>
      <c r="K20" s="62"/>
      <c r="L20" s="62"/>
      <c r="M20" s="62"/>
      <c r="N20" s="62"/>
      <c r="O20" s="62"/>
      <c r="P20" s="62"/>
      <c r="Q20" s="62"/>
      <c r="R20" s="62"/>
      <c r="S20" s="62"/>
      <c r="T20" s="62"/>
      <c r="U20" s="62"/>
      <c r="V20" s="62"/>
      <c r="W20" s="62"/>
      <c r="X20" s="62"/>
      <c r="Y20" s="62"/>
      <c r="Z20" s="62"/>
    </row>
    <row r="21" ht="15.75" customHeight="1">
      <c r="A21" s="111" t="s">
        <v>547</v>
      </c>
      <c r="B21" s="117" t="s">
        <v>618</v>
      </c>
      <c r="C21" s="118" t="s">
        <v>619</v>
      </c>
      <c r="D21" s="118" t="s">
        <v>620</v>
      </c>
      <c r="E21" s="66" t="s">
        <v>559</v>
      </c>
      <c r="F21" s="66" t="s">
        <v>559</v>
      </c>
      <c r="G21" s="66" t="s">
        <v>560</v>
      </c>
      <c r="H21" s="47" t="s">
        <v>621</v>
      </c>
      <c r="I21" s="62"/>
      <c r="J21" s="62"/>
      <c r="K21" s="62"/>
      <c r="L21" s="62"/>
      <c r="M21" s="62"/>
      <c r="N21" s="62"/>
      <c r="O21" s="62"/>
      <c r="P21" s="62"/>
      <c r="Q21" s="62"/>
      <c r="R21" s="62"/>
      <c r="S21" s="62"/>
      <c r="T21" s="62"/>
      <c r="U21" s="62"/>
      <c r="V21" s="62"/>
      <c r="W21" s="62"/>
      <c r="X21" s="62"/>
      <c r="Y21" s="62"/>
      <c r="Z21" s="62"/>
    </row>
    <row r="22" ht="15.75" customHeight="1">
      <c r="A22" s="111" t="s">
        <v>545</v>
      </c>
      <c r="B22" s="117" t="s">
        <v>622</v>
      </c>
      <c r="C22" s="118" t="s">
        <v>623</v>
      </c>
      <c r="D22" s="118" t="s">
        <v>623</v>
      </c>
      <c r="E22" s="66" t="s">
        <v>559</v>
      </c>
      <c r="F22" s="66" t="s">
        <v>559</v>
      </c>
      <c r="G22" s="66" t="s">
        <v>559</v>
      </c>
      <c r="H22" s="47" t="s">
        <v>624</v>
      </c>
      <c r="I22" s="62"/>
      <c r="J22" s="62"/>
      <c r="K22" s="62"/>
      <c r="L22" s="62"/>
      <c r="M22" s="62"/>
      <c r="N22" s="62"/>
      <c r="O22" s="62"/>
      <c r="P22" s="62"/>
      <c r="Q22" s="62"/>
      <c r="R22" s="62"/>
      <c r="S22" s="62"/>
      <c r="T22" s="62"/>
      <c r="U22" s="62"/>
      <c r="V22" s="62"/>
      <c r="W22" s="62"/>
      <c r="X22" s="62"/>
      <c r="Y22" s="62"/>
      <c r="Z22" s="62"/>
    </row>
    <row r="23" ht="15.75" customHeight="1">
      <c r="A23" s="111" t="s">
        <v>625</v>
      </c>
      <c r="B23" s="111" t="s">
        <v>626</v>
      </c>
      <c r="C23" s="33" t="s">
        <v>627</v>
      </c>
      <c r="D23" s="33" t="s">
        <v>628</v>
      </c>
      <c r="E23" s="66" t="s">
        <v>559</v>
      </c>
      <c r="F23" s="66" t="s">
        <v>559</v>
      </c>
      <c r="G23" s="66" t="s">
        <v>559</v>
      </c>
      <c r="H23" s="47" t="s">
        <v>629</v>
      </c>
      <c r="I23" s="62"/>
      <c r="J23" s="62"/>
      <c r="K23" s="62"/>
      <c r="L23" s="62"/>
      <c r="M23" s="62"/>
      <c r="N23" s="62"/>
      <c r="O23" s="62"/>
      <c r="P23" s="62"/>
      <c r="Q23" s="62"/>
      <c r="R23" s="62"/>
      <c r="S23" s="62"/>
      <c r="T23" s="62"/>
      <c r="U23" s="62"/>
      <c r="V23" s="62"/>
      <c r="W23" s="62"/>
      <c r="X23" s="62"/>
      <c r="Y23" s="62"/>
      <c r="Z23" s="62"/>
    </row>
    <row r="24" ht="15.75" customHeight="1">
      <c r="A24" s="111" t="s">
        <v>630</v>
      </c>
      <c r="B24" s="111" t="s">
        <v>569</v>
      </c>
      <c r="C24" s="33" t="s">
        <v>570</v>
      </c>
      <c r="D24" s="33" t="s">
        <v>39</v>
      </c>
      <c r="E24" s="7" t="s">
        <v>39</v>
      </c>
      <c r="F24" s="7" t="s">
        <v>39</v>
      </c>
      <c r="G24" s="7" t="s">
        <v>39</v>
      </c>
      <c r="H24" s="47"/>
      <c r="I24" s="62"/>
      <c r="J24" s="62"/>
      <c r="K24" s="62"/>
      <c r="L24" s="62"/>
      <c r="M24" s="62"/>
      <c r="N24" s="62"/>
      <c r="O24" s="62"/>
      <c r="P24" s="62"/>
      <c r="Q24" s="62"/>
      <c r="R24" s="62"/>
      <c r="S24" s="62"/>
      <c r="T24" s="62"/>
      <c r="U24" s="62"/>
      <c r="V24" s="62"/>
      <c r="W24" s="62"/>
      <c r="X24" s="62"/>
      <c r="Y24" s="62"/>
      <c r="Z24" s="62"/>
    </row>
    <row r="25" ht="15.75" customHeight="1">
      <c r="A25" s="111" t="s">
        <v>93</v>
      </c>
      <c r="B25" s="111" t="s">
        <v>569</v>
      </c>
      <c r="C25" s="33" t="s">
        <v>570</v>
      </c>
      <c r="D25" s="33" t="s">
        <v>39</v>
      </c>
      <c r="E25" s="7" t="s">
        <v>39</v>
      </c>
      <c r="F25" s="7" t="s">
        <v>39</v>
      </c>
      <c r="G25" s="7" t="s">
        <v>39</v>
      </c>
      <c r="H25" s="47"/>
      <c r="I25" s="62"/>
      <c r="J25" s="62"/>
      <c r="K25" s="62"/>
      <c r="L25" s="62"/>
      <c r="M25" s="62"/>
      <c r="N25" s="62"/>
      <c r="O25" s="62"/>
      <c r="P25" s="62"/>
      <c r="Q25" s="62"/>
      <c r="R25" s="62"/>
      <c r="S25" s="62"/>
      <c r="T25" s="62"/>
      <c r="U25" s="62"/>
      <c r="V25" s="62"/>
      <c r="W25" s="62"/>
      <c r="X25" s="62"/>
      <c r="Y25" s="62"/>
      <c r="Z25" s="62"/>
    </row>
    <row r="26" ht="15.75" customHeight="1">
      <c r="A26" s="111" t="s">
        <v>214</v>
      </c>
      <c r="B26" s="117" t="s">
        <v>631</v>
      </c>
      <c r="C26" s="118" t="s">
        <v>632</v>
      </c>
      <c r="D26" s="118" t="s">
        <v>632</v>
      </c>
      <c r="E26" s="66" t="s">
        <v>559</v>
      </c>
      <c r="F26" s="66" t="s">
        <v>559</v>
      </c>
      <c r="G26" s="66" t="s">
        <v>559</v>
      </c>
      <c r="H26" s="47" t="s">
        <v>633</v>
      </c>
      <c r="I26" s="62"/>
      <c r="J26" s="62"/>
      <c r="K26" s="62"/>
      <c r="L26" s="62"/>
      <c r="M26" s="62"/>
      <c r="N26" s="62"/>
      <c r="O26" s="62"/>
      <c r="P26" s="62"/>
      <c r="Q26" s="62"/>
      <c r="R26" s="62"/>
      <c r="S26" s="62"/>
      <c r="T26" s="62"/>
      <c r="U26" s="62"/>
      <c r="V26" s="62"/>
      <c r="W26" s="62"/>
      <c r="X26" s="62"/>
      <c r="Y26" s="62"/>
      <c r="Z26" s="62"/>
    </row>
    <row r="27" ht="15.75" customHeight="1">
      <c r="A27" s="111" t="s">
        <v>161</v>
      </c>
      <c r="B27" s="111" t="s">
        <v>569</v>
      </c>
      <c r="C27" s="33" t="s">
        <v>570</v>
      </c>
      <c r="D27" s="33" t="s">
        <v>39</v>
      </c>
      <c r="E27" s="7" t="s">
        <v>39</v>
      </c>
      <c r="F27" s="7" t="s">
        <v>39</v>
      </c>
      <c r="G27" s="7" t="s">
        <v>39</v>
      </c>
      <c r="H27" s="47"/>
      <c r="I27" s="62"/>
      <c r="J27" s="62"/>
      <c r="K27" s="62"/>
      <c r="L27" s="62"/>
      <c r="M27" s="62"/>
      <c r="N27" s="62"/>
      <c r="O27" s="62"/>
      <c r="P27" s="62"/>
      <c r="Q27" s="62"/>
      <c r="R27" s="62"/>
      <c r="S27" s="62"/>
      <c r="T27" s="62"/>
      <c r="U27" s="62"/>
      <c r="V27" s="62"/>
      <c r="W27" s="62"/>
      <c r="X27" s="62"/>
      <c r="Y27" s="62"/>
      <c r="Z27" s="62"/>
    </row>
    <row r="28" ht="15.75" customHeight="1">
      <c r="A28" s="111" t="s">
        <v>528</v>
      </c>
      <c r="B28" s="111" t="s">
        <v>569</v>
      </c>
      <c r="C28" s="33" t="s">
        <v>570</v>
      </c>
      <c r="D28" s="33" t="s">
        <v>39</v>
      </c>
      <c r="E28" s="7" t="s">
        <v>39</v>
      </c>
      <c r="F28" s="7" t="s">
        <v>39</v>
      </c>
      <c r="G28" s="7" t="s">
        <v>39</v>
      </c>
      <c r="H28" s="47"/>
      <c r="I28" s="62"/>
      <c r="J28" s="62"/>
      <c r="K28" s="62"/>
      <c r="L28" s="62"/>
      <c r="M28" s="62"/>
      <c r="N28" s="62"/>
      <c r="O28" s="62"/>
      <c r="P28" s="62"/>
      <c r="Q28" s="62"/>
      <c r="R28" s="62"/>
      <c r="S28" s="62"/>
      <c r="T28" s="62"/>
      <c r="U28" s="62"/>
      <c r="V28" s="62"/>
      <c r="W28" s="62"/>
      <c r="X28" s="62"/>
      <c r="Y28" s="62"/>
      <c r="Z28" s="62"/>
    </row>
    <row r="29" ht="15.75" customHeight="1">
      <c r="A29" s="111" t="s">
        <v>187</v>
      </c>
      <c r="B29" s="111" t="s">
        <v>569</v>
      </c>
      <c r="C29" s="33" t="s">
        <v>570</v>
      </c>
      <c r="D29" s="33" t="s">
        <v>39</v>
      </c>
      <c r="E29" s="7" t="s">
        <v>39</v>
      </c>
      <c r="F29" s="7" t="s">
        <v>39</v>
      </c>
      <c r="G29" s="7" t="s">
        <v>39</v>
      </c>
      <c r="H29" s="47"/>
      <c r="I29" s="62"/>
      <c r="J29" s="62"/>
      <c r="K29" s="62"/>
      <c r="L29" s="62"/>
      <c r="M29" s="62"/>
      <c r="N29" s="62"/>
      <c r="O29" s="62"/>
      <c r="P29" s="62"/>
      <c r="Q29" s="62"/>
      <c r="R29" s="62"/>
      <c r="S29" s="62"/>
      <c r="T29" s="62"/>
      <c r="U29" s="62"/>
      <c r="V29" s="62"/>
      <c r="W29" s="62"/>
      <c r="X29" s="62"/>
      <c r="Y29" s="62"/>
      <c r="Z29" s="62"/>
    </row>
    <row r="30" ht="15.75" customHeight="1">
      <c r="A30" s="111" t="s">
        <v>216</v>
      </c>
      <c r="B30" s="111" t="s">
        <v>569</v>
      </c>
      <c r="C30" s="33" t="s">
        <v>570</v>
      </c>
      <c r="D30" s="33" t="s">
        <v>39</v>
      </c>
      <c r="E30" s="7" t="s">
        <v>39</v>
      </c>
      <c r="F30" s="7" t="s">
        <v>39</v>
      </c>
      <c r="G30" s="7" t="s">
        <v>39</v>
      </c>
      <c r="H30" s="47"/>
      <c r="I30" s="62"/>
      <c r="J30" s="62"/>
      <c r="K30" s="62"/>
      <c r="L30" s="62"/>
      <c r="M30" s="62"/>
      <c r="N30" s="62"/>
      <c r="O30" s="62"/>
      <c r="P30" s="62"/>
      <c r="Q30" s="62"/>
      <c r="R30" s="62"/>
      <c r="S30" s="62"/>
      <c r="T30" s="62"/>
      <c r="U30" s="62"/>
      <c r="V30" s="62"/>
      <c r="W30" s="62"/>
      <c r="X30" s="62"/>
      <c r="Y30" s="62"/>
      <c r="Z30" s="62"/>
    </row>
    <row r="31" ht="15.75" customHeight="1">
      <c r="A31" s="111" t="s">
        <v>218</v>
      </c>
      <c r="B31" s="111" t="s">
        <v>569</v>
      </c>
      <c r="C31" s="33" t="s">
        <v>570</v>
      </c>
      <c r="D31" s="33" t="s">
        <v>39</v>
      </c>
      <c r="E31" s="7" t="s">
        <v>39</v>
      </c>
      <c r="F31" s="7" t="s">
        <v>39</v>
      </c>
      <c r="G31" s="7" t="s">
        <v>39</v>
      </c>
      <c r="H31" s="47"/>
      <c r="I31" s="62"/>
      <c r="J31" s="62"/>
      <c r="K31" s="62"/>
      <c r="L31" s="62"/>
      <c r="M31" s="62"/>
      <c r="N31" s="62"/>
      <c r="O31" s="62"/>
      <c r="P31" s="62"/>
      <c r="Q31" s="62"/>
      <c r="R31" s="62"/>
      <c r="S31" s="62"/>
      <c r="T31" s="62"/>
      <c r="U31" s="62"/>
      <c r="V31" s="62"/>
      <c r="W31" s="62"/>
      <c r="X31" s="62"/>
      <c r="Y31" s="62"/>
      <c r="Z31" s="62"/>
    </row>
    <row r="32" ht="15.75" customHeight="1">
      <c r="A32" s="111" t="s">
        <v>634</v>
      </c>
      <c r="B32" s="111" t="s">
        <v>635</v>
      </c>
      <c r="C32" s="33" t="s">
        <v>636</v>
      </c>
      <c r="D32" s="33" t="s">
        <v>637</v>
      </c>
      <c r="E32" s="66" t="s">
        <v>559</v>
      </c>
      <c r="F32" s="66" t="s">
        <v>559</v>
      </c>
      <c r="G32" s="66" t="s">
        <v>559</v>
      </c>
      <c r="H32" s="47" t="s">
        <v>638</v>
      </c>
      <c r="I32" s="62"/>
      <c r="J32" s="62"/>
      <c r="K32" s="62"/>
      <c r="L32" s="62"/>
      <c r="M32" s="62"/>
      <c r="N32" s="62"/>
      <c r="O32" s="62"/>
      <c r="P32" s="62"/>
      <c r="Q32" s="62"/>
      <c r="R32" s="62"/>
      <c r="S32" s="62"/>
      <c r="T32" s="62"/>
      <c r="U32" s="62"/>
      <c r="V32" s="62"/>
      <c r="W32" s="62"/>
      <c r="X32" s="62"/>
      <c r="Y32" s="62"/>
      <c r="Z32" s="62"/>
    </row>
    <row r="33" ht="15.75" customHeight="1">
      <c r="A33" s="111" t="s">
        <v>639</v>
      </c>
      <c r="B33" s="117" t="s">
        <v>640</v>
      </c>
      <c r="C33" s="118" t="s">
        <v>641</v>
      </c>
      <c r="D33" s="118" t="s">
        <v>641</v>
      </c>
      <c r="E33" s="66" t="s">
        <v>559</v>
      </c>
      <c r="F33" s="66" t="s">
        <v>559</v>
      </c>
      <c r="G33" s="66" t="s">
        <v>559</v>
      </c>
      <c r="H33" s="47" t="s">
        <v>642</v>
      </c>
      <c r="I33" s="62"/>
      <c r="J33" s="62"/>
      <c r="K33" s="62"/>
      <c r="L33" s="62"/>
      <c r="M33" s="62"/>
      <c r="N33" s="62"/>
      <c r="O33" s="62"/>
      <c r="P33" s="62"/>
      <c r="Q33" s="62"/>
      <c r="R33" s="62"/>
      <c r="S33" s="62"/>
      <c r="T33" s="62"/>
      <c r="U33" s="62"/>
      <c r="V33" s="62"/>
      <c r="W33" s="62"/>
      <c r="X33" s="62"/>
      <c r="Y33" s="62"/>
      <c r="Z33" s="62"/>
    </row>
    <row r="34" ht="15.75" customHeight="1">
      <c r="A34" s="111" t="s">
        <v>540</v>
      </c>
      <c r="B34" s="111" t="s">
        <v>569</v>
      </c>
      <c r="C34" s="33" t="s">
        <v>570</v>
      </c>
      <c r="D34" s="33" t="s">
        <v>39</v>
      </c>
      <c r="E34" s="7" t="s">
        <v>39</v>
      </c>
      <c r="F34" s="7" t="s">
        <v>39</v>
      </c>
      <c r="G34" s="7" t="s">
        <v>39</v>
      </c>
      <c r="H34" s="47"/>
      <c r="I34" s="62"/>
      <c r="J34" s="62"/>
      <c r="K34" s="62"/>
      <c r="L34" s="62"/>
      <c r="M34" s="62"/>
      <c r="N34" s="62"/>
      <c r="O34" s="62"/>
      <c r="P34" s="62"/>
      <c r="Q34" s="62"/>
      <c r="R34" s="62"/>
      <c r="S34" s="62"/>
      <c r="T34" s="62"/>
      <c r="U34" s="62"/>
      <c r="V34" s="62"/>
      <c r="W34" s="62"/>
      <c r="X34" s="62"/>
      <c r="Y34" s="62"/>
      <c r="Z34" s="62"/>
    </row>
    <row r="35" ht="15.75" customHeight="1">
      <c r="A35" s="111" t="s">
        <v>643</v>
      </c>
      <c r="B35" s="117" t="s">
        <v>644</v>
      </c>
      <c r="C35" s="118" t="s">
        <v>645</v>
      </c>
      <c r="D35" s="118" t="s">
        <v>645</v>
      </c>
      <c r="E35" s="66" t="s">
        <v>559</v>
      </c>
      <c r="F35" s="66" t="s">
        <v>559</v>
      </c>
      <c r="G35" s="66" t="s">
        <v>560</v>
      </c>
      <c r="H35" s="47" t="s">
        <v>646</v>
      </c>
      <c r="I35" s="62"/>
      <c r="J35" s="62"/>
      <c r="K35" s="62"/>
      <c r="L35" s="62"/>
      <c r="M35" s="62"/>
      <c r="N35" s="62"/>
      <c r="O35" s="62"/>
      <c r="P35" s="62"/>
      <c r="Q35" s="62"/>
      <c r="R35" s="62"/>
      <c r="S35" s="62"/>
      <c r="T35" s="62"/>
      <c r="U35" s="62"/>
      <c r="V35" s="62"/>
      <c r="W35" s="62"/>
      <c r="X35" s="62"/>
      <c r="Y35" s="62"/>
      <c r="Z35" s="62"/>
    </row>
    <row r="36" ht="15.75" customHeight="1">
      <c r="A36" s="111" t="s">
        <v>647</v>
      </c>
      <c r="B36" s="111" t="s">
        <v>569</v>
      </c>
      <c r="C36" s="33" t="s">
        <v>570</v>
      </c>
      <c r="D36" s="33" t="s">
        <v>39</v>
      </c>
      <c r="E36" s="7" t="s">
        <v>39</v>
      </c>
      <c r="F36" s="7" t="s">
        <v>39</v>
      </c>
      <c r="G36" s="7" t="s">
        <v>39</v>
      </c>
      <c r="H36" s="47"/>
      <c r="I36" s="62"/>
      <c r="J36" s="62"/>
      <c r="K36" s="62"/>
      <c r="L36" s="62"/>
      <c r="M36" s="62"/>
      <c r="N36" s="62"/>
      <c r="O36" s="62"/>
      <c r="P36" s="62"/>
      <c r="Q36" s="62"/>
      <c r="R36" s="62"/>
      <c r="S36" s="62"/>
      <c r="T36" s="62"/>
      <c r="U36" s="62"/>
      <c r="V36" s="62"/>
      <c r="W36" s="62"/>
      <c r="X36" s="62"/>
      <c r="Y36" s="62"/>
      <c r="Z36" s="62"/>
    </row>
    <row r="37" ht="15.75" customHeight="1">
      <c r="A37" s="111" t="s">
        <v>154</v>
      </c>
      <c r="B37" s="111" t="s">
        <v>569</v>
      </c>
      <c r="C37" s="33" t="s">
        <v>570</v>
      </c>
      <c r="D37" s="33" t="s">
        <v>39</v>
      </c>
      <c r="E37" s="7" t="s">
        <v>39</v>
      </c>
      <c r="F37" s="7" t="s">
        <v>39</v>
      </c>
      <c r="G37" s="7" t="s">
        <v>39</v>
      </c>
      <c r="H37" s="47"/>
      <c r="I37" s="62"/>
      <c r="J37" s="62"/>
      <c r="K37" s="62"/>
      <c r="L37" s="62"/>
      <c r="M37" s="62"/>
      <c r="N37" s="62"/>
      <c r="O37" s="62"/>
      <c r="P37" s="62"/>
      <c r="Q37" s="62"/>
      <c r="R37" s="62"/>
      <c r="S37" s="62"/>
      <c r="T37" s="62"/>
      <c r="U37" s="62"/>
      <c r="V37" s="62"/>
      <c r="W37" s="62"/>
      <c r="X37" s="62"/>
      <c r="Y37" s="62"/>
      <c r="Z37" s="62"/>
    </row>
    <row r="38" ht="15.75" customHeight="1">
      <c r="A38" s="111" t="s">
        <v>648</v>
      </c>
      <c r="B38" s="117" t="s">
        <v>649</v>
      </c>
      <c r="C38" s="118" t="s">
        <v>650</v>
      </c>
      <c r="D38" s="118" t="s">
        <v>650</v>
      </c>
      <c r="E38" s="66" t="s">
        <v>559</v>
      </c>
      <c r="F38" s="66" t="s">
        <v>559</v>
      </c>
      <c r="G38" s="66" t="s">
        <v>559</v>
      </c>
      <c r="H38" s="47" t="s">
        <v>651</v>
      </c>
      <c r="I38" s="62"/>
      <c r="J38" s="62"/>
      <c r="K38" s="62"/>
      <c r="L38" s="62"/>
      <c r="M38" s="62"/>
      <c r="N38" s="62"/>
      <c r="O38" s="62"/>
      <c r="P38" s="62"/>
      <c r="Q38" s="62"/>
      <c r="R38" s="62"/>
      <c r="S38" s="62"/>
      <c r="T38" s="62"/>
      <c r="U38" s="62"/>
      <c r="V38" s="62"/>
      <c r="W38" s="62"/>
      <c r="X38" s="62"/>
      <c r="Y38" s="62"/>
      <c r="Z38" s="62"/>
    </row>
    <row r="39" ht="15.75" customHeight="1">
      <c r="A39" s="111" t="s">
        <v>481</v>
      </c>
      <c r="B39" s="111" t="s">
        <v>652</v>
      </c>
      <c r="C39" s="33" t="s">
        <v>653</v>
      </c>
      <c r="D39" s="33" t="s">
        <v>654</v>
      </c>
      <c r="E39" s="66" t="s">
        <v>559</v>
      </c>
      <c r="F39" s="66" t="s">
        <v>559</v>
      </c>
      <c r="G39" s="66" t="s">
        <v>559</v>
      </c>
      <c r="H39" s="47" t="s">
        <v>655</v>
      </c>
      <c r="I39" s="62"/>
      <c r="J39" s="62"/>
      <c r="K39" s="62"/>
      <c r="L39" s="62"/>
      <c r="M39" s="62"/>
      <c r="N39" s="62"/>
      <c r="O39" s="62"/>
      <c r="P39" s="62"/>
      <c r="Q39" s="62"/>
      <c r="R39" s="62"/>
      <c r="S39" s="62"/>
      <c r="T39" s="62"/>
      <c r="U39" s="62"/>
      <c r="V39" s="62"/>
      <c r="W39" s="62"/>
      <c r="X39" s="62"/>
      <c r="Y39" s="62"/>
      <c r="Z39" s="62"/>
    </row>
    <row r="40" ht="15.75" customHeight="1">
      <c r="A40" s="111" t="s">
        <v>539</v>
      </c>
      <c r="B40" s="111" t="s">
        <v>656</v>
      </c>
      <c r="C40" s="33" t="s">
        <v>657</v>
      </c>
      <c r="D40" s="33" t="s">
        <v>658</v>
      </c>
      <c r="E40" s="66" t="s">
        <v>559</v>
      </c>
      <c r="F40" s="66" t="s">
        <v>559</v>
      </c>
      <c r="G40" s="66" t="s">
        <v>559</v>
      </c>
      <c r="H40" s="47" t="s">
        <v>659</v>
      </c>
      <c r="I40" s="62"/>
      <c r="J40" s="62"/>
      <c r="K40" s="62"/>
      <c r="L40" s="62"/>
      <c r="M40" s="62"/>
      <c r="N40" s="62"/>
      <c r="O40" s="62"/>
      <c r="P40" s="62"/>
      <c r="Q40" s="62"/>
      <c r="R40" s="62"/>
      <c r="S40" s="62"/>
      <c r="T40" s="62"/>
      <c r="U40" s="62"/>
      <c r="V40" s="62"/>
      <c r="W40" s="62"/>
      <c r="X40" s="62"/>
      <c r="Y40" s="62"/>
      <c r="Z40" s="62"/>
    </row>
    <row r="41" ht="15.75" customHeight="1">
      <c r="A41" s="111" t="s">
        <v>110</v>
      </c>
      <c r="B41" s="111" t="s">
        <v>569</v>
      </c>
      <c r="C41" s="33" t="s">
        <v>570</v>
      </c>
      <c r="D41" s="33" t="s">
        <v>39</v>
      </c>
      <c r="E41" s="7" t="s">
        <v>39</v>
      </c>
      <c r="F41" s="7" t="s">
        <v>39</v>
      </c>
      <c r="G41" s="7" t="s">
        <v>39</v>
      </c>
      <c r="H41" s="47"/>
      <c r="I41" s="62"/>
      <c r="J41" s="62"/>
      <c r="K41" s="62"/>
      <c r="L41" s="62"/>
      <c r="M41" s="62"/>
      <c r="N41" s="62"/>
      <c r="O41" s="62"/>
      <c r="P41" s="62"/>
      <c r="Q41" s="62"/>
      <c r="R41" s="62"/>
      <c r="S41" s="62"/>
      <c r="T41" s="62"/>
      <c r="U41" s="62"/>
      <c r="V41" s="62"/>
      <c r="W41" s="62"/>
      <c r="X41" s="62"/>
      <c r="Y41" s="62"/>
      <c r="Z41" s="62"/>
    </row>
    <row r="42" ht="15.75" customHeight="1">
      <c r="A42" s="111" t="s">
        <v>100</v>
      </c>
      <c r="B42" s="111" t="s">
        <v>660</v>
      </c>
      <c r="C42" s="33" t="s">
        <v>661</v>
      </c>
      <c r="D42" s="33" t="s">
        <v>662</v>
      </c>
      <c r="E42" s="66" t="s">
        <v>559</v>
      </c>
      <c r="F42" s="66" t="s">
        <v>559</v>
      </c>
      <c r="G42" s="66" t="s">
        <v>559</v>
      </c>
      <c r="H42" s="47" t="s">
        <v>663</v>
      </c>
      <c r="I42" s="62"/>
      <c r="J42" s="62"/>
      <c r="K42" s="62"/>
      <c r="L42" s="62"/>
      <c r="M42" s="62"/>
      <c r="N42" s="62"/>
      <c r="O42" s="62"/>
      <c r="P42" s="62"/>
      <c r="Q42" s="62"/>
      <c r="R42" s="62"/>
      <c r="S42" s="62"/>
      <c r="T42" s="62"/>
      <c r="U42" s="62"/>
      <c r="V42" s="62"/>
      <c r="W42" s="62"/>
      <c r="X42" s="62"/>
      <c r="Y42" s="62"/>
      <c r="Z42" s="62"/>
    </row>
    <row r="43" ht="15.75" customHeight="1">
      <c r="A43" s="111" t="s">
        <v>106</v>
      </c>
      <c r="B43" s="111" t="s">
        <v>664</v>
      </c>
      <c r="C43" s="33" t="s">
        <v>665</v>
      </c>
      <c r="D43" s="33" t="s">
        <v>666</v>
      </c>
      <c r="E43" s="66" t="s">
        <v>559</v>
      </c>
      <c r="F43" s="66" t="s">
        <v>559</v>
      </c>
      <c r="G43" s="66" t="s">
        <v>559</v>
      </c>
      <c r="H43" s="47" t="s">
        <v>667</v>
      </c>
      <c r="I43" s="62"/>
      <c r="J43" s="62"/>
      <c r="K43" s="62"/>
      <c r="L43" s="62"/>
      <c r="M43" s="62"/>
      <c r="N43" s="62"/>
      <c r="O43" s="62"/>
      <c r="P43" s="62"/>
      <c r="Q43" s="62"/>
      <c r="R43" s="62"/>
      <c r="S43" s="62"/>
      <c r="T43" s="62"/>
      <c r="U43" s="62"/>
      <c r="V43" s="62"/>
      <c r="W43" s="62"/>
      <c r="X43" s="62"/>
      <c r="Y43" s="62"/>
      <c r="Z43" s="62"/>
    </row>
    <row r="44" ht="15.75" customHeight="1">
      <c r="A44" s="111" t="s">
        <v>129</v>
      </c>
      <c r="B44" s="111" t="s">
        <v>668</v>
      </c>
      <c r="C44" s="33" t="s">
        <v>669</v>
      </c>
      <c r="D44" s="33" t="s">
        <v>670</v>
      </c>
      <c r="E44" s="66" t="s">
        <v>559</v>
      </c>
      <c r="F44" s="66" t="s">
        <v>559</v>
      </c>
      <c r="G44" s="66" t="s">
        <v>559</v>
      </c>
      <c r="H44" s="47" t="s">
        <v>671</v>
      </c>
      <c r="I44" s="62"/>
      <c r="J44" s="62"/>
      <c r="K44" s="62"/>
      <c r="L44" s="62"/>
      <c r="M44" s="62"/>
      <c r="N44" s="62"/>
      <c r="O44" s="62"/>
      <c r="P44" s="62"/>
      <c r="Q44" s="62"/>
      <c r="R44" s="62"/>
      <c r="S44" s="62"/>
      <c r="T44" s="62"/>
      <c r="U44" s="62"/>
      <c r="V44" s="62"/>
      <c r="W44" s="62"/>
      <c r="X44" s="62"/>
      <c r="Y44" s="62"/>
      <c r="Z44" s="62"/>
    </row>
    <row r="45" ht="15.75" customHeight="1">
      <c r="A45" s="111" t="s">
        <v>672</v>
      </c>
      <c r="B45" s="122" t="s">
        <v>673</v>
      </c>
      <c r="C45" s="123" t="s">
        <v>674</v>
      </c>
      <c r="D45" s="123" t="s">
        <v>674</v>
      </c>
      <c r="E45" s="7" t="s">
        <v>559</v>
      </c>
      <c r="F45" s="7" t="s">
        <v>559</v>
      </c>
      <c r="G45" s="7" t="s">
        <v>559</v>
      </c>
      <c r="H45" s="47" t="s">
        <v>675</v>
      </c>
      <c r="I45" s="62"/>
      <c r="J45" s="62"/>
      <c r="K45" s="62"/>
      <c r="L45" s="62"/>
      <c r="M45" s="62"/>
      <c r="N45" s="62"/>
      <c r="O45" s="62"/>
      <c r="P45" s="62"/>
      <c r="Q45" s="62"/>
      <c r="R45" s="62"/>
      <c r="S45" s="62"/>
      <c r="T45" s="62"/>
      <c r="U45" s="62"/>
      <c r="V45" s="62"/>
      <c r="W45" s="62"/>
      <c r="X45" s="62"/>
      <c r="Y45" s="62"/>
      <c r="Z45" s="62"/>
    </row>
    <row r="46" ht="15.75" customHeight="1">
      <c r="A46" s="111" t="s">
        <v>120</v>
      </c>
      <c r="B46" s="124" t="s">
        <v>569</v>
      </c>
      <c r="C46" s="123" t="s">
        <v>570</v>
      </c>
      <c r="D46" s="123" t="s">
        <v>39</v>
      </c>
      <c r="E46" s="35" t="s">
        <v>39</v>
      </c>
      <c r="F46" s="35" t="s">
        <v>39</v>
      </c>
      <c r="G46" s="35" t="s">
        <v>39</v>
      </c>
      <c r="H46" s="125"/>
      <c r="I46" s="62"/>
      <c r="J46" s="62"/>
      <c r="K46" s="62"/>
      <c r="L46" s="62"/>
      <c r="M46" s="62"/>
      <c r="N46" s="62"/>
      <c r="O46" s="62"/>
      <c r="P46" s="62"/>
      <c r="Q46" s="62"/>
      <c r="R46" s="62"/>
      <c r="S46" s="62"/>
      <c r="T46" s="62"/>
      <c r="U46" s="62"/>
      <c r="V46" s="62"/>
      <c r="W46" s="62"/>
      <c r="X46" s="62"/>
      <c r="Y46" s="62"/>
      <c r="Z46" s="62"/>
    </row>
    <row r="47" ht="15.75" customHeight="1">
      <c r="A47" s="126" t="s">
        <v>74</v>
      </c>
      <c r="B47" s="111" t="s">
        <v>569</v>
      </c>
      <c r="C47" s="33" t="s">
        <v>570</v>
      </c>
      <c r="D47" s="33" t="s">
        <v>39</v>
      </c>
      <c r="E47" s="7" t="s">
        <v>39</v>
      </c>
      <c r="F47" s="7" t="s">
        <v>39</v>
      </c>
      <c r="G47" s="7" t="s">
        <v>39</v>
      </c>
      <c r="H47" s="47"/>
      <c r="I47" s="62"/>
      <c r="J47" s="62"/>
      <c r="K47" s="62"/>
      <c r="L47" s="62"/>
      <c r="M47" s="62"/>
      <c r="N47" s="62"/>
      <c r="O47" s="62"/>
      <c r="P47" s="62"/>
      <c r="Q47" s="62"/>
      <c r="R47" s="62"/>
      <c r="S47" s="62"/>
      <c r="T47" s="62"/>
      <c r="U47" s="62"/>
      <c r="V47" s="62"/>
      <c r="W47" s="62"/>
      <c r="X47" s="62"/>
      <c r="Y47" s="62"/>
      <c r="Z47" s="62"/>
    </row>
    <row r="48" ht="15.75" customHeight="1">
      <c r="A48" s="126" t="s">
        <v>79</v>
      </c>
      <c r="B48" s="111" t="s">
        <v>569</v>
      </c>
      <c r="C48" s="33" t="s">
        <v>570</v>
      </c>
      <c r="D48" s="33" t="s">
        <v>39</v>
      </c>
      <c r="E48" s="7" t="s">
        <v>39</v>
      </c>
      <c r="F48" s="7" t="s">
        <v>39</v>
      </c>
      <c r="G48" s="7" t="s">
        <v>39</v>
      </c>
      <c r="H48" s="47"/>
      <c r="I48" s="62"/>
      <c r="J48" s="62"/>
      <c r="K48" s="62"/>
      <c r="L48" s="62"/>
      <c r="M48" s="62"/>
      <c r="N48" s="62"/>
      <c r="O48" s="62"/>
      <c r="P48" s="62"/>
      <c r="Q48" s="62"/>
      <c r="R48" s="62"/>
      <c r="S48" s="62"/>
      <c r="T48" s="62"/>
      <c r="U48" s="62"/>
      <c r="V48" s="62"/>
      <c r="W48" s="62"/>
      <c r="X48" s="62"/>
      <c r="Y48" s="62"/>
      <c r="Z48" s="62"/>
    </row>
    <row r="49" ht="15.75" customHeight="1">
      <c r="A49" s="74"/>
      <c r="B49" s="74"/>
      <c r="C49" s="74"/>
      <c r="D49" s="74"/>
      <c r="E49" s="2"/>
      <c r="F49" s="2"/>
      <c r="G49" s="2"/>
      <c r="H49" s="127"/>
      <c r="I49" s="62"/>
      <c r="J49" s="62"/>
      <c r="K49" s="62"/>
      <c r="L49" s="62"/>
      <c r="M49" s="62"/>
      <c r="N49" s="62"/>
      <c r="O49" s="62"/>
      <c r="P49" s="62"/>
      <c r="Q49" s="62"/>
      <c r="R49" s="62"/>
      <c r="S49" s="62"/>
      <c r="T49" s="62"/>
      <c r="U49" s="62"/>
      <c r="V49" s="62"/>
      <c r="W49" s="62"/>
      <c r="X49" s="62"/>
      <c r="Y49" s="62"/>
      <c r="Z49" s="62"/>
    </row>
    <row r="50" ht="15.75" customHeight="1">
      <c r="A50" s="74"/>
      <c r="B50" s="74"/>
      <c r="C50" s="74"/>
      <c r="D50" s="74"/>
      <c r="E50" s="2"/>
      <c r="F50" s="2"/>
      <c r="G50" s="2"/>
      <c r="H50" s="127"/>
      <c r="I50" s="62"/>
      <c r="J50" s="62"/>
      <c r="K50" s="62"/>
      <c r="L50" s="62"/>
      <c r="M50" s="62"/>
      <c r="N50" s="62"/>
      <c r="O50" s="62"/>
      <c r="P50" s="62"/>
      <c r="Q50" s="62"/>
      <c r="R50" s="62"/>
      <c r="S50" s="62"/>
      <c r="T50" s="62"/>
      <c r="U50" s="62"/>
      <c r="V50" s="62"/>
      <c r="W50" s="62"/>
      <c r="X50" s="62"/>
      <c r="Y50" s="62"/>
      <c r="Z50" s="62"/>
    </row>
    <row r="51" ht="15.75" customHeight="1">
      <c r="A51" s="74"/>
      <c r="B51" s="74"/>
      <c r="C51" s="74"/>
      <c r="D51" s="74"/>
      <c r="E51" s="2"/>
      <c r="F51" s="2"/>
      <c r="G51" s="2"/>
      <c r="H51" s="127"/>
      <c r="I51" s="62"/>
      <c r="J51" s="62"/>
      <c r="K51" s="62"/>
      <c r="L51" s="62"/>
      <c r="M51" s="62"/>
      <c r="N51" s="62"/>
      <c r="O51" s="62"/>
      <c r="P51" s="62"/>
      <c r="Q51" s="62"/>
      <c r="R51" s="62"/>
      <c r="S51" s="62"/>
      <c r="T51" s="62"/>
      <c r="U51" s="62"/>
      <c r="V51" s="62"/>
      <c r="W51" s="62"/>
      <c r="X51" s="62"/>
      <c r="Y51" s="62"/>
      <c r="Z51" s="62"/>
    </row>
    <row r="52" ht="15.75" customHeight="1">
      <c r="A52" s="74"/>
      <c r="B52" s="74"/>
      <c r="C52" s="74"/>
      <c r="D52" s="74"/>
      <c r="E52" s="2"/>
      <c r="F52" s="2"/>
      <c r="G52" s="2"/>
      <c r="H52" s="127"/>
      <c r="I52" s="62"/>
      <c r="J52" s="62"/>
      <c r="K52" s="62"/>
      <c r="L52" s="62"/>
      <c r="M52" s="62"/>
      <c r="N52" s="62"/>
      <c r="O52" s="62"/>
      <c r="P52" s="62"/>
      <c r="Q52" s="62"/>
      <c r="R52" s="62"/>
      <c r="S52" s="62"/>
      <c r="T52" s="62"/>
      <c r="U52" s="62"/>
      <c r="V52" s="62"/>
      <c r="W52" s="62"/>
      <c r="X52" s="62"/>
      <c r="Y52" s="62"/>
      <c r="Z52" s="62"/>
    </row>
    <row r="53" ht="15.75" customHeight="1">
      <c r="A53" s="74"/>
      <c r="B53" s="74"/>
      <c r="C53" s="74"/>
      <c r="D53" s="74"/>
      <c r="E53" s="2"/>
      <c r="F53" s="2"/>
      <c r="G53" s="2"/>
      <c r="H53" s="127"/>
      <c r="I53" s="62"/>
      <c r="J53" s="62"/>
      <c r="K53" s="62"/>
      <c r="L53" s="62"/>
      <c r="M53" s="62"/>
      <c r="N53" s="62"/>
      <c r="O53" s="62"/>
      <c r="P53" s="62"/>
      <c r="Q53" s="62"/>
      <c r="R53" s="62"/>
      <c r="S53" s="62"/>
      <c r="T53" s="62"/>
      <c r="U53" s="62"/>
      <c r="V53" s="62"/>
      <c r="W53" s="62"/>
      <c r="X53" s="62"/>
      <c r="Y53" s="62"/>
      <c r="Z53" s="62"/>
    </row>
    <row r="54" ht="15.75" customHeight="1">
      <c r="A54" s="74"/>
      <c r="B54" s="74"/>
      <c r="C54" s="74"/>
      <c r="D54" s="74"/>
      <c r="E54" s="2"/>
      <c r="F54" s="2"/>
      <c r="G54" s="2"/>
      <c r="H54" s="127"/>
      <c r="I54" s="62"/>
      <c r="J54" s="62"/>
      <c r="K54" s="62"/>
      <c r="L54" s="62"/>
      <c r="M54" s="62"/>
      <c r="N54" s="62"/>
      <c r="O54" s="62"/>
      <c r="P54" s="62"/>
      <c r="Q54" s="62"/>
      <c r="R54" s="62"/>
      <c r="S54" s="62"/>
      <c r="T54" s="62"/>
      <c r="U54" s="62"/>
      <c r="V54" s="62"/>
      <c r="W54" s="62"/>
      <c r="X54" s="62"/>
      <c r="Y54" s="62"/>
      <c r="Z54" s="62"/>
    </row>
    <row r="55" ht="15.75" customHeight="1">
      <c r="A55" s="74"/>
      <c r="B55" s="74"/>
      <c r="C55" s="74"/>
      <c r="D55" s="74"/>
      <c r="E55" s="2"/>
      <c r="F55" s="2"/>
      <c r="G55" s="2"/>
      <c r="H55" s="127"/>
      <c r="I55" s="62"/>
      <c r="J55" s="62"/>
      <c r="K55" s="62"/>
      <c r="L55" s="62"/>
      <c r="M55" s="62"/>
      <c r="N55" s="62"/>
      <c r="O55" s="62"/>
      <c r="P55" s="62"/>
      <c r="Q55" s="62"/>
      <c r="R55" s="62"/>
      <c r="S55" s="62"/>
      <c r="T55" s="62"/>
      <c r="U55" s="62"/>
      <c r="V55" s="62"/>
      <c r="W55" s="62"/>
      <c r="X55" s="62"/>
      <c r="Y55" s="62"/>
      <c r="Z55" s="62"/>
    </row>
    <row r="56" ht="15.75" customHeight="1">
      <c r="A56" s="74"/>
      <c r="B56" s="74"/>
      <c r="C56" s="74"/>
      <c r="D56" s="74"/>
      <c r="E56" s="2"/>
      <c r="F56" s="2"/>
      <c r="G56" s="2"/>
      <c r="H56" s="127"/>
      <c r="I56" s="62"/>
      <c r="J56" s="62"/>
      <c r="K56" s="62"/>
      <c r="L56" s="62"/>
      <c r="M56" s="62"/>
      <c r="N56" s="62"/>
      <c r="O56" s="62"/>
      <c r="P56" s="62"/>
      <c r="Q56" s="62"/>
      <c r="R56" s="62"/>
      <c r="S56" s="62"/>
      <c r="T56" s="62"/>
      <c r="U56" s="62"/>
      <c r="V56" s="62"/>
      <c r="W56" s="62"/>
      <c r="X56" s="62"/>
      <c r="Y56" s="62"/>
      <c r="Z56" s="62"/>
    </row>
    <row r="57" ht="15.75" customHeight="1">
      <c r="A57" s="74"/>
      <c r="B57" s="74"/>
      <c r="C57" s="74"/>
      <c r="D57" s="74"/>
      <c r="E57" s="2"/>
      <c r="F57" s="2"/>
      <c r="G57" s="2"/>
      <c r="H57" s="127"/>
      <c r="I57" s="62"/>
      <c r="J57" s="62"/>
      <c r="K57" s="62"/>
      <c r="L57" s="62"/>
      <c r="M57" s="62"/>
      <c r="N57" s="62"/>
      <c r="O57" s="62"/>
      <c r="P57" s="62"/>
      <c r="Q57" s="62"/>
      <c r="R57" s="62"/>
      <c r="S57" s="62"/>
      <c r="T57" s="62"/>
      <c r="U57" s="62"/>
      <c r="V57" s="62"/>
      <c r="W57" s="62"/>
      <c r="X57" s="62"/>
      <c r="Y57" s="62"/>
      <c r="Z57" s="62"/>
    </row>
    <row r="58" ht="15.75" customHeight="1">
      <c r="A58" s="74"/>
      <c r="B58" s="74"/>
      <c r="C58" s="74"/>
      <c r="D58" s="74"/>
      <c r="E58" s="2"/>
      <c r="F58" s="2"/>
      <c r="G58" s="2"/>
      <c r="H58" s="127"/>
      <c r="I58" s="62"/>
      <c r="J58" s="62"/>
      <c r="K58" s="62"/>
      <c r="L58" s="62"/>
      <c r="M58" s="62"/>
      <c r="N58" s="62"/>
      <c r="O58" s="62"/>
      <c r="P58" s="62"/>
      <c r="Q58" s="62"/>
      <c r="R58" s="62"/>
      <c r="S58" s="62"/>
      <c r="T58" s="62"/>
      <c r="U58" s="62"/>
      <c r="V58" s="62"/>
      <c r="W58" s="62"/>
      <c r="X58" s="62"/>
      <c r="Y58" s="62"/>
      <c r="Z58" s="62"/>
    </row>
    <row r="59" ht="15.75" customHeight="1">
      <c r="A59" s="74"/>
      <c r="B59" s="74"/>
      <c r="C59" s="74"/>
      <c r="D59" s="74"/>
      <c r="E59" s="2"/>
      <c r="F59" s="2"/>
      <c r="G59" s="2"/>
      <c r="H59" s="127"/>
      <c r="I59" s="62"/>
      <c r="J59" s="62"/>
      <c r="K59" s="62"/>
      <c r="L59" s="62"/>
      <c r="M59" s="62"/>
      <c r="N59" s="62"/>
      <c r="O59" s="62"/>
      <c r="P59" s="62"/>
      <c r="Q59" s="62"/>
      <c r="R59" s="62"/>
      <c r="S59" s="62"/>
      <c r="T59" s="62"/>
      <c r="U59" s="62"/>
      <c r="V59" s="62"/>
      <c r="W59" s="62"/>
      <c r="X59" s="62"/>
      <c r="Y59" s="62"/>
      <c r="Z59" s="62"/>
    </row>
    <row r="60" ht="15.75" customHeight="1">
      <c r="A60" s="74"/>
      <c r="B60" s="74"/>
      <c r="C60" s="74"/>
      <c r="D60" s="74"/>
      <c r="E60" s="2"/>
      <c r="F60" s="2"/>
      <c r="G60" s="2"/>
      <c r="H60" s="127"/>
      <c r="I60" s="62"/>
      <c r="J60" s="62"/>
      <c r="K60" s="62"/>
      <c r="L60" s="62"/>
      <c r="M60" s="62"/>
      <c r="N60" s="62"/>
      <c r="O60" s="62"/>
      <c r="P60" s="62"/>
      <c r="Q60" s="62"/>
      <c r="R60" s="62"/>
      <c r="S60" s="62"/>
      <c r="T60" s="62"/>
      <c r="U60" s="62"/>
      <c r="V60" s="62"/>
      <c r="W60" s="62"/>
      <c r="X60" s="62"/>
      <c r="Y60" s="62"/>
      <c r="Z60" s="62"/>
    </row>
    <row r="61" ht="15.75" customHeight="1">
      <c r="A61" s="74"/>
      <c r="B61" s="74"/>
      <c r="C61" s="74"/>
      <c r="D61" s="74"/>
      <c r="E61" s="2"/>
      <c r="F61" s="2"/>
      <c r="G61" s="2"/>
      <c r="H61" s="127"/>
      <c r="I61" s="62"/>
      <c r="J61" s="62"/>
      <c r="K61" s="62"/>
      <c r="L61" s="62"/>
      <c r="M61" s="62"/>
      <c r="N61" s="62"/>
      <c r="O61" s="62"/>
      <c r="P61" s="62"/>
      <c r="Q61" s="62"/>
      <c r="R61" s="62"/>
      <c r="S61" s="62"/>
      <c r="T61" s="62"/>
      <c r="U61" s="62"/>
      <c r="V61" s="62"/>
      <c r="W61" s="62"/>
      <c r="X61" s="62"/>
      <c r="Y61" s="62"/>
      <c r="Z61" s="62"/>
    </row>
    <row r="62" ht="15.75" customHeight="1">
      <c r="A62" s="74"/>
      <c r="B62" s="74"/>
      <c r="C62" s="74"/>
      <c r="D62" s="74"/>
      <c r="E62" s="2"/>
      <c r="F62" s="2"/>
      <c r="G62" s="2"/>
      <c r="H62" s="127"/>
      <c r="I62" s="62"/>
      <c r="J62" s="62"/>
      <c r="K62" s="62"/>
      <c r="L62" s="62"/>
      <c r="M62" s="62"/>
      <c r="N62" s="62"/>
      <c r="O62" s="62"/>
      <c r="P62" s="62"/>
      <c r="Q62" s="62"/>
      <c r="R62" s="62"/>
      <c r="S62" s="62"/>
      <c r="T62" s="62"/>
      <c r="U62" s="62"/>
      <c r="V62" s="62"/>
      <c r="W62" s="62"/>
      <c r="X62" s="62"/>
      <c r="Y62" s="62"/>
      <c r="Z62" s="62"/>
    </row>
    <row r="63" ht="15.75" customHeight="1">
      <c r="A63" s="74"/>
      <c r="B63" s="74"/>
      <c r="C63" s="74"/>
      <c r="D63" s="74"/>
      <c r="E63" s="2"/>
      <c r="F63" s="2"/>
      <c r="G63" s="2"/>
      <c r="H63" s="127"/>
      <c r="I63" s="62"/>
      <c r="J63" s="62"/>
      <c r="K63" s="62"/>
      <c r="L63" s="62"/>
      <c r="M63" s="62"/>
      <c r="N63" s="62"/>
      <c r="O63" s="62"/>
      <c r="P63" s="62"/>
      <c r="Q63" s="62"/>
      <c r="R63" s="62"/>
      <c r="S63" s="62"/>
      <c r="T63" s="62"/>
      <c r="U63" s="62"/>
      <c r="V63" s="62"/>
      <c r="W63" s="62"/>
      <c r="X63" s="62"/>
      <c r="Y63" s="62"/>
      <c r="Z63" s="62"/>
    </row>
    <row r="64" ht="15.75" customHeight="1">
      <c r="A64" s="74"/>
      <c r="B64" s="74"/>
      <c r="C64" s="74"/>
      <c r="D64" s="74"/>
      <c r="E64" s="2"/>
      <c r="F64" s="2"/>
      <c r="G64" s="2"/>
      <c r="H64" s="127"/>
      <c r="I64" s="62"/>
      <c r="J64" s="62"/>
      <c r="K64" s="62"/>
      <c r="L64" s="62"/>
      <c r="M64" s="62"/>
      <c r="N64" s="62"/>
      <c r="O64" s="62"/>
      <c r="P64" s="62"/>
      <c r="Q64" s="62"/>
      <c r="R64" s="62"/>
      <c r="S64" s="62"/>
      <c r="T64" s="62"/>
      <c r="U64" s="62"/>
      <c r="V64" s="62"/>
      <c r="W64" s="62"/>
      <c r="X64" s="62"/>
      <c r="Y64" s="62"/>
      <c r="Z64" s="62"/>
    </row>
    <row r="65" ht="15.75" customHeight="1">
      <c r="A65" s="74"/>
      <c r="B65" s="74"/>
      <c r="C65" s="74"/>
      <c r="D65" s="74"/>
      <c r="E65" s="2"/>
      <c r="F65" s="2"/>
      <c r="G65" s="2"/>
      <c r="H65" s="127"/>
      <c r="I65" s="62"/>
      <c r="J65" s="62"/>
      <c r="K65" s="62"/>
      <c r="L65" s="62"/>
      <c r="M65" s="62"/>
      <c r="N65" s="62"/>
      <c r="O65" s="62"/>
      <c r="P65" s="62"/>
      <c r="Q65" s="62"/>
      <c r="R65" s="62"/>
      <c r="S65" s="62"/>
      <c r="T65" s="62"/>
      <c r="U65" s="62"/>
      <c r="V65" s="62"/>
      <c r="W65" s="62"/>
      <c r="X65" s="62"/>
      <c r="Y65" s="62"/>
      <c r="Z65" s="62"/>
    </row>
    <row r="66" ht="15.75" customHeight="1">
      <c r="A66" s="74"/>
      <c r="B66" s="74"/>
      <c r="C66" s="74"/>
      <c r="D66" s="74"/>
      <c r="E66" s="2"/>
      <c r="F66" s="2"/>
      <c r="G66" s="2"/>
      <c r="H66" s="127"/>
      <c r="I66" s="62"/>
      <c r="J66" s="62"/>
      <c r="K66" s="62"/>
      <c r="L66" s="62"/>
      <c r="M66" s="62"/>
      <c r="N66" s="62"/>
      <c r="O66" s="62"/>
      <c r="P66" s="62"/>
      <c r="Q66" s="62"/>
      <c r="R66" s="62"/>
      <c r="S66" s="62"/>
      <c r="T66" s="62"/>
      <c r="U66" s="62"/>
      <c r="V66" s="62"/>
      <c r="W66" s="62"/>
      <c r="X66" s="62"/>
      <c r="Y66" s="62"/>
      <c r="Z66" s="62"/>
    </row>
    <row r="67" ht="15.75" customHeight="1">
      <c r="A67" s="74"/>
      <c r="B67" s="74"/>
      <c r="C67" s="74"/>
      <c r="D67" s="74"/>
      <c r="E67" s="2"/>
      <c r="F67" s="2"/>
      <c r="G67" s="2"/>
      <c r="H67" s="127"/>
      <c r="I67" s="62"/>
      <c r="J67" s="62"/>
      <c r="K67" s="62"/>
      <c r="L67" s="62"/>
      <c r="M67" s="62"/>
      <c r="N67" s="62"/>
      <c r="O67" s="62"/>
      <c r="P67" s="62"/>
      <c r="Q67" s="62"/>
      <c r="R67" s="62"/>
      <c r="S67" s="62"/>
      <c r="T67" s="62"/>
      <c r="U67" s="62"/>
      <c r="V67" s="62"/>
      <c r="W67" s="62"/>
      <c r="X67" s="62"/>
      <c r="Y67" s="62"/>
      <c r="Z67" s="62"/>
    </row>
    <row r="68" ht="15.75" customHeight="1">
      <c r="A68" s="74"/>
      <c r="B68" s="74"/>
      <c r="C68" s="74"/>
      <c r="D68" s="74"/>
      <c r="E68" s="2"/>
      <c r="F68" s="2"/>
      <c r="G68" s="2"/>
      <c r="H68" s="127"/>
      <c r="I68" s="62"/>
      <c r="J68" s="62"/>
      <c r="K68" s="62"/>
      <c r="L68" s="62"/>
      <c r="M68" s="62"/>
      <c r="N68" s="62"/>
      <c r="O68" s="62"/>
      <c r="P68" s="62"/>
      <c r="Q68" s="62"/>
      <c r="R68" s="62"/>
      <c r="S68" s="62"/>
      <c r="T68" s="62"/>
      <c r="U68" s="62"/>
      <c r="V68" s="62"/>
      <c r="W68" s="62"/>
      <c r="X68" s="62"/>
      <c r="Y68" s="62"/>
      <c r="Z68" s="62"/>
    </row>
    <row r="69" ht="15.75" customHeight="1">
      <c r="A69" s="74"/>
      <c r="B69" s="74"/>
      <c r="C69" s="74"/>
      <c r="D69" s="74"/>
      <c r="E69" s="2"/>
      <c r="F69" s="2"/>
      <c r="G69" s="2"/>
      <c r="H69" s="127"/>
      <c r="I69" s="62"/>
      <c r="J69" s="62"/>
      <c r="K69" s="62"/>
      <c r="L69" s="62"/>
      <c r="M69" s="62"/>
      <c r="N69" s="62"/>
      <c r="O69" s="62"/>
      <c r="P69" s="62"/>
      <c r="Q69" s="62"/>
      <c r="R69" s="62"/>
      <c r="S69" s="62"/>
      <c r="T69" s="62"/>
      <c r="U69" s="62"/>
      <c r="V69" s="62"/>
      <c r="W69" s="62"/>
      <c r="X69" s="62"/>
      <c r="Y69" s="62"/>
      <c r="Z69" s="62"/>
    </row>
    <row r="70" ht="15.75" customHeight="1">
      <c r="A70" s="74"/>
      <c r="B70" s="74"/>
      <c r="C70" s="74"/>
      <c r="D70" s="74"/>
      <c r="E70" s="2"/>
      <c r="F70" s="2"/>
      <c r="G70" s="2"/>
      <c r="H70" s="127"/>
      <c r="I70" s="62"/>
      <c r="J70" s="62"/>
      <c r="K70" s="62"/>
      <c r="L70" s="62"/>
      <c r="M70" s="62"/>
      <c r="N70" s="62"/>
      <c r="O70" s="62"/>
      <c r="P70" s="62"/>
      <c r="Q70" s="62"/>
      <c r="R70" s="62"/>
      <c r="S70" s="62"/>
      <c r="T70" s="62"/>
      <c r="U70" s="62"/>
      <c r="V70" s="62"/>
      <c r="W70" s="62"/>
      <c r="X70" s="62"/>
      <c r="Y70" s="62"/>
      <c r="Z70" s="62"/>
    </row>
    <row r="71" ht="15.75" customHeight="1">
      <c r="A71" s="74"/>
      <c r="B71" s="74"/>
      <c r="C71" s="74"/>
      <c r="D71" s="74"/>
      <c r="E71" s="2"/>
      <c r="F71" s="2"/>
      <c r="G71" s="2"/>
      <c r="H71" s="127"/>
      <c r="I71" s="62"/>
      <c r="J71" s="62"/>
      <c r="K71" s="62"/>
      <c r="L71" s="62"/>
      <c r="M71" s="62"/>
      <c r="N71" s="62"/>
      <c r="O71" s="62"/>
      <c r="P71" s="62"/>
      <c r="Q71" s="62"/>
      <c r="R71" s="62"/>
      <c r="S71" s="62"/>
      <c r="T71" s="62"/>
      <c r="U71" s="62"/>
      <c r="V71" s="62"/>
      <c r="W71" s="62"/>
      <c r="X71" s="62"/>
      <c r="Y71" s="62"/>
      <c r="Z71" s="62"/>
    </row>
    <row r="72" ht="15.75" customHeight="1">
      <c r="A72" s="74"/>
      <c r="B72" s="74"/>
      <c r="C72" s="74"/>
      <c r="D72" s="74"/>
      <c r="E72" s="2"/>
      <c r="F72" s="2"/>
      <c r="G72" s="2"/>
      <c r="H72" s="127"/>
      <c r="I72" s="62"/>
      <c r="J72" s="62"/>
      <c r="K72" s="62"/>
      <c r="L72" s="62"/>
      <c r="M72" s="62"/>
      <c r="N72" s="62"/>
      <c r="O72" s="62"/>
      <c r="P72" s="62"/>
      <c r="Q72" s="62"/>
      <c r="R72" s="62"/>
      <c r="S72" s="62"/>
      <c r="T72" s="62"/>
      <c r="U72" s="62"/>
      <c r="V72" s="62"/>
      <c r="W72" s="62"/>
      <c r="X72" s="62"/>
      <c r="Y72" s="62"/>
      <c r="Z72" s="62"/>
    </row>
    <row r="73" ht="15.75" customHeight="1">
      <c r="A73" s="74"/>
      <c r="B73" s="74"/>
      <c r="C73" s="74"/>
      <c r="D73" s="74"/>
      <c r="E73" s="2"/>
      <c r="F73" s="2"/>
      <c r="G73" s="2"/>
      <c r="H73" s="127"/>
      <c r="I73" s="62"/>
      <c r="J73" s="62"/>
      <c r="K73" s="62"/>
      <c r="L73" s="62"/>
      <c r="M73" s="62"/>
      <c r="N73" s="62"/>
      <c r="O73" s="62"/>
      <c r="P73" s="62"/>
      <c r="Q73" s="62"/>
      <c r="R73" s="62"/>
      <c r="S73" s="62"/>
      <c r="T73" s="62"/>
      <c r="U73" s="62"/>
      <c r="V73" s="62"/>
      <c r="W73" s="62"/>
      <c r="X73" s="62"/>
      <c r="Y73" s="62"/>
      <c r="Z73" s="62"/>
    </row>
    <row r="74" ht="15.75" customHeight="1">
      <c r="A74" s="74"/>
      <c r="B74" s="74"/>
      <c r="C74" s="74"/>
      <c r="D74" s="74"/>
      <c r="E74" s="2"/>
      <c r="F74" s="2"/>
      <c r="G74" s="2"/>
      <c r="H74" s="127"/>
      <c r="I74" s="62"/>
      <c r="J74" s="62"/>
      <c r="K74" s="62"/>
      <c r="L74" s="62"/>
      <c r="M74" s="62"/>
      <c r="N74" s="62"/>
      <c r="O74" s="62"/>
      <c r="P74" s="62"/>
      <c r="Q74" s="62"/>
      <c r="R74" s="62"/>
      <c r="S74" s="62"/>
      <c r="T74" s="62"/>
      <c r="U74" s="62"/>
      <c r="V74" s="62"/>
      <c r="W74" s="62"/>
      <c r="X74" s="62"/>
      <c r="Y74" s="62"/>
      <c r="Z74" s="62"/>
    </row>
    <row r="75" ht="15.75" customHeight="1">
      <c r="A75" s="74"/>
      <c r="B75" s="74"/>
      <c r="C75" s="74"/>
      <c r="D75" s="74"/>
      <c r="E75" s="2"/>
      <c r="F75" s="2"/>
      <c r="G75" s="2"/>
      <c r="H75" s="127"/>
      <c r="I75" s="62"/>
      <c r="J75" s="62"/>
      <c r="K75" s="62"/>
      <c r="L75" s="62"/>
      <c r="M75" s="62"/>
      <c r="N75" s="62"/>
      <c r="O75" s="62"/>
      <c r="P75" s="62"/>
      <c r="Q75" s="62"/>
      <c r="R75" s="62"/>
      <c r="S75" s="62"/>
      <c r="T75" s="62"/>
      <c r="U75" s="62"/>
      <c r="V75" s="62"/>
      <c r="W75" s="62"/>
      <c r="X75" s="62"/>
      <c r="Y75" s="62"/>
      <c r="Z75" s="62"/>
    </row>
    <row r="76" ht="15.75" customHeight="1">
      <c r="A76" s="74"/>
      <c r="B76" s="74"/>
      <c r="C76" s="74"/>
      <c r="D76" s="74"/>
      <c r="E76" s="2"/>
      <c r="F76" s="2"/>
      <c r="G76" s="2"/>
      <c r="H76" s="127"/>
      <c r="I76" s="62"/>
      <c r="J76" s="62"/>
      <c r="K76" s="62"/>
      <c r="L76" s="62"/>
      <c r="M76" s="62"/>
      <c r="N76" s="62"/>
      <c r="O76" s="62"/>
      <c r="P76" s="62"/>
      <c r="Q76" s="62"/>
      <c r="R76" s="62"/>
      <c r="S76" s="62"/>
      <c r="T76" s="62"/>
      <c r="U76" s="62"/>
      <c r="V76" s="62"/>
      <c r="W76" s="62"/>
      <c r="X76" s="62"/>
      <c r="Y76" s="62"/>
      <c r="Z76" s="62"/>
    </row>
    <row r="77" ht="15.75" customHeight="1">
      <c r="A77" s="74"/>
      <c r="B77" s="74"/>
      <c r="C77" s="74"/>
      <c r="D77" s="74"/>
      <c r="E77" s="2"/>
      <c r="F77" s="2"/>
      <c r="G77" s="2"/>
      <c r="H77" s="127"/>
      <c r="I77" s="62"/>
      <c r="J77" s="62"/>
      <c r="K77" s="62"/>
      <c r="L77" s="62"/>
      <c r="M77" s="62"/>
      <c r="N77" s="62"/>
      <c r="O77" s="62"/>
      <c r="P77" s="62"/>
      <c r="Q77" s="62"/>
      <c r="R77" s="62"/>
      <c r="S77" s="62"/>
      <c r="T77" s="62"/>
      <c r="U77" s="62"/>
      <c r="V77" s="62"/>
      <c r="W77" s="62"/>
      <c r="X77" s="62"/>
      <c r="Y77" s="62"/>
      <c r="Z77" s="62"/>
    </row>
    <row r="78" ht="15.75" customHeight="1">
      <c r="A78" s="74"/>
      <c r="B78" s="74"/>
      <c r="C78" s="74"/>
      <c r="D78" s="74"/>
      <c r="E78" s="2"/>
      <c r="F78" s="2"/>
      <c r="G78" s="2"/>
      <c r="H78" s="127"/>
      <c r="I78" s="62"/>
      <c r="J78" s="62"/>
      <c r="K78" s="62"/>
      <c r="L78" s="62"/>
      <c r="M78" s="62"/>
      <c r="N78" s="62"/>
      <c r="O78" s="62"/>
      <c r="P78" s="62"/>
      <c r="Q78" s="62"/>
      <c r="R78" s="62"/>
      <c r="S78" s="62"/>
      <c r="T78" s="62"/>
      <c r="U78" s="62"/>
      <c r="V78" s="62"/>
      <c r="W78" s="62"/>
      <c r="X78" s="62"/>
      <c r="Y78" s="62"/>
      <c r="Z78" s="62"/>
    </row>
    <row r="79" ht="15.75" customHeight="1">
      <c r="A79" s="74"/>
      <c r="B79" s="74"/>
      <c r="C79" s="74"/>
      <c r="D79" s="74"/>
      <c r="E79" s="2"/>
      <c r="F79" s="2"/>
      <c r="G79" s="2"/>
      <c r="H79" s="127"/>
      <c r="I79" s="62"/>
      <c r="J79" s="62"/>
      <c r="K79" s="62"/>
      <c r="L79" s="62"/>
      <c r="M79" s="62"/>
      <c r="N79" s="62"/>
      <c r="O79" s="62"/>
      <c r="P79" s="62"/>
      <c r="Q79" s="62"/>
      <c r="R79" s="62"/>
      <c r="S79" s="62"/>
      <c r="T79" s="62"/>
      <c r="U79" s="62"/>
      <c r="V79" s="62"/>
      <c r="W79" s="62"/>
      <c r="X79" s="62"/>
      <c r="Y79" s="62"/>
      <c r="Z79" s="62"/>
    </row>
    <row r="80" ht="15.75" customHeight="1">
      <c r="A80" s="74"/>
      <c r="B80" s="74"/>
      <c r="C80" s="74"/>
      <c r="D80" s="74"/>
      <c r="E80" s="2"/>
      <c r="F80" s="2"/>
      <c r="G80" s="2"/>
      <c r="H80" s="127"/>
      <c r="I80" s="62"/>
      <c r="J80" s="62"/>
      <c r="K80" s="62"/>
      <c r="L80" s="62"/>
      <c r="M80" s="62"/>
      <c r="N80" s="62"/>
      <c r="O80" s="62"/>
      <c r="P80" s="62"/>
      <c r="Q80" s="62"/>
      <c r="R80" s="62"/>
      <c r="S80" s="62"/>
      <c r="T80" s="62"/>
      <c r="U80" s="62"/>
      <c r="V80" s="62"/>
      <c r="W80" s="62"/>
      <c r="X80" s="62"/>
      <c r="Y80" s="62"/>
      <c r="Z80" s="62"/>
    </row>
    <row r="81" ht="15.75" customHeight="1">
      <c r="A81" s="74"/>
      <c r="B81" s="74"/>
      <c r="C81" s="74"/>
      <c r="D81" s="74"/>
      <c r="E81" s="2"/>
      <c r="F81" s="2"/>
      <c r="G81" s="2"/>
      <c r="H81" s="127"/>
      <c r="I81" s="62"/>
      <c r="J81" s="62"/>
      <c r="K81" s="62"/>
      <c r="L81" s="62"/>
      <c r="M81" s="62"/>
      <c r="N81" s="62"/>
      <c r="O81" s="62"/>
      <c r="P81" s="62"/>
      <c r="Q81" s="62"/>
      <c r="R81" s="62"/>
      <c r="S81" s="62"/>
      <c r="T81" s="62"/>
      <c r="U81" s="62"/>
      <c r="V81" s="62"/>
      <c r="W81" s="62"/>
      <c r="X81" s="62"/>
      <c r="Y81" s="62"/>
      <c r="Z81" s="62"/>
    </row>
    <row r="82" ht="15.75" customHeight="1">
      <c r="A82" s="74"/>
      <c r="B82" s="74"/>
      <c r="C82" s="74"/>
      <c r="D82" s="74"/>
      <c r="E82" s="2"/>
      <c r="F82" s="2"/>
      <c r="G82" s="2"/>
      <c r="H82" s="127"/>
      <c r="I82" s="62"/>
      <c r="J82" s="62"/>
      <c r="K82" s="62"/>
      <c r="L82" s="62"/>
      <c r="M82" s="62"/>
      <c r="N82" s="62"/>
      <c r="O82" s="62"/>
      <c r="P82" s="62"/>
      <c r="Q82" s="62"/>
      <c r="R82" s="62"/>
      <c r="S82" s="62"/>
      <c r="T82" s="62"/>
      <c r="U82" s="62"/>
      <c r="V82" s="62"/>
      <c r="W82" s="62"/>
      <c r="X82" s="62"/>
      <c r="Y82" s="62"/>
      <c r="Z82" s="62"/>
    </row>
    <row r="83" ht="15.75" customHeight="1">
      <c r="A83" s="74"/>
      <c r="B83" s="74"/>
      <c r="C83" s="74"/>
      <c r="D83" s="74"/>
      <c r="E83" s="2"/>
      <c r="F83" s="2"/>
      <c r="G83" s="2"/>
      <c r="H83" s="127"/>
      <c r="I83" s="62"/>
      <c r="J83" s="62"/>
      <c r="K83" s="62"/>
      <c r="L83" s="62"/>
      <c r="M83" s="62"/>
      <c r="N83" s="62"/>
      <c r="O83" s="62"/>
      <c r="P83" s="62"/>
      <c r="Q83" s="62"/>
      <c r="R83" s="62"/>
      <c r="S83" s="62"/>
      <c r="T83" s="62"/>
      <c r="U83" s="62"/>
      <c r="V83" s="62"/>
      <c r="W83" s="62"/>
      <c r="X83" s="62"/>
      <c r="Y83" s="62"/>
      <c r="Z83" s="62"/>
    </row>
    <row r="84" ht="15.75" customHeight="1">
      <c r="A84" s="74"/>
      <c r="B84" s="74"/>
      <c r="C84" s="74"/>
      <c r="D84" s="74"/>
      <c r="E84" s="2"/>
      <c r="F84" s="2"/>
      <c r="G84" s="2"/>
      <c r="H84" s="127"/>
      <c r="I84" s="62"/>
      <c r="J84" s="62"/>
      <c r="K84" s="62"/>
      <c r="L84" s="62"/>
      <c r="M84" s="62"/>
      <c r="N84" s="62"/>
      <c r="O84" s="62"/>
      <c r="P84" s="62"/>
      <c r="Q84" s="62"/>
      <c r="R84" s="62"/>
      <c r="S84" s="62"/>
      <c r="T84" s="62"/>
      <c r="U84" s="62"/>
      <c r="V84" s="62"/>
      <c r="W84" s="62"/>
      <c r="X84" s="62"/>
      <c r="Y84" s="62"/>
      <c r="Z84" s="62"/>
    </row>
    <row r="85" ht="15.75" customHeight="1">
      <c r="A85" s="74"/>
      <c r="B85" s="74"/>
      <c r="C85" s="74"/>
      <c r="D85" s="74"/>
      <c r="E85" s="2"/>
      <c r="F85" s="2"/>
      <c r="G85" s="2"/>
      <c r="H85" s="127"/>
      <c r="I85" s="62"/>
      <c r="J85" s="62"/>
      <c r="K85" s="62"/>
      <c r="L85" s="62"/>
      <c r="M85" s="62"/>
      <c r="N85" s="62"/>
      <c r="O85" s="62"/>
      <c r="P85" s="62"/>
      <c r="Q85" s="62"/>
      <c r="R85" s="62"/>
      <c r="S85" s="62"/>
      <c r="T85" s="62"/>
      <c r="U85" s="62"/>
      <c r="V85" s="62"/>
      <c r="W85" s="62"/>
      <c r="X85" s="62"/>
      <c r="Y85" s="62"/>
      <c r="Z85" s="62"/>
    </row>
    <row r="86" ht="15.75" customHeight="1">
      <c r="A86" s="74"/>
      <c r="B86" s="74"/>
      <c r="C86" s="74"/>
      <c r="D86" s="74"/>
      <c r="E86" s="2"/>
      <c r="F86" s="2"/>
      <c r="G86" s="2"/>
      <c r="H86" s="127"/>
      <c r="I86" s="62"/>
      <c r="J86" s="62"/>
      <c r="K86" s="62"/>
      <c r="L86" s="62"/>
      <c r="M86" s="62"/>
      <c r="N86" s="62"/>
      <c r="O86" s="62"/>
      <c r="P86" s="62"/>
      <c r="Q86" s="62"/>
      <c r="R86" s="62"/>
      <c r="S86" s="62"/>
      <c r="T86" s="62"/>
      <c r="U86" s="62"/>
      <c r="V86" s="62"/>
      <c r="W86" s="62"/>
      <c r="X86" s="62"/>
      <c r="Y86" s="62"/>
      <c r="Z86" s="62"/>
    </row>
    <row r="87" ht="15.75" customHeight="1">
      <c r="A87" s="74"/>
      <c r="B87" s="74"/>
      <c r="C87" s="74"/>
      <c r="D87" s="74"/>
      <c r="E87" s="2"/>
      <c r="F87" s="2"/>
      <c r="G87" s="2"/>
      <c r="H87" s="127"/>
      <c r="I87" s="62"/>
      <c r="J87" s="62"/>
      <c r="K87" s="62"/>
      <c r="L87" s="62"/>
      <c r="M87" s="62"/>
      <c r="N87" s="62"/>
      <c r="O87" s="62"/>
      <c r="P87" s="62"/>
      <c r="Q87" s="62"/>
      <c r="R87" s="62"/>
      <c r="S87" s="62"/>
      <c r="T87" s="62"/>
      <c r="U87" s="62"/>
      <c r="V87" s="62"/>
      <c r="W87" s="62"/>
      <c r="X87" s="62"/>
      <c r="Y87" s="62"/>
      <c r="Z87" s="62"/>
    </row>
    <row r="88" ht="15.75" customHeight="1">
      <c r="A88" s="74"/>
      <c r="B88" s="74"/>
      <c r="C88" s="74"/>
      <c r="D88" s="74"/>
      <c r="E88" s="2"/>
      <c r="F88" s="2"/>
      <c r="G88" s="2"/>
      <c r="H88" s="127"/>
      <c r="I88" s="62"/>
      <c r="J88" s="62"/>
      <c r="K88" s="62"/>
      <c r="L88" s="62"/>
      <c r="M88" s="62"/>
      <c r="N88" s="62"/>
      <c r="O88" s="62"/>
      <c r="P88" s="62"/>
      <c r="Q88" s="62"/>
      <c r="R88" s="62"/>
      <c r="S88" s="62"/>
      <c r="T88" s="62"/>
      <c r="U88" s="62"/>
      <c r="V88" s="62"/>
      <c r="W88" s="62"/>
      <c r="X88" s="62"/>
      <c r="Y88" s="62"/>
      <c r="Z88" s="62"/>
    </row>
    <row r="89" ht="15.75" customHeight="1">
      <c r="A89" s="74"/>
      <c r="B89" s="74"/>
      <c r="C89" s="74"/>
      <c r="D89" s="74"/>
      <c r="E89" s="2"/>
      <c r="F89" s="2"/>
      <c r="G89" s="2"/>
      <c r="H89" s="127"/>
      <c r="I89" s="62"/>
      <c r="J89" s="62"/>
      <c r="K89" s="62"/>
      <c r="L89" s="62"/>
      <c r="M89" s="62"/>
      <c r="N89" s="62"/>
      <c r="O89" s="62"/>
      <c r="P89" s="62"/>
      <c r="Q89" s="62"/>
      <c r="R89" s="62"/>
      <c r="S89" s="62"/>
      <c r="T89" s="62"/>
      <c r="U89" s="62"/>
      <c r="V89" s="62"/>
      <c r="W89" s="62"/>
      <c r="X89" s="62"/>
      <c r="Y89" s="62"/>
      <c r="Z89" s="62"/>
    </row>
    <row r="90" ht="15.75" customHeight="1">
      <c r="A90" s="74"/>
      <c r="B90" s="74"/>
      <c r="C90" s="74"/>
      <c r="D90" s="74"/>
      <c r="E90" s="2"/>
      <c r="F90" s="2"/>
      <c r="G90" s="2"/>
      <c r="H90" s="127"/>
      <c r="I90" s="62"/>
      <c r="J90" s="62"/>
      <c r="K90" s="62"/>
      <c r="L90" s="62"/>
      <c r="M90" s="62"/>
      <c r="N90" s="62"/>
      <c r="O90" s="62"/>
      <c r="P90" s="62"/>
      <c r="Q90" s="62"/>
      <c r="R90" s="62"/>
      <c r="S90" s="62"/>
      <c r="T90" s="62"/>
      <c r="U90" s="62"/>
      <c r="V90" s="62"/>
      <c r="W90" s="62"/>
      <c r="X90" s="62"/>
      <c r="Y90" s="62"/>
      <c r="Z90" s="62"/>
    </row>
    <row r="91" ht="15.75" customHeight="1">
      <c r="A91" s="74"/>
      <c r="B91" s="74"/>
      <c r="C91" s="74"/>
      <c r="D91" s="74"/>
      <c r="E91" s="2"/>
      <c r="F91" s="2"/>
      <c r="G91" s="2"/>
      <c r="H91" s="127"/>
      <c r="I91" s="62"/>
      <c r="J91" s="62"/>
      <c r="K91" s="62"/>
      <c r="L91" s="62"/>
      <c r="M91" s="62"/>
      <c r="N91" s="62"/>
      <c r="O91" s="62"/>
      <c r="P91" s="62"/>
      <c r="Q91" s="62"/>
      <c r="R91" s="62"/>
      <c r="S91" s="62"/>
      <c r="T91" s="62"/>
      <c r="U91" s="62"/>
      <c r="V91" s="62"/>
      <c r="W91" s="62"/>
      <c r="X91" s="62"/>
      <c r="Y91" s="62"/>
      <c r="Z91" s="62"/>
    </row>
    <row r="92" ht="15.75" customHeight="1">
      <c r="A92" s="74"/>
      <c r="B92" s="74"/>
      <c r="C92" s="74"/>
      <c r="D92" s="74"/>
      <c r="E92" s="2"/>
      <c r="F92" s="2"/>
      <c r="G92" s="2"/>
      <c r="H92" s="127"/>
      <c r="I92" s="62"/>
      <c r="J92" s="62"/>
      <c r="K92" s="62"/>
      <c r="L92" s="62"/>
      <c r="M92" s="62"/>
      <c r="N92" s="62"/>
      <c r="O92" s="62"/>
      <c r="P92" s="62"/>
      <c r="Q92" s="62"/>
      <c r="R92" s="62"/>
      <c r="S92" s="62"/>
      <c r="T92" s="62"/>
      <c r="U92" s="62"/>
      <c r="V92" s="62"/>
      <c r="W92" s="62"/>
      <c r="X92" s="62"/>
      <c r="Y92" s="62"/>
      <c r="Z92" s="62"/>
    </row>
    <row r="93" ht="15.75" customHeight="1">
      <c r="A93" s="74"/>
      <c r="B93" s="74"/>
      <c r="C93" s="74"/>
      <c r="D93" s="74"/>
      <c r="E93" s="2"/>
      <c r="F93" s="2"/>
      <c r="G93" s="2"/>
      <c r="H93" s="127"/>
      <c r="I93" s="62"/>
      <c r="J93" s="62"/>
      <c r="K93" s="62"/>
      <c r="L93" s="62"/>
      <c r="M93" s="62"/>
      <c r="N93" s="62"/>
      <c r="O93" s="62"/>
      <c r="P93" s="62"/>
      <c r="Q93" s="62"/>
      <c r="R93" s="62"/>
      <c r="S93" s="62"/>
      <c r="T93" s="62"/>
      <c r="U93" s="62"/>
      <c r="V93" s="62"/>
      <c r="W93" s="62"/>
      <c r="X93" s="62"/>
      <c r="Y93" s="62"/>
      <c r="Z93" s="62"/>
    </row>
    <row r="94" ht="15.75" customHeight="1">
      <c r="A94" s="74"/>
      <c r="B94" s="74"/>
      <c r="C94" s="74"/>
      <c r="D94" s="74"/>
      <c r="E94" s="2"/>
      <c r="F94" s="2"/>
      <c r="G94" s="2"/>
      <c r="H94" s="127"/>
      <c r="I94" s="62"/>
      <c r="J94" s="62"/>
      <c r="K94" s="62"/>
      <c r="L94" s="62"/>
      <c r="M94" s="62"/>
      <c r="N94" s="62"/>
      <c r="O94" s="62"/>
      <c r="P94" s="62"/>
      <c r="Q94" s="62"/>
      <c r="R94" s="62"/>
      <c r="S94" s="62"/>
      <c r="T94" s="62"/>
      <c r="U94" s="62"/>
      <c r="V94" s="62"/>
      <c r="W94" s="62"/>
      <c r="X94" s="62"/>
      <c r="Y94" s="62"/>
      <c r="Z94" s="62"/>
    </row>
    <row r="95" ht="15.75" customHeight="1">
      <c r="A95" s="74"/>
      <c r="B95" s="74"/>
      <c r="C95" s="74"/>
      <c r="D95" s="74"/>
      <c r="E95" s="2"/>
      <c r="F95" s="2"/>
      <c r="G95" s="2"/>
      <c r="H95" s="127"/>
      <c r="I95" s="62"/>
      <c r="J95" s="62"/>
      <c r="K95" s="62"/>
      <c r="L95" s="62"/>
      <c r="M95" s="62"/>
      <c r="N95" s="62"/>
      <c r="O95" s="62"/>
      <c r="P95" s="62"/>
      <c r="Q95" s="62"/>
      <c r="R95" s="62"/>
      <c r="S95" s="62"/>
      <c r="T95" s="62"/>
      <c r="U95" s="62"/>
      <c r="V95" s="62"/>
      <c r="W95" s="62"/>
      <c r="X95" s="62"/>
      <c r="Y95" s="62"/>
      <c r="Z95" s="62"/>
    </row>
    <row r="96" ht="15.75" customHeight="1">
      <c r="A96" s="74"/>
      <c r="B96" s="74"/>
      <c r="C96" s="74"/>
      <c r="D96" s="74"/>
      <c r="E96" s="2"/>
      <c r="F96" s="2"/>
      <c r="G96" s="2"/>
      <c r="H96" s="127"/>
      <c r="I96" s="62"/>
      <c r="J96" s="62"/>
      <c r="K96" s="62"/>
      <c r="L96" s="62"/>
      <c r="M96" s="62"/>
      <c r="N96" s="62"/>
      <c r="O96" s="62"/>
      <c r="P96" s="62"/>
      <c r="Q96" s="62"/>
      <c r="R96" s="62"/>
      <c r="S96" s="62"/>
      <c r="T96" s="62"/>
      <c r="U96" s="62"/>
      <c r="V96" s="62"/>
      <c r="W96" s="62"/>
      <c r="X96" s="62"/>
      <c r="Y96" s="62"/>
      <c r="Z96" s="62"/>
    </row>
    <row r="97" ht="15.75" customHeight="1">
      <c r="A97" s="74"/>
      <c r="B97" s="74"/>
      <c r="C97" s="74"/>
      <c r="D97" s="74"/>
      <c r="E97" s="2"/>
      <c r="F97" s="2"/>
      <c r="G97" s="2"/>
      <c r="H97" s="127"/>
      <c r="I97" s="62"/>
      <c r="J97" s="62"/>
      <c r="K97" s="62"/>
      <c r="L97" s="62"/>
      <c r="M97" s="62"/>
      <c r="N97" s="62"/>
      <c r="O97" s="62"/>
      <c r="P97" s="62"/>
      <c r="Q97" s="62"/>
      <c r="R97" s="62"/>
      <c r="S97" s="62"/>
      <c r="T97" s="62"/>
      <c r="U97" s="62"/>
      <c r="V97" s="62"/>
      <c r="W97" s="62"/>
      <c r="X97" s="62"/>
      <c r="Y97" s="62"/>
      <c r="Z97" s="62"/>
    </row>
    <row r="98" ht="15.75" customHeight="1">
      <c r="A98" s="74"/>
      <c r="B98" s="74"/>
      <c r="C98" s="74"/>
      <c r="D98" s="74"/>
      <c r="E98" s="2"/>
      <c r="F98" s="2"/>
      <c r="G98" s="2"/>
      <c r="H98" s="127"/>
      <c r="I98" s="62"/>
      <c r="J98" s="62"/>
      <c r="K98" s="62"/>
      <c r="L98" s="62"/>
      <c r="M98" s="62"/>
      <c r="N98" s="62"/>
      <c r="O98" s="62"/>
      <c r="P98" s="62"/>
      <c r="Q98" s="62"/>
      <c r="R98" s="62"/>
      <c r="S98" s="62"/>
      <c r="T98" s="62"/>
      <c r="U98" s="62"/>
      <c r="V98" s="62"/>
      <c r="W98" s="62"/>
      <c r="X98" s="62"/>
      <c r="Y98" s="62"/>
      <c r="Z98" s="62"/>
    </row>
    <row r="99" ht="15.75" customHeight="1">
      <c r="A99" s="74"/>
      <c r="B99" s="74"/>
      <c r="C99" s="74"/>
      <c r="D99" s="74"/>
      <c r="E99" s="2"/>
      <c r="F99" s="2"/>
      <c r="G99" s="2"/>
      <c r="H99" s="127"/>
      <c r="I99" s="62"/>
      <c r="J99" s="62"/>
      <c r="K99" s="62"/>
      <c r="L99" s="62"/>
      <c r="M99" s="62"/>
      <c r="N99" s="62"/>
      <c r="O99" s="62"/>
      <c r="P99" s="62"/>
      <c r="Q99" s="62"/>
      <c r="R99" s="62"/>
      <c r="S99" s="62"/>
      <c r="T99" s="62"/>
      <c r="U99" s="62"/>
      <c r="V99" s="62"/>
      <c r="W99" s="62"/>
      <c r="X99" s="62"/>
      <c r="Y99" s="62"/>
      <c r="Z99" s="62"/>
    </row>
    <row r="100" ht="15.75" customHeight="1">
      <c r="A100" s="74"/>
      <c r="B100" s="74"/>
      <c r="C100" s="74"/>
      <c r="D100" s="74"/>
      <c r="E100" s="2"/>
      <c r="F100" s="2"/>
      <c r="G100" s="2"/>
      <c r="H100" s="127"/>
      <c r="I100" s="62"/>
      <c r="J100" s="62"/>
      <c r="K100" s="62"/>
      <c r="L100" s="62"/>
      <c r="M100" s="62"/>
      <c r="N100" s="62"/>
      <c r="O100" s="62"/>
      <c r="P100" s="62"/>
      <c r="Q100" s="62"/>
      <c r="R100" s="62"/>
      <c r="S100" s="62"/>
      <c r="T100" s="62"/>
      <c r="U100" s="62"/>
      <c r="V100" s="62"/>
      <c r="W100" s="62"/>
      <c r="X100" s="62"/>
      <c r="Y100" s="62"/>
      <c r="Z100" s="62"/>
    </row>
    <row r="101" ht="15.75" customHeight="1">
      <c r="A101" s="74"/>
      <c r="B101" s="74"/>
      <c r="C101" s="74"/>
      <c r="D101" s="74"/>
      <c r="E101" s="2"/>
      <c r="F101" s="2"/>
      <c r="G101" s="2"/>
      <c r="H101" s="127"/>
      <c r="I101" s="62"/>
      <c r="J101" s="62"/>
      <c r="K101" s="62"/>
      <c r="L101" s="62"/>
      <c r="M101" s="62"/>
      <c r="N101" s="62"/>
      <c r="O101" s="62"/>
      <c r="P101" s="62"/>
      <c r="Q101" s="62"/>
      <c r="R101" s="62"/>
      <c r="S101" s="62"/>
      <c r="T101" s="62"/>
      <c r="U101" s="62"/>
      <c r="V101" s="62"/>
      <c r="W101" s="62"/>
      <c r="X101" s="62"/>
      <c r="Y101" s="62"/>
      <c r="Z101" s="62"/>
    </row>
    <row r="102" ht="15.75" customHeight="1">
      <c r="A102" s="74"/>
      <c r="B102" s="74"/>
      <c r="C102" s="74"/>
      <c r="D102" s="74"/>
      <c r="E102" s="2"/>
      <c r="F102" s="2"/>
      <c r="G102" s="2"/>
      <c r="H102" s="127"/>
      <c r="I102" s="62"/>
      <c r="J102" s="62"/>
      <c r="K102" s="62"/>
      <c r="L102" s="62"/>
      <c r="M102" s="62"/>
      <c r="N102" s="62"/>
      <c r="O102" s="62"/>
      <c r="P102" s="62"/>
      <c r="Q102" s="62"/>
      <c r="R102" s="62"/>
      <c r="S102" s="62"/>
      <c r="T102" s="62"/>
      <c r="U102" s="62"/>
      <c r="V102" s="62"/>
      <c r="W102" s="62"/>
      <c r="X102" s="62"/>
      <c r="Y102" s="62"/>
      <c r="Z102" s="62"/>
    </row>
    <row r="103" ht="15.75" customHeight="1">
      <c r="A103" s="74"/>
      <c r="B103" s="74"/>
      <c r="C103" s="74"/>
      <c r="D103" s="74"/>
      <c r="E103" s="2"/>
      <c r="F103" s="2"/>
      <c r="G103" s="2"/>
      <c r="H103" s="127"/>
      <c r="I103" s="62"/>
      <c r="J103" s="62"/>
      <c r="K103" s="62"/>
      <c r="L103" s="62"/>
      <c r="M103" s="62"/>
      <c r="N103" s="62"/>
      <c r="O103" s="62"/>
      <c r="P103" s="62"/>
      <c r="Q103" s="62"/>
      <c r="R103" s="62"/>
      <c r="S103" s="62"/>
      <c r="T103" s="62"/>
      <c r="U103" s="62"/>
      <c r="V103" s="62"/>
      <c r="W103" s="62"/>
      <c r="X103" s="62"/>
      <c r="Y103" s="62"/>
      <c r="Z103" s="62"/>
    </row>
    <row r="104" ht="15.75" customHeight="1">
      <c r="A104" s="74"/>
      <c r="B104" s="74"/>
      <c r="C104" s="74"/>
      <c r="D104" s="74"/>
      <c r="E104" s="2"/>
      <c r="F104" s="2"/>
      <c r="G104" s="2"/>
      <c r="H104" s="127"/>
      <c r="I104" s="62"/>
      <c r="J104" s="62"/>
      <c r="K104" s="62"/>
      <c r="L104" s="62"/>
      <c r="M104" s="62"/>
      <c r="N104" s="62"/>
      <c r="O104" s="62"/>
      <c r="P104" s="62"/>
      <c r="Q104" s="62"/>
      <c r="R104" s="62"/>
      <c r="S104" s="62"/>
      <c r="T104" s="62"/>
      <c r="U104" s="62"/>
      <c r="V104" s="62"/>
      <c r="W104" s="62"/>
      <c r="X104" s="62"/>
      <c r="Y104" s="62"/>
      <c r="Z104" s="62"/>
    </row>
    <row r="105" ht="15.75" customHeight="1">
      <c r="A105" s="74"/>
      <c r="B105" s="74"/>
      <c r="C105" s="74"/>
      <c r="D105" s="74"/>
      <c r="E105" s="2"/>
      <c r="F105" s="2"/>
      <c r="G105" s="2"/>
      <c r="H105" s="127"/>
      <c r="I105" s="62"/>
      <c r="J105" s="62"/>
      <c r="K105" s="62"/>
      <c r="L105" s="62"/>
      <c r="M105" s="62"/>
      <c r="N105" s="62"/>
      <c r="O105" s="62"/>
      <c r="P105" s="62"/>
      <c r="Q105" s="62"/>
      <c r="R105" s="62"/>
      <c r="S105" s="62"/>
      <c r="T105" s="62"/>
      <c r="U105" s="62"/>
      <c r="V105" s="62"/>
      <c r="W105" s="62"/>
      <c r="X105" s="62"/>
      <c r="Y105" s="62"/>
      <c r="Z105" s="62"/>
    </row>
    <row r="106" ht="15.75" customHeight="1">
      <c r="A106" s="74"/>
      <c r="B106" s="74"/>
      <c r="C106" s="74"/>
      <c r="D106" s="74"/>
      <c r="E106" s="2"/>
      <c r="F106" s="2"/>
      <c r="G106" s="2"/>
      <c r="H106" s="127"/>
      <c r="I106" s="62"/>
      <c r="J106" s="62"/>
      <c r="K106" s="62"/>
      <c r="L106" s="62"/>
      <c r="M106" s="62"/>
      <c r="N106" s="62"/>
      <c r="O106" s="62"/>
      <c r="P106" s="62"/>
      <c r="Q106" s="62"/>
      <c r="R106" s="62"/>
      <c r="S106" s="62"/>
      <c r="T106" s="62"/>
      <c r="U106" s="62"/>
      <c r="V106" s="62"/>
      <c r="W106" s="62"/>
      <c r="X106" s="62"/>
      <c r="Y106" s="62"/>
      <c r="Z106" s="62"/>
    </row>
    <row r="107" ht="15.75" customHeight="1">
      <c r="A107" s="74"/>
      <c r="B107" s="74"/>
      <c r="C107" s="74"/>
      <c r="D107" s="74"/>
      <c r="E107" s="2"/>
      <c r="F107" s="2"/>
      <c r="G107" s="2"/>
      <c r="H107" s="127"/>
      <c r="I107" s="62"/>
      <c r="J107" s="62"/>
      <c r="K107" s="62"/>
      <c r="L107" s="62"/>
      <c r="M107" s="62"/>
      <c r="N107" s="62"/>
      <c r="O107" s="62"/>
      <c r="P107" s="62"/>
      <c r="Q107" s="62"/>
      <c r="R107" s="62"/>
      <c r="S107" s="62"/>
      <c r="T107" s="62"/>
      <c r="U107" s="62"/>
      <c r="V107" s="62"/>
      <c r="W107" s="62"/>
      <c r="X107" s="62"/>
      <c r="Y107" s="62"/>
      <c r="Z107" s="62"/>
    </row>
    <row r="108" ht="15.75" customHeight="1">
      <c r="A108" s="74"/>
      <c r="B108" s="74"/>
      <c r="C108" s="74"/>
      <c r="D108" s="74"/>
      <c r="E108" s="2"/>
      <c r="F108" s="2"/>
      <c r="G108" s="2"/>
      <c r="H108" s="127"/>
      <c r="I108" s="62"/>
      <c r="J108" s="62"/>
      <c r="K108" s="62"/>
      <c r="L108" s="62"/>
      <c r="M108" s="62"/>
      <c r="N108" s="62"/>
      <c r="O108" s="62"/>
      <c r="P108" s="62"/>
      <c r="Q108" s="62"/>
      <c r="R108" s="62"/>
      <c r="S108" s="62"/>
      <c r="T108" s="62"/>
      <c r="U108" s="62"/>
      <c r="V108" s="62"/>
      <c r="W108" s="62"/>
      <c r="X108" s="62"/>
      <c r="Y108" s="62"/>
      <c r="Z108" s="62"/>
    </row>
    <row r="109" ht="15.75" customHeight="1">
      <c r="A109" s="74"/>
      <c r="B109" s="74"/>
      <c r="C109" s="74"/>
      <c r="D109" s="74"/>
      <c r="E109" s="2"/>
      <c r="F109" s="2"/>
      <c r="G109" s="2"/>
      <c r="H109" s="127"/>
      <c r="I109" s="62"/>
      <c r="J109" s="62"/>
      <c r="K109" s="62"/>
      <c r="L109" s="62"/>
      <c r="M109" s="62"/>
      <c r="N109" s="62"/>
      <c r="O109" s="62"/>
      <c r="P109" s="62"/>
      <c r="Q109" s="62"/>
      <c r="R109" s="62"/>
      <c r="S109" s="62"/>
      <c r="T109" s="62"/>
      <c r="U109" s="62"/>
      <c r="V109" s="62"/>
      <c r="W109" s="62"/>
      <c r="X109" s="62"/>
      <c r="Y109" s="62"/>
      <c r="Z109" s="62"/>
    </row>
    <row r="110" ht="15.75" customHeight="1">
      <c r="A110" s="74"/>
      <c r="B110" s="74"/>
      <c r="C110" s="74"/>
      <c r="D110" s="74"/>
      <c r="E110" s="2"/>
      <c r="F110" s="2"/>
      <c r="G110" s="2"/>
      <c r="H110" s="127"/>
      <c r="I110" s="62"/>
      <c r="J110" s="62"/>
      <c r="K110" s="62"/>
      <c r="L110" s="62"/>
      <c r="M110" s="62"/>
      <c r="N110" s="62"/>
      <c r="O110" s="62"/>
      <c r="P110" s="62"/>
      <c r="Q110" s="62"/>
      <c r="R110" s="62"/>
      <c r="S110" s="62"/>
      <c r="T110" s="62"/>
      <c r="U110" s="62"/>
      <c r="V110" s="62"/>
      <c r="W110" s="62"/>
      <c r="X110" s="62"/>
      <c r="Y110" s="62"/>
      <c r="Z110" s="62"/>
    </row>
    <row r="111" ht="15.75" customHeight="1">
      <c r="A111" s="74"/>
      <c r="B111" s="74"/>
      <c r="C111" s="74"/>
      <c r="D111" s="74"/>
      <c r="E111" s="2"/>
      <c r="F111" s="2"/>
      <c r="G111" s="2"/>
      <c r="H111" s="127"/>
      <c r="I111" s="62"/>
      <c r="J111" s="62"/>
      <c r="K111" s="62"/>
      <c r="L111" s="62"/>
      <c r="M111" s="62"/>
      <c r="N111" s="62"/>
      <c r="O111" s="62"/>
      <c r="P111" s="62"/>
      <c r="Q111" s="62"/>
      <c r="R111" s="62"/>
      <c r="S111" s="62"/>
      <c r="T111" s="62"/>
      <c r="U111" s="62"/>
      <c r="V111" s="62"/>
      <c r="W111" s="62"/>
      <c r="X111" s="62"/>
      <c r="Y111" s="62"/>
      <c r="Z111" s="62"/>
    </row>
    <row r="112" ht="15.75" customHeight="1">
      <c r="A112" s="74"/>
      <c r="B112" s="74"/>
      <c r="C112" s="74"/>
      <c r="D112" s="74"/>
      <c r="E112" s="2"/>
      <c r="F112" s="2"/>
      <c r="G112" s="2"/>
      <c r="H112" s="127"/>
      <c r="I112" s="62"/>
      <c r="J112" s="62"/>
      <c r="K112" s="62"/>
      <c r="L112" s="62"/>
      <c r="M112" s="62"/>
      <c r="N112" s="62"/>
      <c r="O112" s="62"/>
      <c r="P112" s="62"/>
      <c r="Q112" s="62"/>
      <c r="R112" s="62"/>
      <c r="S112" s="62"/>
      <c r="T112" s="62"/>
      <c r="U112" s="62"/>
      <c r="V112" s="62"/>
      <c r="W112" s="62"/>
      <c r="X112" s="62"/>
      <c r="Y112" s="62"/>
      <c r="Z112" s="62"/>
    </row>
    <row r="113" ht="15.75" customHeight="1">
      <c r="A113" s="74"/>
      <c r="B113" s="74"/>
      <c r="C113" s="74"/>
      <c r="D113" s="74"/>
      <c r="E113" s="2"/>
      <c r="F113" s="2"/>
      <c r="G113" s="2"/>
      <c r="H113" s="127"/>
      <c r="I113" s="62"/>
      <c r="J113" s="62"/>
      <c r="K113" s="62"/>
      <c r="L113" s="62"/>
      <c r="M113" s="62"/>
      <c r="N113" s="62"/>
      <c r="O113" s="62"/>
      <c r="P113" s="62"/>
      <c r="Q113" s="62"/>
      <c r="R113" s="62"/>
      <c r="S113" s="62"/>
      <c r="T113" s="62"/>
      <c r="U113" s="62"/>
      <c r="V113" s="62"/>
      <c r="W113" s="62"/>
      <c r="X113" s="62"/>
      <c r="Y113" s="62"/>
      <c r="Z113" s="62"/>
    </row>
    <row r="114" ht="15.75" customHeight="1">
      <c r="A114" s="74"/>
      <c r="B114" s="74"/>
      <c r="C114" s="74"/>
      <c r="D114" s="74"/>
      <c r="E114" s="2"/>
      <c r="F114" s="2"/>
      <c r="G114" s="2"/>
      <c r="H114" s="127"/>
      <c r="I114" s="62"/>
      <c r="J114" s="62"/>
      <c r="K114" s="62"/>
      <c r="L114" s="62"/>
      <c r="M114" s="62"/>
      <c r="N114" s="62"/>
      <c r="O114" s="62"/>
      <c r="P114" s="62"/>
      <c r="Q114" s="62"/>
      <c r="R114" s="62"/>
      <c r="S114" s="62"/>
      <c r="T114" s="62"/>
      <c r="U114" s="62"/>
      <c r="V114" s="62"/>
      <c r="W114" s="62"/>
      <c r="X114" s="62"/>
      <c r="Y114" s="62"/>
      <c r="Z114" s="62"/>
    </row>
    <row r="115" ht="15.75" customHeight="1">
      <c r="A115" s="74"/>
      <c r="B115" s="74"/>
      <c r="C115" s="74"/>
      <c r="D115" s="74"/>
      <c r="E115" s="2"/>
      <c r="F115" s="2"/>
      <c r="G115" s="2"/>
      <c r="H115" s="127"/>
      <c r="I115" s="62"/>
      <c r="J115" s="62"/>
      <c r="K115" s="62"/>
      <c r="L115" s="62"/>
      <c r="M115" s="62"/>
      <c r="N115" s="62"/>
      <c r="O115" s="62"/>
      <c r="P115" s="62"/>
      <c r="Q115" s="62"/>
      <c r="R115" s="62"/>
      <c r="S115" s="62"/>
      <c r="T115" s="62"/>
      <c r="U115" s="62"/>
      <c r="V115" s="62"/>
      <c r="W115" s="62"/>
      <c r="X115" s="62"/>
      <c r="Y115" s="62"/>
      <c r="Z115" s="62"/>
    </row>
    <row r="116" ht="15.75" customHeight="1">
      <c r="A116" s="74"/>
      <c r="B116" s="74"/>
      <c r="C116" s="74"/>
      <c r="D116" s="74"/>
      <c r="E116" s="2"/>
      <c r="F116" s="2"/>
      <c r="G116" s="2"/>
      <c r="H116" s="127"/>
      <c r="I116" s="62"/>
      <c r="J116" s="62"/>
      <c r="K116" s="62"/>
      <c r="L116" s="62"/>
      <c r="M116" s="62"/>
      <c r="N116" s="62"/>
      <c r="O116" s="62"/>
      <c r="P116" s="62"/>
      <c r="Q116" s="62"/>
      <c r="R116" s="62"/>
      <c r="S116" s="62"/>
      <c r="T116" s="62"/>
      <c r="U116" s="62"/>
      <c r="V116" s="62"/>
      <c r="W116" s="62"/>
      <c r="X116" s="62"/>
      <c r="Y116" s="62"/>
      <c r="Z116" s="62"/>
    </row>
    <row r="117" ht="15.75" customHeight="1">
      <c r="A117" s="74"/>
      <c r="B117" s="74"/>
      <c r="C117" s="74"/>
      <c r="D117" s="74"/>
      <c r="E117" s="2"/>
      <c r="F117" s="2"/>
      <c r="G117" s="2"/>
      <c r="H117" s="127"/>
      <c r="I117" s="62"/>
      <c r="J117" s="62"/>
      <c r="K117" s="62"/>
      <c r="L117" s="62"/>
      <c r="M117" s="62"/>
      <c r="N117" s="62"/>
      <c r="O117" s="62"/>
      <c r="P117" s="62"/>
      <c r="Q117" s="62"/>
      <c r="R117" s="62"/>
      <c r="S117" s="62"/>
      <c r="T117" s="62"/>
      <c r="U117" s="62"/>
      <c r="V117" s="62"/>
      <c r="W117" s="62"/>
      <c r="X117" s="62"/>
      <c r="Y117" s="62"/>
      <c r="Z117" s="62"/>
    </row>
    <row r="118" ht="15.75" customHeight="1">
      <c r="A118" s="74"/>
      <c r="B118" s="74"/>
      <c r="C118" s="74"/>
      <c r="D118" s="74"/>
      <c r="E118" s="2"/>
      <c r="F118" s="2"/>
      <c r="G118" s="2"/>
      <c r="H118" s="127"/>
      <c r="I118" s="62"/>
      <c r="J118" s="62"/>
      <c r="K118" s="62"/>
      <c r="L118" s="62"/>
      <c r="M118" s="62"/>
      <c r="N118" s="62"/>
      <c r="O118" s="62"/>
      <c r="P118" s="62"/>
      <c r="Q118" s="62"/>
      <c r="R118" s="62"/>
      <c r="S118" s="62"/>
      <c r="T118" s="62"/>
      <c r="U118" s="62"/>
      <c r="V118" s="62"/>
      <c r="W118" s="62"/>
      <c r="X118" s="62"/>
      <c r="Y118" s="62"/>
      <c r="Z118" s="62"/>
    </row>
    <row r="119" ht="15.75" customHeight="1">
      <c r="A119" s="74"/>
      <c r="B119" s="74"/>
      <c r="C119" s="74"/>
      <c r="D119" s="74"/>
      <c r="E119" s="2"/>
      <c r="F119" s="2"/>
      <c r="G119" s="2"/>
      <c r="H119" s="127"/>
      <c r="I119" s="62"/>
      <c r="J119" s="62"/>
      <c r="K119" s="62"/>
      <c r="L119" s="62"/>
      <c r="M119" s="62"/>
      <c r="N119" s="62"/>
      <c r="O119" s="62"/>
      <c r="P119" s="62"/>
      <c r="Q119" s="62"/>
      <c r="R119" s="62"/>
      <c r="S119" s="62"/>
      <c r="T119" s="62"/>
      <c r="U119" s="62"/>
      <c r="V119" s="62"/>
      <c r="W119" s="62"/>
      <c r="X119" s="62"/>
      <c r="Y119" s="62"/>
      <c r="Z119" s="62"/>
    </row>
    <row r="120" ht="15.75" customHeight="1">
      <c r="A120" s="74"/>
      <c r="B120" s="74"/>
      <c r="C120" s="74"/>
      <c r="D120" s="74"/>
      <c r="E120" s="2"/>
      <c r="F120" s="2"/>
      <c r="G120" s="2"/>
      <c r="H120" s="127"/>
      <c r="I120" s="62"/>
      <c r="J120" s="62"/>
      <c r="K120" s="62"/>
      <c r="L120" s="62"/>
      <c r="M120" s="62"/>
      <c r="N120" s="62"/>
      <c r="O120" s="62"/>
      <c r="P120" s="62"/>
      <c r="Q120" s="62"/>
      <c r="R120" s="62"/>
      <c r="S120" s="62"/>
      <c r="T120" s="62"/>
      <c r="U120" s="62"/>
      <c r="V120" s="62"/>
      <c r="W120" s="62"/>
      <c r="X120" s="62"/>
      <c r="Y120" s="62"/>
      <c r="Z120" s="62"/>
    </row>
    <row r="121" ht="15.75" customHeight="1">
      <c r="A121" s="74"/>
      <c r="B121" s="74"/>
      <c r="C121" s="74"/>
      <c r="D121" s="74"/>
      <c r="E121" s="2"/>
      <c r="F121" s="2"/>
      <c r="G121" s="2"/>
      <c r="H121" s="127"/>
      <c r="I121" s="62"/>
      <c r="J121" s="62"/>
      <c r="K121" s="62"/>
      <c r="L121" s="62"/>
      <c r="M121" s="62"/>
      <c r="N121" s="62"/>
      <c r="O121" s="62"/>
      <c r="P121" s="62"/>
      <c r="Q121" s="62"/>
      <c r="R121" s="62"/>
      <c r="S121" s="62"/>
      <c r="T121" s="62"/>
      <c r="U121" s="62"/>
      <c r="V121" s="62"/>
      <c r="W121" s="62"/>
      <c r="X121" s="62"/>
      <c r="Y121" s="62"/>
      <c r="Z121" s="62"/>
    </row>
    <row r="122" ht="15.75" customHeight="1">
      <c r="A122" s="74"/>
      <c r="B122" s="74"/>
      <c r="C122" s="74"/>
      <c r="D122" s="74"/>
      <c r="E122" s="2"/>
      <c r="F122" s="2"/>
      <c r="G122" s="2"/>
      <c r="H122" s="127"/>
      <c r="I122" s="62"/>
      <c r="J122" s="62"/>
      <c r="K122" s="62"/>
      <c r="L122" s="62"/>
      <c r="M122" s="62"/>
      <c r="N122" s="62"/>
      <c r="O122" s="62"/>
      <c r="P122" s="62"/>
      <c r="Q122" s="62"/>
      <c r="R122" s="62"/>
      <c r="S122" s="62"/>
      <c r="T122" s="62"/>
      <c r="U122" s="62"/>
      <c r="V122" s="62"/>
      <c r="W122" s="62"/>
      <c r="X122" s="62"/>
      <c r="Y122" s="62"/>
      <c r="Z122" s="62"/>
    </row>
    <row r="123" ht="15.75" customHeight="1">
      <c r="A123" s="74"/>
      <c r="B123" s="74"/>
      <c r="C123" s="74"/>
      <c r="D123" s="74"/>
      <c r="E123" s="2"/>
      <c r="F123" s="2"/>
      <c r="G123" s="2"/>
      <c r="H123" s="127"/>
      <c r="I123" s="62"/>
      <c r="J123" s="62"/>
      <c r="K123" s="62"/>
      <c r="L123" s="62"/>
      <c r="M123" s="62"/>
      <c r="N123" s="62"/>
      <c r="O123" s="62"/>
      <c r="P123" s="62"/>
      <c r="Q123" s="62"/>
      <c r="R123" s="62"/>
      <c r="S123" s="62"/>
      <c r="T123" s="62"/>
      <c r="U123" s="62"/>
      <c r="V123" s="62"/>
      <c r="W123" s="62"/>
      <c r="X123" s="62"/>
      <c r="Y123" s="62"/>
      <c r="Z123" s="62"/>
    </row>
    <row r="124" ht="15.75" customHeight="1">
      <c r="A124" s="74"/>
      <c r="B124" s="74"/>
      <c r="C124" s="74"/>
      <c r="D124" s="74"/>
      <c r="E124" s="2"/>
      <c r="F124" s="2"/>
      <c r="G124" s="2"/>
      <c r="H124" s="127"/>
      <c r="I124" s="62"/>
      <c r="J124" s="62"/>
      <c r="K124" s="62"/>
      <c r="L124" s="62"/>
      <c r="M124" s="62"/>
      <c r="N124" s="62"/>
      <c r="O124" s="62"/>
      <c r="P124" s="62"/>
      <c r="Q124" s="62"/>
      <c r="R124" s="62"/>
      <c r="S124" s="62"/>
      <c r="T124" s="62"/>
      <c r="U124" s="62"/>
      <c r="V124" s="62"/>
      <c r="W124" s="62"/>
      <c r="X124" s="62"/>
      <c r="Y124" s="62"/>
      <c r="Z124" s="62"/>
    </row>
    <row r="125" ht="15.75" customHeight="1">
      <c r="A125" s="74"/>
      <c r="B125" s="74"/>
      <c r="C125" s="74"/>
      <c r="D125" s="74"/>
      <c r="E125" s="2"/>
      <c r="F125" s="2"/>
      <c r="G125" s="2"/>
      <c r="H125" s="127"/>
      <c r="I125" s="62"/>
      <c r="J125" s="62"/>
      <c r="K125" s="62"/>
      <c r="L125" s="62"/>
      <c r="M125" s="62"/>
      <c r="N125" s="62"/>
      <c r="O125" s="62"/>
      <c r="P125" s="62"/>
      <c r="Q125" s="62"/>
      <c r="R125" s="62"/>
      <c r="S125" s="62"/>
      <c r="T125" s="62"/>
      <c r="U125" s="62"/>
      <c r="V125" s="62"/>
      <c r="W125" s="62"/>
      <c r="X125" s="62"/>
      <c r="Y125" s="62"/>
      <c r="Z125" s="62"/>
    </row>
    <row r="126" ht="15.75" customHeight="1">
      <c r="A126" s="74"/>
      <c r="B126" s="74"/>
      <c r="C126" s="74"/>
      <c r="D126" s="74"/>
      <c r="E126" s="2"/>
      <c r="F126" s="2"/>
      <c r="G126" s="2"/>
      <c r="H126" s="127"/>
      <c r="I126" s="62"/>
      <c r="J126" s="62"/>
      <c r="K126" s="62"/>
      <c r="L126" s="62"/>
      <c r="M126" s="62"/>
      <c r="N126" s="62"/>
      <c r="O126" s="62"/>
      <c r="P126" s="62"/>
      <c r="Q126" s="62"/>
      <c r="R126" s="62"/>
      <c r="S126" s="62"/>
      <c r="T126" s="62"/>
      <c r="U126" s="62"/>
      <c r="V126" s="62"/>
      <c r="W126" s="62"/>
      <c r="X126" s="62"/>
      <c r="Y126" s="62"/>
      <c r="Z126" s="62"/>
    </row>
    <row r="127" ht="15.75" customHeight="1">
      <c r="A127" s="74"/>
      <c r="B127" s="74"/>
      <c r="C127" s="74"/>
      <c r="D127" s="74"/>
      <c r="E127" s="2"/>
      <c r="F127" s="2"/>
      <c r="G127" s="2"/>
      <c r="H127" s="127"/>
      <c r="I127" s="62"/>
      <c r="J127" s="62"/>
      <c r="K127" s="62"/>
      <c r="L127" s="62"/>
      <c r="M127" s="62"/>
      <c r="N127" s="62"/>
      <c r="O127" s="62"/>
      <c r="P127" s="62"/>
      <c r="Q127" s="62"/>
      <c r="R127" s="62"/>
      <c r="S127" s="62"/>
      <c r="T127" s="62"/>
      <c r="U127" s="62"/>
      <c r="V127" s="62"/>
      <c r="W127" s="62"/>
      <c r="X127" s="62"/>
      <c r="Y127" s="62"/>
      <c r="Z127" s="62"/>
    </row>
    <row r="128" ht="15.75" customHeight="1">
      <c r="A128" s="74"/>
      <c r="B128" s="74"/>
      <c r="C128" s="74"/>
      <c r="D128" s="74"/>
      <c r="E128" s="2"/>
      <c r="F128" s="2"/>
      <c r="G128" s="2"/>
      <c r="H128" s="127"/>
      <c r="I128" s="62"/>
      <c r="J128" s="62"/>
      <c r="K128" s="62"/>
      <c r="L128" s="62"/>
      <c r="M128" s="62"/>
      <c r="N128" s="62"/>
      <c r="O128" s="62"/>
      <c r="P128" s="62"/>
      <c r="Q128" s="62"/>
      <c r="R128" s="62"/>
      <c r="S128" s="62"/>
      <c r="T128" s="62"/>
      <c r="U128" s="62"/>
      <c r="V128" s="62"/>
      <c r="W128" s="62"/>
      <c r="X128" s="62"/>
      <c r="Y128" s="62"/>
      <c r="Z128" s="62"/>
    </row>
    <row r="129" ht="15.75" customHeight="1">
      <c r="A129" s="74"/>
      <c r="B129" s="74"/>
      <c r="C129" s="74"/>
      <c r="D129" s="74"/>
      <c r="E129" s="2"/>
      <c r="F129" s="2"/>
      <c r="G129" s="2"/>
      <c r="H129" s="127"/>
      <c r="I129" s="62"/>
      <c r="J129" s="62"/>
      <c r="K129" s="62"/>
      <c r="L129" s="62"/>
      <c r="M129" s="62"/>
      <c r="N129" s="62"/>
      <c r="O129" s="62"/>
      <c r="P129" s="62"/>
      <c r="Q129" s="62"/>
      <c r="R129" s="62"/>
      <c r="S129" s="62"/>
      <c r="T129" s="62"/>
      <c r="U129" s="62"/>
      <c r="V129" s="62"/>
      <c r="W129" s="62"/>
      <c r="X129" s="62"/>
      <c r="Y129" s="62"/>
      <c r="Z129" s="62"/>
    </row>
    <row r="130" ht="15.75" customHeight="1">
      <c r="A130" s="74"/>
      <c r="B130" s="74"/>
      <c r="C130" s="74"/>
      <c r="D130" s="74"/>
      <c r="E130" s="2"/>
      <c r="F130" s="2"/>
      <c r="G130" s="2"/>
      <c r="H130" s="127"/>
      <c r="I130" s="62"/>
      <c r="J130" s="62"/>
      <c r="K130" s="62"/>
      <c r="L130" s="62"/>
      <c r="M130" s="62"/>
      <c r="N130" s="62"/>
      <c r="O130" s="62"/>
      <c r="P130" s="62"/>
      <c r="Q130" s="62"/>
      <c r="R130" s="62"/>
      <c r="S130" s="62"/>
      <c r="T130" s="62"/>
      <c r="U130" s="62"/>
      <c r="V130" s="62"/>
      <c r="W130" s="62"/>
      <c r="X130" s="62"/>
      <c r="Y130" s="62"/>
      <c r="Z130" s="62"/>
    </row>
    <row r="131" ht="15.75" customHeight="1">
      <c r="A131" s="74"/>
      <c r="B131" s="74"/>
      <c r="C131" s="74"/>
      <c r="D131" s="74"/>
      <c r="E131" s="2"/>
      <c r="F131" s="2"/>
      <c r="G131" s="2"/>
      <c r="H131" s="127"/>
      <c r="I131" s="62"/>
      <c r="J131" s="62"/>
      <c r="K131" s="62"/>
      <c r="L131" s="62"/>
      <c r="M131" s="62"/>
      <c r="N131" s="62"/>
      <c r="O131" s="62"/>
      <c r="P131" s="62"/>
      <c r="Q131" s="62"/>
      <c r="R131" s="62"/>
      <c r="S131" s="62"/>
      <c r="T131" s="62"/>
      <c r="U131" s="62"/>
      <c r="V131" s="62"/>
      <c r="W131" s="62"/>
      <c r="X131" s="62"/>
      <c r="Y131" s="62"/>
      <c r="Z131" s="62"/>
    </row>
    <row r="132" ht="15.75" customHeight="1">
      <c r="A132" s="74"/>
      <c r="B132" s="74"/>
      <c r="C132" s="74"/>
      <c r="D132" s="74"/>
      <c r="E132" s="2"/>
      <c r="F132" s="2"/>
      <c r="G132" s="2"/>
      <c r="H132" s="127"/>
      <c r="I132" s="62"/>
      <c r="J132" s="62"/>
      <c r="K132" s="62"/>
      <c r="L132" s="62"/>
      <c r="M132" s="62"/>
      <c r="N132" s="62"/>
      <c r="O132" s="62"/>
      <c r="P132" s="62"/>
      <c r="Q132" s="62"/>
      <c r="R132" s="62"/>
      <c r="S132" s="62"/>
      <c r="T132" s="62"/>
      <c r="U132" s="62"/>
      <c r="V132" s="62"/>
      <c r="W132" s="62"/>
      <c r="X132" s="62"/>
      <c r="Y132" s="62"/>
      <c r="Z132" s="62"/>
    </row>
    <row r="133" ht="15.75" customHeight="1">
      <c r="A133" s="74"/>
      <c r="B133" s="74"/>
      <c r="C133" s="74"/>
      <c r="D133" s="74"/>
      <c r="E133" s="2"/>
      <c r="F133" s="2"/>
      <c r="G133" s="2"/>
      <c r="H133" s="127"/>
      <c r="I133" s="62"/>
      <c r="J133" s="62"/>
      <c r="K133" s="62"/>
      <c r="L133" s="62"/>
      <c r="M133" s="62"/>
      <c r="N133" s="62"/>
      <c r="O133" s="62"/>
      <c r="P133" s="62"/>
      <c r="Q133" s="62"/>
      <c r="R133" s="62"/>
      <c r="S133" s="62"/>
      <c r="T133" s="62"/>
      <c r="U133" s="62"/>
      <c r="V133" s="62"/>
      <c r="W133" s="62"/>
      <c r="X133" s="62"/>
      <c r="Y133" s="62"/>
      <c r="Z133" s="62"/>
    </row>
    <row r="134" ht="15.75" customHeight="1">
      <c r="A134" s="74"/>
      <c r="B134" s="74"/>
      <c r="C134" s="74"/>
      <c r="D134" s="74"/>
      <c r="E134" s="2"/>
      <c r="F134" s="2"/>
      <c r="G134" s="2"/>
      <c r="H134" s="127"/>
      <c r="I134" s="62"/>
      <c r="J134" s="62"/>
      <c r="K134" s="62"/>
      <c r="L134" s="62"/>
      <c r="M134" s="62"/>
      <c r="N134" s="62"/>
      <c r="O134" s="62"/>
      <c r="P134" s="62"/>
      <c r="Q134" s="62"/>
      <c r="R134" s="62"/>
      <c r="S134" s="62"/>
      <c r="T134" s="62"/>
      <c r="U134" s="62"/>
      <c r="V134" s="62"/>
      <c r="W134" s="62"/>
      <c r="X134" s="62"/>
      <c r="Y134" s="62"/>
      <c r="Z134" s="62"/>
    </row>
    <row r="135" ht="15.75" customHeight="1">
      <c r="A135" s="74"/>
      <c r="B135" s="74"/>
      <c r="C135" s="74"/>
      <c r="D135" s="74"/>
      <c r="E135" s="2"/>
      <c r="F135" s="2"/>
      <c r="G135" s="2"/>
      <c r="H135" s="127"/>
      <c r="I135" s="62"/>
      <c r="J135" s="62"/>
      <c r="K135" s="62"/>
      <c r="L135" s="62"/>
      <c r="M135" s="62"/>
      <c r="N135" s="62"/>
      <c r="O135" s="62"/>
      <c r="P135" s="62"/>
      <c r="Q135" s="62"/>
      <c r="R135" s="62"/>
      <c r="S135" s="62"/>
      <c r="T135" s="62"/>
      <c r="U135" s="62"/>
      <c r="V135" s="62"/>
      <c r="W135" s="62"/>
      <c r="X135" s="62"/>
      <c r="Y135" s="62"/>
      <c r="Z135" s="62"/>
    </row>
    <row r="136" ht="15.75" customHeight="1">
      <c r="A136" s="74"/>
      <c r="B136" s="74"/>
      <c r="C136" s="74"/>
      <c r="D136" s="74"/>
      <c r="E136" s="2"/>
      <c r="F136" s="2"/>
      <c r="G136" s="2"/>
      <c r="H136" s="127"/>
      <c r="I136" s="62"/>
      <c r="J136" s="62"/>
      <c r="K136" s="62"/>
      <c r="L136" s="62"/>
      <c r="M136" s="62"/>
      <c r="N136" s="62"/>
      <c r="O136" s="62"/>
      <c r="P136" s="62"/>
      <c r="Q136" s="62"/>
      <c r="R136" s="62"/>
      <c r="S136" s="62"/>
      <c r="T136" s="62"/>
      <c r="U136" s="62"/>
      <c r="V136" s="62"/>
      <c r="W136" s="62"/>
      <c r="X136" s="62"/>
      <c r="Y136" s="62"/>
      <c r="Z136" s="62"/>
    </row>
    <row r="137" ht="15.75" customHeight="1">
      <c r="A137" s="74"/>
      <c r="B137" s="74"/>
      <c r="C137" s="74"/>
      <c r="D137" s="74"/>
      <c r="E137" s="2"/>
      <c r="F137" s="2"/>
      <c r="G137" s="2"/>
      <c r="H137" s="127"/>
      <c r="I137" s="62"/>
      <c r="J137" s="62"/>
      <c r="K137" s="62"/>
      <c r="L137" s="62"/>
      <c r="M137" s="62"/>
      <c r="N137" s="62"/>
      <c r="O137" s="62"/>
      <c r="P137" s="62"/>
      <c r="Q137" s="62"/>
      <c r="R137" s="62"/>
      <c r="S137" s="62"/>
      <c r="T137" s="62"/>
      <c r="U137" s="62"/>
      <c r="V137" s="62"/>
      <c r="W137" s="62"/>
      <c r="X137" s="62"/>
      <c r="Y137" s="62"/>
      <c r="Z137" s="62"/>
    </row>
    <row r="138" ht="15.75" customHeight="1">
      <c r="A138" s="74"/>
      <c r="B138" s="74"/>
      <c r="C138" s="74"/>
      <c r="D138" s="74"/>
      <c r="E138" s="2"/>
      <c r="F138" s="2"/>
      <c r="G138" s="2"/>
      <c r="H138" s="127"/>
      <c r="I138" s="62"/>
      <c r="J138" s="62"/>
      <c r="K138" s="62"/>
      <c r="L138" s="62"/>
      <c r="M138" s="62"/>
      <c r="N138" s="62"/>
      <c r="O138" s="62"/>
      <c r="P138" s="62"/>
      <c r="Q138" s="62"/>
      <c r="R138" s="62"/>
      <c r="S138" s="62"/>
      <c r="T138" s="62"/>
      <c r="U138" s="62"/>
      <c r="V138" s="62"/>
      <c r="W138" s="62"/>
      <c r="X138" s="62"/>
      <c r="Y138" s="62"/>
      <c r="Z138" s="62"/>
    </row>
    <row r="139" ht="15.75" customHeight="1">
      <c r="A139" s="74"/>
      <c r="B139" s="74"/>
      <c r="C139" s="74"/>
      <c r="D139" s="74"/>
      <c r="E139" s="2"/>
      <c r="F139" s="2"/>
      <c r="G139" s="2"/>
      <c r="H139" s="127"/>
      <c r="I139" s="62"/>
      <c r="J139" s="62"/>
      <c r="K139" s="62"/>
      <c r="L139" s="62"/>
      <c r="M139" s="62"/>
      <c r="N139" s="62"/>
      <c r="O139" s="62"/>
      <c r="P139" s="62"/>
      <c r="Q139" s="62"/>
      <c r="R139" s="62"/>
      <c r="S139" s="62"/>
      <c r="T139" s="62"/>
      <c r="U139" s="62"/>
      <c r="V139" s="62"/>
      <c r="W139" s="62"/>
      <c r="X139" s="62"/>
      <c r="Y139" s="62"/>
      <c r="Z139" s="62"/>
    </row>
    <row r="140" ht="15.75" customHeight="1">
      <c r="A140" s="74"/>
      <c r="B140" s="74"/>
      <c r="C140" s="74"/>
      <c r="D140" s="74"/>
      <c r="E140" s="2"/>
      <c r="F140" s="2"/>
      <c r="G140" s="2"/>
      <c r="H140" s="127"/>
      <c r="I140" s="62"/>
      <c r="J140" s="62"/>
      <c r="K140" s="62"/>
      <c r="L140" s="62"/>
      <c r="M140" s="62"/>
      <c r="N140" s="62"/>
      <c r="O140" s="62"/>
      <c r="P140" s="62"/>
      <c r="Q140" s="62"/>
      <c r="R140" s="62"/>
      <c r="S140" s="62"/>
      <c r="T140" s="62"/>
      <c r="U140" s="62"/>
      <c r="V140" s="62"/>
      <c r="W140" s="62"/>
      <c r="X140" s="62"/>
      <c r="Y140" s="62"/>
      <c r="Z140" s="62"/>
    </row>
    <row r="141" ht="15.75" customHeight="1">
      <c r="A141" s="74"/>
      <c r="B141" s="74"/>
      <c r="C141" s="74"/>
      <c r="D141" s="74"/>
      <c r="E141" s="2"/>
      <c r="F141" s="2"/>
      <c r="G141" s="2"/>
      <c r="H141" s="127"/>
      <c r="I141" s="62"/>
      <c r="J141" s="62"/>
      <c r="K141" s="62"/>
      <c r="L141" s="62"/>
      <c r="M141" s="62"/>
      <c r="N141" s="62"/>
      <c r="O141" s="62"/>
      <c r="P141" s="62"/>
      <c r="Q141" s="62"/>
      <c r="R141" s="62"/>
      <c r="S141" s="62"/>
      <c r="T141" s="62"/>
      <c r="U141" s="62"/>
      <c r="V141" s="62"/>
      <c r="W141" s="62"/>
      <c r="X141" s="62"/>
      <c r="Y141" s="62"/>
      <c r="Z141" s="62"/>
    </row>
    <row r="142" ht="15.75" customHeight="1">
      <c r="A142" s="74"/>
      <c r="B142" s="74"/>
      <c r="C142" s="74"/>
      <c r="D142" s="74"/>
      <c r="E142" s="2"/>
      <c r="F142" s="2"/>
      <c r="G142" s="2"/>
      <c r="H142" s="127"/>
      <c r="I142" s="62"/>
      <c r="J142" s="62"/>
      <c r="K142" s="62"/>
      <c r="L142" s="62"/>
      <c r="M142" s="62"/>
      <c r="N142" s="62"/>
      <c r="O142" s="62"/>
      <c r="P142" s="62"/>
      <c r="Q142" s="62"/>
      <c r="R142" s="62"/>
      <c r="S142" s="62"/>
      <c r="T142" s="62"/>
      <c r="U142" s="62"/>
      <c r="V142" s="62"/>
      <c r="W142" s="62"/>
      <c r="X142" s="62"/>
      <c r="Y142" s="62"/>
      <c r="Z142" s="62"/>
    </row>
    <row r="143" ht="15.75" customHeight="1">
      <c r="A143" s="74"/>
      <c r="B143" s="74"/>
      <c r="C143" s="74"/>
      <c r="D143" s="74"/>
      <c r="E143" s="2"/>
      <c r="F143" s="2"/>
      <c r="G143" s="2"/>
      <c r="H143" s="127"/>
      <c r="I143" s="62"/>
      <c r="J143" s="62"/>
      <c r="K143" s="62"/>
      <c r="L143" s="62"/>
      <c r="M143" s="62"/>
      <c r="N143" s="62"/>
      <c r="O143" s="62"/>
      <c r="P143" s="62"/>
      <c r="Q143" s="62"/>
      <c r="R143" s="62"/>
      <c r="S143" s="62"/>
      <c r="T143" s="62"/>
      <c r="U143" s="62"/>
      <c r="V143" s="62"/>
      <c r="W143" s="62"/>
      <c r="X143" s="62"/>
      <c r="Y143" s="62"/>
      <c r="Z143" s="62"/>
    </row>
    <row r="144" ht="15.75" customHeight="1">
      <c r="A144" s="74"/>
      <c r="B144" s="74"/>
      <c r="C144" s="74"/>
      <c r="D144" s="74"/>
      <c r="E144" s="2"/>
      <c r="F144" s="2"/>
      <c r="G144" s="2"/>
      <c r="H144" s="127"/>
      <c r="I144" s="62"/>
      <c r="J144" s="62"/>
      <c r="K144" s="62"/>
      <c r="L144" s="62"/>
      <c r="M144" s="62"/>
      <c r="N144" s="62"/>
      <c r="O144" s="62"/>
      <c r="P144" s="62"/>
      <c r="Q144" s="62"/>
      <c r="R144" s="62"/>
      <c r="S144" s="62"/>
      <c r="T144" s="62"/>
      <c r="U144" s="62"/>
      <c r="V144" s="62"/>
      <c r="W144" s="62"/>
      <c r="X144" s="62"/>
      <c r="Y144" s="62"/>
      <c r="Z144" s="62"/>
    </row>
    <row r="145" ht="15.75" customHeight="1">
      <c r="A145" s="74"/>
      <c r="B145" s="74"/>
      <c r="C145" s="74"/>
      <c r="D145" s="74"/>
      <c r="E145" s="2"/>
      <c r="F145" s="2"/>
      <c r="G145" s="2"/>
      <c r="H145" s="127"/>
      <c r="I145" s="62"/>
      <c r="J145" s="62"/>
      <c r="K145" s="62"/>
      <c r="L145" s="62"/>
      <c r="M145" s="62"/>
      <c r="N145" s="62"/>
      <c r="O145" s="62"/>
      <c r="P145" s="62"/>
      <c r="Q145" s="62"/>
      <c r="R145" s="62"/>
      <c r="S145" s="62"/>
      <c r="T145" s="62"/>
      <c r="U145" s="62"/>
      <c r="V145" s="62"/>
      <c r="W145" s="62"/>
      <c r="X145" s="62"/>
      <c r="Y145" s="62"/>
      <c r="Z145" s="62"/>
    </row>
    <row r="146" ht="15.75" customHeight="1">
      <c r="A146" s="74"/>
      <c r="B146" s="74"/>
      <c r="C146" s="74"/>
      <c r="D146" s="74"/>
      <c r="E146" s="2"/>
      <c r="F146" s="2"/>
      <c r="G146" s="2"/>
      <c r="H146" s="127"/>
      <c r="I146" s="62"/>
      <c r="J146" s="62"/>
      <c r="K146" s="62"/>
      <c r="L146" s="62"/>
      <c r="M146" s="62"/>
      <c r="N146" s="62"/>
      <c r="O146" s="62"/>
      <c r="P146" s="62"/>
      <c r="Q146" s="62"/>
      <c r="R146" s="62"/>
      <c r="S146" s="62"/>
      <c r="T146" s="62"/>
      <c r="U146" s="62"/>
      <c r="V146" s="62"/>
      <c r="W146" s="62"/>
      <c r="X146" s="62"/>
      <c r="Y146" s="62"/>
      <c r="Z146" s="62"/>
    </row>
    <row r="147" ht="15.75" customHeight="1">
      <c r="A147" s="74"/>
      <c r="B147" s="74"/>
      <c r="C147" s="74"/>
      <c r="D147" s="74"/>
      <c r="E147" s="2"/>
      <c r="F147" s="2"/>
      <c r="G147" s="2"/>
      <c r="H147" s="127"/>
      <c r="I147" s="62"/>
      <c r="J147" s="62"/>
      <c r="K147" s="62"/>
      <c r="L147" s="62"/>
      <c r="M147" s="62"/>
      <c r="N147" s="62"/>
      <c r="O147" s="62"/>
      <c r="P147" s="62"/>
      <c r="Q147" s="62"/>
      <c r="R147" s="62"/>
      <c r="S147" s="62"/>
      <c r="T147" s="62"/>
      <c r="U147" s="62"/>
      <c r="V147" s="62"/>
      <c r="W147" s="62"/>
      <c r="X147" s="62"/>
      <c r="Y147" s="62"/>
      <c r="Z147" s="62"/>
    </row>
    <row r="148" ht="15.75" customHeight="1">
      <c r="A148" s="74"/>
      <c r="B148" s="74"/>
      <c r="C148" s="74"/>
      <c r="D148" s="74"/>
      <c r="E148" s="2"/>
      <c r="F148" s="2"/>
      <c r="G148" s="2"/>
      <c r="H148" s="127"/>
      <c r="I148" s="62"/>
      <c r="J148" s="62"/>
      <c r="K148" s="62"/>
      <c r="L148" s="62"/>
      <c r="M148" s="62"/>
      <c r="N148" s="62"/>
      <c r="O148" s="62"/>
      <c r="P148" s="62"/>
      <c r="Q148" s="62"/>
      <c r="R148" s="62"/>
      <c r="S148" s="62"/>
      <c r="T148" s="62"/>
      <c r="U148" s="62"/>
      <c r="V148" s="62"/>
      <c r="W148" s="62"/>
      <c r="X148" s="62"/>
      <c r="Y148" s="62"/>
      <c r="Z148" s="62"/>
    </row>
    <row r="149" ht="15.75" customHeight="1">
      <c r="A149" s="74"/>
      <c r="B149" s="74"/>
      <c r="C149" s="74"/>
      <c r="D149" s="74"/>
      <c r="E149" s="2"/>
      <c r="F149" s="2"/>
      <c r="G149" s="2"/>
      <c r="H149" s="127"/>
      <c r="I149" s="62"/>
      <c r="J149" s="62"/>
      <c r="K149" s="62"/>
      <c r="L149" s="62"/>
      <c r="M149" s="62"/>
      <c r="N149" s="62"/>
      <c r="O149" s="62"/>
      <c r="P149" s="62"/>
      <c r="Q149" s="62"/>
      <c r="R149" s="62"/>
      <c r="S149" s="62"/>
      <c r="T149" s="62"/>
      <c r="U149" s="62"/>
      <c r="V149" s="62"/>
      <c r="W149" s="62"/>
      <c r="X149" s="62"/>
      <c r="Y149" s="62"/>
      <c r="Z149" s="62"/>
    </row>
    <row r="150" ht="15.75" customHeight="1">
      <c r="A150" s="74"/>
      <c r="B150" s="74"/>
      <c r="C150" s="74"/>
      <c r="D150" s="74"/>
      <c r="E150" s="2"/>
      <c r="F150" s="2"/>
      <c r="G150" s="2"/>
      <c r="H150" s="127"/>
      <c r="I150" s="62"/>
      <c r="J150" s="62"/>
      <c r="K150" s="62"/>
      <c r="L150" s="62"/>
      <c r="M150" s="62"/>
      <c r="N150" s="62"/>
      <c r="O150" s="62"/>
      <c r="P150" s="62"/>
      <c r="Q150" s="62"/>
      <c r="R150" s="62"/>
      <c r="S150" s="62"/>
      <c r="T150" s="62"/>
      <c r="U150" s="62"/>
      <c r="V150" s="62"/>
      <c r="W150" s="62"/>
      <c r="X150" s="62"/>
      <c r="Y150" s="62"/>
      <c r="Z150" s="62"/>
    </row>
    <row r="151" ht="15.75" customHeight="1">
      <c r="A151" s="74"/>
      <c r="B151" s="74"/>
      <c r="C151" s="74"/>
      <c r="D151" s="74"/>
      <c r="E151" s="2"/>
      <c r="F151" s="2"/>
      <c r="G151" s="2"/>
      <c r="H151" s="127"/>
      <c r="I151" s="62"/>
      <c r="J151" s="62"/>
      <c r="K151" s="62"/>
      <c r="L151" s="62"/>
      <c r="M151" s="62"/>
      <c r="N151" s="62"/>
      <c r="O151" s="62"/>
      <c r="P151" s="62"/>
      <c r="Q151" s="62"/>
      <c r="R151" s="62"/>
      <c r="S151" s="62"/>
      <c r="T151" s="62"/>
      <c r="U151" s="62"/>
      <c r="V151" s="62"/>
      <c r="W151" s="62"/>
      <c r="X151" s="62"/>
      <c r="Y151" s="62"/>
      <c r="Z151" s="62"/>
    </row>
    <row r="152" ht="15.75" customHeight="1">
      <c r="A152" s="74"/>
      <c r="B152" s="74"/>
      <c r="C152" s="74"/>
      <c r="D152" s="74"/>
      <c r="E152" s="2"/>
      <c r="F152" s="2"/>
      <c r="G152" s="2"/>
      <c r="H152" s="127"/>
      <c r="I152" s="62"/>
      <c r="J152" s="62"/>
      <c r="K152" s="62"/>
      <c r="L152" s="62"/>
      <c r="M152" s="62"/>
      <c r="N152" s="62"/>
      <c r="O152" s="62"/>
      <c r="P152" s="62"/>
      <c r="Q152" s="62"/>
      <c r="R152" s="62"/>
      <c r="S152" s="62"/>
      <c r="T152" s="62"/>
      <c r="U152" s="62"/>
      <c r="V152" s="62"/>
      <c r="W152" s="62"/>
      <c r="X152" s="62"/>
      <c r="Y152" s="62"/>
      <c r="Z152" s="62"/>
    </row>
    <row r="153" ht="15.75" customHeight="1">
      <c r="A153" s="74"/>
      <c r="B153" s="74"/>
      <c r="C153" s="74"/>
      <c r="D153" s="74"/>
      <c r="E153" s="2"/>
      <c r="F153" s="2"/>
      <c r="G153" s="2"/>
      <c r="H153" s="127"/>
      <c r="I153" s="62"/>
      <c r="J153" s="62"/>
      <c r="K153" s="62"/>
      <c r="L153" s="62"/>
      <c r="M153" s="62"/>
      <c r="N153" s="62"/>
      <c r="O153" s="62"/>
      <c r="P153" s="62"/>
      <c r="Q153" s="62"/>
      <c r="R153" s="62"/>
      <c r="S153" s="62"/>
      <c r="T153" s="62"/>
      <c r="U153" s="62"/>
      <c r="V153" s="62"/>
      <c r="W153" s="62"/>
      <c r="X153" s="62"/>
      <c r="Y153" s="62"/>
      <c r="Z153" s="62"/>
    </row>
    <row r="154" ht="15.75" customHeight="1">
      <c r="A154" s="74"/>
      <c r="B154" s="74"/>
      <c r="C154" s="74"/>
      <c r="D154" s="74"/>
      <c r="E154" s="2"/>
      <c r="F154" s="2"/>
      <c r="G154" s="2"/>
      <c r="H154" s="127"/>
      <c r="I154" s="62"/>
      <c r="J154" s="62"/>
      <c r="K154" s="62"/>
      <c r="L154" s="62"/>
      <c r="M154" s="62"/>
      <c r="N154" s="62"/>
      <c r="O154" s="62"/>
      <c r="P154" s="62"/>
      <c r="Q154" s="62"/>
      <c r="R154" s="62"/>
      <c r="S154" s="62"/>
      <c r="T154" s="62"/>
      <c r="U154" s="62"/>
      <c r="V154" s="62"/>
      <c r="W154" s="62"/>
      <c r="X154" s="62"/>
      <c r="Y154" s="62"/>
      <c r="Z154" s="62"/>
    </row>
    <row r="155" ht="15.75" customHeight="1">
      <c r="A155" s="74"/>
      <c r="B155" s="74"/>
      <c r="C155" s="74"/>
      <c r="D155" s="74"/>
      <c r="E155" s="2"/>
      <c r="F155" s="2"/>
      <c r="G155" s="2"/>
      <c r="H155" s="127"/>
      <c r="I155" s="62"/>
      <c r="J155" s="62"/>
      <c r="K155" s="62"/>
      <c r="L155" s="62"/>
      <c r="M155" s="62"/>
      <c r="N155" s="62"/>
      <c r="O155" s="62"/>
      <c r="P155" s="62"/>
      <c r="Q155" s="62"/>
      <c r="R155" s="62"/>
      <c r="S155" s="62"/>
      <c r="T155" s="62"/>
      <c r="U155" s="62"/>
      <c r="V155" s="62"/>
      <c r="W155" s="62"/>
      <c r="X155" s="62"/>
      <c r="Y155" s="62"/>
      <c r="Z155" s="62"/>
    </row>
    <row r="156" ht="15.75" customHeight="1">
      <c r="A156" s="74"/>
      <c r="B156" s="74"/>
      <c r="C156" s="74"/>
      <c r="D156" s="74"/>
      <c r="E156" s="2"/>
      <c r="F156" s="2"/>
      <c r="G156" s="2"/>
      <c r="H156" s="127"/>
      <c r="I156" s="62"/>
      <c r="J156" s="62"/>
      <c r="K156" s="62"/>
      <c r="L156" s="62"/>
      <c r="M156" s="62"/>
      <c r="N156" s="62"/>
      <c r="O156" s="62"/>
      <c r="P156" s="62"/>
      <c r="Q156" s="62"/>
      <c r="R156" s="62"/>
      <c r="S156" s="62"/>
      <c r="T156" s="62"/>
      <c r="U156" s="62"/>
      <c r="V156" s="62"/>
      <c r="W156" s="62"/>
      <c r="X156" s="62"/>
      <c r="Y156" s="62"/>
      <c r="Z156" s="62"/>
    </row>
    <row r="157" ht="15.75" customHeight="1">
      <c r="A157" s="74"/>
      <c r="B157" s="74"/>
      <c r="C157" s="74"/>
      <c r="D157" s="74"/>
      <c r="E157" s="2"/>
      <c r="F157" s="2"/>
      <c r="G157" s="2"/>
      <c r="H157" s="127"/>
      <c r="I157" s="62"/>
      <c r="J157" s="62"/>
      <c r="K157" s="62"/>
      <c r="L157" s="62"/>
      <c r="M157" s="62"/>
      <c r="N157" s="62"/>
      <c r="O157" s="62"/>
      <c r="P157" s="62"/>
      <c r="Q157" s="62"/>
      <c r="R157" s="62"/>
      <c r="S157" s="62"/>
      <c r="T157" s="62"/>
      <c r="U157" s="62"/>
      <c r="V157" s="62"/>
      <c r="W157" s="62"/>
      <c r="X157" s="62"/>
      <c r="Y157" s="62"/>
      <c r="Z157" s="62"/>
    </row>
    <row r="158" ht="15.75" customHeight="1">
      <c r="A158" s="74"/>
      <c r="B158" s="74"/>
      <c r="C158" s="74"/>
      <c r="D158" s="74"/>
      <c r="E158" s="2"/>
      <c r="F158" s="2"/>
      <c r="G158" s="2"/>
      <c r="H158" s="127"/>
      <c r="I158" s="62"/>
      <c r="J158" s="62"/>
      <c r="K158" s="62"/>
      <c r="L158" s="62"/>
      <c r="M158" s="62"/>
      <c r="N158" s="62"/>
      <c r="O158" s="62"/>
      <c r="P158" s="62"/>
      <c r="Q158" s="62"/>
      <c r="R158" s="62"/>
      <c r="S158" s="62"/>
      <c r="T158" s="62"/>
      <c r="U158" s="62"/>
      <c r="V158" s="62"/>
      <c r="W158" s="62"/>
      <c r="X158" s="62"/>
      <c r="Y158" s="62"/>
      <c r="Z158" s="62"/>
    </row>
    <row r="159" ht="15.75" customHeight="1">
      <c r="A159" s="74"/>
      <c r="B159" s="74"/>
      <c r="C159" s="74"/>
      <c r="D159" s="74"/>
      <c r="E159" s="2"/>
      <c r="F159" s="2"/>
      <c r="G159" s="2"/>
      <c r="H159" s="127"/>
      <c r="I159" s="62"/>
      <c r="J159" s="62"/>
      <c r="K159" s="62"/>
      <c r="L159" s="62"/>
      <c r="M159" s="62"/>
      <c r="N159" s="62"/>
      <c r="O159" s="62"/>
      <c r="P159" s="62"/>
      <c r="Q159" s="62"/>
      <c r="R159" s="62"/>
      <c r="S159" s="62"/>
      <c r="T159" s="62"/>
      <c r="U159" s="62"/>
      <c r="V159" s="62"/>
      <c r="W159" s="62"/>
      <c r="X159" s="62"/>
      <c r="Y159" s="62"/>
      <c r="Z159" s="62"/>
    </row>
    <row r="160" ht="15.75" customHeight="1">
      <c r="A160" s="74"/>
      <c r="B160" s="74"/>
      <c r="C160" s="74"/>
      <c r="D160" s="74"/>
      <c r="E160" s="2"/>
      <c r="F160" s="2"/>
      <c r="G160" s="2"/>
      <c r="H160" s="127"/>
      <c r="I160" s="62"/>
      <c r="J160" s="62"/>
      <c r="K160" s="62"/>
      <c r="L160" s="62"/>
      <c r="M160" s="62"/>
      <c r="N160" s="62"/>
      <c r="O160" s="62"/>
      <c r="P160" s="62"/>
      <c r="Q160" s="62"/>
      <c r="R160" s="62"/>
      <c r="S160" s="62"/>
      <c r="T160" s="62"/>
      <c r="U160" s="62"/>
      <c r="V160" s="62"/>
      <c r="W160" s="62"/>
      <c r="X160" s="62"/>
      <c r="Y160" s="62"/>
      <c r="Z160" s="62"/>
    </row>
    <row r="161" ht="15.75" customHeight="1">
      <c r="A161" s="74"/>
      <c r="B161" s="74"/>
      <c r="C161" s="74"/>
      <c r="D161" s="74"/>
      <c r="E161" s="2"/>
      <c r="F161" s="2"/>
      <c r="G161" s="2"/>
      <c r="H161" s="127"/>
      <c r="I161" s="62"/>
      <c r="J161" s="62"/>
      <c r="K161" s="62"/>
      <c r="L161" s="62"/>
      <c r="M161" s="62"/>
      <c r="N161" s="62"/>
      <c r="O161" s="62"/>
      <c r="P161" s="62"/>
      <c r="Q161" s="62"/>
      <c r="R161" s="62"/>
      <c r="S161" s="62"/>
      <c r="T161" s="62"/>
      <c r="U161" s="62"/>
      <c r="V161" s="62"/>
      <c r="W161" s="62"/>
      <c r="X161" s="62"/>
      <c r="Y161" s="62"/>
      <c r="Z161" s="62"/>
    </row>
    <row r="162" ht="15.75" customHeight="1">
      <c r="A162" s="74"/>
      <c r="B162" s="74"/>
      <c r="C162" s="74"/>
      <c r="D162" s="74"/>
      <c r="E162" s="2"/>
      <c r="F162" s="2"/>
      <c r="G162" s="2"/>
      <c r="H162" s="127"/>
      <c r="I162" s="62"/>
      <c r="J162" s="62"/>
      <c r="K162" s="62"/>
      <c r="L162" s="62"/>
      <c r="M162" s="62"/>
      <c r="N162" s="62"/>
      <c r="O162" s="62"/>
      <c r="P162" s="62"/>
      <c r="Q162" s="62"/>
      <c r="R162" s="62"/>
      <c r="S162" s="62"/>
      <c r="T162" s="62"/>
      <c r="U162" s="62"/>
      <c r="V162" s="62"/>
      <c r="W162" s="62"/>
      <c r="X162" s="62"/>
      <c r="Y162" s="62"/>
      <c r="Z162" s="62"/>
    </row>
    <row r="163" ht="15.75" customHeight="1">
      <c r="A163" s="74"/>
      <c r="B163" s="74"/>
      <c r="C163" s="74"/>
      <c r="D163" s="74"/>
      <c r="E163" s="2"/>
      <c r="F163" s="2"/>
      <c r="G163" s="2"/>
      <c r="H163" s="127"/>
      <c r="I163" s="62"/>
      <c r="J163" s="62"/>
      <c r="K163" s="62"/>
      <c r="L163" s="62"/>
      <c r="M163" s="62"/>
      <c r="N163" s="62"/>
      <c r="O163" s="62"/>
      <c r="P163" s="62"/>
      <c r="Q163" s="62"/>
      <c r="R163" s="62"/>
      <c r="S163" s="62"/>
      <c r="T163" s="62"/>
      <c r="U163" s="62"/>
      <c r="V163" s="62"/>
      <c r="W163" s="62"/>
      <c r="X163" s="62"/>
      <c r="Y163" s="62"/>
      <c r="Z163" s="62"/>
    </row>
    <row r="164" ht="15.75" customHeight="1">
      <c r="A164" s="74"/>
      <c r="B164" s="74"/>
      <c r="C164" s="74"/>
      <c r="D164" s="74"/>
      <c r="E164" s="2"/>
      <c r="F164" s="2"/>
      <c r="G164" s="2"/>
      <c r="H164" s="127"/>
      <c r="I164" s="62"/>
      <c r="J164" s="62"/>
      <c r="K164" s="62"/>
      <c r="L164" s="62"/>
      <c r="M164" s="62"/>
      <c r="N164" s="62"/>
      <c r="O164" s="62"/>
      <c r="P164" s="62"/>
      <c r="Q164" s="62"/>
      <c r="R164" s="62"/>
      <c r="S164" s="62"/>
      <c r="T164" s="62"/>
      <c r="U164" s="62"/>
      <c r="V164" s="62"/>
      <c r="W164" s="62"/>
      <c r="X164" s="62"/>
      <c r="Y164" s="62"/>
      <c r="Z164" s="62"/>
    </row>
    <row r="165" ht="15.75" customHeight="1">
      <c r="A165" s="74"/>
      <c r="B165" s="74"/>
      <c r="C165" s="74"/>
      <c r="D165" s="74"/>
      <c r="E165" s="2"/>
      <c r="F165" s="2"/>
      <c r="G165" s="2"/>
      <c r="H165" s="127"/>
      <c r="I165" s="62"/>
      <c r="J165" s="62"/>
      <c r="K165" s="62"/>
      <c r="L165" s="62"/>
      <c r="M165" s="62"/>
      <c r="N165" s="62"/>
      <c r="O165" s="62"/>
      <c r="P165" s="62"/>
      <c r="Q165" s="62"/>
      <c r="R165" s="62"/>
      <c r="S165" s="62"/>
      <c r="T165" s="62"/>
      <c r="U165" s="62"/>
      <c r="V165" s="62"/>
      <c r="W165" s="62"/>
      <c r="X165" s="62"/>
      <c r="Y165" s="62"/>
      <c r="Z165" s="62"/>
    </row>
    <row r="166" ht="15.75" customHeight="1">
      <c r="A166" s="74"/>
      <c r="B166" s="74"/>
      <c r="C166" s="74"/>
      <c r="D166" s="74"/>
      <c r="E166" s="2"/>
      <c r="F166" s="2"/>
      <c r="G166" s="2"/>
      <c r="H166" s="127"/>
      <c r="I166" s="62"/>
      <c r="J166" s="62"/>
      <c r="K166" s="62"/>
      <c r="L166" s="62"/>
      <c r="M166" s="62"/>
      <c r="N166" s="62"/>
      <c r="O166" s="62"/>
      <c r="P166" s="62"/>
      <c r="Q166" s="62"/>
      <c r="R166" s="62"/>
      <c r="S166" s="62"/>
      <c r="T166" s="62"/>
      <c r="U166" s="62"/>
      <c r="V166" s="62"/>
      <c r="W166" s="62"/>
      <c r="X166" s="62"/>
      <c r="Y166" s="62"/>
      <c r="Z166" s="62"/>
    </row>
    <row r="167" ht="15.75" customHeight="1">
      <c r="A167" s="74"/>
      <c r="B167" s="74"/>
      <c r="C167" s="74"/>
      <c r="D167" s="74"/>
      <c r="E167" s="2"/>
      <c r="F167" s="2"/>
      <c r="G167" s="2"/>
      <c r="H167" s="127"/>
      <c r="I167" s="62"/>
      <c r="J167" s="62"/>
      <c r="K167" s="62"/>
      <c r="L167" s="62"/>
      <c r="M167" s="62"/>
      <c r="N167" s="62"/>
      <c r="O167" s="62"/>
      <c r="P167" s="62"/>
      <c r="Q167" s="62"/>
      <c r="R167" s="62"/>
      <c r="S167" s="62"/>
      <c r="T167" s="62"/>
      <c r="U167" s="62"/>
      <c r="V167" s="62"/>
      <c r="W167" s="62"/>
      <c r="X167" s="62"/>
      <c r="Y167" s="62"/>
      <c r="Z167" s="62"/>
    </row>
    <row r="168" ht="15.75" customHeight="1">
      <c r="A168" s="74"/>
      <c r="B168" s="74"/>
      <c r="C168" s="74"/>
      <c r="D168" s="74"/>
      <c r="E168" s="2"/>
      <c r="F168" s="2"/>
      <c r="G168" s="2"/>
      <c r="H168" s="127"/>
      <c r="I168" s="62"/>
      <c r="J168" s="62"/>
      <c r="K168" s="62"/>
      <c r="L168" s="62"/>
      <c r="M168" s="62"/>
      <c r="N168" s="62"/>
      <c r="O168" s="62"/>
      <c r="P168" s="62"/>
      <c r="Q168" s="62"/>
      <c r="R168" s="62"/>
      <c r="S168" s="62"/>
      <c r="T168" s="62"/>
      <c r="U168" s="62"/>
      <c r="V168" s="62"/>
      <c r="W168" s="62"/>
      <c r="X168" s="62"/>
      <c r="Y168" s="62"/>
      <c r="Z168" s="62"/>
    </row>
    <row r="169" ht="15.75" customHeight="1">
      <c r="A169" s="74"/>
      <c r="B169" s="74"/>
      <c r="C169" s="74"/>
      <c r="D169" s="74"/>
      <c r="E169" s="2"/>
      <c r="F169" s="2"/>
      <c r="G169" s="2"/>
      <c r="H169" s="127"/>
      <c r="I169" s="62"/>
      <c r="J169" s="62"/>
      <c r="K169" s="62"/>
      <c r="L169" s="62"/>
      <c r="M169" s="62"/>
      <c r="N169" s="62"/>
      <c r="O169" s="62"/>
      <c r="P169" s="62"/>
      <c r="Q169" s="62"/>
      <c r="R169" s="62"/>
      <c r="S169" s="62"/>
      <c r="T169" s="62"/>
      <c r="U169" s="62"/>
      <c r="V169" s="62"/>
      <c r="W169" s="62"/>
      <c r="X169" s="62"/>
      <c r="Y169" s="62"/>
      <c r="Z169" s="62"/>
    </row>
    <row r="170" ht="15.75" customHeight="1">
      <c r="A170" s="74"/>
      <c r="B170" s="74"/>
      <c r="C170" s="74"/>
      <c r="D170" s="74"/>
      <c r="E170" s="2"/>
      <c r="F170" s="2"/>
      <c r="G170" s="2"/>
      <c r="H170" s="127"/>
      <c r="I170" s="62"/>
      <c r="J170" s="62"/>
      <c r="K170" s="62"/>
      <c r="L170" s="62"/>
      <c r="M170" s="62"/>
      <c r="N170" s="62"/>
      <c r="O170" s="62"/>
      <c r="P170" s="62"/>
      <c r="Q170" s="62"/>
      <c r="R170" s="62"/>
      <c r="S170" s="62"/>
      <c r="T170" s="62"/>
      <c r="U170" s="62"/>
      <c r="V170" s="62"/>
      <c r="W170" s="62"/>
      <c r="X170" s="62"/>
      <c r="Y170" s="62"/>
      <c r="Z170" s="62"/>
    </row>
    <row r="171" ht="15.75" customHeight="1">
      <c r="A171" s="74"/>
      <c r="B171" s="74"/>
      <c r="C171" s="74"/>
      <c r="D171" s="74"/>
      <c r="E171" s="2"/>
      <c r="F171" s="2"/>
      <c r="G171" s="2"/>
      <c r="H171" s="127"/>
      <c r="I171" s="62"/>
      <c r="J171" s="62"/>
      <c r="K171" s="62"/>
      <c r="L171" s="62"/>
      <c r="M171" s="62"/>
      <c r="N171" s="62"/>
      <c r="O171" s="62"/>
      <c r="P171" s="62"/>
      <c r="Q171" s="62"/>
      <c r="R171" s="62"/>
      <c r="S171" s="62"/>
      <c r="T171" s="62"/>
      <c r="U171" s="62"/>
      <c r="V171" s="62"/>
      <c r="W171" s="62"/>
      <c r="X171" s="62"/>
      <c r="Y171" s="62"/>
      <c r="Z171" s="62"/>
    </row>
    <row r="172" ht="15.75" customHeight="1">
      <c r="A172" s="74"/>
      <c r="B172" s="74"/>
      <c r="C172" s="74"/>
      <c r="D172" s="74"/>
      <c r="E172" s="2"/>
      <c r="F172" s="2"/>
      <c r="G172" s="2"/>
      <c r="H172" s="127"/>
      <c r="I172" s="62"/>
      <c r="J172" s="62"/>
      <c r="K172" s="62"/>
      <c r="L172" s="62"/>
      <c r="M172" s="62"/>
      <c r="N172" s="62"/>
      <c r="O172" s="62"/>
      <c r="P172" s="62"/>
      <c r="Q172" s="62"/>
      <c r="R172" s="62"/>
      <c r="S172" s="62"/>
      <c r="T172" s="62"/>
      <c r="U172" s="62"/>
      <c r="V172" s="62"/>
      <c r="W172" s="62"/>
      <c r="X172" s="62"/>
      <c r="Y172" s="62"/>
      <c r="Z172" s="62"/>
    </row>
    <row r="173" ht="15.75" customHeight="1">
      <c r="A173" s="74"/>
      <c r="B173" s="74"/>
      <c r="C173" s="74"/>
      <c r="D173" s="74"/>
      <c r="E173" s="2"/>
      <c r="F173" s="2"/>
      <c r="G173" s="2"/>
      <c r="H173" s="127"/>
      <c r="I173" s="62"/>
      <c r="J173" s="62"/>
      <c r="K173" s="62"/>
      <c r="L173" s="62"/>
      <c r="M173" s="62"/>
      <c r="N173" s="62"/>
      <c r="O173" s="62"/>
      <c r="P173" s="62"/>
      <c r="Q173" s="62"/>
      <c r="R173" s="62"/>
      <c r="S173" s="62"/>
      <c r="T173" s="62"/>
      <c r="U173" s="62"/>
      <c r="V173" s="62"/>
      <c r="W173" s="62"/>
      <c r="X173" s="62"/>
      <c r="Y173" s="62"/>
      <c r="Z173" s="62"/>
    </row>
    <row r="174" ht="15.75" customHeight="1">
      <c r="A174" s="74"/>
      <c r="B174" s="74"/>
      <c r="C174" s="74"/>
      <c r="D174" s="74"/>
      <c r="E174" s="2"/>
      <c r="F174" s="2"/>
      <c r="G174" s="2"/>
      <c r="H174" s="127"/>
      <c r="I174" s="62"/>
      <c r="J174" s="62"/>
      <c r="K174" s="62"/>
      <c r="L174" s="62"/>
      <c r="M174" s="62"/>
      <c r="N174" s="62"/>
      <c r="O174" s="62"/>
      <c r="P174" s="62"/>
      <c r="Q174" s="62"/>
      <c r="R174" s="62"/>
      <c r="S174" s="62"/>
      <c r="T174" s="62"/>
      <c r="U174" s="62"/>
      <c r="V174" s="62"/>
      <c r="W174" s="62"/>
      <c r="X174" s="62"/>
      <c r="Y174" s="62"/>
      <c r="Z174" s="62"/>
    </row>
    <row r="175" ht="15.75" customHeight="1">
      <c r="A175" s="74"/>
      <c r="B175" s="74"/>
      <c r="C175" s="74"/>
      <c r="D175" s="74"/>
      <c r="E175" s="2"/>
      <c r="F175" s="2"/>
      <c r="G175" s="2"/>
      <c r="H175" s="127"/>
      <c r="I175" s="62"/>
      <c r="J175" s="62"/>
      <c r="K175" s="62"/>
      <c r="L175" s="62"/>
      <c r="M175" s="62"/>
      <c r="N175" s="62"/>
      <c r="O175" s="62"/>
      <c r="P175" s="62"/>
      <c r="Q175" s="62"/>
      <c r="R175" s="62"/>
      <c r="S175" s="62"/>
      <c r="T175" s="62"/>
      <c r="U175" s="62"/>
      <c r="V175" s="62"/>
      <c r="W175" s="62"/>
      <c r="X175" s="62"/>
      <c r="Y175" s="62"/>
      <c r="Z175" s="62"/>
    </row>
    <row r="176" ht="15.75" customHeight="1">
      <c r="A176" s="74"/>
      <c r="B176" s="74"/>
      <c r="C176" s="74"/>
      <c r="D176" s="74"/>
      <c r="E176" s="2"/>
      <c r="F176" s="2"/>
      <c r="G176" s="2"/>
      <c r="H176" s="127"/>
      <c r="I176" s="62"/>
      <c r="J176" s="62"/>
      <c r="K176" s="62"/>
      <c r="L176" s="62"/>
      <c r="M176" s="62"/>
      <c r="N176" s="62"/>
      <c r="O176" s="62"/>
      <c r="P176" s="62"/>
      <c r="Q176" s="62"/>
      <c r="R176" s="62"/>
      <c r="S176" s="62"/>
      <c r="T176" s="62"/>
      <c r="U176" s="62"/>
      <c r="V176" s="62"/>
      <c r="W176" s="62"/>
      <c r="X176" s="62"/>
      <c r="Y176" s="62"/>
      <c r="Z176" s="62"/>
    </row>
    <row r="177" ht="15.75" customHeight="1">
      <c r="A177" s="74"/>
      <c r="B177" s="74"/>
      <c r="C177" s="74"/>
      <c r="D177" s="74"/>
      <c r="E177" s="2"/>
      <c r="F177" s="2"/>
      <c r="G177" s="2"/>
      <c r="H177" s="127"/>
      <c r="I177" s="62"/>
      <c r="J177" s="62"/>
      <c r="K177" s="62"/>
      <c r="L177" s="62"/>
      <c r="M177" s="62"/>
      <c r="N177" s="62"/>
      <c r="O177" s="62"/>
      <c r="P177" s="62"/>
      <c r="Q177" s="62"/>
      <c r="R177" s="62"/>
      <c r="S177" s="62"/>
      <c r="T177" s="62"/>
      <c r="U177" s="62"/>
      <c r="V177" s="62"/>
      <c r="W177" s="62"/>
      <c r="X177" s="62"/>
      <c r="Y177" s="62"/>
      <c r="Z177" s="62"/>
    </row>
    <row r="178" ht="15.75" customHeight="1">
      <c r="A178" s="74"/>
      <c r="B178" s="74"/>
      <c r="C178" s="74"/>
      <c r="D178" s="74"/>
      <c r="E178" s="2"/>
      <c r="F178" s="2"/>
      <c r="G178" s="2"/>
      <c r="H178" s="127"/>
      <c r="I178" s="62"/>
      <c r="J178" s="62"/>
      <c r="K178" s="62"/>
      <c r="L178" s="62"/>
      <c r="M178" s="62"/>
      <c r="N178" s="62"/>
      <c r="O178" s="62"/>
      <c r="P178" s="62"/>
      <c r="Q178" s="62"/>
      <c r="R178" s="62"/>
      <c r="S178" s="62"/>
      <c r="T178" s="62"/>
      <c r="U178" s="62"/>
      <c r="V178" s="62"/>
      <c r="W178" s="62"/>
      <c r="X178" s="62"/>
      <c r="Y178" s="62"/>
      <c r="Z178" s="62"/>
    </row>
    <row r="179" ht="15.75" customHeight="1">
      <c r="A179" s="74"/>
      <c r="B179" s="74"/>
      <c r="C179" s="74"/>
      <c r="D179" s="74"/>
      <c r="E179" s="2"/>
      <c r="F179" s="2"/>
      <c r="G179" s="2"/>
      <c r="H179" s="127"/>
      <c r="I179" s="62"/>
      <c r="J179" s="62"/>
      <c r="K179" s="62"/>
      <c r="L179" s="62"/>
      <c r="M179" s="62"/>
      <c r="N179" s="62"/>
      <c r="O179" s="62"/>
      <c r="P179" s="62"/>
      <c r="Q179" s="62"/>
      <c r="R179" s="62"/>
      <c r="S179" s="62"/>
      <c r="T179" s="62"/>
      <c r="U179" s="62"/>
      <c r="V179" s="62"/>
      <c r="W179" s="62"/>
      <c r="X179" s="62"/>
      <c r="Y179" s="62"/>
      <c r="Z179" s="62"/>
    </row>
    <row r="180" ht="15.75" customHeight="1">
      <c r="A180" s="74"/>
      <c r="B180" s="74"/>
      <c r="C180" s="74"/>
      <c r="D180" s="74"/>
      <c r="E180" s="2"/>
      <c r="F180" s="2"/>
      <c r="G180" s="2"/>
      <c r="H180" s="127"/>
      <c r="I180" s="62"/>
      <c r="J180" s="62"/>
      <c r="K180" s="62"/>
      <c r="L180" s="62"/>
      <c r="M180" s="62"/>
      <c r="N180" s="62"/>
      <c r="O180" s="62"/>
      <c r="P180" s="62"/>
      <c r="Q180" s="62"/>
      <c r="R180" s="62"/>
      <c r="S180" s="62"/>
      <c r="T180" s="62"/>
      <c r="U180" s="62"/>
      <c r="V180" s="62"/>
      <c r="W180" s="62"/>
      <c r="X180" s="62"/>
      <c r="Y180" s="62"/>
      <c r="Z180" s="62"/>
    </row>
    <row r="181" ht="15.75" customHeight="1">
      <c r="A181" s="74"/>
      <c r="B181" s="74"/>
      <c r="C181" s="74"/>
      <c r="D181" s="74"/>
      <c r="E181" s="2"/>
      <c r="F181" s="2"/>
      <c r="G181" s="2"/>
      <c r="H181" s="127"/>
      <c r="I181" s="62"/>
      <c r="J181" s="62"/>
      <c r="K181" s="62"/>
      <c r="L181" s="62"/>
      <c r="M181" s="62"/>
      <c r="N181" s="62"/>
      <c r="O181" s="62"/>
      <c r="P181" s="62"/>
      <c r="Q181" s="62"/>
      <c r="R181" s="62"/>
      <c r="S181" s="62"/>
      <c r="T181" s="62"/>
      <c r="U181" s="62"/>
      <c r="V181" s="62"/>
      <c r="W181" s="62"/>
      <c r="X181" s="62"/>
      <c r="Y181" s="62"/>
      <c r="Z181" s="62"/>
    </row>
    <row r="182" ht="15.75" customHeight="1">
      <c r="A182" s="74"/>
      <c r="B182" s="74"/>
      <c r="C182" s="74"/>
      <c r="D182" s="74"/>
      <c r="E182" s="2"/>
      <c r="F182" s="2"/>
      <c r="G182" s="2"/>
      <c r="H182" s="127"/>
      <c r="I182" s="62"/>
      <c r="J182" s="62"/>
      <c r="K182" s="62"/>
      <c r="L182" s="62"/>
      <c r="M182" s="62"/>
      <c r="N182" s="62"/>
      <c r="O182" s="62"/>
      <c r="P182" s="62"/>
      <c r="Q182" s="62"/>
      <c r="R182" s="62"/>
      <c r="S182" s="62"/>
      <c r="T182" s="62"/>
      <c r="U182" s="62"/>
      <c r="V182" s="62"/>
      <c r="W182" s="62"/>
      <c r="X182" s="62"/>
      <c r="Y182" s="62"/>
      <c r="Z182" s="62"/>
    </row>
    <row r="183" ht="15.75" customHeight="1">
      <c r="A183" s="74"/>
      <c r="B183" s="74"/>
      <c r="C183" s="74"/>
      <c r="D183" s="74"/>
      <c r="E183" s="2"/>
      <c r="F183" s="2"/>
      <c r="G183" s="2"/>
      <c r="H183" s="127"/>
      <c r="I183" s="62"/>
      <c r="J183" s="62"/>
      <c r="K183" s="62"/>
      <c r="L183" s="62"/>
      <c r="M183" s="62"/>
      <c r="N183" s="62"/>
      <c r="O183" s="62"/>
      <c r="P183" s="62"/>
      <c r="Q183" s="62"/>
      <c r="R183" s="62"/>
      <c r="S183" s="62"/>
      <c r="T183" s="62"/>
      <c r="U183" s="62"/>
      <c r="V183" s="62"/>
      <c r="W183" s="62"/>
      <c r="X183" s="62"/>
      <c r="Y183" s="62"/>
      <c r="Z183" s="62"/>
    </row>
    <row r="184" ht="15.75" customHeight="1">
      <c r="A184" s="74"/>
      <c r="B184" s="74"/>
      <c r="C184" s="74"/>
      <c r="D184" s="74"/>
      <c r="E184" s="2"/>
      <c r="F184" s="2"/>
      <c r="G184" s="2"/>
      <c r="H184" s="127"/>
      <c r="I184" s="62"/>
      <c r="J184" s="62"/>
      <c r="K184" s="62"/>
      <c r="L184" s="62"/>
      <c r="M184" s="62"/>
      <c r="N184" s="62"/>
      <c r="O184" s="62"/>
      <c r="P184" s="62"/>
      <c r="Q184" s="62"/>
      <c r="R184" s="62"/>
      <c r="S184" s="62"/>
      <c r="T184" s="62"/>
      <c r="U184" s="62"/>
      <c r="V184" s="62"/>
      <c r="W184" s="62"/>
      <c r="X184" s="62"/>
      <c r="Y184" s="62"/>
      <c r="Z184" s="62"/>
    </row>
    <row r="185" ht="15.75" customHeight="1">
      <c r="A185" s="74"/>
      <c r="B185" s="74"/>
      <c r="C185" s="74"/>
      <c r="D185" s="74"/>
      <c r="E185" s="2"/>
      <c r="F185" s="2"/>
      <c r="G185" s="2"/>
      <c r="H185" s="127"/>
      <c r="I185" s="62"/>
      <c r="J185" s="62"/>
      <c r="K185" s="62"/>
      <c r="L185" s="62"/>
      <c r="M185" s="62"/>
      <c r="N185" s="62"/>
      <c r="O185" s="62"/>
      <c r="P185" s="62"/>
      <c r="Q185" s="62"/>
      <c r="R185" s="62"/>
      <c r="S185" s="62"/>
      <c r="T185" s="62"/>
      <c r="U185" s="62"/>
      <c r="V185" s="62"/>
      <c r="W185" s="62"/>
      <c r="X185" s="62"/>
      <c r="Y185" s="62"/>
      <c r="Z185" s="62"/>
    </row>
    <row r="186" ht="15.75" customHeight="1">
      <c r="A186" s="74"/>
      <c r="B186" s="74"/>
      <c r="C186" s="74"/>
      <c r="D186" s="74"/>
      <c r="E186" s="2"/>
      <c r="F186" s="2"/>
      <c r="G186" s="2"/>
      <c r="H186" s="127"/>
      <c r="I186" s="62"/>
      <c r="J186" s="62"/>
      <c r="K186" s="62"/>
      <c r="L186" s="62"/>
      <c r="M186" s="62"/>
      <c r="N186" s="62"/>
      <c r="O186" s="62"/>
      <c r="P186" s="62"/>
      <c r="Q186" s="62"/>
      <c r="R186" s="62"/>
      <c r="S186" s="62"/>
      <c r="T186" s="62"/>
      <c r="U186" s="62"/>
      <c r="V186" s="62"/>
      <c r="W186" s="62"/>
      <c r="X186" s="62"/>
      <c r="Y186" s="62"/>
      <c r="Z186" s="62"/>
    </row>
    <row r="187" ht="15.75" customHeight="1">
      <c r="A187" s="74"/>
      <c r="B187" s="74"/>
      <c r="C187" s="74"/>
      <c r="D187" s="74"/>
      <c r="E187" s="2"/>
      <c r="F187" s="2"/>
      <c r="G187" s="2"/>
      <c r="H187" s="127"/>
      <c r="I187" s="62"/>
      <c r="J187" s="62"/>
      <c r="K187" s="62"/>
      <c r="L187" s="62"/>
      <c r="M187" s="62"/>
      <c r="N187" s="62"/>
      <c r="O187" s="62"/>
      <c r="P187" s="62"/>
      <c r="Q187" s="62"/>
      <c r="R187" s="62"/>
      <c r="S187" s="62"/>
      <c r="T187" s="62"/>
      <c r="U187" s="62"/>
      <c r="V187" s="62"/>
      <c r="W187" s="62"/>
      <c r="X187" s="62"/>
      <c r="Y187" s="62"/>
      <c r="Z187" s="62"/>
    </row>
    <row r="188" ht="15.75" customHeight="1">
      <c r="A188" s="74"/>
      <c r="B188" s="74"/>
      <c r="C188" s="74"/>
      <c r="D188" s="74"/>
      <c r="E188" s="2"/>
      <c r="F188" s="2"/>
      <c r="G188" s="2"/>
      <c r="H188" s="127"/>
      <c r="I188" s="62"/>
      <c r="J188" s="62"/>
      <c r="K188" s="62"/>
      <c r="L188" s="62"/>
      <c r="M188" s="62"/>
      <c r="N188" s="62"/>
      <c r="O188" s="62"/>
      <c r="P188" s="62"/>
      <c r="Q188" s="62"/>
      <c r="R188" s="62"/>
      <c r="S188" s="62"/>
      <c r="T188" s="62"/>
      <c r="U188" s="62"/>
      <c r="V188" s="62"/>
      <c r="W188" s="62"/>
      <c r="X188" s="62"/>
      <c r="Y188" s="62"/>
      <c r="Z188" s="62"/>
    </row>
    <row r="189" ht="15.75" customHeight="1">
      <c r="A189" s="74"/>
      <c r="B189" s="74"/>
      <c r="C189" s="74"/>
      <c r="D189" s="74"/>
      <c r="E189" s="2"/>
      <c r="F189" s="2"/>
      <c r="G189" s="2"/>
      <c r="H189" s="127"/>
      <c r="I189" s="62"/>
      <c r="J189" s="62"/>
      <c r="K189" s="62"/>
      <c r="L189" s="62"/>
      <c r="M189" s="62"/>
      <c r="N189" s="62"/>
      <c r="O189" s="62"/>
      <c r="P189" s="62"/>
      <c r="Q189" s="62"/>
      <c r="R189" s="62"/>
      <c r="S189" s="62"/>
      <c r="T189" s="62"/>
      <c r="U189" s="62"/>
      <c r="V189" s="62"/>
      <c r="W189" s="62"/>
      <c r="X189" s="62"/>
      <c r="Y189" s="62"/>
      <c r="Z189" s="62"/>
    </row>
    <row r="190" ht="15.75" customHeight="1">
      <c r="A190" s="74"/>
      <c r="B190" s="74"/>
      <c r="C190" s="74"/>
      <c r="D190" s="74"/>
      <c r="E190" s="2"/>
      <c r="F190" s="2"/>
      <c r="G190" s="2"/>
      <c r="H190" s="127"/>
      <c r="I190" s="62"/>
      <c r="J190" s="62"/>
      <c r="K190" s="62"/>
      <c r="L190" s="62"/>
      <c r="M190" s="62"/>
      <c r="N190" s="62"/>
      <c r="O190" s="62"/>
      <c r="P190" s="62"/>
      <c r="Q190" s="62"/>
      <c r="R190" s="62"/>
      <c r="S190" s="62"/>
      <c r="T190" s="62"/>
      <c r="U190" s="62"/>
      <c r="V190" s="62"/>
      <c r="W190" s="62"/>
      <c r="X190" s="62"/>
      <c r="Y190" s="62"/>
      <c r="Z190" s="62"/>
    </row>
    <row r="191" ht="15.75" customHeight="1">
      <c r="A191" s="74"/>
      <c r="B191" s="74"/>
      <c r="C191" s="74"/>
      <c r="D191" s="74"/>
      <c r="E191" s="2"/>
      <c r="F191" s="2"/>
      <c r="G191" s="2"/>
      <c r="H191" s="127"/>
      <c r="I191" s="62"/>
      <c r="J191" s="62"/>
      <c r="K191" s="62"/>
      <c r="L191" s="62"/>
      <c r="M191" s="62"/>
      <c r="N191" s="62"/>
      <c r="O191" s="62"/>
      <c r="P191" s="62"/>
      <c r="Q191" s="62"/>
      <c r="R191" s="62"/>
      <c r="S191" s="62"/>
      <c r="T191" s="62"/>
      <c r="U191" s="62"/>
      <c r="V191" s="62"/>
      <c r="W191" s="62"/>
      <c r="X191" s="62"/>
      <c r="Y191" s="62"/>
      <c r="Z191" s="62"/>
    </row>
    <row r="192" ht="15.75" customHeight="1">
      <c r="A192" s="74"/>
      <c r="B192" s="74"/>
      <c r="C192" s="74"/>
      <c r="D192" s="74"/>
      <c r="E192" s="2"/>
      <c r="F192" s="2"/>
      <c r="G192" s="2"/>
      <c r="H192" s="127"/>
      <c r="I192" s="62"/>
      <c r="J192" s="62"/>
      <c r="K192" s="62"/>
      <c r="L192" s="62"/>
      <c r="M192" s="62"/>
      <c r="N192" s="62"/>
      <c r="O192" s="62"/>
      <c r="P192" s="62"/>
      <c r="Q192" s="62"/>
      <c r="R192" s="62"/>
      <c r="S192" s="62"/>
      <c r="T192" s="62"/>
      <c r="U192" s="62"/>
      <c r="V192" s="62"/>
      <c r="W192" s="62"/>
      <c r="X192" s="62"/>
      <c r="Y192" s="62"/>
      <c r="Z192" s="62"/>
    </row>
    <row r="193" ht="15.75" customHeight="1">
      <c r="A193" s="74"/>
      <c r="B193" s="74"/>
      <c r="C193" s="74"/>
      <c r="D193" s="74"/>
      <c r="E193" s="2"/>
      <c r="F193" s="2"/>
      <c r="G193" s="2"/>
      <c r="H193" s="127"/>
      <c r="I193" s="62"/>
      <c r="J193" s="62"/>
      <c r="K193" s="62"/>
      <c r="L193" s="62"/>
      <c r="M193" s="62"/>
      <c r="N193" s="62"/>
      <c r="O193" s="62"/>
      <c r="P193" s="62"/>
      <c r="Q193" s="62"/>
      <c r="R193" s="62"/>
      <c r="S193" s="62"/>
      <c r="T193" s="62"/>
      <c r="U193" s="62"/>
      <c r="V193" s="62"/>
      <c r="W193" s="62"/>
      <c r="X193" s="62"/>
      <c r="Y193" s="62"/>
      <c r="Z193" s="62"/>
    </row>
    <row r="194" ht="15.75" customHeight="1">
      <c r="A194" s="74"/>
      <c r="B194" s="74"/>
      <c r="C194" s="74"/>
      <c r="D194" s="74"/>
      <c r="E194" s="2"/>
      <c r="F194" s="2"/>
      <c r="G194" s="2"/>
      <c r="H194" s="127"/>
      <c r="I194" s="62"/>
      <c r="J194" s="62"/>
      <c r="K194" s="62"/>
      <c r="L194" s="62"/>
      <c r="M194" s="62"/>
      <c r="N194" s="62"/>
      <c r="O194" s="62"/>
      <c r="P194" s="62"/>
      <c r="Q194" s="62"/>
      <c r="R194" s="62"/>
      <c r="S194" s="62"/>
      <c r="T194" s="62"/>
      <c r="U194" s="62"/>
      <c r="V194" s="62"/>
      <c r="W194" s="62"/>
      <c r="X194" s="62"/>
      <c r="Y194" s="62"/>
      <c r="Z194" s="62"/>
    </row>
    <row r="195" ht="15.75" customHeight="1">
      <c r="A195" s="74"/>
      <c r="B195" s="74"/>
      <c r="C195" s="74"/>
      <c r="D195" s="74"/>
      <c r="E195" s="2"/>
      <c r="F195" s="2"/>
      <c r="G195" s="2"/>
      <c r="H195" s="127"/>
      <c r="I195" s="62"/>
      <c r="J195" s="62"/>
      <c r="K195" s="62"/>
      <c r="L195" s="62"/>
      <c r="M195" s="62"/>
      <c r="N195" s="62"/>
      <c r="O195" s="62"/>
      <c r="P195" s="62"/>
      <c r="Q195" s="62"/>
      <c r="R195" s="62"/>
      <c r="S195" s="62"/>
      <c r="T195" s="62"/>
      <c r="U195" s="62"/>
      <c r="V195" s="62"/>
      <c r="W195" s="62"/>
      <c r="X195" s="62"/>
      <c r="Y195" s="62"/>
      <c r="Z195" s="62"/>
    </row>
    <row r="196" ht="15.75" customHeight="1">
      <c r="A196" s="74"/>
      <c r="B196" s="74"/>
      <c r="C196" s="74"/>
      <c r="D196" s="74"/>
      <c r="E196" s="2"/>
      <c r="F196" s="2"/>
      <c r="G196" s="2"/>
      <c r="H196" s="127"/>
      <c r="I196" s="62"/>
      <c r="J196" s="62"/>
      <c r="K196" s="62"/>
      <c r="L196" s="62"/>
      <c r="M196" s="62"/>
      <c r="N196" s="62"/>
      <c r="O196" s="62"/>
      <c r="P196" s="62"/>
      <c r="Q196" s="62"/>
      <c r="R196" s="62"/>
      <c r="S196" s="62"/>
      <c r="T196" s="62"/>
      <c r="U196" s="62"/>
      <c r="V196" s="62"/>
      <c r="W196" s="62"/>
      <c r="X196" s="62"/>
      <c r="Y196" s="62"/>
      <c r="Z196" s="62"/>
    </row>
    <row r="197" ht="15.75" customHeight="1">
      <c r="A197" s="74"/>
      <c r="B197" s="74"/>
      <c r="C197" s="74"/>
      <c r="D197" s="74"/>
      <c r="E197" s="2"/>
      <c r="F197" s="2"/>
      <c r="G197" s="2"/>
      <c r="H197" s="127"/>
      <c r="I197" s="62"/>
      <c r="J197" s="62"/>
      <c r="K197" s="62"/>
      <c r="L197" s="62"/>
      <c r="M197" s="62"/>
      <c r="N197" s="62"/>
      <c r="O197" s="62"/>
      <c r="P197" s="62"/>
      <c r="Q197" s="62"/>
      <c r="R197" s="62"/>
      <c r="S197" s="62"/>
      <c r="T197" s="62"/>
      <c r="U197" s="62"/>
      <c r="V197" s="62"/>
      <c r="W197" s="62"/>
      <c r="X197" s="62"/>
      <c r="Y197" s="62"/>
      <c r="Z197" s="62"/>
    </row>
    <row r="198" ht="15.75" customHeight="1">
      <c r="A198" s="74"/>
      <c r="B198" s="74"/>
      <c r="C198" s="74"/>
      <c r="D198" s="74"/>
      <c r="E198" s="2"/>
      <c r="F198" s="2"/>
      <c r="G198" s="2"/>
      <c r="H198" s="127"/>
      <c r="I198" s="62"/>
      <c r="J198" s="62"/>
      <c r="K198" s="62"/>
      <c r="L198" s="62"/>
      <c r="M198" s="62"/>
      <c r="N198" s="62"/>
      <c r="O198" s="62"/>
      <c r="P198" s="62"/>
      <c r="Q198" s="62"/>
      <c r="R198" s="62"/>
      <c r="S198" s="62"/>
      <c r="T198" s="62"/>
      <c r="U198" s="62"/>
      <c r="V198" s="62"/>
      <c r="W198" s="62"/>
      <c r="X198" s="62"/>
      <c r="Y198" s="62"/>
      <c r="Z198" s="62"/>
    </row>
    <row r="199" ht="15.75" customHeight="1">
      <c r="A199" s="74"/>
      <c r="B199" s="74"/>
      <c r="C199" s="74"/>
      <c r="D199" s="74"/>
      <c r="E199" s="2"/>
      <c r="F199" s="2"/>
      <c r="G199" s="2"/>
      <c r="H199" s="127"/>
      <c r="I199" s="62"/>
      <c r="J199" s="62"/>
      <c r="K199" s="62"/>
      <c r="L199" s="62"/>
      <c r="M199" s="62"/>
      <c r="N199" s="62"/>
      <c r="O199" s="62"/>
      <c r="P199" s="62"/>
      <c r="Q199" s="62"/>
      <c r="R199" s="62"/>
      <c r="S199" s="62"/>
      <c r="T199" s="62"/>
      <c r="U199" s="62"/>
      <c r="V199" s="62"/>
      <c r="W199" s="62"/>
      <c r="X199" s="62"/>
      <c r="Y199" s="62"/>
      <c r="Z199" s="62"/>
    </row>
    <row r="200" ht="15.75" customHeight="1">
      <c r="A200" s="74"/>
      <c r="B200" s="74"/>
      <c r="C200" s="74"/>
      <c r="D200" s="74"/>
      <c r="E200" s="2"/>
      <c r="F200" s="2"/>
      <c r="G200" s="2"/>
      <c r="H200" s="127"/>
      <c r="I200" s="62"/>
      <c r="J200" s="62"/>
      <c r="K200" s="62"/>
      <c r="L200" s="62"/>
      <c r="M200" s="62"/>
      <c r="N200" s="62"/>
      <c r="O200" s="62"/>
      <c r="P200" s="62"/>
      <c r="Q200" s="62"/>
      <c r="R200" s="62"/>
      <c r="S200" s="62"/>
      <c r="T200" s="62"/>
      <c r="U200" s="62"/>
      <c r="V200" s="62"/>
      <c r="W200" s="62"/>
      <c r="X200" s="62"/>
      <c r="Y200" s="62"/>
      <c r="Z200" s="62"/>
    </row>
    <row r="201" ht="15.75" customHeight="1">
      <c r="A201" s="74"/>
      <c r="B201" s="74"/>
      <c r="C201" s="74"/>
      <c r="D201" s="74"/>
      <c r="E201" s="2"/>
      <c r="F201" s="2"/>
      <c r="G201" s="2"/>
      <c r="H201" s="127"/>
      <c r="I201" s="62"/>
      <c r="J201" s="62"/>
      <c r="K201" s="62"/>
      <c r="L201" s="62"/>
      <c r="M201" s="62"/>
      <c r="N201" s="62"/>
      <c r="O201" s="62"/>
      <c r="P201" s="62"/>
      <c r="Q201" s="62"/>
      <c r="R201" s="62"/>
      <c r="S201" s="62"/>
      <c r="T201" s="62"/>
      <c r="U201" s="62"/>
      <c r="V201" s="62"/>
      <c r="W201" s="62"/>
      <c r="X201" s="62"/>
      <c r="Y201" s="62"/>
      <c r="Z201" s="62"/>
    </row>
    <row r="202" ht="15.75" customHeight="1">
      <c r="A202" s="74"/>
      <c r="B202" s="74"/>
      <c r="C202" s="74"/>
      <c r="D202" s="74"/>
      <c r="E202" s="2"/>
      <c r="F202" s="2"/>
      <c r="G202" s="2"/>
      <c r="H202" s="127"/>
      <c r="I202" s="62"/>
      <c r="J202" s="62"/>
      <c r="K202" s="62"/>
      <c r="L202" s="62"/>
      <c r="M202" s="62"/>
      <c r="N202" s="62"/>
      <c r="O202" s="62"/>
      <c r="P202" s="62"/>
      <c r="Q202" s="62"/>
      <c r="R202" s="62"/>
      <c r="S202" s="62"/>
      <c r="T202" s="62"/>
      <c r="U202" s="62"/>
      <c r="V202" s="62"/>
      <c r="W202" s="62"/>
      <c r="X202" s="62"/>
      <c r="Y202" s="62"/>
      <c r="Z202" s="62"/>
    </row>
    <row r="203" ht="15.75" customHeight="1">
      <c r="A203" s="74"/>
      <c r="B203" s="74"/>
      <c r="C203" s="74"/>
      <c r="D203" s="74"/>
      <c r="E203" s="2"/>
      <c r="F203" s="2"/>
      <c r="G203" s="2"/>
      <c r="H203" s="127"/>
      <c r="I203" s="62"/>
      <c r="J203" s="62"/>
      <c r="K203" s="62"/>
      <c r="L203" s="62"/>
      <c r="M203" s="62"/>
      <c r="N203" s="62"/>
      <c r="O203" s="62"/>
      <c r="P203" s="62"/>
      <c r="Q203" s="62"/>
      <c r="R203" s="62"/>
      <c r="S203" s="62"/>
      <c r="T203" s="62"/>
      <c r="U203" s="62"/>
      <c r="V203" s="62"/>
      <c r="W203" s="62"/>
      <c r="X203" s="62"/>
      <c r="Y203" s="62"/>
      <c r="Z203" s="62"/>
    </row>
    <row r="204" ht="15.75" customHeight="1">
      <c r="A204" s="74"/>
      <c r="B204" s="74"/>
      <c r="C204" s="74"/>
      <c r="D204" s="74"/>
      <c r="E204" s="2"/>
      <c r="F204" s="2"/>
      <c r="G204" s="2"/>
      <c r="H204" s="127"/>
      <c r="I204" s="62"/>
      <c r="J204" s="62"/>
      <c r="K204" s="62"/>
      <c r="L204" s="62"/>
      <c r="M204" s="62"/>
      <c r="N204" s="62"/>
      <c r="O204" s="62"/>
      <c r="P204" s="62"/>
      <c r="Q204" s="62"/>
      <c r="R204" s="62"/>
      <c r="S204" s="62"/>
      <c r="T204" s="62"/>
      <c r="U204" s="62"/>
      <c r="V204" s="62"/>
      <c r="W204" s="62"/>
      <c r="X204" s="62"/>
      <c r="Y204" s="62"/>
      <c r="Z204" s="62"/>
    </row>
    <row r="205" ht="15.75" customHeight="1">
      <c r="A205" s="74"/>
      <c r="B205" s="74"/>
      <c r="C205" s="74"/>
      <c r="D205" s="74"/>
      <c r="E205" s="2"/>
      <c r="F205" s="2"/>
      <c r="G205" s="2"/>
      <c r="H205" s="127"/>
      <c r="I205" s="62"/>
      <c r="J205" s="62"/>
      <c r="K205" s="62"/>
      <c r="L205" s="62"/>
      <c r="M205" s="62"/>
      <c r="N205" s="62"/>
      <c r="O205" s="62"/>
      <c r="P205" s="62"/>
      <c r="Q205" s="62"/>
      <c r="R205" s="62"/>
      <c r="S205" s="62"/>
      <c r="T205" s="62"/>
      <c r="U205" s="62"/>
      <c r="V205" s="62"/>
      <c r="W205" s="62"/>
      <c r="X205" s="62"/>
      <c r="Y205" s="62"/>
      <c r="Z205" s="62"/>
    </row>
    <row r="206" ht="15.75" customHeight="1">
      <c r="A206" s="74"/>
      <c r="B206" s="74"/>
      <c r="C206" s="74"/>
      <c r="D206" s="74"/>
      <c r="E206" s="2"/>
      <c r="F206" s="2"/>
      <c r="G206" s="2"/>
      <c r="H206" s="127"/>
      <c r="I206" s="62"/>
      <c r="J206" s="62"/>
      <c r="K206" s="62"/>
      <c r="L206" s="62"/>
      <c r="M206" s="62"/>
      <c r="N206" s="62"/>
      <c r="O206" s="62"/>
      <c r="P206" s="62"/>
      <c r="Q206" s="62"/>
      <c r="R206" s="62"/>
      <c r="S206" s="62"/>
      <c r="T206" s="62"/>
      <c r="U206" s="62"/>
      <c r="V206" s="62"/>
      <c r="W206" s="62"/>
      <c r="X206" s="62"/>
      <c r="Y206" s="62"/>
      <c r="Z206" s="62"/>
    </row>
    <row r="207" ht="15.75" customHeight="1">
      <c r="A207" s="74"/>
      <c r="B207" s="74"/>
      <c r="C207" s="74"/>
      <c r="D207" s="74"/>
      <c r="E207" s="2"/>
      <c r="F207" s="2"/>
      <c r="G207" s="2"/>
      <c r="H207" s="127"/>
      <c r="I207" s="62"/>
      <c r="J207" s="62"/>
      <c r="K207" s="62"/>
      <c r="L207" s="62"/>
      <c r="M207" s="62"/>
      <c r="N207" s="62"/>
      <c r="O207" s="62"/>
      <c r="P207" s="62"/>
      <c r="Q207" s="62"/>
      <c r="R207" s="62"/>
      <c r="S207" s="62"/>
      <c r="T207" s="62"/>
      <c r="U207" s="62"/>
      <c r="V207" s="62"/>
      <c r="W207" s="62"/>
      <c r="X207" s="62"/>
      <c r="Y207" s="62"/>
      <c r="Z207" s="62"/>
    </row>
    <row r="208" ht="15.75" customHeight="1">
      <c r="A208" s="74"/>
      <c r="B208" s="74"/>
      <c r="C208" s="74"/>
      <c r="D208" s="74"/>
      <c r="E208" s="2"/>
      <c r="F208" s="2"/>
      <c r="G208" s="2"/>
      <c r="H208" s="127"/>
      <c r="I208" s="62"/>
      <c r="J208" s="62"/>
      <c r="K208" s="62"/>
      <c r="L208" s="62"/>
      <c r="M208" s="62"/>
      <c r="N208" s="62"/>
      <c r="O208" s="62"/>
      <c r="P208" s="62"/>
      <c r="Q208" s="62"/>
      <c r="R208" s="62"/>
      <c r="S208" s="62"/>
      <c r="T208" s="62"/>
      <c r="U208" s="62"/>
      <c r="V208" s="62"/>
      <c r="W208" s="62"/>
      <c r="X208" s="62"/>
      <c r="Y208" s="62"/>
      <c r="Z208" s="62"/>
    </row>
    <row r="209" ht="15.75" customHeight="1">
      <c r="A209" s="74"/>
      <c r="B209" s="74"/>
      <c r="C209" s="74"/>
      <c r="D209" s="74"/>
      <c r="E209" s="2"/>
      <c r="F209" s="2"/>
      <c r="G209" s="2"/>
      <c r="H209" s="127"/>
      <c r="I209" s="62"/>
      <c r="J209" s="62"/>
      <c r="K209" s="62"/>
      <c r="L209" s="62"/>
      <c r="M209" s="62"/>
      <c r="N209" s="62"/>
      <c r="O209" s="62"/>
      <c r="P209" s="62"/>
      <c r="Q209" s="62"/>
      <c r="R209" s="62"/>
      <c r="S209" s="62"/>
      <c r="T209" s="62"/>
      <c r="U209" s="62"/>
      <c r="V209" s="62"/>
      <c r="W209" s="62"/>
      <c r="X209" s="62"/>
      <c r="Y209" s="62"/>
      <c r="Z209" s="62"/>
    </row>
    <row r="210" ht="15.75" customHeight="1">
      <c r="A210" s="74"/>
      <c r="B210" s="74"/>
      <c r="C210" s="74"/>
      <c r="D210" s="74"/>
      <c r="E210" s="2"/>
      <c r="F210" s="2"/>
      <c r="G210" s="2"/>
      <c r="H210" s="127"/>
      <c r="I210" s="62"/>
      <c r="J210" s="62"/>
      <c r="K210" s="62"/>
      <c r="L210" s="62"/>
      <c r="M210" s="62"/>
      <c r="N210" s="62"/>
      <c r="O210" s="62"/>
      <c r="P210" s="62"/>
      <c r="Q210" s="62"/>
      <c r="R210" s="62"/>
      <c r="S210" s="62"/>
      <c r="T210" s="62"/>
      <c r="U210" s="62"/>
      <c r="V210" s="62"/>
      <c r="W210" s="62"/>
      <c r="X210" s="62"/>
      <c r="Y210" s="62"/>
      <c r="Z210" s="62"/>
    </row>
    <row r="211" ht="15.75" customHeight="1">
      <c r="A211" s="74"/>
      <c r="B211" s="74"/>
      <c r="C211" s="74"/>
      <c r="D211" s="74"/>
      <c r="E211" s="2"/>
      <c r="F211" s="2"/>
      <c r="G211" s="2"/>
      <c r="H211" s="127"/>
      <c r="I211" s="62"/>
      <c r="J211" s="62"/>
      <c r="K211" s="62"/>
      <c r="L211" s="62"/>
      <c r="M211" s="62"/>
      <c r="N211" s="62"/>
      <c r="O211" s="62"/>
      <c r="P211" s="62"/>
      <c r="Q211" s="62"/>
      <c r="R211" s="62"/>
      <c r="S211" s="62"/>
      <c r="T211" s="62"/>
      <c r="U211" s="62"/>
      <c r="V211" s="62"/>
      <c r="W211" s="62"/>
      <c r="X211" s="62"/>
      <c r="Y211" s="62"/>
      <c r="Z211" s="62"/>
    </row>
    <row r="212" ht="15.75" customHeight="1">
      <c r="A212" s="74"/>
      <c r="B212" s="74"/>
      <c r="C212" s="74"/>
      <c r="D212" s="74"/>
      <c r="E212" s="2"/>
      <c r="F212" s="2"/>
      <c r="G212" s="2"/>
      <c r="H212" s="127"/>
      <c r="I212" s="62"/>
      <c r="J212" s="62"/>
      <c r="K212" s="62"/>
      <c r="L212" s="62"/>
      <c r="M212" s="62"/>
      <c r="N212" s="62"/>
      <c r="O212" s="62"/>
      <c r="P212" s="62"/>
      <c r="Q212" s="62"/>
      <c r="R212" s="62"/>
      <c r="S212" s="62"/>
      <c r="T212" s="62"/>
      <c r="U212" s="62"/>
      <c r="V212" s="62"/>
      <c r="W212" s="62"/>
      <c r="X212" s="62"/>
      <c r="Y212" s="62"/>
      <c r="Z212" s="62"/>
    </row>
    <row r="213" ht="15.75" customHeight="1">
      <c r="A213" s="74"/>
      <c r="B213" s="74"/>
      <c r="C213" s="74"/>
      <c r="D213" s="74"/>
      <c r="E213" s="2"/>
      <c r="F213" s="2"/>
      <c r="G213" s="2"/>
      <c r="H213" s="127"/>
      <c r="I213" s="62"/>
      <c r="J213" s="62"/>
      <c r="K213" s="62"/>
      <c r="L213" s="62"/>
      <c r="M213" s="62"/>
      <c r="N213" s="62"/>
      <c r="O213" s="62"/>
      <c r="P213" s="62"/>
      <c r="Q213" s="62"/>
      <c r="R213" s="62"/>
      <c r="S213" s="62"/>
      <c r="T213" s="62"/>
      <c r="U213" s="62"/>
      <c r="V213" s="62"/>
      <c r="W213" s="62"/>
      <c r="X213" s="62"/>
      <c r="Y213" s="62"/>
      <c r="Z213" s="62"/>
    </row>
    <row r="214" ht="15.75" customHeight="1">
      <c r="A214" s="74"/>
      <c r="B214" s="74"/>
      <c r="C214" s="74"/>
      <c r="D214" s="74"/>
      <c r="E214" s="2"/>
      <c r="F214" s="2"/>
      <c r="G214" s="2"/>
      <c r="H214" s="127"/>
      <c r="I214" s="62"/>
      <c r="J214" s="62"/>
      <c r="K214" s="62"/>
      <c r="L214" s="62"/>
      <c r="M214" s="62"/>
      <c r="N214" s="62"/>
      <c r="O214" s="62"/>
      <c r="P214" s="62"/>
      <c r="Q214" s="62"/>
      <c r="R214" s="62"/>
      <c r="S214" s="62"/>
      <c r="T214" s="62"/>
      <c r="U214" s="62"/>
      <c r="V214" s="62"/>
      <c r="W214" s="62"/>
      <c r="X214" s="62"/>
      <c r="Y214" s="62"/>
      <c r="Z214" s="62"/>
    </row>
    <row r="215" ht="15.75" customHeight="1">
      <c r="A215" s="74"/>
      <c r="B215" s="74"/>
      <c r="C215" s="74"/>
      <c r="D215" s="74"/>
      <c r="E215" s="2"/>
      <c r="F215" s="2"/>
      <c r="G215" s="2"/>
      <c r="H215" s="127"/>
      <c r="I215" s="62"/>
      <c r="J215" s="62"/>
      <c r="K215" s="62"/>
      <c r="L215" s="62"/>
      <c r="M215" s="62"/>
      <c r="N215" s="62"/>
      <c r="O215" s="62"/>
      <c r="P215" s="62"/>
      <c r="Q215" s="62"/>
      <c r="R215" s="62"/>
      <c r="S215" s="62"/>
      <c r="T215" s="62"/>
      <c r="U215" s="62"/>
      <c r="V215" s="62"/>
      <c r="W215" s="62"/>
      <c r="X215" s="62"/>
      <c r="Y215" s="62"/>
      <c r="Z215" s="62"/>
    </row>
    <row r="216" ht="15.75" customHeight="1">
      <c r="A216" s="74"/>
      <c r="B216" s="74"/>
      <c r="C216" s="74"/>
      <c r="D216" s="74"/>
      <c r="E216" s="2"/>
      <c r="F216" s="2"/>
      <c r="G216" s="2"/>
      <c r="H216" s="127"/>
      <c r="I216" s="62"/>
      <c r="J216" s="62"/>
      <c r="K216" s="62"/>
      <c r="L216" s="62"/>
      <c r="M216" s="62"/>
      <c r="N216" s="62"/>
      <c r="O216" s="62"/>
      <c r="P216" s="62"/>
      <c r="Q216" s="62"/>
      <c r="R216" s="62"/>
      <c r="S216" s="62"/>
      <c r="T216" s="62"/>
      <c r="U216" s="62"/>
      <c r="V216" s="62"/>
      <c r="W216" s="62"/>
      <c r="X216" s="62"/>
      <c r="Y216" s="62"/>
      <c r="Z216" s="62"/>
    </row>
    <row r="217" ht="15.75" customHeight="1">
      <c r="A217" s="74"/>
      <c r="B217" s="74"/>
      <c r="C217" s="74"/>
      <c r="D217" s="74"/>
      <c r="E217" s="2"/>
      <c r="F217" s="2"/>
      <c r="G217" s="2"/>
      <c r="H217" s="127"/>
      <c r="I217" s="62"/>
      <c r="J217" s="62"/>
      <c r="K217" s="62"/>
      <c r="L217" s="62"/>
      <c r="M217" s="62"/>
      <c r="N217" s="62"/>
      <c r="O217" s="62"/>
      <c r="P217" s="62"/>
      <c r="Q217" s="62"/>
      <c r="R217" s="62"/>
      <c r="S217" s="62"/>
      <c r="T217" s="62"/>
      <c r="U217" s="62"/>
      <c r="V217" s="62"/>
      <c r="W217" s="62"/>
      <c r="X217" s="62"/>
      <c r="Y217" s="62"/>
      <c r="Z217" s="62"/>
    </row>
    <row r="218" ht="15.75" customHeight="1">
      <c r="A218" s="74"/>
      <c r="B218" s="74"/>
      <c r="C218" s="74"/>
      <c r="D218" s="74"/>
      <c r="E218" s="2"/>
      <c r="F218" s="2"/>
      <c r="G218" s="2"/>
      <c r="H218" s="127"/>
      <c r="I218" s="62"/>
      <c r="J218" s="62"/>
      <c r="K218" s="62"/>
      <c r="L218" s="62"/>
      <c r="M218" s="62"/>
      <c r="N218" s="62"/>
      <c r="O218" s="62"/>
      <c r="P218" s="62"/>
      <c r="Q218" s="62"/>
      <c r="R218" s="62"/>
      <c r="S218" s="62"/>
      <c r="T218" s="62"/>
      <c r="U218" s="62"/>
      <c r="V218" s="62"/>
      <c r="W218" s="62"/>
      <c r="X218" s="62"/>
      <c r="Y218" s="62"/>
      <c r="Z218" s="62"/>
    </row>
    <row r="219" ht="15.75" customHeight="1">
      <c r="A219" s="74"/>
      <c r="B219" s="74"/>
      <c r="C219" s="74"/>
      <c r="D219" s="74"/>
      <c r="E219" s="2"/>
      <c r="F219" s="2"/>
      <c r="G219" s="2"/>
      <c r="H219" s="127"/>
      <c r="I219" s="62"/>
      <c r="J219" s="62"/>
      <c r="K219" s="62"/>
      <c r="L219" s="62"/>
      <c r="M219" s="62"/>
      <c r="N219" s="62"/>
      <c r="O219" s="62"/>
      <c r="P219" s="62"/>
      <c r="Q219" s="62"/>
      <c r="R219" s="62"/>
      <c r="S219" s="62"/>
      <c r="T219" s="62"/>
      <c r="U219" s="62"/>
      <c r="V219" s="62"/>
      <c r="W219" s="62"/>
      <c r="X219" s="62"/>
      <c r="Y219" s="62"/>
      <c r="Z219" s="62"/>
    </row>
    <row r="220" ht="15.75" customHeight="1">
      <c r="A220" s="74"/>
      <c r="B220" s="74"/>
      <c r="C220" s="74"/>
      <c r="D220" s="74"/>
      <c r="E220" s="2"/>
      <c r="F220" s="2"/>
      <c r="G220" s="2"/>
      <c r="H220" s="127"/>
      <c r="I220" s="62"/>
      <c r="J220" s="62"/>
      <c r="K220" s="62"/>
      <c r="L220" s="62"/>
      <c r="M220" s="62"/>
      <c r="N220" s="62"/>
      <c r="O220" s="62"/>
      <c r="P220" s="62"/>
      <c r="Q220" s="62"/>
      <c r="R220" s="62"/>
      <c r="S220" s="62"/>
      <c r="T220" s="62"/>
      <c r="U220" s="62"/>
      <c r="V220" s="62"/>
      <c r="W220" s="62"/>
      <c r="X220" s="62"/>
      <c r="Y220" s="62"/>
      <c r="Z220" s="62"/>
    </row>
    <row r="221" ht="15.75" customHeight="1">
      <c r="A221" s="74"/>
      <c r="B221" s="74"/>
      <c r="C221" s="74"/>
      <c r="D221" s="74"/>
      <c r="E221" s="2"/>
      <c r="F221" s="2"/>
      <c r="G221" s="2"/>
      <c r="H221" s="127"/>
      <c r="I221" s="62"/>
      <c r="J221" s="62"/>
      <c r="K221" s="62"/>
      <c r="L221" s="62"/>
      <c r="M221" s="62"/>
      <c r="N221" s="62"/>
      <c r="O221" s="62"/>
      <c r="P221" s="62"/>
      <c r="Q221" s="62"/>
      <c r="R221" s="62"/>
      <c r="S221" s="62"/>
      <c r="T221" s="62"/>
      <c r="U221" s="62"/>
      <c r="V221" s="62"/>
      <c r="W221" s="62"/>
      <c r="X221" s="62"/>
      <c r="Y221" s="62"/>
      <c r="Z221" s="62"/>
    </row>
    <row r="222" ht="15.75" customHeight="1">
      <c r="A222" s="74"/>
      <c r="B222" s="74"/>
      <c r="C222" s="74"/>
      <c r="D222" s="74"/>
      <c r="E222" s="2"/>
      <c r="F222" s="2"/>
      <c r="G222" s="2"/>
      <c r="H222" s="127"/>
      <c r="I222" s="62"/>
      <c r="J222" s="62"/>
      <c r="K222" s="62"/>
      <c r="L222" s="62"/>
      <c r="M222" s="62"/>
      <c r="N222" s="62"/>
      <c r="O222" s="62"/>
      <c r="P222" s="62"/>
      <c r="Q222" s="62"/>
      <c r="R222" s="62"/>
      <c r="S222" s="62"/>
      <c r="T222" s="62"/>
      <c r="U222" s="62"/>
      <c r="V222" s="62"/>
      <c r="W222" s="62"/>
      <c r="X222" s="62"/>
      <c r="Y222" s="62"/>
      <c r="Z222" s="62"/>
    </row>
    <row r="223" ht="15.75" customHeight="1">
      <c r="A223" s="74"/>
      <c r="B223" s="74"/>
      <c r="C223" s="74"/>
      <c r="D223" s="74"/>
      <c r="E223" s="2"/>
      <c r="F223" s="2"/>
      <c r="G223" s="2"/>
      <c r="H223" s="127"/>
      <c r="I223" s="62"/>
      <c r="J223" s="62"/>
      <c r="K223" s="62"/>
      <c r="L223" s="62"/>
      <c r="M223" s="62"/>
      <c r="N223" s="62"/>
      <c r="O223" s="62"/>
      <c r="P223" s="62"/>
      <c r="Q223" s="62"/>
      <c r="R223" s="62"/>
      <c r="S223" s="62"/>
      <c r="T223" s="62"/>
      <c r="U223" s="62"/>
      <c r="V223" s="62"/>
      <c r="W223" s="62"/>
      <c r="X223" s="62"/>
      <c r="Y223" s="62"/>
      <c r="Z223" s="62"/>
    </row>
    <row r="224" ht="15.75" customHeight="1">
      <c r="A224" s="74"/>
      <c r="B224" s="74"/>
      <c r="C224" s="74"/>
      <c r="D224" s="74"/>
      <c r="E224" s="2"/>
      <c r="F224" s="2"/>
      <c r="G224" s="2"/>
      <c r="H224" s="127"/>
      <c r="I224" s="62"/>
      <c r="J224" s="62"/>
      <c r="K224" s="62"/>
      <c r="L224" s="62"/>
      <c r="M224" s="62"/>
      <c r="N224" s="62"/>
      <c r="O224" s="62"/>
      <c r="P224" s="62"/>
      <c r="Q224" s="62"/>
      <c r="R224" s="62"/>
      <c r="S224" s="62"/>
      <c r="T224" s="62"/>
      <c r="U224" s="62"/>
      <c r="V224" s="62"/>
      <c r="W224" s="62"/>
      <c r="X224" s="62"/>
      <c r="Y224" s="62"/>
      <c r="Z224" s="62"/>
    </row>
    <row r="225" ht="15.75" customHeight="1">
      <c r="A225" s="74"/>
      <c r="B225" s="74"/>
      <c r="C225" s="74"/>
      <c r="D225" s="74"/>
      <c r="E225" s="2"/>
      <c r="F225" s="2"/>
      <c r="G225" s="2"/>
      <c r="H225" s="127"/>
      <c r="I225" s="62"/>
      <c r="J225" s="62"/>
      <c r="K225" s="62"/>
      <c r="L225" s="62"/>
      <c r="M225" s="62"/>
      <c r="N225" s="62"/>
      <c r="O225" s="62"/>
      <c r="P225" s="62"/>
      <c r="Q225" s="62"/>
      <c r="R225" s="62"/>
      <c r="S225" s="62"/>
      <c r="T225" s="62"/>
      <c r="U225" s="62"/>
      <c r="V225" s="62"/>
      <c r="W225" s="62"/>
      <c r="X225" s="62"/>
      <c r="Y225" s="62"/>
      <c r="Z225" s="62"/>
    </row>
    <row r="226" ht="15.75" customHeight="1">
      <c r="A226" s="74"/>
      <c r="B226" s="74"/>
      <c r="C226" s="74"/>
      <c r="D226" s="74"/>
      <c r="E226" s="2"/>
      <c r="F226" s="2"/>
      <c r="G226" s="2"/>
      <c r="H226" s="127"/>
      <c r="I226" s="62"/>
      <c r="J226" s="62"/>
      <c r="K226" s="62"/>
      <c r="L226" s="62"/>
      <c r="M226" s="62"/>
      <c r="N226" s="62"/>
      <c r="O226" s="62"/>
      <c r="P226" s="62"/>
      <c r="Q226" s="62"/>
      <c r="R226" s="62"/>
      <c r="S226" s="62"/>
      <c r="T226" s="62"/>
      <c r="U226" s="62"/>
      <c r="V226" s="62"/>
      <c r="W226" s="62"/>
      <c r="X226" s="62"/>
      <c r="Y226" s="62"/>
      <c r="Z226" s="62"/>
    </row>
    <row r="227" ht="15.75" customHeight="1">
      <c r="A227" s="74"/>
      <c r="B227" s="74"/>
      <c r="C227" s="74"/>
      <c r="D227" s="74"/>
      <c r="E227" s="2"/>
      <c r="F227" s="2"/>
      <c r="G227" s="2"/>
      <c r="H227" s="127"/>
      <c r="I227" s="62"/>
      <c r="J227" s="62"/>
      <c r="K227" s="62"/>
      <c r="L227" s="62"/>
      <c r="M227" s="62"/>
      <c r="N227" s="62"/>
      <c r="O227" s="62"/>
      <c r="P227" s="62"/>
      <c r="Q227" s="62"/>
      <c r="R227" s="62"/>
      <c r="S227" s="62"/>
      <c r="T227" s="62"/>
      <c r="U227" s="62"/>
      <c r="V227" s="62"/>
      <c r="W227" s="62"/>
      <c r="X227" s="62"/>
      <c r="Y227" s="62"/>
      <c r="Z227" s="62"/>
    </row>
    <row r="228" ht="15.75" customHeight="1">
      <c r="A228" s="74"/>
      <c r="B228" s="74"/>
      <c r="C228" s="74"/>
      <c r="D228" s="74"/>
      <c r="E228" s="2"/>
      <c r="F228" s="2"/>
      <c r="G228" s="2"/>
      <c r="H228" s="127"/>
      <c r="I228" s="62"/>
      <c r="J228" s="62"/>
      <c r="K228" s="62"/>
      <c r="L228" s="62"/>
      <c r="M228" s="62"/>
      <c r="N228" s="62"/>
      <c r="O228" s="62"/>
      <c r="P228" s="62"/>
      <c r="Q228" s="62"/>
      <c r="R228" s="62"/>
      <c r="S228" s="62"/>
      <c r="T228" s="62"/>
      <c r="U228" s="62"/>
      <c r="V228" s="62"/>
      <c r="W228" s="62"/>
      <c r="X228" s="62"/>
      <c r="Y228" s="62"/>
      <c r="Z228" s="62"/>
    </row>
    <row r="229" ht="15.75" customHeight="1">
      <c r="A229" s="74"/>
      <c r="B229" s="74"/>
      <c r="C229" s="74"/>
      <c r="D229" s="74"/>
      <c r="E229" s="2"/>
      <c r="F229" s="2"/>
      <c r="G229" s="2"/>
      <c r="H229" s="127"/>
      <c r="I229" s="62"/>
      <c r="J229" s="62"/>
      <c r="K229" s="62"/>
      <c r="L229" s="62"/>
      <c r="M229" s="62"/>
      <c r="N229" s="62"/>
      <c r="O229" s="62"/>
      <c r="P229" s="62"/>
      <c r="Q229" s="62"/>
      <c r="R229" s="62"/>
      <c r="S229" s="62"/>
      <c r="T229" s="62"/>
      <c r="U229" s="62"/>
      <c r="V229" s="62"/>
      <c r="W229" s="62"/>
      <c r="X229" s="62"/>
      <c r="Y229" s="62"/>
      <c r="Z229" s="62"/>
    </row>
    <row r="230" ht="15.75" customHeight="1">
      <c r="A230" s="74"/>
      <c r="B230" s="74"/>
      <c r="C230" s="74"/>
      <c r="D230" s="74"/>
      <c r="E230" s="2"/>
      <c r="F230" s="2"/>
      <c r="G230" s="2"/>
      <c r="H230" s="127"/>
      <c r="I230" s="62"/>
      <c r="J230" s="62"/>
      <c r="K230" s="62"/>
      <c r="L230" s="62"/>
      <c r="M230" s="62"/>
      <c r="N230" s="62"/>
      <c r="O230" s="62"/>
      <c r="P230" s="62"/>
      <c r="Q230" s="62"/>
      <c r="R230" s="62"/>
      <c r="S230" s="62"/>
      <c r="T230" s="62"/>
      <c r="U230" s="62"/>
      <c r="V230" s="62"/>
      <c r="W230" s="62"/>
      <c r="X230" s="62"/>
      <c r="Y230" s="62"/>
      <c r="Z230" s="62"/>
    </row>
    <row r="231" ht="15.75" customHeight="1">
      <c r="A231" s="74"/>
      <c r="B231" s="74"/>
      <c r="C231" s="74"/>
      <c r="D231" s="74"/>
      <c r="E231" s="2"/>
      <c r="F231" s="2"/>
      <c r="G231" s="2"/>
      <c r="H231" s="127"/>
      <c r="I231" s="62"/>
      <c r="J231" s="62"/>
      <c r="K231" s="62"/>
      <c r="L231" s="62"/>
      <c r="M231" s="62"/>
      <c r="N231" s="62"/>
      <c r="O231" s="62"/>
      <c r="P231" s="62"/>
      <c r="Q231" s="62"/>
      <c r="R231" s="62"/>
      <c r="S231" s="62"/>
      <c r="T231" s="62"/>
      <c r="U231" s="62"/>
      <c r="V231" s="62"/>
      <c r="W231" s="62"/>
      <c r="X231" s="62"/>
      <c r="Y231" s="62"/>
      <c r="Z231" s="62"/>
    </row>
    <row r="232" ht="15.75" customHeight="1">
      <c r="A232" s="74"/>
      <c r="B232" s="74"/>
      <c r="C232" s="74"/>
      <c r="D232" s="74"/>
      <c r="E232" s="2"/>
      <c r="F232" s="2"/>
      <c r="G232" s="2"/>
      <c r="H232" s="127"/>
      <c r="I232" s="62"/>
      <c r="J232" s="62"/>
      <c r="K232" s="62"/>
      <c r="L232" s="62"/>
      <c r="M232" s="62"/>
      <c r="N232" s="62"/>
      <c r="O232" s="62"/>
      <c r="P232" s="62"/>
      <c r="Q232" s="62"/>
      <c r="R232" s="62"/>
      <c r="S232" s="62"/>
      <c r="T232" s="62"/>
      <c r="U232" s="62"/>
      <c r="V232" s="62"/>
      <c r="W232" s="62"/>
      <c r="X232" s="62"/>
      <c r="Y232" s="62"/>
      <c r="Z232" s="62"/>
    </row>
    <row r="233" ht="15.75" customHeight="1">
      <c r="A233" s="74"/>
      <c r="B233" s="74"/>
      <c r="C233" s="74"/>
      <c r="D233" s="74"/>
      <c r="E233" s="2"/>
      <c r="F233" s="2"/>
      <c r="G233" s="2"/>
      <c r="H233" s="127"/>
      <c r="I233" s="62"/>
      <c r="J233" s="62"/>
      <c r="K233" s="62"/>
      <c r="L233" s="62"/>
      <c r="M233" s="62"/>
      <c r="N233" s="62"/>
      <c r="O233" s="62"/>
      <c r="P233" s="62"/>
      <c r="Q233" s="62"/>
      <c r="R233" s="62"/>
      <c r="S233" s="62"/>
      <c r="T233" s="62"/>
      <c r="U233" s="62"/>
      <c r="V233" s="62"/>
      <c r="W233" s="62"/>
      <c r="X233" s="62"/>
      <c r="Y233" s="62"/>
      <c r="Z233" s="62"/>
    </row>
    <row r="234" ht="15.75" customHeight="1">
      <c r="A234" s="74"/>
      <c r="B234" s="74"/>
      <c r="C234" s="74"/>
      <c r="D234" s="74"/>
      <c r="E234" s="2"/>
      <c r="F234" s="2"/>
      <c r="G234" s="2"/>
      <c r="H234" s="127"/>
      <c r="I234" s="62"/>
      <c r="J234" s="62"/>
      <c r="K234" s="62"/>
      <c r="L234" s="62"/>
      <c r="M234" s="62"/>
      <c r="N234" s="62"/>
      <c r="O234" s="62"/>
      <c r="P234" s="62"/>
      <c r="Q234" s="62"/>
      <c r="R234" s="62"/>
      <c r="S234" s="62"/>
      <c r="T234" s="62"/>
      <c r="U234" s="62"/>
      <c r="V234" s="62"/>
      <c r="W234" s="62"/>
      <c r="X234" s="62"/>
      <c r="Y234" s="62"/>
      <c r="Z234" s="62"/>
    </row>
    <row r="235" ht="15.75" customHeight="1">
      <c r="A235" s="74"/>
      <c r="B235" s="74"/>
      <c r="C235" s="74"/>
      <c r="D235" s="74"/>
      <c r="E235" s="2"/>
      <c r="F235" s="2"/>
      <c r="G235" s="2"/>
      <c r="H235" s="127"/>
      <c r="I235" s="62"/>
      <c r="J235" s="62"/>
      <c r="K235" s="62"/>
      <c r="L235" s="62"/>
      <c r="M235" s="62"/>
      <c r="N235" s="62"/>
      <c r="O235" s="62"/>
      <c r="P235" s="62"/>
      <c r="Q235" s="62"/>
      <c r="R235" s="62"/>
      <c r="S235" s="62"/>
      <c r="T235" s="62"/>
      <c r="U235" s="62"/>
      <c r="V235" s="62"/>
      <c r="W235" s="62"/>
      <c r="X235" s="62"/>
      <c r="Y235" s="62"/>
      <c r="Z235" s="62"/>
    </row>
    <row r="236" ht="15.75" customHeight="1">
      <c r="A236" s="74"/>
      <c r="B236" s="74"/>
      <c r="C236" s="74"/>
      <c r="D236" s="74"/>
      <c r="E236" s="2"/>
      <c r="F236" s="2"/>
      <c r="G236" s="2"/>
      <c r="H236" s="127"/>
      <c r="I236" s="62"/>
      <c r="J236" s="62"/>
      <c r="K236" s="62"/>
      <c r="L236" s="62"/>
      <c r="M236" s="62"/>
      <c r="N236" s="62"/>
      <c r="O236" s="62"/>
      <c r="P236" s="62"/>
      <c r="Q236" s="62"/>
      <c r="R236" s="62"/>
      <c r="S236" s="62"/>
      <c r="T236" s="62"/>
      <c r="U236" s="62"/>
      <c r="V236" s="62"/>
      <c r="W236" s="62"/>
      <c r="X236" s="62"/>
      <c r="Y236" s="62"/>
      <c r="Z236" s="62"/>
    </row>
    <row r="237" ht="15.75" customHeight="1">
      <c r="A237" s="74"/>
      <c r="B237" s="74"/>
      <c r="C237" s="74"/>
      <c r="D237" s="74"/>
      <c r="E237" s="2"/>
      <c r="F237" s="2"/>
      <c r="G237" s="2"/>
      <c r="H237" s="127"/>
      <c r="I237" s="62"/>
      <c r="J237" s="62"/>
      <c r="K237" s="62"/>
      <c r="L237" s="62"/>
      <c r="M237" s="62"/>
      <c r="N237" s="62"/>
      <c r="O237" s="62"/>
      <c r="P237" s="62"/>
      <c r="Q237" s="62"/>
      <c r="R237" s="62"/>
      <c r="S237" s="62"/>
      <c r="T237" s="62"/>
      <c r="U237" s="62"/>
      <c r="V237" s="62"/>
      <c r="W237" s="62"/>
      <c r="X237" s="62"/>
      <c r="Y237" s="62"/>
      <c r="Z237" s="62"/>
    </row>
    <row r="238" ht="15.75" customHeight="1">
      <c r="A238" s="74"/>
      <c r="B238" s="74"/>
      <c r="C238" s="74"/>
      <c r="D238" s="74"/>
      <c r="E238" s="2"/>
      <c r="F238" s="2"/>
      <c r="G238" s="2"/>
      <c r="H238" s="127"/>
      <c r="I238" s="62"/>
      <c r="J238" s="62"/>
      <c r="K238" s="62"/>
      <c r="L238" s="62"/>
      <c r="M238" s="62"/>
      <c r="N238" s="62"/>
      <c r="O238" s="62"/>
      <c r="P238" s="62"/>
      <c r="Q238" s="62"/>
      <c r="R238" s="62"/>
      <c r="S238" s="62"/>
      <c r="T238" s="62"/>
      <c r="U238" s="62"/>
      <c r="V238" s="62"/>
      <c r="W238" s="62"/>
      <c r="X238" s="62"/>
      <c r="Y238" s="62"/>
      <c r="Z238" s="62"/>
    </row>
    <row r="239" ht="15.75" customHeight="1">
      <c r="A239" s="74"/>
      <c r="B239" s="74"/>
      <c r="C239" s="74"/>
      <c r="D239" s="74"/>
      <c r="E239" s="2"/>
      <c r="F239" s="2"/>
      <c r="G239" s="2"/>
      <c r="H239" s="127"/>
      <c r="I239" s="62"/>
      <c r="J239" s="62"/>
      <c r="K239" s="62"/>
      <c r="L239" s="62"/>
      <c r="M239" s="62"/>
      <c r="N239" s="62"/>
      <c r="O239" s="62"/>
      <c r="P239" s="62"/>
      <c r="Q239" s="62"/>
      <c r="R239" s="62"/>
      <c r="S239" s="62"/>
      <c r="T239" s="62"/>
      <c r="U239" s="62"/>
      <c r="V239" s="62"/>
      <c r="W239" s="62"/>
      <c r="X239" s="62"/>
      <c r="Y239" s="62"/>
      <c r="Z239" s="62"/>
    </row>
    <row r="240" ht="15.75" customHeight="1">
      <c r="A240" s="74"/>
      <c r="B240" s="74"/>
      <c r="C240" s="74"/>
      <c r="D240" s="74"/>
      <c r="E240" s="2"/>
      <c r="F240" s="2"/>
      <c r="G240" s="2"/>
      <c r="H240" s="127"/>
      <c r="I240" s="62"/>
      <c r="J240" s="62"/>
      <c r="K240" s="62"/>
      <c r="L240" s="62"/>
      <c r="M240" s="62"/>
      <c r="N240" s="62"/>
      <c r="O240" s="62"/>
      <c r="P240" s="62"/>
      <c r="Q240" s="62"/>
      <c r="R240" s="62"/>
      <c r="S240" s="62"/>
      <c r="T240" s="62"/>
      <c r="U240" s="62"/>
      <c r="V240" s="62"/>
      <c r="W240" s="62"/>
      <c r="X240" s="62"/>
      <c r="Y240" s="62"/>
      <c r="Z240" s="62"/>
    </row>
    <row r="241" ht="15.75" customHeight="1">
      <c r="A241" s="74"/>
      <c r="B241" s="74"/>
      <c r="C241" s="74"/>
      <c r="D241" s="74"/>
      <c r="E241" s="2"/>
      <c r="F241" s="2"/>
      <c r="G241" s="2"/>
      <c r="H241" s="127"/>
      <c r="I241" s="62"/>
      <c r="J241" s="62"/>
      <c r="K241" s="62"/>
      <c r="L241" s="62"/>
      <c r="M241" s="62"/>
      <c r="N241" s="62"/>
      <c r="O241" s="62"/>
      <c r="P241" s="62"/>
      <c r="Q241" s="62"/>
      <c r="R241" s="62"/>
      <c r="S241" s="62"/>
      <c r="T241" s="62"/>
      <c r="U241" s="62"/>
      <c r="V241" s="62"/>
      <c r="W241" s="62"/>
      <c r="X241" s="62"/>
      <c r="Y241" s="62"/>
      <c r="Z241" s="62"/>
    </row>
    <row r="242" ht="15.75" customHeight="1">
      <c r="A242" s="74"/>
      <c r="B242" s="74"/>
      <c r="C242" s="74"/>
      <c r="D242" s="74"/>
      <c r="E242" s="2"/>
      <c r="F242" s="2"/>
      <c r="G242" s="2"/>
      <c r="H242" s="127"/>
      <c r="I242" s="62"/>
      <c r="J242" s="62"/>
      <c r="K242" s="62"/>
      <c r="L242" s="62"/>
      <c r="M242" s="62"/>
      <c r="N242" s="62"/>
      <c r="O242" s="62"/>
      <c r="P242" s="62"/>
      <c r="Q242" s="62"/>
      <c r="R242" s="62"/>
      <c r="S242" s="62"/>
      <c r="T242" s="62"/>
      <c r="U242" s="62"/>
      <c r="V242" s="62"/>
      <c r="W242" s="62"/>
      <c r="X242" s="62"/>
      <c r="Y242" s="62"/>
      <c r="Z242" s="62"/>
    </row>
    <row r="243" ht="15.75" customHeight="1">
      <c r="A243" s="74"/>
      <c r="B243" s="74"/>
      <c r="C243" s="74"/>
      <c r="D243" s="74"/>
      <c r="E243" s="2"/>
      <c r="F243" s="2"/>
      <c r="G243" s="2"/>
      <c r="H243" s="127"/>
      <c r="I243" s="62"/>
      <c r="J243" s="62"/>
      <c r="K243" s="62"/>
      <c r="L243" s="62"/>
      <c r="M243" s="62"/>
      <c r="N243" s="62"/>
      <c r="O243" s="62"/>
      <c r="P243" s="62"/>
      <c r="Q243" s="62"/>
      <c r="R243" s="62"/>
      <c r="S243" s="62"/>
      <c r="T243" s="62"/>
      <c r="U243" s="62"/>
      <c r="V243" s="62"/>
      <c r="W243" s="62"/>
      <c r="X243" s="62"/>
      <c r="Y243" s="62"/>
      <c r="Z243" s="62"/>
    </row>
    <row r="244" ht="15.75" customHeight="1">
      <c r="A244" s="74"/>
      <c r="B244" s="74"/>
      <c r="C244" s="74"/>
      <c r="D244" s="74"/>
      <c r="E244" s="2"/>
      <c r="F244" s="2"/>
      <c r="G244" s="2"/>
      <c r="H244" s="127"/>
      <c r="I244" s="62"/>
      <c r="J244" s="62"/>
      <c r="K244" s="62"/>
      <c r="L244" s="62"/>
      <c r="M244" s="62"/>
      <c r="N244" s="62"/>
      <c r="O244" s="62"/>
      <c r="P244" s="62"/>
      <c r="Q244" s="62"/>
      <c r="R244" s="62"/>
      <c r="S244" s="62"/>
      <c r="T244" s="62"/>
      <c r="U244" s="62"/>
      <c r="V244" s="62"/>
      <c r="W244" s="62"/>
      <c r="X244" s="62"/>
      <c r="Y244" s="62"/>
      <c r="Z244" s="62"/>
    </row>
    <row r="245" ht="15.75" customHeight="1">
      <c r="A245" s="74"/>
      <c r="B245" s="74"/>
      <c r="C245" s="74"/>
      <c r="D245" s="74"/>
      <c r="E245" s="2"/>
      <c r="F245" s="2"/>
      <c r="G245" s="2"/>
      <c r="H245" s="127"/>
      <c r="I245" s="62"/>
      <c r="J245" s="62"/>
      <c r="K245" s="62"/>
      <c r="L245" s="62"/>
      <c r="M245" s="62"/>
      <c r="N245" s="62"/>
      <c r="O245" s="62"/>
      <c r="P245" s="62"/>
      <c r="Q245" s="62"/>
      <c r="R245" s="62"/>
      <c r="S245" s="62"/>
      <c r="T245" s="62"/>
      <c r="U245" s="62"/>
      <c r="V245" s="62"/>
      <c r="W245" s="62"/>
      <c r="X245" s="62"/>
      <c r="Y245" s="62"/>
      <c r="Z245" s="62"/>
    </row>
    <row r="246" ht="15.75" customHeight="1">
      <c r="A246" s="74"/>
      <c r="B246" s="74"/>
      <c r="C246" s="74"/>
      <c r="D246" s="74"/>
      <c r="E246" s="2"/>
      <c r="F246" s="2"/>
      <c r="G246" s="2"/>
      <c r="H246" s="127"/>
      <c r="I246" s="62"/>
      <c r="J246" s="62"/>
      <c r="K246" s="62"/>
      <c r="L246" s="62"/>
      <c r="M246" s="62"/>
      <c r="N246" s="62"/>
      <c r="O246" s="62"/>
      <c r="P246" s="62"/>
      <c r="Q246" s="62"/>
      <c r="R246" s="62"/>
      <c r="S246" s="62"/>
      <c r="T246" s="62"/>
      <c r="U246" s="62"/>
      <c r="V246" s="62"/>
      <c r="W246" s="62"/>
      <c r="X246" s="62"/>
      <c r="Y246" s="62"/>
      <c r="Z246" s="62"/>
    </row>
    <row r="247" ht="15.75" customHeight="1">
      <c r="A247" s="74"/>
      <c r="B247" s="74"/>
      <c r="C247" s="74"/>
      <c r="D247" s="74"/>
      <c r="E247" s="2"/>
      <c r="F247" s="2"/>
      <c r="G247" s="2"/>
      <c r="H247" s="127"/>
      <c r="I247" s="62"/>
      <c r="J247" s="62"/>
      <c r="K247" s="62"/>
      <c r="L247" s="62"/>
      <c r="M247" s="62"/>
      <c r="N247" s="62"/>
      <c r="O247" s="62"/>
      <c r="P247" s="62"/>
      <c r="Q247" s="62"/>
      <c r="R247" s="62"/>
      <c r="S247" s="62"/>
      <c r="T247" s="62"/>
      <c r="U247" s="62"/>
      <c r="V247" s="62"/>
      <c r="W247" s="62"/>
      <c r="X247" s="62"/>
      <c r="Y247" s="62"/>
      <c r="Z247" s="62"/>
    </row>
    <row r="248" ht="15.75" customHeight="1">
      <c r="A248" s="74"/>
      <c r="B248" s="74"/>
      <c r="C248" s="74"/>
      <c r="D248" s="74"/>
      <c r="E248" s="2"/>
      <c r="F248" s="2"/>
      <c r="G248" s="2"/>
      <c r="H248" s="127"/>
      <c r="I248" s="62"/>
      <c r="J248" s="62"/>
      <c r="K248" s="62"/>
      <c r="L248" s="62"/>
      <c r="M248" s="62"/>
      <c r="N248" s="62"/>
      <c r="O248" s="62"/>
      <c r="P248" s="62"/>
      <c r="Q248" s="62"/>
      <c r="R248" s="62"/>
      <c r="S248" s="62"/>
      <c r="T248" s="62"/>
      <c r="U248" s="62"/>
      <c r="V248" s="62"/>
      <c r="W248" s="62"/>
      <c r="X248" s="62"/>
      <c r="Y248" s="62"/>
      <c r="Z248" s="62"/>
    </row>
    <row r="249" ht="15.75" customHeight="1">
      <c r="A249" s="74"/>
      <c r="B249" s="74"/>
      <c r="C249" s="74"/>
      <c r="D249" s="74"/>
      <c r="E249" s="2"/>
      <c r="F249" s="2"/>
      <c r="G249" s="2"/>
      <c r="H249" s="127"/>
      <c r="I249" s="62"/>
      <c r="J249" s="62"/>
      <c r="K249" s="62"/>
      <c r="L249" s="62"/>
      <c r="M249" s="62"/>
      <c r="N249" s="62"/>
      <c r="O249" s="62"/>
      <c r="P249" s="62"/>
      <c r="Q249" s="62"/>
      <c r="R249" s="62"/>
      <c r="S249" s="62"/>
      <c r="T249" s="62"/>
      <c r="U249" s="62"/>
      <c r="V249" s="62"/>
      <c r="W249" s="62"/>
      <c r="X249" s="62"/>
      <c r="Y249" s="62"/>
      <c r="Z249" s="62"/>
    </row>
    <row r="250" ht="15.75" customHeight="1">
      <c r="A250" s="74"/>
      <c r="B250" s="74"/>
      <c r="C250" s="74"/>
      <c r="D250" s="74"/>
      <c r="E250" s="2"/>
      <c r="F250" s="2"/>
      <c r="G250" s="2"/>
      <c r="H250" s="127"/>
      <c r="I250" s="62"/>
      <c r="J250" s="62"/>
      <c r="K250" s="62"/>
      <c r="L250" s="62"/>
      <c r="M250" s="62"/>
      <c r="N250" s="62"/>
      <c r="O250" s="62"/>
      <c r="P250" s="62"/>
      <c r="Q250" s="62"/>
      <c r="R250" s="62"/>
      <c r="S250" s="62"/>
      <c r="T250" s="62"/>
      <c r="U250" s="62"/>
      <c r="V250" s="62"/>
      <c r="W250" s="62"/>
      <c r="X250" s="62"/>
      <c r="Y250" s="62"/>
      <c r="Z250" s="62"/>
    </row>
    <row r="251" ht="15.75" customHeight="1">
      <c r="A251" s="74"/>
      <c r="B251" s="74"/>
      <c r="C251" s="74"/>
      <c r="D251" s="74"/>
      <c r="E251" s="2"/>
      <c r="F251" s="2"/>
      <c r="G251" s="2"/>
      <c r="H251" s="127"/>
      <c r="I251" s="62"/>
      <c r="J251" s="62"/>
      <c r="K251" s="62"/>
      <c r="L251" s="62"/>
      <c r="M251" s="62"/>
      <c r="N251" s="62"/>
      <c r="O251" s="62"/>
      <c r="P251" s="62"/>
      <c r="Q251" s="62"/>
      <c r="R251" s="62"/>
      <c r="S251" s="62"/>
      <c r="T251" s="62"/>
      <c r="U251" s="62"/>
      <c r="V251" s="62"/>
      <c r="W251" s="62"/>
      <c r="X251" s="62"/>
      <c r="Y251" s="62"/>
      <c r="Z251" s="62"/>
    </row>
    <row r="252" ht="15.75" customHeight="1">
      <c r="A252" s="74"/>
      <c r="B252" s="74"/>
      <c r="C252" s="74"/>
      <c r="D252" s="74"/>
      <c r="E252" s="2"/>
      <c r="F252" s="2"/>
      <c r="G252" s="2"/>
      <c r="H252" s="127"/>
      <c r="I252" s="62"/>
      <c r="J252" s="62"/>
      <c r="K252" s="62"/>
      <c r="L252" s="62"/>
      <c r="M252" s="62"/>
      <c r="N252" s="62"/>
      <c r="O252" s="62"/>
      <c r="P252" s="62"/>
      <c r="Q252" s="62"/>
      <c r="R252" s="62"/>
      <c r="S252" s="62"/>
      <c r="T252" s="62"/>
      <c r="U252" s="62"/>
      <c r="V252" s="62"/>
      <c r="W252" s="62"/>
      <c r="X252" s="62"/>
      <c r="Y252" s="62"/>
      <c r="Z252" s="62"/>
    </row>
    <row r="253" ht="15.75" customHeight="1">
      <c r="A253" s="74"/>
      <c r="B253" s="74"/>
      <c r="C253" s="74"/>
      <c r="D253" s="74"/>
      <c r="E253" s="2"/>
      <c r="F253" s="2"/>
      <c r="G253" s="2"/>
      <c r="H253" s="127"/>
      <c r="I253" s="62"/>
      <c r="J253" s="62"/>
      <c r="K253" s="62"/>
      <c r="L253" s="62"/>
      <c r="M253" s="62"/>
      <c r="N253" s="62"/>
      <c r="O253" s="62"/>
      <c r="P253" s="62"/>
      <c r="Q253" s="62"/>
      <c r="R253" s="62"/>
      <c r="S253" s="62"/>
      <c r="T253" s="62"/>
      <c r="U253" s="62"/>
      <c r="V253" s="62"/>
      <c r="W253" s="62"/>
      <c r="X253" s="62"/>
      <c r="Y253" s="62"/>
      <c r="Z253" s="62"/>
    </row>
    <row r="254" ht="15.75" customHeight="1">
      <c r="A254" s="74"/>
      <c r="B254" s="74"/>
      <c r="C254" s="74"/>
      <c r="D254" s="74"/>
      <c r="E254" s="2"/>
      <c r="F254" s="2"/>
      <c r="G254" s="2"/>
      <c r="H254" s="127"/>
      <c r="I254" s="62"/>
      <c r="J254" s="62"/>
      <c r="K254" s="62"/>
      <c r="L254" s="62"/>
      <c r="M254" s="62"/>
      <c r="N254" s="62"/>
      <c r="O254" s="62"/>
      <c r="P254" s="62"/>
      <c r="Q254" s="62"/>
      <c r="R254" s="62"/>
      <c r="S254" s="62"/>
      <c r="T254" s="62"/>
      <c r="U254" s="62"/>
      <c r="V254" s="62"/>
      <c r="W254" s="62"/>
      <c r="X254" s="62"/>
      <c r="Y254" s="62"/>
      <c r="Z254" s="62"/>
    </row>
    <row r="255" ht="15.75" customHeight="1">
      <c r="A255" s="74"/>
      <c r="B255" s="74"/>
      <c r="C255" s="74"/>
      <c r="D255" s="74"/>
      <c r="E255" s="2"/>
      <c r="F255" s="2"/>
      <c r="G255" s="2"/>
      <c r="H255" s="127"/>
      <c r="I255" s="62"/>
      <c r="J255" s="62"/>
      <c r="K255" s="62"/>
      <c r="L255" s="62"/>
      <c r="M255" s="62"/>
      <c r="N255" s="62"/>
      <c r="O255" s="62"/>
      <c r="P255" s="62"/>
      <c r="Q255" s="62"/>
      <c r="R255" s="62"/>
      <c r="S255" s="62"/>
      <c r="T255" s="62"/>
      <c r="U255" s="62"/>
      <c r="V255" s="62"/>
      <c r="W255" s="62"/>
      <c r="X255" s="62"/>
      <c r="Y255" s="62"/>
      <c r="Z255" s="62"/>
    </row>
    <row r="256" ht="15.75" customHeight="1">
      <c r="A256" s="74"/>
      <c r="B256" s="74"/>
      <c r="C256" s="74"/>
      <c r="D256" s="74"/>
      <c r="E256" s="2"/>
      <c r="F256" s="2"/>
      <c r="G256" s="2"/>
      <c r="H256" s="127"/>
      <c r="I256" s="62"/>
      <c r="J256" s="62"/>
      <c r="K256" s="62"/>
      <c r="L256" s="62"/>
      <c r="M256" s="62"/>
      <c r="N256" s="62"/>
      <c r="O256" s="62"/>
      <c r="P256" s="62"/>
      <c r="Q256" s="62"/>
      <c r="R256" s="62"/>
      <c r="S256" s="62"/>
      <c r="T256" s="62"/>
      <c r="U256" s="62"/>
      <c r="V256" s="62"/>
      <c r="W256" s="62"/>
      <c r="X256" s="62"/>
      <c r="Y256" s="62"/>
      <c r="Z256" s="62"/>
    </row>
    <row r="257" ht="15.75" customHeight="1">
      <c r="A257" s="74"/>
      <c r="B257" s="74"/>
      <c r="C257" s="74"/>
      <c r="D257" s="74"/>
      <c r="E257" s="2"/>
      <c r="F257" s="2"/>
      <c r="G257" s="2"/>
      <c r="H257" s="127"/>
      <c r="I257" s="62"/>
      <c r="J257" s="62"/>
      <c r="K257" s="62"/>
      <c r="L257" s="62"/>
      <c r="M257" s="62"/>
      <c r="N257" s="62"/>
      <c r="O257" s="62"/>
      <c r="P257" s="62"/>
      <c r="Q257" s="62"/>
      <c r="R257" s="62"/>
      <c r="S257" s="62"/>
      <c r="T257" s="62"/>
      <c r="U257" s="62"/>
      <c r="V257" s="62"/>
      <c r="W257" s="62"/>
      <c r="X257" s="62"/>
      <c r="Y257" s="62"/>
      <c r="Z257" s="62"/>
    </row>
    <row r="258" ht="15.75" customHeight="1">
      <c r="A258" s="74"/>
      <c r="B258" s="74"/>
      <c r="C258" s="74"/>
      <c r="D258" s="74"/>
      <c r="E258" s="2"/>
      <c r="F258" s="2"/>
      <c r="G258" s="2"/>
      <c r="H258" s="127"/>
      <c r="I258" s="62"/>
      <c r="J258" s="62"/>
      <c r="K258" s="62"/>
      <c r="L258" s="62"/>
      <c r="M258" s="62"/>
      <c r="N258" s="62"/>
      <c r="O258" s="62"/>
      <c r="P258" s="62"/>
      <c r="Q258" s="62"/>
      <c r="R258" s="62"/>
      <c r="S258" s="62"/>
      <c r="T258" s="62"/>
      <c r="U258" s="62"/>
      <c r="V258" s="62"/>
      <c r="W258" s="62"/>
      <c r="X258" s="62"/>
      <c r="Y258" s="62"/>
      <c r="Z258" s="62"/>
    </row>
    <row r="259" ht="15.75" customHeight="1">
      <c r="A259" s="74"/>
      <c r="B259" s="74"/>
      <c r="C259" s="74"/>
      <c r="D259" s="74"/>
      <c r="E259" s="2"/>
      <c r="F259" s="2"/>
      <c r="G259" s="2"/>
      <c r="H259" s="127"/>
      <c r="I259" s="62"/>
      <c r="J259" s="62"/>
      <c r="K259" s="62"/>
      <c r="L259" s="62"/>
      <c r="M259" s="62"/>
      <c r="N259" s="62"/>
      <c r="O259" s="62"/>
      <c r="P259" s="62"/>
      <c r="Q259" s="62"/>
      <c r="R259" s="62"/>
      <c r="S259" s="62"/>
      <c r="T259" s="62"/>
      <c r="U259" s="62"/>
      <c r="V259" s="62"/>
      <c r="W259" s="62"/>
      <c r="X259" s="62"/>
      <c r="Y259" s="62"/>
      <c r="Z259" s="62"/>
    </row>
    <row r="260" ht="15.75" customHeight="1">
      <c r="A260" s="74"/>
      <c r="B260" s="74"/>
      <c r="C260" s="74"/>
      <c r="D260" s="74"/>
      <c r="E260" s="2"/>
      <c r="F260" s="2"/>
      <c r="G260" s="2"/>
      <c r="H260" s="127"/>
      <c r="I260" s="62"/>
      <c r="J260" s="62"/>
      <c r="K260" s="62"/>
      <c r="L260" s="62"/>
      <c r="M260" s="62"/>
      <c r="N260" s="62"/>
      <c r="O260" s="62"/>
      <c r="P260" s="62"/>
      <c r="Q260" s="62"/>
      <c r="R260" s="62"/>
      <c r="S260" s="62"/>
      <c r="T260" s="62"/>
      <c r="U260" s="62"/>
      <c r="V260" s="62"/>
      <c r="W260" s="62"/>
      <c r="X260" s="62"/>
      <c r="Y260" s="62"/>
      <c r="Z260" s="62"/>
    </row>
    <row r="261" ht="15.75" customHeight="1">
      <c r="A261" s="74"/>
      <c r="B261" s="74"/>
      <c r="C261" s="74"/>
      <c r="D261" s="74"/>
      <c r="E261" s="2"/>
      <c r="F261" s="2"/>
      <c r="G261" s="2"/>
      <c r="H261" s="127"/>
      <c r="I261" s="62"/>
      <c r="J261" s="62"/>
      <c r="K261" s="62"/>
      <c r="L261" s="62"/>
      <c r="M261" s="62"/>
      <c r="N261" s="62"/>
      <c r="O261" s="62"/>
      <c r="P261" s="62"/>
      <c r="Q261" s="62"/>
      <c r="R261" s="62"/>
      <c r="S261" s="62"/>
      <c r="T261" s="62"/>
      <c r="U261" s="62"/>
      <c r="V261" s="62"/>
      <c r="W261" s="62"/>
      <c r="X261" s="62"/>
      <c r="Y261" s="62"/>
      <c r="Z261" s="62"/>
    </row>
    <row r="262" ht="15.75" customHeight="1">
      <c r="A262" s="74"/>
      <c r="B262" s="74"/>
      <c r="C262" s="74"/>
      <c r="D262" s="74"/>
      <c r="E262" s="2"/>
      <c r="F262" s="2"/>
      <c r="G262" s="2"/>
      <c r="H262" s="127"/>
      <c r="I262" s="62"/>
      <c r="J262" s="62"/>
      <c r="K262" s="62"/>
      <c r="L262" s="62"/>
      <c r="M262" s="62"/>
      <c r="N262" s="62"/>
      <c r="O262" s="62"/>
      <c r="P262" s="62"/>
      <c r="Q262" s="62"/>
      <c r="R262" s="62"/>
      <c r="S262" s="62"/>
      <c r="T262" s="62"/>
      <c r="U262" s="62"/>
      <c r="V262" s="62"/>
      <c r="W262" s="62"/>
      <c r="X262" s="62"/>
      <c r="Y262" s="62"/>
      <c r="Z262" s="62"/>
    </row>
    <row r="263" ht="15.75" customHeight="1">
      <c r="A263" s="74"/>
      <c r="B263" s="74"/>
      <c r="C263" s="74"/>
      <c r="D263" s="74"/>
      <c r="E263" s="2"/>
      <c r="F263" s="2"/>
      <c r="G263" s="2"/>
      <c r="H263" s="127"/>
      <c r="I263" s="62"/>
      <c r="J263" s="62"/>
      <c r="K263" s="62"/>
      <c r="L263" s="62"/>
      <c r="M263" s="62"/>
      <c r="N263" s="62"/>
      <c r="O263" s="62"/>
      <c r="P263" s="62"/>
      <c r="Q263" s="62"/>
      <c r="R263" s="62"/>
      <c r="S263" s="62"/>
      <c r="T263" s="62"/>
      <c r="U263" s="62"/>
      <c r="V263" s="62"/>
      <c r="W263" s="62"/>
      <c r="X263" s="62"/>
      <c r="Y263" s="62"/>
      <c r="Z263" s="62"/>
    </row>
    <row r="264" ht="15.75" customHeight="1">
      <c r="A264" s="74"/>
      <c r="B264" s="74"/>
      <c r="C264" s="74"/>
      <c r="D264" s="74"/>
      <c r="E264" s="2"/>
      <c r="F264" s="2"/>
      <c r="G264" s="2"/>
      <c r="H264" s="127"/>
      <c r="I264" s="62"/>
      <c r="J264" s="62"/>
      <c r="K264" s="62"/>
      <c r="L264" s="62"/>
      <c r="M264" s="62"/>
      <c r="N264" s="62"/>
      <c r="O264" s="62"/>
      <c r="P264" s="62"/>
      <c r="Q264" s="62"/>
      <c r="R264" s="62"/>
      <c r="S264" s="62"/>
      <c r="T264" s="62"/>
      <c r="U264" s="62"/>
      <c r="V264" s="62"/>
      <c r="W264" s="62"/>
      <c r="X264" s="62"/>
      <c r="Y264" s="62"/>
      <c r="Z264" s="62"/>
    </row>
    <row r="265" ht="15.75" customHeight="1">
      <c r="A265" s="74"/>
      <c r="B265" s="74"/>
      <c r="C265" s="74"/>
      <c r="D265" s="74"/>
      <c r="E265" s="2"/>
      <c r="F265" s="2"/>
      <c r="G265" s="2"/>
      <c r="H265" s="127"/>
      <c r="I265" s="62"/>
      <c r="J265" s="62"/>
      <c r="K265" s="62"/>
      <c r="L265" s="62"/>
      <c r="M265" s="62"/>
      <c r="N265" s="62"/>
      <c r="O265" s="62"/>
      <c r="P265" s="62"/>
      <c r="Q265" s="62"/>
      <c r="R265" s="62"/>
      <c r="S265" s="62"/>
      <c r="T265" s="62"/>
      <c r="U265" s="62"/>
      <c r="V265" s="62"/>
      <c r="W265" s="62"/>
      <c r="X265" s="62"/>
      <c r="Y265" s="62"/>
      <c r="Z265" s="62"/>
    </row>
    <row r="266" ht="15.75" customHeight="1">
      <c r="A266" s="74"/>
      <c r="B266" s="74"/>
      <c r="C266" s="74"/>
      <c r="D266" s="74"/>
      <c r="E266" s="2"/>
      <c r="F266" s="2"/>
      <c r="G266" s="2"/>
      <c r="H266" s="127"/>
      <c r="I266" s="62"/>
      <c r="J266" s="62"/>
      <c r="K266" s="62"/>
      <c r="L266" s="62"/>
      <c r="M266" s="62"/>
      <c r="N266" s="62"/>
      <c r="O266" s="62"/>
      <c r="P266" s="62"/>
      <c r="Q266" s="62"/>
      <c r="R266" s="62"/>
      <c r="S266" s="62"/>
      <c r="T266" s="62"/>
      <c r="U266" s="62"/>
      <c r="V266" s="62"/>
      <c r="W266" s="62"/>
      <c r="X266" s="62"/>
      <c r="Y266" s="62"/>
      <c r="Z266" s="62"/>
    </row>
    <row r="267" ht="15.75" customHeight="1">
      <c r="A267" s="74"/>
      <c r="B267" s="74"/>
      <c r="C267" s="74"/>
      <c r="D267" s="74"/>
      <c r="E267" s="2"/>
      <c r="F267" s="2"/>
      <c r="G267" s="2"/>
      <c r="H267" s="127"/>
      <c r="I267" s="62"/>
      <c r="J267" s="62"/>
      <c r="K267" s="62"/>
      <c r="L267" s="62"/>
      <c r="M267" s="62"/>
      <c r="N267" s="62"/>
      <c r="O267" s="62"/>
      <c r="P267" s="62"/>
      <c r="Q267" s="62"/>
      <c r="R267" s="62"/>
      <c r="S267" s="62"/>
      <c r="T267" s="62"/>
      <c r="U267" s="62"/>
      <c r="V267" s="62"/>
      <c r="W267" s="62"/>
      <c r="X267" s="62"/>
      <c r="Y267" s="62"/>
      <c r="Z267" s="62"/>
    </row>
    <row r="268" ht="15.75" customHeight="1">
      <c r="A268" s="74"/>
      <c r="B268" s="74"/>
      <c r="C268" s="74"/>
      <c r="D268" s="74"/>
      <c r="E268" s="2"/>
      <c r="F268" s="2"/>
      <c r="G268" s="2"/>
      <c r="H268" s="127"/>
      <c r="I268" s="62"/>
      <c r="J268" s="62"/>
      <c r="K268" s="62"/>
      <c r="L268" s="62"/>
      <c r="M268" s="62"/>
      <c r="N268" s="62"/>
      <c r="O268" s="62"/>
      <c r="P268" s="62"/>
      <c r="Q268" s="62"/>
      <c r="R268" s="62"/>
      <c r="S268" s="62"/>
      <c r="T268" s="62"/>
      <c r="U268" s="62"/>
      <c r="V268" s="62"/>
      <c r="W268" s="62"/>
      <c r="X268" s="62"/>
      <c r="Y268" s="62"/>
      <c r="Z268" s="62"/>
    </row>
    <row r="269" ht="15.75" customHeight="1">
      <c r="A269" s="74"/>
      <c r="B269" s="74"/>
      <c r="C269" s="74"/>
      <c r="D269" s="74"/>
      <c r="E269" s="2"/>
      <c r="F269" s="2"/>
      <c r="G269" s="2"/>
      <c r="H269" s="127"/>
      <c r="I269" s="62"/>
      <c r="J269" s="62"/>
      <c r="K269" s="62"/>
      <c r="L269" s="62"/>
      <c r="M269" s="62"/>
      <c r="N269" s="62"/>
      <c r="O269" s="62"/>
      <c r="P269" s="62"/>
      <c r="Q269" s="62"/>
      <c r="R269" s="62"/>
      <c r="S269" s="62"/>
      <c r="T269" s="62"/>
      <c r="U269" s="62"/>
      <c r="V269" s="62"/>
      <c r="W269" s="62"/>
      <c r="X269" s="62"/>
      <c r="Y269" s="62"/>
      <c r="Z269" s="62"/>
    </row>
    <row r="270" ht="15.75" customHeight="1">
      <c r="A270" s="74"/>
      <c r="B270" s="74"/>
      <c r="C270" s="74"/>
      <c r="D270" s="74"/>
      <c r="E270" s="2"/>
      <c r="F270" s="2"/>
      <c r="G270" s="2"/>
      <c r="H270" s="127"/>
      <c r="I270" s="62"/>
      <c r="J270" s="62"/>
      <c r="K270" s="62"/>
      <c r="L270" s="62"/>
      <c r="M270" s="62"/>
      <c r="N270" s="62"/>
      <c r="O270" s="62"/>
      <c r="P270" s="62"/>
      <c r="Q270" s="62"/>
      <c r="R270" s="62"/>
      <c r="S270" s="62"/>
      <c r="T270" s="62"/>
      <c r="U270" s="62"/>
      <c r="V270" s="62"/>
      <c r="W270" s="62"/>
      <c r="X270" s="62"/>
      <c r="Y270" s="62"/>
      <c r="Z270" s="62"/>
    </row>
    <row r="271" ht="15.75" customHeight="1">
      <c r="A271" s="74"/>
      <c r="B271" s="74"/>
      <c r="C271" s="74"/>
      <c r="D271" s="74"/>
      <c r="E271" s="2"/>
      <c r="F271" s="2"/>
      <c r="G271" s="2"/>
      <c r="H271" s="127"/>
      <c r="I271" s="62"/>
      <c r="J271" s="62"/>
      <c r="K271" s="62"/>
      <c r="L271" s="62"/>
      <c r="M271" s="62"/>
      <c r="N271" s="62"/>
      <c r="O271" s="62"/>
      <c r="P271" s="62"/>
      <c r="Q271" s="62"/>
      <c r="R271" s="62"/>
      <c r="S271" s="62"/>
      <c r="T271" s="62"/>
      <c r="U271" s="62"/>
      <c r="V271" s="62"/>
      <c r="W271" s="62"/>
      <c r="X271" s="62"/>
      <c r="Y271" s="62"/>
      <c r="Z271" s="62"/>
    </row>
    <row r="272" ht="15.75" customHeight="1">
      <c r="A272" s="74"/>
      <c r="B272" s="74"/>
      <c r="C272" s="74"/>
      <c r="D272" s="74"/>
      <c r="E272" s="2"/>
      <c r="F272" s="2"/>
      <c r="G272" s="2"/>
      <c r="H272" s="127"/>
      <c r="I272" s="62"/>
      <c r="J272" s="62"/>
      <c r="K272" s="62"/>
      <c r="L272" s="62"/>
      <c r="M272" s="62"/>
      <c r="N272" s="62"/>
      <c r="O272" s="62"/>
      <c r="P272" s="62"/>
      <c r="Q272" s="62"/>
      <c r="R272" s="62"/>
      <c r="S272" s="62"/>
      <c r="T272" s="62"/>
      <c r="U272" s="62"/>
      <c r="V272" s="62"/>
      <c r="W272" s="62"/>
      <c r="X272" s="62"/>
      <c r="Y272" s="62"/>
      <c r="Z272" s="62"/>
    </row>
    <row r="273" ht="15.75" customHeight="1">
      <c r="A273" s="74"/>
      <c r="B273" s="74"/>
      <c r="C273" s="74"/>
      <c r="D273" s="74"/>
      <c r="E273" s="2"/>
      <c r="F273" s="2"/>
      <c r="G273" s="2"/>
      <c r="H273" s="127"/>
      <c r="I273" s="62"/>
      <c r="J273" s="62"/>
      <c r="K273" s="62"/>
      <c r="L273" s="62"/>
      <c r="M273" s="62"/>
      <c r="N273" s="62"/>
      <c r="O273" s="62"/>
      <c r="P273" s="62"/>
      <c r="Q273" s="62"/>
      <c r="R273" s="62"/>
      <c r="S273" s="62"/>
      <c r="T273" s="62"/>
      <c r="U273" s="62"/>
      <c r="V273" s="62"/>
      <c r="W273" s="62"/>
      <c r="X273" s="62"/>
      <c r="Y273" s="62"/>
      <c r="Z273" s="62"/>
    </row>
    <row r="274" ht="15.75" customHeight="1">
      <c r="A274" s="74"/>
      <c r="B274" s="74"/>
      <c r="C274" s="74"/>
      <c r="D274" s="74"/>
      <c r="E274" s="2"/>
      <c r="F274" s="2"/>
      <c r="G274" s="2"/>
      <c r="H274" s="127"/>
      <c r="I274" s="62"/>
      <c r="J274" s="62"/>
      <c r="K274" s="62"/>
      <c r="L274" s="62"/>
      <c r="M274" s="62"/>
      <c r="N274" s="62"/>
      <c r="O274" s="62"/>
      <c r="P274" s="62"/>
      <c r="Q274" s="62"/>
      <c r="R274" s="62"/>
      <c r="S274" s="62"/>
      <c r="T274" s="62"/>
      <c r="U274" s="62"/>
      <c r="V274" s="62"/>
      <c r="W274" s="62"/>
      <c r="X274" s="62"/>
      <c r="Y274" s="62"/>
      <c r="Z274" s="62"/>
    </row>
    <row r="275" ht="15.75" customHeight="1">
      <c r="A275" s="74"/>
      <c r="B275" s="74"/>
      <c r="C275" s="74"/>
      <c r="D275" s="74"/>
      <c r="E275" s="2"/>
      <c r="F275" s="2"/>
      <c r="G275" s="2"/>
      <c r="H275" s="127"/>
      <c r="I275" s="62"/>
      <c r="J275" s="62"/>
      <c r="K275" s="62"/>
      <c r="L275" s="62"/>
      <c r="M275" s="62"/>
      <c r="N275" s="62"/>
      <c r="O275" s="62"/>
      <c r="P275" s="62"/>
      <c r="Q275" s="62"/>
      <c r="R275" s="62"/>
      <c r="S275" s="62"/>
      <c r="T275" s="62"/>
      <c r="U275" s="62"/>
      <c r="V275" s="62"/>
      <c r="W275" s="62"/>
      <c r="X275" s="62"/>
      <c r="Y275" s="62"/>
      <c r="Z275" s="62"/>
    </row>
    <row r="276" ht="15.75" customHeight="1">
      <c r="A276" s="74"/>
      <c r="B276" s="74"/>
      <c r="C276" s="74"/>
      <c r="D276" s="74"/>
      <c r="E276" s="2"/>
      <c r="F276" s="2"/>
      <c r="G276" s="2"/>
      <c r="H276" s="127"/>
      <c r="I276" s="62"/>
      <c r="J276" s="62"/>
      <c r="K276" s="62"/>
      <c r="L276" s="62"/>
      <c r="M276" s="62"/>
      <c r="N276" s="62"/>
      <c r="O276" s="62"/>
      <c r="P276" s="62"/>
      <c r="Q276" s="62"/>
      <c r="R276" s="62"/>
      <c r="S276" s="62"/>
      <c r="T276" s="62"/>
      <c r="U276" s="62"/>
      <c r="V276" s="62"/>
      <c r="W276" s="62"/>
      <c r="X276" s="62"/>
      <c r="Y276" s="62"/>
      <c r="Z276" s="62"/>
    </row>
    <row r="277" ht="15.75" customHeight="1">
      <c r="A277" s="74"/>
      <c r="B277" s="74"/>
      <c r="C277" s="74"/>
      <c r="D277" s="74"/>
      <c r="E277" s="2"/>
      <c r="F277" s="2"/>
      <c r="G277" s="2"/>
      <c r="H277" s="127"/>
      <c r="I277" s="62"/>
      <c r="J277" s="62"/>
      <c r="K277" s="62"/>
      <c r="L277" s="62"/>
      <c r="M277" s="62"/>
      <c r="N277" s="62"/>
      <c r="O277" s="62"/>
      <c r="P277" s="62"/>
      <c r="Q277" s="62"/>
      <c r="R277" s="62"/>
      <c r="S277" s="62"/>
      <c r="T277" s="62"/>
      <c r="U277" s="62"/>
      <c r="V277" s="62"/>
      <c r="W277" s="62"/>
      <c r="X277" s="62"/>
      <c r="Y277" s="62"/>
      <c r="Z277" s="62"/>
    </row>
    <row r="278" ht="15.75" customHeight="1">
      <c r="A278" s="74"/>
      <c r="B278" s="74"/>
      <c r="C278" s="74"/>
      <c r="D278" s="74"/>
      <c r="E278" s="2"/>
      <c r="F278" s="2"/>
      <c r="G278" s="2"/>
      <c r="H278" s="127"/>
      <c r="I278" s="62"/>
      <c r="J278" s="62"/>
      <c r="K278" s="62"/>
      <c r="L278" s="62"/>
      <c r="M278" s="62"/>
      <c r="N278" s="62"/>
      <c r="O278" s="62"/>
      <c r="P278" s="62"/>
      <c r="Q278" s="62"/>
      <c r="R278" s="62"/>
      <c r="S278" s="62"/>
      <c r="T278" s="62"/>
      <c r="U278" s="62"/>
      <c r="V278" s="62"/>
      <c r="W278" s="62"/>
      <c r="X278" s="62"/>
      <c r="Y278" s="62"/>
      <c r="Z278" s="62"/>
    </row>
    <row r="279" ht="15.75" customHeight="1">
      <c r="A279" s="74"/>
      <c r="B279" s="74"/>
      <c r="C279" s="74"/>
      <c r="D279" s="74"/>
      <c r="E279" s="2"/>
      <c r="F279" s="2"/>
      <c r="G279" s="2"/>
      <c r="H279" s="127"/>
      <c r="I279" s="62"/>
      <c r="J279" s="62"/>
      <c r="K279" s="62"/>
      <c r="L279" s="62"/>
      <c r="M279" s="62"/>
      <c r="N279" s="62"/>
      <c r="O279" s="62"/>
      <c r="P279" s="62"/>
      <c r="Q279" s="62"/>
      <c r="R279" s="62"/>
      <c r="S279" s="62"/>
      <c r="T279" s="62"/>
      <c r="U279" s="62"/>
      <c r="V279" s="62"/>
      <c r="W279" s="62"/>
      <c r="X279" s="62"/>
      <c r="Y279" s="62"/>
      <c r="Z279" s="62"/>
    </row>
    <row r="280" ht="15.75" customHeight="1">
      <c r="A280" s="74"/>
      <c r="B280" s="74"/>
      <c r="C280" s="74"/>
      <c r="D280" s="74"/>
      <c r="E280" s="2"/>
      <c r="F280" s="2"/>
      <c r="G280" s="2"/>
      <c r="H280" s="127"/>
      <c r="I280" s="62"/>
      <c r="J280" s="62"/>
      <c r="K280" s="62"/>
      <c r="L280" s="62"/>
      <c r="M280" s="62"/>
      <c r="N280" s="62"/>
      <c r="O280" s="62"/>
      <c r="P280" s="62"/>
      <c r="Q280" s="62"/>
      <c r="R280" s="62"/>
      <c r="S280" s="62"/>
      <c r="T280" s="62"/>
      <c r="U280" s="62"/>
      <c r="V280" s="62"/>
      <c r="W280" s="62"/>
      <c r="X280" s="62"/>
      <c r="Y280" s="62"/>
      <c r="Z280" s="62"/>
    </row>
    <row r="281" ht="15.75" customHeight="1">
      <c r="A281" s="74"/>
      <c r="B281" s="74"/>
      <c r="C281" s="74"/>
      <c r="D281" s="74"/>
      <c r="E281" s="2"/>
      <c r="F281" s="2"/>
      <c r="G281" s="2"/>
      <c r="H281" s="127"/>
      <c r="I281" s="62"/>
      <c r="J281" s="62"/>
      <c r="K281" s="62"/>
      <c r="L281" s="62"/>
      <c r="M281" s="62"/>
      <c r="N281" s="62"/>
      <c r="O281" s="62"/>
      <c r="P281" s="62"/>
      <c r="Q281" s="62"/>
      <c r="R281" s="62"/>
      <c r="S281" s="62"/>
      <c r="T281" s="62"/>
      <c r="U281" s="62"/>
      <c r="V281" s="62"/>
      <c r="W281" s="62"/>
      <c r="X281" s="62"/>
      <c r="Y281" s="62"/>
      <c r="Z281" s="62"/>
    </row>
    <row r="282" ht="15.75" customHeight="1">
      <c r="A282" s="74"/>
      <c r="B282" s="74"/>
      <c r="C282" s="74"/>
      <c r="D282" s="74"/>
      <c r="E282" s="2"/>
      <c r="F282" s="2"/>
      <c r="G282" s="2"/>
      <c r="H282" s="127"/>
      <c r="I282" s="62"/>
      <c r="J282" s="62"/>
      <c r="K282" s="62"/>
      <c r="L282" s="62"/>
      <c r="M282" s="62"/>
      <c r="N282" s="62"/>
      <c r="O282" s="62"/>
      <c r="P282" s="62"/>
      <c r="Q282" s="62"/>
      <c r="R282" s="62"/>
      <c r="S282" s="62"/>
      <c r="T282" s="62"/>
      <c r="U282" s="62"/>
      <c r="V282" s="62"/>
      <c r="W282" s="62"/>
      <c r="X282" s="62"/>
      <c r="Y282" s="62"/>
      <c r="Z282" s="62"/>
    </row>
    <row r="283" ht="15.75" customHeight="1">
      <c r="A283" s="74"/>
      <c r="B283" s="74"/>
      <c r="C283" s="74"/>
      <c r="D283" s="74"/>
      <c r="E283" s="2"/>
      <c r="F283" s="2"/>
      <c r="G283" s="2"/>
      <c r="H283" s="127"/>
      <c r="I283" s="62"/>
      <c r="J283" s="62"/>
      <c r="K283" s="62"/>
      <c r="L283" s="62"/>
      <c r="M283" s="62"/>
      <c r="N283" s="62"/>
      <c r="O283" s="62"/>
      <c r="P283" s="62"/>
      <c r="Q283" s="62"/>
      <c r="R283" s="62"/>
      <c r="S283" s="62"/>
      <c r="T283" s="62"/>
      <c r="U283" s="62"/>
      <c r="V283" s="62"/>
      <c r="W283" s="62"/>
      <c r="X283" s="62"/>
      <c r="Y283" s="62"/>
      <c r="Z283" s="62"/>
    </row>
    <row r="284" ht="15.75" customHeight="1">
      <c r="A284" s="74"/>
      <c r="B284" s="74"/>
      <c r="C284" s="74"/>
      <c r="D284" s="74"/>
      <c r="E284" s="2"/>
      <c r="F284" s="2"/>
      <c r="G284" s="2"/>
      <c r="H284" s="127"/>
      <c r="I284" s="62"/>
      <c r="J284" s="62"/>
      <c r="K284" s="62"/>
      <c r="L284" s="62"/>
      <c r="M284" s="62"/>
      <c r="N284" s="62"/>
      <c r="O284" s="62"/>
      <c r="P284" s="62"/>
      <c r="Q284" s="62"/>
      <c r="R284" s="62"/>
      <c r="S284" s="62"/>
      <c r="T284" s="62"/>
      <c r="U284" s="62"/>
      <c r="V284" s="62"/>
      <c r="W284" s="62"/>
      <c r="X284" s="62"/>
      <c r="Y284" s="62"/>
      <c r="Z284" s="62"/>
    </row>
    <row r="285" ht="15.75" customHeight="1">
      <c r="A285" s="74"/>
      <c r="B285" s="74"/>
      <c r="C285" s="74"/>
      <c r="D285" s="74"/>
      <c r="E285" s="2"/>
      <c r="F285" s="2"/>
      <c r="G285" s="2"/>
      <c r="H285" s="127"/>
      <c r="I285" s="62"/>
      <c r="J285" s="62"/>
      <c r="K285" s="62"/>
      <c r="L285" s="62"/>
      <c r="M285" s="62"/>
      <c r="N285" s="62"/>
      <c r="O285" s="62"/>
      <c r="P285" s="62"/>
      <c r="Q285" s="62"/>
      <c r="R285" s="62"/>
      <c r="S285" s="62"/>
      <c r="T285" s="62"/>
      <c r="U285" s="62"/>
      <c r="V285" s="62"/>
      <c r="W285" s="62"/>
      <c r="X285" s="62"/>
      <c r="Y285" s="62"/>
      <c r="Z285" s="62"/>
    </row>
    <row r="286" ht="15.75" customHeight="1">
      <c r="A286" s="74"/>
      <c r="B286" s="74"/>
      <c r="C286" s="74"/>
      <c r="D286" s="74"/>
      <c r="E286" s="2"/>
      <c r="F286" s="2"/>
      <c r="G286" s="2"/>
      <c r="H286" s="127"/>
      <c r="I286" s="62"/>
      <c r="J286" s="62"/>
      <c r="K286" s="62"/>
      <c r="L286" s="62"/>
      <c r="M286" s="62"/>
      <c r="N286" s="62"/>
      <c r="O286" s="62"/>
      <c r="P286" s="62"/>
      <c r="Q286" s="62"/>
      <c r="R286" s="62"/>
      <c r="S286" s="62"/>
      <c r="T286" s="62"/>
      <c r="U286" s="62"/>
      <c r="V286" s="62"/>
      <c r="W286" s="62"/>
      <c r="X286" s="62"/>
      <c r="Y286" s="62"/>
      <c r="Z286" s="62"/>
    </row>
    <row r="287" ht="15.75" customHeight="1">
      <c r="A287" s="74"/>
      <c r="B287" s="74"/>
      <c r="C287" s="74"/>
      <c r="D287" s="74"/>
      <c r="E287" s="2"/>
      <c r="F287" s="2"/>
      <c r="G287" s="2"/>
      <c r="H287" s="127"/>
      <c r="I287" s="62"/>
      <c r="J287" s="62"/>
      <c r="K287" s="62"/>
      <c r="L287" s="62"/>
      <c r="M287" s="62"/>
      <c r="N287" s="62"/>
      <c r="O287" s="62"/>
      <c r="P287" s="62"/>
      <c r="Q287" s="62"/>
      <c r="R287" s="62"/>
      <c r="S287" s="62"/>
      <c r="T287" s="62"/>
      <c r="U287" s="62"/>
      <c r="V287" s="62"/>
      <c r="W287" s="62"/>
      <c r="X287" s="62"/>
      <c r="Y287" s="62"/>
      <c r="Z287" s="62"/>
    </row>
    <row r="288" ht="15.75" customHeight="1">
      <c r="A288" s="74"/>
      <c r="B288" s="74"/>
      <c r="C288" s="74"/>
      <c r="D288" s="74"/>
      <c r="E288" s="2"/>
      <c r="F288" s="2"/>
      <c r="G288" s="2"/>
      <c r="H288" s="127"/>
      <c r="I288" s="62"/>
      <c r="J288" s="62"/>
      <c r="K288" s="62"/>
      <c r="L288" s="62"/>
      <c r="M288" s="62"/>
      <c r="N288" s="62"/>
      <c r="O288" s="62"/>
      <c r="P288" s="62"/>
      <c r="Q288" s="62"/>
      <c r="R288" s="62"/>
      <c r="S288" s="62"/>
      <c r="T288" s="62"/>
      <c r="U288" s="62"/>
      <c r="V288" s="62"/>
      <c r="W288" s="62"/>
      <c r="X288" s="62"/>
      <c r="Y288" s="62"/>
      <c r="Z288" s="62"/>
    </row>
    <row r="289" ht="15.75" customHeight="1">
      <c r="A289" s="74"/>
      <c r="B289" s="74"/>
      <c r="C289" s="74"/>
      <c r="D289" s="74"/>
      <c r="E289" s="2"/>
      <c r="F289" s="2"/>
      <c r="G289" s="2"/>
      <c r="H289" s="127"/>
      <c r="I289" s="62"/>
      <c r="J289" s="62"/>
      <c r="K289" s="62"/>
      <c r="L289" s="62"/>
      <c r="M289" s="62"/>
      <c r="N289" s="62"/>
      <c r="O289" s="62"/>
      <c r="P289" s="62"/>
      <c r="Q289" s="62"/>
      <c r="R289" s="62"/>
      <c r="S289" s="62"/>
      <c r="T289" s="62"/>
      <c r="U289" s="62"/>
      <c r="V289" s="62"/>
      <c r="W289" s="62"/>
      <c r="X289" s="62"/>
      <c r="Y289" s="62"/>
      <c r="Z289" s="62"/>
    </row>
    <row r="290" ht="15.75" customHeight="1">
      <c r="A290" s="74"/>
      <c r="B290" s="74"/>
      <c r="C290" s="74"/>
      <c r="D290" s="74"/>
      <c r="E290" s="2"/>
      <c r="F290" s="2"/>
      <c r="G290" s="2"/>
      <c r="H290" s="127"/>
      <c r="I290" s="62"/>
      <c r="J290" s="62"/>
      <c r="K290" s="62"/>
      <c r="L290" s="62"/>
      <c r="M290" s="62"/>
      <c r="N290" s="62"/>
      <c r="O290" s="62"/>
      <c r="P290" s="62"/>
      <c r="Q290" s="62"/>
      <c r="R290" s="62"/>
      <c r="S290" s="62"/>
      <c r="T290" s="62"/>
      <c r="U290" s="62"/>
      <c r="V290" s="62"/>
      <c r="W290" s="62"/>
      <c r="X290" s="62"/>
      <c r="Y290" s="62"/>
      <c r="Z290" s="62"/>
    </row>
    <row r="291" ht="15.75" customHeight="1">
      <c r="A291" s="74"/>
      <c r="B291" s="74"/>
      <c r="C291" s="74"/>
      <c r="D291" s="74"/>
      <c r="E291" s="2"/>
      <c r="F291" s="2"/>
      <c r="G291" s="2"/>
      <c r="H291" s="127"/>
      <c r="I291" s="62"/>
      <c r="J291" s="62"/>
      <c r="K291" s="62"/>
      <c r="L291" s="62"/>
      <c r="M291" s="62"/>
      <c r="N291" s="62"/>
      <c r="O291" s="62"/>
      <c r="P291" s="62"/>
      <c r="Q291" s="62"/>
      <c r="R291" s="62"/>
      <c r="S291" s="62"/>
      <c r="T291" s="62"/>
      <c r="U291" s="62"/>
      <c r="V291" s="62"/>
      <c r="W291" s="62"/>
      <c r="X291" s="62"/>
      <c r="Y291" s="62"/>
      <c r="Z291" s="62"/>
    </row>
    <row r="292" ht="15.75" customHeight="1">
      <c r="A292" s="74"/>
      <c r="B292" s="74"/>
      <c r="C292" s="74"/>
      <c r="D292" s="74"/>
      <c r="E292" s="2"/>
      <c r="F292" s="2"/>
      <c r="G292" s="2"/>
      <c r="H292" s="127"/>
      <c r="I292" s="62"/>
      <c r="J292" s="62"/>
      <c r="K292" s="62"/>
      <c r="L292" s="62"/>
      <c r="M292" s="62"/>
      <c r="N292" s="62"/>
      <c r="O292" s="62"/>
      <c r="P292" s="62"/>
      <c r="Q292" s="62"/>
      <c r="R292" s="62"/>
      <c r="S292" s="62"/>
      <c r="T292" s="62"/>
      <c r="U292" s="62"/>
      <c r="V292" s="62"/>
      <c r="W292" s="62"/>
      <c r="X292" s="62"/>
      <c r="Y292" s="62"/>
      <c r="Z292" s="62"/>
    </row>
    <row r="293" ht="15.75" customHeight="1">
      <c r="A293" s="74"/>
      <c r="B293" s="74"/>
      <c r="C293" s="74"/>
      <c r="D293" s="74"/>
      <c r="E293" s="2"/>
      <c r="F293" s="2"/>
      <c r="G293" s="2"/>
      <c r="H293" s="127"/>
      <c r="I293" s="62"/>
      <c r="J293" s="62"/>
      <c r="K293" s="62"/>
      <c r="L293" s="62"/>
      <c r="M293" s="62"/>
      <c r="N293" s="62"/>
      <c r="O293" s="62"/>
      <c r="P293" s="62"/>
      <c r="Q293" s="62"/>
      <c r="R293" s="62"/>
      <c r="S293" s="62"/>
      <c r="T293" s="62"/>
      <c r="U293" s="62"/>
      <c r="V293" s="62"/>
      <c r="W293" s="62"/>
      <c r="X293" s="62"/>
      <c r="Y293" s="62"/>
      <c r="Z293" s="62"/>
    </row>
    <row r="294" ht="15.75" customHeight="1">
      <c r="A294" s="74"/>
      <c r="B294" s="74"/>
      <c r="C294" s="74"/>
      <c r="D294" s="74"/>
      <c r="E294" s="2"/>
      <c r="F294" s="2"/>
      <c r="G294" s="2"/>
      <c r="H294" s="127"/>
      <c r="I294" s="62"/>
      <c r="J294" s="62"/>
      <c r="K294" s="62"/>
      <c r="L294" s="62"/>
      <c r="M294" s="62"/>
      <c r="N294" s="62"/>
      <c r="O294" s="62"/>
      <c r="P294" s="62"/>
      <c r="Q294" s="62"/>
      <c r="R294" s="62"/>
      <c r="S294" s="62"/>
      <c r="T294" s="62"/>
      <c r="U294" s="62"/>
      <c r="V294" s="62"/>
      <c r="W294" s="62"/>
      <c r="X294" s="62"/>
      <c r="Y294" s="62"/>
      <c r="Z294" s="62"/>
    </row>
    <row r="295" ht="15.75" customHeight="1">
      <c r="A295" s="74"/>
      <c r="B295" s="74"/>
      <c r="C295" s="74"/>
      <c r="D295" s="74"/>
      <c r="E295" s="2"/>
      <c r="F295" s="2"/>
      <c r="G295" s="2"/>
      <c r="H295" s="127"/>
      <c r="I295" s="62"/>
      <c r="J295" s="62"/>
      <c r="K295" s="62"/>
      <c r="L295" s="62"/>
      <c r="M295" s="62"/>
      <c r="N295" s="62"/>
      <c r="O295" s="62"/>
      <c r="P295" s="62"/>
      <c r="Q295" s="62"/>
      <c r="R295" s="62"/>
      <c r="S295" s="62"/>
      <c r="T295" s="62"/>
      <c r="U295" s="62"/>
      <c r="V295" s="62"/>
      <c r="W295" s="62"/>
      <c r="X295" s="62"/>
      <c r="Y295" s="62"/>
      <c r="Z295" s="62"/>
    </row>
    <row r="296" ht="15.75" customHeight="1">
      <c r="A296" s="74"/>
      <c r="B296" s="74"/>
      <c r="C296" s="74"/>
      <c r="D296" s="74"/>
      <c r="E296" s="2"/>
      <c r="F296" s="2"/>
      <c r="G296" s="2"/>
      <c r="H296" s="127"/>
      <c r="I296" s="62"/>
      <c r="J296" s="62"/>
      <c r="K296" s="62"/>
      <c r="L296" s="62"/>
      <c r="M296" s="62"/>
      <c r="N296" s="62"/>
      <c r="O296" s="62"/>
      <c r="P296" s="62"/>
      <c r="Q296" s="62"/>
      <c r="R296" s="62"/>
      <c r="S296" s="62"/>
      <c r="T296" s="62"/>
      <c r="U296" s="62"/>
      <c r="V296" s="62"/>
      <c r="W296" s="62"/>
      <c r="X296" s="62"/>
      <c r="Y296" s="62"/>
      <c r="Z296" s="62"/>
    </row>
    <row r="297" ht="15.75" customHeight="1">
      <c r="A297" s="74"/>
      <c r="B297" s="74"/>
      <c r="C297" s="74"/>
      <c r="D297" s="74"/>
      <c r="E297" s="2"/>
      <c r="F297" s="2"/>
      <c r="G297" s="2"/>
      <c r="H297" s="127"/>
      <c r="I297" s="62"/>
      <c r="J297" s="62"/>
      <c r="K297" s="62"/>
      <c r="L297" s="62"/>
      <c r="M297" s="62"/>
      <c r="N297" s="62"/>
      <c r="O297" s="62"/>
      <c r="P297" s="62"/>
      <c r="Q297" s="62"/>
      <c r="R297" s="62"/>
      <c r="S297" s="62"/>
      <c r="T297" s="62"/>
      <c r="U297" s="62"/>
      <c r="V297" s="62"/>
      <c r="W297" s="62"/>
      <c r="X297" s="62"/>
      <c r="Y297" s="62"/>
      <c r="Z297" s="62"/>
    </row>
    <row r="298" ht="15.75" customHeight="1">
      <c r="A298" s="74"/>
      <c r="B298" s="74"/>
      <c r="C298" s="74"/>
      <c r="D298" s="74"/>
      <c r="E298" s="2"/>
      <c r="F298" s="2"/>
      <c r="G298" s="2"/>
      <c r="H298" s="127"/>
      <c r="I298" s="62"/>
      <c r="J298" s="62"/>
      <c r="K298" s="62"/>
      <c r="L298" s="62"/>
      <c r="M298" s="62"/>
      <c r="N298" s="62"/>
      <c r="O298" s="62"/>
      <c r="P298" s="62"/>
      <c r="Q298" s="62"/>
      <c r="R298" s="62"/>
      <c r="S298" s="62"/>
      <c r="T298" s="62"/>
      <c r="U298" s="62"/>
      <c r="V298" s="62"/>
      <c r="W298" s="62"/>
      <c r="X298" s="62"/>
      <c r="Y298" s="62"/>
      <c r="Z298" s="62"/>
    </row>
    <row r="299" ht="15.75" customHeight="1">
      <c r="A299" s="74"/>
      <c r="B299" s="74"/>
      <c r="C299" s="74"/>
      <c r="D299" s="74"/>
      <c r="E299" s="2"/>
      <c r="F299" s="2"/>
      <c r="G299" s="2"/>
      <c r="H299" s="127"/>
      <c r="I299" s="62"/>
      <c r="J299" s="62"/>
      <c r="K299" s="62"/>
      <c r="L299" s="62"/>
      <c r="M299" s="62"/>
      <c r="N299" s="62"/>
      <c r="O299" s="62"/>
      <c r="P299" s="62"/>
      <c r="Q299" s="62"/>
      <c r="R299" s="62"/>
      <c r="S299" s="62"/>
      <c r="T299" s="62"/>
      <c r="U299" s="62"/>
      <c r="V299" s="62"/>
      <c r="W299" s="62"/>
      <c r="X299" s="62"/>
      <c r="Y299" s="62"/>
      <c r="Z299" s="62"/>
    </row>
    <row r="300" ht="15.75" customHeight="1">
      <c r="A300" s="74"/>
      <c r="B300" s="74"/>
      <c r="C300" s="74"/>
      <c r="D300" s="74"/>
      <c r="E300" s="2"/>
      <c r="F300" s="2"/>
      <c r="G300" s="2"/>
      <c r="H300" s="127"/>
      <c r="I300" s="62"/>
      <c r="J300" s="62"/>
      <c r="K300" s="62"/>
      <c r="L300" s="62"/>
      <c r="M300" s="62"/>
      <c r="N300" s="62"/>
      <c r="O300" s="62"/>
      <c r="P300" s="62"/>
      <c r="Q300" s="62"/>
      <c r="R300" s="62"/>
      <c r="S300" s="62"/>
      <c r="T300" s="62"/>
      <c r="U300" s="62"/>
      <c r="V300" s="62"/>
      <c r="W300" s="62"/>
      <c r="X300" s="62"/>
      <c r="Y300" s="62"/>
      <c r="Z300" s="62"/>
    </row>
    <row r="301" ht="15.75" customHeight="1">
      <c r="A301" s="74"/>
      <c r="B301" s="74"/>
      <c r="C301" s="74"/>
      <c r="D301" s="74"/>
      <c r="E301" s="2"/>
      <c r="F301" s="2"/>
      <c r="G301" s="2"/>
      <c r="H301" s="127"/>
      <c r="I301" s="62"/>
      <c r="J301" s="62"/>
      <c r="K301" s="62"/>
      <c r="L301" s="62"/>
      <c r="M301" s="62"/>
      <c r="N301" s="62"/>
      <c r="O301" s="62"/>
      <c r="P301" s="62"/>
      <c r="Q301" s="62"/>
      <c r="R301" s="62"/>
      <c r="S301" s="62"/>
      <c r="T301" s="62"/>
      <c r="U301" s="62"/>
      <c r="V301" s="62"/>
      <c r="W301" s="62"/>
      <c r="X301" s="62"/>
      <c r="Y301" s="62"/>
      <c r="Z301" s="62"/>
    </row>
    <row r="302" ht="15.75" customHeight="1">
      <c r="A302" s="74"/>
      <c r="B302" s="74"/>
      <c r="C302" s="74"/>
      <c r="D302" s="74"/>
      <c r="E302" s="2"/>
      <c r="F302" s="2"/>
      <c r="G302" s="2"/>
      <c r="H302" s="127"/>
      <c r="I302" s="62"/>
      <c r="J302" s="62"/>
      <c r="K302" s="62"/>
      <c r="L302" s="62"/>
      <c r="M302" s="62"/>
      <c r="N302" s="62"/>
      <c r="O302" s="62"/>
      <c r="P302" s="62"/>
      <c r="Q302" s="62"/>
      <c r="R302" s="62"/>
      <c r="S302" s="62"/>
      <c r="T302" s="62"/>
      <c r="U302" s="62"/>
      <c r="V302" s="62"/>
      <c r="W302" s="62"/>
      <c r="X302" s="62"/>
      <c r="Y302" s="62"/>
      <c r="Z302" s="62"/>
    </row>
    <row r="303" ht="15.75" customHeight="1">
      <c r="A303" s="74"/>
      <c r="B303" s="74"/>
      <c r="C303" s="74"/>
      <c r="D303" s="74"/>
      <c r="E303" s="2"/>
      <c r="F303" s="2"/>
      <c r="G303" s="2"/>
      <c r="H303" s="127"/>
      <c r="I303" s="62"/>
      <c r="J303" s="62"/>
      <c r="K303" s="62"/>
      <c r="L303" s="62"/>
      <c r="M303" s="62"/>
      <c r="N303" s="62"/>
      <c r="O303" s="62"/>
      <c r="P303" s="62"/>
      <c r="Q303" s="62"/>
      <c r="R303" s="62"/>
      <c r="S303" s="62"/>
      <c r="T303" s="62"/>
      <c r="U303" s="62"/>
      <c r="V303" s="62"/>
      <c r="W303" s="62"/>
      <c r="X303" s="62"/>
      <c r="Y303" s="62"/>
      <c r="Z303" s="62"/>
    </row>
    <row r="304" ht="15.75" customHeight="1">
      <c r="A304" s="74"/>
      <c r="B304" s="74"/>
      <c r="C304" s="74"/>
      <c r="D304" s="74"/>
      <c r="E304" s="2"/>
      <c r="F304" s="2"/>
      <c r="G304" s="2"/>
      <c r="H304" s="127"/>
      <c r="I304" s="62"/>
      <c r="J304" s="62"/>
      <c r="K304" s="62"/>
      <c r="L304" s="62"/>
      <c r="M304" s="62"/>
      <c r="N304" s="62"/>
      <c r="O304" s="62"/>
      <c r="P304" s="62"/>
      <c r="Q304" s="62"/>
      <c r="R304" s="62"/>
      <c r="S304" s="62"/>
      <c r="T304" s="62"/>
      <c r="U304" s="62"/>
      <c r="V304" s="62"/>
      <c r="W304" s="62"/>
      <c r="X304" s="62"/>
      <c r="Y304" s="62"/>
      <c r="Z304" s="62"/>
    </row>
    <row r="305" ht="15.75" customHeight="1">
      <c r="A305" s="74"/>
      <c r="B305" s="74"/>
      <c r="C305" s="74"/>
      <c r="D305" s="74"/>
      <c r="E305" s="2"/>
      <c r="F305" s="2"/>
      <c r="G305" s="2"/>
      <c r="H305" s="127"/>
      <c r="I305" s="62"/>
      <c r="J305" s="62"/>
      <c r="K305" s="62"/>
      <c r="L305" s="62"/>
      <c r="M305" s="62"/>
      <c r="N305" s="62"/>
      <c r="O305" s="62"/>
      <c r="P305" s="62"/>
      <c r="Q305" s="62"/>
      <c r="R305" s="62"/>
      <c r="S305" s="62"/>
      <c r="T305" s="62"/>
      <c r="U305" s="62"/>
      <c r="V305" s="62"/>
      <c r="W305" s="62"/>
      <c r="X305" s="62"/>
      <c r="Y305" s="62"/>
      <c r="Z305" s="62"/>
    </row>
    <row r="306" ht="15.75" customHeight="1">
      <c r="A306" s="74"/>
      <c r="B306" s="74"/>
      <c r="C306" s="74"/>
      <c r="D306" s="74"/>
      <c r="E306" s="2"/>
      <c r="F306" s="2"/>
      <c r="G306" s="2"/>
      <c r="H306" s="127"/>
      <c r="I306" s="62"/>
      <c r="J306" s="62"/>
      <c r="K306" s="62"/>
      <c r="L306" s="62"/>
      <c r="M306" s="62"/>
      <c r="N306" s="62"/>
      <c r="O306" s="62"/>
      <c r="P306" s="62"/>
      <c r="Q306" s="62"/>
      <c r="R306" s="62"/>
      <c r="S306" s="62"/>
      <c r="T306" s="62"/>
      <c r="U306" s="62"/>
      <c r="V306" s="62"/>
      <c r="W306" s="62"/>
      <c r="X306" s="62"/>
      <c r="Y306" s="62"/>
      <c r="Z306" s="62"/>
    </row>
    <row r="307" ht="15.75" customHeight="1">
      <c r="A307" s="74"/>
      <c r="B307" s="74"/>
      <c r="C307" s="74"/>
      <c r="D307" s="74"/>
      <c r="E307" s="2"/>
      <c r="F307" s="2"/>
      <c r="G307" s="2"/>
      <c r="H307" s="127"/>
      <c r="I307" s="62"/>
      <c r="J307" s="62"/>
      <c r="K307" s="62"/>
      <c r="L307" s="62"/>
      <c r="M307" s="62"/>
      <c r="N307" s="62"/>
      <c r="O307" s="62"/>
      <c r="P307" s="62"/>
      <c r="Q307" s="62"/>
      <c r="R307" s="62"/>
      <c r="S307" s="62"/>
      <c r="T307" s="62"/>
      <c r="U307" s="62"/>
      <c r="V307" s="62"/>
      <c r="W307" s="62"/>
      <c r="X307" s="62"/>
      <c r="Y307" s="62"/>
      <c r="Z307" s="62"/>
    </row>
    <row r="308" ht="15.75" customHeight="1">
      <c r="A308" s="74"/>
      <c r="B308" s="74"/>
      <c r="C308" s="74"/>
      <c r="D308" s="74"/>
      <c r="E308" s="2"/>
      <c r="F308" s="2"/>
      <c r="G308" s="2"/>
      <c r="H308" s="127"/>
      <c r="I308" s="62"/>
      <c r="J308" s="62"/>
      <c r="K308" s="62"/>
      <c r="L308" s="62"/>
      <c r="M308" s="62"/>
      <c r="N308" s="62"/>
      <c r="O308" s="62"/>
      <c r="P308" s="62"/>
      <c r="Q308" s="62"/>
      <c r="R308" s="62"/>
      <c r="S308" s="62"/>
      <c r="T308" s="62"/>
      <c r="U308" s="62"/>
      <c r="V308" s="62"/>
      <c r="W308" s="62"/>
      <c r="X308" s="62"/>
      <c r="Y308" s="62"/>
      <c r="Z308" s="62"/>
    </row>
    <row r="309" ht="15.75" customHeight="1">
      <c r="A309" s="74"/>
      <c r="B309" s="74"/>
      <c r="C309" s="74"/>
      <c r="D309" s="74"/>
      <c r="E309" s="2"/>
      <c r="F309" s="2"/>
      <c r="G309" s="2"/>
      <c r="H309" s="127"/>
      <c r="I309" s="62"/>
      <c r="J309" s="62"/>
      <c r="K309" s="62"/>
      <c r="L309" s="62"/>
      <c r="M309" s="62"/>
      <c r="N309" s="62"/>
      <c r="O309" s="62"/>
      <c r="P309" s="62"/>
      <c r="Q309" s="62"/>
      <c r="R309" s="62"/>
      <c r="S309" s="62"/>
      <c r="T309" s="62"/>
      <c r="U309" s="62"/>
      <c r="V309" s="62"/>
      <c r="W309" s="62"/>
      <c r="X309" s="62"/>
      <c r="Y309" s="62"/>
      <c r="Z309" s="62"/>
    </row>
    <row r="310" ht="15.75" customHeight="1">
      <c r="A310" s="74"/>
      <c r="B310" s="74"/>
      <c r="C310" s="74"/>
      <c r="D310" s="74"/>
      <c r="E310" s="2"/>
      <c r="F310" s="2"/>
      <c r="G310" s="2"/>
      <c r="H310" s="127"/>
      <c r="I310" s="62"/>
      <c r="J310" s="62"/>
      <c r="K310" s="62"/>
      <c r="L310" s="62"/>
      <c r="M310" s="62"/>
      <c r="N310" s="62"/>
      <c r="O310" s="62"/>
      <c r="P310" s="62"/>
      <c r="Q310" s="62"/>
      <c r="R310" s="62"/>
      <c r="S310" s="62"/>
      <c r="T310" s="62"/>
      <c r="U310" s="62"/>
      <c r="V310" s="62"/>
      <c r="W310" s="62"/>
      <c r="X310" s="62"/>
      <c r="Y310" s="62"/>
      <c r="Z310" s="62"/>
    </row>
    <row r="311" ht="15.75" customHeight="1">
      <c r="A311" s="74"/>
      <c r="B311" s="74"/>
      <c r="C311" s="74"/>
      <c r="D311" s="74"/>
      <c r="E311" s="2"/>
      <c r="F311" s="2"/>
      <c r="G311" s="2"/>
      <c r="H311" s="127"/>
      <c r="I311" s="62"/>
      <c r="J311" s="62"/>
      <c r="K311" s="62"/>
      <c r="L311" s="62"/>
      <c r="M311" s="62"/>
      <c r="N311" s="62"/>
      <c r="O311" s="62"/>
      <c r="P311" s="62"/>
      <c r="Q311" s="62"/>
      <c r="R311" s="62"/>
      <c r="S311" s="62"/>
      <c r="T311" s="62"/>
      <c r="U311" s="62"/>
      <c r="V311" s="62"/>
      <c r="W311" s="62"/>
      <c r="X311" s="62"/>
      <c r="Y311" s="62"/>
      <c r="Z311" s="62"/>
    </row>
    <row r="312" ht="15.75" customHeight="1">
      <c r="A312" s="74"/>
      <c r="B312" s="74"/>
      <c r="C312" s="74"/>
      <c r="D312" s="74"/>
      <c r="E312" s="2"/>
      <c r="F312" s="2"/>
      <c r="G312" s="2"/>
      <c r="H312" s="127"/>
      <c r="I312" s="62"/>
      <c r="J312" s="62"/>
      <c r="K312" s="62"/>
      <c r="L312" s="62"/>
      <c r="M312" s="62"/>
      <c r="N312" s="62"/>
      <c r="O312" s="62"/>
      <c r="P312" s="62"/>
      <c r="Q312" s="62"/>
      <c r="R312" s="62"/>
      <c r="S312" s="62"/>
      <c r="T312" s="62"/>
      <c r="U312" s="62"/>
      <c r="V312" s="62"/>
      <c r="W312" s="62"/>
      <c r="X312" s="62"/>
      <c r="Y312" s="62"/>
      <c r="Z312" s="62"/>
    </row>
    <row r="313" ht="15.75" customHeight="1">
      <c r="A313" s="74"/>
      <c r="B313" s="74"/>
      <c r="C313" s="74"/>
      <c r="D313" s="74"/>
      <c r="E313" s="2"/>
      <c r="F313" s="2"/>
      <c r="G313" s="2"/>
      <c r="H313" s="127"/>
      <c r="I313" s="62"/>
      <c r="J313" s="62"/>
      <c r="K313" s="62"/>
      <c r="L313" s="62"/>
      <c r="M313" s="62"/>
      <c r="N313" s="62"/>
      <c r="O313" s="62"/>
      <c r="P313" s="62"/>
      <c r="Q313" s="62"/>
      <c r="R313" s="62"/>
      <c r="S313" s="62"/>
      <c r="T313" s="62"/>
      <c r="U313" s="62"/>
      <c r="V313" s="62"/>
      <c r="W313" s="62"/>
      <c r="X313" s="62"/>
      <c r="Y313" s="62"/>
      <c r="Z313" s="62"/>
    </row>
    <row r="314" ht="15.75" customHeight="1">
      <c r="A314" s="74"/>
      <c r="B314" s="74"/>
      <c r="C314" s="74"/>
      <c r="D314" s="74"/>
      <c r="E314" s="2"/>
      <c r="F314" s="2"/>
      <c r="G314" s="2"/>
      <c r="H314" s="127"/>
      <c r="I314" s="62"/>
      <c r="J314" s="62"/>
      <c r="K314" s="62"/>
      <c r="L314" s="62"/>
      <c r="M314" s="62"/>
      <c r="N314" s="62"/>
      <c r="O314" s="62"/>
      <c r="P314" s="62"/>
      <c r="Q314" s="62"/>
      <c r="R314" s="62"/>
      <c r="S314" s="62"/>
      <c r="T314" s="62"/>
      <c r="U314" s="62"/>
      <c r="V314" s="62"/>
      <c r="W314" s="62"/>
      <c r="X314" s="62"/>
      <c r="Y314" s="62"/>
      <c r="Z314" s="62"/>
    </row>
    <row r="315" ht="15.75" customHeight="1">
      <c r="A315" s="74"/>
      <c r="B315" s="74"/>
      <c r="C315" s="74"/>
      <c r="D315" s="74"/>
      <c r="E315" s="2"/>
      <c r="F315" s="2"/>
      <c r="G315" s="2"/>
      <c r="H315" s="127"/>
      <c r="I315" s="62"/>
      <c r="J315" s="62"/>
      <c r="K315" s="62"/>
      <c r="L315" s="62"/>
      <c r="M315" s="62"/>
      <c r="N315" s="62"/>
      <c r="O315" s="62"/>
      <c r="P315" s="62"/>
      <c r="Q315" s="62"/>
      <c r="R315" s="62"/>
      <c r="S315" s="62"/>
      <c r="T315" s="62"/>
      <c r="U315" s="62"/>
      <c r="V315" s="62"/>
      <c r="W315" s="62"/>
      <c r="X315" s="62"/>
      <c r="Y315" s="62"/>
      <c r="Z315" s="62"/>
    </row>
    <row r="316" ht="15.75" customHeight="1">
      <c r="A316" s="74"/>
      <c r="B316" s="74"/>
      <c r="C316" s="74"/>
      <c r="D316" s="74"/>
      <c r="E316" s="2"/>
      <c r="F316" s="2"/>
      <c r="G316" s="2"/>
      <c r="H316" s="127"/>
      <c r="I316" s="62"/>
      <c r="J316" s="62"/>
      <c r="K316" s="62"/>
      <c r="L316" s="62"/>
      <c r="M316" s="62"/>
      <c r="N316" s="62"/>
      <c r="O316" s="62"/>
      <c r="P316" s="62"/>
      <c r="Q316" s="62"/>
      <c r="R316" s="62"/>
      <c r="S316" s="62"/>
      <c r="T316" s="62"/>
      <c r="U316" s="62"/>
      <c r="V316" s="62"/>
      <c r="W316" s="62"/>
      <c r="X316" s="62"/>
      <c r="Y316" s="62"/>
      <c r="Z316" s="62"/>
    </row>
    <row r="317" ht="15.75" customHeight="1">
      <c r="A317" s="74"/>
      <c r="B317" s="74"/>
      <c r="C317" s="74"/>
      <c r="D317" s="74"/>
      <c r="E317" s="2"/>
      <c r="F317" s="2"/>
      <c r="G317" s="2"/>
      <c r="H317" s="127"/>
      <c r="I317" s="62"/>
      <c r="J317" s="62"/>
      <c r="K317" s="62"/>
      <c r="L317" s="62"/>
      <c r="M317" s="62"/>
      <c r="N317" s="62"/>
      <c r="O317" s="62"/>
      <c r="P317" s="62"/>
      <c r="Q317" s="62"/>
      <c r="R317" s="62"/>
      <c r="S317" s="62"/>
      <c r="T317" s="62"/>
      <c r="U317" s="62"/>
      <c r="V317" s="62"/>
      <c r="W317" s="62"/>
      <c r="X317" s="62"/>
      <c r="Y317" s="62"/>
      <c r="Z317" s="62"/>
    </row>
    <row r="318" ht="15.75" customHeight="1">
      <c r="A318" s="74"/>
      <c r="B318" s="74"/>
      <c r="C318" s="74"/>
      <c r="D318" s="74"/>
      <c r="E318" s="2"/>
      <c r="F318" s="2"/>
      <c r="G318" s="2"/>
      <c r="H318" s="127"/>
      <c r="I318" s="62"/>
      <c r="J318" s="62"/>
      <c r="K318" s="62"/>
      <c r="L318" s="62"/>
      <c r="M318" s="62"/>
      <c r="N318" s="62"/>
      <c r="O318" s="62"/>
      <c r="P318" s="62"/>
      <c r="Q318" s="62"/>
      <c r="R318" s="62"/>
      <c r="S318" s="62"/>
      <c r="T318" s="62"/>
      <c r="U318" s="62"/>
      <c r="V318" s="62"/>
      <c r="W318" s="62"/>
      <c r="X318" s="62"/>
      <c r="Y318" s="62"/>
      <c r="Z318" s="62"/>
    </row>
    <row r="319" ht="15.75" customHeight="1">
      <c r="A319" s="74"/>
      <c r="B319" s="74"/>
      <c r="C319" s="74"/>
      <c r="D319" s="74"/>
      <c r="E319" s="2"/>
      <c r="F319" s="2"/>
      <c r="G319" s="2"/>
      <c r="H319" s="127"/>
      <c r="I319" s="62"/>
      <c r="J319" s="62"/>
      <c r="K319" s="62"/>
      <c r="L319" s="62"/>
      <c r="M319" s="62"/>
      <c r="N319" s="62"/>
      <c r="O319" s="62"/>
      <c r="P319" s="62"/>
      <c r="Q319" s="62"/>
      <c r="R319" s="62"/>
      <c r="S319" s="62"/>
      <c r="T319" s="62"/>
      <c r="U319" s="62"/>
      <c r="V319" s="62"/>
      <c r="W319" s="62"/>
      <c r="X319" s="62"/>
      <c r="Y319" s="62"/>
      <c r="Z319" s="62"/>
    </row>
    <row r="320" ht="15.75" customHeight="1">
      <c r="A320" s="74"/>
      <c r="B320" s="74"/>
      <c r="C320" s="74"/>
      <c r="D320" s="74"/>
      <c r="E320" s="2"/>
      <c r="F320" s="2"/>
      <c r="G320" s="2"/>
      <c r="H320" s="127"/>
      <c r="I320" s="62"/>
      <c r="J320" s="62"/>
      <c r="K320" s="62"/>
      <c r="L320" s="62"/>
      <c r="M320" s="62"/>
      <c r="N320" s="62"/>
      <c r="O320" s="62"/>
      <c r="P320" s="62"/>
      <c r="Q320" s="62"/>
      <c r="R320" s="62"/>
      <c r="S320" s="62"/>
      <c r="T320" s="62"/>
      <c r="U320" s="62"/>
      <c r="V320" s="62"/>
      <c r="W320" s="62"/>
      <c r="X320" s="62"/>
      <c r="Y320" s="62"/>
      <c r="Z320" s="62"/>
    </row>
    <row r="321" ht="15.75" customHeight="1">
      <c r="A321" s="74"/>
      <c r="B321" s="74"/>
      <c r="C321" s="74"/>
      <c r="D321" s="74"/>
      <c r="E321" s="2"/>
      <c r="F321" s="2"/>
      <c r="G321" s="2"/>
      <c r="H321" s="127"/>
      <c r="I321" s="62"/>
      <c r="J321" s="62"/>
      <c r="K321" s="62"/>
      <c r="L321" s="62"/>
      <c r="M321" s="62"/>
      <c r="N321" s="62"/>
      <c r="O321" s="62"/>
      <c r="P321" s="62"/>
      <c r="Q321" s="62"/>
      <c r="R321" s="62"/>
      <c r="S321" s="62"/>
      <c r="T321" s="62"/>
      <c r="U321" s="62"/>
      <c r="V321" s="62"/>
      <c r="W321" s="62"/>
      <c r="X321" s="62"/>
      <c r="Y321" s="62"/>
      <c r="Z321" s="62"/>
    </row>
    <row r="322" ht="15.75" customHeight="1">
      <c r="A322" s="74"/>
      <c r="B322" s="74"/>
      <c r="C322" s="74"/>
      <c r="D322" s="74"/>
      <c r="E322" s="2"/>
      <c r="F322" s="2"/>
      <c r="G322" s="2"/>
      <c r="H322" s="127"/>
      <c r="I322" s="62"/>
      <c r="J322" s="62"/>
      <c r="K322" s="62"/>
      <c r="L322" s="62"/>
      <c r="M322" s="62"/>
      <c r="N322" s="62"/>
      <c r="O322" s="62"/>
      <c r="P322" s="62"/>
      <c r="Q322" s="62"/>
      <c r="R322" s="62"/>
      <c r="S322" s="62"/>
      <c r="T322" s="62"/>
      <c r="U322" s="62"/>
      <c r="V322" s="62"/>
      <c r="W322" s="62"/>
      <c r="X322" s="62"/>
      <c r="Y322" s="62"/>
      <c r="Z322" s="62"/>
    </row>
    <row r="323" ht="15.75" customHeight="1">
      <c r="A323" s="74"/>
      <c r="B323" s="74"/>
      <c r="C323" s="74"/>
      <c r="D323" s="74"/>
      <c r="E323" s="2"/>
      <c r="F323" s="2"/>
      <c r="G323" s="2"/>
      <c r="H323" s="127"/>
      <c r="I323" s="62"/>
      <c r="J323" s="62"/>
      <c r="K323" s="62"/>
      <c r="L323" s="62"/>
      <c r="M323" s="62"/>
      <c r="N323" s="62"/>
      <c r="O323" s="62"/>
      <c r="P323" s="62"/>
      <c r="Q323" s="62"/>
      <c r="R323" s="62"/>
      <c r="S323" s="62"/>
      <c r="T323" s="62"/>
      <c r="U323" s="62"/>
      <c r="V323" s="62"/>
      <c r="W323" s="62"/>
      <c r="X323" s="62"/>
      <c r="Y323" s="62"/>
      <c r="Z323" s="62"/>
    </row>
    <row r="324" ht="15.75" customHeight="1">
      <c r="A324" s="74"/>
      <c r="B324" s="74"/>
      <c r="C324" s="74"/>
      <c r="D324" s="74"/>
      <c r="E324" s="2"/>
      <c r="F324" s="2"/>
      <c r="G324" s="2"/>
      <c r="H324" s="127"/>
      <c r="I324" s="62"/>
      <c r="J324" s="62"/>
      <c r="K324" s="62"/>
      <c r="L324" s="62"/>
      <c r="M324" s="62"/>
      <c r="N324" s="62"/>
      <c r="O324" s="62"/>
      <c r="P324" s="62"/>
      <c r="Q324" s="62"/>
      <c r="R324" s="62"/>
      <c r="S324" s="62"/>
      <c r="T324" s="62"/>
      <c r="U324" s="62"/>
      <c r="V324" s="62"/>
      <c r="W324" s="62"/>
      <c r="X324" s="62"/>
      <c r="Y324" s="62"/>
      <c r="Z324" s="62"/>
    </row>
    <row r="325" ht="15.75" customHeight="1">
      <c r="A325" s="74"/>
      <c r="B325" s="74"/>
      <c r="C325" s="74"/>
      <c r="D325" s="74"/>
      <c r="E325" s="2"/>
      <c r="F325" s="2"/>
      <c r="G325" s="2"/>
      <c r="H325" s="127"/>
      <c r="I325" s="62"/>
      <c r="J325" s="62"/>
      <c r="K325" s="62"/>
      <c r="L325" s="62"/>
      <c r="M325" s="62"/>
      <c r="N325" s="62"/>
      <c r="O325" s="62"/>
      <c r="P325" s="62"/>
      <c r="Q325" s="62"/>
      <c r="R325" s="62"/>
      <c r="S325" s="62"/>
      <c r="T325" s="62"/>
      <c r="U325" s="62"/>
      <c r="V325" s="62"/>
      <c r="W325" s="62"/>
      <c r="X325" s="62"/>
      <c r="Y325" s="62"/>
      <c r="Z325" s="62"/>
    </row>
    <row r="326" ht="15.75" customHeight="1">
      <c r="A326" s="74"/>
      <c r="B326" s="74"/>
      <c r="C326" s="74"/>
      <c r="D326" s="74"/>
      <c r="E326" s="2"/>
      <c r="F326" s="2"/>
      <c r="G326" s="2"/>
      <c r="H326" s="127"/>
      <c r="I326" s="62"/>
      <c r="J326" s="62"/>
      <c r="K326" s="62"/>
      <c r="L326" s="62"/>
      <c r="M326" s="62"/>
      <c r="N326" s="62"/>
      <c r="O326" s="62"/>
      <c r="P326" s="62"/>
      <c r="Q326" s="62"/>
      <c r="R326" s="62"/>
      <c r="S326" s="62"/>
      <c r="T326" s="62"/>
      <c r="U326" s="62"/>
      <c r="V326" s="62"/>
      <c r="W326" s="62"/>
      <c r="X326" s="62"/>
      <c r="Y326" s="62"/>
      <c r="Z326" s="62"/>
    </row>
    <row r="327" ht="15.75" customHeight="1">
      <c r="A327" s="74"/>
      <c r="B327" s="74"/>
      <c r="C327" s="74"/>
      <c r="D327" s="74"/>
      <c r="E327" s="2"/>
      <c r="F327" s="2"/>
      <c r="G327" s="2"/>
      <c r="H327" s="127"/>
      <c r="I327" s="62"/>
      <c r="J327" s="62"/>
      <c r="K327" s="62"/>
      <c r="L327" s="62"/>
      <c r="M327" s="62"/>
      <c r="N327" s="62"/>
      <c r="O327" s="62"/>
      <c r="P327" s="62"/>
      <c r="Q327" s="62"/>
      <c r="R327" s="62"/>
      <c r="S327" s="62"/>
      <c r="T327" s="62"/>
      <c r="U327" s="62"/>
      <c r="V327" s="62"/>
      <c r="W327" s="62"/>
      <c r="X327" s="62"/>
      <c r="Y327" s="62"/>
      <c r="Z327" s="62"/>
    </row>
    <row r="328" ht="15.75" customHeight="1">
      <c r="A328" s="74"/>
      <c r="B328" s="74"/>
      <c r="C328" s="74"/>
      <c r="D328" s="74"/>
      <c r="E328" s="2"/>
      <c r="F328" s="2"/>
      <c r="G328" s="2"/>
      <c r="H328" s="127"/>
      <c r="I328" s="62"/>
      <c r="J328" s="62"/>
      <c r="K328" s="62"/>
      <c r="L328" s="62"/>
      <c r="M328" s="62"/>
      <c r="N328" s="62"/>
      <c r="O328" s="62"/>
      <c r="P328" s="62"/>
      <c r="Q328" s="62"/>
      <c r="R328" s="62"/>
      <c r="S328" s="62"/>
      <c r="T328" s="62"/>
      <c r="U328" s="62"/>
      <c r="V328" s="62"/>
      <c r="W328" s="62"/>
      <c r="X328" s="62"/>
      <c r="Y328" s="62"/>
      <c r="Z328" s="62"/>
    </row>
    <row r="329" ht="15.75" customHeight="1">
      <c r="A329" s="74"/>
      <c r="B329" s="74"/>
      <c r="C329" s="74"/>
      <c r="D329" s="74"/>
      <c r="E329" s="2"/>
      <c r="F329" s="2"/>
      <c r="G329" s="2"/>
      <c r="H329" s="127"/>
      <c r="I329" s="62"/>
      <c r="J329" s="62"/>
      <c r="K329" s="62"/>
      <c r="L329" s="62"/>
      <c r="M329" s="62"/>
      <c r="N329" s="62"/>
      <c r="O329" s="62"/>
      <c r="P329" s="62"/>
      <c r="Q329" s="62"/>
      <c r="R329" s="62"/>
      <c r="S329" s="62"/>
      <c r="T329" s="62"/>
      <c r="U329" s="62"/>
      <c r="V329" s="62"/>
      <c r="W329" s="62"/>
      <c r="X329" s="62"/>
      <c r="Y329" s="62"/>
      <c r="Z329" s="62"/>
    </row>
    <row r="330" ht="15.75" customHeight="1">
      <c r="A330" s="74"/>
      <c r="B330" s="74"/>
      <c r="C330" s="74"/>
      <c r="D330" s="74"/>
      <c r="E330" s="2"/>
      <c r="F330" s="2"/>
      <c r="G330" s="2"/>
      <c r="H330" s="127"/>
      <c r="I330" s="62"/>
      <c r="J330" s="62"/>
      <c r="K330" s="62"/>
      <c r="L330" s="62"/>
      <c r="M330" s="62"/>
      <c r="N330" s="62"/>
      <c r="O330" s="62"/>
      <c r="P330" s="62"/>
      <c r="Q330" s="62"/>
      <c r="R330" s="62"/>
      <c r="S330" s="62"/>
      <c r="T330" s="62"/>
      <c r="U330" s="62"/>
      <c r="V330" s="62"/>
      <c r="W330" s="62"/>
      <c r="X330" s="62"/>
      <c r="Y330" s="62"/>
      <c r="Z330" s="62"/>
    </row>
    <row r="331" ht="15.75" customHeight="1">
      <c r="A331" s="74"/>
      <c r="B331" s="74"/>
      <c r="C331" s="74"/>
      <c r="D331" s="74"/>
      <c r="E331" s="2"/>
      <c r="F331" s="2"/>
      <c r="G331" s="2"/>
      <c r="H331" s="127"/>
      <c r="I331" s="62"/>
      <c r="J331" s="62"/>
      <c r="K331" s="62"/>
      <c r="L331" s="62"/>
      <c r="M331" s="62"/>
      <c r="N331" s="62"/>
      <c r="O331" s="62"/>
      <c r="P331" s="62"/>
      <c r="Q331" s="62"/>
      <c r="R331" s="62"/>
      <c r="S331" s="62"/>
      <c r="T331" s="62"/>
      <c r="U331" s="62"/>
      <c r="V331" s="62"/>
      <c r="W331" s="62"/>
      <c r="X331" s="62"/>
      <c r="Y331" s="62"/>
      <c r="Z331" s="62"/>
    </row>
    <row r="332" ht="15.75" customHeight="1">
      <c r="A332" s="74"/>
      <c r="B332" s="74"/>
      <c r="C332" s="74"/>
      <c r="D332" s="74"/>
      <c r="E332" s="2"/>
      <c r="F332" s="2"/>
      <c r="G332" s="2"/>
      <c r="H332" s="127"/>
      <c r="I332" s="62"/>
      <c r="J332" s="62"/>
      <c r="K332" s="62"/>
      <c r="L332" s="62"/>
      <c r="M332" s="62"/>
      <c r="N332" s="62"/>
      <c r="O332" s="62"/>
      <c r="P332" s="62"/>
      <c r="Q332" s="62"/>
      <c r="R332" s="62"/>
      <c r="S332" s="62"/>
      <c r="T332" s="62"/>
      <c r="U332" s="62"/>
      <c r="V332" s="62"/>
      <c r="W332" s="62"/>
      <c r="X332" s="62"/>
      <c r="Y332" s="62"/>
      <c r="Z332" s="62"/>
    </row>
    <row r="333" ht="15.75" customHeight="1">
      <c r="A333" s="74"/>
      <c r="B333" s="74"/>
      <c r="C333" s="74"/>
      <c r="D333" s="74"/>
      <c r="E333" s="2"/>
      <c r="F333" s="2"/>
      <c r="G333" s="2"/>
      <c r="H333" s="127"/>
      <c r="I333" s="62"/>
      <c r="J333" s="62"/>
      <c r="K333" s="62"/>
      <c r="L333" s="62"/>
      <c r="M333" s="62"/>
      <c r="N333" s="62"/>
      <c r="O333" s="62"/>
      <c r="P333" s="62"/>
      <c r="Q333" s="62"/>
      <c r="R333" s="62"/>
      <c r="S333" s="62"/>
      <c r="T333" s="62"/>
      <c r="U333" s="62"/>
      <c r="V333" s="62"/>
      <c r="W333" s="62"/>
      <c r="X333" s="62"/>
      <c r="Y333" s="62"/>
      <c r="Z333" s="62"/>
    </row>
    <row r="334" ht="15.75" customHeight="1">
      <c r="A334" s="74"/>
      <c r="B334" s="74"/>
      <c r="C334" s="74"/>
      <c r="D334" s="74"/>
      <c r="E334" s="2"/>
      <c r="F334" s="2"/>
      <c r="G334" s="2"/>
      <c r="H334" s="127"/>
      <c r="I334" s="62"/>
      <c r="J334" s="62"/>
      <c r="K334" s="62"/>
      <c r="L334" s="62"/>
      <c r="M334" s="62"/>
      <c r="N334" s="62"/>
      <c r="O334" s="62"/>
      <c r="P334" s="62"/>
      <c r="Q334" s="62"/>
      <c r="R334" s="62"/>
      <c r="S334" s="62"/>
      <c r="T334" s="62"/>
      <c r="U334" s="62"/>
      <c r="V334" s="62"/>
      <c r="W334" s="62"/>
      <c r="X334" s="62"/>
      <c r="Y334" s="62"/>
      <c r="Z334" s="62"/>
    </row>
    <row r="335" ht="15.75" customHeight="1">
      <c r="A335" s="74"/>
      <c r="B335" s="74"/>
      <c r="C335" s="74"/>
      <c r="D335" s="74"/>
      <c r="E335" s="2"/>
      <c r="F335" s="2"/>
      <c r="G335" s="2"/>
      <c r="H335" s="127"/>
      <c r="I335" s="62"/>
      <c r="J335" s="62"/>
      <c r="K335" s="62"/>
      <c r="L335" s="62"/>
      <c r="M335" s="62"/>
      <c r="N335" s="62"/>
      <c r="O335" s="62"/>
      <c r="P335" s="62"/>
      <c r="Q335" s="62"/>
      <c r="R335" s="62"/>
      <c r="S335" s="62"/>
      <c r="T335" s="62"/>
      <c r="U335" s="62"/>
      <c r="V335" s="62"/>
      <c r="W335" s="62"/>
      <c r="X335" s="62"/>
      <c r="Y335" s="62"/>
      <c r="Z335" s="62"/>
    </row>
    <row r="336" ht="15.75" customHeight="1">
      <c r="A336" s="74"/>
      <c r="B336" s="74"/>
      <c r="C336" s="74"/>
      <c r="D336" s="74"/>
      <c r="E336" s="2"/>
      <c r="F336" s="2"/>
      <c r="G336" s="2"/>
      <c r="H336" s="127"/>
      <c r="I336" s="62"/>
      <c r="J336" s="62"/>
      <c r="K336" s="62"/>
      <c r="L336" s="62"/>
      <c r="M336" s="62"/>
      <c r="N336" s="62"/>
      <c r="O336" s="62"/>
      <c r="P336" s="62"/>
      <c r="Q336" s="62"/>
      <c r="R336" s="62"/>
      <c r="S336" s="62"/>
      <c r="T336" s="62"/>
      <c r="U336" s="62"/>
      <c r="V336" s="62"/>
      <c r="W336" s="62"/>
      <c r="X336" s="62"/>
      <c r="Y336" s="62"/>
      <c r="Z336" s="62"/>
    </row>
    <row r="337" ht="15.75" customHeight="1">
      <c r="A337" s="74"/>
      <c r="B337" s="74"/>
      <c r="C337" s="74"/>
      <c r="D337" s="74"/>
      <c r="E337" s="2"/>
      <c r="F337" s="2"/>
      <c r="G337" s="2"/>
      <c r="H337" s="127"/>
      <c r="I337" s="62"/>
      <c r="J337" s="62"/>
      <c r="K337" s="62"/>
      <c r="L337" s="62"/>
      <c r="M337" s="62"/>
      <c r="N337" s="62"/>
      <c r="O337" s="62"/>
      <c r="P337" s="62"/>
      <c r="Q337" s="62"/>
      <c r="R337" s="62"/>
      <c r="S337" s="62"/>
      <c r="T337" s="62"/>
      <c r="U337" s="62"/>
      <c r="V337" s="62"/>
      <c r="W337" s="62"/>
      <c r="X337" s="62"/>
      <c r="Y337" s="62"/>
      <c r="Z337" s="62"/>
    </row>
    <row r="338" ht="15.75" customHeight="1">
      <c r="A338" s="74"/>
      <c r="B338" s="74"/>
      <c r="C338" s="74"/>
      <c r="D338" s="74"/>
      <c r="E338" s="2"/>
      <c r="F338" s="2"/>
      <c r="G338" s="2"/>
      <c r="H338" s="127"/>
      <c r="I338" s="62"/>
      <c r="J338" s="62"/>
      <c r="K338" s="62"/>
      <c r="L338" s="62"/>
      <c r="M338" s="62"/>
      <c r="N338" s="62"/>
      <c r="O338" s="62"/>
      <c r="P338" s="62"/>
      <c r="Q338" s="62"/>
      <c r="R338" s="62"/>
      <c r="S338" s="62"/>
      <c r="T338" s="62"/>
      <c r="U338" s="62"/>
      <c r="V338" s="62"/>
      <c r="W338" s="62"/>
      <c r="X338" s="62"/>
      <c r="Y338" s="62"/>
      <c r="Z338" s="62"/>
    </row>
    <row r="339" ht="15.75" customHeight="1">
      <c r="A339" s="74"/>
      <c r="B339" s="74"/>
      <c r="C339" s="74"/>
      <c r="D339" s="74"/>
      <c r="E339" s="2"/>
      <c r="F339" s="2"/>
      <c r="G339" s="2"/>
      <c r="H339" s="127"/>
      <c r="I339" s="62"/>
      <c r="J339" s="62"/>
      <c r="K339" s="62"/>
      <c r="L339" s="62"/>
      <c r="M339" s="62"/>
      <c r="N339" s="62"/>
      <c r="O339" s="62"/>
      <c r="P339" s="62"/>
      <c r="Q339" s="62"/>
      <c r="R339" s="62"/>
      <c r="S339" s="62"/>
      <c r="T339" s="62"/>
      <c r="U339" s="62"/>
      <c r="V339" s="62"/>
      <c r="W339" s="62"/>
      <c r="X339" s="62"/>
      <c r="Y339" s="62"/>
      <c r="Z339" s="62"/>
    </row>
    <row r="340" ht="15.75" customHeight="1">
      <c r="A340" s="74"/>
      <c r="B340" s="74"/>
      <c r="C340" s="74"/>
      <c r="D340" s="74"/>
      <c r="E340" s="2"/>
      <c r="F340" s="2"/>
      <c r="G340" s="2"/>
      <c r="H340" s="127"/>
      <c r="I340" s="62"/>
      <c r="J340" s="62"/>
      <c r="K340" s="62"/>
      <c r="L340" s="62"/>
      <c r="M340" s="62"/>
      <c r="N340" s="62"/>
      <c r="O340" s="62"/>
      <c r="P340" s="62"/>
      <c r="Q340" s="62"/>
      <c r="R340" s="62"/>
      <c r="S340" s="62"/>
      <c r="T340" s="62"/>
      <c r="U340" s="62"/>
      <c r="V340" s="62"/>
      <c r="W340" s="62"/>
      <c r="X340" s="62"/>
      <c r="Y340" s="62"/>
      <c r="Z340" s="62"/>
    </row>
    <row r="341" ht="15.75" customHeight="1">
      <c r="A341" s="74"/>
      <c r="B341" s="74"/>
      <c r="C341" s="74"/>
      <c r="D341" s="74"/>
      <c r="E341" s="2"/>
      <c r="F341" s="2"/>
      <c r="G341" s="2"/>
      <c r="H341" s="127"/>
      <c r="I341" s="62"/>
      <c r="J341" s="62"/>
      <c r="K341" s="62"/>
      <c r="L341" s="62"/>
      <c r="M341" s="62"/>
      <c r="N341" s="62"/>
      <c r="O341" s="62"/>
      <c r="P341" s="62"/>
      <c r="Q341" s="62"/>
      <c r="R341" s="62"/>
      <c r="S341" s="62"/>
      <c r="T341" s="62"/>
      <c r="U341" s="62"/>
      <c r="V341" s="62"/>
      <c r="W341" s="62"/>
      <c r="X341" s="62"/>
      <c r="Y341" s="62"/>
      <c r="Z341" s="62"/>
    </row>
    <row r="342" ht="15.75" customHeight="1">
      <c r="A342" s="74"/>
      <c r="B342" s="74"/>
      <c r="C342" s="74"/>
      <c r="D342" s="74"/>
      <c r="E342" s="2"/>
      <c r="F342" s="2"/>
      <c r="G342" s="2"/>
      <c r="H342" s="127"/>
      <c r="I342" s="62"/>
      <c r="J342" s="62"/>
      <c r="K342" s="62"/>
      <c r="L342" s="62"/>
      <c r="M342" s="62"/>
      <c r="N342" s="62"/>
      <c r="O342" s="62"/>
      <c r="P342" s="62"/>
      <c r="Q342" s="62"/>
      <c r="R342" s="62"/>
      <c r="S342" s="62"/>
      <c r="T342" s="62"/>
      <c r="U342" s="62"/>
      <c r="V342" s="62"/>
      <c r="W342" s="62"/>
      <c r="X342" s="62"/>
      <c r="Y342" s="62"/>
      <c r="Z342" s="62"/>
    </row>
    <row r="343" ht="15.75" customHeight="1">
      <c r="A343" s="74"/>
      <c r="B343" s="74"/>
      <c r="C343" s="74"/>
      <c r="D343" s="74"/>
      <c r="E343" s="2"/>
      <c r="F343" s="2"/>
      <c r="G343" s="2"/>
      <c r="H343" s="127"/>
      <c r="I343" s="62"/>
      <c r="J343" s="62"/>
      <c r="K343" s="62"/>
      <c r="L343" s="62"/>
      <c r="M343" s="62"/>
      <c r="N343" s="62"/>
      <c r="O343" s="62"/>
      <c r="P343" s="62"/>
      <c r="Q343" s="62"/>
      <c r="R343" s="62"/>
      <c r="S343" s="62"/>
      <c r="T343" s="62"/>
      <c r="U343" s="62"/>
      <c r="V343" s="62"/>
      <c r="W343" s="62"/>
      <c r="X343" s="62"/>
      <c r="Y343" s="62"/>
      <c r="Z343" s="62"/>
    </row>
    <row r="344" ht="15.75" customHeight="1">
      <c r="A344" s="74"/>
      <c r="B344" s="74"/>
      <c r="C344" s="74"/>
      <c r="D344" s="74"/>
      <c r="E344" s="2"/>
      <c r="F344" s="2"/>
      <c r="G344" s="2"/>
      <c r="H344" s="127"/>
      <c r="I344" s="62"/>
      <c r="J344" s="62"/>
      <c r="K344" s="62"/>
      <c r="L344" s="62"/>
      <c r="M344" s="62"/>
      <c r="N344" s="62"/>
      <c r="O344" s="62"/>
      <c r="P344" s="62"/>
      <c r="Q344" s="62"/>
      <c r="R344" s="62"/>
      <c r="S344" s="62"/>
      <c r="T344" s="62"/>
      <c r="U344" s="62"/>
      <c r="V344" s="62"/>
      <c r="W344" s="62"/>
      <c r="X344" s="62"/>
      <c r="Y344" s="62"/>
      <c r="Z344" s="62"/>
    </row>
    <row r="345" ht="15.75" customHeight="1">
      <c r="A345" s="74"/>
      <c r="B345" s="74"/>
      <c r="C345" s="74"/>
      <c r="D345" s="74"/>
      <c r="E345" s="2"/>
      <c r="F345" s="2"/>
      <c r="G345" s="2"/>
      <c r="H345" s="127"/>
      <c r="I345" s="62"/>
      <c r="J345" s="62"/>
      <c r="K345" s="62"/>
      <c r="L345" s="62"/>
      <c r="M345" s="62"/>
      <c r="N345" s="62"/>
      <c r="O345" s="62"/>
      <c r="P345" s="62"/>
      <c r="Q345" s="62"/>
      <c r="R345" s="62"/>
      <c r="S345" s="62"/>
      <c r="T345" s="62"/>
      <c r="U345" s="62"/>
      <c r="V345" s="62"/>
      <c r="W345" s="62"/>
      <c r="X345" s="62"/>
      <c r="Y345" s="62"/>
      <c r="Z345" s="62"/>
    </row>
    <row r="346" ht="15.75" customHeight="1">
      <c r="A346" s="74"/>
      <c r="B346" s="74"/>
      <c r="C346" s="74"/>
      <c r="D346" s="74"/>
      <c r="E346" s="2"/>
      <c r="F346" s="2"/>
      <c r="G346" s="2"/>
      <c r="H346" s="127"/>
      <c r="I346" s="62"/>
      <c r="J346" s="62"/>
      <c r="K346" s="62"/>
      <c r="L346" s="62"/>
      <c r="M346" s="62"/>
      <c r="N346" s="62"/>
      <c r="O346" s="62"/>
      <c r="P346" s="62"/>
      <c r="Q346" s="62"/>
      <c r="R346" s="62"/>
      <c r="S346" s="62"/>
      <c r="T346" s="62"/>
      <c r="U346" s="62"/>
      <c r="V346" s="62"/>
      <c r="W346" s="62"/>
      <c r="X346" s="62"/>
      <c r="Y346" s="62"/>
      <c r="Z346" s="62"/>
    </row>
    <row r="347" ht="15.75" customHeight="1">
      <c r="A347" s="74"/>
      <c r="B347" s="74"/>
      <c r="C347" s="74"/>
      <c r="D347" s="74"/>
      <c r="E347" s="2"/>
      <c r="F347" s="2"/>
      <c r="G347" s="2"/>
      <c r="H347" s="127"/>
      <c r="I347" s="62"/>
      <c r="J347" s="62"/>
      <c r="K347" s="62"/>
      <c r="L347" s="62"/>
      <c r="M347" s="62"/>
      <c r="N347" s="62"/>
      <c r="O347" s="62"/>
      <c r="P347" s="62"/>
      <c r="Q347" s="62"/>
      <c r="R347" s="62"/>
      <c r="S347" s="62"/>
      <c r="T347" s="62"/>
      <c r="U347" s="62"/>
      <c r="V347" s="62"/>
      <c r="W347" s="62"/>
      <c r="X347" s="62"/>
      <c r="Y347" s="62"/>
      <c r="Z347" s="62"/>
    </row>
    <row r="348" ht="15.75" customHeight="1">
      <c r="A348" s="74"/>
      <c r="B348" s="74"/>
      <c r="C348" s="74"/>
      <c r="D348" s="74"/>
      <c r="E348" s="2"/>
      <c r="F348" s="2"/>
      <c r="G348" s="2"/>
      <c r="H348" s="127"/>
      <c r="I348" s="62"/>
      <c r="J348" s="62"/>
      <c r="K348" s="62"/>
      <c r="L348" s="62"/>
      <c r="M348" s="62"/>
      <c r="N348" s="62"/>
      <c r="O348" s="62"/>
      <c r="P348" s="62"/>
      <c r="Q348" s="62"/>
      <c r="R348" s="62"/>
      <c r="S348" s="62"/>
      <c r="T348" s="62"/>
      <c r="U348" s="62"/>
      <c r="V348" s="62"/>
      <c r="W348" s="62"/>
      <c r="X348" s="62"/>
      <c r="Y348" s="62"/>
      <c r="Z348" s="62"/>
    </row>
    <row r="349" ht="15.75" customHeight="1">
      <c r="A349" s="74"/>
      <c r="B349" s="74"/>
      <c r="C349" s="74"/>
      <c r="D349" s="74"/>
      <c r="E349" s="2"/>
      <c r="F349" s="2"/>
      <c r="G349" s="2"/>
      <c r="H349" s="127"/>
      <c r="I349" s="62"/>
      <c r="J349" s="62"/>
      <c r="K349" s="62"/>
      <c r="L349" s="62"/>
      <c r="M349" s="62"/>
      <c r="N349" s="62"/>
      <c r="O349" s="62"/>
      <c r="P349" s="62"/>
      <c r="Q349" s="62"/>
      <c r="R349" s="62"/>
      <c r="S349" s="62"/>
      <c r="T349" s="62"/>
      <c r="U349" s="62"/>
      <c r="V349" s="62"/>
      <c r="W349" s="62"/>
      <c r="X349" s="62"/>
      <c r="Y349" s="62"/>
      <c r="Z349" s="62"/>
    </row>
    <row r="350" ht="15.75" customHeight="1">
      <c r="A350" s="74"/>
      <c r="B350" s="74"/>
      <c r="C350" s="74"/>
      <c r="D350" s="74"/>
      <c r="E350" s="2"/>
      <c r="F350" s="2"/>
      <c r="G350" s="2"/>
      <c r="H350" s="127"/>
      <c r="I350" s="62"/>
      <c r="J350" s="62"/>
      <c r="K350" s="62"/>
      <c r="L350" s="62"/>
      <c r="M350" s="62"/>
      <c r="N350" s="62"/>
      <c r="O350" s="62"/>
      <c r="P350" s="62"/>
      <c r="Q350" s="62"/>
      <c r="R350" s="62"/>
      <c r="S350" s="62"/>
      <c r="T350" s="62"/>
      <c r="U350" s="62"/>
      <c r="V350" s="62"/>
      <c r="W350" s="62"/>
      <c r="X350" s="62"/>
      <c r="Y350" s="62"/>
      <c r="Z350" s="62"/>
    </row>
    <row r="351" ht="15.75" customHeight="1">
      <c r="A351" s="74"/>
      <c r="B351" s="74"/>
      <c r="C351" s="74"/>
      <c r="D351" s="74"/>
      <c r="E351" s="2"/>
      <c r="F351" s="2"/>
      <c r="G351" s="2"/>
      <c r="H351" s="127"/>
      <c r="I351" s="62"/>
      <c r="J351" s="62"/>
      <c r="K351" s="62"/>
      <c r="L351" s="62"/>
      <c r="M351" s="62"/>
      <c r="N351" s="62"/>
      <c r="O351" s="62"/>
      <c r="P351" s="62"/>
      <c r="Q351" s="62"/>
      <c r="R351" s="62"/>
      <c r="S351" s="62"/>
      <c r="T351" s="62"/>
      <c r="U351" s="62"/>
      <c r="V351" s="62"/>
      <c r="W351" s="62"/>
      <c r="X351" s="62"/>
      <c r="Y351" s="62"/>
      <c r="Z351" s="62"/>
    </row>
    <row r="352" ht="15.75" customHeight="1">
      <c r="A352" s="74"/>
      <c r="B352" s="74"/>
      <c r="C352" s="74"/>
      <c r="D352" s="74"/>
      <c r="E352" s="2"/>
      <c r="F352" s="2"/>
      <c r="G352" s="2"/>
      <c r="H352" s="127"/>
      <c r="I352" s="62"/>
      <c r="J352" s="62"/>
      <c r="K352" s="62"/>
      <c r="L352" s="62"/>
      <c r="M352" s="62"/>
      <c r="N352" s="62"/>
      <c r="O352" s="62"/>
      <c r="P352" s="62"/>
      <c r="Q352" s="62"/>
      <c r="R352" s="62"/>
      <c r="S352" s="62"/>
      <c r="T352" s="62"/>
      <c r="U352" s="62"/>
      <c r="V352" s="62"/>
      <c r="W352" s="62"/>
      <c r="X352" s="62"/>
      <c r="Y352" s="62"/>
      <c r="Z352" s="62"/>
    </row>
    <row r="353" ht="15.75" customHeight="1">
      <c r="A353" s="74"/>
      <c r="B353" s="74"/>
      <c r="C353" s="74"/>
      <c r="D353" s="74"/>
      <c r="E353" s="2"/>
      <c r="F353" s="2"/>
      <c r="G353" s="2"/>
      <c r="H353" s="127"/>
      <c r="I353" s="62"/>
      <c r="J353" s="62"/>
      <c r="K353" s="62"/>
      <c r="L353" s="62"/>
      <c r="M353" s="62"/>
      <c r="N353" s="62"/>
      <c r="O353" s="62"/>
      <c r="P353" s="62"/>
      <c r="Q353" s="62"/>
      <c r="R353" s="62"/>
      <c r="S353" s="62"/>
      <c r="T353" s="62"/>
      <c r="U353" s="62"/>
      <c r="V353" s="62"/>
      <c r="W353" s="62"/>
      <c r="X353" s="62"/>
      <c r="Y353" s="62"/>
      <c r="Z353" s="62"/>
    </row>
    <row r="354" ht="15.75" customHeight="1">
      <c r="A354" s="74"/>
      <c r="B354" s="74"/>
      <c r="C354" s="74"/>
      <c r="D354" s="74"/>
      <c r="E354" s="2"/>
      <c r="F354" s="2"/>
      <c r="G354" s="2"/>
      <c r="H354" s="127"/>
      <c r="I354" s="62"/>
      <c r="J354" s="62"/>
      <c r="K354" s="62"/>
      <c r="L354" s="62"/>
      <c r="M354" s="62"/>
      <c r="N354" s="62"/>
      <c r="O354" s="62"/>
      <c r="P354" s="62"/>
      <c r="Q354" s="62"/>
      <c r="R354" s="62"/>
      <c r="S354" s="62"/>
      <c r="T354" s="62"/>
      <c r="U354" s="62"/>
      <c r="V354" s="62"/>
      <c r="W354" s="62"/>
      <c r="X354" s="62"/>
      <c r="Y354" s="62"/>
      <c r="Z354" s="62"/>
    </row>
    <row r="355" ht="15.75" customHeight="1">
      <c r="A355" s="74"/>
      <c r="B355" s="74"/>
      <c r="C355" s="74"/>
      <c r="D355" s="74"/>
      <c r="E355" s="2"/>
      <c r="F355" s="2"/>
      <c r="G355" s="2"/>
      <c r="H355" s="127"/>
      <c r="I355" s="62"/>
      <c r="J355" s="62"/>
      <c r="K355" s="62"/>
      <c r="L355" s="62"/>
      <c r="M355" s="62"/>
      <c r="N355" s="62"/>
      <c r="O355" s="62"/>
      <c r="P355" s="62"/>
      <c r="Q355" s="62"/>
      <c r="R355" s="62"/>
      <c r="S355" s="62"/>
      <c r="T355" s="62"/>
      <c r="U355" s="62"/>
      <c r="V355" s="62"/>
      <c r="W355" s="62"/>
      <c r="X355" s="62"/>
      <c r="Y355" s="62"/>
      <c r="Z355" s="62"/>
    </row>
    <row r="356" ht="15.75" customHeight="1">
      <c r="A356" s="74"/>
      <c r="B356" s="74"/>
      <c r="C356" s="74"/>
      <c r="D356" s="74"/>
      <c r="E356" s="2"/>
      <c r="F356" s="2"/>
      <c r="G356" s="2"/>
      <c r="H356" s="127"/>
      <c r="I356" s="62"/>
      <c r="J356" s="62"/>
      <c r="K356" s="62"/>
      <c r="L356" s="62"/>
      <c r="M356" s="62"/>
      <c r="N356" s="62"/>
      <c r="O356" s="62"/>
      <c r="P356" s="62"/>
      <c r="Q356" s="62"/>
      <c r="R356" s="62"/>
      <c r="S356" s="62"/>
      <c r="T356" s="62"/>
      <c r="U356" s="62"/>
      <c r="V356" s="62"/>
      <c r="W356" s="62"/>
      <c r="X356" s="62"/>
      <c r="Y356" s="62"/>
      <c r="Z356" s="62"/>
    </row>
    <row r="357" ht="15.75" customHeight="1">
      <c r="A357" s="74"/>
      <c r="B357" s="74"/>
      <c r="C357" s="74"/>
      <c r="D357" s="74"/>
      <c r="E357" s="2"/>
      <c r="F357" s="2"/>
      <c r="G357" s="2"/>
      <c r="H357" s="127"/>
      <c r="I357" s="62"/>
      <c r="J357" s="62"/>
      <c r="K357" s="62"/>
      <c r="L357" s="62"/>
      <c r="M357" s="62"/>
      <c r="N357" s="62"/>
      <c r="O357" s="62"/>
      <c r="P357" s="62"/>
      <c r="Q357" s="62"/>
      <c r="R357" s="62"/>
      <c r="S357" s="62"/>
      <c r="T357" s="62"/>
      <c r="U357" s="62"/>
      <c r="V357" s="62"/>
      <c r="W357" s="62"/>
      <c r="X357" s="62"/>
      <c r="Y357" s="62"/>
      <c r="Z357" s="62"/>
    </row>
    <row r="358" ht="15.75" customHeight="1">
      <c r="A358" s="74"/>
      <c r="B358" s="74"/>
      <c r="C358" s="74"/>
      <c r="D358" s="74"/>
      <c r="E358" s="2"/>
      <c r="F358" s="2"/>
      <c r="G358" s="2"/>
      <c r="H358" s="127"/>
      <c r="I358" s="62"/>
      <c r="J358" s="62"/>
      <c r="K358" s="62"/>
      <c r="L358" s="62"/>
      <c r="M358" s="62"/>
      <c r="N358" s="62"/>
      <c r="O358" s="62"/>
      <c r="P358" s="62"/>
      <c r="Q358" s="62"/>
      <c r="R358" s="62"/>
      <c r="S358" s="62"/>
      <c r="T358" s="62"/>
      <c r="U358" s="62"/>
      <c r="V358" s="62"/>
      <c r="W358" s="62"/>
      <c r="X358" s="62"/>
      <c r="Y358" s="62"/>
      <c r="Z358" s="62"/>
    </row>
    <row r="359" ht="15.75" customHeight="1">
      <c r="A359" s="74"/>
      <c r="B359" s="74"/>
      <c r="C359" s="74"/>
      <c r="D359" s="74"/>
      <c r="E359" s="2"/>
      <c r="F359" s="2"/>
      <c r="G359" s="2"/>
      <c r="H359" s="127"/>
      <c r="I359" s="62"/>
      <c r="J359" s="62"/>
      <c r="K359" s="62"/>
      <c r="L359" s="62"/>
      <c r="M359" s="62"/>
      <c r="N359" s="62"/>
      <c r="O359" s="62"/>
      <c r="P359" s="62"/>
      <c r="Q359" s="62"/>
      <c r="R359" s="62"/>
      <c r="S359" s="62"/>
      <c r="T359" s="62"/>
      <c r="U359" s="62"/>
      <c r="V359" s="62"/>
      <c r="W359" s="62"/>
      <c r="X359" s="62"/>
      <c r="Y359" s="62"/>
      <c r="Z359" s="62"/>
    </row>
    <row r="360" ht="15.75" customHeight="1">
      <c r="A360" s="74"/>
      <c r="B360" s="74"/>
      <c r="C360" s="74"/>
      <c r="D360" s="74"/>
      <c r="E360" s="2"/>
      <c r="F360" s="2"/>
      <c r="G360" s="2"/>
      <c r="H360" s="127"/>
      <c r="I360" s="62"/>
      <c r="J360" s="62"/>
      <c r="K360" s="62"/>
      <c r="L360" s="62"/>
      <c r="M360" s="62"/>
      <c r="N360" s="62"/>
      <c r="O360" s="62"/>
      <c r="P360" s="62"/>
      <c r="Q360" s="62"/>
      <c r="R360" s="62"/>
      <c r="S360" s="62"/>
      <c r="T360" s="62"/>
      <c r="U360" s="62"/>
      <c r="V360" s="62"/>
      <c r="W360" s="62"/>
      <c r="X360" s="62"/>
      <c r="Y360" s="62"/>
      <c r="Z360" s="62"/>
    </row>
    <row r="361" ht="15.75" customHeight="1">
      <c r="A361" s="74"/>
      <c r="B361" s="74"/>
      <c r="C361" s="74"/>
      <c r="D361" s="74"/>
      <c r="E361" s="2"/>
      <c r="F361" s="2"/>
      <c r="G361" s="2"/>
      <c r="H361" s="127"/>
      <c r="I361" s="62"/>
      <c r="J361" s="62"/>
      <c r="K361" s="62"/>
      <c r="L361" s="62"/>
      <c r="M361" s="62"/>
      <c r="N361" s="62"/>
      <c r="O361" s="62"/>
      <c r="P361" s="62"/>
      <c r="Q361" s="62"/>
      <c r="R361" s="62"/>
      <c r="S361" s="62"/>
      <c r="T361" s="62"/>
      <c r="U361" s="62"/>
      <c r="V361" s="62"/>
      <c r="W361" s="62"/>
      <c r="X361" s="62"/>
      <c r="Y361" s="62"/>
      <c r="Z361" s="62"/>
    </row>
    <row r="362" ht="15.75" customHeight="1">
      <c r="A362" s="74"/>
      <c r="B362" s="74"/>
      <c r="C362" s="74"/>
      <c r="D362" s="74"/>
      <c r="E362" s="2"/>
      <c r="F362" s="2"/>
      <c r="G362" s="2"/>
      <c r="H362" s="127"/>
      <c r="I362" s="62"/>
      <c r="J362" s="62"/>
      <c r="K362" s="62"/>
      <c r="L362" s="62"/>
      <c r="M362" s="62"/>
      <c r="N362" s="62"/>
      <c r="O362" s="62"/>
      <c r="P362" s="62"/>
      <c r="Q362" s="62"/>
      <c r="R362" s="62"/>
      <c r="S362" s="62"/>
      <c r="T362" s="62"/>
      <c r="U362" s="62"/>
      <c r="V362" s="62"/>
      <c r="W362" s="62"/>
      <c r="X362" s="62"/>
      <c r="Y362" s="62"/>
      <c r="Z362" s="62"/>
    </row>
    <row r="363" ht="15.75" customHeight="1">
      <c r="A363" s="74"/>
      <c r="B363" s="74"/>
      <c r="C363" s="74"/>
      <c r="D363" s="74"/>
      <c r="E363" s="2"/>
      <c r="F363" s="2"/>
      <c r="G363" s="2"/>
      <c r="H363" s="127"/>
      <c r="I363" s="62"/>
      <c r="J363" s="62"/>
      <c r="K363" s="62"/>
      <c r="L363" s="62"/>
      <c r="M363" s="62"/>
      <c r="N363" s="62"/>
      <c r="O363" s="62"/>
      <c r="P363" s="62"/>
      <c r="Q363" s="62"/>
      <c r="R363" s="62"/>
      <c r="S363" s="62"/>
      <c r="T363" s="62"/>
      <c r="U363" s="62"/>
      <c r="V363" s="62"/>
      <c r="W363" s="62"/>
      <c r="X363" s="62"/>
      <c r="Y363" s="62"/>
      <c r="Z363" s="62"/>
    </row>
    <row r="364" ht="15.75" customHeight="1">
      <c r="A364" s="74"/>
      <c r="B364" s="74"/>
      <c r="C364" s="74"/>
      <c r="D364" s="74"/>
      <c r="E364" s="2"/>
      <c r="F364" s="2"/>
      <c r="G364" s="2"/>
      <c r="H364" s="127"/>
      <c r="I364" s="62"/>
      <c r="J364" s="62"/>
      <c r="K364" s="62"/>
      <c r="L364" s="62"/>
      <c r="M364" s="62"/>
      <c r="N364" s="62"/>
      <c r="O364" s="62"/>
      <c r="P364" s="62"/>
      <c r="Q364" s="62"/>
      <c r="R364" s="62"/>
      <c r="S364" s="62"/>
      <c r="T364" s="62"/>
      <c r="U364" s="62"/>
      <c r="V364" s="62"/>
      <c r="W364" s="62"/>
      <c r="X364" s="62"/>
      <c r="Y364" s="62"/>
      <c r="Z364" s="62"/>
    </row>
    <row r="365" ht="15.75" customHeight="1">
      <c r="A365" s="74"/>
      <c r="B365" s="74"/>
      <c r="C365" s="74"/>
      <c r="D365" s="74"/>
      <c r="E365" s="2"/>
      <c r="F365" s="2"/>
      <c r="G365" s="2"/>
      <c r="H365" s="127"/>
      <c r="I365" s="62"/>
      <c r="J365" s="62"/>
      <c r="K365" s="62"/>
      <c r="L365" s="62"/>
      <c r="M365" s="62"/>
      <c r="N365" s="62"/>
      <c r="O365" s="62"/>
      <c r="P365" s="62"/>
      <c r="Q365" s="62"/>
      <c r="R365" s="62"/>
      <c r="S365" s="62"/>
      <c r="T365" s="62"/>
      <c r="U365" s="62"/>
      <c r="V365" s="62"/>
      <c r="W365" s="62"/>
      <c r="X365" s="62"/>
      <c r="Y365" s="62"/>
      <c r="Z365" s="62"/>
    </row>
    <row r="366" ht="15.75" customHeight="1">
      <c r="A366" s="74"/>
      <c r="B366" s="74"/>
      <c r="C366" s="74"/>
      <c r="D366" s="74"/>
      <c r="E366" s="2"/>
      <c r="F366" s="2"/>
      <c r="G366" s="2"/>
      <c r="H366" s="127"/>
      <c r="I366" s="62"/>
      <c r="J366" s="62"/>
      <c r="K366" s="62"/>
      <c r="L366" s="62"/>
      <c r="M366" s="62"/>
      <c r="N366" s="62"/>
      <c r="O366" s="62"/>
      <c r="P366" s="62"/>
      <c r="Q366" s="62"/>
      <c r="R366" s="62"/>
      <c r="S366" s="62"/>
      <c r="T366" s="62"/>
      <c r="U366" s="62"/>
      <c r="V366" s="62"/>
      <c r="W366" s="62"/>
      <c r="X366" s="62"/>
      <c r="Y366" s="62"/>
      <c r="Z366" s="62"/>
    </row>
    <row r="367" ht="15.75" customHeight="1">
      <c r="A367" s="74"/>
      <c r="B367" s="74"/>
      <c r="C367" s="74"/>
      <c r="D367" s="74"/>
      <c r="E367" s="2"/>
      <c r="F367" s="2"/>
      <c r="G367" s="2"/>
      <c r="H367" s="127"/>
      <c r="I367" s="62"/>
      <c r="J367" s="62"/>
      <c r="K367" s="62"/>
      <c r="L367" s="62"/>
      <c r="M367" s="62"/>
      <c r="N367" s="62"/>
      <c r="O367" s="62"/>
      <c r="P367" s="62"/>
      <c r="Q367" s="62"/>
      <c r="R367" s="62"/>
      <c r="S367" s="62"/>
      <c r="T367" s="62"/>
      <c r="U367" s="62"/>
      <c r="V367" s="62"/>
      <c r="W367" s="62"/>
      <c r="X367" s="62"/>
      <c r="Y367" s="62"/>
      <c r="Z367" s="62"/>
    </row>
    <row r="368" ht="15.75" customHeight="1">
      <c r="A368" s="74"/>
      <c r="B368" s="74"/>
      <c r="C368" s="74"/>
      <c r="D368" s="74"/>
      <c r="E368" s="2"/>
      <c r="F368" s="2"/>
      <c r="G368" s="2"/>
      <c r="H368" s="127"/>
      <c r="I368" s="62"/>
      <c r="J368" s="62"/>
      <c r="K368" s="62"/>
      <c r="L368" s="62"/>
      <c r="M368" s="62"/>
      <c r="N368" s="62"/>
      <c r="O368" s="62"/>
      <c r="P368" s="62"/>
      <c r="Q368" s="62"/>
      <c r="R368" s="62"/>
      <c r="S368" s="62"/>
      <c r="T368" s="62"/>
      <c r="U368" s="62"/>
      <c r="V368" s="62"/>
      <c r="W368" s="62"/>
      <c r="X368" s="62"/>
      <c r="Y368" s="62"/>
      <c r="Z368" s="62"/>
    </row>
    <row r="369" ht="15.75" customHeight="1">
      <c r="A369" s="74"/>
      <c r="B369" s="74"/>
      <c r="C369" s="74"/>
      <c r="D369" s="74"/>
      <c r="E369" s="2"/>
      <c r="F369" s="2"/>
      <c r="G369" s="2"/>
      <c r="H369" s="127"/>
      <c r="I369" s="62"/>
      <c r="J369" s="62"/>
      <c r="K369" s="62"/>
      <c r="L369" s="62"/>
      <c r="M369" s="62"/>
      <c r="N369" s="62"/>
      <c r="O369" s="62"/>
      <c r="P369" s="62"/>
      <c r="Q369" s="62"/>
      <c r="R369" s="62"/>
      <c r="S369" s="62"/>
      <c r="T369" s="62"/>
      <c r="U369" s="62"/>
      <c r="V369" s="62"/>
      <c r="W369" s="62"/>
      <c r="X369" s="62"/>
      <c r="Y369" s="62"/>
      <c r="Z369" s="62"/>
    </row>
    <row r="370" ht="15.75" customHeight="1">
      <c r="A370" s="74"/>
      <c r="B370" s="74"/>
      <c r="C370" s="74"/>
      <c r="D370" s="74"/>
      <c r="E370" s="2"/>
      <c r="F370" s="2"/>
      <c r="G370" s="2"/>
      <c r="H370" s="127"/>
      <c r="I370" s="62"/>
      <c r="J370" s="62"/>
      <c r="K370" s="62"/>
      <c r="L370" s="62"/>
      <c r="M370" s="62"/>
      <c r="N370" s="62"/>
      <c r="O370" s="62"/>
      <c r="P370" s="62"/>
      <c r="Q370" s="62"/>
      <c r="R370" s="62"/>
      <c r="S370" s="62"/>
      <c r="T370" s="62"/>
      <c r="U370" s="62"/>
      <c r="V370" s="62"/>
      <c r="W370" s="62"/>
      <c r="X370" s="62"/>
      <c r="Y370" s="62"/>
      <c r="Z370" s="62"/>
    </row>
    <row r="371" ht="15.75" customHeight="1">
      <c r="A371" s="74"/>
      <c r="B371" s="74"/>
      <c r="C371" s="74"/>
      <c r="D371" s="74"/>
      <c r="E371" s="2"/>
      <c r="F371" s="2"/>
      <c r="G371" s="2"/>
      <c r="H371" s="127"/>
      <c r="I371" s="62"/>
      <c r="J371" s="62"/>
      <c r="K371" s="62"/>
      <c r="L371" s="62"/>
      <c r="M371" s="62"/>
      <c r="N371" s="62"/>
      <c r="O371" s="62"/>
      <c r="P371" s="62"/>
      <c r="Q371" s="62"/>
      <c r="R371" s="62"/>
      <c r="S371" s="62"/>
      <c r="T371" s="62"/>
      <c r="U371" s="62"/>
      <c r="V371" s="62"/>
      <c r="W371" s="62"/>
      <c r="X371" s="62"/>
      <c r="Y371" s="62"/>
      <c r="Z371" s="62"/>
    </row>
    <row r="372" ht="15.75" customHeight="1">
      <c r="A372" s="74"/>
      <c r="B372" s="74"/>
      <c r="C372" s="74"/>
      <c r="D372" s="74"/>
      <c r="E372" s="2"/>
      <c r="F372" s="2"/>
      <c r="G372" s="2"/>
      <c r="H372" s="127"/>
      <c r="I372" s="62"/>
      <c r="J372" s="62"/>
      <c r="K372" s="62"/>
      <c r="L372" s="62"/>
      <c r="M372" s="62"/>
      <c r="N372" s="62"/>
      <c r="O372" s="62"/>
      <c r="P372" s="62"/>
      <c r="Q372" s="62"/>
      <c r="R372" s="62"/>
      <c r="S372" s="62"/>
      <c r="T372" s="62"/>
      <c r="U372" s="62"/>
      <c r="V372" s="62"/>
      <c r="W372" s="62"/>
      <c r="X372" s="62"/>
      <c r="Y372" s="62"/>
      <c r="Z372" s="62"/>
    </row>
    <row r="373" ht="15.75" customHeight="1">
      <c r="A373" s="74"/>
      <c r="B373" s="74"/>
      <c r="C373" s="74"/>
      <c r="D373" s="74"/>
      <c r="E373" s="2"/>
      <c r="F373" s="2"/>
      <c r="G373" s="2"/>
      <c r="H373" s="127"/>
      <c r="I373" s="62"/>
      <c r="J373" s="62"/>
      <c r="K373" s="62"/>
      <c r="L373" s="62"/>
      <c r="M373" s="62"/>
      <c r="N373" s="62"/>
      <c r="O373" s="62"/>
      <c r="P373" s="62"/>
      <c r="Q373" s="62"/>
      <c r="R373" s="62"/>
      <c r="S373" s="62"/>
      <c r="T373" s="62"/>
      <c r="U373" s="62"/>
      <c r="V373" s="62"/>
      <c r="W373" s="62"/>
      <c r="X373" s="62"/>
      <c r="Y373" s="62"/>
      <c r="Z373" s="62"/>
    </row>
    <row r="374" ht="15.75" customHeight="1">
      <c r="A374" s="74"/>
      <c r="B374" s="74"/>
      <c r="C374" s="74"/>
      <c r="D374" s="74"/>
      <c r="E374" s="2"/>
      <c r="F374" s="2"/>
      <c r="G374" s="2"/>
      <c r="H374" s="127"/>
      <c r="I374" s="62"/>
      <c r="J374" s="62"/>
      <c r="K374" s="62"/>
      <c r="L374" s="62"/>
      <c r="M374" s="62"/>
      <c r="N374" s="62"/>
      <c r="O374" s="62"/>
      <c r="P374" s="62"/>
      <c r="Q374" s="62"/>
      <c r="R374" s="62"/>
      <c r="S374" s="62"/>
      <c r="T374" s="62"/>
      <c r="U374" s="62"/>
      <c r="V374" s="62"/>
      <c r="W374" s="62"/>
      <c r="X374" s="62"/>
      <c r="Y374" s="62"/>
      <c r="Z374" s="62"/>
    </row>
    <row r="375" ht="15.75" customHeight="1">
      <c r="A375" s="74"/>
      <c r="B375" s="74"/>
      <c r="C375" s="74"/>
      <c r="D375" s="74"/>
      <c r="E375" s="2"/>
      <c r="F375" s="2"/>
      <c r="G375" s="2"/>
      <c r="H375" s="127"/>
      <c r="I375" s="62"/>
      <c r="J375" s="62"/>
      <c r="K375" s="62"/>
      <c r="L375" s="62"/>
      <c r="M375" s="62"/>
      <c r="N375" s="62"/>
      <c r="O375" s="62"/>
      <c r="P375" s="62"/>
      <c r="Q375" s="62"/>
      <c r="R375" s="62"/>
      <c r="S375" s="62"/>
      <c r="T375" s="62"/>
      <c r="U375" s="62"/>
      <c r="V375" s="62"/>
      <c r="W375" s="62"/>
      <c r="X375" s="62"/>
      <c r="Y375" s="62"/>
      <c r="Z375" s="62"/>
    </row>
    <row r="376" ht="15.75" customHeight="1">
      <c r="A376" s="74"/>
      <c r="B376" s="74"/>
      <c r="C376" s="74"/>
      <c r="D376" s="74"/>
      <c r="E376" s="2"/>
      <c r="F376" s="2"/>
      <c r="G376" s="2"/>
      <c r="H376" s="127"/>
      <c r="I376" s="62"/>
      <c r="J376" s="62"/>
      <c r="K376" s="62"/>
      <c r="L376" s="62"/>
      <c r="M376" s="62"/>
      <c r="N376" s="62"/>
      <c r="O376" s="62"/>
      <c r="P376" s="62"/>
      <c r="Q376" s="62"/>
      <c r="R376" s="62"/>
      <c r="S376" s="62"/>
      <c r="T376" s="62"/>
      <c r="U376" s="62"/>
      <c r="V376" s="62"/>
      <c r="W376" s="62"/>
      <c r="X376" s="62"/>
      <c r="Y376" s="62"/>
      <c r="Z376" s="62"/>
    </row>
    <row r="377" ht="15.75" customHeight="1">
      <c r="A377" s="74"/>
      <c r="B377" s="74"/>
      <c r="C377" s="74"/>
      <c r="D377" s="74"/>
      <c r="E377" s="2"/>
      <c r="F377" s="2"/>
      <c r="G377" s="2"/>
      <c r="H377" s="127"/>
      <c r="I377" s="62"/>
      <c r="J377" s="62"/>
      <c r="K377" s="62"/>
      <c r="L377" s="62"/>
      <c r="M377" s="62"/>
      <c r="N377" s="62"/>
      <c r="O377" s="62"/>
      <c r="P377" s="62"/>
      <c r="Q377" s="62"/>
      <c r="R377" s="62"/>
      <c r="S377" s="62"/>
      <c r="T377" s="62"/>
      <c r="U377" s="62"/>
      <c r="V377" s="62"/>
      <c r="W377" s="62"/>
      <c r="X377" s="62"/>
      <c r="Y377" s="62"/>
      <c r="Z377" s="62"/>
    </row>
    <row r="378" ht="15.75" customHeight="1">
      <c r="A378" s="74"/>
      <c r="B378" s="74"/>
      <c r="C378" s="74"/>
      <c r="D378" s="74"/>
      <c r="E378" s="2"/>
      <c r="F378" s="2"/>
      <c r="G378" s="2"/>
      <c r="H378" s="127"/>
      <c r="I378" s="62"/>
      <c r="J378" s="62"/>
      <c r="K378" s="62"/>
      <c r="L378" s="62"/>
      <c r="M378" s="62"/>
      <c r="N378" s="62"/>
      <c r="O378" s="62"/>
      <c r="P378" s="62"/>
      <c r="Q378" s="62"/>
      <c r="R378" s="62"/>
      <c r="S378" s="62"/>
      <c r="T378" s="62"/>
      <c r="U378" s="62"/>
      <c r="V378" s="62"/>
      <c r="W378" s="62"/>
      <c r="X378" s="62"/>
      <c r="Y378" s="62"/>
      <c r="Z378" s="62"/>
    </row>
    <row r="379" ht="15.75" customHeight="1">
      <c r="A379" s="74"/>
      <c r="B379" s="74"/>
      <c r="C379" s="74"/>
      <c r="D379" s="74"/>
      <c r="E379" s="2"/>
      <c r="F379" s="2"/>
      <c r="G379" s="2"/>
      <c r="H379" s="127"/>
      <c r="I379" s="62"/>
      <c r="J379" s="62"/>
      <c r="K379" s="62"/>
      <c r="L379" s="62"/>
      <c r="M379" s="62"/>
      <c r="N379" s="62"/>
      <c r="O379" s="62"/>
      <c r="P379" s="62"/>
      <c r="Q379" s="62"/>
      <c r="R379" s="62"/>
      <c r="S379" s="62"/>
      <c r="T379" s="62"/>
      <c r="U379" s="62"/>
      <c r="V379" s="62"/>
      <c r="W379" s="62"/>
      <c r="X379" s="62"/>
      <c r="Y379" s="62"/>
      <c r="Z379" s="62"/>
    </row>
    <row r="380" ht="15.75" customHeight="1">
      <c r="A380" s="74"/>
      <c r="B380" s="74"/>
      <c r="C380" s="74"/>
      <c r="D380" s="74"/>
      <c r="E380" s="2"/>
      <c r="F380" s="2"/>
      <c r="G380" s="2"/>
      <c r="H380" s="127"/>
      <c r="I380" s="62"/>
      <c r="J380" s="62"/>
      <c r="K380" s="62"/>
      <c r="L380" s="62"/>
      <c r="M380" s="62"/>
      <c r="N380" s="62"/>
      <c r="O380" s="62"/>
      <c r="P380" s="62"/>
      <c r="Q380" s="62"/>
      <c r="R380" s="62"/>
      <c r="S380" s="62"/>
      <c r="T380" s="62"/>
      <c r="U380" s="62"/>
      <c r="V380" s="62"/>
      <c r="W380" s="62"/>
      <c r="X380" s="62"/>
      <c r="Y380" s="62"/>
      <c r="Z380" s="62"/>
    </row>
    <row r="381" ht="15.75" customHeight="1">
      <c r="A381" s="74"/>
      <c r="B381" s="74"/>
      <c r="C381" s="74"/>
      <c r="D381" s="74"/>
      <c r="E381" s="2"/>
      <c r="F381" s="2"/>
      <c r="G381" s="2"/>
      <c r="H381" s="127"/>
      <c r="I381" s="62"/>
      <c r="J381" s="62"/>
      <c r="K381" s="62"/>
      <c r="L381" s="62"/>
      <c r="M381" s="62"/>
      <c r="N381" s="62"/>
      <c r="O381" s="62"/>
      <c r="P381" s="62"/>
      <c r="Q381" s="62"/>
      <c r="R381" s="62"/>
      <c r="S381" s="62"/>
      <c r="T381" s="62"/>
      <c r="U381" s="62"/>
      <c r="V381" s="62"/>
      <c r="W381" s="62"/>
      <c r="X381" s="62"/>
      <c r="Y381" s="62"/>
      <c r="Z381" s="62"/>
    </row>
    <row r="382" ht="15.75" customHeight="1">
      <c r="A382" s="74"/>
      <c r="B382" s="74"/>
      <c r="C382" s="74"/>
      <c r="D382" s="74"/>
      <c r="E382" s="2"/>
      <c r="F382" s="2"/>
      <c r="G382" s="2"/>
      <c r="H382" s="127"/>
      <c r="I382" s="62"/>
      <c r="J382" s="62"/>
      <c r="K382" s="62"/>
      <c r="L382" s="62"/>
      <c r="M382" s="62"/>
      <c r="N382" s="62"/>
      <c r="O382" s="62"/>
      <c r="P382" s="62"/>
      <c r="Q382" s="62"/>
      <c r="R382" s="62"/>
      <c r="S382" s="62"/>
      <c r="T382" s="62"/>
      <c r="U382" s="62"/>
      <c r="V382" s="62"/>
      <c r="W382" s="62"/>
      <c r="X382" s="62"/>
      <c r="Y382" s="62"/>
      <c r="Z382" s="62"/>
    </row>
    <row r="383" ht="15.75" customHeight="1">
      <c r="A383" s="74"/>
      <c r="B383" s="74"/>
      <c r="C383" s="74"/>
      <c r="D383" s="74"/>
      <c r="E383" s="2"/>
      <c r="F383" s="2"/>
      <c r="G383" s="2"/>
      <c r="H383" s="127"/>
      <c r="I383" s="62"/>
      <c r="J383" s="62"/>
      <c r="K383" s="62"/>
      <c r="L383" s="62"/>
      <c r="M383" s="62"/>
      <c r="N383" s="62"/>
      <c r="O383" s="62"/>
      <c r="P383" s="62"/>
      <c r="Q383" s="62"/>
      <c r="R383" s="62"/>
      <c r="S383" s="62"/>
      <c r="T383" s="62"/>
      <c r="U383" s="62"/>
      <c r="V383" s="62"/>
      <c r="W383" s="62"/>
      <c r="X383" s="62"/>
      <c r="Y383" s="62"/>
      <c r="Z383" s="62"/>
    </row>
    <row r="384" ht="15.75" customHeight="1">
      <c r="A384" s="74"/>
      <c r="B384" s="74"/>
      <c r="C384" s="74"/>
      <c r="D384" s="74"/>
      <c r="E384" s="2"/>
      <c r="F384" s="2"/>
      <c r="G384" s="2"/>
      <c r="H384" s="127"/>
      <c r="I384" s="62"/>
      <c r="J384" s="62"/>
      <c r="K384" s="62"/>
      <c r="L384" s="62"/>
      <c r="M384" s="62"/>
      <c r="N384" s="62"/>
      <c r="O384" s="62"/>
      <c r="P384" s="62"/>
      <c r="Q384" s="62"/>
      <c r="R384" s="62"/>
      <c r="S384" s="62"/>
      <c r="T384" s="62"/>
      <c r="U384" s="62"/>
      <c r="V384" s="62"/>
      <c r="W384" s="62"/>
      <c r="X384" s="62"/>
      <c r="Y384" s="62"/>
      <c r="Z384" s="62"/>
    </row>
    <row r="385" ht="15.75" customHeight="1">
      <c r="A385" s="74"/>
      <c r="B385" s="74"/>
      <c r="C385" s="74"/>
      <c r="D385" s="74"/>
      <c r="E385" s="2"/>
      <c r="F385" s="2"/>
      <c r="G385" s="2"/>
      <c r="H385" s="127"/>
      <c r="I385" s="62"/>
      <c r="J385" s="62"/>
      <c r="K385" s="62"/>
      <c r="L385" s="62"/>
      <c r="M385" s="62"/>
      <c r="N385" s="62"/>
      <c r="O385" s="62"/>
      <c r="P385" s="62"/>
      <c r="Q385" s="62"/>
      <c r="R385" s="62"/>
      <c r="S385" s="62"/>
      <c r="T385" s="62"/>
      <c r="U385" s="62"/>
      <c r="V385" s="62"/>
      <c r="W385" s="62"/>
      <c r="X385" s="62"/>
      <c r="Y385" s="62"/>
      <c r="Z385" s="62"/>
    </row>
    <row r="386" ht="15.75" customHeight="1">
      <c r="A386" s="74"/>
      <c r="B386" s="74"/>
      <c r="C386" s="74"/>
      <c r="D386" s="74"/>
      <c r="E386" s="2"/>
      <c r="F386" s="2"/>
      <c r="G386" s="2"/>
      <c r="H386" s="127"/>
      <c r="I386" s="62"/>
      <c r="J386" s="62"/>
      <c r="K386" s="62"/>
      <c r="L386" s="62"/>
      <c r="M386" s="62"/>
      <c r="N386" s="62"/>
      <c r="O386" s="62"/>
      <c r="P386" s="62"/>
      <c r="Q386" s="62"/>
      <c r="R386" s="62"/>
      <c r="S386" s="62"/>
      <c r="T386" s="62"/>
      <c r="U386" s="62"/>
      <c r="V386" s="62"/>
      <c r="W386" s="62"/>
      <c r="X386" s="62"/>
      <c r="Y386" s="62"/>
      <c r="Z386" s="62"/>
    </row>
    <row r="387" ht="15.75" customHeight="1">
      <c r="A387" s="74"/>
      <c r="B387" s="74"/>
      <c r="C387" s="74"/>
      <c r="D387" s="74"/>
      <c r="E387" s="2"/>
      <c r="F387" s="2"/>
      <c r="G387" s="2"/>
      <c r="H387" s="127"/>
      <c r="I387" s="62"/>
      <c r="J387" s="62"/>
      <c r="K387" s="62"/>
      <c r="L387" s="62"/>
      <c r="M387" s="62"/>
      <c r="N387" s="62"/>
      <c r="O387" s="62"/>
      <c r="P387" s="62"/>
      <c r="Q387" s="62"/>
      <c r="R387" s="62"/>
      <c r="S387" s="62"/>
      <c r="T387" s="62"/>
      <c r="U387" s="62"/>
      <c r="V387" s="62"/>
      <c r="W387" s="62"/>
      <c r="X387" s="62"/>
      <c r="Y387" s="62"/>
      <c r="Z387" s="62"/>
    </row>
    <row r="388" ht="15.75" customHeight="1">
      <c r="A388" s="74"/>
      <c r="B388" s="74"/>
      <c r="C388" s="74"/>
      <c r="D388" s="74"/>
      <c r="E388" s="2"/>
      <c r="F388" s="2"/>
      <c r="G388" s="2"/>
      <c r="H388" s="127"/>
      <c r="I388" s="62"/>
      <c r="J388" s="62"/>
      <c r="K388" s="62"/>
      <c r="L388" s="62"/>
      <c r="M388" s="62"/>
      <c r="N388" s="62"/>
      <c r="O388" s="62"/>
      <c r="P388" s="62"/>
      <c r="Q388" s="62"/>
      <c r="R388" s="62"/>
      <c r="S388" s="62"/>
      <c r="T388" s="62"/>
      <c r="U388" s="62"/>
      <c r="V388" s="62"/>
      <c r="W388" s="62"/>
      <c r="X388" s="62"/>
      <c r="Y388" s="62"/>
      <c r="Z388" s="62"/>
    </row>
    <row r="389" ht="15.75" customHeight="1">
      <c r="A389" s="74"/>
      <c r="B389" s="74"/>
      <c r="C389" s="74"/>
      <c r="D389" s="74"/>
      <c r="E389" s="2"/>
      <c r="F389" s="2"/>
      <c r="G389" s="2"/>
      <c r="H389" s="127"/>
      <c r="I389" s="62"/>
      <c r="J389" s="62"/>
      <c r="K389" s="62"/>
      <c r="L389" s="62"/>
      <c r="M389" s="62"/>
      <c r="N389" s="62"/>
      <c r="O389" s="62"/>
      <c r="P389" s="62"/>
      <c r="Q389" s="62"/>
      <c r="R389" s="62"/>
      <c r="S389" s="62"/>
      <c r="T389" s="62"/>
      <c r="U389" s="62"/>
      <c r="V389" s="62"/>
      <c r="W389" s="62"/>
      <c r="X389" s="62"/>
      <c r="Y389" s="62"/>
      <c r="Z389" s="62"/>
    </row>
    <row r="390" ht="15.75" customHeight="1">
      <c r="A390" s="74"/>
      <c r="B390" s="74"/>
      <c r="C390" s="74"/>
      <c r="D390" s="74"/>
      <c r="E390" s="2"/>
      <c r="F390" s="2"/>
      <c r="G390" s="2"/>
      <c r="H390" s="127"/>
      <c r="I390" s="62"/>
      <c r="J390" s="62"/>
      <c r="K390" s="62"/>
      <c r="L390" s="62"/>
      <c r="M390" s="62"/>
      <c r="N390" s="62"/>
      <c r="O390" s="62"/>
      <c r="P390" s="62"/>
      <c r="Q390" s="62"/>
      <c r="R390" s="62"/>
      <c r="S390" s="62"/>
      <c r="T390" s="62"/>
      <c r="U390" s="62"/>
      <c r="V390" s="62"/>
      <c r="W390" s="62"/>
      <c r="X390" s="62"/>
      <c r="Y390" s="62"/>
      <c r="Z390" s="62"/>
    </row>
    <row r="391" ht="15.75" customHeight="1">
      <c r="A391" s="74"/>
      <c r="B391" s="74"/>
      <c r="C391" s="74"/>
      <c r="D391" s="74"/>
      <c r="E391" s="2"/>
      <c r="F391" s="2"/>
      <c r="G391" s="2"/>
      <c r="H391" s="127"/>
      <c r="I391" s="62"/>
      <c r="J391" s="62"/>
      <c r="K391" s="62"/>
      <c r="L391" s="62"/>
      <c r="M391" s="62"/>
      <c r="N391" s="62"/>
      <c r="O391" s="62"/>
      <c r="P391" s="62"/>
      <c r="Q391" s="62"/>
      <c r="R391" s="62"/>
      <c r="S391" s="62"/>
      <c r="T391" s="62"/>
      <c r="U391" s="62"/>
      <c r="V391" s="62"/>
      <c r="W391" s="62"/>
      <c r="X391" s="62"/>
      <c r="Y391" s="62"/>
      <c r="Z391" s="62"/>
    </row>
    <row r="392" ht="15.75" customHeight="1">
      <c r="A392" s="74"/>
      <c r="B392" s="74"/>
      <c r="C392" s="74"/>
      <c r="D392" s="74"/>
      <c r="E392" s="2"/>
      <c r="F392" s="2"/>
      <c r="G392" s="2"/>
      <c r="H392" s="127"/>
      <c r="I392" s="62"/>
      <c r="J392" s="62"/>
      <c r="K392" s="62"/>
      <c r="L392" s="62"/>
      <c r="M392" s="62"/>
      <c r="N392" s="62"/>
      <c r="O392" s="62"/>
      <c r="P392" s="62"/>
      <c r="Q392" s="62"/>
      <c r="R392" s="62"/>
      <c r="S392" s="62"/>
      <c r="T392" s="62"/>
      <c r="U392" s="62"/>
      <c r="V392" s="62"/>
      <c r="W392" s="62"/>
      <c r="X392" s="62"/>
      <c r="Y392" s="62"/>
      <c r="Z392" s="62"/>
    </row>
    <row r="393" ht="15.75" customHeight="1">
      <c r="A393" s="74"/>
      <c r="B393" s="74"/>
      <c r="C393" s="74"/>
      <c r="D393" s="74"/>
      <c r="E393" s="2"/>
      <c r="F393" s="2"/>
      <c r="G393" s="2"/>
      <c r="H393" s="127"/>
      <c r="I393" s="62"/>
      <c r="J393" s="62"/>
      <c r="K393" s="62"/>
      <c r="L393" s="62"/>
      <c r="M393" s="62"/>
      <c r="N393" s="62"/>
      <c r="O393" s="62"/>
      <c r="P393" s="62"/>
      <c r="Q393" s="62"/>
      <c r="R393" s="62"/>
      <c r="S393" s="62"/>
      <c r="T393" s="62"/>
      <c r="U393" s="62"/>
      <c r="V393" s="62"/>
      <c r="W393" s="62"/>
      <c r="X393" s="62"/>
      <c r="Y393" s="62"/>
      <c r="Z393" s="62"/>
    </row>
    <row r="394" ht="15.75" customHeight="1">
      <c r="A394" s="74"/>
      <c r="B394" s="74"/>
      <c r="C394" s="74"/>
      <c r="D394" s="74"/>
      <c r="E394" s="2"/>
      <c r="F394" s="2"/>
      <c r="G394" s="2"/>
      <c r="H394" s="127"/>
      <c r="I394" s="62"/>
      <c r="J394" s="62"/>
      <c r="K394" s="62"/>
      <c r="L394" s="62"/>
      <c r="M394" s="62"/>
      <c r="N394" s="62"/>
      <c r="O394" s="62"/>
      <c r="P394" s="62"/>
      <c r="Q394" s="62"/>
      <c r="R394" s="62"/>
      <c r="S394" s="62"/>
      <c r="T394" s="62"/>
      <c r="U394" s="62"/>
      <c r="V394" s="62"/>
      <c r="W394" s="62"/>
      <c r="X394" s="62"/>
      <c r="Y394" s="62"/>
      <c r="Z394" s="62"/>
    </row>
    <row r="395" ht="15.75" customHeight="1">
      <c r="A395" s="74"/>
      <c r="B395" s="74"/>
      <c r="C395" s="74"/>
      <c r="D395" s="74"/>
      <c r="E395" s="2"/>
      <c r="F395" s="2"/>
      <c r="G395" s="2"/>
      <c r="H395" s="127"/>
      <c r="I395" s="62"/>
      <c r="J395" s="62"/>
      <c r="K395" s="62"/>
      <c r="L395" s="62"/>
      <c r="M395" s="62"/>
      <c r="N395" s="62"/>
      <c r="O395" s="62"/>
      <c r="P395" s="62"/>
      <c r="Q395" s="62"/>
      <c r="R395" s="62"/>
      <c r="S395" s="62"/>
      <c r="T395" s="62"/>
      <c r="U395" s="62"/>
      <c r="V395" s="62"/>
      <c r="W395" s="62"/>
      <c r="X395" s="62"/>
      <c r="Y395" s="62"/>
      <c r="Z395" s="62"/>
    </row>
    <row r="396" ht="15.75" customHeight="1">
      <c r="A396" s="74"/>
      <c r="B396" s="74"/>
      <c r="C396" s="74"/>
      <c r="D396" s="74"/>
      <c r="E396" s="2"/>
      <c r="F396" s="2"/>
      <c r="G396" s="2"/>
      <c r="H396" s="127"/>
      <c r="I396" s="62"/>
      <c r="J396" s="62"/>
      <c r="K396" s="62"/>
      <c r="L396" s="62"/>
      <c r="M396" s="62"/>
      <c r="N396" s="62"/>
      <c r="O396" s="62"/>
      <c r="P396" s="62"/>
      <c r="Q396" s="62"/>
      <c r="R396" s="62"/>
      <c r="S396" s="62"/>
      <c r="T396" s="62"/>
      <c r="U396" s="62"/>
      <c r="V396" s="62"/>
      <c r="W396" s="62"/>
      <c r="X396" s="62"/>
      <c r="Y396" s="62"/>
      <c r="Z396" s="62"/>
    </row>
    <row r="397" ht="15.75" customHeight="1">
      <c r="A397" s="74"/>
      <c r="B397" s="74"/>
      <c r="C397" s="74"/>
      <c r="D397" s="74"/>
      <c r="E397" s="2"/>
      <c r="F397" s="2"/>
      <c r="G397" s="2"/>
      <c r="H397" s="127"/>
      <c r="I397" s="62"/>
      <c r="J397" s="62"/>
      <c r="K397" s="62"/>
      <c r="L397" s="62"/>
      <c r="M397" s="62"/>
      <c r="N397" s="62"/>
      <c r="O397" s="62"/>
      <c r="P397" s="62"/>
      <c r="Q397" s="62"/>
      <c r="R397" s="62"/>
      <c r="S397" s="62"/>
      <c r="T397" s="62"/>
      <c r="U397" s="62"/>
      <c r="V397" s="62"/>
      <c r="W397" s="62"/>
      <c r="X397" s="62"/>
      <c r="Y397" s="62"/>
      <c r="Z397" s="62"/>
    </row>
    <row r="398" ht="15.75" customHeight="1">
      <c r="A398" s="74"/>
      <c r="B398" s="74"/>
      <c r="C398" s="74"/>
      <c r="D398" s="74"/>
      <c r="E398" s="2"/>
      <c r="F398" s="2"/>
      <c r="G398" s="2"/>
      <c r="H398" s="127"/>
      <c r="I398" s="62"/>
      <c r="J398" s="62"/>
      <c r="K398" s="62"/>
      <c r="L398" s="62"/>
      <c r="M398" s="62"/>
      <c r="N398" s="62"/>
      <c r="O398" s="62"/>
      <c r="P398" s="62"/>
      <c r="Q398" s="62"/>
      <c r="R398" s="62"/>
      <c r="S398" s="62"/>
      <c r="T398" s="62"/>
      <c r="U398" s="62"/>
      <c r="V398" s="62"/>
      <c r="W398" s="62"/>
      <c r="X398" s="62"/>
      <c r="Y398" s="62"/>
      <c r="Z398" s="62"/>
    </row>
    <row r="399" ht="15.75" customHeight="1">
      <c r="A399" s="74"/>
      <c r="B399" s="74"/>
      <c r="C399" s="74"/>
      <c r="D399" s="74"/>
      <c r="E399" s="2"/>
      <c r="F399" s="2"/>
      <c r="G399" s="2"/>
      <c r="H399" s="127"/>
      <c r="I399" s="62"/>
      <c r="J399" s="62"/>
      <c r="K399" s="62"/>
      <c r="L399" s="62"/>
      <c r="M399" s="62"/>
      <c r="N399" s="62"/>
      <c r="O399" s="62"/>
      <c r="P399" s="62"/>
      <c r="Q399" s="62"/>
      <c r="R399" s="62"/>
      <c r="S399" s="62"/>
      <c r="T399" s="62"/>
      <c r="U399" s="62"/>
      <c r="V399" s="62"/>
      <c r="W399" s="62"/>
      <c r="X399" s="62"/>
      <c r="Y399" s="62"/>
      <c r="Z399" s="62"/>
    </row>
    <row r="400" ht="15.75" customHeight="1">
      <c r="A400" s="74"/>
      <c r="B400" s="74"/>
      <c r="C400" s="74"/>
      <c r="D400" s="74"/>
      <c r="E400" s="2"/>
      <c r="F400" s="2"/>
      <c r="G400" s="2"/>
      <c r="H400" s="127"/>
      <c r="I400" s="62"/>
      <c r="J400" s="62"/>
      <c r="K400" s="62"/>
      <c r="L400" s="62"/>
      <c r="M400" s="62"/>
      <c r="N400" s="62"/>
      <c r="O400" s="62"/>
      <c r="P400" s="62"/>
      <c r="Q400" s="62"/>
      <c r="R400" s="62"/>
      <c r="S400" s="62"/>
      <c r="T400" s="62"/>
      <c r="U400" s="62"/>
      <c r="V400" s="62"/>
      <c r="W400" s="62"/>
      <c r="X400" s="62"/>
      <c r="Y400" s="62"/>
      <c r="Z400" s="62"/>
    </row>
    <row r="401" ht="15.75" customHeight="1">
      <c r="A401" s="74"/>
      <c r="B401" s="74"/>
      <c r="C401" s="74"/>
      <c r="D401" s="74"/>
      <c r="E401" s="2"/>
      <c r="F401" s="2"/>
      <c r="G401" s="2"/>
      <c r="H401" s="127"/>
      <c r="I401" s="62"/>
      <c r="J401" s="62"/>
      <c r="K401" s="62"/>
      <c r="L401" s="62"/>
      <c r="M401" s="62"/>
      <c r="N401" s="62"/>
      <c r="O401" s="62"/>
      <c r="P401" s="62"/>
      <c r="Q401" s="62"/>
      <c r="R401" s="62"/>
      <c r="S401" s="62"/>
      <c r="T401" s="62"/>
      <c r="U401" s="62"/>
      <c r="V401" s="62"/>
      <c r="W401" s="62"/>
      <c r="X401" s="62"/>
      <c r="Y401" s="62"/>
      <c r="Z401" s="62"/>
    </row>
    <row r="402" ht="15.75" customHeight="1">
      <c r="A402" s="74"/>
      <c r="B402" s="74"/>
      <c r="C402" s="74"/>
      <c r="D402" s="74"/>
      <c r="E402" s="2"/>
      <c r="F402" s="2"/>
      <c r="G402" s="2"/>
      <c r="H402" s="127"/>
      <c r="I402" s="62"/>
      <c r="J402" s="62"/>
      <c r="K402" s="62"/>
      <c r="L402" s="62"/>
      <c r="M402" s="62"/>
      <c r="N402" s="62"/>
      <c r="O402" s="62"/>
      <c r="P402" s="62"/>
      <c r="Q402" s="62"/>
      <c r="R402" s="62"/>
      <c r="S402" s="62"/>
      <c r="T402" s="62"/>
      <c r="U402" s="62"/>
      <c r="V402" s="62"/>
      <c r="W402" s="62"/>
      <c r="X402" s="62"/>
      <c r="Y402" s="62"/>
      <c r="Z402" s="62"/>
    </row>
    <row r="403" ht="15.75" customHeight="1">
      <c r="A403" s="74"/>
      <c r="B403" s="74"/>
      <c r="C403" s="74"/>
      <c r="D403" s="74"/>
      <c r="E403" s="2"/>
      <c r="F403" s="2"/>
      <c r="G403" s="2"/>
      <c r="H403" s="127"/>
      <c r="I403" s="62"/>
      <c r="J403" s="62"/>
      <c r="K403" s="62"/>
      <c r="L403" s="62"/>
      <c r="M403" s="62"/>
      <c r="N403" s="62"/>
      <c r="O403" s="62"/>
      <c r="P403" s="62"/>
      <c r="Q403" s="62"/>
      <c r="R403" s="62"/>
      <c r="S403" s="62"/>
      <c r="T403" s="62"/>
      <c r="U403" s="62"/>
      <c r="V403" s="62"/>
      <c r="W403" s="62"/>
      <c r="X403" s="62"/>
      <c r="Y403" s="62"/>
      <c r="Z403" s="62"/>
    </row>
    <row r="404" ht="15.75" customHeight="1">
      <c r="A404" s="74"/>
      <c r="B404" s="74"/>
      <c r="C404" s="74"/>
      <c r="D404" s="74"/>
      <c r="E404" s="2"/>
      <c r="F404" s="2"/>
      <c r="G404" s="2"/>
      <c r="H404" s="127"/>
      <c r="I404" s="62"/>
      <c r="J404" s="62"/>
      <c r="K404" s="62"/>
      <c r="L404" s="62"/>
      <c r="M404" s="62"/>
      <c r="N404" s="62"/>
      <c r="O404" s="62"/>
      <c r="P404" s="62"/>
      <c r="Q404" s="62"/>
      <c r="R404" s="62"/>
      <c r="S404" s="62"/>
      <c r="T404" s="62"/>
      <c r="U404" s="62"/>
      <c r="V404" s="62"/>
      <c r="W404" s="62"/>
      <c r="X404" s="62"/>
      <c r="Y404" s="62"/>
      <c r="Z404" s="62"/>
    </row>
    <row r="405" ht="15.75" customHeight="1">
      <c r="A405" s="74"/>
      <c r="B405" s="74"/>
      <c r="C405" s="74"/>
      <c r="D405" s="74"/>
      <c r="E405" s="2"/>
      <c r="F405" s="2"/>
      <c r="G405" s="2"/>
      <c r="H405" s="127"/>
      <c r="I405" s="62"/>
      <c r="J405" s="62"/>
      <c r="K405" s="62"/>
      <c r="L405" s="62"/>
      <c r="M405" s="62"/>
      <c r="N405" s="62"/>
      <c r="O405" s="62"/>
      <c r="P405" s="62"/>
      <c r="Q405" s="62"/>
      <c r="R405" s="62"/>
      <c r="S405" s="62"/>
      <c r="T405" s="62"/>
      <c r="U405" s="62"/>
      <c r="V405" s="62"/>
      <c r="W405" s="62"/>
      <c r="X405" s="62"/>
      <c r="Y405" s="62"/>
      <c r="Z405" s="62"/>
    </row>
    <row r="406" ht="15.75" customHeight="1">
      <c r="A406" s="74"/>
      <c r="B406" s="74"/>
      <c r="C406" s="74"/>
      <c r="D406" s="74"/>
      <c r="E406" s="2"/>
      <c r="F406" s="2"/>
      <c r="G406" s="2"/>
      <c r="H406" s="127"/>
      <c r="I406" s="62"/>
      <c r="J406" s="62"/>
      <c r="K406" s="62"/>
      <c r="L406" s="62"/>
      <c r="M406" s="62"/>
      <c r="N406" s="62"/>
      <c r="O406" s="62"/>
      <c r="P406" s="62"/>
      <c r="Q406" s="62"/>
      <c r="R406" s="62"/>
      <c r="S406" s="62"/>
      <c r="T406" s="62"/>
      <c r="U406" s="62"/>
      <c r="V406" s="62"/>
      <c r="W406" s="62"/>
      <c r="X406" s="62"/>
      <c r="Y406" s="62"/>
      <c r="Z406" s="62"/>
    </row>
    <row r="407" ht="15.75" customHeight="1">
      <c r="A407" s="74"/>
      <c r="B407" s="74"/>
      <c r="C407" s="74"/>
      <c r="D407" s="74"/>
      <c r="E407" s="2"/>
      <c r="F407" s="2"/>
      <c r="G407" s="2"/>
      <c r="H407" s="127"/>
      <c r="I407" s="62"/>
      <c r="J407" s="62"/>
      <c r="K407" s="62"/>
      <c r="L407" s="62"/>
      <c r="M407" s="62"/>
      <c r="N407" s="62"/>
      <c r="O407" s="62"/>
      <c r="P407" s="62"/>
      <c r="Q407" s="62"/>
      <c r="R407" s="62"/>
      <c r="S407" s="62"/>
      <c r="T407" s="62"/>
      <c r="U407" s="62"/>
      <c r="V407" s="62"/>
      <c r="W407" s="62"/>
      <c r="X407" s="62"/>
      <c r="Y407" s="62"/>
      <c r="Z407" s="62"/>
    </row>
    <row r="408" ht="15.75" customHeight="1">
      <c r="A408" s="74"/>
      <c r="B408" s="74"/>
      <c r="C408" s="74"/>
      <c r="D408" s="74"/>
      <c r="E408" s="2"/>
      <c r="F408" s="2"/>
      <c r="G408" s="2"/>
      <c r="H408" s="127"/>
      <c r="I408" s="62"/>
      <c r="J408" s="62"/>
      <c r="K408" s="62"/>
      <c r="L408" s="62"/>
      <c r="M408" s="62"/>
      <c r="N408" s="62"/>
      <c r="O408" s="62"/>
      <c r="P408" s="62"/>
      <c r="Q408" s="62"/>
      <c r="R408" s="62"/>
      <c r="S408" s="62"/>
      <c r="T408" s="62"/>
      <c r="U408" s="62"/>
      <c r="V408" s="62"/>
      <c r="W408" s="62"/>
      <c r="X408" s="62"/>
      <c r="Y408" s="62"/>
      <c r="Z408" s="62"/>
    </row>
    <row r="409" ht="15.75" customHeight="1">
      <c r="A409" s="74"/>
      <c r="B409" s="74"/>
      <c r="C409" s="74"/>
      <c r="D409" s="74"/>
      <c r="E409" s="2"/>
      <c r="F409" s="2"/>
      <c r="G409" s="2"/>
      <c r="H409" s="127"/>
      <c r="I409" s="62"/>
      <c r="J409" s="62"/>
      <c r="K409" s="62"/>
      <c r="L409" s="62"/>
      <c r="M409" s="62"/>
      <c r="N409" s="62"/>
      <c r="O409" s="62"/>
      <c r="P409" s="62"/>
      <c r="Q409" s="62"/>
      <c r="R409" s="62"/>
      <c r="S409" s="62"/>
      <c r="T409" s="62"/>
      <c r="U409" s="62"/>
      <c r="V409" s="62"/>
      <c r="W409" s="62"/>
      <c r="X409" s="62"/>
      <c r="Y409" s="62"/>
      <c r="Z409" s="62"/>
    </row>
    <row r="410" ht="15.75" customHeight="1">
      <c r="A410" s="74"/>
      <c r="B410" s="74"/>
      <c r="C410" s="74"/>
      <c r="D410" s="74"/>
      <c r="E410" s="2"/>
      <c r="F410" s="2"/>
      <c r="G410" s="2"/>
      <c r="H410" s="127"/>
      <c r="I410" s="62"/>
      <c r="J410" s="62"/>
      <c r="K410" s="62"/>
      <c r="L410" s="62"/>
      <c r="M410" s="62"/>
      <c r="N410" s="62"/>
      <c r="O410" s="62"/>
      <c r="P410" s="62"/>
      <c r="Q410" s="62"/>
      <c r="R410" s="62"/>
      <c r="S410" s="62"/>
      <c r="T410" s="62"/>
      <c r="U410" s="62"/>
      <c r="V410" s="62"/>
      <c r="W410" s="62"/>
      <c r="X410" s="62"/>
      <c r="Y410" s="62"/>
      <c r="Z410" s="62"/>
    </row>
    <row r="411" ht="15.75" customHeight="1">
      <c r="A411" s="74"/>
      <c r="B411" s="74"/>
      <c r="C411" s="74"/>
      <c r="D411" s="74"/>
      <c r="E411" s="2"/>
      <c r="F411" s="2"/>
      <c r="G411" s="2"/>
      <c r="H411" s="127"/>
      <c r="I411" s="62"/>
      <c r="J411" s="62"/>
      <c r="K411" s="62"/>
      <c r="L411" s="62"/>
      <c r="M411" s="62"/>
      <c r="N411" s="62"/>
      <c r="O411" s="62"/>
      <c r="P411" s="62"/>
      <c r="Q411" s="62"/>
      <c r="R411" s="62"/>
      <c r="S411" s="62"/>
      <c r="T411" s="62"/>
      <c r="U411" s="62"/>
      <c r="V411" s="62"/>
      <c r="W411" s="62"/>
      <c r="X411" s="62"/>
      <c r="Y411" s="62"/>
      <c r="Z411" s="62"/>
    </row>
    <row r="412" ht="15.75" customHeight="1">
      <c r="A412" s="74"/>
      <c r="B412" s="74"/>
      <c r="C412" s="74"/>
      <c r="D412" s="74"/>
      <c r="E412" s="2"/>
      <c r="F412" s="2"/>
      <c r="G412" s="2"/>
      <c r="H412" s="127"/>
      <c r="I412" s="62"/>
      <c r="J412" s="62"/>
      <c r="K412" s="62"/>
      <c r="L412" s="62"/>
      <c r="M412" s="62"/>
      <c r="N412" s="62"/>
      <c r="O412" s="62"/>
      <c r="P412" s="62"/>
      <c r="Q412" s="62"/>
      <c r="R412" s="62"/>
      <c r="S412" s="62"/>
      <c r="T412" s="62"/>
      <c r="U412" s="62"/>
      <c r="V412" s="62"/>
      <c r="W412" s="62"/>
      <c r="X412" s="62"/>
      <c r="Y412" s="62"/>
      <c r="Z412" s="62"/>
    </row>
    <row r="413" ht="15.75" customHeight="1">
      <c r="A413" s="74"/>
      <c r="B413" s="74"/>
      <c r="C413" s="74"/>
      <c r="D413" s="74"/>
      <c r="E413" s="2"/>
      <c r="F413" s="2"/>
      <c r="G413" s="2"/>
      <c r="H413" s="127"/>
      <c r="I413" s="62"/>
      <c r="J413" s="62"/>
      <c r="K413" s="62"/>
      <c r="L413" s="62"/>
      <c r="M413" s="62"/>
      <c r="N413" s="62"/>
      <c r="O413" s="62"/>
      <c r="P413" s="62"/>
      <c r="Q413" s="62"/>
      <c r="R413" s="62"/>
      <c r="S413" s="62"/>
      <c r="T413" s="62"/>
      <c r="U413" s="62"/>
      <c r="V413" s="62"/>
      <c r="W413" s="62"/>
      <c r="X413" s="62"/>
      <c r="Y413" s="62"/>
      <c r="Z413" s="62"/>
    </row>
    <row r="414" ht="15.75" customHeight="1">
      <c r="A414" s="74"/>
      <c r="B414" s="74"/>
      <c r="C414" s="74"/>
      <c r="D414" s="74"/>
      <c r="E414" s="2"/>
      <c r="F414" s="2"/>
      <c r="G414" s="2"/>
      <c r="H414" s="127"/>
      <c r="I414" s="62"/>
      <c r="J414" s="62"/>
      <c r="K414" s="62"/>
      <c r="L414" s="62"/>
      <c r="M414" s="62"/>
      <c r="N414" s="62"/>
      <c r="O414" s="62"/>
      <c r="P414" s="62"/>
      <c r="Q414" s="62"/>
      <c r="R414" s="62"/>
      <c r="S414" s="62"/>
      <c r="T414" s="62"/>
      <c r="U414" s="62"/>
      <c r="V414" s="62"/>
      <c r="W414" s="62"/>
      <c r="X414" s="62"/>
      <c r="Y414" s="62"/>
      <c r="Z414" s="62"/>
    </row>
    <row r="415" ht="15.75" customHeight="1">
      <c r="A415" s="74"/>
      <c r="B415" s="74"/>
      <c r="C415" s="74"/>
      <c r="D415" s="74"/>
      <c r="E415" s="2"/>
      <c r="F415" s="2"/>
      <c r="G415" s="2"/>
      <c r="H415" s="127"/>
      <c r="I415" s="62"/>
      <c r="J415" s="62"/>
      <c r="K415" s="62"/>
      <c r="L415" s="62"/>
      <c r="M415" s="62"/>
      <c r="N415" s="62"/>
      <c r="O415" s="62"/>
      <c r="P415" s="62"/>
      <c r="Q415" s="62"/>
      <c r="R415" s="62"/>
      <c r="S415" s="62"/>
      <c r="T415" s="62"/>
      <c r="U415" s="62"/>
      <c r="V415" s="62"/>
      <c r="W415" s="62"/>
      <c r="X415" s="62"/>
      <c r="Y415" s="62"/>
      <c r="Z415" s="62"/>
    </row>
    <row r="416" ht="15.75" customHeight="1">
      <c r="A416" s="74"/>
      <c r="B416" s="74"/>
      <c r="C416" s="74"/>
      <c r="D416" s="74"/>
      <c r="E416" s="2"/>
      <c r="F416" s="2"/>
      <c r="G416" s="2"/>
      <c r="H416" s="127"/>
      <c r="I416" s="62"/>
      <c r="J416" s="62"/>
      <c r="K416" s="62"/>
      <c r="L416" s="62"/>
      <c r="M416" s="62"/>
      <c r="N416" s="62"/>
      <c r="O416" s="62"/>
      <c r="P416" s="62"/>
      <c r="Q416" s="62"/>
      <c r="R416" s="62"/>
      <c r="S416" s="62"/>
      <c r="T416" s="62"/>
      <c r="U416" s="62"/>
      <c r="V416" s="62"/>
      <c r="W416" s="62"/>
      <c r="X416" s="62"/>
      <c r="Y416" s="62"/>
      <c r="Z416" s="62"/>
    </row>
    <row r="417" ht="15.75" customHeight="1">
      <c r="A417" s="74"/>
      <c r="B417" s="74"/>
      <c r="C417" s="74"/>
      <c r="D417" s="74"/>
      <c r="E417" s="2"/>
      <c r="F417" s="2"/>
      <c r="G417" s="2"/>
      <c r="H417" s="127"/>
      <c r="I417" s="62"/>
      <c r="J417" s="62"/>
      <c r="K417" s="62"/>
      <c r="L417" s="62"/>
      <c r="M417" s="62"/>
      <c r="N417" s="62"/>
      <c r="O417" s="62"/>
      <c r="P417" s="62"/>
      <c r="Q417" s="62"/>
      <c r="R417" s="62"/>
      <c r="S417" s="62"/>
      <c r="T417" s="62"/>
      <c r="U417" s="62"/>
      <c r="V417" s="62"/>
      <c r="W417" s="62"/>
      <c r="X417" s="62"/>
      <c r="Y417" s="62"/>
      <c r="Z417" s="62"/>
    </row>
    <row r="418" ht="15.75" customHeight="1">
      <c r="A418" s="74"/>
      <c r="B418" s="74"/>
      <c r="C418" s="74"/>
      <c r="D418" s="74"/>
      <c r="E418" s="2"/>
      <c r="F418" s="2"/>
      <c r="G418" s="2"/>
      <c r="H418" s="127"/>
      <c r="I418" s="62"/>
      <c r="J418" s="62"/>
      <c r="K418" s="62"/>
      <c r="L418" s="62"/>
      <c r="M418" s="62"/>
      <c r="N418" s="62"/>
      <c r="O418" s="62"/>
      <c r="P418" s="62"/>
      <c r="Q418" s="62"/>
      <c r="R418" s="62"/>
      <c r="S418" s="62"/>
      <c r="T418" s="62"/>
      <c r="U418" s="62"/>
      <c r="V418" s="62"/>
      <c r="W418" s="62"/>
      <c r="X418" s="62"/>
      <c r="Y418" s="62"/>
      <c r="Z418" s="62"/>
    </row>
    <row r="419" ht="15.75" customHeight="1">
      <c r="A419" s="74"/>
      <c r="B419" s="74"/>
      <c r="C419" s="74"/>
      <c r="D419" s="74"/>
      <c r="E419" s="2"/>
      <c r="F419" s="2"/>
      <c r="G419" s="2"/>
      <c r="H419" s="127"/>
      <c r="I419" s="62"/>
      <c r="J419" s="62"/>
      <c r="K419" s="62"/>
      <c r="L419" s="62"/>
      <c r="M419" s="62"/>
      <c r="N419" s="62"/>
      <c r="O419" s="62"/>
      <c r="P419" s="62"/>
      <c r="Q419" s="62"/>
      <c r="R419" s="62"/>
      <c r="S419" s="62"/>
      <c r="T419" s="62"/>
      <c r="U419" s="62"/>
      <c r="V419" s="62"/>
      <c r="W419" s="62"/>
      <c r="X419" s="62"/>
      <c r="Y419" s="62"/>
      <c r="Z419" s="62"/>
    </row>
    <row r="420" ht="15.75" customHeight="1">
      <c r="A420" s="74"/>
      <c r="B420" s="74"/>
      <c r="C420" s="74"/>
      <c r="D420" s="74"/>
      <c r="E420" s="2"/>
      <c r="F420" s="2"/>
      <c r="G420" s="2"/>
      <c r="H420" s="127"/>
      <c r="I420" s="62"/>
      <c r="J420" s="62"/>
      <c r="K420" s="62"/>
      <c r="L420" s="62"/>
      <c r="M420" s="62"/>
      <c r="N420" s="62"/>
      <c r="O420" s="62"/>
      <c r="P420" s="62"/>
      <c r="Q420" s="62"/>
      <c r="R420" s="62"/>
      <c r="S420" s="62"/>
      <c r="T420" s="62"/>
      <c r="U420" s="62"/>
      <c r="V420" s="62"/>
      <c r="W420" s="62"/>
      <c r="X420" s="62"/>
      <c r="Y420" s="62"/>
      <c r="Z420" s="62"/>
    </row>
    <row r="421" ht="15.75" customHeight="1">
      <c r="A421" s="74"/>
      <c r="B421" s="74"/>
      <c r="C421" s="74"/>
      <c r="D421" s="74"/>
      <c r="E421" s="2"/>
      <c r="F421" s="2"/>
      <c r="G421" s="2"/>
      <c r="H421" s="127"/>
      <c r="I421" s="62"/>
      <c r="J421" s="62"/>
      <c r="K421" s="62"/>
      <c r="L421" s="62"/>
      <c r="M421" s="62"/>
      <c r="N421" s="62"/>
      <c r="O421" s="62"/>
      <c r="P421" s="62"/>
      <c r="Q421" s="62"/>
      <c r="R421" s="62"/>
      <c r="S421" s="62"/>
      <c r="T421" s="62"/>
      <c r="U421" s="62"/>
      <c r="V421" s="62"/>
      <c r="W421" s="62"/>
      <c r="X421" s="62"/>
      <c r="Y421" s="62"/>
      <c r="Z421" s="62"/>
    </row>
    <row r="422" ht="15.75" customHeight="1">
      <c r="A422" s="74"/>
      <c r="B422" s="74"/>
      <c r="C422" s="74"/>
      <c r="D422" s="74"/>
      <c r="E422" s="2"/>
      <c r="F422" s="2"/>
      <c r="G422" s="2"/>
      <c r="H422" s="127"/>
      <c r="I422" s="62"/>
      <c r="J422" s="62"/>
      <c r="K422" s="62"/>
      <c r="L422" s="62"/>
      <c r="M422" s="62"/>
      <c r="N422" s="62"/>
      <c r="O422" s="62"/>
      <c r="P422" s="62"/>
      <c r="Q422" s="62"/>
      <c r="R422" s="62"/>
      <c r="S422" s="62"/>
      <c r="T422" s="62"/>
      <c r="U422" s="62"/>
      <c r="V422" s="62"/>
      <c r="W422" s="62"/>
      <c r="X422" s="62"/>
      <c r="Y422" s="62"/>
      <c r="Z422" s="62"/>
    </row>
    <row r="423" ht="15.75" customHeight="1">
      <c r="A423" s="74"/>
      <c r="B423" s="74"/>
      <c r="C423" s="74"/>
      <c r="D423" s="74"/>
      <c r="E423" s="2"/>
      <c r="F423" s="2"/>
      <c r="G423" s="2"/>
      <c r="H423" s="127"/>
      <c r="I423" s="62"/>
      <c r="J423" s="62"/>
      <c r="K423" s="62"/>
      <c r="L423" s="62"/>
      <c r="M423" s="62"/>
      <c r="N423" s="62"/>
      <c r="O423" s="62"/>
      <c r="P423" s="62"/>
      <c r="Q423" s="62"/>
      <c r="R423" s="62"/>
      <c r="S423" s="62"/>
      <c r="T423" s="62"/>
      <c r="U423" s="62"/>
      <c r="V423" s="62"/>
      <c r="W423" s="62"/>
      <c r="X423" s="62"/>
      <c r="Y423" s="62"/>
      <c r="Z423" s="62"/>
    </row>
    <row r="424" ht="15.75" customHeight="1">
      <c r="A424" s="74"/>
      <c r="B424" s="74"/>
      <c r="C424" s="74"/>
      <c r="D424" s="74"/>
      <c r="E424" s="2"/>
      <c r="F424" s="2"/>
      <c r="G424" s="2"/>
      <c r="H424" s="127"/>
      <c r="I424" s="62"/>
      <c r="J424" s="62"/>
      <c r="K424" s="62"/>
      <c r="L424" s="62"/>
      <c r="M424" s="62"/>
      <c r="N424" s="62"/>
      <c r="O424" s="62"/>
      <c r="P424" s="62"/>
      <c r="Q424" s="62"/>
      <c r="R424" s="62"/>
      <c r="S424" s="62"/>
      <c r="T424" s="62"/>
      <c r="U424" s="62"/>
      <c r="V424" s="62"/>
      <c r="W424" s="62"/>
      <c r="X424" s="62"/>
      <c r="Y424" s="62"/>
      <c r="Z424" s="62"/>
    </row>
    <row r="425" ht="15.75" customHeight="1">
      <c r="A425" s="74"/>
      <c r="B425" s="74"/>
      <c r="C425" s="74"/>
      <c r="D425" s="74"/>
      <c r="E425" s="2"/>
      <c r="F425" s="2"/>
      <c r="G425" s="2"/>
      <c r="H425" s="127"/>
      <c r="I425" s="62"/>
      <c r="J425" s="62"/>
      <c r="K425" s="62"/>
      <c r="L425" s="62"/>
      <c r="M425" s="62"/>
      <c r="N425" s="62"/>
      <c r="O425" s="62"/>
      <c r="P425" s="62"/>
      <c r="Q425" s="62"/>
      <c r="R425" s="62"/>
      <c r="S425" s="62"/>
      <c r="T425" s="62"/>
      <c r="U425" s="62"/>
      <c r="V425" s="62"/>
      <c r="W425" s="62"/>
      <c r="X425" s="62"/>
      <c r="Y425" s="62"/>
      <c r="Z425" s="62"/>
    </row>
    <row r="426" ht="15.75" customHeight="1">
      <c r="A426" s="74"/>
      <c r="B426" s="74"/>
      <c r="C426" s="74"/>
      <c r="D426" s="74"/>
      <c r="E426" s="2"/>
      <c r="F426" s="2"/>
      <c r="G426" s="2"/>
      <c r="H426" s="127"/>
      <c r="I426" s="62"/>
      <c r="J426" s="62"/>
      <c r="K426" s="62"/>
      <c r="L426" s="62"/>
      <c r="M426" s="62"/>
      <c r="N426" s="62"/>
      <c r="O426" s="62"/>
      <c r="P426" s="62"/>
      <c r="Q426" s="62"/>
      <c r="R426" s="62"/>
      <c r="S426" s="62"/>
      <c r="T426" s="62"/>
      <c r="U426" s="62"/>
      <c r="V426" s="62"/>
      <c r="W426" s="62"/>
      <c r="X426" s="62"/>
      <c r="Y426" s="62"/>
      <c r="Z426" s="62"/>
    </row>
    <row r="427" ht="15.75" customHeight="1">
      <c r="A427" s="74"/>
      <c r="B427" s="74"/>
      <c r="C427" s="74"/>
      <c r="D427" s="74"/>
      <c r="E427" s="2"/>
      <c r="F427" s="2"/>
      <c r="G427" s="2"/>
      <c r="H427" s="127"/>
      <c r="I427" s="62"/>
      <c r="J427" s="62"/>
      <c r="K427" s="62"/>
      <c r="L427" s="62"/>
      <c r="M427" s="62"/>
      <c r="N427" s="62"/>
      <c r="O427" s="62"/>
      <c r="P427" s="62"/>
      <c r="Q427" s="62"/>
      <c r="R427" s="62"/>
      <c r="S427" s="62"/>
      <c r="T427" s="62"/>
      <c r="U427" s="62"/>
      <c r="V427" s="62"/>
      <c r="W427" s="62"/>
      <c r="X427" s="62"/>
      <c r="Y427" s="62"/>
      <c r="Z427" s="62"/>
    </row>
    <row r="428" ht="15.75" customHeight="1">
      <c r="A428" s="74"/>
      <c r="B428" s="74"/>
      <c r="C428" s="74"/>
      <c r="D428" s="74"/>
      <c r="E428" s="2"/>
      <c r="F428" s="2"/>
      <c r="G428" s="2"/>
      <c r="H428" s="127"/>
      <c r="I428" s="62"/>
      <c r="J428" s="62"/>
      <c r="K428" s="62"/>
      <c r="L428" s="62"/>
      <c r="M428" s="62"/>
      <c r="N428" s="62"/>
      <c r="O428" s="62"/>
      <c r="P428" s="62"/>
      <c r="Q428" s="62"/>
      <c r="R428" s="62"/>
      <c r="S428" s="62"/>
      <c r="T428" s="62"/>
      <c r="U428" s="62"/>
      <c r="V428" s="62"/>
      <c r="W428" s="62"/>
      <c r="X428" s="62"/>
      <c r="Y428" s="62"/>
      <c r="Z428" s="62"/>
    </row>
    <row r="429" ht="15.75" customHeight="1">
      <c r="A429" s="74"/>
      <c r="B429" s="74"/>
      <c r="C429" s="74"/>
      <c r="D429" s="74"/>
      <c r="E429" s="2"/>
      <c r="F429" s="2"/>
      <c r="G429" s="2"/>
      <c r="H429" s="127"/>
      <c r="I429" s="62"/>
      <c r="J429" s="62"/>
      <c r="K429" s="62"/>
      <c r="L429" s="62"/>
      <c r="M429" s="62"/>
      <c r="N429" s="62"/>
      <c r="O429" s="62"/>
      <c r="P429" s="62"/>
      <c r="Q429" s="62"/>
      <c r="R429" s="62"/>
      <c r="S429" s="62"/>
      <c r="T429" s="62"/>
      <c r="U429" s="62"/>
      <c r="V429" s="62"/>
      <c r="W429" s="62"/>
      <c r="X429" s="62"/>
      <c r="Y429" s="62"/>
      <c r="Z429" s="62"/>
    </row>
    <row r="430" ht="15.75" customHeight="1">
      <c r="A430" s="74"/>
      <c r="B430" s="74"/>
      <c r="C430" s="74"/>
      <c r="D430" s="74"/>
      <c r="E430" s="2"/>
      <c r="F430" s="2"/>
      <c r="G430" s="2"/>
      <c r="H430" s="127"/>
      <c r="I430" s="62"/>
      <c r="J430" s="62"/>
      <c r="K430" s="62"/>
      <c r="L430" s="62"/>
      <c r="M430" s="62"/>
      <c r="N430" s="62"/>
      <c r="O430" s="62"/>
      <c r="P430" s="62"/>
      <c r="Q430" s="62"/>
      <c r="R430" s="62"/>
      <c r="S430" s="62"/>
      <c r="T430" s="62"/>
      <c r="U430" s="62"/>
      <c r="V430" s="62"/>
      <c r="W430" s="62"/>
      <c r="X430" s="62"/>
      <c r="Y430" s="62"/>
      <c r="Z430" s="62"/>
    </row>
    <row r="431" ht="15.75" customHeight="1">
      <c r="A431" s="74"/>
      <c r="B431" s="74"/>
      <c r="C431" s="74"/>
      <c r="D431" s="74"/>
      <c r="E431" s="2"/>
      <c r="F431" s="2"/>
      <c r="G431" s="2"/>
      <c r="H431" s="127"/>
      <c r="I431" s="62"/>
      <c r="J431" s="62"/>
      <c r="K431" s="62"/>
      <c r="L431" s="62"/>
      <c r="M431" s="62"/>
      <c r="N431" s="62"/>
      <c r="O431" s="62"/>
      <c r="P431" s="62"/>
      <c r="Q431" s="62"/>
      <c r="R431" s="62"/>
      <c r="S431" s="62"/>
      <c r="T431" s="62"/>
      <c r="U431" s="62"/>
      <c r="V431" s="62"/>
      <c r="W431" s="62"/>
      <c r="X431" s="62"/>
      <c r="Y431" s="62"/>
      <c r="Z431" s="62"/>
    </row>
    <row r="432" ht="15.75" customHeight="1">
      <c r="A432" s="74"/>
      <c r="B432" s="74"/>
      <c r="C432" s="74"/>
      <c r="D432" s="74"/>
      <c r="E432" s="2"/>
      <c r="F432" s="2"/>
      <c r="G432" s="2"/>
      <c r="H432" s="127"/>
      <c r="I432" s="62"/>
      <c r="J432" s="62"/>
      <c r="K432" s="62"/>
      <c r="L432" s="62"/>
      <c r="M432" s="62"/>
      <c r="N432" s="62"/>
      <c r="O432" s="62"/>
      <c r="P432" s="62"/>
      <c r="Q432" s="62"/>
      <c r="R432" s="62"/>
      <c r="S432" s="62"/>
      <c r="T432" s="62"/>
      <c r="U432" s="62"/>
      <c r="V432" s="62"/>
      <c r="W432" s="62"/>
      <c r="X432" s="62"/>
      <c r="Y432" s="62"/>
      <c r="Z432" s="62"/>
    </row>
    <row r="433" ht="15.75" customHeight="1">
      <c r="A433" s="74"/>
      <c r="B433" s="74"/>
      <c r="C433" s="74"/>
      <c r="D433" s="74"/>
      <c r="E433" s="2"/>
      <c r="F433" s="2"/>
      <c r="G433" s="2"/>
      <c r="H433" s="127"/>
      <c r="I433" s="62"/>
      <c r="J433" s="62"/>
      <c r="K433" s="62"/>
      <c r="L433" s="62"/>
      <c r="M433" s="62"/>
      <c r="N433" s="62"/>
      <c r="O433" s="62"/>
      <c r="P433" s="62"/>
      <c r="Q433" s="62"/>
      <c r="R433" s="62"/>
      <c r="S433" s="62"/>
      <c r="T433" s="62"/>
      <c r="U433" s="62"/>
      <c r="V433" s="62"/>
      <c r="W433" s="62"/>
      <c r="X433" s="62"/>
      <c r="Y433" s="62"/>
      <c r="Z433" s="62"/>
    </row>
    <row r="434" ht="15.75" customHeight="1">
      <c r="A434" s="74"/>
      <c r="B434" s="74"/>
      <c r="C434" s="74"/>
      <c r="D434" s="74"/>
      <c r="E434" s="2"/>
      <c r="F434" s="2"/>
      <c r="G434" s="2"/>
      <c r="H434" s="127"/>
      <c r="I434" s="62"/>
      <c r="J434" s="62"/>
      <c r="K434" s="62"/>
      <c r="L434" s="62"/>
      <c r="M434" s="62"/>
      <c r="N434" s="62"/>
      <c r="O434" s="62"/>
      <c r="P434" s="62"/>
      <c r="Q434" s="62"/>
      <c r="R434" s="62"/>
      <c r="S434" s="62"/>
      <c r="T434" s="62"/>
      <c r="U434" s="62"/>
      <c r="V434" s="62"/>
      <c r="W434" s="62"/>
      <c r="X434" s="62"/>
      <c r="Y434" s="62"/>
      <c r="Z434" s="62"/>
    </row>
    <row r="435" ht="15.75" customHeight="1">
      <c r="A435" s="74"/>
      <c r="B435" s="74"/>
      <c r="C435" s="74"/>
      <c r="D435" s="74"/>
      <c r="E435" s="2"/>
      <c r="F435" s="2"/>
      <c r="G435" s="2"/>
      <c r="H435" s="127"/>
      <c r="I435" s="62"/>
      <c r="J435" s="62"/>
      <c r="K435" s="62"/>
      <c r="L435" s="62"/>
      <c r="M435" s="62"/>
      <c r="N435" s="62"/>
      <c r="O435" s="62"/>
      <c r="P435" s="62"/>
      <c r="Q435" s="62"/>
      <c r="R435" s="62"/>
      <c r="S435" s="62"/>
      <c r="T435" s="62"/>
      <c r="U435" s="62"/>
      <c r="V435" s="62"/>
      <c r="W435" s="62"/>
      <c r="X435" s="62"/>
      <c r="Y435" s="62"/>
      <c r="Z435" s="62"/>
    </row>
    <row r="436" ht="15.75" customHeight="1">
      <c r="A436" s="74"/>
      <c r="B436" s="74"/>
      <c r="C436" s="74"/>
      <c r="D436" s="74"/>
      <c r="E436" s="2"/>
      <c r="F436" s="2"/>
      <c r="G436" s="2"/>
      <c r="H436" s="127"/>
      <c r="I436" s="62"/>
      <c r="J436" s="62"/>
      <c r="K436" s="62"/>
      <c r="L436" s="62"/>
      <c r="M436" s="62"/>
      <c r="N436" s="62"/>
      <c r="O436" s="62"/>
      <c r="P436" s="62"/>
      <c r="Q436" s="62"/>
      <c r="R436" s="62"/>
      <c r="S436" s="62"/>
      <c r="T436" s="62"/>
      <c r="U436" s="62"/>
      <c r="V436" s="62"/>
      <c r="W436" s="62"/>
      <c r="X436" s="62"/>
      <c r="Y436" s="62"/>
      <c r="Z436" s="62"/>
    </row>
    <row r="437" ht="15.75" customHeight="1">
      <c r="A437" s="74"/>
      <c r="B437" s="74"/>
      <c r="C437" s="74"/>
      <c r="D437" s="74"/>
      <c r="E437" s="2"/>
      <c r="F437" s="2"/>
      <c r="G437" s="2"/>
      <c r="H437" s="127"/>
      <c r="I437" s="62"/>
      <c r="J437" s="62"/>
      <c r="K437" s="62"/>
      <c r="L437" s="62"/>
      <c r="M437" s="62"/>
      <c r="N437" s="62"/>
      <c r="O437" s="62"/>
      <c r="P437" s="62"/>
      <c r="Q437" s="62"/>
      <c r="R437" s="62"/>
      <c r="S437" s="62"/>
      <c r="T437" s="62"/>
      <c r="U437" s="62"/>
      <c r="V437" s="62"/>
      <c r="W437" s="62"/>
      <c r="X437" s="62"/>
      <c r="Y437" s="62"/>
      <c r="Z437" s="62"/>
    </row>
    <row r="438" ht="15.75" customHeight="1">
      <c r="A438" s="74"/>
      <c r="B438" s="74"/>
      <c r="C438" s="74"/>
      <c r="D438" s="74"/>
      <c r="E438" s="2"/>
      <c r="F438" s="2"/>
      <c r="G438" s="2"/>
      <c r="H438" s="127"/>
      <c r="I438" s="62"/>
      <c r="J438" s="62"/>
      <c r="K438" s="62"/>
      <c r="L438" s="62"/>
      <c r="M438" s="62"/>
      <c r="N438" s="62"/>
      <c r="O438" s="62"/>
      <c r="P438" s="62"/>
      <c r="Q438" s="62"/>
      <c r="R438" s="62"/>
      <c r="S438" s="62"/>
      <c r="T438" s="62"/>
      <c r="U438" s="62"/>
      <c r="V438" s="62"/>
      <c r="W438" s="62"/>
      <c r="X438" s="62"/>
      <c r="Y438" s="62"/>
      <c r="Z438" s="62"/>
    </row>
    <row r="439" ht="15.75" customHeight="1">
      <c r="A439" s="74"/>
      <c r="B439" s="74"/>
      <c r="C439" s="74"/>
      <c r="D439" s="74"/>
      <c r="E439" s="2"/>
      <c r="F439" s="2"/>
      <c r="G439" s="2"/>
      <c r="H439" s="127"/>
      <c r="I439" s="62"/>
      <c r="J439" s="62"/>
      <c r="K439" s="62"/>
      <c r="L439" s="62"/>
      <c r="M439" s="62"/>
      <c r="N439" s="62"/>
      <c r="O439" s="62"/>
      <c r="P439" s="62"/>
      <c r="Q439" s="62"/>
      <c r="R439" s="62"/>
      <c r="S439" s="62"/>
      <c r="T439" s="62"/>
      <c r="U439" s="62"/>
      <c r="V439" s="62"/>
      <c r="W439" s="62"/>
      <c r="X439" s="62"/>
      <c r="Y439" s="62"/>
      <c r="Z439" s="62"/>
    </row>
    <row r="440" ht="15.75" customHeight="1">
      <c r="A440" s="74"/>
      <c r="B440" s="74"/>
      <c r="C440" s="74"/>
      <c r="D440" s="74"/>
      <c r="E440" s="2"/>
      <c r="F440" s="2"/>
      <c r="G440" s="2"/>
      <c r="H440" s="127"/>
      <c r="I440" s="62"/>
      <c r="J440" s="62"/>
      <c r="K440" s="62"/>
      <c r="L440" s="62"/>
      <c r="M440" s="62"/>
      <c r="N440" s="62"/>
      <c r="O440" s="62"/>
      <c r="P440" s="62"/>
      <c r="Q440" s="62"/>
      <c r="R440" s="62"/>
      <c r="S440" s="62"/>
      <c r="T440" s="62"/>
      <c r="U440" s="62"/>
      <c r="V440" s="62"/>
      <c r="W440" s="62"/>
      <c r="X440" s="62"/>
      <c r="Y440" s="62"/>
      <c r="Z440" s="62"/>
    </row>
    <row r="441" ht="15.75" customHeight="1">
      <c r="A441" s="74"/>
      <c r="B441" s="74"/>
      <c r="C441" s="74"/>
      <c r="D441" s="74"/>
      <c r="E441" s="2"/>
      <c r="F441" s="2"/>
      <c r="G441" s="2"/>
      <c r="H441" s="127"/>
      <c r="I441" s="62"/>
      <c r="J441" s="62"/>
      <c r="K441" s="62"/>
      <c r="L441" s="62"/>
      <c r="M441" s="62"/>
      <c r="N441" s="62"/>
      <c r="O441" s="62"/>
      <c r="P441" s="62"/>
      <c r="Q441" s="62"/>
      <c r="R441" s="62"/>
      <c r="S441" s="62"/>
      <c r="T441" s="62"/>
      <c r="U441" s="62"/>
      <c r="V441" s="62"/>
      <c r="W441" s="62"/>
      <c r="X441" s="62"/>
      <c r="Y441" s="62"/>
      <c r="Z441" s="62"/>
    </row>
    <row r="442" ht="15.75" customHeight="1">
      <c r="A442" s="74"/>
      <c r="B442" s="74"/>
      <c r="C442" s="74"/>
      <c r="D442" s="74"/>
      <c r="E442" s="2"/>
      <c r="F442" s="2"/>
      <c r="G442" s="2"/>
      <c r="H442" s="127"/>
      <c r="I442" s="62"/>
      <c r="J442" s="62"/>
      <c r="K442" s="62"/>
      <c r="L442" s="62"/>
      <c r="M442" s="62"/>
      <c r="N442" s="62"/>
      <c r="O442" s="62"/>
      <c r="P442" s="62"/>
      <c r="Q442" s="62"/>
      <c r="R442" s="62"/>
      <c r="S442" s="62"/>
      <c r="T442" s="62"/>
      <c r="U442" s="62"/>
      <c r="V442" s="62"/>
      <c r="W442" s="62"/>
      <c r="X442" s="62"/>
      <c r="Y442" s="62"/>
      <c r="Z442" s="62"/>
    </row>
    <row r="443" ht="15.75" customHeight="1">
      <c r="A443" s="74"/>
      <c r="B443" s="74"/>
      <c r="C443" s="74"/>
      <c r="D443" s="74"/>
      <c r="E443" s="2"/>
      <c r="F443" s="2"/>
      <c r="G443" s="2"/>
      <c r="H443" s="127"/>
      <c r="I443" s="62"/>
      <c r="J443" s="62"/>
      <c r="K443" s="62"/>
      <c r="L443" s="62"/>
      <c r="M443" s="62"/>
      <c r="N443" s="62"/>
      <c r="O443" s="62"/>
      <c r="P443" s="62"/>
      <c r="Q443" s="62"/>
      <c r="R443" s="62"/>
      <c r="S443" s="62"/>
      <c r="T443" s="62"/>
      <c r="U443" s="62"/>
      <c r="V443" s="62"/>
      <c r="W443" s="62"/>
      <c r="X443" s="62"/>
      <c r="Y443" s="62"/>
      <c r="Z443" s="62"/>
    </row>
    <row r="444" ht="15.75" customHeight="1">
      <c r="A444" s="74"/>
      <c r="B444" s="74"/>
      <c r="C444" s="74"/>
      <c r="D444" s="74"/>
      <c r="E444" s="2"/>
      <c r="F444" s="2"/>
      <c r="G444" s="2"/>
      <c r="H444" s="127"/>
      <c r="I444" s="62"/>
      <c r="J444" s="62"/>
      <c r="K444" s="62"/>
      <c r="L444" s="62"/>
      <c r="M444" s="62"/>
      <c r="N444" s="62"/>
      <c r="O444" s="62"/>
      <c r="P444" s="62"/>
      <c r="Q444" s="62"/>
      <c r="R444" s="62"/>
      <c r="S444" s="62"/>
      <c r="T444" s="62"/>
      <c r="U444" s="62"/>
      <c r="V444" s="62"/>
      <c r="W444" s="62"/>
      <c r="X444" s="62"/>
      <c r="Y444" s="62"/>
      <c r="Z444" s="62"/>
    </row>
    <row r="445" ht="15.75" customHeight="1">
      <c r="A445" s="74"/>
      <c r="B445" s="74"/>
      <c r="C445" s="74"/>
      <c r="D445" s="74"/>
      <c r="E445" s="2"/>
      <c r="F445" s="2"/>
      <c r="G445" s="2"/>
      <c r="H445" s="127"/>
      <c r="I445" s="62"/>
      <c r="J445" s="62"/>
      <c r="K445" s="62"/>
      <c r="L445" s="62"/>
      <c r="M445" s="62"/>
      <c r="N445" s="62"/>
      <c r="O445" s="62"/>
      <c r="P445" s="62"/>
      <c r="Q445" s="62"/>
      <c r="R445" s="62"/>
      <c r="S445" s="62"/>
      <c r="T445" s="62"/>
      <c r="U445" s="62"/>
      <c r="V445" s="62"/>
      <c r="W445" s="62"/>
      <c r="X445" s="62"/>
      <c r="Y445" s="62"/>
      <c r="Z445" s="62"/>
    </row>
    <row r="446" ht="15.75" customHeight="1">
      <c r="A446" s="74"/>
      <c r="B446" s="74"/>
      <c r="C446" s="74"/>
      <c r="D446" s="74"/>
      <c r="E446" s="2"/>
      <c r="F446" s="2"/>
      <c r="G446" s="2"/>
      <c r="H446" s="127"/>
      <c r="I446" s="62"/>
      <c r="J446" s="62"/>
      <c r="K446" s="62"/>
      <c r="L446" s="62"/>
      <c r="M446" s="62"/>
      <c r="N446" s="62"/>
      <c r="O446" s="62"/>
      <c r="P446" s="62"/>
      <c r="Q446" s="62"/>
      <c r="R446" s="62"/>
      <c r="S446" s="62"/>
      <c r="T446" s="62"/>
      <c r="U446" s="62"/>
      <c r="V446" s="62"/>
      <c r="W446" s="62"/>
      <c r="X446" s="62"/>
      <c r="Y446" s="62"/>
      <c r="Z446" s="62"/>
    </row>
    <row r="447" ht="15.75" customHeight="1">
      <c r="A447" s="74"/>
      <c r="B447" s="74"/>
      <c r="C447" s="74"/>
      <c r="D447" s="74"/>
      <c r="E447" s="2"/>
      <c r="F447" s="2"/>
      <c r="G447" s="2"/>
      <c r="H447" s="127"/>
      <c r="I447" s="62"/>
      <c r="J447" s="62"/>
      <c r="K447" s="62"/>
      <c r="L447" s="62"/>
      <c r="M447" s="62"/>
      <c r="N447" s="62"/>
      <c r="O447" s="62"/>
      <c r="P447" s="62"/>
      <c r="Q447" s="62"/>
      <c r="R447" s="62"/>
      <c r="S447" s="62"/>
      <c r="T447" s="62"/>
      <c r="U447" s="62"/>
      <c r="V447" s="62"/>
      <c r="W447" s="62"/>
      <c r="X447" s="62"/>
      <c r="Y447" s="62"/>
      <c r="Z447" s="62"/>
    </row>
    <row r="448" ht="15.75" customHeight="1">
      <c r="A448" s="74"/>
      <c r="B448" s="74"/>
      <c r="C448" s="74"/>
      <c r="D448" s="74"/>
      <c r="E448" s="2"/>
      <c r="F448" s="2"/>
      <c r="G448" s="2"/>
      <c r="H448" s="127"/>
      <c r="I448" s="62"/>
      <c r="J448" s="62"/>
      <c r="K448" s="62"/>
      <c r="L448" s="62"/>
      <c r="M448" s="62"/>
      <c r="N448" s="62"/>
      <c r="O448" s="62"/>
      <c r="P448" s="62"/>
      <c r="Q448" s="62"/>
      <c r="R448" s="62"/>
      <c r="S448" s="62"/>
      <c r="T448" s="62"/>
      <c r="U448" s="62"/>
      <c r="V448" s="62"/>
      <c r="W448" s="62"/>
      <c r="X448" s="62"/>
      <c r="Y448" s="62"/>
      <c r="Z448" s="62"/>
    </row>
    <row r="449" ht="15.75" customHeight="1">
      <c r="A449" s="74"/>
      <c r="B449" s="74"/>
      <c r="C449" s="74"/>
      <c r="D449" s="74"/>
      <c r="E449" s="2"/>
      <c r="F449" s="2"/>
      <c r="G449" s="2"/>
      <c r="H449" s="127"/>
      <c r="I449" s="62"/>
      <c r="J449" s="62"/>
      <c r="K449" s="62"/>
      <c r="L449" s="62"/>
      <c r="M449" s="62"/>
      <c r="N449" s="62"/>
      <c r="O449" s="62"/>
      <c r="P449" s="62"/>
      <c r="Q449" s="62"/>
      <c r="R449" s="62"/>
      <c r="S449" s="62"/>
      <c r="T449" s="62"/>
      <c r="U449" s="62"/>
      <c r="V449" s="62"/>
      <c r="W449" s="62"/>
      <c r="X449" s="62"/>
      <c r="Y449" s="62"/>
      <c r="Z449" s="62"/>
    </row>
    <row r="450" ht="15.75" customHeight="1">
      <c r="A450" s="74"/>
      <c r="B450" s="74"/>
      <c r="C450" s="74"/>
      <c r="D450" s="74"/>
      <c r="E450" s="2"/>
      <c r="F450" s="2"/>
      <c r="G450" s="2"/>
      <c r="H450" s="127"/>
      <c r="I450" s="62"/>
      <c r="J450" s="62"/>
      <c r="K450" s="62"/>
      <c r="L450" s="62"/>
      <c r="M450" s="62"/>
      <c r="N450" s="62"/>
      <c r="O450" s="62"/>
      <c r="P450" s="62"/>
      <c r="Q450" s="62"/>
      <c r="R450" s="62"/>
      <c r="S450" s="62"/>
      <c r="T450" s="62"/>
      <c r="U450" s="62"/>
      <c r="V450" s="62"/>
      <c r="W450" s="62"/>
      <c r="X450" s="62"/>
      <c r="Y450" s="62"/>
      <c r="Z450" s="62"/>
    </row>
    <row r="451" ht="15.75" customHeight="1">
      <c r="A451" s="74"/>
      <c r="B451" s="74"/>
      <c r="C451" s="74"/>
      <c r="D451" s="74"/>
      <c r="E451" s="2"/>
      <c r="F451" s="2"/>
      <c r="G451" s="2"/>
      <c r="H451" s="127"/>
      <c r="I451" s="62"/>
      <c r="J451" s="62"/>
      <c r="K451" s="62"/>
      <c r="L451" s="62"/>
      <c r="M451" s="62"/>
      <c r="N451" s="62"/>
      <c r="O451" s="62"/>
      <c r="P451" s="62"/>
      <c r="Q451" s="62"/>
      <c r="R451" s="62"/>
      <c r="S451" s="62"/>
      <c r="T451" s="62"/>
      <c r="U451" s="62"/>
      <c r="V451" s="62"/>
      <c r="W451" s="62"/>
      <c r="X451" s="62"/>
      <c r="Y451" s="62"/>
      <c r="Z451" s="62"/>
    </row>
    <row r="452" ht="15.75" customHeight="1">
      <c r="A452" s="74"/>
      <c r="B452" s="74"/>
      <c r="C452" s="74"/>
      <c r="D452" s="74"/>
      <c r="E452" s="2"/>
      <c r="F452" s="2"/>
      <c r="G452" s="2"/>
      <c r="H452" s="127"/>
      <c r="I452" s="62"/>
      <c r="J452" s="62"/>
      <c r="K452" s="62"/>
      <c r="L452" s="62"/>
      <c r="M452" s="62"/>
      <c r="N452" s="62"/>
      <c r="O452" s="62"/>
      <c r="P452" s="62"/>
      <c r="Q452" s="62"/>
      <c r="R452" s="62"/>
      <c r="S452" s="62"/>
      <c r="T452" s="62"/>
      <c r="U452" s="62"/>
      <c r="V452" s="62"/>
      <c r="W452" s="62"/>
      <c r="X452" s="62"/>
      <c r="Y452" s="62"/>
      <c r="Z452" s="62"/>
    </row>
    <row r="453" ht="15.75" customHeight="1">
      <c r="A453" s="74"/>
      <c r="B453" s="74"/>
      <c r="C453" s="74"/>
      <c r="D453" s="74"/>
      <c r="E453" s="2"/>
      <c r="F453" s="2"/>
      <c r="G453" s="2"/>
      <c r="H453" s="127"/>
      <c r="I453" s="62"/>
      <c r="J453" s="62"/>
      <c r="K453" s="62"/>
      <c r="L453" s="62"/>
      <c r="M453" s="62"/>
      <c r="N453" s="62"/>
      <c r="O453" s="62"/>
      <c r="P453" s="62"/>
      <c r="Q453" s="62"/>
      <c r="R453" s="62"/>
      <c r="S453" s="62"/>
      <c r="T453" s="62"/>
      <c r="U453" s="62"/>
      <c r="V453" s="62"/>
      <c r="W453" s="62"/>
      <c r="X453" s="62"/>
      <c r="Y453" s="62"/>
      <c r="Z453" s="62"/>
    </row>
    <row r="454" ht="15.75" customHeight="1">
      <c r="A454" s="74"/>
      <c r="B454" s="74"/>
      <c r="C454" s="74"/>
      <c r="D454" s="74"/>
      <c r="E454" s="2"/>
      <c r="F454" s="2"/>
      <c r="G454" s="2"/>
      <c r="H454" s="127"/>
      <c r="I454" s="62"/>
      <c r="J454" s="62"/>
      <c r="K454" s="62"/>
      <c r="L454" s="62"/>
      <c r="M454" s="62"/>
      <c r="N454" s="62"/>
      <c r="O454" s="62"/>
      <c r="P454" s="62"/>
      <c r="Q454" s="62"/>
      <c r="R454" s="62"/>
      <c r="S454" s="62"/>
      <c r="T454" s="62"/>
      <c r="U454" s="62"/>
      <c r="V454" s="62"/>
      <c r="W454" s="62"/>
      <c r="X454" s="62"/>
      <c r="Y454" s="62"/>
      <c r="Z454" s="62"/>
    </row>
    <row r="455" ht="15.75" customHeight="1">
      <c r="A455" s="74"/>
      <c r="B455" s="74"/>
      <c r="C455" s="74"/>
      <c r="D455" s="74"/>
      <c r="E455" s="2"/>
      <c r="F455" s="2"/>
      <c r="G455" s="2"/>
      <c r="H455" s="127"/>
      <c r="I455" s="62"/>
      <c r="J455" s="62"/>
      <c r="K455" s="62"/>
      <c r="L455" s="62"/>
      <c r="M455" s="62"/>
      <c r="N455" s="62"/>
      <c r="O455" s="62"/>
      <c r="P455" s="62"/>
      <c r="Q455" s="62"/>
      <c r="R455" s="62"/>
      <c r="S455" s="62"/>
      <c r="T455" s="62"/>
      <c r="U455" s="62"/>
      <c r="V455" s="62"/>
      <c r="W455" s="62"/>
      <c r="X455" s="62"/>
      <c r="Y455" s="62"/>
      <c r="Z455" s="62"/>
    </row>
    <row r="456" ht="15.75" customHeight="1">
      <c r="A456" s="74"/>
      <c r="B456" s="74"/>
      <c r="C456" s="74"/>
      <c r="D456" s="74"/>
      <c r="E456" s="2"/>
      <c r="F456" s="2"/>
      <c r="G456" s="2"/>
      <c r="H456" s="127"/>
      <c r="I456" s="62"/>
      <c r="J456" s="62"/>
      <c r="K456" s="62"/>
      <c r="L456" s="62"/>
      <c r="M456" s="62"/>
      <c r="N456" s="62"/>
      <c r="O456" s="62"/>
      <c r="P456" s="62"/>
      <c r="Q456" s="62"/>
      <c r="R456" s="62"/>
      <c r="S456" s="62"/>
      <c r="T456" s="62"/>
      <c r="U456" s="62"/>
      <c r="V456" s="62"/>
      <c r="W456" s="62"/>
      <c r="X456" s="62"/>
      <c r="Y456" s="62"/>
      <c r="Z456" s="62"/>
    </row>
    <row r="457" ht="15.75" customHeight="1">
      <c r="A457" s="74"/>
      <c r="B457" s="74"/>
      <c r="C457" s="74"/>
      <c r="D457" s="74"/>
      <c r="E457" s="2"/>
      <c r="F457" s="2"/>
      <c r="G457" s="2"/>
      <c r="H457" s="127"/>
      <c r="I457" s="62"/>
      <c r="J457" s="62"/>
      <c r="K457" s="62"/>
      <c r="L457" s="62"/>
      <c r="M457" s="62"/>
      <c r="N457" s="62"/>
      <c r="O457" s="62"/>
      <c r="P457" s="62"/>
      <c r="Q457" s="62"/>
      <c r="R457" s="62"/>
      <c r="S457" s="62"/>
      <c r="T457" s="62"/>
      <c r="U457" s="62"/>
      <c r="V457" s="62"/>
      <c r="W457" s="62"/>
      <c r="X457" s="62"/>
      <c r="Y457" s="62"/>
      <c r="Z457" s="62"/>
    </row>
    <row r="458" ht="15.75" customHeight="1">
      <c r="A458" s="74"/>
      <c r="B458" s="74"/>
      <c r="C458" s="74"/>
      <c r="D458" s="74"/>
      <c r="E458" s="2"/>
      <c r="F458" s="2"/>
      <c r="G458" s="2"/>
      <c r="H458" s="127"/>
      <c r="I458" s="62"/>
      <c r="J458" s="62"/>
      <c r="K458" s="62"/>
      <c r="L458" s="62"/>
      <c r="M458" s="62"/>
      <c r="N458" s="62"/>
      <c r="O458" s="62"/>
      <c r="P458" s="62"/>
      <c r="Q458" s="62"/>
      <c r="R458" s="62"/>
      <c r="S458" s="62"/>
      <c r="T458" s="62"/>
      <c r="U458" s="62"/>
      <c r="V458" s="62"/>
      <c r="W458" s="62"/>
      <c r="X458" s="62"/>
      <c r="Y458" s="62"/>
      <c r="Z458" s="62"/>
    </row>
    <row r="459" ht="15.75" customHeight="1">
      <c r="A459" s="74"/>
      <c r="B459" s="74"/>
      <c r="C459" s="74"/>
      <c r="D459" s="74"/>
      <c r="E459" s="2"/>
      <c r="F459" s="2"/>
      <c r="G459" s="2"/>
      <c r="H459" s="127"/>
      <c r="I459" s="62"/>
      <c r="J459" s="62"/>
      <c r="K459" s="62"/>
      <c r="L459" s="62"/>
      <c r="M459" s="62"/>
      <c r="N459" s="62"/>
      <c r="O459" s="62"/>
      <c r="P459" s="62"/>
      <c r="Q459" s="62"/>
      <c r="R459" s="62"/>
      <c r="S459" s="62"/>
      <c r="T459" s="62"/>
      <c r="U459" s="62"/>
      <c r="V459" s="62"/>
      <c r="W459" s="62"/>
      <c r="X459" s="62"/>
      <c r="Y459" s="62"/>
      <c r="Z459" s="62"/>
    </row>
    <row r="460" ht="15.75" customHeight="1">
      <c r="A460" s="74"/>
      <c r="B460" s="74"/>
      <c r="C460" s="74"/>
      <c r="D460" s="74"/>
      <c r="E460" s="2"/>
      <c r="F460" s="2"/>
      <c r="G460" s="2"/>
      <c r="H460" s="127"/>
      <c r="I460" s="62"/>
      <c r="J460" s="62"/>
      <c r="K460" s="62"/>
      <c r="L460" s="62"/>
      <c r="M460" s="62"/>
      <c r="N460" s="62"/>
      <c r="O460" s="62"/>
      <c r="P460" s="62"/>
      <c r="Q460" s="62"/>
      <c r="R460" s="62"/>
      <c r="S460" s="62"/>
      <c r="T460" s="62"/>
      <c r="U460" s="62"/>
      <c r="V460" s="62"/>
      <c r="W460" s="62"/>
      <c r="X460" s="62"/>
      <c r="Y460" s="62"/>
      <c r="Z460" s="62"/>
    </row>
    <row r="461" ht="15.75" customHeight="1">
      <c r="A461" s="74"/>
      <c r="B461" s="74"/>
      <c r="C461" s="74"/>
      <c r="D461" s="74"/>
      <c r="E461" s="2"/>
      <c r="F461" s="2"/>
      <c r="G461" s="2"/>
      <c r="H461" s="127"/>
      <c r="I461" s="62"/>
      <c r="J461" s="62"/>
      <c r="K461" s="62"/>
      <c r="L461" s="62"/>
      <c r="M461" s="62"/>
      <c r="N461" s="62"/>
      <c r="O461" s="62"/>
      <c r="P461" s="62"/>
      <c r="Q461" s="62"/>
      <c r="R461" s="62"/>
      <c r="S461" s="62"/>
      <c r="T461" s="62"/>
      <c r="U461" s="62"/>
      <c r="V461" s="62"/>
      <c r="W461" s="62"/>
      <c r="X461" s="62"/>
      <c r="Y461" s="62"/>
      <c r="Z461" s="62"/>
    </row>
    <row r="462" ht="15.75" customHeight="1">
      <c r="A462" s="74"/>
      <c r="B462" s="74"/>
      <c r="C462" s="74"/>
      <c r="D462" s="74"/>
      <c r="E462" s="2"/>
      <c r="F462" s="2"/>
      <c r="G462" s="2"/>
      <c r="H462" s="127"/>
      <c r="I462" s="62"/>
      <c r="J462" s="62"/>
      <c r="K462" s="62"/>
      <c r="L462" s="62"/>
      <c r="M462" s="62"/>
      <c r="N462" s="62"/>
      <c r="O462" s="62"/>
      <c r="P462" s="62"/>
      <c r="Q462" s="62"/>
      <c r="R462" s="62"/>
      <c r="S462" s="62"/>
      <c r="T462" s="62"/>
      <c r="U462" s="62"/>
      <c r="V462" s="62"/>
      <c r="W462" s="62"/>
      <c r="X462" s="62"/>
      <c r="Y462" s="62"/>
      <c r="Z462" s="62"/>
    </row>
    <row r="463" ht="15.75" customHeight="1">
      <c r="A463" s="74"/>
      <c r="B463" s="74"/>
      <c r="C463" s="74"/>
      <c r="D463" s="74"/>
      <c r="E463" s="2"/>
      <c r="F463" s="2"/>
      <c r="G463" s="2"/>
      <c r="H463" s="127"/>
      <c r="I463" s="62"/>
      <c r="J463" s="62"/>
      <c r="K463" s="62"/>
      <c r="L463" s="62"/>
      <c r="M463" s="62"/>
      <c r="N463" s="62"/>
      <c r="O463" s="62"/>
      <c r="P463" s="62"/>
      <c r="Q463" s="62"/>
      <c r="R463" s="62"/>
      <c r="S463" s="62"/>
      <c r="T463" s="62"/>
      <c r="U463" s="62"/>
      <c r="V463" s="62"/>
      <c r="W463" s="62"/>
      <c r="X463" s="62"/>
      <c r="Y463" s="62"/>
      <c r="Z463" s="62"/>
    </row>
    <row r="464" ht="15.75" customHeight="1">
      <c r="A464" s="74"/>
      <c r="B464" s="74"/>
      <c r="C464" s="74"/>
      <c r="D464" s="74"/>
      <c r="E464" s="2"/>
      <c r="F464" s="2"/>
      <c r="G464" s="2"/>
      <c r="H464" s="127"/>
      <c r="I464" s="62"/>
      <c r="J464" s="62"/>
      <c r="K464" s="62"/>
      <c r="L464" s="62"/>
      <c r="M464" s="62"/>
      <c r="N464" s="62"/>
      <c r="O464" s="62"/>
      <c r="P464" s="62"/>
      <c r="Q464" s="62"/>
      <c r="R464" s="62"/>
      <c r="S464" s="62"/>
      <c r="T464" s="62"/>
      <c r="U464" s="62"/>
      <c r="V464" s="62"/>
      <c r="W464" s="62"/>
      <c r="X464" s="62"/>
      <c r="Y464" s="62"/>
      <c r="Z464" s="62"/>
    </row>
    <row r="465" ht="15.75" customHeight="1">
      <c r="A465" s="74"/>
      <c r="B465" s="74"/>
      <c r="C465" s="74"/>
      <c r="D465" s="74"/>
      <c r="E465" s="2"/>
      <c r="F465" s="2"/>
      <c r="G465" s="2"/>
      <c r="H465" s="127"/>
      <c r="I465" s="62"/>
      <c r="J465" s="62"/>
      <c r="K465" s="62"/>
      <c r="L465" s="62"/>
      <c r="M465" s="62"/>
      <c r="N465" s="62"/>
      <c r="O465" s="62"/>
      <c r="P465" s="62"/>
      <c r="Q465" s="62"/>
      <c r="R465" s="62"/>
      <c r="S465" s="62"/>
      <c r="T465" s="62"/>
      <c r="U465" s="62"/>
      <c r="V465" s="62"/>
      <c r="W465" s="62"/>
      <c r="X465" s="62"/>
      <c r="Y465" s="62"/>
      <c r="Z465" s="62"/>
    </row>
    <row r="466" ht="15.75" customHeight="1">
      <c r="A466" s="74"/>
      <c r="B466" s="74"/>
      <c r="C466" s="74"/>
      <c r="D466" s="74"/>
      <c r="E466" s="2"/>
      <c r="F466" s="2"/>
      <c r="G466" s="2"/>
      <c r="H466" s="127"/>
      <c r="I466" s="62"/>
      <c r="J466" s="62"/>
      <c r="K466" s="62"/>
      <c r="L466" s="62"/>
      <c r="M466" s="62"/>
      <c r="N466" s="62"/>
      <c r="O466" s="62"/>
      <c r="P466" s="62"/>
      <c r="Q466" s="62"/>
      <c r="R466" s="62"/>
      <c r="S466" s="62"/>
      <c r="T466" s="62"/>
      <c r="U466" s="62"/>
      <c r="V466" s="62"/>
      <c r="W466" s="62"/>
      <c r="X466" s="62"/>
      <c r="Y466" s="62"/>
      <c r="Z466" s="62"/>
    </row>
    <row r="467" ht="15.75" customHeight="1">
      <c r="A467" s="74"/>
      <c r="B467" s="74"/>
      <c r="C467" s="74"/>
      <c r="D467" s="74"/>
      <c r="E467" s="2"/>
      <c r="F467" s="2"/>
      <c r="G467" s="2"/>
      <c r="H467" s="127"/>
      <c r="I467" s="62"/>
      <c r="J467" s="62"/>
      <c r="K467" s="62"/>
      <c r="L467" s="62"/>
      <c r="M467" s="62"/>
      <c r="N467" s="62"/>
      <c r="O467" s="62"/>
      <c r="P467" s="62"/>
      <c r="Q467" s="62"/>
      <c r="R467" s="62"/>
      <c r="S467" s="62"/>
      <c r="T467" s="62"/>
      <c r="U467" s="62"/>
      <c r="V467" s="62"/>
      <c r="W467" s="62"/>
      <c r="X467" s="62"/>
      <c r="Y467" s="62"/>
      <c r="Z467" s="62"/>
    </row>
    <row r="468" ht="15.75" customHeight="1">
      <c r="A468" s="74"/>
      <c r="B468" s="74"/>
      <c r="C468" s="74"/>
      <c r="D468" s="74"/>
      <c r="E468" s="2"/>
      <c r="F468" s="2"/>
      <c r="G468" s="2"/>
      <c r="H468" s="127"/>
      <c r="I468" s="62"/>
      <c r="J468" s="62"/>
      <c r="K468" s="62"/>
      <c r="L468" s="62"/>
      <c r="M468" s="62"/>
      <c r="N468" s="62"/>
      <c r="O468" s="62"/>
      <c r="P468" s="62"/>
      <c r="Q468" s="62"/>
      <c r="R468" s="62"/>
      <c r="S468" s="62"/>
      <c r="T468" s="62"/>
      <c r="U468" s="62"/>
      <c r="V468" s="62"/>
      <c r="W468" s="62"/>
      <c r="X468" s="62"/>
      <c r="Y468" s="62"/>
      <c r="Z468" s="62"/>
    </row>
    <row r="469" ht="15.75" customHeight="1">
      <c r="A469" s="74"/>
      <c r="B469" s="74"/>
      <c r="C469" s="74"/>
      <c r="D469" s="74"/>
      <c r="E469" s="2"/>
      <c r="F469" s="2"/>
      <c r="G469" s="2"/>
      <c r="H469" s="127"/>
      <c r="I469" s="62"/>
      <c r="J469" s="62"/>
      <c r="K469" s="62"/>
      <c r="L469" s="62"/>
      <c r="M469" s="62"/>
      <c r="N469" s="62"/>
      <c r="O469" s="62"/>
      <c r="P469" s="62"/>
      <c r="Q469" s="62"/>
      <c r="R469" s="62"/>
      <c r="S469" s="62"/>
      <c r="T469" s="62"/>
      <c r="U469" s="62"/>
      <c r="V469" s="62"/>
      <c r="W469" s="62"/>
      <c r="X469" s="62"/>
      <c r="Y469" s="62"/>
      <c r="Z469" s="62"/>
    </row>
    <row r="470" ht="15.75" customHeight="1">
      <c r="A470" s="74"/>
      <c r="B470" s="74"/>
      <c r="C470" s="74"/>
      <c r="D470" s="74"/>
      <c r="E470" s="2"/>
      <c r="F470" s="2"/>
      <c r="G470" s="2"/>
      <c r="H470" s="127"/>
      <c r="I470" s="62"/>
      <c r="J470" s="62"/>
      <c r="K470" s="62"/>
      <c r="L470" s="62"/>
      <c r="M470" s="62"/>
      <c r="N470" s="62"/>
      <c r="O470" s="62"/>
      <c r="P470" s="62"/>
      <c r="Q470" s="62"/>
      <c r="R470" s="62"/>
      <c r="S470" s="62"/>
      <c r="T470" s="62"/>
      <c r="U470" s="62"/>
      <c r="V470" s="62"/>
      <c r="W470" s="62"/>
      <c r="X470" s="62"/>
      <c r="Y470" s="62"/>
      <c r="Z470" s="62"/>
    </row>
    <row r="471" ht="15.75" customHeight="1">
      <c r="A471" s="74"/>
      <c r="B471" s="74"/>
      <c r="C471" s="74"/>
      <c r="D471" s="74"/>
      <c r="E471" s="2"/>
      <c r="F471" s="2"/>
      <c r="G471" s="2"/>
      <c r="H471" s="127"/>
      <c r="I471" s="62"/>
      <c r="J471" s="62"/>
      <c r="K471" s="62"/>
      <c r="L471" s="62"/>
      <c r="M471" s="62"/>
      <c r="N471" s="62"/>
      <c r="O471" s="62"/>
      <c r="P471" s="62"/>
      <c r="Q471" s="62"/>
      <c r="R471" s="62"/>
      <c r="S471" s="62"/>
      <c r="T471" s="62"/>
      <c r="U471" s="62"/>
      <c r="V471" s="62"/>
      <c r="W471" s="62"/>
      <c r="X471" s="62"/>
      <c r="Y471" s="62"/>
      <c r="Z471" s="62"/>
    </row>
    <row r="472" ht="15.75" customHeight="1">
      <c r="A472" s="74"/>
      <c r="B472" s="74"/>
      <c r="C472" s="74"/>
      <c r="D472" s="74"/>
      <c r="E472" s="2"/>
      <c r="F472" s="2"/>
      <c r="G472" s="2"/>
      <c r="H472" s="127"/>
      <c r="I472" s="62"/>
      <c r="J472" s="62"/>
      <c r="K472" s="62"/>
      <c r="L472" s="62"/>
      <c r="M472" s="62"/>
      <c r="N472" s="62"/>
      <c r="O472" s="62"/>
      <c r="P472" s="62"/>
      <c r="Q472" s="62"/>
      <c r="R472" s="62"/>
      <c r="S472" s="62"/>
      <c r="T472" s="62"/>
      <c r="U472" s="62"/>
      <c r="V472" s="62"/>
      <c r="W472" s="62"/>
      <c r="X472" s="62"/>
      <c r="Y472" s="62"/>
      <c r="Z472" s="62"/>
    </row>
    <row r="473" ht="15.75" customHeight="1">
      <c r="A473" s="74"/>
      <c r="B473" s="74"/>
      <c r="C473" s="74"/>
      <c r="D473" s="74"/>
      <c r="E473" s="2"/>
      <c r="F473" s="2"/>
      <c r="G473" s="2"/>
      <c r="H473" s="127"/>
      <c r="I473" s="62"/>
      <c r="J473" s="62"/>
      <c r="K473" s="62"/>
      <c r="L473" s="62"/>
      <c r="M473" s="62"/>
      <c r="N473" s="62"/>
      <c r="O473" s="62"/>
      <c r="P473" s="62"/>
      <c r="Q473" s="62"/>
      <c r="R473" s="62"/>
      <c r="S473" s="62"/>
      <c r="T473" s="62"/>
      <c r="U473" s="62"/>
      <c r="V473" s="62"/>
      <c r="W473" s="62"/>
      <c r="X473" s="62"/>
      <c r="Y473" s="62"/>
      <c r="Z473" s="62"/>
    </row>
    <row r="474" ht="15.75" customHeight="1">
      <c r="A474" s="74"/>
      <c r="B474" s="74"/>
      <c r="C474" s="74"/>
      <c r="D474" s="74"/>
      <c r="E474" s="2"/>
      <c r="F474" s="2"/>
      <c r="G474" s="2"/>
      <c r="H474" s="127"/>
      <c r="I474" s="62"/>
      <c r="J474" s="62"/>
      <c r="K474" s="62"/>
      <c r="L474" s="62"/>
      <c r="M474" s="62"/>
      <c r="N474" s="62"/>
      <c r="O474" s="62"/>
      <c r="P474" s="62"/>
      <c r="Q474" s="62"/>
      <c r="R474" s="62"/>
      <c r="S474" s="62"/>
      <c r="T474" s="62"/>
      <c r="U474" s="62"/>
      <c r="V474" s="62"/>
      <c r="W474" s="62"/>
      <c r="X474" s="62"/>
      <c r="Y474" s="62"/>
      <c r="Z474" s="62"/>
    </row>
    <row r="475" ht="15.75" customHeight="1">
      <c r="A475" s="74"/>
      <c r="B475" s="74"/>
      <c r="C475" s="74"/>
      <c r="D475" s="74"/>
      <c r="E475" s="2"/>
      <c r="F475" s="2"/>
      <c r="G475" s="2"/>
      <c r="H475" s="127"/>
      <c r="I475" s="62"/>
      <c r="J475" s="62"/>
      <c r="K475" s="62"/>
      <c r="L475" s="62"/>
      <c r="M475" s="62"/>
      <c r="N475" s="62"/>
      <c r="O475" s="62"/>
      <c r="P475" s="62"/>
      <c r="Q475" s="62"/>
      <c r="R475" s="62"/>
      <c r="S475" s="62"/>
      <c r="T475" s="62"/>
      <c r="U475" s="62"/>
      <c r="V475" s="62"/>
      <c r="W475" s="62"/>
      <c r="X475" s="62"/>
      <c r="Y475" s="62"/>
      <c r="Z475" s="62"/>
    </row>
    <row r="476" ht="15.75" customHeight="1">
      <c r="A476" s="74"/>
      <c r="B476" s="74"/>
      <c r="C476" s="74"/>
      <c r="D476" s="74"/>
      <c r="E476" s="2"/>
      <c r="F476" s="2"/>
      <c r="G476" s="2"/>
      <c r="H476" s="127"/>
      <c r="I476" s="62"/>
      <c r="J476" s="62"/>
      <c r="K476" s="62"/>
      <c r="L476" s="62"/>
      <c r="M476" s="62"/>
      <c r="N476" s="62"/>
      <c r="O476" s="62"/>
      <c r="P476" s="62"/>
      <c r="Q476" s="62"/>
      <c r="R476" s="62"/>
      <c r="S476" s="62"/>
      <c r="T476" s="62"/>
      <c r="U476" s="62"/>
      <c r="V476" s="62"/>
      <c r="W476" s="62"/>
      <c r="X476" s="62"/>
      <c r="Y476" s="62"/>
      <c r="Z476" s="62"/>
    </row>
    <row r="477" ht="15.75" customHeight="1">
      <c r="A477" s="74"/>
      <c r="B477" s="74"/>
      <c r="C477" s="74"/>
      <c r="D477" s="74"/>
      <c r="E477" s="2"/>
      <c r="F477" s="2"/>
      <c r="G477" s="2"/>
      <c r="H477" s="127"/>
      <c r="I477" s="62"/>
      <c r="J477" s="62"/>
      <c r="K477" s="62"/>
      <c r="L477" s="62"/>
      <c r="M477" s="62"/>
      <c r="N477" s="62"/>
      <c r="O477" s="62"/>
      <c r="P477" s="62"/>
      <c r="Q477" s="62"/>
      <c r="R477" s="62"/>
      <c r="S477" s="62"/>
      <c r="T477" s="62"/>
      <c r="U477" s="62"/>
      <c r="V477" s="62"/>
      <c r="W477" s="62"/>
      <c r="X477" s="62"/>
      <c r="Y477" s="62"/>
      <c r="Z477" s="62"/>
    </row>
    <row r="478" ht="15.75" customHeight="1">
      <c r="A478" s="74"/>
      <c r="B478" s="74"/>
      <c r="C478" s="74"/>
      <c r="D478" s="74"/>
      <c r="E478" s="2"/>
      <c r="F478" s="2"/>
      <c r="G478" s="2"/>
      <c r="H478" s="127"/>
      <c r="I478" s="62"/>
      <c r="J478" s="62"/>
      <c r="K478" s="62"/>
      <c r="L478" s="62"/>
      <c r="M478" s="62"/>
      <c r="N478" s="62"/>
      <c r="O478" s="62"/>
      <c r="P478" s="62"/>
      <c r="Q478" s="62"/>
      <c r="R478" s="62"/>
      <c r="S478" s="62"/>
      <c r="T478" s="62"/>
      <c r="U478" s="62"/>
      <c r="V478" s="62"/>
      <c r="W478" s="62"/>
      <c r="X478" s="62"/>
      <c r="Y478" s="62"/>
      <c r="Z478" s="62"/>
    </row>
    <row r="479" ht="15.75" customHeight="1">
      <c r="A479" s="74"/>
      <c r="B479" s="74"/>
      <c r="C479" s="74"/>
      <c r="D479" s="74"/>
      <c r="E479" s="2"/>
      <c r="F479" s="2"/>
      <c r="G479" s="2"/>
      <c r="H479" s="127"/>
      <c r="I479" s="62"/>
      <c r="J479" s="62"/>
      <c r="K479" s="62"/>
      <c r="L479" s="62"/>
      <c r="M479" s="62"/>
      <c r="N479" s="62"/>
      <c r="O479" s="62"/>
      <c r="P479" s="62"/>
      <c r="Q479" s="62"/>
      <c r="R479" s="62"/>
      <c r="S479" s="62"/>
      <c r="T479" s="62"/>
      <c r="U479" s="62"/>
      <c r="V479" s="62"/>
      <c r="W479" s="62"/>
      <c r="X479" s="62"/>
      <c r="Y479" s="62"/>
      <c r="Z479" s="62"/>
    </row>
    <row r="480" ht="15.75" customHeight="1">
      <c r="A480" s="74"/>
      <c r="B480" s="74"/>
      <c r="C480" s="74"/>
      <c r="D480" s="74"/>
      <c r="E480" s="2"/>
      <c r="F480" s="2"/>
      <c r="G480" s="2"/>
      <c r="H480" s="127"/>
      <c r="I480" s="62"/>
      <c r="J480" s="62"/>
      <c r="K480" s="62"/>
      <c r="L480" s="62"/>
      <c r="M480" s="62"/>
      <c r="N480" s="62"/>
      <c r="O480" s="62"/>
      <c r="P480" s="62"/>
      <c r="Q480" s="62"/>
      <c r="R480" s="62"/>
      <c r="S480" s="62"/>
      <c r="T480" s="62"/>
      <c r="U480" s="62"/>
      <c r="V480" s="62"/>
      <c r="W480" s="62"/>
      <c r="X480" s="62"/>
      <c r="Y480" s="62"/>
      <c r="Z480" s="62"/>
    </row>
    <row r="481" ht="15.75" customHeight="1">
      <c r="A481" s="74"/>
      <c r="B481" s="74"/>
      <c r="C481" s="74"/>
      <c r="D481" s="74"/>
      <c r="E481" s="2"/>
      <c r="F481" s="2"/>
      <c r="G481" s="2"/>
      <c r="H481" s="127"/>
      <c r="I481" s="62"/>
      <c r="J481" s="62"/>
      <c r="K481" s="62"/>
      <c r="L481" s="62"/>
      <c r="M481" s="62"/>
      <c r="N481" s="62"/>
      <c r="O481" s="62"/>
      <c r="P481" s="62"/>
      <c r="Q481" s="62"/>
      <c r="R481" s="62"/>
      <c r="S481" s="62"/>
      <c r="T481" s="62"/>
      <c r="U481" s="62"/>
      <c r="V481" s="62"/>
      <c r="W481" s="62"/>
      <c r="X481" s="62"/>
      <c r="Y481" s="62"/>
      <c r="Z481" s="62"/>
    </row>
    <row r="482" ht="15.75" customHeight="1">
      <c r="A482" s="74"/>
      <c r="B482" s="74"/>
      <c r="C482" s="74"/>
      <c r="D482" s="74"/>
      <c r="E482" s="2"/>
      <c r="F482" s="2"/>
      <c r="G482" s="2"/>
      <c r="H482" s="127"/>
      <c r="I482" s="62"/>
      <c r="J482" s="62"/>
      <c r="K482" s="62"/>
      <c r="L482" s="62"/>
      <c r="M482" s="62"/>
      <c r="N482" s="62"/>
      <c r="O482" s="62"/>
      <c r="P482" s="62"/>
      <c r="Q482" s="62"/>
      <c r="R482" s="62"/>
      <c r="S482" s="62"/>
      <c r="T482" s="62"/>
      <c r="U482" s="62"/>
      <c r="V482" s="62"/>
      <c r="W482" s="62"/>
      <c r="X482" s="62"/>
      <c r="Y482" s="62"/>
      <c r="Z482" s="62"/>
    </row>
    <row r="483" ht="15.75" customHeight="1">
      <c r="A483" s="74"/>
      <c r="B483" s="74"/>
      <c r="C483" s="74"/>
      <c r="D483" s="74"/>
      <c r="E483" s="2"/>
      <c r="F483" s="2"/>
      <c r="G483" s="2"/>
      <c r="H483" s="127"/>
      <c r="I483" s="62"/>
      <c r="J483" s="62"/>
      <c r="K483" s="62"/>
      <c r="L483" s="62"/>
      <c r="M483" s="62"/>
      <c r="N483" s="62"/>
      <c r="O483" s="62"/>
      <c r="P483" s="62"/>
      <c r="Q483" s="62"/>
      <c r="R483" s="62"/>
      <c r="S483" s="62"/>
      <c r="T483" s="62"/>
      <c r="U483" s="62"/>
      <c r="V483" s="62"/>
      <c r="W483" s="62"/>
      <c r="X483" s="62"/>
      <c r="Y483" s="62"/>
      <c r="Z483" s="62"/>
    </row>
    <row r="484" ht="15.75" customHeight="1">
      <c r="A484" s="74"/>
      <c r="B484" s="74"/>
      <c r="C484" s="74"/>
      <c r="D484" s="74"/>
      <c r="E484" s="2"/>
      <c r="F484" s="2"/>
      <c r="G484" s="2"/>
      <c r="H484" s="127"/>
      <c r="I484" s="62"/>
      <c r="J484" s="62"/>
      <c r="K484" s="62"/>
      <c r="L484" s="62"/>
      <c r="M484" s="62"/>
      <c r="N484" s="62"/>
      <c r="O484" s="62"/>
      <c r="P484" s="62"/>
      <c r="Q484" s="62"/>
      <c r="R484" s="62"/>
      <c r="S484" s="62"/>
      <c r="T484" s="62"/>
      <c r="U484" s="62"/>
      <c r="V484" s="62"/>
      <c r="W484" s="62"/>
      <c r="X484" s="62"/>
      <c r="Y484" s="62"/>
      <c r="Z484" s="62"/>
    </row>
    <row r="485" ht="15.75" customHeight="1">
      <c r="A485" s="74"/>
      <c r="B485" s="74"/>
      <c r="C485" s="74"/>
      <c r="D485" s="74"/>
      <c r="E485" s="2"/>
      <c r="F485" s="2"/>
      <c r="G485" s="2"/>
      <c r="H485" s="127"/>
      <c r="I485" s="62"/>
      <c r="J485" s="62"/>
      <c r="K485" s="62"/>
      <c r="L485" s="62"/>
      <c r="M485" s="62"/>
      <c r="N485" s="62"/>
      <c r="O485" s="62"/>
      <c r="P485" s="62"/>
      <c r="Q485" s="62"/>
      <c r="R485" s="62"/>
      <c r="S485" s="62"/>
      <c r="T485" s="62"/>
      <c r="U485" s="62"/>
      <c r="V485" s="62"/>
      <c r="W485" s="62"/>
      <c r="X485" s="62"/>
      <c r="Y485" s="62"/>
      <c r="Z485" s="62"/>
    </row>
    <row r="486" ht="15.75" customHeight="1">
      <c r="A486" s="74"/>
      <c r="B486" s="74"/>
      <c r="C486" s="74"/>
      <c r="D486" s="74"/>
      <c r="E486" s="2"/>
      <c r="F486" s="2"/>
      <c r="G486" s="2"/>
      <c r="H486" s="127"/>
      <c r="I486" s="62"/>
      <c r="J486" s="62"/>
      <c r="K486" s="62"/>
      <c r="L486" s="62"/>
      <c r="M486" s="62"/>
      <c r="N486" s="62"/>
      <c r="O486" s="62"/>
      <c r="P486" s="62"/>
      <c r="Q486" s="62"/>
      <c r="R486" s="62"/>
      <c r="S486" s="62"/>
      <c r="T486" s="62"/>
      <c r="U486" s="62"/>
      <c r="V486" s="62"/>
      <c r="W486" s="62"/>
      <c r="X486" s="62"/>
      <c r="Y486" s="62"/>
      <c r="Z486" s="62"/>
    </row>
    <row r="487" ht="15.75" customHeight="1">
      <c r="A487" s="74"/>
      <c r="B487" s="74"/>
      <c r="C487" s="74"/>
      <c r="D487" s="74"/>
      <c r="E487" s="2"/>
      <c r="F487" s="2"/>
      <c r="G487" s="2"/>
      <c r="H487" s="127"/>
      <c r="I487" s="62"/>
      <c r="J487" s="62"/>
      <c r="K487" s="62"/>
      <c r="L487" s="62"/>
      <c r="M487" s="62"/>
      <c r="N487" s="62"/>
      <c r="O487" s="62"/>
      <c r="P487" s="62"/>
      <c r="Q487" s="62"/>
      <c r="R487" s="62"/>
      <c r="S487" s="62"/>
      <c r="T487" s="62"/>
      <c r="U487" s="62"/>
      <c r="V487" s="62"/>
      <c r="W487" s="62"/>
      <c r="X487" s="62"/>
      <c r="Y487" s="62"/>
      <c r="Z487" s="62"/>
    </row>
    <row r="488" ht="15.75" customHeight="1">
      <c r="A488" s="74"/>
      <c r="B488" s="74"/>
      <c r="C488" s="74"/>
      <c r="D488" s="74"/>
      <c r="E488" s="2"/>
      <c r="F488" s="2"/>
      <c r="G488" s="2"/>
      <c r="H488" s="127"/>
      <c r="I488" s="62"/>
      <c r="J488" s="62"/>
      <c r="K488" s="62"/>
      <c r="L488" s="62"/>
      <c r="M488" s="62"/>
      <c r="N488" s="62"/>
      <c r="O488" s="62"/>
      <c r="P488" s="62"/>
      <c r="Q488" s="62"/>
      <c r="R488" s="62"/>
      <c r="S488" s="62"/>
      <c r="T488" s="62"/>
      <c r="U488" s="62"/>
      <c r="V488" s="62"/>
      <c r="W488" s="62"/>
      <c r="X488" s="62"/>
      <c r="Y488" s="62"/>
      <c r="Z488" s="62"/>
    </row>
    <row r="489" ht="15.75" customHeight="1">
      <c r="A489" s="74"/>
      <c r="B489" s="74"/>
      <c r="C489" s="74"/>
      <c r="D489" s="74"/>
      <c r="E489" s="2"/>
      <c r="F489" s="2"/>
      <c r="G489" s="2"/>
      <c r="H489" s="127"/>
      <c r="I489" s="62"/>
      <c r="J489" s="62"/>
      <c r="K489" s="62"/>
      <c r="L489" s="62"/>
      <c r="M489" s="62"/>
      <c r="N489" s="62"/>
      <c r="O489" s="62"/>
      <c r="P489" s="62"/>
      <c r="Q489" s="62"/>
      <c r="R489" s="62"/>
      <c r="S489" s="62"/>
      <c r="T489" s="62"/>
      <c r="U489" s="62"/>
      <c r="V489" s="62"/>
      <c r="W489" s="62"/>
      <c r="X489" s="62"/>
      <c r="Y489" s="62"/>
      <c r="Z489" s="62"/>
    </row>
    <row r="490" ht="15.75" customHeight="1">
      <c r="A490" s="74"/>
      <c r="B490" s="74"/>
      <c r="C490" s="74"/>
      <c r="D490" s="74"/>
      <c r="E490" s="2"/>
      <c r="F490" s="2"/>
      <c r="G490" s="2"/>
      <c r="H490" s="127"/>
      <c r="I490" s="62"/>
      <c r="J490" s="62"/>
      <c r="K490" s="62"/>
      <c r="L490" s="62"/>
      <c r="M490" s="62"/>
      <c r="N490" s="62"/>
      <c r="O490" s="62"/>
      <c r="P490" s="62"/>
      <c r="Q490" s="62"/>
      <c r="R490" s="62"/>
      <c r="S490" s="62"/>
      <c r="T490" s="62"/>
      <c r="U490" s="62"/>
      <c r="V490" s="62"/>
      <c r="W490" s="62"/>
      <c r="X490" s="62"/>
      <c r="Y490" s="62"/>
      <c r="Z490" s="62"/>
    </row>
    <row r="491" ht="15.75" customHeight="1">
      <c r="A491" s="74"/>
      <c r="B491" s="74"/>
      <c r="C491" s="74"/>
      <c r="D491" s="74"/>
      <c r="E491" s="2"/>
      <c r="F491" s="2"/>
      <c r="G491" s="2"/>
      <c r="H491" s="127"/>
      <c r="I491" s="62"/>
      <c r="J491" s="62"/>
      <c r="K491" s="62"/>
      <c r="L491" s="62"/>
      <c r="M491" s="62"/>
      <c r="N491" s="62"/>
      <c r="O491" s="62"/>
      <c r="P491" s="62"/>
      <c r="Q491" s="62"/>
      <c r="R491" s="62"/>
      <c r="S491" s="62"/>
      <c r="T491" s="62"/>
      <c r="U491" s="62"/>
      <c r="V491" s="62"/>
      <c r="W491" s="62"/>
      <c r="X491" s="62"/>
      <c r="Y491" s="62"/>
      <c r="Z491" s="62"/>
    </row>
    <row r="492" ht="15.75" customHeight="1">
      <c r="A492" s="74"/>
      <c r="B492" s="74"/>
      <c r="C492" s="74"/>
      <c r="D492" s="74"/>
      <c r="E492" s="2"/>
      <c r="F492" s="2"/>
      <c r="G492" s="2"/>
      <c r="H492" s="127"/>
      <c r="I492" s="62"/>
      <c r="J492" s="62"/>
      <c r="K492" s="62"/>
      <c r="L492" s="62"/>
      <c r="M492" s="62"/>
      <c r="N492" s="62"/>
      <c r="O492" s="62"/>
      <c r="P492" s="62"/>
      <c r="Q492" s="62"/>
      <c r="R492" s="62"/>
      <c r="S492" s="62"/>
      <c r="T492" s="62"/>
      <c r="U492" s="62"/>
      <c r="V492" s="62"/>
      <c r="W492" s="62"/>
      <c r="X492" s="62"/>
      <c r="Y492" s="62"/>
      <c r="Z492" s="62"/>
    </row>
    <row r="493" ht="15.75" customHeight="1">
      <c r="A493" s="74"/>
      <c r="B493" s="74"/>
      <c r="C493" s="74"/>
      <c r="D493" s="74"/>
      <c r="E493" s="2"/>
      <c r="F493" s="2"/>
      <c r="G493" s="2"/>
      <c r="H493" s="127"/>
      <c r="I493" s="62"/>
      <c r="J493" s="62"/>
      <c r="K493" s="62"/>
      <c r="L493" s="62"/>
      <c r="M493" s="62"/>
      <c r="N493" s="62"/>
      <c r="O493" s="62"/>
      <c r="P493" s="62"/>
      <c r="Q493" s="62"/>
      <c r="R493" s="62"/>
      <c r="S493" s="62"/>
      <c r="T493" s="62"/>
      <c r="U493" s="62"/>
      <c r="V493" s="62"/>
      <c r="W493" s="62"/>
      <c r="X493" s="62"/>
      <c r="Y493" s="62"/>
      <c r="Z493" s="62"/>
    </row>
    <row r="494" ht="15.75" customHeight="1">
      <c r="A494" s="74"/>
      <c r="B494" s="74"/>
      <c r="C494" s="74"/>
      <c r="D494" s="74"/>
      <c r="E494" s="2"/>
      <c r="F494" s="2"/>
      <c r="G494" s="2"/>
      <c r="H494" s="127"/>
      <c r="I494" s="62"/>
      <c r="J494" s="62"/>
      <c r="K494" s="62"/>
      <c r="L494" s="62"/>
      <c r="M494" s="62"/>
      <c r="N494" s="62"/>
      <c r="O494" s="62"/>
      <c r="P494" s="62"/>
      <c r="Q494" s="62"/>
      <c r="R494" s="62"/>
      <c r="S494" s="62"/>
      <c r="T494" s="62"/>
      <c r="U494" s="62"/>
      <c r="V494" s="62"/>
      <c r="W494" s="62"/>
      <c r="X494" s="62"/>
      <c r="Y494" s="62"/>
      <c r="Z494" s="62"/>
    </row>
    <row r="495" ht="15.75" customHeight="1">
      <c r="A495" s="74"/>
      <c r="B495" s="74"/>
      <c r="C495" s="74"/>
      <c r="D495" s="74"/>
      <c r="E495" s="2"/>
      <c r="F495" s="2"/>
      <c r="G495" s="2"/>
      <c r="H495" s="127"/>
      <c r="I495" s="62"/>
      <c r="J495" s="62"/>
      <c r="K495" s="62"/>
      <c r="L495" s="62"/>
      <c r="M495" s="62"/>
      <c r="N495" s="62"/>
      <c r="O495" s="62"/>
      <c r="P495" s="62"/>
      <c r="Q495" s="62"/>
      <c r="R495" s="62"/>
      <c r="S495" s="62"/>
      <c r="T495" s="62"/>
      <c r="U495" s="62"/>
      <c r="V495" s="62"/>
      <c r="W495" s="62"/>
      <c r="X495" s="62"/>
      <c r="Y495" s="62"/>
      <c r="Z495" s="62"/>
    </row>
    <row r="496" ht="15.75" customHeight="1">
      <c r="A496" s="74"/>
      <c r="B496" s="74"/>
      <c r="C496" s="74"/>
      <c r="D496" s="74"/>
      <c r="E496" s="2"/>
      <c r="F496" s="2"/>
      <c r="G496" s="2"/>
      <c r="H496" s="127"/>
      <c r="I496" s="62"/>
      <c r="J496" s="62"/>
      <c r="K496" s="62"/>
      <c r="L496" s="62"/>
      <c r="M496" s="62"/>
      <c r="N496" s="62"/>
      <c r="O496" s="62"/>
      <c r="P496" s="62"/>
      <c r="Q496" s="62"/>
      <c r="R496" s="62"/>
      <c r="S496" s="62"/>
      <c r="T496" s="62"/>
      <c r="U496" s="62"/>
      <c r="V496" s="62"/>
      <c r="W496" s="62"/>
      <c r="X496" s="62"/>
      <c r="Y496" s="62"/>
      <c r="Z496" s="62"/>
    </row>
    <row r="497" ht="15.75" customHeight="1">
      <c r="A497" s="74"/>
      <c r="B497" s="74"/>
      <c r="C497" s="74"/>
      <c r="D497" s="74"/>
      <c r="E497" s="2"/>
      <c r="F497" s="2"/>
      <c r="G497" s="2"/>
      <c r="H497" s="127"/>
      <c r="I497" s="62"/>
      <c r="J497" s="62"/>
      <c r="K497" s="62"/>
      <c r="L497" s="62"/>
      <c r="M497" s="62"/>
      <c r="N497" s="62"/>
      <c r="O497" s="62"/>
      <c r="P497" s="62"/>
      <c r="Q497" s="62"/>
      <c r="R497" s="62"/>
      <c r="S497" s="62"/>
      <c r="T497" s="62"/>
      <c r="U497" s="62"/>
      <c r="V497" s="62"/>
      <c r="W497" s="62"/>
      <c r="X497" s="62"/>
      <c r="Y497" s="62"/>
      <c r="Z497" s="62"/>
    </row>
    <row r="498" ht="15.75" customHeight="1">
      <c r="A498" s="74"/>
      <c r="B498" s="74"/>
      <c r="C498" s="74"/>
      <c r="D498" s="74"/>
      <c r="E498" s="2"/>
      <c r="F498" s="2"/>
      <c r="G498" s="2"/>
      <c r="H498" s="127"/>
      <c r="I498" s="62"/>
      <c r="J498" s="62"/>
      <c r="K498" s="62"/>
      <c r="L498" s="62"/>
      <c r="M498" s="62"/>
      <c r="N498" s="62"/>
      <c r="O498" s="62"/>
      <c r="P498" s="62"/>
      <c r="Q498" s="62"/>
      <c r="R498" s="62"/>
      <c r="S498" s="62"/>
      <c r="T498" s="62"/>
      <c r="U498" s="62"/>
      <c r="V498" s="62"/>
      <c r="W498" s="62"/>
      <c r="X498" s="62"/>
      <c r="Y498" s="62"/>
      <c r="Z498" s="62"/>
    </row>
    <row r="499" ht="15.75" customHeight="1">
      <c r="A499" s="74"/>
      <c r="B499" s="74"/>
      <c r="C499" s="74"/>
      <c r="D499" s="74"/>
      <c r="E499" s="2"/>
      <c r="F499" s="2"/>
      <c r="G499" s="2"/>
      <c r="H499" s="127"/>
      <c r="I499" s="62"/>
      <c r="J499" s="62"/>
      <c r="K499" s="62"/>
      <c r="L499" s="62"/>
      <c r="M499" s="62"/>
      <c r="N499" s="62"/>
      <c r="O499" s="62"/>
      <c r="P499" s="62"/>
      <c r="Q499" s="62"/>
      <c r="R499" s="62"/>
      <c r="S499" s="62"/>
      <c r="T499" s="62"/>
      <c r="U499" s="62"/>
      <c r="V499" s="62"/>
      <c r="W499" s="62"/>
      <c r="X499" s="62"/>
      <c r="Y499" s="62"/>
      <c r="Z499" s="62"/>
    </row>
    <row r="500" ht="15.75" customHeight="1">
      <c r="A500" s="74"/>
      <c r="B500" s="74"/>
      <c r="C500" s="74"/>
      <c r="D500" s="74"/>
      <c r="E500" s="2"/>
      <c r="F500" s="2"/>
      <c r="G500" s="2"/>
      <c r="H500" s="127"/>
      <c r="I500" s="62"/>
      <c r="J500" s="62"/>
      <c r="K500" s="62"/>
      <c r="L500" s="62"/>
      <c r="M500" s="62"/>
      <c r="N500" s="62"/>
      <c r="O500" s="62"/>
      <c r="P500" s="62"/>
      <c r="Q500" s="62"/>
      <c r="R500" s="62"/>
      <c r="S500" s="62"/>
      <c r="T500" s="62"/>
      <c r="U500" s="62"/>
      <c r="V500" s="62"/>
      <c r="W500" s="62"/>
      <c r="X500" s="62"/>
      <c r="Y500" s="62"/>
      <c r="Z500" s="62"/>
    </row>
    <row r="501" ht="15.75" customHeight="1">
      <c r="A501" s="74"/>
      <c r="B501" s="74"/>
      <c r="C501" s="74"/>
      <c r="D501" s="74"/>
      <c r="E501" s="2"/>
      <c r="F501" s="2"/>
      <c r="G501" s="2"/>
      <c r="H501" s="127"/>
      <c r="I501" s="62"/>
      <c r="J501" s="62"/>
      <c r="K501" s="62"/>
      <c r="L501" s="62"/>
      <c r="M501" s="62"/>
      <c r="N501" s="62"/>
      <c r="O501" s="62"/>
      <c r="P501" s="62"/>
      <c r="Q501" s="62"/>
      <c r="R501" s="62"/>
      <c r="S501" s="62"/>
      <c r="T501" s="62"/>
      <c r="U501" s="62"/>
      <c r="V501" s="62"/>
      <c r="W501" s="62"/>
      <c r="X501" s="62"/>
      <c r="Y501" s="62"/>
      <c r="Z501" s="62"/>
    </row>
    <row r="502" ht="15.75" customHeight="1">
      <c r="A502" s="74"/>
      <c r="B502" s="74"/>
      <c r="C502" s="74"/>
      <c r="D502" s="74"/>
      <c r="E502" s="2"/>
      <c r="F502" s="2"/>
      <c r="G502" s="2"/>
      <c r="H502" s="127"/>
      <c r="I502" s="62"/>
      <c r="J502" s="62"/>
      <c r="K502" s="62"/>
      <c r="L502" s="62"/>
      <c r="M502" s="62"/>
      <c r="N502" s="62"/>
      <c r="O502" s="62"/>
      <c r="P502" s="62"/>
      <c r="Q502" s="62"/>
      <c r="R502" s="62"/>
      <c r="S502" s="62"/>
      <c r="T502" s="62"/>
      <c r="U502" s="62"/>
      <c r="V502" s="62"/>
      <c r="W502" s="62"/>
      <c r="X502" s="62"/>
      <c r="Y502" s="62"/>
      <c r="Z502" s="62"/>
    </row>
    <row r="503" ht="15.75" customHeight="1">
      <c r="A503" s="74"/>
      <c r="B503" s="74"/>
      <c r="C503" s="74"/>
      <c r="D503" s="74"/>
      <c r="E503" s="2"/>
      <c r="F503" s="2"/>
      <c r="G503" s="2"/>
      <c r="H503" s="127"/>
      <c r="I503" s="62"/>
      <c r="J503" s="62"/>
      <c r="K503" s="62"/>
      <c r="L503" s="62"/>
      <c r="M503" s="62"/>
      <c r="N503" s="62"/>
      <c r="O503" s="62"/>
      <c r="P503" s="62"/>
      <c r="Q503" s="62"/>
      <c r="R503" s="62"/>
      <c r="S503" s="62"/>
      <c r="T503" s="62"/>
      <c r="U503" s="62"/>
      <c r="V503" s="62"/>
      <c r="W503" s="62"/>
      <c r="X503" s="62"/>
      <c r="Y503" s="62"/>
      <c r="Z503" s="62"/>
    </row>
    <row r="504" ht="15.75" customHeight="1">
      <c r="A504" s="74"/>
      <c r="B504" s="74"/>
      <c r="C504" s="74"/>
      <c r="D504" s="74"/>
      <c r="E504" s="2"/>
      <c r="F504" s="2"/>
      <c r="G504" s="2"/>
      <c r="H504" s="127"/>
      <c r="I504" s="62"/>
      <c r="J504" s="62"/>
      <c r="K504" s="62"/>
      <c r="L504" s="62"/>
      <c r="M504" s="62"/>
      <c r="N504" s="62"/>
      <c r="O504" s="62"/>
      <c r="P504" s="62"/>
      <c r="Q504" s="62"/>
      <c r="R504" s="62"/>
      <c r="S504" s="62"/>
      <c r="T504" s="62"/>
      <c r="U504" s="62"/>
      <c r="V504" s="62"/>
      <c r="W504" s="62"/>
      <c r="X504" s="62"/>
      <c r="Y504" s="62"/>
      <c r="Z504" s="62"/>
    </row>
    <row r="505" ht="15.75" customHeight="1">
      <c r="A505" s="74"/>
      <c r="B505" s="74"/>
      <c r="C505" s="74"/>
      <c r="D505" s="74"/>
      <c r="E505" s="2"/>
      <c r="F505" s="2"/>
      <c r="G505" s="2"/>
      <c r="H505" s="127"/>
      <c r="I505" s="62"/>
      <c r="J505" s="62"/>
      <c r="K505" s="62"/>
      <c r="L505" s="62"/>
      <c r="M505" s="62"/>
      <c r="N505" s="62"/>
      <c r="O505" s="62"/>
      <c r="P505" s="62"/>
      <c r="Q505" s="62"/>
      <c r="R505" s="62"/>
      <c r="S505" s="62"/>
      <c r="T505" s="62"/>
      <c r="U505" s="62"/>
      <c r="V505" s="62"/>
      <c r="W505" s="62"/>
      <c r="X505" s="62"/>
      <c r="Y505" s="62"/>
      <c r="Z505" s="62"/>
    </row>
    <row r="506" ht="15.75" customHeight="1">
      <c r="A506" s="74"/>
      <c r="B506" s="74"/>
      <c r="C506" s="74"/>
      <c r="D506" s="74"/>
      <c r="E506" s="2"/>
      <c r="F506" s="2"/>
      <c r="G506" s="2"/>
      <c r="H506" s="127"/>
      <c r="I506" s="62"/>
      <c r="J506" s="62"/>
      <c r="K506" s="62"/>
      <c r="L506" s="62"/>
      <c r="M506" s="62"/>
      <c r="N506" s="62"/>
      <c r="O506" s="62"/>
      <c r="P506" s="62"/>
      <c r="Q506" s="62"/>
      <c r="R506" s="62"/>
      <c r="S506" s="62"/>
      <c r="T506" s="62"/>
      <c r="U506" s="62"/>
      <c r="V506" s="62"/>
      <c r="W506" s="62"/>
      <c r="X506" s="62"/>
      <c r="Y506" s="62"/>
      <c r="Z506" s="62"/>
    </row>
    <row r="507" ht="15.75" customHeight="1">
      <c r="A507" s="74"/>
      <c r="B507" s="74"/>
      <c r="C507" s="74"/>
      <c r="D507" s="74"/>
      <c r="E507" s="2"/>
      <c r="F507" s="2"/>
      <c r="G507" s="2"/>
      <c r="H507" s="127"/>
      <c r="I507" s="62"/>
      <c r="J507" s="62"/>
      <c r="K507" s="62"/>
      <c r="L507" s="62"/>
      <c r="M507" s="62"/>
      <c r="N507" s="62"/>
      <c r="O507" s="62"/>
      <c r="P507" s="62"/>
      <c r="Q507" s="62"/>
      <c r="R507" s="62"/>
      <c r="S507" s="62"/>
      <c r="T507" s="62"/>
      <c r="U507" s="62"/>
      <c r="V507" s="62"/>
      <c r="W507" s="62"/>
      <c r="X507" s="62"/>
      <c r="Y507" s="62"/>
      <c r="Z507" s="62"/>
    </row>
    <row r="508" ht="15.75" customHeight="1">
      <c r="A508" s="74"/>
      <c r="B508" s="74"/>
      <c r="C508" s="74"/>
      <c r="D508" s="74"/>
      <c r="E508" s="2"/>
      <c r="F508" s="2"/>
      <c r="G508" s="2"/>
      <c r="H508" s="127"/>
      <c r="I508" s="62"/>
      <c r="J508" s="62"/>
      <c r="K508" s="62"/>
      <c r="L508" s="62"/>
      <c r="M508" s="62"/>
      <c r="N508" s="62"/>
      <c r="O508" s="62"/>
      <c r="P508" s="62"/>
      <c r="Q508" s="62"/>
      <c r="R508" s="62"/>
      <c r="S508" s="62"/>
      <c r="T508" s="62"/>
      <c r="U508" s="62"/>
      <c r="V508" s="62"/>
      <c r="W508" s="62"/>
      <c r="X508" s="62"/>
      <c r="Y508" s="62"/>
      <c r="Z508" s="62"/>
    </row>
    <row r="509" ht="15.75" customHeight="1">
      <c r="A509" s="74"/>
      <c r="B509" s="74"/>
      <c r="C509" s="74"/>
      <c r="D509" s="74"/>
      <c r="E509" s="2"/>
      <c r="F509" s="2"/>
      <c r="G509" s="2"/>
      <c r="H509" s="127"/>
      <c r="I509" s="62"/>
      <c r="J509" s="62"/>
      <c r="K509" s="62"/>
      <c r="L509" s="62"/>
      <c r="M509" s="62"/>
      <c r="N509" s="62"/>
      <c r="O509" s="62"/>
      <c r="P509" s="62"/>
      <c r="Q509" s="62"/>
      <c r="R509" s="62"/>
      <c r="S509" s="62"/>
      <c r="T509" s="62"/>
      <c r="U509" s="62"/>
      <c r="V509" s="62"/>
      <c r="W509" s="62"/>
      <c r="X509" s="62"/>
      <c r="Y509" s="62"/>
      <c r="Z509" s="62"/>
    </row>
    <row r="510" ht="15.75" customHeight="1">
      <c r="A510" s="74"/>
      <c r="B510" s="74"/>
      <c r="C510" s="74"/>
      <c r="D510" s="74"/>
      <c r="E510" s="2"/>
      <c r="F510" s="2"/>
      <c r="G510" s="2"/>
      <c r="H510" s="127"/>
      <c r="I510" s="62"/>
      <c r="J510" s="62"/>
      <c r="K510" s="62"/>
      <c r="L510" s="62"/>
      <c r="M510" s="62"/>
      <c r="N510" s="62"/>
      <c r="O510" s="62"/>
      <c r="P510" s="62"/>
      <c r="Q510" s="62"/>
      <c r="R510" s="62"/>
      <c r="S510" s="62"/>
      <c r="T510" s="62"/>
      <c r="U510" s="62"/>
      <c r="V510" s="62"/>
      <c r="W510" s="62"/>
      <c r="X510" s="62"/>
      <c r="Y510" s="62"/>
      <c r="Z510" s="62"/>
    </row>
    <row r="511" ht="15.75" customHeight="1">
      <c r="A511" s="74"/>
      <c r="B511" s="74"/>
      <c r="C511" s="74"/>
      <c r="D511" s="74"/>
      <c r="E511" s="2"/>
      <c r="F511" s="2"/>
      <c r="G511" s="2"/>
      <c r="H511" s="127"/>
      <c r="I511" s="62"/>
      <c r="J511" s="62"/>
      <c r="K511" s="62"/>
      <c r="L511" s="62"/>
      <c r="M511" s="62"/>
      <c r="N511" s="62"/>
      <c r="O511" s="62"/>
      <c r="P511" s="62"/>
      <c r="Q511" s="62"/>
      <c r="R511" s="62"/>
      <c r="S511" s="62"/>
      <c r="T511" s="62"/>
      <c r="U511" s="62"/>
      <c r="V511" s="62"/>
      <c r="W511" s="62"/>
      <c r="X511" s="62"/>
      <c r="Y511" s="62"/>
      <c r="Z511" s="62"/>
    </row>
    <row r="512" ht="15.75" customHeight="1">
      <c r="A512" s="74"/>
      <c r="B512" s="74"/>
      <c r="C512" s="74"/>
      <c r="D512" s="74"/>
      <c r="E512" s="2"/>
      <c r="F512" s="2"/>
      <c r="G512" s="2"/>
      <c r="H512" s="127"/>
      <c r="I512" s="62"/>
      <c r="J512" s="62"/>
      <c r="K512" s="62"/>
      <c r="L512" s="62"/>
      <c r="M512" s="62"/>
      <c r="N512" s="62"/>
      <c r="O512" s="62"/>
      <c r="P512" s="62"/>
      <c r="Q512" s="62"/>
      <c r="R512" s="62"/>
      <c r="S512" s="62"/>
      <c r="T512" s="62"/>
      <c r="U512" s="62"/>
      <c r="V512" s="62"/>
      <c r="W512" s="62"/>
      <c r="X512" s="62"/>
      <c r="Y512" s="62"/>
      <c r="Z512" s="62"/>
    </row>
    <row r="513" ht="15.75" customHeight="1">
      <c r="A513" s="74"/>
      <c r="B513" s="74"/>
      <c r="C513" s="74"/>
      <c r="D513" s="74"/>
      <c r="E513" s="2"/>
      <c r="F513" s="2"/>
      <c r="G513" s="2"/>
      <c r="H513" s="127"/>
      <c r="I513" s="62"/>
      <c r="J513" s="62"/>
      <c r="K513" s="62"/>
      <c r="L513" s="62"/>
      <c r="M513" s="62"/>
      <c r="N513" s="62"/>
      <c r="O513" s="62"/>
      <c r="P513" s="62"/>
      <c r="Q513" s="62"/>
      <c r="R513" s="62"/>
      <c r="S513" s="62"/>
      <c r="T513" s="62"/>
      <c r="U513" s="62"/>
      <c r="V513" s="62"/>
      <c r="W513" s="62"/>
      <c r="X513" s="62"/>
      <c r="Y513" s="62"/>
      <c r="Z513" s="62"/>
    </row>
    <row r="514" ht="15.75" customHeight="1">
      <c r="A514" s="74"/>
      <c r="B514" s="74"/>
      <c r="C514" s="74"/>
      <c r="D514" s="74"/>
      <c r="E514" s="2"/>
      <c r="F514" s="2"/>
      <c r="G514" s="2"/>
      <c r="H514" s="127"/>
      <c r="I514" s="62"/>
      <c r="J514" s="62"/>
      <c r="K514" s="62"/>
      <c r="L514" s="62"/>
      <c r="M514" s="62"/>
      <c r="N514" s="62"/>
      <c r="O514" s="62"/>
      <c r="P514" s="62"/>
      <c r="Q514" s="62"/>
      <c r="R514" s="62"/>
      <c r="S514" s="62"/>
      <c r="T514" s="62"/>
      <c r="U514" s="62"/>
      <c r="V514" s="62"/>
      <c r="W514" s="62"/>
      <c r="X514" s="62"/>
      <c r="Y514" s="62"/>
      <c r="Z514" s="62"/>
    </row>
    <row r="515" ht="15.75" customHeight="1">
      <c r="A515" s="74"/>
      <c r="B515" s="74"/>
      <c r="C515" s="74"/>
      <c r="D515" s="74"/>
      <c r="E515" s="2"/>
      <c r="F515" s="2"/>
      <c r="G515" s="2"/>
      <c r="H515" s="127"/>
      <c r="I515" s="62"/>
      <c r="J515" s="62"/>
      <c r="K515" s="62"/>
      <c r="L515" s="62"/>
      <c r="M515" s="62"/>
      <c r="N515" s="62"/>
      <c r="O515" s="62"/>
      <c r="P515" s="62"/>
      <c r="Q515" s="62"/>
      <c r="R515" s="62"/>
      <c r="S515" s="62"/>
      <c r="T515" s="62"/>
      <c r="U515" s="62"/>
      <c r="V515" s="62"/>
      <c r="W515" s="62"/>
      <c r="X515" s="62"/>
      <c r="Y515" s="62"/>
      <c r="Z515" s="62"/>
    </row>
    <row r="516" ht="15.75" customHeight="1">
      <c r="A516" s="74"/>
      <c r="B516" s="74"/>
      <c r="C516" s="74"/>
      <c r="D516" s="74"/>
      <c r="E516" s="2"/>
      <c r="F516" s="2"/>
      <c r="G516" s="2"/>
      <c r="H516" s="127"/>
      <c r="I516" s="62"/>
      <c r="J516" s="62"/>
      <c r="K516" s="62"/>
      <c r="L516" s="62"/>
      <c r="M516" s="62"/>
      <c r="N516" s="62"/>
      <c r="O516" s="62"/>
      <c r="P516" s="62"/>
      <c r="Q516" s="62"/>
      <c r="R516" s="62"/>
      <c r="S516" s="62"/>
      <c r="T516" s="62"/>
      <c r="U516" s="62"/>
      <c r="V516" s="62"/>
      <c r="W516" s="62"/>
      <c r="X516" s="62"/>
      <c r="Y516" s="62"/>
      <c r="Z516" s="62"/>
    </row>
    <row r="517" ht="15.75" customHeight="1">
      <c r="A517" s="74"/>
      <c r="B517" s="74"/>
      <c r="C517" s="74"/>
      <c r="D517" s="74"/>
      <c r="E517" s="2"/>
      <c r="F517" s="2"/>
      <c r="G517" s="2"/>
      <c r="H517" s="127"/>
      <c r="I517" s="62"/>
      <c r="J517" s="62"/>
      <c r="K517" s="62"/>
      <c r="L517" s="62"/>
      <c r="M517" s="62"/>
      <c r="N517" s="62"/>
      <c r="O517" s="62"/>
      <c r="P517" s="62"/>
      <c r="Q517" s="62"/>
      <c r="R517" s="62"/>
      <c r="S517" s="62"/>
      <c r="T517" s="62"/>
      <c r="U517" s="62"/>
      <c r="V517" s="62"/>
      <c r="W517" s="62"/>
      <c r="X517" s="62"/>
      <c r="Y517" s="62"/>
      <c r="Z517" s="62"/>
    </row>
    <row r="518" ht="15.75" customHeight="1">
      <c r="A518" s="74"/>
      <c r="B518" s="74"/>
      <c r="C518" s="74"/>
      <c r="D518" s="74"/>
      <c r="E518" s="2"/>
      <c r="F518" s="2"/>
      <c r="G518" s="2"/>
      <c r="H518" s="127"/>
      <c r="I518" s="62"/>
      <c r="J518" s="62"/>
      <c r="K518" s="62"/>
      <c r="L518" s="62"/>
      <c r="M518" s="62"/>
      <c r="N518" s="62"/>
      <c r="O518" s="62"/>
      <c r="P518" s="62"/>
      <c r="Q518" s="62"/>
      <c r="R518" s="62"/>
      <c r="S518" s="62"/>
      <c r="T518" s="62"/>
      <c r="U518" s="62"/>
      <c r="V518" s="62"/>
      <c r="W518" s="62"/>
      <c r="X518" s="62"/>
      <c r="Y518" s="62"/>
      <c r="Z518" s="62"/>
    </row>
    <row r="519" ht="15.75" customHeight="1">
      <c r="A519" s="74"/>
      <c r="B519" s="74"/>
      <c r="C519" s="74"/>
      <c r="D519" s="74"/>
      <c r="E519" s="2"/>
      <c r="F519" s="2"/>
      <c r="G519" s="2"/>
      <c r="H519" s="127"/>
      <c r="I519" s="62"/>
      <c r="J519" s="62"/>
      <c r="K519" s="62"/>
      <c r="L519" s="62"/>
      <c r="M519" s="62"/>
      <c r="N519" s="62"/>
      <c r="O519" s="62"/>
      <c r="P519" s="62"/>
      <c r="Q519" s="62"/>
      <c r="R519" s="62"/>
      <c r="S519" s="62"/>
      <c r="T519" s="62"/>
      <c r="U519" s="62"/>
      <c r="V519" s="62"/>
      <c r="W519" s="62"/>
      <c r="X519" s="62"/>
      <c r="Y519" s="62"/>
      <c r="Z519" s="62"/>
    </row>
    <row r="520" ht="15.75" customHeight="1">
      <c r="A520" s="74"/>
      <c r="B520" s="74"/>
      <c r="C520" s="74"/>
      <c r="D520" s="74"/>
      <c r="E520" s="2"/>
      <c r="F520" s="2"/>
      <c r="G520" s="2"/>
      <c r="H520" s="127"/>
      <c r="I520" s="62"/>
      <c r="J520" s="62"/>
      <c r="K520" s="62"/>
      <c r="L520" s="62"/>
      <c r="M520" s="62"/>
      <c r="N520" s="62"/>
      <c r="O520" s="62"/>
      <c r="P520" s="62"/>
      <c r="Q520" s="62"/>
      <c r="R520" s="62"/>
      <c r="S520" s="62"/>
      <c r="T520" s="62"/>
      <c r="U520" s="62"/>
      <c r="V520" s="62"/>
      <c r="W520" s="62"/>
      <c r="X520" s="62"/>
      <c r="Y520" s="62"/>
      <c r="Z520" s="62"/>
    </row>
    <row r="521" ht="15.75" customHeight="1">
      <c r="A521" s="74"/>
      <c r="B521" s="74"/>
      <c r="C521" s="74"/>
      <c r="D521" s="74"/>
      <c r="E521" s="2"/>
      <c r="F521" s="2"/>
      <c r="G521" s="2"/>
      <c r="H521" s="127"/>
      <c r="I521" s="62"/>
      <c r="J521" s="62"/>
      <c r="K521" s="62"/>
      <c r="L521" s="62"/>
      <c r="M521" s="62"/>
      <c r="N521" s="62"/>
      <c r="O521" s="62"/>
      <c r="P521" s="62"/>
      <c r="Q521" s="62"/>
      <c r="R521" s="62"/>
      <c r="S521" s="62"/>
      <c r="T521" s="62"/>
      <c r="U521" s="62"/>
      <c r="V521" s="62"/>
      <c r="W521" s="62"/>
      <c r="X521" s="62"/>
      <c r="Y521" s="62"/>
      <c r="Z521" s="62"/>
    </row>
    <row r="522" ht="15.75" customHeight="1">
      <c r="A522" s="74"/>
      <c r="B522" s="74"/>
      <c r="C522" s="74"/>
      <c r="D522" s="74"/>
      <c r="E522" s="2"/>
      <c r="F522" s="2"/>
      <c r="G522" s="2"/>
      <c r="H522" s="127"/>
      <c r="I522" s="62"/>
      <c r="J522" s="62"/>
      <c r="K522" s="62"/>
      <c r="L522" s="62"/>
      <c r="M522" s="62"/>
      <c r="N522" s="62"/>
      <c r="O522" s="62"/>
      <c r="P522" s="62"/>
      <c r="Q522" s="62"/>
      <c r="R522" s="62"/>
      <c r="S522" s="62"/>
      <c r="T522" s="62"/>
      <c r="U522" s="62"/>
      <c r="V522" s="62"/>
      <c r="W522" s="62"/>
      <c r="X522" s="62"/>
      <c r="Y522" s="62"/>
      <c r="Z522" s="62"/>
    </row>
    <row r="523" ht="15.75" customHeight="1">
      <c r="A523" s="74"/>
      <c r="B523" s="74"/>
      <c r="C523" s="74"/>
      <c r="D523" s="74"/>
      <c r="E523" s="2"/>
      <c r="F523" s="2"/>
      <c r="G523" s="2"/>
      <c r="H523" s="127"/>
      <c r="I523" s="62"/>
      <c r="J523" s="62"/>
      <c r="K523" s="62"/>
      <c r="L523" s="62"/>
      <c r="M523" s="62"/>
      <c r="N523" s="62"/>
      <c r="O523" s="62"/>
      <c r="P523" s="62"/>
      <c r="Q523" s="62"/>
      <c r="R523" s="62"/>
      <c r="S523" s="62"/>
      <c r="T523" s="62"/>
      <c r="U523" s="62"/>
      <c r="V523" s="62"/>
      <c r="W523" s="62"/>
      <c r="X523" s="62"/>
      <c r="Y523" s="62"/>
      <c r="Z523" s="62"/>
    </row>
    <row r="524" ht="15.75" customHeight="1">
      <c r="A524" s="74"/>
      <c r="B524" s="74"/>
      <c r="C524" s="74"/>
      <c r="D524" s="74"/>
      <c r="E524" s="2"/>
      <c r="F524" s="2"/>
      <c r="G524" s="2"/>
      <c r="H524" s="127"/>
      <c r="I524" s="62"/>
      <c r="J524" s="62"/>
      <c r="K524" s="62"/>
      <c r="L524" s="62"/>
      <c r="M524" s="62"/>
      <c r="N524" s="62"/>
      <c r="O524" s="62"/>
      <c r="P524" s="62"/>
      <c r="Q524" s="62"/>
      <c r="R524" s="62"/>
      <c r="S524" s="62"/>
      <c r="T524" s="62"/>
      <c r="U524" s="62"/>
      <c r="V524" s="62"/>
      <c r="W524" s="62"/>
      <c r="X524" s="62"/>
      <c r="Y524" s="62"/>
      <c r="Z524" s="62"/>
    </row>
    <row r="525" ht="15.75" customHeight="1">
      <c r="A525" s="74"/>
      <c r="B525" s="74"/>
      <c r="C525" s="74"/>
      <c r="D525" s="74"/>
      <c r="E525" s="2"/>
      <c r="F525" s="2"/>
      <c r="G525" s="2"/>
      <c r="H525" s="127"/>
      <c r="I525" s="62"/>
      <c r="J525" s="62"/>
      <c r="K525" s="62"/>
      <c r="L525" s="62"/>
      <c r="M525" s="62"/>
      <c r="N525" s="62"/>
      <c r="O525" s="62"/>
      <c r="P525" s="62"/>
      <c r="Q525" s="62"/>
      <c r="R525" s="62"/>
      <c r="S525" s="62"/>
      <c r="T525" s="62"/>
      <c r="U525" s="62"/>
      <c r="V525" s="62"/>
      <c r="W525" s="62"/>
      <c r="X525" s="62"/>
      <c r="Y525" s="62"/>
      <c r="Z525" s="62"/>
    </row>
    <row r="526" ht="15.75" customHeight="1">
      <c r="A526" s="74"/>
      <c r="B526" s="74"/>
      <c r="C526" s="74"/>
      <c r="D526" s="74"/>
      <c r="E526" s="2"/>
      <c r="F526" s="2"/>
      <c r="G526" s="2"/>
      <c r="H526" s="127"/>
      <c r="I526" s="62"/>
      <c r="J526" s="62"/>
      <c r="K526" s="62"/>
      <c r="L526" s="62"/>
      <c r="M526" s="62"/>
      <c r="N526" s="62"/>
      <c r="O526" s="62"/>
      <c r="P526" s="62"/>
      <c r="Q526" s="62"/>
      <c r="R526" s="62"/>
      <c r="S526" s="62"/>
      <c r="T526" s="62"/>
      <c r="U526" s="62"/>
      <c r="V526" s="62"/>
      <c r="W526" s="62"/>
      <c r="X526" s="62"/>
      <c r="Y526" s="62"/>
      <c r="Z526" s="62"/>
    </row>
    <row r="527" ht="15.75" customHeight="1">
      <c r="A527" s="74"/>
      <c r="B527" s="74"/>
      <c r="C527" s="74"/>
      <c r="D527" s="74"/>
      <c r="E527" s="2"/>
      <c r="F527" s="2"/>
      <c r="G527" s="2"/>
      <c r="H527" s="127"/>
      <c r="I527" s="62"/>
      <c r="J527" s="62"/>
      <c r="K527" s="62"/>
      <c r="L527" s="62"/>
      <c r="M527" s="62"/>
      <c r="N527" s="62"/>
      <c r="O527" s="62"/>
      <c r="P527" s="62"/>
      <c r="Q527" s="62"/>
      <c r="R527" s="62"/>
      <c r="S527" s="62"/>
      <c r="T527" s="62"/>
      <c r="U527" s="62"/>
      <c r="V527" s="62"/>
      <c r="W527" s="62"/>
      <c r="X527" s="62"/>
      <c r="Y527" s="62"/>
      <c r="Z527" s="62"/>
    </row>
    <row r="528" ht="15.75" customHeight="1">
      <c r="A528" s="74"/>
      <c r="B528" s="74"/>
      <c r="C528" s="74"/>
      <c r="D528" s="74"/>
      <c r="E528" s="2"/>
      <c r="F528" s="2"/>
      <c r="G528" s="2"/>
      <c r="H528" s="127"/>
      <c r="I528" s="62"/>
      <c r="J528" s="62"/>
      <c r="K528" s="62"/>
      <c r="L528" s="62"/>
      <c r="M528" s="62"/>
      <c r="N528" s="62"/>
      <c r="O528" s="62"/>
      <c r="P528" s="62"/>
      <c r="Q528" s="62"/>
      <c r="R528" s="62"/>
      <c r="S528" s="62"/>
      <c r="T528" s="62"/>
      <c r="U528" s="62"/>
      <c r="V528" s="62"/>
      <c r="W528" s="62"/>
      <c r="X528" s="62"/>
      <c r="Y528" s="62"/>
      <c r="Z528" s="62"/>
    </row>
    <row r="529" ht="15.75" customHeight="1">
      <c r="A529" s="74"/>
      <c r="B529" s="74"/>
      <c r="C529" s="74"/>
      <c r="D529" s="74"/>
      <c r="E529" s="2"/>
      <c r="F529" s="2"/>
      <c r="G529" s="2"/>
      <c r="H529" s="127"/>
      <c r="I529" s="62"/>
      <c r="J529" s="62"/>
      <c r="K529" s="62"/>
      <c r="L529" s="62"/>
      <c r="M529" s="62"/>
      <c r="N529" s="62"/>
      <c r="O529" s="62"/>
      <c r="P529" s="62"/>
      <c r="Q529" s="62"/>
      <c r="R529" s="62"/>
      <c r="S529" s="62"/>
      <c r="T529" s="62"/>
      <c r="U529" s="62"/>
      <c r="V529" s="62"/>
      <c r="W529" s="62"/>
      <c r="X529" s="62"/>
      <c r="Y529" s="62"/>
      <c r="Z529" s="62"/>
    </row>
    <row r="530" ht="15.75" customHeight="1">
      <c r="A530" s="74"/>
      <c r="B530" s="74"/>
      <c r="C530" s="74"/>
      <c r="D530" s="74"/>
      <c r="E530" s="2"/>
      <c r="F530" s="2"/>
      <c r="G530" s="2"/>
      <c r="H530" s="127"/>
      <c r="I530" s="62"/>
      <c r="J530" s="62"/>
      <c r="K530" s="62"/>
      <c r="L530" s="62"/>
      <c r="M530" s="62"/>
      <c r="N530" s="62"/>
      <c r="O530" s="62"/>
      <c r="P530" s="62"/>
      <c r="Q530" s="62"/>
      <c r="R530" s="62"/>
      <c r="S530" s="62"/>
      <c r="T530" s="62"/>
      <c r="U530" s="62"/>
      <c r="V530" s="62"/>
      <c r="W530" s="62"/>
      <c r="X530" s="62"/>
      <c r="Y530" s="62"/>
      <c r="Z530" s="62"/>
    </row>
    <row r="531" ht="15.75" customHeight="1">
      <c r="A531" s="74"/>
      <c r="B531" s="74"/>
      <c r="C531" s="74"/>
      <c r="D531" s="74"/>
      <c r="E531" s="2"/>
      <c r="F531" s="2"/>
      <c r="G531" s="2"/>
      <c r="H531" s="127"/>
      <c r="I531" s="62"/>
      <c r="J531" s="62"/>
      <c r="K531" s="62"/>
      <c r="L531" s="62"/>
      <c r="M531" s="62"/>
      <c r="N531" s="62"/>
      <c r="O531" s="62"/>
      <c r="P531" s="62"/>
      <c r="Q531" s="62"/>
      <c r="R531" s="62"/>
      <c r="S531" s="62"/>
      <c r="T531" s="62"/>
      <c r="U531" s="62"/>
      <c r="V531" s="62"/>
      <c r="W531" s="62"/>
      <c r="X531" s="62"/>
      <c r="Y531" s="62"/>
      <c r="Z531" s="62"/>
    </row>
    <row r="532" ht="15.75" customHeight="1">
      <c r="A532" s="74"/>
      <c r="B532" s="74"/>
      <c r="C532" s="74"/>
      <c r="D532" s="74"/>
      <c r="E532" s="2"/>
      <c r="F532" s="2"/>
      <c r="G532" s="2"/>
      <c r="H532" s="127"/>
      <c r="I532" s="62"/>
      <c r="J532" s="62"/>
      <c r="K532" s="62"/>
      <c r="L532" s="62"/>
      <c r="M532" s="62"/>
      <c r="N532" s="62"/>
      <c r="O532" s="62"/>
      <c r="P532" s="62"/>
      <c r="Q532" s="62"/>
      <c r="R532" s="62"/>
      <c r="S532" s="62"/>
      <c r="T532" s="62"/>
      <c r="U532" s="62"/>
      <c r="V532" s="62"/>
      <c r="W532" s="62"/>
      <c r="X532" s="62"/>
      <c r="Y532" s="62"/>
      <c r="Z532" s="62"/>
    </row>
    <row r="533" ht="15.75" customHeight="1">
      <c r="A533" s="74"/>
      <c r="B533" s="74"/>
      <c r="C533" s="74"/>
      <c r="D533" s="74"/>
      <c r="E533" s="2"/>
      <c r="F533" s="2"/>
      <c r="G533" s="2"/>
      <c r="H533" s="127"/>
      <c r="I533" s="62"/>
      <c r="J533" s="62"/>
      <c r="K533" s="62"/>
      <c r="L533" s="62"/>
      <c r="M533" s="62"/>
      <c r="N533" s="62"/>
      <c r="O533" s="62"/>
      <c r="P533" s="62"/>
      <c r="Q533" s="62"/>
      <c r="R533" s="62"/>
      <c r="S533" s="62"/>
      <c r="T533" s="62"/>
      <c r="U533" s="62"/>
      <c r="V533" s="62"/>
      <c r="W533" s="62"/>
      <c r="X533" s="62"/>
      <c r="Y533" s="62"/>
      <c r="Z533" s="62"/>
    </row>
    <row r="534" ht="15.75" customHeight="1">
      <c r="A534" s="74"/>
      <c r="B534" s="74"/>
      <c r="C534" s="74"/>
      <c r="D534" s="74"/>
      <c r="E534" s="2"/>
      <c r="F534" s="2"/>
      <c r="G534" s="2"/>
      <c r="H534" s="127"/>
      <c r="I534" s="62"/>
      <c r="J534" s="62"/>
      <c r="K534" s="62"/>
      <c r="L534" s="62"/>
      <c r="M534" s="62"/>
      <c r="N534" s="62"/>
      <c r="O534" s="62"/>
      <c r="P534" s="62"/>
      <c r="Q534" s="62"/>
      <c r="R534" s="62"/>
      <c r="S534" s="62"/>
      <c r="T534" s="62"/>
      <c r="U534" s="62"/>
      <c r="V534" s="62"/>
      <c r="W534" s="62"/>
      <c r="X534" s="62"/>
      <c r="Y534" s="62"/>
      <c r="Z534" s="62"/>
    </row>
    <row r="535" ht="15.75" customHeight="1">
      <c r="A535" s="74"/>
      <c r="B535" s="74"/>
      <c r="C535" s="74"/>
      <c r="D535" s="74"/>
      <c r="E535" s="2"/>
      <c r="F535" s="2"/>
      <c r="G535" s="2"/>
      <c r="H535" s="127"/>
      <c r="I535" s="62"/>
      <c r="J535" s="62"/>
      <c r="K535" s="62"/>
      <c r="L535" s="62"/>
      <c r="M535" s="62"/>
      <c r="N535" s="62"/>
      <c r="O535" s="62"/>
      <c r="P535" s="62"/>
      <c r="Q535" s="62"/>
      <c r="R535" s="62"/>
      <c r="S535" s="62"/>
      <c r="T535" s="62"/>
      <c r="U535" s="62"/>
      <c r="V535" s="62"/>
      <c r="W535" s="62"/>
      <c r="X535" s="62"/>
      <c r="Y535" s="62"/>
      <c r="Z535" s="62"/>
    </row>
    <row r="536" ht="15.75" customHeight="1">
      <c r="A536" s="74"/>
      <c r="B536" s="74"/>
      <c r="C536" s="74"/>
      <c r="D536" s="74"/>
      <c r="E536" s="2"/>
      <c r="F536" s="2"/>
      <c r="G536" s="2"/>
      <c r="H536" s="127"/>
      <c r="I536" s="62"/>
      <c r="J536" s="62"/>
      <c r="K536" s="62"/>
      <c r="L536" s="62"/>
      <c r="M536" s="62"/>
      <c r="N536" s="62"/>
      <c r="O536" s="62"/>
      <c r="P536" s="62"/>
      <c r="Q536" s="62"/>
      <c r="R536" s="62"/>
      <c r="S536" s="62"/>
      <c r="T536" s="62"/>
      <c r="U536" s="62"/>
      <c r="V536" s="62"/>
      <c r="W536" s="62"/>
      <c r="X536" s="62"/>
      <c r="Y536" s="62"/>
      <c r="Z536" s="62"/>
    </row>
    <row r="537" ht="15.75" customHeight="1">
      <c r="A537" s="74"/>
      <c r="B537" s="74"/>
      <c r="C537" s="74"/>
      <c r="D537" s="74"/>
      <c r="E537" s="2"/>
      <c r="F537" s="2"/>
      <c r="G537" s="2"/>
      <c r="H537" s="127"/>
      <c r="I537" s="62"/>
      <c r="J537" s="62"/>
      <c r="K537" s="62"/>
      <c r="L537" s="62"/>
      <c r="M537" s="62"/>
      <c r="N537" s="62"/>
      <c r="O537" s="62"/>
      <c r="P537" s="62"/>
      <c r="Q537" s="62"/>
      <c r="R537" s="62"/>
      <c r="S537" s="62"/>
      <c r="T537" s="62"/>
      <c r="U537" s="62"/>
      <c r="V537" s="62"/>
      <c r="W537" s="62"/>
      <c r="X537" s="62"/>
      <c r="Y537" s="62"/>
      <c r="Z537" s="62"/>
    </row>
    <row r="538" ht="15.75" customHeight="1">
      <c r="A538" s="74"/>
      <c r="B538" s="74"/>
      <c r="C538" s="74"/>
      <c r="D538" s="74"/>
      <c r="E538" s="2"/>
      <c r="F538" s="2"/>
      <c r="G538" s="2"/>
      <c r="H538" s="127"/>
      <c r="I538" s="62"/>
      <c r="J538" s="62"/>
      <c r="K538" s="62"/>
      <c r="L538" s="62"/>
      <c r="M538" s="62"/>
      <c r="N538" s="62"/>
      <c r="O538" s="62"/>
      <c r="P538" s="62"/>
      <c r="Q538" s="62"/>
      <c r="R538" s="62"/>
      <c r="S538" s="62"/>
      <c r="T538" s="62"/>
      <c r="U538" s="62"/>
      <c r="V538" s="62"/>
      <c r="W538" s="62"/>
      <c r="X538" s="62"/>
      <c r="Y538" s="62"/>
      <c r="Z538" s="62"/>
    </row>
    <row r="539" ht="15.75" customHeight="1">
      <c r="A539" s="74"/>
      <c r="B539" s="74"/>
      <c r="C539" s="74"/>
      <c r="D539" s="74"/>
      <c r="E539" s="2"/>
      <c r="F539" s="2"/>
      <c r="G539" s="2"/>
      <c r="H539" s="127"/>
      <c r="I539" s="62"/>
      <c r="J539" s="62"/>
      <c r="K539" s="62"/>
      <c r="L539" s="62"/>
      <c r="M539" s="62"/>
      <c r="N539" s="62"/>
      <c r="O539" s="62"/>
      <c r="P539" s="62"/>
      <c r="Q539" s="62"/>
      <c r="R539" s="62"/>
      <c r="S539" s="62"/>
      <c r="T539" s="62"/>
      <c r="U539" s="62"/>
      <c r="V539" s="62"/>
      <c r="W539" s="62"/>
      <c r="X539" s="62"/>
      <c r="Y539" s="62"/>
      <c r="Z539" s="62"/>
    </row>
    <row r="540" ht="15.75" customHeight="1">
      <c r="A540" s="74"/>
      <c r="B540" s="74"/>
      <c r="C540" s="74"/>
      <c r="D540" s="74"/>
      <c r="E540" s="2"/>
      <c r="F540" s="2"/>
      <c r="G540" s="2"/>
      <c r="H540" s="127"/>
      <c r="I540" s="62"/>
      <c r="J540" s="62"/>
      <c r="K540" s="62"/>
      <c r="L540" s="62"/>
      <c r="M540" s="62"/>
      <c r="N540" s="62"/>
      <c r="O540" s="62"/>
      <c r="P540" s="62"/>
      <c r="Q540" s="62"/>
      <c r="R540" s="62"/>
      <c r="S540" s="62"/>
      <c r="T540" s="62"/>
      <c r="U540" s="62"/>
      <c r="V540" s="62"/>
      <c r="W540" s="62"/>
      <c r="X540" s="62"/>
      <c r="Y540" s="62"/>
      <c r="Z540" s="62"/>
    </row>
    <row r="541" ht="15.75" customHeight="1">
      <c r="A541" s="74"/>
      <c r="B541" s="74"/>
      <c r="C541" s="74"/>
      <c r="D541" s="74"/>
      <c r="E541" s="2"/>
      <c r="F541" s="2"/>
      <c r="G541" s="2"/>
      <c r="H541" s="127"/>
      <c r="I541" s="62"/>
      <c r="J541" s="62"/>
      <c r="K541" s="62"/>
      <c r="L541" s="62"/>
      <c r="M541" s="62"/>
      <c r="N541" s="62"/>
      <c r="O541" s="62"/>
      <c r="P541" s="62"/>
      <c r="Q541" s="62"/>
      <c r="R541" s="62"/>
      <c r="S541" s="62"/>
      <c r="T541" s="62"/>
      <c r="U541" s="62"/>
      <c r="V541" s="62"/>
      <c r="W541" s="62"/>
      <c r="X541" s="62"/>
      <c r="Y541" s="62"/>
      <c r="Z541" s="62"/>
    </row>
    <row r="542" ht="15.75" customHeight="1">
      <c r="A542" s="74"/>
      <c r="B542" s="74"/>
      <c r="C542" s="74"/>
      <c r="D542" s="74"/>
      <c r="E542" s="2"/>
      <c r="F542" s="2"/>
      <c r="G542" s="2"/>
      <c r="H542" s="127"/>
      <c r="I542" s="62"/>
      <c r="J542" s="62"/>
      <c r="K542" s="62"/>
      <c r="L542" s="62"/>
      <c r="M542" s="62"/>
      <c r="N542" s="62"/>
      <c r="O542" s="62"/>
      <c r="P542" s="62"/>
      <c r="Q542" s="62"/>
      <c r="R542" s="62"/>
      <c r="S542" s="62"/>
      <c r="T542" s="62"/>
      <c r="U542" s="62"/>
      <c r="V542" s="62"/>
      <c r="W542" s="62"/>
      <c r="X542" s="62"/>
      <c r="Y542" s="62"/>
      <c r="Z542" s="62"/>
    </row>
    <row r="543" ht="15.75" customHeight="1">
      <c r="A543" s="74"/>
      <c r="B543" s="74"/>
      <c r="C543" s="74"/>
      <c r="D543" s="74"/>
      <c r="E543" s="2"/>
      <c r="F543" s="2"/>
      <c r="G543" s="2"/>
      <c r="H543" s="127"/>
      <c r="I543" s="62"/>
      <c r="J543" s="62"/>
      <c r="K543" s="62"/>
      <c r="L543" s="62"/>
      <c r="M543" s="62"/>
      <c r="N543" s="62"/>
      <c r="O543" s="62"/>
      <c r="P543" s="62"/>
      <c r="Q543" s="62"/>
      <c r="R543" s="62"/>
      <c r="S543" s="62"/>
      <c r="T543" s="62"/>
      <c r="U543" s="62"/>
      <c r="V543" s="62"/>
      <c r="W543" s="62"/>
      <c r="X543" s="62"/>
      <c r="Y543" s="62"/>
      <c r="Z543" s="62"/>
    </row>
    <row r="544" ht="15.75" customHeight="1">
      <c r="A544" s="74"/>
      <c r="B544" s="74"/>
      <c r="C544" s="74"/>
      <c r="D544" s="74"/>
      <c r="E544" s="2"/>
      <c r="F544" s="2"/>
      <c r="G544" s="2"/>
      <c r="H544" s="127"/>
      <c r="I544" s="62"/>
      <c r="J544" s="62"/>
      <c r="K544" s="62"/>
      <c r="L544" s="62"/>
      <c r="M544" s="62"/>
      <c r="N544" s="62"/>
      <c r="O544" s="62"/>
      <c r="P544" s="62"/>
      <c r="Q544" s="62"/>
      <c r="R544" s="62"/>
      <c r="S544" s="62"/>
      <c r="T544" s="62"/>
      <c r="U544" s="62"/>
      <c r="V544" s="62"/>
      <c r="W544" s="62"/>
      <c r="X544" s="62"/>
      <c r="Y544" s="62"/>
      <c r="Z544" s="62"/>
    </row>
    <row r="545" ht="15.75" customHeight="1">
      <c r="A545" s="74"/>
      <c r="B545" s="74"/>
      <c r="C545" s="74"/>
      <c r="D545" s="74"/>
      <c r="E545" s="2"/>
      <c r="F545" s="2"/>
      <c r="G545" s="2"/>
      <c r="H545" s="127"/>
      <c r="I545" s="62"/>
      <c r="J545" s="62"/>
      <c r="K545" s="62"/>
      <c r="L545" s="62"/>
      <c r="M545" s="62"/>
      <c r="N545" s="62"/>
      <c r="O545" s="62"/>
      <c r="P545" s="62"/>
      <c r="Q545" s="62"/>
      <c r="R545" s="62"/>
      <c r="S545" s="62"/>
      <c r="T545" s="62"/>
      <c r="U545" s="62"/>
      <c r="V545" s="62"/>
      <c r="W545" s="62"/>
      <c r="X545" s="62"/>
      <c r="Y545" s="62"/>
      <c r="Z545" s="62"/>
    </row>
    <row r="546" ht="15.75" customHeight="1">
      <c r="A546" s="74"/>
      <c r="B546" s="74"/>
      <c r="C546" s="74"/>
      <c r="D546" s="74"/>
      <c r="E546" s="2"/>
      <c r="F546" s="2"/>
      <c r="G546" s="2"/>
      <c r="H546" s="127"/>
      <c r="I546" s="62"/>
      <c r="J546" s="62"/>
      <c r="K546" s="62"/>
      <c r="L546" s="62"/>
      <c r="M546" s="62"/>
      <c r="N546" s="62"/>
      <c r="O546" s="62"/>
      <c r="P546" s="62"/>
      <c r="Q546" s="62"/>
      <c r="R546" s="62"/>
      <c r="S546" s="62"/>
      <c r="T546" s="62"/>
      <c r="U546" s="62"/>
      <c r="V546" s="62"/>
      <c r="W546" s="62"/>
      <c r="X546" s="62"/>
      <c r="Y546" s="62"/>
      <c r="Z546" s="62"/>
    </row>
    <row r="547" ht="15.75" customHeight="1">
      <c r="A547" s="74"/>
      <c r="B547" s="74"/>
      <c r="C547" s="74"/>
      <c r="D547" s="74"/>
      <c r="E547" s="2"/>
      <c r="F547" s="2"/>
      <c r="G547" s="2"/>
      <c r="H547" s="127"/>
      <c r="I547" s="62"/>
      <c r="J547" s="62"/>
      <c r="K547" s="62"/>
      <c r="L547" s="62"/>
      <c r="M547" s="62"/>
      <c r="N547" s="62"/>
      <c r="O547" s="62"/>
      <c r="P547" s="62"/>
      <c r="Q547" s="62"/>
      <c r="R547" s="62"/>
      <c r="S547" s="62"/>
      <c r="T547" s="62"/>
      <c r="U547" s="62"/>
      <c r="V547" s="62"/>
      <c r="W547" s="62"/>
      <c r="X547" s="62"/>
      <c r="Y547" s="62"/>
      <c r="Z547" s="62"/>
    </row>
    <row r="548" ht="15.75" customHeight="1">
      <c r="A548" s="74"/>
      <c r="B548" s="74"/>
      <c r="C548" s="74"/>
      <c r="D548" s="74"/>
      <c r="E548" s="2"/>
      <c r="F548" s="2"/>
      <c r="G548" s="2"/>
      <c r="H548" s="127"/>
      <c r="I548" s="62"/>
      <c r="J548" s="62"/>
      <c r="K548" s="62"/>
      <c r="L548" s="62"/>
      <c r="M548" s="62"/>
      <c r="N548" s="62"/>
      <c r="O548" s="62"/>
      <c r="P548" s="62"/>
      <c r="Q548" s="62"/>
      <c r="R548" s="62"/>
      <c r="S548" s="62"/>
      <c r="T548" s="62"/>
      <c r="U548" s="62"/>
      <c r="V548" s="62"/>
      <c r="W548" s="62"/>
      <c r="X548" s="62"/>
      <c r="Y548" s="62"/>
      <c r="Z548" s="62"/>
    </row>
    <row r="549" ht="15.75" customHeight="1">
      <c r="A549" s="74"/>
      <c r="B549" s="74"/>
      <c r="C549" s="74"/>
      <c r="D549" s="74"/>
      <c r="E549" s="2"/>
      <c r="F549" s="2"/>
      <c r="G549" s="2"/>
      <c r="H549" s="127"/>
      <c r="I549" s="62"/>
      <c r="J549" s="62"/>
      <c r="K549" s="62"/>
      <c r="L549" s="62"/>
      <c r="M549" s="62"/>
      <c r="N549" s="62"/>
      <c r="O549" s="62"/>
      <c r="P549" s="62"/>
      <c r="Q549" s="62"/>
      <c r="R549" s="62"/>
      <c r="S549" s="62"/>
      <c r="T549" s="62"/>
      <c r="U549" s="62"/>
      <c r="V549" s="62"/>
      <c r="W549" s="62"/>
      <c r="X549" s="62"/>
      <c r="Y549" s="62"/>
      <c r="Z549" s="62"/>
    </row>
    <row r="550" ht="15.75" customHeight="1">
      <c r="A550" s="74"/>
      <c r="B550" s="74"/>
      <c r="C550" s="74"/>
      <c r="D550" s="74"/>
      <c r="E550" s="2"/>
      <c r="F550" s="2"/>
      <c r="G550" s="2"/>
      <c r="H550" s="127"/>
      <c r="I550" s="62"/>
      <c r="J550" s="62"/>
      <c r="K550" s="62"/>
      <c r="L550" s="62"/>
      <c r="M550" s="62"/>
      <c r="N550" s="62"/>
      <c r="O550" s="62"/>
      <c r="P550" s="62"/>
      <c r="Q550" s="62"/>
      <c r="R550" s="62"/>
      <c r="S550" s="62"/>
      <c r="T550" s="62"/>
      <c r="U550" s="62"/>
      <c r="V550" s="62"/>
      <c r="W550" s="62"/>
      <c r="X550" s="62"/>
      <c r="Y550" s="62"/>
      <c r="Z550" s="62"/>
    </row>
    <row r="551" ht="15.75" customHeight="1">
      <c r="A551" s="74"/>
      <c r="B551" s="74"/>
      <c r="C551" s="74"/>
      <c r="D551" s="74"/>
      <c r="E551" s="2"/>
      <c r="F551" s="2"/>
      <c r="G551" s="2"/>
      <c r="H551" s="127"/>
      <c r="I551" s="62"/>
      <c r="J551" s="62"/>
      <c r="K551" s="62"/>
      <c r="L551" s="62"/>
      <c r="M551" s="62"/>
      <c r="N551" s="62"/>
      <c r="O551" s="62"/>
      <c r="P551" s="62"/>
      <c r="Q551" s="62"/>
      <c r="R551" s="62"/>
      <c r="S551" s="62"/>
      <c r="T551" s="62"/>
      <c r="U551" s="62"/>
      <c r="V551" s="62"/>
      <c r="W551" s="62"/>
      <c r="X551" s="62"/>
      <c r="Y551" s="62"/>
      <c r="Z551" s="62"/>
    </row>
    <row r="552" ht="15.75" customHeight="1">
      <c r="A552" s="74"/>
      <c r="B552" s="74"/>
      <c r="C552" s="74"/>
      <c r="D552" s="74"/>
      <c r="E552" s="2"/>
      <c r="F552" s="2"/>
      <c r="G552" s="2"/>
      <c r="H552" s="127"/>
      <c r="I552" s="62"/>
      <c r="J552" s="62"/>
      <c r="K552" s="62"/>
      <c r="L552" s="62"/>
      <c r="M552" s="62"/>
      <c r="N552" s="62"/>
      <c r="O552" s="62"/>
      <c r="P552" s="62"/>
      <c r="Q552" s="62"/>
      <c r="R552" s="62"/>
      <c r="S552" s="62"/>
      <c r="T552" s="62"/>
      <c r="U552" s="62"/>
      <c r="V552" s="62"/>
      <c r="W552" s="62"/>
      <c r="X552" s="62"/>
      <c r="Y552" s="62"/>
      <c r="Z552" s="62"/>
    </row>
    <row r="553" ht="15.75" customHeight="1">
      <c r="A553" s="74"/>
      <c r="B553" s="74"/>
      <c r="C553" s="74"/>
      <c r="D553" s="74"/>
      <c r="E553" s="2"/>
      <c r="F553" s="2"/>
      <c r="G553" s="2"/>
      <c r="H553" s="127"/>
      <c r="I553" s="62"/>
      <c r="J553" s="62"/>
      <c r="K553" s="62"/>
      <c r="L553" s="62"/>
      <c r="M553" s="62"/>
      <c r="N553" s="62"/>
      <c r="O553" s="62"/>
      <c r="P553" s="62"/>
      <c r="Q553" s="62"/>
      <c r="R553" s="62"/>
      <c r="S553" s="62"/>
      <c r="T553" s="62"/>
      <c r="U553" s="62"/>
      <c r="V553" s="62"/>
      <c r="W553" s="62"/>
      <c r="X553" s="62"/>
      <c r="Y553" s="62"/>
      <c r="Z553" s="62"/>
    </row>
    <row r="554" ht="15.75" customHeight="1">
      <c r="A554" s="74"/>
      <c r="B554" s="74"/>
      <c r="C554" s="74"/>
      <c r="D554" s="74"/>
      <c r="E554" s="2"/>
      <c r="F554" s="2"/>
      <c r="G554" s="2"/>
      <c r="H554" s="127"/>
      <c r="I554" s="62"/>
      <c r="J554" s="62"/>
      <c r="K554" s="62"/>
      <c r="L554" s="62"/>
      <c r="M554" s="62"/>
      <c r="N554" s="62"/>
      <c r="O554" s="62"/>
      <c r="P554" s="62"/>
      <c r="Q554" s="62"/>
      <c r="R554" s="62"/>
      <c r="S554" s="62"/>
      <c r="T554" s="62"/>
      <c r="U554" s="62"/>
      <c r="V554" s="62"/>
      <c r="W554" s="62"/>
      <c r="X554" s="62"/>
      <c r="Y554" s="62"/>
      <c r="Z554" s="62"/>
    </row>
    <row r="555" ht="15.75" customHeight="1">
      <c r="A555" s="74"/>
      <c r="B555" s="74"/>
      <c r="C555" s="74"/>
      <c r="D555" s="74"/>
      <c r="E555" s="2"/>
      <c r="F555" s="2"/>
      <c r="G555" s="2"/>
      <c r="H555" s="127"/>
      <c r="I555" s="62"/>
      <c r="J555" s="62"/>
      <c r="K555" s="62"/>
      <c r="L555" s="62"/>
      <c r="M555" s="62"/>
      <c r="N555" s="62"/>
      <c r="O555" s="62"/>
      <c r="P555" s="62"/>
      <c r="Q555" s="62"/>
      <c r="R555" s="62"/>
      <c r="S555" s="62"/>
      <c r="T555" s="62"/>
      <c r="U555" s="62"/>
      <c r="V555" s="62"/>
      <c r="W555" s="62"/>
      <c r="X555" s="62"/>
      <c r="Y555" s="62"/>
      <c r="Z555" s="62"/>
    </row>
    <row r="556" ht="15.75" customHeight="1">
      <c r="A556" s="74"/>
      <c r="B556" s="74"/>
      <c r="C556" s="74"/>
      <c r="D556" s="74"/>
      <c r="E556" s="2"/>
      <c r="F556" s="2"/>
      <c r="G556" s="2"/>
      <c r="H556" s="127"/>
      <c r="I556" s="62"/>
      <c r="J556" s="62"/>
      <c r="K556" s="62"/>
      <c r="L556" s="62"/>
      <c r="M556" s="62"/>
      <c r="N556" s="62"/>
      <c r="O556" s="62"/>
      <c r="P556" s="62"/>
      <c r="Q556" s="62"/>
      <c r="R556" s="62"/>
      <c r="S556" s="62"/>
      <c r="T556" s="62"/>
      <c r="U556" s="62"/>
      <c r="V556" s="62"/>
      <c r="W556" s="62"/>
      <c r="X556" s="62"/>
      <c r="Y556" s="62"/>
      <c r="Z556" s="62"/>
    </row>
    <row r="557" ht="15.75" customHeight="1">
      <c r="A557" s="74"/>
      <c r="B557" s="74"/>
      <c r="C557" s="74"/>
      <c r="D557" s="74"/>
      <c r="E557" s="2"/>
      <c r="F557" s="2"/>
      <c r="G557" s="2"/>
      <c r="H557" s="127"/>
      <c r="I557" s="62"/>
      <c r="J557" s="62"/>
      <c r="K557" s="62"/>
      <c r="L557" s="62"/>
      <c r="M557" s="62"/>
      <c r="N557" s="62"/>
      <c r="O557" s="62"/>
      <c r="P557" s="62"/>
      <c r="Q557" s="62"/>
      <c r="R557" s="62"/>
      <c r="S557" s="62"/>
      <c r="T557" s="62"/>
      <c r="U557" s="62"/>
      <c r="V557" s="62"/>
      <c r="W557" s="62"/>
      <c r="X557" s="62"/>
      <c r="Y557" s="62"/>
      <c r="Z557" s="62"/>
    </row>
    <row r="558" ht="15.75" customHeight="1">
      <c r="A558" s="74"/>
      <c r="B558" s="74"/>
      <c r="C558" s="74"/>
      <c r="D558" s="74"/>
      <c r="E558" s="2"/>
      <c r="F558" s="2"/>
      <c r="G558" s="2"/>
      <c r="H558" s="127"/>
      <c r="I558" s="62"/>
      <c r="J558" s="62"/>
      <c r="K558" s="62"/>
      <c r="L558" s="62"/>
      <c r="M558" s="62"/>
      <c r="N558" s="62"/>
      <c r="O558" s="62"/>
      <c r="P558" s="62"/>
      <c r="Q558" s="62"/>
      <c r="R558" s="62"/>
      <c r="S558" s="62"/>
      <c r="T558" s="62"/>
      <c r="U558" s="62"/>
      <c r="V558" s="62"/>
      <c r="W558" s="62"/>
      <c r="X558" s="62"/>
      <c r="Y558" s="62"/>
      <c r="Z558" s="62"/>
    </row>
    <row r="559" ht="15.75" customHeight="1">
      <c r="A559" s="74"/>
      <c r="B559" s="74"/>
      <c r="C559" s="74"/>
      <c r="D559" s="74"/>
      <c r="E559" s="2"/>
      <c r="F559" s="2"/>
      <c r="G559" s="2"/>
      <c r="H559" s="127"/>
      <c r="I559" s="62"/>
      <c r="J559" s="62"/>
      <c r="K559" s="62"/>
      <c r="L559" s="62"/>
      <c r="M559" s="62"/>
      <c r="N559" s="62"/>
      <c r="O559" s="62"/>
      <c r="P559" s="62"/>
      <c r="Q559" s="62"/>
      <c r="R559" s="62"/>
      <c r="S559" s="62"/>
      <c r="T559" s="62"/>
      <c r="U559" s="62"/>
      <c r="V559" s="62"/>
      <c r="W559" s="62"/>
      <c r="X559" s="62"/>
      <c r="Y559" s="62"/>
      <c r="Z559" s="62"/>
    </row>
    <row r="560" ht="15.75" customHeight="1">
      <c r="A560" s="74"/>
      <c r="B560" s="74"/>
      <c r="C560" s="74"/>
      <c r="D560" s="74"/>
      <c r="E560" s="2"/>
      <c r="F560" s="2"/>
      <c r="G560" s="2"/>
      <c r="H560" s="127"/>
      <c r="I560" s="62"/>
      <c r="J560" s="62"/>
      <c r="K560" s="62"/>
      <c r="L560" s="62"/>
      <c r="M560" s="62"/>
      <c r="N560" s="62"/>
      <c r="O560" s="62"/>
      <c r="P560" s="62"/>
      <c r="Q560" s="62"/>
      <c r="R560" s="62"/>
      <c r="S560" s="62"/>
      <c r="T560" s="62"/>
      <c r="U560" s="62"/>
      <c r="V560" s="62"/>
      <c r="W560" s="62"/>
      <c r="X560" s="62"/>
      <c r="Y560" s="62"/>
      <c r="Z560" s="62"/>
    </row>
    <row r="561" ht="15.75" customHeight="1">
      <c r="A561" s="74"/>
      <c r="B561" s="74"/>
      <c r="C561" s="74"/>
      <c r="D561" s="74"/>
      <c r="E561" s="2"/>
      <c r="F561" s="2"/>
      <c r="G561" s="2"/>
      <c r="H561" s="127"/>
      <c r="I561" s="62"/>
      <c r="J561" s="62"/>
      <c r="K561" s="62"/>
      <c r="L561" s="62"/>
      <c r="M561" s="62"/>
      <c r="N561" s="62"/>
      <c r="O561" s="62"/>
      <c r="P561" s="62"/>
      <c r="Q561" s="62"/>
      <c r="R561" s="62"/>
      <c r="S561" s="62"/>
      <c r="T561" s="62"/>
      <c r="U561" s="62"/>
      <c r="V561" s="62"/>
      <c r="W561" s="62"/>
      <c r="X561" s="62"/>
      <c r="Y561" s="62"/>
      <c r="Z561" s="62"/>
    </row>
    <row r="562" ht="15.75" customHeight="1">
      <c r="A562" s="74"/>
      <c r="B562" s="74"/>
      <c r="C562" s="74"/>
      <c r="D562" s="74"/>
      <c r="E562" s="2"/>
      <c r="F562" s="2"/>
      <c r="G562" s="2"/>
      <c r="H562" s="127"/>
      <c r="I562" s="62"/>
      <c r="J562" s="62"/>
      <c r="K562" s="62"/>
      <c r="L562" s="62"/>
      <c r="M562" s="62"/>
      <c r="N562" s="62"/>
      <c r="O562" s="62"/>
      <c r="P562" s="62"/>
      <c r="Q562" s="62"/>
      <c r="R562" s="62"/>
      <c r="S562" s="62"/>
      <c r="T562" s="62"/>
      <c r="U562" s="62"/>
      <c r="V562" s="62"/>
      <c r="W562" s="62"/>
      <c r="X562" s="62"/>
      <c r="Y562" s="62"/>
      <c r="Z562" s="62"/>
    </row>
    <row r="563" ht="15.75" customHeight="1">
      <c r="A563" s="74"/>
      <c r="B563" s="74"/>
      <c r="C563" s="74"/>
      <c r="D563" s="74"/>
      <c r="E563" s="2"/>
      <c r="F563" s="2"/>
      <c r="G563" s="2"/>
      <c r="H563" s="127"/>
      <c r="I563" s="62"/>
      <c r="J563" s="62"/>
      <c r="K563" s="62"/>
      <c r="L563" s="62"/>
      <c r="M563" s="62"/>
      <c r="N563" s="62"/>
      <c r="O563" s="62"/>
      <c r="P563" s="62"/>
      <c r="Q563" s="62"/>
      <c r="R563" s="62"/>
      <c r="S563" s="62"/>
      <c r="T563" s="62"/>
      <c r="U563" s="62"/>
      <c r="V563" s="62"/>
      <c r="W563" s="62"/>
      <c r="X563" s="62"/>
      <c r="Y563" s="62"/>
      <c r="Z563" s="62"/>
    </row>
    <row r="564" ht="15.75" customHeight="1">
      <c r="A564" s="74"/>
      <c r="B564" s="74"/>
      <c r="C564" s="74"/>
      <c r="D564" s="74"/>
      <c r="E564" s="2"/>
      <c r="F564" s="2"/>
      <c r="G564" s="2"/>
      <c r="H564" s="127"/>
      <c r="I564" s="62"/>
      <c r="J564" s="62"/>
      <c r="K564" s="62"/>
      <c r="L564" s="62"/>
      <c r="M564" s="62"/>
      <c r="N564" s="62"/>
      <c r="O564" s="62"/>
      <c r="P564" s="62"/>
      <c r="Q564" s="62"/>
      <c r="R564" s="62"/>
      <c r="S564" s="62"/>
      <c r="T564" s="62"/>
      <c r="U564" s="62"/>
      <c r="V564" s="62"/>
      <c r="W564" s="62"/>
      <c r="X564" s="62"/>
      <c r="Y564" s="62"/>
      <c r="Z564" s="62"/>
    </row>
    <row r="565" ht="15.75" customHeight="1">
      <c r="A565" s="74"/>
      <c r="B565" s="74"/>
      <c r="C565" s="74"/>
      <c r="D565" s="74"/>
      <c r="E565" s="2"/>
      <c r="F565" s="2"/>
      <c r="G565" s="2"/>
      <c r="H565" s="127"/>
      <c r="I565" s="62"/>
      <c r="J565" s="62"/>
      <c r="K565" s="62"/>
      <c r="L565" s="62"/>
      <c r="M565" s="62"/>
      <c r="N565" s="62"/>
      <c r="O565" s="62"/>
      <c r="P565" s="62"/>
      <c r="Q565" s="62"/>
      <c r="R565" s="62"/>
      <c r="S565" s="62"/>
      <c r="T565" s="62"/>
      <c r="U565" s="62"/>
      <c r="V565" s="62"/>
      <c r="W565" s="62"/>
      <c r="X565" s="62"/>
      <c r="Y565" s="62"/>
      <c r="Z565" s="62"/>
    </row>
    <row r="566" ht="15.75" customHeight="1">
      <c r="A566" s="74"/>
      <c r="B566" s="74"/>
      <c r="C566" s="74"/>
      <c r="D566" s="74"/>
      <c r="E566" s="2"/>
      <c r="F566" s="2"/>
      <c r="G566" s="2"/>
      <c r="H566" s="127"/>
      <c r="I566" s="62"/>
      <c r="J566" s="62"/>
      <c r="K566" s="62"/>
      <c r="L566" s="62"/>
      <c r="M566" s="62"/>
      <c r="N566" s="62"/>
      <c r="O566" s="62"/>
      <c r="P566" s="62"/>
      <c r="Q566" s="62"/>
      <c r="R566" s="62"/>
      <c r="S566" s="62"/>
      <c r="T566" s="62"/>
      <c r="U566" s="62"/>
      <c r="V566" s="62"/>
      <c r="W566" s="62"/>
      <c r="X566" s="62"/>
      <c r="Y566" s="62"/>
      <c r="Z566" s="62"/>
    </row>
    <row r="567" ht="15.75" customHeight="1">
      <c r="A567" s="74"/>
      <c r="B567" s="74"/>
      <c r="C567" s="74"/>
      <c r="D567" s="74"/>
      <c r="E567" s="2"/>
      <c r="F567" s="2"/>
      <c r="G567" s="2"/>
      <c r="H567" s="127"/>
      <c r="I567" s="62"/>
      <c r="J567" s="62"/>
      <c r="K567" s="62"/>
      <c r="L567" s="62"/>
      <c r="M567" s="62"/>
      <c r="N567" s="62"/>
      <c r="O567" s="62"/>
      <c r="P567" s="62"/>
      <c r="Q567" s="62"/>
      <c r="R567" s="62"/>
      <c r="S567" s="62"/>
      <c r="T567" s="62"/>
      <c r="U567" s="62"/>
      <c r="V567" s="62"/>
      <c r="W567" s="62"/>
      <c r="X567" s="62"/>
      <c r="Y567" s="62"/>
      <c r="Z567" s="62"/>
    </row>
    <row r="568" ht="15.75" customHeight="1">
      <c r="A568" s="74"/>
      <c r="B568" s="74"/>
      <c r="C568" s="74"/>
      <c r="D568" s="74"/>
      <c r="E568" s="2"/>
      <c r="F568" s="2"/>
      <c r="G568" s="2"/>
      <c r="H568" s="127"/>
      <c r="I568" s="62"/>
      <c r="J568" s="62"/>
      <c r="K568" s="62"/>
      <c r="L568" s="62"/>
      <c r="M568" s="62"/>
      <c r="N568" s="62"/>
      <c r="O568" s="62"/>
      <c r="P568" s="62"/>
      <c r="Q568" s="62"/>
      <c r="R568" s="62"/>
      <c r="S568" s="62"/>
      <c r="T568" s="62"/>
      <c r="U568" s="62"/>
      <c r="V568" s="62"/>
      <c r="W568" s="62"/>
      <c r="X568" s="62"/>
      <c r="Y568" s="62"/>
      <c r="Z568" s="62"/>
    </row>
    <row r="569" ht="15.75" customHeight="1">
      <c r="A569" s="74"/>
      <c r="B569" s="74"/>
      <c r="C569" s="74"/>
      <c r="D569" s="74"/>
      <c r="E569" s="2"/>
      <c r="F569" s="2"/>
      <c r="G569" s="2"/>
      <c r="H569" s="127"/>
      <c r="I569" s="62"/>
      <c r="J569" s="62"/>
      <c r="K569" s="62"/>
      <c r="L569" s="62"/>
      <c r="M569" s="62"/>
      <c r="N569" s="62"/>
      <c r="O569" s="62"/>
      <c r="P569" s="62"/>
      <c r="Q569" s="62"/>
      <c r="R569" s="62"/>
      <c r="S569" s="62"/>
      <c r="T569" s="62"/>
      <c r="U569" s="62"/>
      <c r="V569" s="62"/>
      <c r="W569" s="62"/>
      <c r="X569" s="62"/>
      <c r="Y569" s="62"/>
      <c r="Z569" s="62"/>
    </row>
    <row r="570" ht="15.75" customHeight="1">
      <c r="A570" s="74"/>
      <c r="B570" s="74"/>
      <c r="C570" s="74"/>
      <c r="D570" s="74"/>
      <c r="E570" s="2"/>
      <c r="F570" s="2"/>
      <c r="G570" s="2"/>
      <c r="H570" s="127"/>
      <c r="I570" s="62"/>
      <c r="J570" s="62"/>
      <c r="K570" s="62"/>
      <c r="L570" s="62"/>
      <c r="M570" s="62"/>
      <c r="N570" s="62"/>
      <c r="O570" s="62"/>
      <c r="P570" s="62"/>
      <c r="Q570" s="62"/>
      <c r="R570" s="62"/>
      <c r="S570" s="62"/>
      <c r="T570" s="62"/>
      <c r="U570" s="62"/>
      <c r="V570" s="62"/>
      <c r="W570" s="62"/>
      <c r="X570" s="62"/>
      <c r="Y570" s="62"/>
      <c r="Z570" s="62"/>
    </row>
    <row r="571" ht="15.75" customHeight="1">
      <c r="A571" s="74"/>
      <c r="B571" s="74"/>
      <c r="C571" s="74"/>
      <c r="D571" s="74"/>
      <c r="E571" s="2"/>
      <c r="F571" s="2"/>
      <c r="G571" s="2"/>
      <c r="H571" s="127"/>
      <c r="I571" s="62"/>
      <c r="J571" s="62"/>
      <c r="K571" s="62"/>
      <c r="L571" s="62"/>
      <c r="M571" s="62"/>
      <c r="N571" s="62"/>
      <c r="O571" s="62"/>
      <c r="P571" s="62"/>
      <c r="Q571" s="62"/>
      <c r="R571" s="62"/>
      <c r="S571" s="62"/>
      <c r="T571" s="62"/>
      <c r="U571" s="62"/>
      <c r="V571" s="62"/>
      <c r="W571" s="62"/>
      <c r="X571" s="62"/>
      <c r="Y571" s="62"/>
      <c r="Z571" s="62"/>
    </row>
    <row r="572" ht="15.75" customHeight="1">
      <c r="A572" s="74"/>
      <c r="B572" s="74"/>
      <c r="C572" s="74"/>
      <c r="D572" s="74"/>
      <c r="E572" s="2"/>
      <c r="F572" s="2"/>
      <c r="G572" s="2"/>
      <c r="H572" s="127"/>
      <c r="I572" s="62"/>
      <c r="J572" s="62"/>
      <c r="K572" s="62"/>
      <c r="L572" s="62"/>
      <c r="M572" s="62"/>
      <c r="N572" s="62"/>
      <c r="O572" s="62"/>
      <c r="P572" s="62"/>
      <c r="Q572" s="62"/>
      <c r="R572" s="62"/>
      <c r="S572" s="62"/>
      <c r="T572" s="62"/>
      <c r="U572" s="62"/>
      <c r="V572" s="62"/>
      <c r="W572" s="62"/>
      <c r="X572" s="62"/>
      <c r="Y572" s="62"/>
      <c r="Z572" s="62"/>
    </row>
    <row r="573" ht="15.75" customHeight="1">
      <c r="A573" s="74"/>
      <c r="B573" s="74"/>
      <c r="C573" s="74"/>
      <c r="D573" s="74"/>
      <c r="E573" s="2"/>
      <c r="F573" s="2"/>
      <c r="G573" s="2"/>
      <c r="H573" s="127"/>
      <c r="I573" s="62"/>
      <c r="J573" s="62"/>
      <c r="K573" s="62"/>
      <c r="L573" s="62"/>
      <c r="M573" s="62"/>
      <c r="N573" s="62"/>
      <c r="O573" s="62"/>
      <c r="P573" s="62"/>
      <c r="Q573" s="62"/>
      <c r="R573" s="62"/>
      <c r="S573" s="62"/>
      <c r="T573" s="62"/>
      <c r="U573" s="62"/>
      <c r="V573" s="62"/>
      <c r="W573" s="62"/>
      <c r="X573" s="62"/>
      <c r="Y573" s="62"/>
      <c r="Z573" s="62"/>
    </row>
    <row r="574" ht="15.75" customHeight="1">
      <c r="A574" s="74"/>
      <c r="B574" s="74"/>
      <c r="C574" s="74"/>
      <c r="D574" s="74"/>
      <c r="E574" s="2"/>
      <c r="F574" s="2"/>
      <c r="G574" s="2"/>
      <c r="H574" s="127"/>
      <c r="I574" s="62"/>
      <c r="J574" s="62"/>
      <c r="K574" s="62"/>
      <c r="L574" s="62"/>
      <c r="M574" s="62"/>
      <c r="N574" s="62"/>
      <c r="O574" s="62"/>
      <c r="P574" s="62"/>
      <c r="Q574" s="62"/>
      <c r="R574" s="62"/>
      <c r="S574" s="62"/>
      <c r="T574" s="62"/>
      <c r="U574" s="62"/>
      <c r="V574" s="62"/>
      <c r="W574" s="62"/>
      <c r="X574" s="62"/>
      <c r="Y574" s="62"/>
      <c r="Z574" s="62"/>
    </row>
    <row r="575" ht="15.75" customHeight="1">
      <c r="A575" s="74"/>
      <c r="B575" s="74"/>
      <c r="C575" s="74"/>
      <c r="D575" s="74"/>
      <c r="E575" s="2"/>
      <c r="F575" s="2"/>
      <c r="G575" s="2"/>
      <c r="H575" s="127"/>
      <c r="I575" s="62"/>
      <c r="J575" s="62"/>
      <c r="K575" s="62"/>
      <c r="L575" s="62"/>
      <c r="M575" s="62"/>
      <c r="N575" s="62"/>
      <c r="O575" s="62"/>
      <c r="P575" s="62"/>
      <c r="Q575" s="62"/>
      <c r="R575" s="62"/>
      <c r="S575" s="62"/>
      <c r="T575" s="62"/>
      <c r="U575" s="62"/>
      <c r="V575" s="62"/>
      <c r="W575" s="62"/>
      <c r="X575" s="62"/>
      <c r="Y575" s="62"/>
      <c r="Z575" s="62"/>
    </row>
    <row r="576" ht="15.75" customHeight="1">
      <c r="A576" s="74"/>
      <c r="B576" s="74"/>
      <c r="C576" s="74"/>
      <c r="D576" s="74"/>
      <c r="E576" s="2"/>
      <c r="F576" s="2"/>
      <c r="G576" s="2"/>
      <c r="H576" s="127"/>
      <c r="I576" s="62"/>
      <c r="J576" s="62"/>
      <c r="K576" s="62"/>
      <c r="L576" s="62"/>
      <c r="M576" s="62"/>
      <c r="N576" s="62"/>
      <c r="O576" s="62"/>
      <c r="P576" s="62"/>
      <c r="Q576" s="62"/>
      <c r="R576" s="62"/>
      <c r="S576" s="62"/>
      <c r="T576" s="62"/>
      <c r="U576" s="62"/>
      <c r="V576" s="62"/>
      <c r="W576" s="62"/>
      <c r="X576" s="62"/>
      <c r="Y576" s="62"/>
      <c r="Z576" s="62"/>
    </row>
    <row r="577" ht="15.75" customHeight="1">
      <c r="A577" s="74"/>
      <c r="B577" s="74"/>
      <c r="C577" s="74"/>
      <c r="D577" s="74"/>
      <c r="E577" s="2"/>
      <c r="F577" s="2"/>
      <c r="G577" s="2"/>
      <c r="H577" s="127"/>
      <c r="I577" s="62"/>
      <c r="J577" s="62"/>
      <c r="K577" s="62"/>
      <c r="L577" s="62"/>
      <c r="M577" s="62"/>
      <c r="N577" s="62"/>
      <c r="O577" s="62"/>
      <c r="P577" s="62"/>
      <c r="Q577" s="62"/>
      <c r="R577" s="62"/>
      <c r="S577" s="62"/>
      <c r="T577" s="62"/>
      <c r="U577" s="62"/>
      <c r="V577" s="62"/>
      <c r="W577" s="62"/>
      <c r="X577" s="62"/>
      <c r="Y577" s="62"/>
      <c r="Z577" s="62"/>
    </row>
    <row r="578" ht="15.75" customHeight="1">
      <c r="A578" s="74"/>
      <c r="B578" s="74"/>
      <c r="C578" s="74"/>
      <c r="D578" s="74"/>
      <c r="E578" s="2"/>
      <c r="F578" s="2"/>
      <c r="G578" s="2"/>
      <c r="H578" s="127"/>
      <c r="I578" s="62"/>
      <c r="J578" s="62"/>
      <c r="K578" s="62"/>
      <c r="L578" s="62"/>
      <c r="M578" s="62"/>
      <c r="N578" s="62"/>
      <c r="O578" s="62"/>
      <c r="P578" s="62"/>
      <c r="Q578" s="62"/>
      <c r="R578" s="62"/>
      <c r="S578" s="62"/>
      <c r="T578" s="62"/>
      <c r="U578" s="62"/>
      <c r="V578" s="62"/>
      <c r="W578" s="62"/>
      <c r="X578" s="62"/>
      <c r="Y578" s="62"/>
      <c r="Z578" s="62"/>
    </row>
    <row r="579" ht="15.75" customHeight="1">
      <c r="A579" s="74"/>
      <c r="B579" s="74"/>
      <c r="C579" s="74"/>
      <c r="D579" s="74"/>
      <c r="E579" s="2"/>
      <c r="F579" s="2"/>
      <c r="G579" s="2"/>
      <c r="H579" s="127"/>
      <c r="I579" s="62"/>
      <c r="J579" s="62"/>
      <c r="K579" s="62"/>
      <c r="L579" s="62"/>
      <c r="M579" s="62"/>
      <c r="N579" s="62"/>
      <c r="O579" s="62"/>
      <c r="P579" s="62"/>
      <c r="Q579" s="62"/>
      <c r="R579" s="62"/>
      <c r="S579" s="62"/>
      <c r="T579" s="62"/>
      <c r="U579" s="62"/>
      <c r="V579" s="62"/>
      <c r="W579" s="62"/>
      <c r="X579" s="62"/>
      <c r="Y579" s="62"/>
      <c r="Z579" s="62"/>
    </row>
    <row r="580" ht="15.75" customHeight="1">
      <c r="A580" s="74"/>
      <c r="B580" s="74"/>
      <c r="C580" s="74"/>
      <c r="D580" s="74"/>
      <c r="E580" s="2"/>
      <c r="F580" s="2"/>
      <c r="G580" s="2"/>
      <c r="H580" s="127"/>
      <c r="I580" s="62"/>
      <c r="J580" s="62"/>
      <c r="K580" s="62"/>
      <c r="L580" s="62"/>
      <c r="M580" s="62"/>
      <c r="N580" s="62"/>
      <c r="O580" s="62"/>
      <c r="P580" s="62"/>
      <c r="Q580" s="62"/>
      <c r="R580" s="62"/>
      <c r="S580" s="62"/>
      <c r="T580" s="62"/>
      <c r="U580" s="62"/>
      <c r="V580" s="62"/>
      <c r="W580" s="62"/>
      <c r="X580" s="62"/>
      <c r="Y580" s="62"/>
      <c r="Z580" s="62"/>
    </row>
    <row r="581" ht="15.75" customHeight="1">
      <c r="A581" s="74"/>
      <c r="B581" s="74"/>
      <c r="C581" s="74"/>
      <c r="D581" s="74"/>
      <c r="E581" s="2"/>
      <c r="F581" s="2"/>
      <c r="G581" s="2"/>
      <c r="H581" s="127"/>
      <c r="I581" s="62"/>
      <c r="J581" s="62"/>
      <c r="K581" s="62"/>
      <c r="L581" s="62"/>
      <c r="M581" s="62"/>
      <c r="N581" s="62"/>
      <c r="O581" s="62"/>
      <c r="P581" s="62"/>
      <c r="Q581" s="62"/>
      <c r="R581" s="62"/>
      <c r="S581" s="62"/>
      <c r="T581" s="62"/>
      <c r="U581" s="62"/>
      <c r="V581" s="62"/>
      <c r="W581" s="62"/>
      <c r="X581" s="62"/>
      <c r="Y581" s="62"/>
      <c r="Z581" s="62"/>
    </row>
    <row r="582" ht="15.75" customHeight="1">
      <c r="A582" s="74"/>
      <c r="B582" s="74"/>
      <c r="C582" s="74"/>
      <c r="D582" s="74"/>
      <c r="E582" s="2"/>
      <c r="F582" s="2"/>
      <c r="G582" s="2"/>
      <c r="H582" s="127"/>
      <c r="I582" s="62"/>
      <c r="J582" s="62"/>
      <c r="K582" s="62"/>
      <c r="L582" s="62"/>
      <c r="M582" s="62"/>
      <c r="N582" s="62"/>
      <c r="O582" s="62"/>
      <c r="P582" s="62"/>
      <c r="Q582" s="62"/>
      <c r="R582" s="62"/>
      <c r="S582" s="62"/>
      <c r="T582" s="62"/>
      <c r="U582" s="62"/>
      <c r="V582" s="62"/>
      <c r="W582" s="62"/>
      <c r="X582" s="62"/>
      <c r="Y582" s="62"/>
      <c r="Z582" s="62"/>
    </row>
    <row r="583" ht="15.75" customHeight="1">
      <c r="A583" s="74"/>
      <c r="B583" s="74"/>
      <c r="C583" s="74"/>
      <c r="D583" s="74"/>
      <c r="E583" s="2"/>
      <c r="F583" s="2"/>
      <c r="G583" s="2"/>
      <c r="H583" s="127"/>
      <c r="I583" s="62"/>
      <c r="J583" s="62"/>
      <c r="K583" s="62"/>
      <c r="L583" s="62"/>
      <c r="M583" s="62"/>
      <c r="N583" s="62"/>
      <c r="O583" s="62"/>
      <c r="P583" s="62"/>
      <c r="Q583" s="62"/>
      <c r="R583" s="62"/>
      <c r="S583" s="62"/>
      <c r="T583" s="62"/>
      <c r="U583" s="62"/>
      <c r="V583" s="62"/>
      <c r="W583" s="62"/>
      <c r="X583" s="62"/>
      <c r="Y583" s="62"/>
      <c r="Z583" s="62"/>
    </row>
    <row r="584" ht="15.75" customHeight="1">
      <c r="A584" s="74"/>
      <c r="B584" s="74"/>
      <c r="C584" s="74"/>
      <c r="D584" s="74"/>
      <c r="E584" s="2"/>
      <c r="F584" s="2"/>
      <c r="G584" s="2"/>
      <c r="H584" s="127"/>
      <c r="I584" s="62"/>
      <c r="J584" s="62"/>
      <c r="K584" s="62"/>
      <c r="L584" s="62"/>
      <c r="M584" s="62"/>
      <c r="N584" s="62"/>
      <c r="O584" s="62"/>
      <c r="P584" s="62"/>
      <c r="Q584" s="62"/>
      <c r="R584" s="62"/>
      <c r="S584" s="62"/>
      <c r="T584" s="62"/>
      <c r="U584" s="62"/>
      <c r="V584" s="62"/>
      <c r="W584" s="62"/>
      <c r="X584" s="62"/>
      <c r="Y584" s="62"/>
      <c r="Z584" s="62"/>
    </row>
    <row r="585" ht="15.75" customHeight="1">
      <c r="A585" s="74"/>
      <c r="B585" s="74"/>
      <c r="C585" s="74"/>
      <c r="D585" s="74"/>
      <c r="E585" s="2"/>
      <c r="F585" s="2"/>
      <c r="G585" s="2"/>
      <c r="H585" s="127"/>
      <c r="I585" s="62"/>
      <c r="J585" s="62"/>
      <c r="K585" s="62"/>
      <c r="L585" s="62"/>
      <c r="M585" s="62"/>
      <c r="N585" s="62"/>
      <c r="O585" s="62"/>
      <c r="P585" s="62"/>
      <c r="Q585" s="62"/>
      <c r="R585" s="62"/>
      <c r="S585" s="62"/>
      <c r="T585" s="62"/>
      <c r="U585" s="62"/>
      <c r="V585" s="62"/>
      <c r="W585" s="62"/>
      <c r="X585" s="62"/>
      <c r="Y585" s="62"/>
      <c r="Z585" s="62"/>
    </row>
    <row r="586" ht="15.75" customHeight="1">
      <c r="A586" s="74"/>
      <c r="B586" s="74"/>
      <c r="C586" s="74"/>
      <c r="D586" s="74"/>
      <c r="E586" s="2"/>
      <c r="F586" s="2"/>
      <c r="G586" s="2"/>
      <c r="H586" s="127"/>
      <c r="I586" s="62"/>
      <c r="J586" s="62"/>
      <c r="K586" s="62"/>
      <c r="L586" s="62"/>
      <c r="M586" s="62"/>
      <c r="N586" s="62"/>
      <c r="O586" s="62"/>
      <c r="P586" s="62"/>
      <c r="Q586" s="62"/>
      <c r="R586" s="62"/>
      <c r="S586" s="62"/>
      <c r="T586" s="62"/>
      <c r="U586" s="62"/>
      <c r="V586" s="62"/>
      <c r="W586" s="62"/>
      <c r="X586" s="62"/>
      <c r="Y586" s="62"/>
      <c r="Z586" s="62"/>
    </row>
    <row r="587" ht="15.75" customHeight="1">
      <c r="A587" s="74"/>
      <c r="B587" s="74"/>
      <c r="C587" s="74"/>
      <c r="D587" s="74"/>
      <c r="E587" s="2"/>
      <c r="F587" s="2"/>
      <c r="G587" s="2"/>
      <c r="H587" s="127"/>
      <c r="I587" s="62"/>
      <c r="J587" s="62"/>
      <c r="K587" s="62"/>
      <c r="L587" s="62"/>
      <c r="M587" s="62"/>
      <c r="N587" s="62"/>
      <c r="O587" s="62"/>
      <c r="P587" s="62"/>
      <c r="Q587" s="62"/>
      <c r="R587" s="62"/>
      <c r="S587" s="62"/>
      <c r="T587" s="62"/>
      <c r="U587" s="62"/>
      <c r="V587" s="62"/>
      <c r="W587" s="62"/>
      <c r="X587" s="62"/>
      <c r="Y587" s="62"/>
      <c r="Z587" s="62"/>
    </row>
    <row r="588" ht="15.75" customHeight="1">
      <c r="A588" s="74"/>
      <c r="B588" s="74"/>
      <c r="C588" s="74"/>
      <c r="D588" s="74"/>
      <c r="E588" s="2"/>
      <c r="F588" s="2"/>
      <c r="G588" s="2"/>
      <c r="H588" s="127"/>
      <c r="I588" s="62"/>
      <c r="J588" s="62"/>
      <c r="K588" s="62"/>
      <c r="L588" s="62"/>
      <c r="M588" s="62"/>
      <c r="N588" s="62"/>
      <c r="O588" s="62"/>
      <c r="P588" s="62"/>
      <c r="Q588" s="62"/>
      <c r="R588" s="62"/>
      <c r="S588" s="62"/>
      <c r="T588" s="62"/>
      <c r="U588" s="62"/>
      <c r="V588" s="62"/>
      <c r="W588" s="62"/>
      <c r="X588" s="62"/>
      <c r="Y588" s="62"/>
      <c r="Z588" s="62"/>
    </row>
    <row r="589" ht="15.75" customHeight="1">
      <c r="A589" s="74"/>
      <c r="B589" s="74"/>
      <c r="C589" s="74"/>
      <c r="D589" s="74"/>
      <c r="E589" s="2"/>
      <c r="F589" s="2"/>
      <c r="G589" s="2"/>
      <c r="H589" s="127"/>
      <c r="I589" s="62"/>
      <c r="J589" s="62"/>
      <c r="K589" s="62"/>
      <c r="L589" s="62"/>
      <c r="M589" s="62"/>
      <c r="N589" s="62"/>
      <c r="O589" s="62"/>
      <c r="P589" s="62"/>
      <c r="Q589" s="62"/>
      <c r="R589" s="62"/>
      <c r="S589" s="62"/>
      <c r="T589" s="62"/>
      <c r="U589" s="62"/>
      <c r="V589" s="62"/>
      <c r="W589" s="62"/>
      <c r="X589" s="62"/>
      <c r="Y589" s="62"/>
      <c r="Z589" s="62"/>
    </row>
    <row r="590" ht="15.75" customHeight="1">
      <c r="A590" s="74"/>
      <c r="B590" s="74"/>
      <c r="C590" s="74"/>
      <c r="D590" s="74"/>
      <c r="E590" s="2"/>
      <c r="F590" s="2"/>
      <c r="G590" s="2"/>
      <c r="H590" s="127"/>
      <c r="I590" s="62"/>
      <c r="J590" s="62"/>
      <c r="K590" s="62"/>
      <c r="L590" s="62"/>
      <c r="M590" s="62"/>
      <c r="N590" s="62"/>
      <c r="O590" s="62"/>
      <c r="P590" s="62"/>
      <c r="Q590" s="62"/>
      <c r="R590" s="62"/>
      <c r="S590" s="62"/>
      <c r="T590" s="62"/>
      <c r="U590" s="62"/>
      <c r="V590" s="62"/>
      <c r="W590" s="62"/>
      <c r="X590" s="62"/>
      <c r="Y590" s="62"/>
      <c r="Z590" s="62"/>
    </row>
    <row r="591" ht="15.75" customHeight="1">
      <c r="A591" s="74"/>
      <c r="B591" s="74"/>
      <c r="C591" s="74"/>
      <c r="D591" s="74"/>
      <c r="E591" s="2"/>
      <c r="F591" s="2"/>
      <c r="G591" s="2"/>
      <c r="H591" s="127"/>
      <c r="I591" s="62"/>
      <c r="J591" s="62"/>
      <c r="K591" s="62"/>
      <c r="L591" s="62"/>
      <c r="M591" s="62"/>
      <c r="N591" s="62"/>
      <c r="O591" s="62"/>
      <c r="P591" s="62"/>
      <c r="Q591" s="62"/>
      <c r="R591" s="62"/>
      <c r="S591" s="62"/>
      <c r="T591" s="62"/>
      <c r="U591" s="62"/>
      <c r="V591" s="62"/>
      <c r="W591" s="62"/>
      <c r="X591" s="62"/>
      <c r="Y591" s="62"/>
      <c r="Z591" s="62"/>
    </row>
    <row r="592" ht="15.75" customHeight="1">
      <c r="A592" s="74"/>
      <c r="B592" s="74"/>
      <c r="C592" s="74"/>
      <c r="D592" s="74"/>
      <c r="E592" s="2"/>
      <c r="F592" s="2"/>
      <c r="G592" s="2"/>
      <c r="H592" s="127"/>
      <c r="I592" s="62"/>
      <c r="J592" s="62"/>
      <c r="K592" s="62"/>
      <c r="L592" s="62"/>
      <c r="M592" s="62"/>
      <c r="N592" s="62"/>
      <c r="O592" s="62"/>
      <c r="P592" s="62"/>
      <c r="Q592" s="62"/>
      <c r="R592" s="62"/>
      <c r="S592" s="62"/>
      <c r="T592" s="62"/>
      <c r="U592" s="62"/>
      <c r="V592" s="62"/>
      <c r="W592" s="62"/>
      <c r="X592" s="62"/>
      <c r="Y592" s="62"/>
      <c r="Z592" s="62"/>
    </row>
    <row r="593" ht="15.75" customHeight="1">
      <c r="A593" s="74"/>
      <c r="B593" s="74"/>
      <c r="C593" s="74"/>
      <c r="D593" s="74"/>
      <c r="E593" s="2"/>
      <c r="F593" s="2"/>
      <c r="G593" s="2"/>
      <c r="H593" s="127"/>
      <c r="I593" s="62"/>
      <c r="J593" s="62"/>
      <c r="K593" s="62"/>
      <c r="L593" s="62"/>
      <c r="M593" s="62"/>
      <c r="N593" s="62"/>
      <c r="O593" s="62"/>
      <c r="P593" s="62"/>
      <c r="Q593" s="62"/>
      <c r="R593" s="62"/>
      <c r="S593" s="62"/>
      <c r="T593" s="62"/>
      <c r="U593" s="62"/>
      <c r="V593" s="62"/>
      <c r="W593" s="62"/>
      <c r="X593" s="62"/>
      <c r="Y593" s="62"/>
      <c r="Z593" s="62"/>
    </row>
    <row r="594" ht="15.75" customHeight="1">
      <c r="A594" s="74"/>
      <c r="B594" s="74"/>
      <c r="C594" s="74"/>
      <c r="D594" s="74"/>
      <c r="E594" s="2"/>
      <c r="F594" s="2"/>
      <c r="G594" s="2"/>
      <c r="H594" s="127"/>
      <c r="I594" s="62"/>
      <c r="J594" s="62"/>
      <c r="K594" s="62"/>
      <c r="L594" s="62"/>
      <c r="M594" s="62"/>
      <c r="N594" s="62"/>
      <c r="O594" s="62"/>
      <c r="P594" s="62"/>
      <c r="Q594" s="62"/>
      <c r="R594" s="62"/>
      <c r="S594" s="62"/>
      <c r="T594" s="62"/>
      <c r="U594" s="62"/>
      <c r="V594" s="62"/>
      <c r="W594" s="62"/>
      <c r="X594" s="62"/>
      <c r="Y594" s="62"/>
      <c r="Z594" s="62"/>
    </row>
    <row r="595" ht="15.75" customHeight="1">
      <c r="A595" s="74"/>
      <c r="B595" s="74"/>
      <c r="C595" s="74"/>
      <c r="D595" s="74"/>
      <c r="E595" s="2"/>
      <c r="F595" s="2"/>
      <c r="G595" s="2"/>
      <c r="H595" s="127"/>
      <c r="I595" s="62"/>
      <c r="J595" s="62"/>
      <c r="K595" s="62"/>
      <c r="L595" s="62"/>
      <c r="M595" s="62"/>
      <c r="N595" s="62"/>
      <c r="O595" s="62"/>
      <c r="P595" s="62"/>
      <c r="Q595" s="62"/>
      <c r="R595" s="62"/>
      <c r="S595" s="62"/>
      <c r="T595" s="62"/>
      <c r="U595" s="62"/>
      <c r="V595" s="62"/>
      <c r="W595" s="62"/>
      <c r="X595" s="62"/>
      <c r="Y595" s="62"/>
      <c r="Z595" s="62"/>
    </row>
    <row r="596" ht="15.75" customHeight="1">
      <c r="A596" s="74"/>
      <c r="B596" s="74"/>
      <c r="C596" s="74"/>
      <c r="D596" s="74"/>
      <c r="E596" s="2"/>
      <c r="F596" s="2"/>
      <c r="G596" s="2"/>
      <c r="H596" s="127"/>
      <c r="I596" s="62"/>
      <c r="J596" s="62"/>
      <c r="K596" s="62"/>
      <c r="L596" s="62"/>
      <c r="M596" s="62"/>
      <c r="N596" s="62"/>
      <c r="O596" s="62"/>
      <c r="P596" s="62"/>
      <c r="Q596" s="62"/>
      <c r="R596" s="62"/>
      <c r="S596" s="62"/>
      <c r="T596" s="62"/>
      <c r="U596" s="62"/>
      <c r="V596" s="62"/>
      <c r="W596" s="62"/>
      <c r="X596" s="62"/>
      <c r="Y596" s="62"/>
      <c r="Z596" s="62"/>
    </row>
    <row r="597" ht="15.75" customHeight="1">
      <c r="A597" s="74"/>
      <c r="B597" s="74"/>
      <c r="C597" s="74"/>
      <c r="D597" s="74"/>
      <c r="E597" s="2"/>
      <c r="F597" s="2"/>
      <c r="G597" s="2"/>
      <c r="H597" s="127"/>
      <c r="I597" s="62"/>
      <c r="J597" s="62"/>
      <c r="K597" s="62"/>
      <c r="L597" s="62"/>
      <c r="M597" s="62"/>
      <c r="N597" s="62"/>
      <c r="O597" s="62"/>
      <c r="P597" s="62"/>
      <c r="Q597" s="62"/>
      <c r="R597" s="62"/>
      <c r="S597" s="62"/>
      <c r="T597" s="62"/>
      <c r="U597" s="62"/>
      <c r="V597" s="62"/>
      <c r="W597" s="62"/>
      <c r="X597" s="62"/>
      <c r="Y597" s="62"/>
      <c r="Z597" s="62"/>
    </row>
    <row r="598" ht="15.75" customHeight="1">
      <c r="A598" s="74"/>
      <c r="B598" s="74"/>
      <c r="C598" s="74"/>
      <c r="D598" s="74"/>
      <c r="E598" s="2"/>
      <c r="F598" s="2"/>
      <c r="G598" s="2"/>
      <c r="H598" s="127"/>
      <c r="I598" s="62"/>
      <c r="J598" s="62"/>
      <c r="K598" s="62"/>
      <c r="L598" s="62"/>
      <c r="M598" s="62"/>
      <c r="N598" s="62"/>
      <c r="O598" s="62"/>
      <c r="P598" s="62"/>
      <c r="Q598" s="62"/>
      <c r="R598" s="62"/>
      <c r="S598" s="62"/>
      <c r="T598" s="62"/>
      <c r="U598" s="62"/>
      <c r="V598" s="62"/>
      <c r="W598" s="62"/>
      <c r="X598" s="62"/>
      <c r="Y598" s="62"/>
      <c r="Z598" s="62"/>
    </row>
    <row r="599" ht="15.75" customHeight="1">
      <c r="A599" s="74"/>
      <c r="B599" s="74"/>
      <c r="C599" s="74"/>
      <c r="D599" s="74"/>
      <c r="E599" s="2"/>
      <c r="F599" s="2"/>
      <c r="G599" s="2"/>
      <c r="H599" s="127"/>
      <c r="I599" s="62"/>
      <c r="J599" s="62"/>
      <c r="K599" s="62"/>
      <c r="L599" s="62"/>
      <c r="M599" s="62"/>
      <c r="N599" s="62"/>
      <c r="O599" s="62"/>
      <c r="P599" s="62"/>
      <c r="Q599" s="62"/>
      <c r="R599" s="62"/>
      <c r="S599" s="62"/>
      <c r="T599" s="62"/>
      <c r="U599" s="62"/>
      <c r="V599" s="62"/>
      <c r="W599" s="62"/>
      <c r="X599" s="62"/>
      <c r="Y599" s="62"/>
      <c r="Z599" s="62"/>
    </row>
    <row r="600" ht="15.75" customHeight="1">
      <c r="A600" s="74"/>
      <c r="B600" s="74"/>
      <c r="C600" s="74"/>
      <c r="D600" s="74"/>
      <c r="E600" s="2"/>
      <c r="F600" s="2"/>
      <c r="G600" s="2"/>
      <c r="H600" s="127"/>
      <c r="I600" s="62"/>
      <c r="J600" s="62"/>
      <c r="K600" s="62"/>
      <c r="L600" s="62"/>
      <c r="M600" s="62"/>
      <c r="N600" s="62"/>
      <c r="O600" s="62"/>
      <c r="P600" s="62"/>
      <c r="Q600" s="62"/>
      <c r="R600" s="62"/>
      <c r="S600" s="62"/>
      <c r="T600" s="62"/>
      <c r="U600" s="62"/>
      <c r="V600" s="62"/>
      <c r="W600" s="62"/>
      <c r="X600" s="62"/>
      <c r="Y600" s="62"/>
      <c r="Z600" s="62"/>
    </row>
    <row r="601" ht="15.75" customHeight="1">
      <c r="A601" s="74"/>
      <c r="B601" s="74"/>
      <c r="C601" s="74"/>
      <c r="D601" s="74"/>
      <c r="E601" s="2"/>
      <c r="F601" s="2"/>
      <c r="G601" s="2"/>
      <c r="H601" s="127"/>
      <c r="I601" s="62"/>
      <c r="J601" s="62"/>
      <c r="K601" s="62"/>
      <c r="L601" s="62"/>
      <c r="M601" s="62"/>
      <c r="N601" s="62"/>
      <c r="O601" s="62"/>
      <c r="P601" s="62"/>
      <c r="Q601" s="62"/>
      <c r="R601" s="62"/>
      <c r="S601" s="62"/>
      <c r="T601" s="62"/>
      <c r="U601" s="62"/>
      <c r="V601" s="62"/>
      <c r="W601" s="62"/>
      <c r="X601" s="62"/>
      <c r="Y601" s="62"/>
      <c r="Z601" s="62"/>
    </row>
    <row r="602" ht="15.75" customHeight="1">
      <c r="A602" s="74"/>
      <c r="B602" s="74"/>
      <c r="C602" s="74"/>
      <c r="D602" s="74"/>
      <c r="E602" s="2"/>
      <c r="F602" s="2"/>
      <c r="G602" s="2"/>
      <c r="H602" s="127"/>
      <c r="I602" s="62"/>
      <c r="J602" s="62"/>
      <c r="K602" s="62"/>
      <c r="L602" s="62"/>
      <c r="M602" s="62"/>
      <c r="N602" s="62"/>
      <c r="O602" s="62"/>
      <c r="P602" s="62"/>
      <c r="Q602" s="62"/>
      <c r="R602" s="62"/>
      <c r="S602" s="62"/>
      <c r="T602" s="62"/>
      <c r="U602" s="62"/>
      <c r="V602" s="62"/>
      <c r="W602" s="62"/>
      <c r="X602" s="62"/>
      <c r="Y602" s="62"/>
      <c r="Z602" s="62"/>
    </row>
    <row r="603" ht="15.75" customHeight="1">
      <c r="A603" s="74"/>
      <c r="B603" s="74"/>
      <c r="C603" s="74"/>
      <c r="D603" s="74"/>
      <c r="E603" s="2"/>
      <c r="F603" s="2"/>
      <c r="G603" s="2"/>
      <c r="H603" s="127"/>
      <c r="I603" s="62"/>
      <c r="J603" s="62"/>
      <c r="K603" s="62"/>
      <c r="L603" s="62"/>
      <c r="M603" s="62"/>
      <c r="N603" s="62"/>
      <c r="O603" s="62"/>
      <c r="P603" s="62"/>
      <c r="Q603" s="62"/>
      <c r="R603" s="62"/>
      <c r="S603" s="62"/>
      <c r="T603" s="62"/>
      <c r="U603" s="62"/>
      <c r="V603" s="62"/>
      <c r="W603" s="62"/>
      <c r="X603" s="62"/>
      <c r="Y603" s="62"/>
      <c r="Z603" s="62"/>
    </row>
    <row r="604" ht="15.75" customHeight="1">
      <c r="A604" s="74"/>
      <c r="B604" s="74"/>
      <c r="C604" s="74"/>
      <c r="D604" s="74"/>
      <c r="E604" s="2"/>
      <c r="F604" s="2"/>
      <c r="G604" s="2"/>
      <c r="H604" s="127"/>
      <c r="I604" s="62"/>
      <c r="J604" s="62"/>
      <c r="K604" s="62"/>
      <c r="L604" s="62"/>
      <c r="M604" s="62"/>
      <c r="N604" s="62"/>
      <c r="O604" s="62"/>
      <c r="P604" s="62"/>
      <c r="Q604" s="62"/>
      <c r="R604" s="62"/>
      <c r="S604" s="62"/>
      <c r="T604" s="62"/>
      <c r="U604" s="62"/>
      <c r="V604" s="62"/>
      <c r="W604" s="62"/>
      <c r="X604" s="62"/>
      <c r="Y604" s="62"/>
      <c r="Z604" s="62"/>
    </row>
    <row r="605" ht="15.75" customHeight="1">
      <c r="A605" s="74"/>
      <c r="B605" s="74"/>
      <c r="C605" s="74"/>
      <c r="D605" s="74"/>
      <c r="E605" s="2"/>
      <c r="F605" s="2"/>
      <c r="G605" s="2"/>
      <c r="H605" s="127"/>
      <c r="I605" s="62"/>
      <c r="J605" s="62"/>
      <c r="K605" s="62"/>
      <c r="L605" s="62"/>
      <c r="M605" s="62"/>
      <c r="N605" s="62"/>
      <c r="O605" s="62"/>
      <c r="P605" s="62"/>
      <c r="Q605" s="62"/>
      <c r="R605" s="62"/>
      <c r="S605" s="62"/>
      <c r="T605" s="62"/>
      <c r="U605" s="62"/>
      <c r="V605" s="62"/>
      <c r="W605" s="62"/>
      <c r="X605" s="62"/>
      <c r="Y605" s="62"/>
      <c r="Z605" s="62"/>
    </row>
    <row r="606" ht="15.75" customHeight="1">
      <c r="A606" s="74"/>
      <c r="B606" s="74"/>
      <c r="C606" s="74"/>
      <c r="D606" s="74"/>
      <c r="E606" s="2"/>
      <c r="F606" s="2"/>
      <c r="G606" s="2"/>
      <c r="H606" s="127"/>
      <c r="I606" s="62"/>
      <c r="J606" s="62"/>
      <c r="K606" s="62"/>
      <c r="L606" s="62"/>
      <c r="M606" s="62"/>
      <c r="N606" s="62"/>
      <c r="O606" s="62"/>
      <c r="P606" s="62"/>
      <c r="Q606" s="62"/>
      <c r="R606" s="62"/>
      <c r="S606" s="62"/>
      <c r="T606" s="62"/>
      <c r="U606" s="62"/>
      <c r="V606" s="62"/>
      <c r="W606" s="62"/>
      <c r="X606" s="62"/>
      <c r="Y606" s="62"/>
      <c r="Z606" s="62"/>
    </row>
    <row r="607" ht="15.75" customHeight="1">
      <c r="A607" s="74"/>
      <c r="B607" s="74"/>
      <c r="C607" s="74"/>
      <c r="D607" s="74"/>
      <c r="E607" s="2"/>
      <c r="F607" s="2"/>
      <c r="G607" s="2"/>
      <c r="H607" s="127"/>
      <c r="I607" s="62"/>
      <c r="J607" s="62"/>
      <c r="K607" s="62"/>
      <c r="L607" s="62"/>
      <c r="M607" s="62"/>
      <c r="N607" s="62"/>
      <c r="O607" s="62"/>
      <c r="P607" s="62"/>
      <c r="Q607" s="62"/>
      <c r="R607" s="62"/>
      <c r="S607" s="62"/>
      <c r="T607" s="62"/>
      <c r="U607" s="62"/>
      <c r="V607" s="62"/>
      <c r="W607" s="62"/>
      <c r="X607" s="62"/>
      <c r="Y607" s="62"/>
      <c r="Z607" s="62"/>
    </row>
    <row r="608" ht="15.75" customHeight="1">
      <c r="A608" s="74"/>
      <c r="B608" s="74"/>
      <c r="C608" s="74"/>
      <c r="D608" s="74"/>
      <c r="E608" s="2"/>
      <c r="F608" s="2"/>
      <c r="G608" s="2"/>
      <c r="H608" s="127"/>
      <c r="I608" s="62"/>
      <c r="J608" s="62"/>
      <c r="K608" s="62"/>
      <c r="L608" s="62"/>
      <c r="M608" s="62"/>
      <c r="N608" s="62"/>
      <c r="O608" s="62"/>
      <c r="P608" s="62"/>
      <c r="Q608" s="62"/>
      <c r="R608" s="62"/>
      <c r="S608" s="62"/>
      <c r="T608" s="62"/>
      <c r="U608" s="62"/>
      <c r="V608" s="62"/>
      <c r="W608" s="62"/>
      <c r="X608" s="62"/>
      <c r="Y608" s="62"/>
      <c r="Z608" s="62"/>
    </row>
    <row r="609" ht="15.75" customHeight="1">
      <c r="A609" s="74"/>
      <c r="B609" s="74"/>
      <c r="C609" s="74"/>
      <c r="D609" s="74"/>
      <c r="E609" s="2"/>
      <c r="F609" s="2"/>
      <c r="G609" s="2"/>
      <c r="H609" s="127"/>
      <c r="I609" s="62"/>
      <c r="J609" s="62"/>
      <c r="K609" s="62"/>
      <c r="L609" s="62"/>
      <c r="M609" s="62"/>
      <c r="N609" s="62"/>
      <c r="O609" s="62"/>
      <c r="P609" s="62"/>
      <c r="Q609" s="62"/>
      <c r="R609" s="62"/>
      <c r="S609" s="62"/>
      <c r="T609" s="62"/>
      <c r="U609" s="62"/>
      <c r="V609" s="62"/>
      <c r="W609" s="62"/>
      <c r="X609" s="62"/>
      <c r="Y609" s="62"/>
      <c r="Z609" s="62"/>
    </row>
    <row r="610" ht="15.75" customHeight="1">
      <c r="A610" s="74"/>
      <c r="B610" s="74"/>
      <c r="C610" s="74"/>
      <c r="D610" s="74"/>
      <c r="E610" s="2"/>
      <c r="F610" s="2"/>
      <c r="G610" s="2"/>
      <c r="H610" s="127"/>
      <c r="I610" s="62"/>
      <c r="J610" s="62"/>
      <c r="K610" s="62"/>
      <c r="L610" s="62"/>
      <c r="M610" s="62"/>
      <c r="N610" s="62"/>
      <c r="O610" s="62"/>
      <c r="P610" s="62"/>
      <c r="Q610" s="62"/>
      <c r="R610" s="62"/>
      <c r="S610" s="62"/>
      <c r="T610" s="62"/>
      <c r="U610" s="62"/>
      <c r="V610" s="62"/>
      <c r="W610" s="62"/>
      <c r="X610" s="62"/>
      <c r="Y610" s="62"/>
      <c r="Z610" s="62"/>
    </row>
    <row r="611" ht="15.75" customHeight="1">
      <c r="A611" s="74"/>
      <c r="B611" s="74"/>
      <c r="C611" s="74"/>
      <c r="D611" s="74"/>
      <c r="E611" s="2"/>
      <c r="F611" s="2"/>
      <c r="G611" s="2"/>
      <c r="H611" s="127"/>
      <c r="I611" s="62"/>
      <c r="J611" s="62"/>
      <c r="K611" s="62"/>
      <c r="L611" s="62"/>
      <c r="M611" s="62"/>
      <c r="N611" s="62"/>
      <c r="O611" s="62"/>
      <c r="P611" s="62"/>
      <c r="Q611" s="62"/>
      <c r="R611" s="62"/>
      <c r="S611" s="62"/>
      <c r="T611" s="62"/>
      <c r="U611" s="62"/>
      <c r="V611" s="62"/>
      <c r="W611" s="62"/>
      <c r="X611" s="62"/>
      <c r="Y611" s="62"/>
      <c r="Z611" s="62"/>
    </row>
    <row r="612" ht="15.75" customHeight="1">
      <c r="A612" s="74"/>
      <c r="B612" s="74"/>
      <c r="C612" s="74"/>
      <c r="D612" s="74"/>
      <c r="E612" s="2"/>
      <c r="F612" s="2"/>
      <c r="G612" s="2"/>
      <c r="H612" s="127"/>
      <c r="I612" s="62"/>
      <c r="J612" s="62"/>
      <c r="K612" s="62"/>
      <c r="L612" s="62"/>
      <c r="M612" s="62"/>
      <c r="N612" s="62"/>
      <c r="O612" s="62"/>
      <c r="P612" s="62"/>
      <c r="Q612" s="62"/>
      <c r="R612" s="62"/>
      <c r="S612" s="62"/>
      <c r="T612" s="62"/>
      <c r="U612" s="62"/>
      <c r="V612" s="62"/>
      <c r="W612" s="62"/>
      <c r="X612" s="62"/>
      <c r="Y612" s="62"/>
      <c r="Z612" s="62"/>
    </row>
    <row r="613" ht="15.75" customHeight="1">
      <c r="A613" s="74"/>
      <c r="B613" s="74"/>
      <c r="C613" s="74"/>
      <c r="D613" s="74"/>
      <c r="E613" s="2"/>
      <c r="F613" s="2"/>
      <c r="G613" s="2"/>
      <c r="H613" s="127"/>
      <c r="I613" s="62"/>
      <c r="J613" s="62"/>
      <c r="K613" s="62"/>
      <c r="L613" s="62"/>
      <c r="M613" s="62"/>
      <c r="N613" s="62"/>
      <c r="O613" s="62"/>
      <c r="P613" s="62"/>
      <c r="Q613" s="62"/>
      <c r="R613" s="62"/>
      <c r="S613" s="62"/>
      <c r="T613" s="62"/>
      <c r="U613" s="62"/>
      <c r="V613" s="62"/>
      <c r="W613" s="62"/>
      <c r="X613" s="62"/>
      <c r="Y613" s="62"/>
      <c r="Z613" s="62"/>
    </row>
    <row r="614" ht="15.75" customHeight="1">
      <c r="A614" s="74"/>
      <c r="B614" s="74"/>
      <c r="C614" s="74"/>
      <c r="D614" s="74"/>
      <c r="E614" s="2"/>
      <c r="F614" s="2"/>
      <c r="G614" s="2"/>
      <c r="H614" s="127"/>
      <c r="I614" s="62"/>
      <c r="J614" s="62"/>
      <c r="K614" s="62"/>
      <c r="L614" s="62"/>
      <c r="M614" s="62"/>
      <c r="N614" s="62"/>
      <c r="O614" s="62"/>
      <c r="P614" s="62"/>
      <c r="Q614" s="62"/>
      <c r="R614" s="62"/>
      <c r="S614" s="62"/>
      <c r="T614" s="62"/>
      <c r="U614" s="62"/>
      <c r="V614" s="62"/>
      <c r="W614" s="62"/>
      <c r="X614" s="62"/>
      <c r="Y614" s="62"/>
      <c r="Z614" s="62"/>
    </row>
    <row r="615" ht="15.75" customHeight="1">
      <c r="A615" s="74"/>
      <c r="B615" s="74"/>
      <c r="C615" s="74"/>
      <c r="D615" s="74"/>
      <c r="E615" s="2"/>
      <c r="F615" s="2"/>
      <c r="G615" s="2"/>
      <c r="H615" s="127"/>
      <c r="I615" s="62"/>
      <c r="J615" s="62"/>
      <c r="K615" s="62"/>
      <c r="L615" s="62"/>
      <c r="M615" s="62"/>
      <c r="N615" s="62"/>
      <c r="O615" s="62"/>
      <c r="P615" s="62"/>
      <c r="Q615" s="62"/>
      <c r="R615" s="62"/>
      <c r="S615" s="62"/>
      <c r="T615" s="62"/>
      <c r="U615" s="62"/>
      <c r="V615" s="62"/>
      <c r="W615" s="62"/>
      <c r="X615" s="62"/>
      <c r="Y615" s="62"/>
      <c r="Z615" s="62"/>
    </row>
    <row r="616" ht="15.75" customHeight="1">
      <c r="A616" s="74"/>
      <c r="B616" s="74"/>
      <c r="C616" s="74"/>
      <c r="D616" s="74"/>
      <c r="E616" s="2"/>
      <c r="F616" s="2"/>
      <c r="G616" s="2"/>
      <c r="H616" s="127"/>
      <c r="I616" s="62"/>
      <c r="J616" s="62"/>
      <c r="K616" s="62"/>
      <c r="L616" s="62"/>
      <c r="M616" s="62"/>
      <c r="N616" s="62"/>
      <c r="O616" s="62"/>
      <c r="P616" s="62"/>
      <c r="Q616" s="62"/>
      <c r="R616" s="62"/>
      <c r="S616" s="62"/>
      <c r="T616" s="62"/>
      <c r="U616" s="62"/>
      <c r="V616" s="62"/>
      <c r="W616" s="62"/>
      <c r="X616" s="62"/>
      <c r="Y616" s="62"/>
      <c r="Z616" s="62"/>
    </row>
    <row r="617" ht="15.75" customHeight="1">
      <c r="A617" s="74"/>
      <c r="B617" s="74"/>
      <c r="C617" s="74"/>
      <c r="D617" s="74"/>
      <c r="E617" s="2"/>
      <c r="F617" s="2"/>
      <c r="G617" s="2"/>
      <c r="H617" s="127"/>
      <c r="I617" s="62"/>
      <c r="J617" s="62"/>
      <c r="K617" s="62"/>
      <c r="L617" s="62"/>
      <c r="M617" s="62"/>
      <c r="N617" s="62"/>
      <c r="O617" s="62"/>
      <c r="P617" s="62"/>
      <c r="Q617" s="62"/>
      <c r="R617" s="62"/>
      <c r="S617" s="62"/>
      <c r="T617" s="62"/>
      <c r="U617" s="62"/>
      <c r="V617" s="62"/>
      <c r="W617" s="62"/>
      <c r="X617" s="62"/>
      <c r="Y617" s="62"/>
      <c r="Z617" s="62"/>
    </row>
    <row r="618" ht="15.75" customHeight="1">
      <c r="A618" s="74"/>
      <c r="B618" s="74"/>
      <c r="C618" s="74"/>
      <c r="D618" s="74"/>
      <c r="E618" s="2"/>
      <c r="F618" s="2"/>
      <c r="G618" s="2"/>
      <c r="H618" s="127"/>
      <c r="I618" s="62"/>
      <c r="J618" s="62"/>
      <c r="K618" s="62"/>
      <c r="L618" s="62"/>
      <c r="M618" s="62"/>
      <c r="N618" s="62"/>
      <c r="O618" s="62"/>
      <c r="P618" s="62"/>
      <c r="Q618" s="62"/>
      <c r="R618" s="62"/>
      <c r="S618" s="62"/>
      <c r="T618" s="62"/>
      <c r="U618" s="62"/>
      <c r="V618" s="62"/>
      <c r="W618" s="62"/>
      <c r="X618" s="62"/>
      <c r="Y618" s="62"/>
      <c r="Z618" s="62"/>
    </row>
    <row r="619" ht="15.75" customHeight="1">
      <c r="A619" s="74"/>
      <c r="B619" s="74"/>
      <c r="C619" s="74"/>
      <c r="D619" s="74"/>
      <c r="E619" s="2"/>
      <c r="F619" s="2"/>
      <c r="G619" s="2"/>
      <c r="H619" s="127"/>
      <c r="I619" s="62"/>
      <c r="J619" s="62"/>
      <c r="K619" s="62"/>
      <c r="L619" s="62"/>
      <c r="M619" s="62"/>
      <c r="N619" s="62"/>
      <c r="O619" s="62"/>
      <c r="P619" s="62"/>
      <c r="Q619" s="62"/>
      <c r="R619" s="62"/>
      <c r="S619" s="62"/>
      <c r="T619" s="62"/>
      <c r="U619" s="62"/>
      <c r="V619" s="62"/>
      <c r="W619" s="62"/>
      <c r="X619" s="62"/>
      <c r="Y619" s="62"/>
      <c r="Z619" s="62"/>
    </row>
    <row r="620" ht="15.75" customHeight="1">
      <c r="A620" s="74"/>
      <c r="B620" s="74"/>
      <c r="C620" s="74"/>
      <c r="D620" s="74"/>
      <c r="E620" s="2"/>
      <c r="F620" s="2"/>
      <c r="G620" s="2"/>
      <c r="H620" s="127"/>
      <c r="I620" s="62"/>
      <c r="J620" s="62"/>
      <c r="K620" s="62"/>
      <c r="L620" s="62"/>
      <c r="M620" s="62"/>
      <c r="N620" s="62"/>
      <c r="O620" s="62"/>
      <c r="P620" s="62"/>
      <c r="Q620" s="62"/>
      <c r="R620" s="62"/>
      <c r="S620" s="62"/>
      <c r="T620" s="62"/>
      <c r="U620" s="62"/>
      <c r="V620" s="62"/>
      <c r="W620" s="62"/>
      <c r="X620" s="62"/>
      <c r="Y620" s="62"/>
      <c r="Z620" s="62"/>
    </row>
    <row r="621" ht="15.75" customHeight="1">
      <c r="A621" s="74"/>
      <c r="B621" s="74"/>
      <c r="C621" s="74"/>
      <c r="D621" s="74"/>
      <c r="E621" s="2"/>
      <c r="F621" s="2"/>
      <c r="G621" s="2"/>
      <c r="H621" s="127"/>
      <c r="I621" s="62"/>
      <c r="J621" s="62"/>
      <c r="K621" s="62"/>
      <c r="L621" s="62"/>
      <c r="M621" s="62"/>
      <c r="N621" s="62"/>
      <c r="O621" s="62"/>
      <c r="P621" s="62"/>
      <c r="Q621" s="62"/>
      <c r="R621" s="62"/>
      <c r="S621" s="62"/>
      <c r="T621" s="62"/>
      <c r="U621" s="62"/>
      <c r="V621" s="62"/>
      <c r="W621" s="62"/>
      <c r="X621" s="62"/>
      <c r="Y621" s="62"/>
      <c r="Z621" s="62"/>
    </row>
    <row r="622" ht="15.75" customHeight="1">
      <c r="A622" s="74"/>
      <c r="B622" s="74"/>
      <c r="C622" s="74"/>
      <c r="D622" s="74"/>
      <c r="E622" s="2"/>
      <c r="F622" s="2"/>
      <c r="G622" s="2"/>
      <c r="H622" s="127"/>
      <c r="I622" s="62"/>
      <c r="J622" s="62"/>
      <c r="K622" s="62"/>
      <c r="L622" s="62"/>
      <c r="M622" s="62"/>
      <c r="N622" s="62"/>
      <c r="O622" s="62"/>
      <c r="P622" s="62"/>
      <c r="Q622" s="62"/>
      <c r="R622" s="62"/>
      <c r="S622" s="62"/>
      <c r="T622" s="62"/>
      <c r="U622" s="62"/>
      <c r="V622" s="62"/>
      <c r="W622" s="62"/>
      <c r="X622" s="62"/>
      <c r="Y622" s="62"/>
      <c r="Z622" s="62"/>
    </row>
    <row r="623" ht="15.75" customHeight="1">
      <c r="A623" s="74"/>
      <c r="B623" s="74"/>
      <c r="C623" s="74"/>
      <c r="D623" s="74"/>
      <c r="E623" s="2"/>
      <c r="F623" s="2"/>
      <c r="G623" s="2"/>
      <c r="H623" s="127"/>
      <c r="I623" s="62"/>
      <c r="J623" s="62"/>
      <c r="K623" s="62"/>
      <c r="L623" s="62"/>
      <c r="M623" s="62"/>
      <c r="N623" s="62"/>
      <c r="O623" s="62"/>
      <c r="P623" s="62"/>
      <c r="Q623" s="62"/>
      <c r="R623" s="62"/>
      <c r="S623" s="62"/>
      <c r="T623" s="62"/>
      <c r="U623" s="62"/>
      <c r="V623" s="62"/>
      <c r="W623" s="62"/>
      <c r="X623" s="62"/>
      <c r="Y623" s="62"/>
      <c r="Z623" s="62"/>
    </row>
    <row r="624" ht="15.75" customHeight="1">
      <c r="A624" s="74"/>
      <c r="B624" s="74"/>
      <c r="C624" s="74"/>
      <c r="D624" s="74"/>
      <c r="E624" s="2"/>
      <c r="F624" s="2"/>
      <c r="G624" s="2"/>
      <c r="H624" s="127"/>
      <c r="I624" s="62"/>
      <c r="J624" s="62"/>
      <c r="K624" s="62"/>
      <c r="L624" s="62"/>
      <c r="M624" s="62"/>
      <c r="N624" s="62"/>
      <c r="O624" s="62"/>
      <c r="P624" s="62"/>
      <c r="Q624" s="62"/>
      <c r="R624" s="62"/>
      <c r="S624" s="62"/>
      <c r="T624" s="62"/>
      <c r="U624" s="62"/>
      <c r="V624" s="62"/>
      <c r="W624" s="62"/>
      <c r="X624" s="62"/>
      <c r="Y624" s="62"/>
      <c r="Z624" s="62"/>
    </row>
    <row r="625" ht="15.75" customHeight="1">
      <c r="A625" s="74"/>
      <c r="B625" s="74"/>
      <c r="C625" s="74"/>
      <c r="D625" s="74"/>
      <c r="E625" s="2"/>
      <c r="F625" s="2"/>
      <c r="G625" s="2"/>
      <c r="H625" s="127"/>
      <c r="I625" s="62"/>
      <c r="J625" s="62"/>
      <c r="K625" s="62"/>
      <c r="L625" s="62"/>
      <c r="M625" s="62"/>
      <c r="N625" s="62"/>
      <c r="O625" s="62"/>
      <c r="P625" s="62"/>
      <c r="Q625" s="62"/>
      <c r="R625" s="62"/>
      <c r="S625" s="62"/>
      <c r="T625" s="62"/>
      <c r="U625" s="62"/>
      <c r="V625" s="62"/>
      <c r="W625" s="62"/>
      <c r="X625" s="62"/>
      <c r="Y625" s="62"/>
      <c r="Z625" s="62"/>
    </row>
    <row r="626" ht="15.75" customHeight="1">
      <c r="A626" s="74"/>
      <c r="B626" s="74"/>
      <c r="C626" s="74"/>
      <c r="D626" s="74"/>
      <c r="E626" s="2"/>
      <c r="F626" s="2"/>
      <c r="G626" s="2"/>
      <c r="H626" s="127"/>
      <c r="I626" s="62"/>
      <c r="J626" s="62"/>
      <c r="K626" s="62"/>
      <c r="L626" s="62"/>
      <c r="M626" s="62"/>
      <c r="N626" s="62"/>
      <c r="O626" s="62"/>
      <c r="P626" s="62"/>
      <c r="Q626" s="62"/>
      <c r="R626" s="62"/>
      <c r="S626" s="62"/>
      <c r="T626" s="62"/>
      <c r="U626" s="62"/>
      <c r="V626" s="62"/>
      <c r="W626" s="62"/>
      <c r="X626" s="62"/>
      <c r="Y626" s="62"/>
      <c r="Z626" s="62"/>
    </row>
    <row r="627" ht="15.75" customHeight="1">
      <c r="A627" s="74"/>
      <c r="B627" s="74"/>
      <c r="C627" s="74"/>
      <c r="D627" s="74"/>
      <c r="E627" s="2"/>
      <c r="F627" s="2"/>
      <c r="G627" s="2"/>
      <c r="H627" s="127"/>
      <c r="I627" s="62"/>
      <c r="J627" s="62"/>
      <c r="K627" s="62"/>
      <c r="L627" s="62"/>
      <c r="M627" s="62"/>
      <c r="N627" s="62"/>
      <c r="O627" s="62"/>
      <c r="P627" s="62"/>
      <c r="Q627" s="62"/>
      <c r="R627" s="62"/>
      <c r="S627" s="62"/>
      <c r="T627" s="62"/>
      <c r="U627" s="62"/>
      <c r="V627" s="62"/>
      <c r="W627" s="62"/>
      <c r="X627" s="62"/>
      <c r="Y627" s="62"/>
      <c r="Z627" s="62"/>
    </row>
    <row r="628" ht="15.75" customHeight="1">
      <c r="A628" s="74"/>
      <c r="B628" s="74"/>
      <c r="C628" s="74"/>
      <c r="D628" s="74"/>
      <c r="E628" s="2"/>
      <c r="F628" s="2"/>
      <c r="G628" s="2"/>
      <c r="H628" s="127"/>
      <c r="I628" s="62"/>
      <c r="J628" s="62"/>
      <c r="K628" s="62"/>
      <c r="L628" s="62"/>
      <c r="M628" s="62"/>
      <c r="N628" s="62"/>
      <c r="O628" s="62"/>
      <c r="P628" s="62"/>
      <c r="Q628" s="62"/>
      <c r="R628" s="62"/>
      <c r="S628" s="62"/>
      <c r="T628" s="62"/>
      <c r="U628" s="62"/>
      <c r="V628" s="62"/>
      <c r="W628" s="62"/>
      <c r="X628" s="62"/>
      <c r="Y628" s="62"/>
      <c r="Z628" s="62"/>
    </row>
    <row r="629" ht="15.75" customHeight="1">
      <c r="A629" s="74"/>
      <c r="B629" s="74"/>
      <c r="C629" s="74"/>
      <c r="D629" s="74"/>
      <c r="E629" s="2"/>
      <c r="F629" s="2"/>
      <c r="G629" s="2"/>
      <c r="H629" s="127"/>
      <c r="I629" s="62"/>
      <c r="J629" s="62"/>
      <c r="K629" s="62"/>
      <c r="L629" s="62"/>
      <c r="M629" s="62"/>
      <c r="N629" s="62"/>
      <c r="O629" s="62"/>
      <c r="P629" s="62"/>
      <c r="Q629" s="62"/>
      <c r="R629" s="62"/>
      <c r="S629" s="62"/>
      <c r="T629" s="62"/>
      <c r="U629" s="62"/>
      <c r="V629" s="62"/>
      <c r="W629" s="62"/>
      <c r="X629" s="62"/>
      <c r="Y629" s="62"/>
      <c r="Z629" s="62"/>
    </row>
    <row r="630" ht="15.75" customHeight="1">
      <c r="A630" s="74"/>
      <c r="B630" s="74"/>
      <c r="C630" s="74"/>
      <c r="D630" s="74"/>
      <c r="E630" s="2"/>
      <c r="F630" s="2"/>
      <c r="G630" s="2"/>
      <c r="H630" s="127"/>
      <c r="I630" s="62"/>
      <c r="J630" s="62"/>
      <c r="K630" s="62"/>
      <c r="L630" s="62"/>
      <c r="M630" s="62"/>
      <c r="N630" s="62"/>
      <c r="O630" s="62"/>
      <c r="P630" s="62"/>
      <c r="Q630" s="62"/>
      <c r="R630" s="62"/>
      <c r="S630" s="62"/>
      <c r="T630" s="62"/>
      <c r="U630" s="62"/>
      <c r="V630" s="62"/>
      <c r="W630" s="62"/>
      <c r="X630" s="62"/>
      <c r="Y630" s="62"/>
      <c r="Z630" s="62"/>
    </row>
    <row r="631" ht="15.75" customHeight="1">
      <c r="A631" s="74"/>
      <c r="B631" s="74"/>
      <c r="C631" s="74"/>
      <c r="D631" s="74"/>
      <c r="E631" s="2"/>
      <c r="F631" s="2"/>
      <c r="G631" s="2"/>
      <c r="H631" s="127"/>
      <c r="I631" s="62"/>
      <c r="J631" s="62"/>
      <c r="K631" s="62"/>
      <c r="L631" s="62"/>
      <c r="M631" s="62"/>
      <c r="N631" s="62"/>
      <c r="O631" s="62"/>
      <c r="P631" s="62"/>
      <c r="Q631" s="62"/>
      <c r="R631" s="62"/>
      <c r="S631" s="62"/>
      <c r="T631" s="62"/>
      <c r="U631" s="62"/>
      <c r="V631" s="62"/>
      <c r="W631" s="62"/>
      <c r="X631" s="62"/>
      <c r="Y631" s="62"/>
      <c r="Z631" s="62"/>
    </row>
    <row r="632" ht="15.75" customHeight="1">
      <c r="A632" s="74"/>
      <c r="B632" s="74"/>
      <c r="C632" s="74"/>
      <c r="D632" s="74"/>
      <c r="E632" s="2"/>
      <c r="F632" s="2"/>
      <c r="G632" s="2"/>
      <c r="H632" s="127"/>
      <c r="I632" s="62"/>
      <c r="J632" s="62"/>
      <c r="K632" s="62"/>
      <c r="L632" s="62"/>
      <c r="M632" s="62"/>
      <c r="N632" s="62"/>
      <c r="O632" s="62"/>
      <c r="P632" s="62"/>
      <c r="Q632" s="62"/>
      <c r="R632" s="62"/>
      <c r="S632" s="62"/>
      <c r="T632" s="62"/>
      <c r="U632" s="62"/>
      <c r="V632" s="62"/>
      <c r="W632" s="62"/>
      <c r="X632" s="62"/>
      <c r="Y632" s="62"/>
      <c r="Z632" s="62"/>
    </row>
    <row r="633" ht="15.75" customHeight="1">
      <c r="A633" s="74"/>
      <c r="B633" s="74"/>
      <c r="C633" s="74"/>
      <c r="D633" s="74"/>
      <c r="E633" s="2"/>
      <c r="F633" s="2"/>
      <c r="G633" s="2"/>
      <c r="H633" s="127"/>
      <c r="I633" s="62"/>
      <c r="J633" s="62"/>
      <c r="K633" s="62"/>
      <c r="L633" s="62"/>
      <c r="M633" s="62"/>
      <c r="N633" s="62"/>
      <c r="O633" s="62"/>
      <c r="P633" s="62"/>
      <c r="Q633" s="62"/>
      <c r="R633" s="62"/>
      <c r="S633" s="62"/>
      <c r="T633" s="62"/>
      <c r="U633" s="62"/>
      <c r="V633" s="62"/>
      <c r="W633" s="62"/>
      <c r="X633" s="62"/>
      <c r="Y633" s="62"/>
      <c r="Z633" s="62"/>
    </row>
    <row r="634" ht="15.75" customHeight="1">
      <c r="A634" s="74"/>
      <c r="B634" s="74"/>
      <c r="C634" s="74"/>
      <c r="D634" s="74"/>
      <c r="E634" s="2"/>
      <c r="F634" s="2"/>
      <c r="G634" s="2"/>
      <c r="H634" s="127"/>
      <c r="I634" s="62"/>
      <c r="J634" s="62"/>
      <c r="K634" s="62"/>
      <c r="L634" s="62"/>
      <c r="M634" s="62"/>
      <c r="N634" s="62"/>
      <c r="O634" s="62"/>
      <c r="P634" s="62"/>
      <c r="Q634" s="62"/>
      <c r="R634" s="62"/>
      <c r="S634" s="62"/>
      <c r="T634" s="62"/>
      <c r="U634" s="62"/>
      <c r="V634" s="62"/>
      <c r="W634" s="62"/>
      <c r="X634" s="62"/>
      <c r="Y634" s="62"/>
      <c r="Z634" s="62"/>
    </row>
    <row r="635" ht="15.75" customHeight="1">
      <c r="A635" s="74"/>
      <c r="B635" s="74"/>
      <c r="C635" s="74"/>
      <c r="D635" s="74"/>
      <c r="E635" s="2"/>
      <c r="F635" s="2"/>
      <c r="G635" s="2"/>
      <c r="H635" s="127"/>
      <c r="I635" s="62"/>
      <c r="J635" s="62"/>
      <c r="K635" s="62"/>
      <c r="L635" s="62"/>
      <c r="M635" s="62"/>
      <c r="N635" s="62"/>
      <c r="O635" s="62"/>
      <c r="P635" s="62"/>
      <c r="Q635" s="62"/>
      <c r="R635" s="62"/>
      <c r="S635" s="62"/>
      <c r="T635" s="62"/>
      <c r="U635" s="62"/>
      <c r="V635" s="62"/>
      <c r="W635" s="62"/>
      <c r="X635" s="62"/>
      <c r="Y635" s="62"/>
      <c r="Z635" s="62"/>
    </row>
    <row r="636" ht="15.75" customHeight="1">
      <c r="A636" s="74"/>
      <c r="B636" s="74"/>
      <c r="C636" s="74"/>
      <c r="D636" s="74"/>
      <c r="E636" s="2"/>
      <c r="F636" s="2"/>
      <c r="G636" s="2"/>
      <c r="H636" s="127"/>
      <c r="I636" s="62"/>
      <c r="J636" s="62"/>
      <c r="K636" s="62"/>
      <c r="L636" s="62"/>
      <c r="M636" s="62"/>
      <c r="N636" s="62"/>
      <c r="O636" s="62"/>
      <c r="P636" s="62"/>
      <c r="Q636" s="62"/>
      <c r="R636" s="62"/>
      <c r="S636" s="62"/>
      <c r="T636" s="62"/>
      <c r="U636" s="62"/>
      <c r="V636" s="62"/>
      <c r="W636" s="62"/>
      <c r="X636" s="62"/>
      <c r="Y636" s="62"/>
      <c r="Z636" s="62"/>
    </row>
    <row r="637" ht="15.75" customHeight="1">
      <c r="A637" s="74"/>
      <c r="B637" s="74"/>
      <c r="C637" s="74"/>
      <c r="D637" s="74"/>
      <c r="E637" s="2"/>
      <c r="F637" s="2"/>
      <c r="G637" s="2"/>
      <c r="H637" s="127"/>
      <c r="I637" s="62"/>
      <c r="J637" s="62"/>
      <c r="K637" s="62"/>
      <c r="L637" s="62"/>
      <c r="M637" s="62"/>
      <c r="N637" s="62"/>
      <c r="O637" s="62"/>
      <c r="P637" s="62"/>
      <c r="Q637" s="62"/>
      <c r="R637" s="62"/>
      <c r="S637" s="62"/>
      <c r="T637" s="62"/>
      <c r="U637" s="62"/>
      <c r="V637" s="62"/>
      <c r="W637" s="62"/>
      <c r="X637" s="62"/>
      <c r="Y637" s="62"/>
      <c r="Z637" s="62"/>
    </row>
    <row r="638" ht="15.75" customHeight="1">
      <c r="A638" s="74"/>
      <c r="B638" s="74"/>
      <c r="C638" s="74"/>
      <c r="D638" s="74"/>
      <c r="E638" s="2"/>
      <c r="F638" s="2"/>
      <c r="G638" s="2"/>
      <c r="H638" s="127"/>
      <c r="I638" s="62"/>
      <c r="J638" s="62"/>
      <c r="K638" s="62"/>
      <c r="L638" s="62"/>
      <c r="M638" s="62"/>
      <c r="N638" s="62"/>
      <c r="O638" s="62"/>
      <c r="P638" s="62"/>
      <c r="Q638" s="62"/>
      <c r="R638" s="62"/>
      <c r="S638" s="62"/>
      <c r="T638" s="62"/>
      <c r="U638" s="62"/>
      <c r="V638" s="62"/>
      <c r="W638" s="62"/>
      <c r="X638" s="62"/>
      <c r="Y638" s="62"/>
      <c r="Z638" s="62"/>
    </row>
    <row r="639" ht="15.75" customHeight="1">
      <c r="A639" s="74"/>
      <c r="B639" s="74"/>
      <c r="C639" s="74"/>
      <c r="D639" s="74"/>
      <c r="E639" s="2"/>
      <c r="F639" s="2"/>
      <c r="G639" s="2"/>
      <c r="H639" s="127"/>
      <c r="I639" s="62"/>
      <c r="J639" s="62"/>
      <c r="K639" s="62"/>
      <c r="L639" s="62"/>
      <c r="M639" s="62"/>
      <c r="N639" s="62"/>
      <c r="O639" s="62"/>
      <c r="P639" s="62"/>
      <c r="Q639" s="62"/>
      <c r="R639" s="62"/>
      <c r="S639" s="62"/>
      <c r="T639" s="62"/>
      <c r="U639" s="62"/>
      <c r="V639" s="62"/>
      <c r="W639" s="62"/>
      <c r="X639" s="62"/>
      <c r="Y639" s="62"/>
      <c r="Z639" s="62"/>
    </row>
    <row r="640" ht="15.75" customHeight="1">
      <c r="A640" s="74"/>
      <c r="B640" s="74"/>
      <c r="C640" s="74"/>
      <c r="D640" s="74"/>
      <c r="E640" s="2"/>
      <c r="F640" s="2"/>
      <c r="G640" s="2"/>
      <c r="H640" s="127"/>
      <c r="I640" s="62"/>
      <c r="J640" s="62"/>
      <c r="K640" s="62"/>
      <c r="L640" s="62"/>
      <c r="M640" s="62"/>
      <c r="N640" s="62"/>
      <c r="O640" s="62"/>
      <c r="P640" s="62"/>
      <c r="Q640" s="62"/>
      <c r="R640" s="62"/>
      <c r="S640" s="62"/>
      <c r="T640" s="62"/>
      <c r="U640" s="62"/>
      <c r="V640" s="62"/>
      <c r="W640" s="62"/>
      <c r="X640" s="62"/>
      <c r="Y640" s="62"/>
      <c r="Z640" s="62"/>
    </row>
    <row r="641" ht="15.75" customHeight="1">
      <c r="A641" s="74"/>
      <c r="B641" s="74"/>
      <c r="C641" s="74"/>
      <c r="D641" s="74"/>
      <c r="E641" s="2"/>
      <c r="F641" s="2"/>
      <c r="G641" s="2"/>
      <c r="H641" s="127"/>
      <c r="I641" s="62"/>
      <c r="J641" s="62"/>
      <c r="K641" s="62"/>
      <c r="L641" s="62"/>
      <c r="M641" s="62"/>
      <c r="N641" s="62"/>
      <c r="O641" s="62"/>
      <c r="P641" s="62"/>
      <c r="Q641" s="62"/>
      <c r="R641" s="62"/>
      <c r="S641" s="62"/>
      <c r="T641" s="62"/>
      <c r="U641" s="62"/>
      <c r="V641" s="62"/>
      <c r="W641" s="62"/>
      <c r="X641" s="62"/>
      <c r="Y641" s="62"/>
      <c r="Z641" s="62"/>
    </row>
    <row r="642" ht="15.75" customHeight="1">
      <c r="A642" s="74"/>
      <c r="B642" s="74"/>
      <c r="C642" s="74"/>
      <c r="D642" s="74"/>
      <c r="E642" s="2"/>
      <c r="F642" s="2"/>
      <c r="G642" s="2"/>
      <c r="H642" s="127"/>
      <c r="I642" s="62"/>
      <c r="J642" s="62"/>
      <c r="K642" s="62"/>
      <c r="L642" s="62"/>
      <c r="M642" s="62"/>
      <c r="N642" s="62"/>
      <c r="O642" s="62"/>
      <c r="P642" s="62"/>
      <c r="Q642" s="62"/>
      <c r="R642" s="62"/>
      <c r="S642" s="62"/>
      <c r="T642" s="62"/>
      <c r="U642" s="62"/>
      <c r="V642" s="62"/>
      <c r="W642" s="62"/>
      <c r="X642" s="62"/>
      <c r="Y642" s="62"/>
      <c r="Z642" s="62"/>
    </row>
    <row r="643" ht="15.75" customHeight="1">
      <c r="A643" s="74"/>
      <c r="B643" s="74"/>
      <c r="C643" s="74"/>
      <c r="D643" s="74"/>
      <c r="E643" s="2"/>
      <c r="F643" s="2"/>
      <c r="G643" s="2"/>
      <c r="H643" s="127"/>
      <c r="I643" s="62"/>
      <c r="J643" s="62"/>
      <c r="K643" s="62"/>
      <c r="L643" s="62"/>
      <c r="M643" s="62"/>
      <c r="N643" s="62"/>
      <c r="O643" s="62"/>
      <c r="P643" s="62"/>
      <c r="Q643" s="62"/>
      <c r="R643" s="62"/>
      <c r="S643" s="62"/>
      <c r="T643" s="62"/>
      <c r="U643" s="62"/>
      <c r="V643" s="62"/>
      <c r="W643" s="62"/>
      <c r="X643" s="62"/>
      <c r="Y643" s="62"/>
      <c r="Z643" s="62"/>
    </row>
    <row r="644" ht="15.75" customHeight="1">
      <c r="A644" s="74"/>
      <c r="B644" s="74"/>
      <c r="C644" s="74"/>
      <c r="D644" s="74"/>
      <c r="E644" s="2"/>
      <c r="F644" s="2"/>
      <c r="G644" s="2"/>
      <c r="H644" s="127"/>
      <c r="I644" s="62"/>
      <c r="J644" s="62"/>
      <c r="K644" s="62"/>
      <c r="L644" s="62"/>
      <c r="M644" s="62"/>
      <c r="N644" s="62"/>
      <c r="O644" s="62"/>
      <c r="P644" s="62"/>
      <c r="Q644" s="62"/>
      <c r="R644" s="62"/>
      <c r="S644" s="62"/>
      <c r="T644" s="62"/>
      <c r="U644" s="62"/>
      <c r="V644" s="62"/>
      <c r="W644" s="62"/>
      <c r="X644" s="62"/>
      <c r="Y644" s="62"/>
      <c r="Z644" s="62"/>
    </row>
    <row r="645" ht="15.75" customHeight="1">
      <c r="A645" s="74"/>
      <c r="B645" s="74"/>
      <c r="C645" s="74"/>
      <c r="D645" s="74"/>
      <c r="E645" s="2"/>
      <c r="F645" s="2"/>
      <c r="G645" s="2"/>
      <c r="H645" s="127"/>
      <c r="I645" s="62"/>
      <c r="J645" s="62"/>
      <c r="K645" s="62"/>
      <c r="L645" s="62"/>
      <c r="M645" s="62"/>
      <c r="N645" s="62"/>
      <c r="O645" s="62"/>
      <c r="P645" s="62"/>
      <c r="Q645" s="62"/>
      <c r="R645" s="62"/>
      <c r="S645" s="62"/>
      <c r="T645" s="62"/>
      <c r="U645" s="62"/>
      <c r="V645" s="62"/>
      <c r="W645" s="62"/>
      <c r="X645" s="62"/>
      <c r="Y645" s="62"/>
      <c r="Z645" s="62"/>
    </row>
    <row r="646" ht="15.75" customHeight="1">
      <c r="A646" s="74"/>
      <c r="B646" s="74"/>
      <c r="C646" s="74"/>
      <c r="D646" s="74"/>
      <c r="E646" s="2"/>
      <c r="F646" s="2"/>
      <c r="G646" s="2"/>
      <c r="H646" s="127"/>
      <c r="I646" s="62"/>
      <c r="J646" s="62"/>
      <c r="K646" s="62"/>
      <c r="L646" s="62"/>
      <c r="M646" s="62"/>
      <c r="N646" s="62"/>
      <c r="O646" s="62"/>
      <c r="P646" s="62"/>
      <c r="Q646" s="62"/>
      <c r="R646" s="62"/>
      <c r="S646" s="62"/>
      <c r="T646" s="62"/>
      <c r="U646" s="62"/>
      <c r="V646" s="62"/>
      <c r="W646" s="62"/>
      <c r="X646" s="62"/>
      <c r="Y646" s="62"/>
      <c r="Z646" s="62"/>
    </row>
    <row r="647" ht="15.75" customHeight="1">
      <c r="A647" s="74"/>
      <c r="B647" s="74"/>
      <c r="C647" s="74"/>
      <c r="D647" s="74"/>
      <c r="E647" s="2"/>
      <c r="F647" s="2"/>
      <c r="G647" s="2"/>
      <c r="H647" s="127"/>
      <c r="I647" s="62"/>
      <c r="J647" s="62"/>
      <c r="K647" s="62"/>
      <c r="L647" s="62"/>
      <c r="M647" s="62"/>
      <c r="N647" s="62"/>
      <c r="O647" s="62"/>
      <c r="P647" s="62"/>
      <c r="Q647" s="62"/>
      <c r="R647" s="62"/>
      <c r="S647" s="62"/>
      <c r="T647" s="62"/>
      <c r="U647" s="62"/>
      <c r="V647" s="62"/>
      <c r="W647" s="62"/>
      <c r="X647" s="62"/>
      <c r="Y647" s="62"/>
      <c r="Z647" s="62"/>
    </row>
    <row r="648" ht="15.75" customHeight="1">
      <c r="A648" s="74"/>
      <c r="B648" s="74"/>
      <c r="C648" s="74"/>
      <c r="D648" s="74"/>
      <c r="E648" s="2"/>
      <c r="F648" s="2"/>
      <c r="G648" s="2"/>
      <c r="H648" s="127"/>
      <c r="I648" s="62"/>
      <c r="J648" s="62"/>
      <c r="K648" s="62"/>
      <c r="L648" s="62"/>
      <c r="M648" s="62"/>
      <c r="N648" s="62"/>
      <c r="O648" s="62"/>
      <c r="P648" s="62"/>
      <c r="Q648" s="62"/>
      <c r="R648" s="62"/>
      <c r="S648" s="62"/>
      <c r="T648" s="62"/>
      <c r="U648" s="62"/>
      <c r="V648" s="62"/>
      <c r="W648" s="62"/>
      <c r="X648" s="62"/>
      <c r="Y648" s="62"/>
      <c r="Z648" s="62"/>
    </row>
    <row r="649" ht="15.75" customHeight="1">
      <c r="A649" s="74"/>
      <c r="B649" s="74"/>
      <c r="C649" s="74"/>
      <c r="D649" s="74"/>
      <c r="E649" s="2"/>
      <c r="F649" s="2"/>
      <c r="G649" s="2"/>
      <c r="H649" s="127"/>
      <c r="I649" s="62"/>
      <c r="J649" s="62"/>
      <c r="K649" s="62"/>
      <c r="L649" s="62"/>
      <c r="M649" s="62"/>
      <c r="N649" s="62"/>
      <c r="O649" s="62"/>
      <c r="P649" s="62"/>
      <c r="Q649" s="62"/>
      <c r="R649" s="62"/>
      <c r="S649" s="62"/>
      <c r="T649" s="62"/>
      <c r="U649" s="62"/>
      <c r="V649" s="62"/>
      <c r="W649" s="62"/>
      <c r="X649" s="62"/>
      <c r="Y649" s="62"/>
      <c r="Z649" s="62"/>
    </row>
    <row r="650" ht="15.75" customHeight="1">
      <c r="A650" s="74"/>
      <c r="B650" s="74"/>
      <c r="C650" s="74"/>
      <c r="D650" s="74"/>
      <c r="E650" s="2"/>
      <c r="F650" s="2"/>
      <c r="G650" s="2"/>
      <c r="H650" s="127"/>
      <c r="I650" s="62"/>
      <c r="J650" s="62"/>
      <c r="K650" s="62"/>
      <c r="L650" s="62"/>
      <c r="M650" s="62"/>
      <c r="N650" s="62"/>
      <c r="O650" s="62"/>
      <c r="P650" s="62"/>
      <c r="Q650" s="62"/>
      <c r="R650" s="62"/>
      <c r="S650" s="62"/>
      <c r="T650" s="62"/>
      <c r="U650" s="62"/>
      <c r="V650" s="62"/>
      <c r="W650" s="62"/>
      <c r="X650" s="62"/>
      <c r="Y650" s="62"/>
      <c r="Z650" s="62"/>
    </row>
    <row r="651" ht="15.75" customHeight="1">
      <c r="A651" s="74"/>
      <c r="B651" s="74"/>
      <c r="C651" s="74"/>
      <c r="D651" s="74"/>
      <c r="E651" s="2"/>
      <c r="F651" s="2"/>
      <c r="G651" s="2"/>
      <c r="H651" s="127"/>
      <c r="I651" s="62"/>
      <c r="J651" s="62"/>
      <c r="K651" s="62"/>
      <c r="L651" s="62"/>
      <c r="M651" s="62"/>
      <c r="N651" s="62"/>
      <c r="O651" s="62"/>
      <c r="P651" s="62"/>
      <c r="Q651" s="62"/>
      <c r="R651" s="62"/>
      <c r="S651" s="62"/>
      <c r="T651" s="62"/>
      <c r="U651" s="62"/>
      <c r="V651" s="62"/>
      <c r="W651" s="62"/>
      <c r="X651" s="62"/>
      <c r="Y651" s="62"/>
      <c r="Z651" s="62"/>
    </row>
    <row r="652" ht="15.75" customHeight="1">
      <c r="A652" s="74"/>
      <c r="B652" s="74"/>
      <c r="C652" s="74"/>
      <c r="D652" s="74"/>
      <c r="E652" s="2"/>
      <c r="F652" s="2"/>
      <c r="G652" s="2"/>
      <c r="H652" s="127"/>
      <c r="I652" s="62"/>
      <c r="J652" s="62"/>
      <c r="K652" s="62"/>
      <c r="L652" s="62"/>
      <c r="M652" s="62"/>
      <c r="N652" s="62"/>
      <c r="O652" s="62"/>
      <c r="P652" s="62"/>
      <c r="Q652" s="62"/>
      <c r="R652" s="62"/>
      <c r="S652" s="62"/>
      <c r="T652" s="62"/>
      <c r="U652" s="62"/>
      <c r="V652" s="62"/>
      <c r="W652" s="62"/>
      <c r="X652" s="62"/>
      <c r="Y652" s="62"/>
      <c r="Z652" s="62"/>
    </row>
    <row r="653" ht="15.75" customHeight="1">
      <c r="A653" s="74"/>
      <c r="B653" s="74"/>
      <c r="C653" s="74"/>
      <c r="D653" s="74"/>
      <c r="E653" s="2"/>
      <c r="F653" s="2"/>
      <c r="G653" s="2"/>
      <c r="H653" s="127"/>
      <c r="I653" s="62"/>
      <c r="J653" s="62"/>
      <c r="K653" s="62"/>
      <c r="L653" s="62"/>
      <c r="M653" s="62"/>
      <c r="N653" s="62"/>
      <c r="O653" s="62"/>
      <c r="P653" s="62"/>
      <c r="Q653" s="62"/>
      <c r="R653" s="62"/>
      <c r="S653" s="62"/>
      <c r="T653" s="62"/>
      <c r="U653" s="62"/>
      <c r="V653" s="62"/>
      <c r="W653" s="62"/>
      <c r="X653" s="62"/>
      <c r="Y653" s="62"/>
      <c r="Z653" s="62"/>
    </row>
    <row r="654" ht="15.75" customHeight="1">
      <c r="A654" s="74"/>
      <c r="B654" s="74"/>
      <c r="C654" s="74"/>
      <c r="D654" s="74"/>
      <c r="E654" s="2"/>
      <c r="F654" s="2"/>
      <c r="G654" s="2"/>
      <c r="H654" s="127"/>
      <c r="I654" s="62"/>
      <c r="J654" s="62"/>
      <c r="K654" s="62"/>
      <c r="L654" s="62"/>
      <c r="M654" s="62"/>
      <c r="N654" s="62"/>
      <c r="O654" s="62"/>
      <c r="P654" s="62"/>
      <c r="Q654" s="62"/>
      <c r="R654" s="62"/>
      <c r="S654" s="62"/>
      <c r="T654" s="62"/>
      <c r="U654" s="62"/>
      <c r="V654" s="62"/>
      <c r="W654" s="62"/>
      <c r="X654" s="62"/>
      <c r="Y654" s="62"/>
      <c r="Z654" s="62"/>
    </row>
    <row r="655" ht="15.75" customHeight="1">
      <c r="A655" s="74"/>
      <c r="B655" s="74"/>
      <c r="C655" s="74"/>
      <c r="D655" s="74"/>
      <c r="E655" s="2"/>
      <c r="F655" s="2"/>
      <c r="G655" s="2"/>
      <c r="H655" s="127"/>
      <c r="I655" s="62"/>
      <c r="J655" s="62"/>
      <c r="K655" s="62"/>
      <c r="L655" s="62"/>
      <c r="M655" s="62"/>
      <c r="N655" s="62"/>
      <c r="O655" s="62"/>
      <c r="P655" s="62"/>
      <c r="Q655" s="62"/>
      <c r="R655" s="62"/>
      <c r="S655" s="62"/>
      <c r="T655" s="62"/>
      <c r="U655" s="62"/>
      <c r="V655" s="62"/>
      <c r="W655" s="62"/>
      <c r="X655" s="62"/>
      <c r="Y655" s="62"/>
      <c r="Z655" s="62"/>
    </row>
    <row r="656" ht="15.75" customHeight="1">
      <c r="A656" s="74"/>
      <c r="B656" s="74"/>
      <c r="C656" s="74"/>
      <c r="D656" s="74"/>
      <c r="E656" s="2"/>
      <c r="F656" s="2"/>
      <c r="G656" s="2"/>
      <c r="H656" s="127"/>
      <c r="I656" s="62"/>
      <c r="J656" s="62"/>
      <c r="K656" s="62"/>
      <c r="L656" s="62"/>
      <c r="M656" s="62"/>
      <c r="N656" s="62"/>
      <c r="O656" s="62"/>
      <c r="P656" s="62"/>
      <c r="Q656" s="62"/>
      <c r="R656" s="62"/>
      <c r="S656" s="62"/>
      <c r="T656" s="62"/>
      <c r="U656" s="62"/>
      <c r="V656" s="62"/>
      <c r="W656" s="62"/>
      <c r="X656" s="62"/>
      <c r="Y656" s="62"/>
      <c r="Z656" s="62"/>
    </row>
    <row r="657" ht="15.75" customHeight="1">
      <c r="A657" s="74"/>
      <c r="B657" s="74"/>
      <c r="C657" s="74"/>
      <c r="D657" s="74"/>
      <c r="E657" s="2"/>
      <c r="F657" s="2"/>
      <c r="G657" s="2"/>
      <c r="H657" s="127"/>
      <c r="I657" s="62"/>
      <c r="J657" s="62"/>
      <c r="K657" s="62"/>
      <c r="L657" s="62"/>
      <c r="M657" s="62"/>
      <c r="N657" s="62"/>
      <c r="O657" s="62"/>
      <c r="P657" s="62"/>
      <c r="Q657" s="62"/>
      <c r="R657" s="62"/>
      <c r="S657" s="62"/>
      <c r="T657" s="62"/>
      <c r="U657" s="62"/>
      <c r="V657" s="62"/>
      <c r="W657" s="62"/>
      <c r="X657" s="62"/>
      <c r="Y657" s="62"/>
      <c r="Z657" s="62"/>
    </row>
    <row r="658" ht="15.75" customHeight="1">
      <c r="A658" s="74"/>
      <c r="B658" s="74"/>
      <c r="C658" s="74"/>
      <c r="D658" s="74"/>
      <c r="E658" s="2"/>
      <c r="F658" s="2"/>
      <c r="G658" s="2"/>
      <c r="H658" s="127"/>
      <c r="I658" s="62"/>
      <c r="J658" s="62"/>
      <c r="K658" s="62"/>
      <c r="L658" s="62"/>
      <c r="M658" s="62"/>
      <c r="N658" s="62"/>
      <c r="O658" s="62"/>
      <c r="P658" s="62"/>
      <c r="Q658" s="62"/>
      <c r="R658" s="62"/>
      <c r="S658" s="62"/>
      <c r="T658" s="62"/>
      <c r="U658" s="62"/>
      <c r="V658" s="62"/>
      <c r="W658" s="62"/>
      <c r="X658" s="62"/>
      <c r="Y658" s="62"/>
      <c r="Z658" s="62"/>
    </row>
    <row r="659" ht="15.75" customHeight="1">
      <c r="A659" s="74"/>
      <c r="B659" s="74"/>
      <c r="C659" s="74"/>
      <c r="D659" s="74"/>
      <c r="E659" s="2"/>
      <c r="F659" s="2"/>
      <c r="G659" s="2"/>
      <c r="H659" s="127"/>
      <c r="I659" s="62"/>
      <c r="J659" s="62"/>
      <c r="K659" s="62"/>
      <c r="L659" s="62"/>
      <c r="M659" s="62"/>
      <c r="N659" s="62"/>
      <c r="O659" s="62"/>
      <c r="P659" s="62"/>
      <c r="Q659" s="62"/>
      <c r="R659" s="62"/>
      <c r="S659" s="62"/>
      <c r="T659" s="62"/>
      <c r="U659" s="62"/>
      <c r="V659" s="62"/>
      <c r="W659" s="62"/>
      <c r="X659" s="62"/>
      <c r="Y659" s="62"/>
      <c r="Z659" s="62"/>
    </row>
    <row r="660" ht="15.75" customHeight="1">
      <c r="A660" s="74"/>
      <c r="B660" s="74"/>
      <c r="C660" s="74"/>
      <c r="D660" s="74"/>
      <c r="E660" s="2"/>
      <c r="F660" s="2"/>
      <c r="G660" s="2"/>
      <c r="H660" s="127"/>
      <c r="I660" s="62"/>
      <c r="J660" s="62"/>
      <c r="K660" s="62"/>
      <c r="L660" s="62"/>
      <c r="M660" s="62"/>
      <c r="N660" s="62"/>
      <c r="O660" s="62"/>
      <c r="P660" s="62"/>
      <c r="Q660" s="62"/>
      <c r="R660" s="62"/>
      <c r="S660" s="62"/>
      <c r="T660" s="62"/>
      <c r="U660" s="62"/>
      <c r="V660" s="62"/>
      <c r="W660" s="62"/>
      <c r="X660" s="62"/>
      <c r="Y660" s="62"/>
      <c r="Z660" s="62"/>
    </row>
    <row r="661" ht="15.75" customHeight="1">
      <c r="A661" s="74"/>
      <c r="B661" s="74"/>
      <c r="C661" s="74"/>
      <c r="D661" s="74"/>
      <c r="E661" s="2"/>
      <c r="F661" s="2"/>
      <c r="G661" s="2"/>
      <c r="H661" s="127"/>
      <c r="I661" s="62"/>
      <c r="J661" s="62"/>
      <c r="K661" s="62"/>
      <c r="L661" s="62"/>
      <c r="M661" s="62"/>
      <c r="N661" s="62"/>
      <c r="O661" s="62"/>
      <c r="P661" s="62"/>
      <c r="Q661" s="62"/>
      <c r="R661" s="62"/>
      <c r="S661" s="62"/>
      <c r="T661" s="62"/>
      <c r="U661" s="62"/>
      <c r="V661" s="62"/>
      <c r="W661" s="62"/>
      <c r="X661" s="62"/>
      <c r="Y661" s="62"/>
      <c r="Z661" s="62"/>
    </row>
    <row r="662" ht="15.75" customHeight="1">
      <c r="A662" s="74"/>
      <c r="B662" s="74"/>
      <c r="C662" s="74"/>
      <c r="D662" s="74"/>
      <c r="E662" s="2"/>
      <c r="F662" s="2"/>
      <c r="G662" s="2"/>
      <c r="H662" s="127"/>
      <c r="I662" s="62"/>
      <c r="J662" s="62"/>
      <c r="K662" s="62"/>
      <c r="L662" s="62"/>
      <c r="M662" s="62"/>
      <c r="N662" s="62"/>
      <c r="O662" s="62"/>
      <c r="P662" s="62"/>
      <c r="Q662" s="62"/>
      <c r="R662" s="62"/>
      <c r="S662" s="62"/>
      <c r="T662" s="62"/>
      <c r="U662" s="62"/>
      <c r="V662" s="62"/>
      <c r="W662" s="62"/>
      <c r="X662" s="62"/>
      <c r="Y662" s="62"/>
      <c r="Z662" s="62"/>
    </row>
    <row r="663" ht="15.75" customHeight="1">
      <c r="A663" s="74"/>
      <c r="B663" s="74"/>
      <c r="C663" s="74"/>
      <c r="D663" s="74"/>
      <c r="E663" s="2"/>
      <c r="F663" s="2"/>
      <c r="G663" s="2"/>
      <c r="H663" s="127"/>
      <c r="I663" s="62"/>
      <c r="J663" s="62"/>
      <c r="K663" s="62"/>
      <c r="L663" s="62"/>
      <c r="M663" s="62"/>
      <c r="N663" s="62"/>
      <c r="O663" s="62"/>
      <c r="P663" s="62"/>
      <c r="Q663" s="62"/>
      <c r="R663" s="62"/>
      <c r="S663" s="62"/>
      <c r="T663" s="62"/>
      <c r="U663" s="62"/>
      <c r="V663" s="62"/>
      <c r="W663" s="62"/>
      <c r="X663" s="62"/>
      <c r="Y663" s="62"/>
      <c r="Z663" s="62"/>
    </row>
    <row r="664" ht="15.75" customHeight="1">
      <c r="A664" s="74"/>
      <c r="B664" s="74"/>
      <c r="C664" s="74"/>
      <c r="D664" s="74"/>
      <c r="E664" s="2"/>
      <c r="F664" s="2"/>
      <c r="G664" s="2"/>
      <c r="H664" s="127"/>
      <c r="I664" s="62"/>
      <c r="J664" s="62"/>
      <c r="K664" s="62"/>
      <c r="L664" s="62"/>
      <c r="M664" s="62"/>
      <c r="N664" s="62"/>
      <c r="O664" s="62"/>
      <c r="P664" s="62"/>
      <c r="Q664" s="62"/>
      <c r="R664" s="62"/>
      <c r="S664" s="62"/>
      <c r="T664" s="62"/>
      <c r="U664" s="62"/>
      <c r="V664" s="62"/>
      <c r="W664" s="62"/>
      <c r="X664" s="62"/>
      <c r="Y664" s="62"/>
      <c r="Z664" s="62"/>
    </row>
    <row r="665" ht="15.75" customHeight="1">
      <c r="A665" s="74"/>
      <c r="B665" s="74"/>
      <c r="C665" s="74"/>
      <c r="D665" s="74"/>
      <c r="E665" s="2"/>
      <c r="F665" s="2"/>
      <c r="G665" s="2"/>
      <c r="H665" s="127"/>
      <c r="I665" s="62"/>
      <c r="J665" s="62"/>
      <c r="K665" s="62"/>
      <c r="L665" s="62"/>
      <c r="M665" s="62"/>
      <c r="N665" s="62"/>
      <c r="O665" s="62"/>
      <c r="P665" s="62"/>
      <c r="Q665" s="62"/>
      <c r="R665" s="62"/>
      <c r="S665" s="62"/>
      <c r="T665" s="62"/>
      <c r="U665" s="62"/>
      <c r="V665" s="62"/>
      <c r="W665" s="62"/>
      <c r="X665" s="62"/>
      <c r="Y665" s="62"/>
      <c r="Z665" s="62"/>
    </row>
    <row r="666" ht="15.75" customHeight="1">
      <c r="A666" s="74"/>
      <c r="B666" s="74"/>
      <c r="C666" s="74"/>
      <c r="D666" s="74"/>
      <c r="E666" s="2"/>
      <c r="F666" s="2"/>
      <c r="G666" s="2"/>
      <c r="H666" s="127"/>
      <c r="I666" s="62"/>
      <c r="J666" s="62"/>
      <c r="K666" s="62"/>
      <c r="L666" s="62"/>
      <c r="M666" s="62"/>
      <c r="N666" s="62"/>
      <c r="O666" s="62"/>
      <c r="P666" s="62"/>
      <c r="Q666" s="62"/>
      <c r="R666" s="62"/>
      <c r="S666" s="62"/>
      <c r="T666" s="62"/>
      <c r="U666" s="62"/>
      <c r="V666" s="62"/>
      <c r="W666" s="62"/>
      <c r="X666" s="62"/>
      <c r="Y666" s="62"/>
      <c r="Z666" s="62"/>
    </row>
    <row r="667" ht="15.75" customHeight="1">
      <c r="A667" s="74"/>
      <c r="B667" s="74"/>
      <c r="C667" s="74"/>
      <c r="D667" s="74"/>
      <c r="E667" s="2"/>
      <c r="F667" s="2"/>
      <c r="G667" s="2"/>
      <c r="H667" s="127"/>
      <c r="I667" s="62"/>
      <c r="J667" s="62"/>
      <c r="K667" s="62"/>
      <c r="L667" s="62"/>
      <c r="M667" s="62"/>
      <c r="N667" s="62"/>
      <c r="O667" s="62"/>
      <c r="P667" s="62"/>
      <c r="Q667" s="62"/>
      <c r="R667" s="62"/>
      <c r="S667" s="62"/>
      <c r="T667" s="62"/>
      <c r="U667" s="62"/>
      <c r="V667" s="62"/>
      <c r="W667" s="62"/>
      <c r="X667" s="62"/>
      <c r="Y667" s="62"/>
      <c r="Z667" s="62"/>
    </row>
    <row r="668" ht="15.75" customHeight="1">
      <c r="A668" s="74"/>
      <c r="B668" s="74"/>
      <c r="C668" s="74"/>
      <c r="D668" s="74"/>
      <c r="E668" s="2"/>
      <c r="F668" s="2"/>
      <c r="G668" s="2"/>
      <c r="H668" s="127"/>
      <c r="I668" s="62"/>
      <c r="J668" s="62"/>
      <c r="K668" s="62"/>
      <c r="L668" s="62"/>
      <c r="M668" s="62"/>
      <c r="N668" s="62"/>
      <c r="O668" s="62"/>
      <c r="P668" s="62"/>
      <c r="Q668" s="62"/>
      <c r="R668" s="62"/>
      <c r="S668" s="62"/>
      <c r="T668" s="62"/>
      <c r="U668" s="62"/>
      <c r="V668" s="62"/>
      <c r="W668" s="62"/>
      <c r="X668" s="62"/>
      <c r="Y668" s="62"/>
      <c r="Z668" s="62"/>
    </row>
    <row r="669" ht="15.75" customHeight="1">
      <c r="A669" s="74"/>
      <c r="B669" s="74"/>
      <c r="C669" s="74"/>
      <c r="D669" s="74"/>
      <c r="E669" s="2"/>
      <c r="F669" s="2"/>
      <c r="G669" s="2"/>
      <c r="H669" s="127"/>
      <c r="I669" s="62"/>
      <c r="J669" s="62"/>
      <c r="K669" s="62"/>
      <c r="L669" s="62"/>
      <c r="M669" s="62"/>
      <c r="N669" s="62"/>
      <c r="O669" s="62"/>
      <c r="P669" s="62"/>
      <c r="Q669" s="62"/>
      <c r="R669" s="62"/>
      <c r="S669" s="62"/>
      <c r="T669" s="62"/>
      <c r="U669" s="62"/>
      <c r="V669" s="62"/>
      <c r="W669" s="62"/>
      <c r="X669" s="62"/>
      <c r="Y669" s="62"/>
      <c r="Z669" s="62"/>
    </row>
    <row r="670" ht="15.75" customHeight="1">
      <c r="A670" s="74"/>
      <c r="B670" s="74"/>
      <c r="C670" s="74"/>
      <c r="D670" s="74"/>
      <c r="E670" s="2"/>
      <c r="F670" s="2"/>
      <c r="G670" s="2"/>
      <c r="H670" s="127"/>
      <c r="I670" s="62"/>
      <c r="J670" s="62"/>
      <c r="K670" s="62"/>
      <c r="L670" s="62"/>
      <c r="M670" s="62"/>
      <c r="N670" s="62"/>
      <c r="O670" s="62"/>
      <c r="P670" s="62"/>
      <c r="Q670" s="62"/>
      <c r="R670" s="62"/>
      <c r="S670" s="62"/>
      <c r="T670" s="62"/>
      <c r="U670" s="62"/>
      <c r="V670" s="62"/>
      <c r="W670" s="62"/>
      <c r="X670" s="62"/>
      <c r="Y670" s="62"/>
      <c r="Z670" s="62"/>
    </row>
    <row r="671" ht="15.75" customHeight="1">
      <c r="A671" s="74"/>
      <c r="B671" s="74"/>
      <c r="C671" s="74"/>
      <c r="D671" s="74"/>
      <c r="E671" s="2"/>
      <c r="F671" s="2"/>
      <c r="G671" s="2"/>
      <c r="H671" s="127"/>
      <c r="I671" s="62"/>
      <c r="J671" s="62"/>
      <c r="K671" s="62"/>
      <c r="L671" s="62"/>
      <c r="M671" s="62"/>
      <c r="N671" s="62"/>
      <c r="O671" s="62"/>
      <c r="P671" s="62"/>
      <c r="Q671" s="62"/>
      <c r="R671" s="62"/>
      <c r="S671" s="62"/>
      <c r="T671" s="62"/>
      <c r="U671" s="62"/>
      <c r="V671" s="62"/>
      <c r="W671" s="62"/>
      <c r="X671" s="62"/>
      <c r="Y671" s="62"/>
      <c r="Z671" s="62"/>
    </row>
    <row r="672" ht="15.75" customHeight="1">
      <c r="A672" s="74"/>
      <c r="B672" s="74"/>
      <c r="C672" s="74"/>
      <c r="D672" s="74"/>
      <c r="E672" s="2"/>
      <c r="F672" s="2"/>
      <c r="G672" s="2"/>
      <c r="H672" s="127"/>
      <c r="I672" s="62"/>
      <c r="J672" s="62"/>
      <c r="K672" s="62"/>
      <c r="L672" s="62"/>
      <c r="M672" s="62"/>
      <c r="N672" s="62"/>
      <c r="O672" s="62"/>
      <c r="P672" s="62"/>
      <c r="Q672" s="62"/>
      <c r="R672" s="62"/>
      <c r="S672" s="62"/>
      <c r="T672" s="62"/>
      <c r="U672" s="62"/>
      <c r="V672" s="62"/>
      <c r="W672" s="62"/>
      <c r="X672" s="62"/>
      <c r="Y672" s="62"/>
      <c r="Z672" s="62"/>
    </row>
    <row r="673" ht="15.75" customHeight="1">
      <c r="A673" s="74"/>
      <c r="B673" s="74"/>
      <c r="C673" s="74"/>
      <c r="D673" s="74"/>
      <c r="E673" s="2"/>
      <c r="F673" s="2"/>
      <c r="G673" s="2"/>
      <c r="H673" s="127"/>
      <c r="I673" s="62"/>
      <c r="J673" s="62"/>
      <c r="K673" s="62"/>
      <c r="L673" s="62"/>
      <c r="M673" s="62"/>
      <c r="N673" s="62"/>
      <c r="O673" s="62"/>
      <c r="P673" s="62"/>
      <c r="Q673" s="62"/>
      <c r="R673" s="62"/>
      <c r="S673" s="62"/>
      <c r="T673" s="62"/>
      <c r="U673" s="62"/>
      <c r="V673" s="62"/>
      <c r="W673" s="62"/>
      <c r="X673" s="62"/>
      <c r="Y673" s="62"/>
      <c r="Z673" s="62"/>
    </row>
    <row r="674" ht="15.75" customHeight="1">
      <c r="A674" s="74"/>
      <c r="B674" s="74"/>
      <c r="C674" s="74"/>
      <c r="D674" s="74"/>
      <c r="E674" s="2"/>
      <c r="F674" s="2"/>
      <c r="G674" s="2"/>
      <c r="H674" s="127"/>
      <c r="I674" s="62"/>
      <c r="J674" s="62"/>
      <c r="K674" s="62"/>
      <c r="L674" s="62"/>
      <c r="M674" s="62"/>
      <c r="N674" s="62"/>
      <c r="O674" s="62"/>
      <c r="P674" s="62"/>
      <c r="Q674" s="62"/>
      <c r="R674" s="62"/>
      <c r="S674" s="62"/>
      <c r="T674" s="62"/>
      <c r="U674" s="62"/>
      <c r="V674" s="62"/>
      <c r="W674" s="62"/>
      <c r="X674" s="62"/>
      <c r="Y674" s="62"/>
      <c r="Z674" s="62"/>
    </row>
    <row r="675" ht="15.75" customHeight="1">
      <c r="A675" s="74"/>
      <c r="B675" s="74"/>
      <c r="C675" s="74"/>
      <c r="D675" s="74"/>
      <c r="E675" s="2"/>
      <c r="F675" s="2"/>
      <c r="G675" s="2"/>
      <c r="H675" s="127"/>
      <c r="I675" s="62"/>
      <c r="J675" s="62"/>
      <c r="K675" s="62"/>
      <c r="L675" s="62"/>
      <c r="M675" s="62"/>
      <c r="N675" s="62"/>
      <c r="O675" s="62"/>
      <c r="P675" s="62"/>
      <c r="Q675" s="62"/>
      <c r="R675" s="62"/>
      <c r="S675" s="62"/>
      <c r="T675" s="62"/>
      <c r="U675" s="62"/>
      <c r="V675" s="62"/>
      <c r="W675" s="62"/>
      <c r="X675" s="62"/>
      <c r="Y675" s="62"/>
      <c r="Z675" s="62"/>
    </row>
    <row r="676" ht="15.75" customHeight="1">
      <c r="A676" s="74"/>
      <c r="B676" s="74"/>
      <c r="C676" s="74"/>
      <c r="D676" s="74"/>
      <c r="E676" s="2"/>
      <c r="F676" s="2"/>
      <c r="G676" s="2"/>
      <c r="H676" s="127"/>
      <c r="I676" s="62"/>
      <c r="J676" s="62"/>
      <c r="K676" s="62"/>
      <c r="L676" s="62"/>
      <c r="M676" s="62"/>
      <c r="N676" s="62"/>
      <c r="O676" s="62"/>
      <c r="P676" s="62"/>
      <c r="Q676" s="62"/>
      <c r="R676" s="62"/>
      <c r="S676" s="62"/>
      <c r="T676" s="62"/>
      <c r="U676" s="62"/>
      <c r="V676" s="62"/>
      <c r="W676" s="62"/>
      <c r="X676" s="62"/>
      <c r="Y676" s="62"/>
      <c r="Z676" s="62"/>
    </row>
    <row r="677" ht="15.75" customHeight="1">
      <c r="A677" s="74"/>
      <c r="B677" s="74"/>
      <c r="C677" s="74"/>
      <c r="D677" s="74"/>
      <c r="E677" s="2"/>
      <c r="F677" s="2"/>
      <c r="G677" s="2"/>
      <c r="H677" s="127"/>
      <c r="I677" s="62"/>
      <c r="J677" s="62"/>
      <c r="K677" s="62"/>
      <c r="L677" s="62"/>
      <c r="M677" s="62"/>
      <c r="N677" s="62"/>
      <c r="O677" s="62"/>
      <c r="P677" s="62"/>
      <c r="Q677" s="62"/>
      <c r="R677" s="62"/>
      <c r="S677" s="62"/>
      <c r="T677" s="62"/>
      <c r="U677" s="62"/>
      <c r="V677" s="62"/>
      <c r="W677" s="62"/>
      <c r="X677" s="62"/>
      <c r="Y677" s="62"/>
      <c r="Z677" s="62"/>
    </row>
    <row r="678" ht="15.75" customHeight="1">
      <c r="A678" s="74"/>
      <c r="B678" s="74"/>
      <c r="C678" s="74"/>
      <c r="D678" s="74"/>
      <c r="E678" s="2"/>
      <c r="F678" s="2"/>
      <c r="G678" s="2"/>
      <c r="H678" s="127"/>
      <c r="I678" s="62"/>
      <c r="J678" s="62"/>
      <c r="K678" s="62"/>
      <c r="L678" s="62"/>
      <c r="M678" s="62"/>
      <c r="N678" s="62"/>
      <c r="O678" s="62"/>
      <c r="P678" s="62"/>
      <c r="Q678" s="62"/>
      <c r="R678" s="62"/>
      <c r="S678" s="62"/>
      <c r="T678" s="62"/>
      <c r="U678" s="62"/>
      <c r="V678" s="62"/>
      <c r="W678" s="62"/>
      <c r="X678" s="62"/>
      <c r="Y678" s="62"/>
      <c r="Z678" s="62"/>
    </row>
    <row r="679" ht="15.75" customHeight="1">
      <c r="A679" s="74"/>
      <c r="B679" s="74"/>
      <c r="C679" s="74"/>
      <c r="D679" s="74"/>
      <c r="E679" s="2"/>
      <c r="F679" s="2"/>
      <c r="G679" s="2"/>
      <c r="H679" s="127"/>
      <c r="I679" s="62"/>
      <c r="J679" s="62"/>
      <c r="K679" s="62"/>
      <c r="L679" s="62"/>
      <c r="M679" s="62"/>
      <c r="N679" s="62"/>
      <c r="O679" s="62"/>
      <c r="P679" s="62"/>
      <c r="Q679" s="62"/>
      <c r="R679" s="62"/>
      <c r="S679" s="62"/>
      <c r="T679" s="62"/>
      <c r="U679" s="62"/>
      <c r="V679" s="62"/>
      <c r="W679" s="62"/>
      <c r="X679" s="62"/>
      <c r="Y679" s="62"/>
      <c r="Z679" s="62"/>
    </row>
    <row r="680" ht="15.75" customHeight="1">
      <c r="A680" s="74"/>
      <c r="B680" s="74"/>
      <c r="C680" s="74"/>
      <c r="D680" s="74"/>
      <c r="E680" s="2"/>
      <c r="F680" s="2"/>
      <c r="G680" s="2"/>
      <c r="H680" s="127"/>
      <c r="I680" s="62"/>
      <c r="J680" s="62"/>
      <c r="K680" s="62"/>
      <c r="L680" s="62"/>
      <c r="M680" s="62"/>
      <c r="N680" s="62"/>
      <c r="O680" s="62"/>
      <c r="P680" s="62"/>
      <c r="Q680" s="62"/>
      <c r="R680" s="62"/>
      <c r="S680" s="62"/>
      <c r="T680" s="62"/>
      <c r="U680" s="62"/>
      <c r="V680" s="62"/>
      <c r="W680" s="62"/>
      <c r="X680" s="62"/>
      <c r="Y680" s="62"/>
      <c r="Z680" s="62"/>
    </row>
    <row r="681" ht="15.75" customHeight="1">
      <c r="A681" s="74"/>
      <c r="B681" s="74"/>
      <c r="C681" s="74"/>
      <c r="D681" s="74"/>
      <c r="E681" s="2"/>
      <c r="F681" s="2"/>
      <c r="G681" s="2"/>
      <c r="H681" s="127"/>
      <c r="I681" s="62"/>
      <c r="J681" s="62"/>
      <c r="K681" s="62"/>
      <c r="L681" s="62"/>
      <c r="M681" s="62"/>
      <c r="N681" s="62"/>
      <c r="O681" s="62"/>
      <c r="P681" s="62"/>
      <c r="Q681" s="62"/>
      <c r="R681" s="62"/>
      <c r="S681" s="62"/>
      <c r="T681" s="62"/>
      <c r="U681" s="62"/>
      <c r="V681" s="62"/>
      <c r="W681" s="62"/>
      <c r="X681" s="62"/>
      <c r="Y681" s="62"/>
      <c r="Z681" s="62"/>
    </row>
    <row r="682" ht="15.75" customHeight="1">
      <c r="A682" s="74"/>
      <c r="B682" s="74"/>
      <c r="C682" s="74"/>
      <c r="D682" s="74"/>
      <c r="E682" s="2"/>
      <c r="F682" s="2"/>
      <c r="G682" s="2"/>
      <c r="H682" s="127"/>
      <c r="I682" s="62"/>
      <c r="J682" s="62"/>
      <c r="K682" s="62"/>
      <c r="L682" s="62"/>
      <c r="M682" s="62"/>
      <c r="N682" s="62"/>
      <c r="O682" s="62"/>
      <c r="P682" s="62"/>
      <c r="Q682" s="62"/>
      <c r="R682" s="62"/>
      <c r="S682" s="62"/>
      <c r="T682" s="62"/>
      <c r="U682" s="62"/>
      <c r="V682" s="62"/>
      <c r="W682" s="62"/>
      <c r="X682" s="62"/>
      <c r="Y682" s="62"/>
      <c r="Z682" s="62"/>
    </row>
    <row r="683" ht="15.75" customHeight="1">
      <c r="A683" s="74"/>
      <c r="B683" s="74"/>
      <c r="C683" s="74"/>
      <c r="D683" s="74"/>
      <c r="E683" s="2"/>
      <c r="F683" s="2"/>
      <c r="G683" s="2"/>
      <c r="H683" s="127"/>
      <c r="I683" s="62"/>
      <c r="J683" s="62"/>
      <c r="K683" s="62"/>
      <c r="L683" s="62"/>
      <c r="M683" s="62"/>
      <c r="N683" s="62"/>
      <c r="O683" s="62"/>
      <c r="P683" s="62"/>
      <c r="Q683" s="62"/>
      <c r="R683" s="62"/>
      <c r="S683" s="62"/>
      <c r="T683" s="62"/>
      <c r="U683" s="62"/>
      <c r="V683" s="62"/>
      <c r="W683" s="62"/>
      <c r="X683" s="62"/>
      <c r="Y683" s="62"/>
      <c r="Z683" s="62"/>
    </row>
    <row r="684" ht="15.75" customHeight="1">
      <c r="A684" s="74"/>
      <c r="B684" s="74"/>
      <c r="C684" s="74"/>
      <c r="D684" s="74"/>
      <c r="E684" s="2"/>
      <c r="F684" s="2"/>
      <c r="G684" s="2"/>
      <c r="H684" s="127"/>
      <c r="I684" s="62"/>
      <c r="J684" s="62"/>
      <c r="K684" s="62"/>
      <c r="L684" s="62"/>
      <c r="M684" s="62"/>
      <c r="N684" s="62"/>
      <c r="O684" s="62"/>
      <c r="P684" s="62"/>
      <c r="Q684" s="62"/>
      <c r="R684" s="62"/>
      <c r="S684" s="62"/>
      <c r="T684" s="62"/>
      <c r="U684" s="62"/>
      <c r="V684" s="62"/>
      <c r="W684" s="62"/>
      <c r="X684" s="62"/>
      <c r="Y684" s="62"/>
      <c r="Z684" s="62"/>
    </row>
    <row r="685" ht="15.75" customHeight="1">
      <c r="A685" s="74"/>
      <c r="B685" s="74"/>
      <c r="C685" s="74"/>
      <c r="D685" s="74"/>
      <c r="E685" s="2"/>
      <c r="F685" s="2"/>
      <c r="G685" s="2"/>
      <c r="H685" s="127"/>
      <c r="I685" s="62"/>
      <c r="J685" s="62"/>
      <c r="K685" s="62"/>
      <c r="L685" s="62"/>
      <c r="M685" s="62"/>
      <c r="N685" s="62"/>
      <c r="O685" s="62"/>
      <c r="P685" s="62"/>
      <c r="Q685" s="62"/>
      <c r="R685" s="62"/>
      <c r="S685" s="62"/>
      <c r="T685" s="62"/>
      <c r="U685" s="62"/>
      <c r="V685" s="62"/>
      <c r="W685" s="62"/>
      <c r="X685" s="62"/>
      <c r="Y685" s="62"/>
      <c r="Z685" s="62"/>
    </row>
    <row r="686" ht="15.75" customHeight="1">
      <c r="A686" s="74"/>
      <c r="B686" s="74"/>
      <c r="C686" s="74"/>
      <c r="D686" s="74"/>
      <c r="E686" s="2"/>
      <c r="F686" s="2"/>
      <c r="G686" s="2"/>
      <c r="H686" s="127"/>
      <c r="I686" s="62"/>
      <c r="J686" s="62"/>
      <c r="K686" s="62"/>
      <c r="L686" s="62"/>
      <c r="M686" s="62"/>
      <c r="N686" s="62"/>
      <c r="O686" s="62"/>
      <c r="P686" s="62"/>
      <c r="Q686" s="62"/>
      <c r="R686" s="62"/>
      <c r="S686" s="62"/>
      <c r="T686" s="62"/>
      <c r="U686" s="62"/>
      <c r="V686" s="62"/>
      <c r="W686" s="62"/>
      <c r="X686" s="62"/>
      <c r="Y686" s="62"/>
      <c r="Z686" s="62"/>
    </row>
    <row r="687" ht="15.75" customHeight="1">
      <c r="A687" s="74"/>
      <c r="B687" s="74"/>
      <c r="C687" s="74"/>
      <c r="D687" s="74"/>
      <c r="E687" s="2"/>
      <c r="F687" s="2"/>
      <c r="G687" s="2"/>
      <c r="H687" s="127"/>
      <c r="I687" s="62"/>
      <c r="J687" s="62"/>
      <c r="K687" s="62"/>
      <c r="L687" s="62"/>
      <c r="M687" s="62"/>
      <c r="N687" s="62"/>
      <c r="O687" s="62"/>
      <c r="P687" s="62"/>
      <c r="Q687" s="62"/>
      <c r="R687" s="62"/>
      <c r="S687" s="62"/>
      <c r="T687" s="62"/>
      <c r="U687" s="62"/>
      <c r="V687" s="62"/>
      <c r="W687" s="62"/>
      <c r="X687" s="62"/>
      <c r="Y687" s="62"/>
      <c r="Z687" s="62"/>
    </row>
    <row r="688" ht="15.75" customHeight="1">
      <c r="A688" s="74"/>
      <c r="B688" s="74"/>
      <c r="C688" s="74"/>
      <c r="D688" s="74"/>
      <c r="E688" s="2"/>
      <c r="F688" s="2"/>
      <c r="G688" s="2"/>
      <c r="H688" s="127"/>
      <c r="I688" s="62"/>
      <c r="J688" s="62"/>
      <c r="K688" s="62"/>
      <c r="L688" s="62"/>
      <c r="M688" s="62"/>
      <c r="N688" s="62"/>
      <c r="O688" s="62"/>
      <c r="P688" s="62"/>
      <c r="Q688" s="62"/>
      <c r="R688" s="62"/>
      <c r="S688" s="62"/>
      <c r="T688" s="62"/>
      <c r="U688" s="62"/>
      <c r="V688" s="62"/>
      <c r="W688" s="62"/>
      <c r="X688" s="62"/>
      <c r="Y688" s="62"/>
      <c r="Z688" s="62"/>
    </row>
    <row r="689" ht="15.75" customHeight="1">
      <c r="A689" s="74"/>
      <c r="B689" s="74"/>
      <c r="C689" s="74"/>
      <c r="D689" s="74"/>
      <c r="E689" s="2"/>
      <c r="F689" s="2"/>
      <c r="G689" s="2"/>
      <c r="H689" s="127"/>
      <c r="I689" s="62"/>
      <c r="J689" s="62"/>
      <c r="K689" s="62"/>
      <c r="L689" s="62"/>
      <c r="M689" s="62"/>
      <c r="N689" s="62"/>
      <c r="O689" s="62"/>
      <c r="P689" s="62"/>
      <c r="Q689" s="62"/>
      <c r="R689" s="62"/>
      <c r="S689" s="62"/>
      <c r="T689" s="62"/>
      <c r="U689" s="62"/>
      <c r="V689" s="62"/>
      <c r="W689" s="62"/>
      <c r="X689" s="62"/>
      <c r="Y689" s="62"/>
      <c r="Z689" s="62"/>
    </row>
    <row r="690" ht="15.75" customHeight="1">
      <c r="A690" s="74"/>
      <c r="B690" s="74"/>
      <c r="C690" s="74"/>
      <c r="D690" s="74"/>
      <c r="E690" s="2"/>
      <c r="F690" s="2"/>
      <c r="G690" s="2"/>
      <c r="H690" s="127"/>
      <c r="I690" s="62"/>
      <c r="J690" s="62"/>
      <c r="K690" s="62"/>
      <c r="L690" s="62"/>
      <c r="M690" s="62"/>
      <c r="N690" s="62"/>
      <c r="O690" s="62"/>
      <c r="P690" s="62"/>
      <c r="Q690" s="62"/>
      <c r="R690" s="62"/>
      <c r="S690" s="62"/>
      <c r="T690" s="62"/>
      <c r="U690" s="62"/>
      <c r="V690" s="62"/>
      <c r="W690" s="62"/>
      <c r="X690" s="62"/>
      <c r="Y690" s="62"/>
      <c r="Z690" s="62"/>
    </row>
    <row r="691" ht="15.75" customHeight="1">
      <c r="A691" s="74"/>
      <c r="B691" s="74"/>
      <c r="C691" s="74"/>
      <c r="D691" s="74"/>
      <c r="E691" s="2"/>
      <c r="F691" s="2"/>
      <c r="G691" s="2"/>
      <c r="H691" s="127"/>
      <c r="I691" s="62"/>
      <c r="J691" s="62"/>
      <c r="K691" s="62"/>
      <c r="L691" s="62"/>
      <c r="M691" s="62"/>
      <c r="N691" s="62"/>
      <c r="O691" s="62"/>
      <c r="P691" s="62"/>
      <c r="Q691" s="62"/>
      <c r="R691" s="62"/>
      <c r="S691" s="62"/>
      <c r="T691" s="62"/>
      <c r="U691" s="62"/>
      <c r="V691" s="62"/>
      <c r="W691" s="62"/>
      <c r="X691" s="62"/>
      <c r="Y691" s="62"/>
      <c r="Z691" s="62"/>
    </row>
    <row r="692" ht="15.75" customHeight="1">
      <c r="A692" s="74"/>
      <c r="B692" s="74"/>
      <c r="C692" s="74"/>
      <c r="D692" s="74"/>
      <c r="E692" s="2"/>
      <c r="F692" s="2"/>
      <c r="G692" s="2"/>
      <c r="H692" s="127"/>
      <c r="I692" s="62"/>
      <c r="J692" s="62"/>
      <c r="K692" s="62"/>
      <c r="L692" s="62"/>
      <c r="M692" s="62"/>
      <c r="N692" s="62"/>
      <c r="O692" s="62"/>
      <c r="P692" s="62"/>
      <c r="Q692" s="62"/>
      <c r="R692" s="62"/>
      <c r="S692" s="62"/>
      <c r="T692" s="62"/>
      <c r="U692" s="62"/>
      <c r="V692" s="62"/>
      <c r="W692" s="62"/>
      <c r="X692" s="62"/>
      <c r="Y692" s="62"/>
      <c r="Z692" s="62"/>
    </row>
    <row r="693" ht="15.75" customHeight="1">
      <c r="A693" s="74"/>
      <c r="B693" s="74"/>
      <c r="C693" s="74"/>
      <c r="D693" s="74"/>
      <c r="E693" s="2"/>
      <c r="F693" s="2"/>
      <c r="G693" s="2"/>
      <c r="H693" s="127"/>
      <c r="I693" s="62"/>
      <c r="J693" s="62"/>
      <c r="K693" s="62"/>
      <c r="L693" s="62"/>
      <c r="M693" s="62"/>
      <c r="N693" s="62"/>
      <c r="O693" s="62"/>
      <c r="P693" s="62"/>
      <c r="Q693" s="62"/>
      <c r="R693" s="62"/>
      <c r="S693" s="62"/>
      <c r="T693" s="62"/>
      <c r="U693" s="62"/>
      <c r="V693" s="62"/>
      <c r="W693" s="62"/>
      <c r="X693" s="62"/>
      <c r="Y693" s="62"/>
      <c r="Z693" s="62"/>
    </row>
    <row r="694" ht="15.75" customHeight="1">
      <c r="A694" s="74"/>
      <c r="B694" s="74"/>
      <c r="C694" s="74"/>
      <c r="D694" s="74"/>
      <c r="E694" s="2"/>
      <c r="F694" s="2"/>
      <c r="G694" s="2"/>
      <c r="H694" s="127"/>
      <c r="I694" s="62"/>
      <c r="J694" s="62"/>
      <c r="K694" s="62"/>
      <c r="L694" s="62"/>
      <c r="M694" s="62"/>
      <c r="N694" s="62"/>
      <c r="O694" s="62"/>
      <c r="P694" s="62"/>
      <c r="Q694" s="62"/>
      <c r="R694" s="62"/>
      <c r="S694" s="62"/>
      <c r="T694" s="62"/>
      <c r="U694" s="62"/>
      <c r="V694" s="62"/>
      <c r="W694" s="62"/>
      <c r="X694" s="62"/>
      <c r="Y694" s="62"/>
      <c r="Z694" s="62"/>
    </row>
    <row r="695" ht="15.75" customHeight="1">
      <c r="A695" s="74"/>
      <c r="B695" s="74"/>
      <c r="C695" s="74"/>
      <c r="D695" s="74"/>
      <c r="E695" s="2"/>
      <c r="F695" s="2"/>
      <c r="G695" s="2"/>
      <c r="H695" s="127"/>
      <c r="I695" s="62"/>
      <c r="J695" s="62"/>
      <c r="K695" s="62"/>
      <c r="L695" s="62"/>
      <c r="M695" s="62"/>
      <c r="N695" s="62"/>
      <c r="O695" s="62"/>
      <c r="P695" s="62"/>
      <c r="Q695" s="62"/>
      <c r="R695" s="62"/>
      <c r="S695" s="62"/>
      <c r="T695" s="62"/>
      <c r="U695" s="62"/>
      <c r="V695" s="62"/>
      <c r="W695" s="62"/>
      <c r="X695" s="62"/>
      <c r="Y695" s="62"/>
      <c r="Z695" s="62"/>
    </row>
    <row r="696" ht="15.75" customHeight="1">
      <c r="A696" s="74"/>
      <c r="B696" s="74"/>
      <c r="C696" s="74"/>
      <c r="D696" s="74"/>
      <c r="E696" s="2"/>
      <c r="F696" s="2"/>
      <c r="G696" s="2"/>
      <c r="H696" s="127"/>
      <c r="I696" s="62"/>
      <c r="J696" s="62"/>
      <c r="K696" s="62"/>
      <c r="L696" s="62"/>
      <c r="M696" s="62"/>
      <c r="N696" s="62"/>
      <c r="O696" s="62"/>
      <c r="P696" s="62"/>
      <c r="Q696" s="62"/>
      <c r="R696" s="62"/>
      <c r="S696" s="62"/>
      <c r="T696" s="62"/>
      <c r="U696" s="62"/>
      <c r="V696" s="62"/>
      <c r="W696" s="62"/>
      <c r="X696" s="62"/>
      <c r="Y696" s="62"/>
      <c r="Z696" s="62"/>
    </row>
    <row r="697" ht="15.75" customHeight="1">
      <c r="A697" s="74"/>
      <c r="B697" s="74"/>
      <c r="C697" s="74"/>
      <c r="D697" s="74"/>
      <c r="E697" s="2"/>
      <c r="F697" s="2"/>
      <c r="G697" s="2"/>
      <c r="H697" s="127"/>
      <c r="I697" s="62"/>
      <c r="J697" s="62"/>
      <c r="K697" s="62"/>
      <c r="L697" s="62"/>
      <c r="M697" s="62"/>
      <c r="N697" s="62"/>
      <c r="O697" s="62"/>
      <c r="P697" s="62"/>
      <c r="Q697" s="62"/>
      <c r="R697" s="62"/>
      <c r="S697" s="62"/>
      <c r="T697" s="62"/>
      <c r="U697" s="62"/>
      <c r="V697" s="62"/>
      <c r="W697" s="62"/>
      <c r="X697" s="62"/>
      <c r="Y697" s="62"/>
      <c r="Z697" s="62"/>
    </row>
    <row r="698" ht="15.75" customHeight="1">
      <c r="A698" s="74"/>
      <c r="B698" s="74"/>
      <c r="C698" s="74"/>
      <c r="D698" s="74"/>
      <c r="E698" s="2"/>
      <c r="F698" s="2"/>
      <c r="G698" s="2"/>
      <c r="H698" s="127"/>
      <c r="I698" s="62"/>
      <c r="J698" s="62"/>
      <c r="K698" s="62"/>
      <c r="L698" s="62"/>
      <c r="M698" s="62"/>
      <c r="N698" s="62"/>
      <c r="O698" s="62"/>
      <c r="P698" s="62"/>
      <c r="Q698" s="62"/>
      <c r="R698" s="62"/>
      <c r="S698" s="62"/>
      <c r="T698" s="62"/>
      <c r="U698" s="62"/>
      <c r="V698" s="62"/>
      <c r="W698" s="62"/>
      <c r="X698" s="62"/>
      <c r="Y698" s="62"/>
      <c r="Z698" s="62"/>
    </row>
    <row r="699" ht="15.75" customHeight="1">
      <c r="A699" s="74"/>
      <c r="B699" s="74"/>
      <c r="C699" s="74"/>
      <c r="D699" s="74"/>
      <c r="E699" s="2"/>
      <c r="F699" s="2"/>
      <c r="G699" s="2"/>
      <c r="H699" s="127"/>
      <c r="I699" s="62"/>
      <c r="J699" s="62"/>
      <c r="K699" s="62"/>
      <c r="L699" s="62"/>
      <c r="M699" s="62"/>
      <c r="N699" s="62"/>
      <c r="O699" s="62"/>
      <c r="P699" s="62"/>
      <c r="Q699" s="62"/>
      <c r="R699" s="62"/>
      <c r="S699" s="62"/>
      <c r="T699" s="62"/>
      <c r="U699" s="62"/>
      <c r="V699" s="62"/>
      <c r="W699" s="62"/>
      <c r="X699" s="62"/>
      <c r="Y699" s="62"/>
      <c r="Z699" s="62"/>
    </row>
    <row r="700" ht="15.75" customHeight="1">
      <c r="A700" s="74"/>
      <c r="B700" s="74"/>
      <c r="C700" s="74"/>
      <c r="D700" s="74"/>
      <c r="E700" s="2"/>
      <c r="F700" s="2"/>
      <c r="G700" s="2"/>
      <c r="H700" s="127"/>
      <c r="I700" s="62"/>
      <c r="J700" s="62"/>
      <c r="K700" s="62"/>
      <c r="L700" s="62"/>
      <c r="M700" s="62"/>
      <c r="N700" s="62"/>
      <c r="O700" s="62"/>
      <c r="P700" s="62"/>
      <c r="Q700" s="62"/>
      <c r="R700" s="62"/>
      <c r="S700" s="62"/>
      <c r="T700" s="62"/>
      <c r="U700" s="62"/>
      <c r="V700" s="62"/>
      <c r="W700" s="62"/>
      <c r="X700" s="62"/>
      <c r="Y700" s="62"/>
      <c r="Z700" s="62"/>
    </row>
    <row r="701" ht="15.75" customHeight="1">
      <c r="A701" s="74"/>
      <c r="B701" s="74"/>
      <c r="C701" s="74"/>
      <c r="D701" s="74"/>
      <c r="E701" s="2"/>
      <c r="F701" s="2"/>
      <c r="G701" s="2"/>
      <c r="H701" s="127"/>
      <c r="I701" s="62"/>
      <c r="J701" s="62"/>
      <c r="K701" s="62"/>
      <c r="L701" s="62"/>
      <c r="M701" s="62"/>
      <c r="N701" s="62"/>
      <c r="O701" s="62"/>
      <c r="P701" s="62"/>
      <c r="Q701" s="62"/>
      <c r="R701" s="62"/>
      <c r="S701" s="62"/>
      <c r="T701" s="62"/>
      <c r="U701" s="62"/>
      <c r="V701" s="62"/>
      <c r="W701" s="62"/>
      <c r="X701" s="62"/>
      <c r="Y701" s="62"/>
      <c r="Z701" s="62"/>
    </row>
    <row r="702" ht="15.75" customHeight="1">
      <c r="A702" s="74"/>
      <c r="B702" s="74"/>
      <c r="C702" s="74"/>
      <c r="D702" s="74"/>
      <c r="E702" s="2"/>
      <c r="F702" s="2"/>
      <c r="G702" s="2"/>
      <c r="H702" s="127"/>
      <c r="I702" s="62"/>
      <c r="J702" s="62"/>
      <c r="K702" s="62"/>
      <c r="L702" s="62"/>
      <c r="M702" s="62"/>
      <c r="N702" s="62"/>
      <c r="O702" s="62"/>
      <c r="P702" s="62"/>
      <c r="Q702" s="62"/>
      <c r="R702" s="62"/>
      <c r="S702" s="62"/>
      <c r="T702" s="62"/>
      <c r="U702" s="62"/>
      <c r="V702" s="62"/>
      <c r="W702" s="62"/>
      <c r="X702" s="62"/>
      <c r="Y702" s="62"/>
      <c r="Z702" s="62"/>
    </row>
    <row r="703" ht="15.75" customHeight="1">
      <c r="A703" s="74"/>
      <c r="B703" s="74"/>
      <c r="C703" s="74"/>
      <c r="D703" s="74"/>
      <c r="E703" s="2"/>
      <c r="F703" s="2"/>
      <c r="G703" s="2"/>
      <c r="H703" s="127"/>
      <c r="I703" s="62"/>
      <c r="J703" s="62"/>
      <c r="K703" s="62"/>
      <c r="L703" s="62"/>
      <c r="M703" s="62"/>
      <c r="N703" s="62"/>
      <c r="O703" s="62"/>
      <c r="P703" s="62"/>
      <c r="Q703" s="62"/>
      <c r="R703" s="62"/>
      <c r="S703" s="62"/>
      <c r="T703" s="62"/>
      <c r="U703" s="62"/>
      <c r="V703" s="62"/>
      <c r="W703" s="62"/>
      <c r="X703" s="62"/>
      <c r="Y703" s="62"/>
      <c r="Z703" s="62"/>
    </row>
    <row r="704" ht="15.75" customHeight="1">
      <c r="A704" s="74"/>
      <c r="B704" s="74"/>
      <c r="C704" s="74"/>
      <c r="D704" s="74"/>
      <c r="E704" s="2"/>
      <c r="F704" s="2"/>
      <c r="G704" s="2"/>
      <c r="H704" s="127"/>
      <c r="I704" s="62"/>
      <c r="J704" s="62"/>
      <c r="K704" s="62"/>
      <c r="L704" s="62"/>
      <c r="M704" s="62"/>
      <c r="N704" s="62"/>
      <c r="O704" s="62"/>
      <c r="P704" s="62"/>
      <c r="Q704" s="62"/>
      <c r="R704" s="62"/>
      <c r="S704" s="62"/>
      <c r="T704" s="62"/>
      <c r="U704" s="62"/>
      <c r="V704" s="62"/>
      <c r="W704" s="62"/>
      <c r="X704" s="62"/>
      <c r="Y704" s="62"/>
      <c r="Z704" s="62"/>
    </row>
    <row r="705" ht="15.75" customHeight="1">
      <c r="A705" s="74"/>
      <c r="B705" s="74"/>
      <c r="C705" s="74"/>
      <c r="D705" s="74"/>
      <c r="E705" s="2"/>
      <c r="F705" s="2"/>
      <c r="G705" s="2"/>
      <c r="H705" s="127"/>
      <c r="I705" s="62"/>
      <c r="J705" s="62"/>
      <c r="K705" s="62"/>
      <c r="L705" s="62"/>
      <c r="M705" s="62"/>
      <c r="N705" s="62"/>
      <c r="O705" s="62"/>
      <c r="P705" s="62"/>
      <c r="Q705" s="62"/>
      <c r="R705" s="62"/>
      <c r="S705" s="62"/>
      <c r="T705" s="62"/>
      <c r="U705" s="62"/>
      <c r="V705" s="62"/>
      <c r="W705" s="62"/>
      <c r="X705" s="62"/>
      <c r="Y705" s="62"/>
      <c r="Z705" s="62"/>
    </row>
    <row r="706" ht="15.75" customHeight="1">
      <c r="A706" s="74"/>
      <c r="B706" s="74"/>
      <c r="C706" s="74"/>
      <c r="D706" s="74"/>
      <c r="E706" s="2"/>
      <c r="F706" s="2"/>
      <c r="G706" s="2"/>
      <c r="H706" s="127"/>
      <c r="I706" s="62"/>
      <c r="J706" s="62"/>
      <c r="K706" s="62"/>
      <c r="L706" s="62"/>
      <c r="M706" s="62"/>
      <c r="N706" s="62"/>
      <c r="O706" s="62"/>
      <c r="P706" s="62"/>
      <c r="Q706" s="62"/>
      <c r="R706" s="62"/>
      <c r="S706" s="62"/>
      <c r="T706" s="62"/>
      <c r="U706" s="62"/>
      <c r="V706" s="62"/>
      <c r="W706" s="62"/>
      <c r="X706" s="62"/>
      <c r="Y706" s="62"/>
      <c r="Z706" s="62"/>
    </row>
    <row r="707" ht="15.75" customHeight="1">
      <c r="A707" s="74"/>
      <c r="B707" s="74"/>
      <c r="C707" s="74"/>
      <c r="D707" s="74"/>
      <c r="E707" s="2"/>
      <c r="F707" s="2"/>
      <c r="G707" s="2"/>
      <c r="H707" s="127"/>
      <c r="I707" s="62"/>
      <c r="J707" s="62"/>
      <c r="K707" s="62"/>
      <c r="L707" s="62"/>
      <c r="M707" s="62"/>
      <c r="N707" s="62"/>
      <c r="O707" s="62"/>
      <c r="P707" s="62"/>
      <c r="Q707" s="62"/>
      <c r="R707" s="62"/>
      <c r="S707" s="62"/>
      <c r="T707" s="62"/>
      <c r="U707" s="62"/>
      <c r="V707" s="62"/>
      <c r="W707" s="62"/>
      <c r="X707" s="62"/>
      <c r="Y707" s="62"/>
      <c r="Z707" s="62"/>
    </row>
    <row r="708" ht="15.75" customHeight="1">
      <c r="A708" s="74"/>
      <c r="B708" s="74"/>
      <c r="C708" s="74"/>
      <c r="D708" s="74"/>
      <c r="E708" s="2"/>
      <c r="F708" s="2"/>
      <c r="G708" s="2"/>
      <c r="H708" s="127"/>
      <c r="I708" s="62"/>
      <c r="J708" s="62"/>
      <c r="K708" s="62"/>
      <c r="L708" s="62"/>
      <c r="M708" s="62"/>
      <c r="N708" s="62"/>
      <c r="O708" s="62"/>
      <c r="P708" s="62"/>
      <c r="Q708" s="62"/>
      <c r="R708" s="62"/>
      <c r="S708" s="62"/>
      <c r="T708" s="62"/>
      <c r="U708" s="62"/>
      <c r="V708" s="62"/>
      <c r="W708" s="62"/>
      <c r="X708" s="62"/>
      <c r="Y708" s="62"/>
      <c r="Z708" s="62"/>
    </row>
    <row r="709" ht="15.75" customHeight="1">
      <c r="A709" s="74"/>
      <c r="B709" s="74"/>
      <c r="C709" s="74"/>
      <c r="D709" s="74"/>
      <c r="E709" s="2"/>
      <c r="F709" s="2"/>
      <c r="G709" s="2"/>
      <c r="H709" s="127"/>
      <c r="I709" s="62"/>
      <c r="J709" s="62"/>
      <c r="K709" s="62"/>
      <c r="L709" s="62"/>
      <c r="M709" s="62"/>
      <c r="N709" s="62"/>
      <c r="O709" s="62"/>
      <c r="P709" s="62"/>
      <c r="Q709" s="62"/>
      <c r="R709" s="62"/>
      <c r="S709" s="62"/>
      <c r="T709" s="62"/>
      <c r="U709" s="62"/>
      <c r="V709" s="62"/>
      <c r="W709" s="62"/>
      <c r="X709" s="62"/>
      <c r="Y709" s="62"/>
      <c r="Z709" s="62"/>
    </row>
    <row r="710" ht="15.75" customHeight="1">
      <c r="A710" s="74"/>
      <c r="B710" s="74"/>
      <c r="C710" s="74"/>
      <c r="D710" s="74"/>
      <c r="E710" s="2"/>
      <c r="F710" s="2"/>
      <c r="G710" s="2"/>
      <c r="H710" s="127"/>
      <c r="I710" s="62"/>
      <c r="J710" s="62"/>
      <c r="K710" s="62"/>
      <c r="L710" s="62"/>
      <c r="M710" s="62"/>
      <c r="N710" s="62"/>
      <c r="O710" s="62"/>
      <c r="P710" s="62"/>
      <c r="Q710" s="62"/>
      <c r="R710" s="62"/>
      <c r="S710" s="62"/>
      <c r="T710" s="62"/>
      <c r="U710" s="62"/>
      <c r="V710" s="62"/>
      <c r="W710" s="62"/>
      <c r="X710" s="62"/>
      <c r="Y710" s="62"/>
      <c r="Z710" s="62"/>
    </row>
    <row r="711" ht="15.75" customHeight="1">
      <c r="A711" s="74"/>
      <c r="B711" s="74"/>
      <c r="C711" s="74"/>
      <c r="D711" s="74"/>
      <c r="E711" s="2"/>
      <c r="F711" s="2"/>
      <c r="G711" s="2"/>
      <c r="H711" s="127"/>
      <c r="I711" s="62"/>
      <c r="J711" s="62"/>
      <c r="K711" s="62"/>
      <c r="L711" s="62"/>
      <c r="M711" s="62"/>
      <c r="N711" s="62"/>
      <c r="O711" s="62"/>
      <c r="P711" s="62"/>
      <c r="Q711" s="62"/>
      <c r="R711" s="62"/>
      <c r="S711" s="62"/>
      <c r="T711" s="62"/>
      <c r="U711" s="62"/>
      <c r="V711" s="62"/>
      <c r="W711" s="62"/>
      <c r="X711" s="62"/>
      <c r="Y711" s="62"/>
      <c r="Z711" s="62"/>
    </row>
    <row r="712" ht="15.75" customHeight="1">
      <c r="A712" s="74"/>
      <c r="B712" s="74"/>
      <c r="C712" s="74"/>
      <c r="D712" s="74"/>
      <c r="E712" s="2"/>
      <c r="F712" s="2"/>
      <c r="G712" s="2"/>
      <c r="H712" s="127"/>
      <c r="I712" s="62"/>
      <c r="J712" s="62"/>
      <c r="K712" s="62"/>
      <c r="L712" s="62"/>
      <c r="M712" s="62"/>
      <c r="N712" s="62"/>
      <c r="O712" s="62"/>
      <c r="P712" s="62"/>
      <c r="Q712" s="62"/>
      <c r="R712" s="62"/>
      <c r="S712" s="62"/>
      <c r="T712" s="62"/>
      <c r="U712" s="62"/>
      <c r="V712" s="62"/>
      <c r="W712" s="62"/>
      <c r="X712" s="62"/>
      <c r="Y712" s="62"/>
      <c r="Z712" s="62"/>
    </row>
    <row r="713" ht="15.75" customHeight="1">
      <c r="A713" s="74"/>
      <c r="B713" s="74"/>
      <c r="C713" s="74"/>
      <c r="D713" s="74"/>
      <c r="E713" s="2"/>
      <c r="F713" s="2"/>
      <c r="G713" s="2"/>
      <c r="H713" s="127"/>
      <c r="I713" s="62"/>
      <c r="J713" s="62"/>
      <c r="K713" s="62"/>
      <c r="L713" s="62"/>
      <c r="M713" s="62"/>
      <c r="N713" s="62"/>
      <c r="O713" s="62"/>
      <c r="P713" s="62"/>
      <c r="Q713" s="62"/>
      <c r="R713" s="62"/>
      <c r="S713" s="62"/>
      <c r="T713" s="62"/>
      <c r="U713" s="62"/>
      <c r="V713" s="62"/>
      <c r="W713" s="62"/>
      <c r="X713" s="62"/>
      <c r="Y713" s="62"/>
      <c r="Z713" s="62"/>
    </row>
    <row r="714" ht="15.75" customHeight="1">
      <c r="A714" s="74"/>
      <c r="B714" s="74"/>
      <c r="C714" s="74"/>
      <c r="D714" s="74"/>
      <c r="E714" s="2"/>
      <c r="F714" s="2"/>
      <c r="G714" s="2"/>
      <c r="H714" s="127"/>
      <c r="I714" s="62"/>
      <c r="J714" s="62"/>
      <c r="K714" s="62"/>
      <c r="L714" s="62"/>
      <c r="M714" s="62"/>
      <c r="N714" s="62"/>
      <c r="O714" s="62"/>
      <c r="P714" s="62"/>
      <c r="Q714" s="62"/>
      <c r="R714" s="62"/>
      <c r="S714" s="62"/>
      <c r="T714" s="62"/>
      <c r="U714" s="62"/>
      <c r="V714" s="62"/>
      <c r="W714" s="62"/>
      <c r="X714" s="62"/>
      <c r="Y714" s="62"/>
      <c r="Z714" s="62"/>
    </row>
    <row r="715" ht="15.75" customHeight="1">
      <c r="A715" s="74"/>
      <c r="B715" s="74"/>
      <c r="C715" s="74"/>
      <c r="D715" s="74"/>
      <c r="E715" s="2"/>
      <c r="F715" s="2"/>
      <c r="G715" s="2"/>
      <c r="H715" s="127"/>
      <c r="I715" s="62"/>
      <c r="J715" s="62"/>
      <c r="K715" s="62"/>
      <c r="L715" s="62"/>
      <c r="M715" s="62"/>
      <c r="N715" s="62"/>
      <c r="O715" s="62"/>
      <c r="P715" s="62"/>
      <c r="Q715" s="62"/>
      <c r="R715" s="62"/>
      <c r="S715" s="62"/>
      <c r="T715" s="62"/>
      <c r="U715" s="62"/>
      <c r="V715" s="62"/>
      <c r="W715" s="62"/>
      <c r="X715" s="62"/>
      <c r="Y715" s="62"/>
      <c r="Z715" s="62"/>
    </row>
    <row r="716" ht="15.75" customHeight="1">
      <c r="A716" s="74"/>
      <c r="B716" s="74"/>
      <c r="C716" s="74"/>
      <c r="D716" s="74"/>
      <c r="E716" s="2"/>
      <c r="F716" s="2"/>
      <c r="G716" s="2"/>
      <c r="H716" s="127"/>
      <c r="I716" s="62"/>
      <c r="J716" s="62"/>
      <c r="K716" s="62"/>
      <c r="L716" s="62"/>
      <c r="M716" s="62"/>
      <c r="N716" s="62"/>
      <c r="O716" s="62"/>
      <c r="P716" s="62"/>
      <c r="Q716" s="62"/>
      <c r="R716" s="62"/>
      <c r="S716" s="62"/>
      <c r="T716" s="62"/>
      <c r="U716" s="62"/>
      <c r="V716" s="62"/>
      <c r="W716" s="62"/>
      <c r="X716" s="62"/>
      <c r="Y716" s="62"/>
      <c r="Z716" s="62"/>
    </row>
    <row r="717" ht="15.75" customHeight="1">
      <c r="A717" s="74"/>
      <c r="B717" s="74"/>
      <c r="C717" s="74"/>
      <c r="D717" s="74"/>
      <c r="E717" s="2"/>
      <c r="F717" s="2"/>
      <c r="G717" s="2"/>
      <c r="H717" s="127"/>
      <c r="I717" s="62"/>
      <c r="J717" s="62"/>
      <c r="K717" s="62"/>
      <c r="L717" s="62"/>
      <c r="M717" s="62"/>
      <c r="N717" s="62"/>
      <c r="O717" s="62"/>
      <c r="P717" s="62"/>
      <c r="Q717" s="62"/>
      <c r="R717" s="62"/>
      <c r="S717" s="62"/>
      <c r="T717" s="62"/>
      <c r="U717" s="62"/>
      <c r="V717" s="62"/>
      <c r="W717" s="62"/>
      <c r="X717" s="62"/>
      <c r="Y717" s="62"/>
      <c r="Z717" s="62"/>
    </row>
    <row r="718" ht="15.75" customHeight="1">
      <c r="A718" s="74"/>
      <c r="B718" s="74"/>
      <c r="C718" s="74"/>
      <c r="D718" s="74"/>
      <c r="E718" s="2"/>
      <c r="F718" s="2"/>
      <c r="G718" s="2"/>
      <c r="H718" s="127"/>
      <c r="I718" s="62"/>
      <c r="J718" s="62"/>
      <c r="K718" s="62"/>
      <c r="L718" s="62"/>
      <c r="M718" s="62"/>
      <c r="N718" s="62"/>
      <c r="O718" s="62"/>
      <c r="P718" s="62"/>
      <c r="Q718" s="62"/>
      <c r="R718" s="62"/>
      <c r="S718" s="62"/>
      <c r="T718" s="62"/>
      <c r="U718" s="62"/>
      <c r="V718" s="62"/>
      <c r="W718" s="62"/>
      <c r="X718" s="62"/>
      <c r="Y718" s="62"/>
      <c r="Z718" s="62"/>
    </row>
    <row r="719" ht="15.75" customHeight="1">
      <c r="A719" s="74"/>
      <c r="B719" s="74"/>
      <c r="C719" s="74"/>
      <c r="D719" s="74"/>
      <c r="E719" s="2"/>
      <c r="F719" s="2"/>
      <c r="G719" s="2"/>
      <c r="H719" s="127"/>
      <c r="I719" s="62"/>
      <c r="J719" s="62"/>
      <c r="K719" s="62"/>
      <c r="L719" s="62"/>
      <c r="M719" s="62"/>
      <c r="N719" s="62"/>
      <c r="O719" s="62"/>
      <c r="P719" s="62"/>
      <c r="Q719" s="62"/>
      <c r="R719" s="62"/>
      <c r="S719" s="62"/>
      <c r="T719" s="62"/>
      <c r="U719" s="62"/>
      <c r="V719" s="62"/>
      <c r="W719" s="62"/>
      <c r="X719" s="62"/>
      <c r="Y719" s="62"/>
      <c r="Z719" s="62"/>
    </row>
    <row r="720" ht="15.75" customHeight="1">
      <c r="A720" s="74"/>
      <c r="B720" s="74"/>
      <c r="C720" s="74"/>
      <c r="D720" s="74"/>
      <c r="E720" s="2"/>
      <c r="F720" s="2"/>
      <c r="G720" s="2"/>
      <c r="H720" s="127"/>
      <c r="I720" s="62"/>
      <c r="J720" s="62"/>
      <c r="K720" s="62"/>
      <c r="L720" s="62"/>
      <c r="M720" s="62"/>
      <c r="N720" s="62"/>
      <c r="O720" s="62"/>
      <c r="P720" s="62"/>
      <c r="Q720" s="62"/>
      <c r="R720" s="62"/>
      <c r="S720" s="62"/>
      <c r="T720" s="62"/>
      <c r="U720" s="62"/>
      <c r="V720" s="62"/>
      <c r="W720" s="62"/>
      <c r="X720" s="62"/>
      <c r="Y720" s="62"/>
      <c r="Z720" s="62"/>
    </row>
    <row r="721" ht="15.75" customHeight="1">
      <c r="A721" s="74"/>
      <c r="B721" s="74"/>
      <c r="C721" s="74"/>
      <c r="D721" s="74"/>
      <c r="E721" s="2"/>
      <c r="F721" s="2"/>
      <c r="G721" s="2"/>
      <c r="H721" s="127"/>
      <c r="I721" s="62"/>
      <c r="J721" s="62"/>
      <c r="K721" s="62"/>
      <c r="L721" s="62"/>
      <c r="M721" s="62"/>
      <c r="N721" s="62"/>
      <c r="O721" s="62"/>
      <c r="P721" s="62"/>
      <c r="Q721" s="62"/>
      <c r="R721" s="62"/>
      <c r="S721" s="62"/>
      <c r="T721" s="62"/>
      <c r="U721" s="62"/>
      <c r="V721" s="62"/>
      <c r="W721" s="62"/>
      <c r="X721" s="62"/>
      <c r="Y721" s="62"/>
      <c r="Z721" s="62"/>
    </row>
    <row r="722" ht="15.75" customHeight="1">
      <c r="A722" s="74"/>
      <c r="B722" s="74"/>
      <c r="C722" s="74"/>
      <c r="D722" s="74"/>
      <c r="E722" s="2"/>
      <c r="F722" s="2"/>
      <c r="G722" s="2"/>
      <c r="H722" s="127"/>
      <c r="I722" s="62"/>
      <c r="J722" s="62"/>
      <c r="K722" s="62"/>
      <c r="L722" s="62"/>
      <c r="M722" s="62"/>
      <c r="N722" s="62"/>
      <c r="O722" s="62"/>
      <c r="P722" s="62"/>
      <c r="Q722" s="62"/>
      <c r="R722" s="62"/>
      <c r="S722" s="62"/>
      <c r="T722" s="62"/>
      <c r="U722" s="62"/>
      <c r="V722" s="62"/>
      <c r="W722" s="62"/>
      <c r="X722" s="62"/>
      <c r="Y722" s="62"/>
      <c r="Z722" s="62"/>
    </row>
    <row r="723" ht="15.75" customHeight="1">
      <c r="A723" s="74"/>
      <c r="B723" s="74"/>
      <c r="C723" s="74"/>
      <c r="D723" s="74"/>
      <c r="E723" s="2"/>
      <c r="F723" s="2"/>
      <c r="G723" s="2"/>
      <c r="H723" s="127"/>
      <c r="I723" s="62"/>
      <c r="J723" s="62"/>
      <c r="K723" s="62"/>
      <c r="L723" s="62"/>
      <c r="M723" s="62"/>
      <c r="N723" s="62"/>
      <c r="O723" s="62"/>
      <c r="P723" s="62"/>
      <c r="Q723" s="62"/>
      <c r="R723" s="62"/>
      <c r="S723" s="62"/>
      <c r="T723" s="62"/>
      <c r="U723" s="62"/>
      <c r="V723" s="62"/>
      <c r="W723" s="62"/>
      <c r="X723" s="62"/>
      <c r="Y723" s="62"/>
      <c r="Z723" s="62"/>
    </row>
    <row r="724" ht="15.75" customHeight="1">
      <c r="A724" s="74"/>
      <c r="B724" s="74"/>
      <c r="C724" s="74"/>
      <c r="D724" s="74"/>
      <c r="E724" s="2"/>
      <c r="F724" s="2"/>
      <c r="G724" s="2"/>
      <c r="H724" s="127"/>
      <c r="I724" s="62"/>
      <c r="J724" s="62"/>
      <c r="K724" s="62"/>
      <c r="L724" s="62"/>
      <c r="M724" s="62"/>
      <c r="N724" s="62"/>
      <c r="O724" s="62"/>
      <c r="P724" s="62"/>
      <c r="Q724" s="62"/>
      <c r="R724" s="62"/>
      <c r="S724" s="62"/>
      <c r="T724" s="62"/>
      <c r="U724" s="62"/>
      <c r="V724" s="62"/>
      <c r="W724" s="62"/>
      <c r="X724" s="62"/>
      <c r="Y724" s="62"/>
      <c r="Z724" s="62"/>
    </row>
    <row r="725" ht="15.75" customHeight="1">
      <c r="A725" s="74"/>
      <c r="B725" s="74"/>
      <c r="C725" s="74"/>
      <c r="D725" s="74"/>
      <c r="E725" s="2"/>
      <c r="F725" s="2"/>
      <c r="G725" s="2"/>
      <c r="H725" s="127"/>
      <c r="I725" s="62"/>
      <c r="J725" s="62"/>
      <c r="K725" s="62"/>
      <c r="L725" s="62"/>
      <c r="M725" s="62"/>
      <c r="N725" s="62"/>
      <c r="O725" s="62"/>
      <c r="P725" s="62"/>
      <c r="Q725" s="62"/>
      <c r="R725" s="62"/>
      <c r="S725" s="62"/>
      <c r="T725" s="62"/>
      <c r="U725" s="62"/>
      <c r="V725" s="62"/>
      <c r="W725" s="62"/>
      <c r="X725" s="62"/>
      <c r="Y725" s="62"/>
      <c r="Z725" s="62"/>
    </row>
    <row r="726" ht="15.75" customHeight="1">
      <c r="A726" s="74"/>
      <c r="B726" s="74"/>
      <c r="C726" s="74"/>
      <c r="D726" s="74"/>
      <c r="E726" s="2"/>
      <c r="F726" s="2"/>
      <c r="G726" s="2"/>
      <c r="H726" s="127"/>
      <c r="I726" s="62"/>
      <c r="J726" s="62"/>
      <c r="K726" s="62"/>
      <c r="L726" s="62"/>
      <c r="M726" s="62"/>
      <c r="N726" s="62"/>
      <c r="O726" s="62"/>
      <c r="P726" s="62"/>
      <c r="Q726" s="62"/>
      <c r="R726" s="62"/>
      <c r="S726" s="62"/>
      <c r="T726" s="62"/>
      <c r="U726" s="62"/>
      <c r="V726" s="62"/>
      <c r="W726" s="62"/>
      <c r="X726" s="62"/>
      <c r="Y726" s="62"/>
      <c r="Z726" s="62"/>
    </row>
    <row r="727" ht="15.75" customHeight="1">
      <c r="A727" s="74"/>
      <c r="B727" s="74"/>
      <c r="C727" s="74"/>
      <c r="D727" s="74"/>
      <c r="E727" s="2"/>
      <c r="F727" s="2"/>
      <c r="G727" s="2"/>
      <c r="H727" s="127"/>
      <c r="I727" s="62"/>
      <c r="J727" s="62"/>
      <c r="K727" s="62"/>
      <c r="L727" s="62"/>
      <c r="M727" s="62"/>
      <c r="N727" s="62"/>
      <c r="O727" s="62"/>
      <c r="P727" s="62"/>
      <c r="Q727" s="62"/>
      <c r="R727" s="62"/>
      <c r="S727" s="62"/>
      <c r="T727" s="62"/>
      <c r="U727" s="62"/>
      <c r="V727" s="62"/>
      <c r="W727" s="62"/>
      <c r="X727" s="62"/>
      <c r="Y727" s="62"/>
      <c r="Z727" s="62"/>
    </row>
    <row r="728" ht="15.75" customHeight="1">
      <c r="A728" s="74"/>
      <c r="B728" s="74"/>
      <c r="C728" s="74"/>
      <c r="D728" s="74"/>
      <c r="E728" s="2"/>
      <c r="F728" s="2"/>
      <c r="G728" s="2"/>
      <c r="H728" s="127"/>
      <c r="I728" s="62"/>
      <c r="J728" s="62"/>
      <c r="K728" s="62"/>
      <c r="L728" s="62"/>
      <c r="M728" s="62"/>
      <c r="N728" s="62"/>
      <c r="O728" s="62"/>
      <c r="P728" s="62"/>
      <c r="Q728" s="62"/>
      <c r="R728" s="62"/>
      <c r="S728" s="62"/>
      <c r="T728" s="62"/>
      <c r="U728" s="62"/>
      <c r="V728" s="62"/>
      <c r="W728" s="62"/>
      <c r="X728" s="62"/>
      <c r="Y728" s="62"/>
      <c r="Z728" s="62"/>
    </row>
    <row r="729" ht="15.75" customHeight="1">
      <c r="A729" s="74"/>
      <c r="B729" s="74"/>
      <c r="C729" s="74"/>
      <c r="D729" s="74"/>
      <c r="E729" s="2"/>
      <c r="F729" s="2"/>
      <c r="G729" s="2"/>
      <c r="H729" s="127"/>
      <c r="I729" s="62"/>
      <c r="J729" s="62"/>
      <c r="K729" s="62"/>
      <c r="L729" s="62"/>
      <c r="M729" s="62"/>
      <c r="N729" s="62"/>
      <c r="O729" s="62"/>
      <c r="P729" s="62"/>
      <c r="Q729" s="62"/>
      <c r="R729" s="62"/>
      <c r="S729" s="62"/>
      <c r="T729" s="62"/>
      <c r="U729" s="62"/>
      <c r="V729" s="62"/>
      <c r="W729" s="62"/>
      <c r="X729" s="62"/>
      <c r="Y729" s="62"/>
      <c r="Z729" s="62"/>
    </row>
    <row r="730" ht="15.75" customHeight="1">
      <c r="A730" s="74"/>
      <c r="B730" s="74"/>
      <c r="C730" s="74"/>
      <c r="D730" s="74"/>
      <c r="E730" s="2"/>
      <c r="F730" s="2"/>
      <c r="G730" s="2"/>
      <c r="H730" s="127"/>
      <c r="I730" s="62"/>
      <c r="J730" s="62"/>
      <c r="K730" s="62"/>
      <c r="L730" s="62"/>
      <c r="M730" s="62"/>
      <c r="N730" s="62"/>
      <c r="O730" s="62"/>
      <c r="P730" s="62"/>
      <c r="Q730" s="62"/>
      <c r="R730" s="62"/>
      <c r="S730" s="62"/>
      <c r="T730" s="62"/>
      <c r="U730" s="62"/>
      <c r="V730" s="62"/>
      <c r="W730" s="62"/>
      <c r="X730" s="62"/>
      <c r="Y730" s="62"/>
      <c r="Z730" s="62"/>
    </row>
    <row r="731" ht="15.75" customHeight="1">
      <c r="A731" s="74"/>
      <c r="B731" s="74"/>
      <c r="C731" s="74"/>
      <c r="D731" s="74"/>
      <c r="E731" s="2"/>
      <c r="F731" s="2"/>
      <c r="G731" s="2"/>
      <c r="H731" s="127"/>
      <c r="I731" s="62"/>
      <c r="J731" s="62"/>
      <c r="K731" s="62"/>
      <c r="L731" s="62"/>
      <c r="M731" s="62"/>
      <c r="N731" s="62"/>
      <c r="O731" s="62"/>
      <c r="P731" s="62"/>
      <c r="Q731" s="62"/>
      <c r="R731" s="62"/>
      <c r="S731" s="62"/>
      <c r="T731" s="62"/>
      <c r="U731" s="62"/>
      <c r="V731" s="62"/>
      <c r="W731" s="62"/>
      <c r="X731" s="62"/>
      <c r="Y731" s="62"/>
      <c r="Z731" s="62"/>
    </row>
    <row r="732" ht="15.75" customHeight="1">
      <c r="A732" s="74"/>
      <c r="B732" s="74"/>
      <c r="C732" s="74"/>
      <c r="D732" s="74"/>
      <c r="E732" s="2"/>
      <c r="F732" s="2"/>
      <c r="G732" s="2"/>
      <c r="H732" s="127"/>
      <c r="I732" s="62"/>
      <c r="J732" s="62"/>
      <c r="K732" s="62"/>
      <c r="L732" s="62"/>
      <c r="M732" s="62"/>
      <c r="N732" s="62"/>
      <c r="O732" s="62"/>
      <c r="P732" s="62"/>
      <c r="Q732" s="62"/>
      <c r="R732" s="62"/>
      <c r="S732" s="62"/>
      <c r="T732" s="62"/>
      <c r="U732" s="62"/>
      <c r="V732" s="62"/>
      <c r="W732" s="62"/>
      <c r="X732" s="62"/>
      <c r="Y732" s="62"/>
      <c r="Z732" s="62"/>
    </row>
    <row r="733" ht="15.75" customHeight="1">
      <c r="A733" s="74"/>
      <c r="B733" s="74"/>
      <c r="C733" s="74"/>
      <c r="D733" s="74"/>
      <c r="E733" s="2"/>
      <c r="F733" s="2"/>
      <c r="G733" s="2"/>
      <c r="H733" s="127"/>
      <c r="I733" s="62"/>
      <c r="J733" s="62"/>
      <c r="K733" s="62"/>
      <c r="L733" s="62"/>
      <c r="M733" s="62"/>
      <c r="N733" s="62"/>
      <c r="O733" s="62"/>
      <c r="P733" s="62"/>
      <c r="Q733" s="62"/>
      <c r="R733" s="62"/>
      <c r="S733" s="62"/>
      <c r="T733" s="62"/>
      <c r="U733" s="62"/>
      <c r="V733" s="62"/>
      <c r="W733" s="62"/>
      <c r="X733" s="62"/>
      <c r="Y733" s="62"/>
      <c r="Z733" s="62"/>
    </row>
    <row r="734" ht="15.75" customHeight="1">
      <c r="A734" s="74"/>
      <c r="B734" s="74"/>
      <c r="C734" s="74"/>
      <c r="D734" s="74"/>
      <c r="E734" s="2"/>
      <c r="F734" s="2"/>
      <c r="G734" s="2"/>
      <c r="H734" s="127"/>
      <c r="I734" s="62"/>
      <c r="J734" s="62"/>
      <c r="K734" s="62"/>
      <c r="L734" s="62"/>
      <c r="M734" s="62"/>
      <c r="N734" s="62"/>
      <c r="O734" s="62"/>
      <c r="P734" s="62"/>
      <c r="Q734" s="62"/>
      <c r="R734" s="62"/>
      <c r="S734" s="62"/>
      <c r="T734" s="62"/>
      <c r="U734" s="62"/>
      <c r="V734" s="62"/>
      <c r="W734" s="62"/>
      <c r="X734" s="62"/>
      <c r="Y734" s="62"/>
      <c r="Z734" s="62"/>
    </row>
    <row r="735" ht="15.75" customHeight="1">
      <c r="A735" s="74"/>
      <c r="B735" s="74"/>
      <c r="C735" s="74"/>
      <c r="D735" s="74"/>
      <c r="E735" s="2"/>
      <c r="F735" s="2"/>
      <c r="G735" s="2"/>
      <c r="H735" s="127"/>
      <c r="I735" s="62"/>
      <c r="J735" s="62"/>
      <c r="K735" s="62"/>
      <c r="L735" s="62"/>
      <c r="M735" s="62"/>
      <c r="N735" s="62"/>
      <c r="O735" s="62"/>
      <c r="P735" s="62"/>
      <c r="Q735" s="62"/>
      <c r="R735" s="62"/>
      <c r="S735" s="62"/>
      <c r="T735" s="62"/>
      <c r="U735" s="62"/>
      <c r="V735" s="62"/>
      <c r="W735" s="62"/>
      <c r="X735" s="62"/>
      <c r="Y735" s="62"/>
      <c r="Z735" s="62"/>
    </row>
    <row r="736" ht="15.75" customHeight="1">
      <c r="A736" s="74"/>
      <c r="B736" s="74"/>
      <c r="C736" s="74"/>
      <c r="D736" s="74"/>
      <c r="E736" s="2"/>
      <c r="F736" s="2"/>
      <c r="G736" s="2"/>
      <c r="H736" s="127"/>
      <c r="I736" s="62"/>
      <c r="J736" s="62"/>
      <c r="K736" s="62"/>
      <c r="L736" s="62"/>
      <c r="M736" s="62"/>
      <c r="N736" s="62"/>
      <c r="O736" s="62"/>
      <c r="P736" s="62"/>
      <c r="Q736" s="62"/>
      <c r="R736" s="62"/>
      <c r="S736" s="62"/>
      <c r="T736" s="62"/>
      <c r="U736" s="62"/>
      <c r="V736" s="62"/>
      <c r="W736" s="62"/>
      <c r="X736" s="62"/>
      <c r="Y736" s="62"/>
      <c r="Z736" s="62"/>
    </row>
    <row r="737" ht="15.75" customHeight="1">
      <c r="A737" s="74"/>
      <c r="B737" s="74"/>
      <c r="C737" s="74"/>
      <c r="D737" s="74"/>
      <c r="E737" s="2"/>
      <c r="F737" s="2"/>
      <c r="G737" s="2"/>
      <c r="H737" s="127"/>
      <c r="I737" s="62"/>
      <c r="J737" s="62"/>
      <c r="K737" s="62"/>
      <c r="L737" s="62"/>
      <c r="M737" s="62"/>
      <c r="N737" s="62"/>
      <c r="O737" s="62"/>
      <c r="P737" s="62"/>
      <c r="Q737" s="62"/>
      <c r="R737" s="62"/>
      <c r="S737" s="62"/>
      <c r="T737" s="62"/>
      <c r="U737" s="62"/>
      <c r="V737" s="62"/>
      <c r="W737" s="62"/>
      <c r="X737" s="62"/>
      <c r="Y737" s="62"/>
      <c r="Z737" s="62"/>
    </row>
    <row r="738" ht="15.75" customHeight="1">
      <c r="A738" s="74"/>
      <c r="B738" s="74"/>
      <c r="C738" s="74"/>
      <c r="D738" s="74"/>
      <c r="E738" s="2"/>
      <c r="F738" s="2"/>
      <c r="G738" s="2"/>
      <c r="H738" s="127"/>
      <c r="I738" s="62"/>
      <c r="J738" s="62"/>
      <c r="K738" s="62"/>
      <c r="L738" s="62"/>
      <c r="M738" s="62"/>
      <c r="N738" s="62"/>
      <c r="O738" s="62"/>
      <c r="P738" s="62"/>
      <c r="Q738" s="62"/>
      <c r="R738" s="62"/>
      <c r="S738" s="62"/>
      <c r="T738" s="62"/>
      <c r="U738" s="62"/>
      <c r="V738" s="62"/>
      <c r="W738" s="62"/>
      <c r="X738" s="62"/>
      <c r="Y738" s="62"/>
      <c r="Z738" s="62"/>
    </row>
    <row r="739" ht="15.75" customHeight="1">
      <c r="A739" s="74"/>
      <c r="B739" s="74"/>
      <c r="C739" s="74"/>
      <c r="D739" s="74"/>
      <c r="E739" s="2"/>
      <c r="F739" s="2"/>
      <c r="G739" s="2"/>
      <c r="H739" s="127"/>
      <c r="I739" s="62"/>
      <c r="J739" s="62"/>
      <c r="K739" s="62"/>
      <c r="L739" s="62"/>
      <c r="M739" s="62"/>
      <c r="N739" s="62"/>
      <c r="O739" s="62"/>
      <c r="P739" s="62"/>
      <c r="Q739" s="62"/>
      <c r="R739" s="62"/>
      <c r="S739" s="62"/>
      <c r="T739" s="62"/>
      <c r="U739" s="62"/>
      <c r="V739" s="62"/>
      <c r="W739" s="62"/>
      <c r="X739" s="62"/>
      <c r="Y739" s="62"/>
      <c r="Z739" s="62"/>
    </row>
    <row r="740" ht="15.75" customHeight="1">
      <c r="A740" s="74"/>
      <c r="B740" s="74"/>
      <c r="C740" s="74"/>
      <c r="D740" s="74"/>
      <c r="E740" s="2"/>
      <c r="F740" s="2"/>
      <c r="G740" s="2"/>
      <c r="H740" s="127"/>
      <c r="I740" s="62"/>
      <c r="J740" s="62"/>
      <c r="K740" s="62"/>
      <c r="L740" s="62"/>
      <c r="M740" s="62"/>
      <c r="N740" s="62"/>
      <c r="O740" s="62"/>
      <c r="P740" s="62"/>
      <c r="Q740" s="62"/>
      <c r="R740" s="62"/>
      <c r="S740" s="62"/>
      <c r="T740" s="62"/>
      <c r="U740" s="62"/>
      <c r="V740" s="62"/>
      <c r="W740" s="62"/>
      <c r="X740" s="62"/>
      <c r="Y740" s="62"/>
      <c r="Z740" s="62"/>
    </row>
    <row r="741" ht="15.75" customHeight="1">
      <c r="A741" s="74"/>
      <c r="B741" s="74"/>
      <c r="C741" s="74"/>
      <c r="D741" s="74"/>
      <c r="E741" s="2"/>
      <c r="F741" s="2"/>
      <c r="G741" s="2"/>
      <c r="H741" s="127"/>
      <c r="I741" s="62"/>
      <c r="J741" s="62"/>
      <c r="K741" s="62"/>
      <c r="L741" s="62"/>
      <c r="M741" s="62"/>
      <c r="N741" s="62"/>
      <c r="O741" s="62"/>
      <c r="P741" s="62"/>
      <c r="Q741" s="62"/>
      <c r="R741" s="62"/>
      <c r="S741" s="62"/>
      <c r="T741" s="62"/>
      <c r="U741" s="62"/>
      <c r="V741" s="62"/>
      <c r="W741" s="62"/>
      <c r="X741" s="62"/>
      <c r="Y741" s="62"/>
      <c r="Z741" s="62"/>
    </row>
    <row r="742" ht="15.75" customHeight="1">
      <c r="A742" s="74"/>
      <c r="B742" s="74"/>
      <c r="C742" s="74"/>
      <c r="D742" s="74"/>
      <c r="E742" s="2"/>
      <c r="F742" s="2"/>
      <c r="G742" s="2"/>
      <c r="H742" s="127"/>
      <c r="I742" s="62"/>
      <c r="J742" s="62"/>
      <c r="K742" s="62"/>
      <c r="L742" s="62"/>
      <c r="M742" s="62"/>
      <c r="N742" s="62"/>
      <c r="O742" s="62"/>
      <c r="P742" s="62"/>
      <c r="Q742" s="62"/>
      <c r="R742" s="62"/>
      <c r="S742" s="62"/>
      <c r="T742" s="62"/>
      <c r="U742" s="62"/>
      <c r="V742" s="62"/>
      <c r="W742" s="62"/>
      <c r="X742" s="62"/>
      <c r="Y742" s="62"/>
      <c r="Z742" s="62"/>
    </row>
    <row r="743" ht="15.75" customHeight="1">
      <c r="A743" s="74"/>
      <c r="B743" s="74"/>
      <c r="C743" s="74"/>
      <c r="D743" s="74"/>
      <c r="E743" s="2"/>
      <c r="F743" s="2"/>
      <c r="G743" s="2"/>
      <c r="H743" s="127"/>
      <c r="I743" s="62"/>
      <c r="J743" s="62"/>
      <c r="K743" s="62"/>
      <c r="L743" s="62"/>
      <c r="M743" s="62"/>
      <c r="N743" s="62"/>
      <c r="O743" s="62"/>
      <c r="P743" s="62"/>
      <c r="Q743" s="62"/>
      <c r="R743" s="62"/>
      <c r="S743" s="62"/>
      <c r="T743" s="62"/>
      <c r="U743" s="62"/>
      <c r="V743" s="62"/>
      <c r="W743" s="62"/>
      <c r="X743" s="62"/>
      <c r="Y743" s="62"/>
      <c r="Z743" s="62"/>
    </row>
    <row r="744" ht="15.75" customHeight="1">
      <c r="A744" s="74"/>
      <c r="B744" s="74"/>
      <c r="C744" s="74"/>
      <c r="D744" s="74"/>
      <c r="E744" s="2"/>
      <c r="F744" s="2"/>
      <c r="G744" s="2"/>
      <c r="H744" s="127"/>
      <c r="I744" s="62"/>
      <c r="J744" s="62"/>
      <c r="K744" s="62"/>
      <c r="L744" s="62"/>
      <c r="M744" s="62"/>
      <c r="N744" s="62"/>
      <c r="O744" s="62"/>
      <c r="P744" s="62"/>
      <c r="Q744" s="62"/>
      <c r="R744" s="62"/>
      <c r="S744" s="62"/>
      <c r="T744" s="62"/>
      <c r="U744" s="62"/>
      <c r="V744" s="62"/>
      <c r="W744" s="62"/>
      <c r="X744" s="62"/>
      <c r="Y744" s="62"/>
      <c r="Z744" s="62"/>
    </row>
    <row r="745" ht="15.75" customHeight="1">
      <c r="A745" s="74"/>
      <c r="B745" s="74"/>
      <c r="C745" s="74"/>
      <c r="D745" s="74"/>
      <c r="E745" s="2"/>
      <c r="F745" s="2"/>
      <c r="G745" s="2"/>
      <c r="H745" s="127"/>
      <c r="I745" s="62"/>
      <c r="J745" s="62"/>
      <c r="K745" s="62"/>
      <c r="L745" s="62"/>
      <c r="M745" s="62"/>
      <c r="N745" s="62"/>
      <c r="O745" s="62"/>
      <c r="P745" s="62"/>
      <c r="Q745" s="62"/>
      <c r="R745" s="62"/>
      <c r="S745" s="62"/>
      <c r="T745" s="62"/>
      <c r="U745" s="62"/>
      <c r="V745" s="62"/>
      <c r="W745" s="62"/>
      <c r="X745" s="62"/>
      <c r="Y745" s="62"/>
      <c r="Z745" s="62"/>
    </row>
    <row r="746" ht="15.75" customHeight="1">
      <c r="A746" s="74"/>
      <c r="B746" s="74"/>
      <c r="C746" s="74"/>
      <c r="D746" s="74"/>
      <c r="E746" s="2"/>
      <c r="F746" s="2"/>
      <c r="G746" s="2"/>
      <c r="H746" s="127"/>
      <c r="I746" s="62"/>
      <c r="J746" s="62"/>
      <c r="K746" s="62"/>
      <c r="L746" s="62"/>
      <c r="M746" s="62"/>
      <c r="N746" s="62"/>
      <c r="O746" s="62"/>
      <c r="P746" s="62"/>
      <c r="Q746" s="62"/>
      <c r="R746" s="62"/>
      <c r="S746" s="62"/>
      <c r="T746" s="62"/>
      <c r="U746" s="62"/>
      <c r="V746" s="62"/>
      <c r="W746" s="62"/>
      <c r="X746" s="62"/>
      <c r="Y746" s="62"/>
      <c r="Z746" s="62"/>
    </row>
    <row r="747" ht="15.75" customHeight="1">
      <c r="A747" s="74"/>
      <c r="B747" s="74"/>
      <c r="C747" s="74"/>
      <c r="D747" s="74"/>
      <c r="E747" s="2"/>
      <c r="F747" s="2"/>
      <c r="G747" s="2"/>
      <c r="H747" s="127"/>
      <c r="I747" s="62"/>
      <c r="J747" s="62"/>
      <c r="K747" s="62"/>
      <c r="L747" s="62"/>
      <c r="M747" s="62"/>
      <c r="N747" s="62"/>
      <c r="O747" s="62"/>
      <c r="P747" s="62"/>
      <c r="Q747" s="62"/>
      <c r="R747" s="62"/>
      <c r="S747" s="62"/>
      <c r="T747" s="62"/>
      <c r="U747" s="62"/>
      <c r="V747" s="62"/>
      <c r="W747" s="62"/>
      <c r="X747" s="62"/>
      <c r="Y747" s="62"/>
      <c r="Z747" s="62"/>
    </row>
    <row r="748" ht="15.75" customHeight="1">
      <c r="A748" s="74"/>
      <c r="B748" s="74"/>
      <c r="C748" s="74"/>
      <c r="D748" s="74"/>
      <c r="E748" s="2"/>
      <c r="F748" s="2"/>
      <c r="G748" s="2"/>
      <c r="H748" s="127"/>
      <c r="I748" s="62"/>
      <c r="J748" s="62"/>
      <c r="K748" s="62"/>
      <c r="L748" s="62"/>
      <c r="M748" s="62"/>
      <c r="N748" s="62"/>
      <c r="O748" s="62"/>
      <c r="P748" s="62"/>
      <c r="Q748" s="62"/>
      <c r="R748" s="62"/>
      <c r="S748" s="62"/>
      <c r="T748" s="62"/>
      <c r="U748" s="62"/>
      <c r="V748" s="62"/>
      <c r="W748" s="62"/>
      <c r="X748" s="62"/>
      <c r="Y748" s="62"/>
      <c r="Z748" s="62"/>
    </row>
    <row r="749" ht="15.75" customHeight="1">
      <c r="A749" s="74"/>
      <c r="B749" s="74"/>
      <c r="C749" s="74"/>
      <c r="D749" s="74"/>
      <c r="E749" s="2"/>
      <c r="F749" s="2"/>
      <c r="G749" s="2"/>
      <c r="H749" s="127"/>
      <c r="I749" s="62"/>
      <c r="J749" s="62"/>
      <c r="K749" s="62"/>
      <c r="L749" s="62"/>
      <c r="M749" s="62"/>
      <c r="N749" s="62"/>
      <c r="O749" s="62"/>
      <c r="P749" s="62"/>
      <c r="Q749" s="62"/>
      <c r="R749" s="62"/>
      <c r="S749" s="62"/>
      <c r="T749" s="62"/>
      <c r="U749" s="62"/>
      <c r="V749" s="62"/>
      <c r="W749" s="62"/>
      <c r="X749" s="62"/>
      <c r="Y749" s="62"/>
      <c r="Z749" s="62"/>
    </row>
    <row r="750" ht="15.75" customHeight="1">
      <c r="A750" s="74"/>
      <c r="B750" s="74"/>
      <c r="C750" s="74"/>
      <c r="D750" s="74"/>
      <c r="E750" s="2"/>
      <c r="F750" s="2"/>
      <c r="G750" s="2"/>
      <c r="H750" s="127"/>
      <c r="I750" s="62"/>
      <c r="J750" s="62"/>
      <c r="K750" s="62"/>
      <c r="L750" s="62"/>
      <c r="M750" s="62"/>
      <c r="N750" s="62"/>
      <c r="O750" s="62"/>
      <c r="P750" s="62"/>
      <c r="Q750" s="62"/>
      <c r="R750" s="62"/>
      <c r="S750" s="62"/>
      <c r="T750" s="62"/>
      <c r="U750" s="62"/>
      <c r="V750" s="62"/>
      <c r="W750" s="62"/>
      <c r="X750" s="62"/>
      <c r="Y750" s="62"/>
      <c r="Z750" s="62"/>
    </row>
    <row r="751" ht="15.75" customHeight="1">
      <c r="A751" s="74"/>
      <c r="B751" s="74"/>
      <c r="C751" s="74"/>
      <c r="D751" s="74"/>
      <c r="E751" s="2"/>
      <c r="F751" s="2"/>
      <c r="G751" s="2"/>
      <c r="H751" s="127"/>
      <c r="I751" s="62"/>
      <c r="J751" s="62"/>
      <c r="K751" s="62"/>
      <c r="L751" s="62"/>
      <c r="M751" s="62"/>
      <c r="N751" s="62"/>
      <c r="O751" s="62"/>
      <c r="P751" s="62"/>
      <c r="Q751" s="62"/>
      <c r="R751" s="62"/>
      <c r="S751" s="62"/>
      <c r="T751" s="62"/>
      <c r="U751" s="62"/>
      <c r="V751" s="62"/>
      <c r="W751" s="62"/>
      <c r="X751" s="62"/>
      <c r="Y751" s="62"/>
      <c r="Z751" s="62"/>
    </row>
    <row r="752" ht="15.75" customHeight="1">
      <c r="A752" s="74"/>
      <c r="B752" s="74"/>
      <c r="C752" s="74"/>
      <c r="D752" s="74"/>
      <c r="E752" s="2"/>
      <c r="F752" s="2"/>
      <c r="G752" s="2"/>
      <c r="H752" s="127"/>
      <c r="I752" s="62"/>
      <c r="J752" s="62"/>
      <c r="K752" s="62"/>
      <c r="L752" s="62"/>
      <c r="M752" s="62"/>
      <c r="N752" s="62"/>
      <c r="O752" s="62"/>
      <c r="P752" s="62"/>
      <c r="Q752" s="62"/>
      <c r="R752" s="62"/>
      <c r="S752" s="62"/>
      <c r="T752" s="62"/>
      <c r="U752" s="62"/>
      <c r="V752" s="62"/>
      <c r="W752" s="62"/>
      <c r="X752" s="62"/>
      <c r="Y752" s="62"/>
      <c r="Z752" s="62"/>
    </row>
    <row r="753" ht="15.75" customHeight="1">
      <c r="A753" s="74"/>
      <c r="B753" s="74"/>
      <c r="C753" s="74"/>
      <c r="D753" s="74"/>
      <c r="E753" s="2"/>
      <c r="F753" s="2"/>
      <c r="G753" s="2"/>
      <c r="H753" s="127"/>
      <c r="I753" s="62"/>
      <c r="J753" s="62"/>
      <c r="K753" s="62"/>
      <c r="L753" s="62"/>
      <c r="M753" s="62"/>
      <c r="N753" s="62"/>
      <c r="O753" s="62"/>
      <c r="P753" s="62"/>
      <c r="Q753" s="62"/>
      <c r="R753" s="62"/>
      <c r="S753" s="62"/>
      <c r="T753" s="62"/>
      <c r="U753" s="62"/>
      <c r="V753" s="62"/>
      <c r="W753" s="62"/>
      <c r="X753" s="62"/>
      <c r="Y753" s="62"/>
      <c r="Z753" s="62"/>
    </row>
    <row r="754" ht="15.75" customHeight="1">
      <c r="A754" s="74"/>
      <c r="B754" s="74"/>
      <c r="C754" s="74"/>
      <c r="D754" s="74"/>
      <c r="E754" s="2"/>
      <c r="F754" s="2"/>
      <c r="G754" s="2"/>
      <c r="H754" s="127"/>
      <c r="I754" s="62"/>
      <c r="J754" s="62"/>
      <c r="K754" s="62"/>
      <c r="L754" s="62"/>
      <c r="M754" s="62"/>
      <c r="N754" s="62"/>
      <c r="O754" s="62"/>
      <c r="P754" s="62"/>
      <c r="Q754" s="62"/>
      <c r="R754" s="62"/>
      <c r="S754" s="62"/>
      <c r="T754" s="62"/>
      <c r="U754" s="62"/>
      <c r="V754" s="62"/>
      <c r="W754" s="62"/>
      <c r="X754" s="62"/>
      <c r="Y754" s="62"/>
      <c r="Z754" s="62"/>
    </row>
    <row r="755" ht="15.75" customHeight="1">
      <c r="A755" s="74"/>
      <c r="B755" s="74"/>
      <c r="C755" s="74"/>
      <c r="D755" s="74"/>
      <c r="E755" s="2"/>
      <c r="F755" s="2"/>
      <c r="G755" s="2"/>
      <c r="H755" s="127"/>
      <c r="I755" s="62"/>
      <c r="J755" s="62"/>
      <c r="K755" s="62"/>
      <c r="L755" s="62"/>
      <c r="M755" s="62"/>
      <c r="N755" s="62"/>
      <c r="O755" s="62"/>
      <c r="P755" s="62"/>
      <c r="Q755" s="62"/>
      <c r="R755" s="62"/>
      <c r="S755" s="62"/>
      <c r="T755" s="62"/>
      <c r="U755" s="62"/>
      <c r="V755" s="62"/>
      <c r="W755" s="62"/>
      <c r="X755" s="62"/>
      <c r="Y755" s="62"/>
      <c r="Z755" s="62"/>
    </row>
    <row r="756" ht="15.75" customHeight="1">
      <c r="A756" s="74"/>
      <c r="B756" s="74"/>
      <c r="C756" s="74"/>
      <c r="D756" s="74"/>
      <c r="E756" s="2"/>
      <c r="F756" s="2"/>
      <c r="G756" s="2"/>
      <c r="H756" s="127"/>
      <c r="I756" s="62"/>
      <c r="J756" s="62"/>
      <c r="K756" s="62"/>
      <c r="L756" s="62"/>
      <c r="M756" s="62"/>
      <c r="N756" s="62"/>
      <c r="O756" s="62"/>
      <c r="P756" s="62"/>
      <c r="Q756" s="62"/>
      <c r="R756" s="62"/>
      <c r="S756" s="62"/>
      <c r="T756" s="62"/>
      <c r="U756" s="62"/>
      <c r="V756" s="62"/>
      <c r="W756" s="62"/>
      <c r="X756" s="62"/>
      <c r="Y756" s="62"/>
      <c r="Z756" s="62"/>
    </row>
    <row r="757" ht="15.75" customHeight="1">
      <c r="A757" s="74"/>
      <c r="B757" s="74"/>
      <c r="C757" s="74"/>
      <c r="D757" s="74"/>
      <c r="E757" s="2"/>
      <c r="F757" s="2"/>
      <c r="G757" s="2"/>
      <c r="H757" s="127"/>
      <c r="I757" s="62"/>
      <c r="J757" s="62"/>
      <c r="K757" s="62"/>
      <c r="L757" s="62"/>
      <c r="M757" s="62"/>
      <c r="N757" s="62"/>
      <c r="O757" s="62"/>
      <c r="P757" s="62"/>
      <c r="Q757" s="62"/>
      <c r="R757" s="62"/>
      <c r="S757" s="62"/>
      <c r="T757" s="62"/>
      <c r="U757" s="62"/>
      <c r="V757" s="62"/>
      <c r="W757" s="62"/>
      <c r="X757" s="62"/>
      <c r="Y757" s="62"/>
      <c r="Z757" s="62"/>
    </row>
    <row r="758" ht="15.75" customHeight="1">
      <c r="A758" s="74"/>
      <c r="B758" s="74"/>
      <c r="C758" s="74"/>
      <c r="D758" s="74"/>
      <c r="E758" s="2"/>
      <c r="F758" s="2"/>
      <c r="G758" s="2"/>
      <c r="H758" s="127"/>
      <c r="I758" s="62"/>
      <c r="J758" s="62"/>
      <c r="K758" s="62"/>
      <c r="L758" s="62"/>
      <c r="M758" s="62"/>
      <c r="N758" s="62"/>
      <c r="O758" s="62"/>
      <c r="P758" s="62"/>
      <c r="Q758" s="62"/>
      <c r="R758" s="62"/>
      <c r="S758" s="62"/>
      <c r="T758" s="62"/>
      <c r="U758" s="62"/>
      <c r="V758" s="62"/>
      <c r="W758" s="62"/>
      <c r="X758" s="62"/>
      <c r="Y758" s="62"/>
      <c r="Z758" s="62"/>
    </row>
    <row r="759" ht="15.75" customHeight="1">
      <c r="A759" s="74"/>
      <c r="B759" s="74"/>
      <c r="C759" s="74"/>
      <c r="D759" s="74"/>
      <c r="E759" s="2"/>
      <c r="F759" s="2"/>
      <c r="G759" s="2"/>
      <c r="H759" s="127"/>
      <c r="I759" s="62"/>
      <c r="J759" s="62"/>
      <c r="K759" s="62"/>
      <c r="L759" s="62"/>
      <c r="M759" s="62"/>
      <c r="N759" s="62"/>
      <c r="O759" s="62"/>
      <c r="P759" s="62"/>
      <c r="Q759" s="62"/>
      <c r="R759" s="62"/>
      <c r="S759" s="62"/>
      <c r="T759" s="62"/>
      <c r="U759" s="62"/>
      <c r="V759" s="62"/>
      <c r="W759" s="62"/>
      <c r="X759" s="62"/>
      <c r="Y759" s="62"/>
      <c r="Z759" s="62"/>
    </row>
    <row r="760" ht="15.75" customHeight="1">
      <c r="A760" s="74"/>
      <c r="B760" s="74"/>
      <c r="C760" s="74"/>
      <c r="D760" s="74"/>
      <c r="E760" s="2"/>
      <c r="F760" s="2"/>
      <c r="G760" s="2"/>
      <c r="H760" s="127"/>
      <c r="I760" s="62"/>
      <c r="J760" s="62"/>
      <c r="K760" s="62"/>
      <c r="L760" s="62"/>
      <c r="M760" s="62"/>
      <c r="N760" s="62"/>
      <c r="O760" s="62"/>
      <c r="P760" s="62"/>
      <c r="Q760" s="62"/>
      <c r="R760" s="62"/>
      <c r="S760" s="62"/>
      <c r="T760" s="62"/>
      <c r="U760" s="62"/>
      <c r="V760" s="62"/>
      <c r="W760" s="62"/>
      <c r="X760" s="62"/>
      <c r="Y760" s="62"/>
      <c r="Z760" s="62"/>
    </row>
    <row r="761" ht="15.75" customHeight="1">
      <c r="A761" s="74"/>
      <c r="B761" s="74"/>
      <c r="C761" s="74"/>
      <c r="D761" s="74"/>
      <c r="E761" s="2"/>
      <c r="F761" s="2"/>
      <c r="G761" s="2"/>
      <c r="H761" s="127"/>
      <c r="I761" s="62"/>
      <c r="J761" s="62"/>
      <c r="K761" s="62"/>
      <c r="L761" s="62"/>
      <c r="M761" s="62"/>
      <c r="N761" s="62"/>
      <c r="O761" s="62"/>
      <c r="P761" s="62"/>
      <c r="Q761" s="62"/>
      <c r="R761" s="62"/>
      <c r="S761" s="62"/>
      <c r="T761" s="62"/>
      <c r="U761" s="62"/>
      <c r="V761" s="62"/>
      <c r="W761" s="62"/>
      <c r="X761" s="62"/>
      <c r="Y761" s="62"/>
      <c r="Z761" s="62"/>
    </row>
    <row r="762" ht="15.75" customHeight="1">
      <c r="A762" s="74"/>
      <c r="B762" s="74"/>
      <c r="C762" s="74"/>
      <c r="D762" s="74"/>
      <c r="E762" s="2"/>
      <c r="F762" s="2"/>
      <c r="G762" s="2"/>
      <c r="H762" s="127"/>
      <c r="I762" s="62"/>
      <c r="J762" s="62"/>
      <c r="K762" s="62"/>
      <c r="L762" s="62"/>
      <c r="M762" s="62"/>
      <c r="N762" s="62"/>
      <c r="O762" s="62"/>
      <c r="P762" s="62"/>
      <c r="Q762" s="62"/>
      <c r="R762" s="62"/>
      <c r="S762" s="62"/>
      <c r="T762" s="62"/>
      <c r="U762" s="62"/>
      <c r="V762" s="62"/>
      <c r="W762" s="62"/>
      <c r="X762" s="62"/>
      <c r="Y762" s="62"/>
      <c r="Z762" s="62"/>
    </row>
    <row r="763" ht="15.75" customHeight="1">
      <c r="A763" s="74"/>
      <c r="B763" s="74"/>
      <c r="C763" s="74"/>
      <c r="D763" s="74"/>
      <c r="E763" s="2"/>
      <c r="F763" s="2"/>
      <c r="G763" s="2"/>
      <c r="H763" s="127"/>
      <c r="I763" s="62"/>
      <c r="J763" s="62"/>
      <c r="K763" s="62"/>
      <c r="L763" s="62"/>
      <c r="M763" s="62"/>
      <c r="N763" s="62"/>
      <c r="O763" s="62"/>
      <c r="P763" s="62"/>
      <c r="Q763" s="62"/>
      <c r="R763" s="62"/>
      <c r="S763" s="62"/>
      <c r="T763" s="62"/>
      <c r="U763" s="62"/>
      <c r="V763" s="62"/>
      <c r="W763" s="62"/>
      <c r="X763" s="62"/>
      <c r="Y763" s="62"/>
      <c r="Z763" s="62"/>
    </row>
    <row r="764" ht="15.75" customHeight="1">
      <c r="A764" s="74"/>
      <c r="B764" s="74"/>
      <c r="C764" s="74"/>
      <c r="D764" s="74"/>
      <c r="E764" s="2"/>
      <c r="F764" s="2"/>
      <c r="G764" s="2"/>
      <c r="H764" s="127"/>
      <c r="I764" s="62"/>
      <c r="J764" s="62"/>
      <c r="K764" s="62"/>
      <c r="L764" s="62"/>
      <c r="M764" s="62"/>
      <c r="N764" s="62"/>
      <c r="O764" s="62"/>
      <c r="P764" s="62"/>
      <c r="Q764" s="62"/>
      <c r="R764" s="62"/>
      <c r="S764" s="62"/>
      <c r="T764" s="62"/>
      <c r="U764" s="62"/>
      <c r="V764" s="62"/>
      <c r="W764" s="62"/>
      <c r="X764" s="62"/>
      <c r="Y764" s="62"/>
      <c r="Z764" s="62"/>
    </row>
    <row r="765" ht="15.75" customHeight="1">
      <c r="A765" s="74"/>
      <c r="B765" s="74"/>
      <c r="C765" s="74"/>
      <c r="D765" s="74"/>
      <c r="E765" s="2"/>
      <c r="F765" s="2"/>
      <c r="G765" s="2"/>
      <c r="H765" s="127"/>
      <c r="I765" s="62"/>
      <c r="J765" s="62"/>
      <c r="K765" s="62"/>
      <c r="L765" s="62"/>
      <c r="M765" s="62"/>
      <c r="N765" s="62"/>
      <c r="O765" s="62"/>
      <c r="P765" s="62"/>
      <c r="Q765" s="62"/>
      <c r="R765" s="62"/>
      <c r="S765" s="62"/>
      <c r="T765" s="62"/>
      <c r="U765" s="62"/>
      <c r="V765" s="62"/>
      <c r="W765" s="62"/>
      <c r="X765" s="62"/>
      <c r="Y765" s="62"/>
      <c r="Z765" s="62"/>
    </row>
    <row r="766" ht="15.75" customHeight="1">
      <c r="A766" s="74"/>
      <c r="B766" s="74"/>
      <c r="C766" s="74"/>
      <c r="D766" s="74"/>
      <c r="E766" s="2"/>
      <c r="F766" s="2"/>
      <c r="G766" s="2"/>
      <c r="H766" s="127"/>
      <c r="I766" s="62"/>
      <c r="J766" s="62"/>
      <c r="K766" s="62"/>
      <c r="L766" s="62"/>
      <c r="M766" s="62"/>
      <c r="N766" s="62"/>
      <c r="O766" s="62"/>
      <c r="P766" s="62"/>
      <c r="Q766" s="62"/>
      <c r="R766" s="62"/>
      <c r="S766" s="62"/>
      <c r="T766" s="62"/>
      <c r="U766" s="62"/>
      <c r="V766" s="62"/>
      <c r="W766" s="62"/>
      <c r="X766" s="62"/>
      <c r="Y766" s="62"/>
      <c r="Z766" s="62"/>
    </row>
    <row r="767" ht="15.75" customHeight="1">
      <c r="A767" s="74"/>
      <c r="B767" s="74"/>
      <c r="C767" s="74"/>
      <c r="D767" s="74"/>
      <c r="E767" s="2"/>
      <c r="F767" s="2"/>
      <c r="G767" s="2"/>
      <c r="H767" s="127"/>
      <c r="I767" s="62"/>
      <c r="J767" s="62"/>
      <c r="K767" s="62"/>
      <c r="L767" s="62"/>
      <c r="M767" s="62"/>
      <c r="N767" s="62"/>
      <c r="O767" s="62"/>
      <c r="P767" s="62"/>
      <c r="Q767" s="62"/>
      <c r="R767" s="62"/>
      <c r="S767" s="62"/>
      <c r="T767" s="62"/>
      <c r="U767" s="62"/>
      <c r="V767" s="62"/>
      <c r="W767" s="62"/>
      <c r="X767" s="62"/>
      <c r="Y767" s="62"/>
      <c r="Z767" s="62"/>
    </row>
    <row r="768" ht="15.75" customHeight="1">
      <c r="A768" s="74"/>
      <c r="B768" s="74"/>
      <c r="C768" s="74"/>
      <c r="D768" s="74"/>
      <c r="E768" s="2"/>
      <c r="F768" s="2"/>
      <c r="G768" s="2"/>
      <c r="H768" s="127"/>
      <c r="I768" s="62"/>
      <c r="J768" s="62"/>
      <c r="K768" s="62"/>
      <c r="L768" s="62"/>
      <c r="M768" s="62"/>
      <c r="N768" s="62"/>
      <c r="O768" s="62"/>
      <c r="P768" s="62"/>
      <c r="Q768" s="62"/>
      <c r="R768" s="62"/>
      <c r="S768" s="62"/>
      <c r="T768" s="62"/>
      <c r="U768" s="62"/>
      <c r="V768" s="62"/>
      <c r="W768" s="62"/>
      <c r="X768" s="62"/>
      <c r="Y768" s="62"/>
      <c r="Z768" s="62"/>
    </row>
    <row r="769" ht="15.75" customHeight="1">
      <c r="A769" s="74"/>
      <c r="B769" s="74"/>
      <c r="C769" s="74"/>
      <c r="D769" s="74"/>
      <c r="E769" s="2"/>
      <c r="F769" s="2"/>
      <c r="G769" s="2"/>
      <c r="H769" s="127"/>
      <c r="I769" s="62"/>
      <c r="J769" s="62"/>
      <c r="K769" s="62"/>
      <c r="L769" s="62"/>
      <c r="M769" s="62"/>
      <c r="N769" s="62"/>
      <c r="O769" s="62"/>
      <c r="P769" s="62"/>
      <c r="Q769" s="62"/>
      <c r="R769" s="62"/>
      <c r="S769" s="62"/>
      <c r="T769" s="62"/>
      <c r="U769" s="62"/>
      <c r="V769" s="62"/>
      <c r="W769" s="62"/>
      <c r="X769" s="62"/>
      <c r="Y769" s="62"/>
      <c r="Z769" s="62"/>
    </row>
    <row r="770" ht="15.75" customHeight="1">
      <c r="A770" s="74"/>
      <c r="B770" s="74"/>
      <c r="C770" s="74"/>
      <c r="D770" s="74"/>
      <c r="E770" s="2"/>
      <c r="F770" s="2"/>
      <c r="G770" s="2"/>
      <c r="H770" s="127"/>
      <c r="I770" s="62"/>
      <c r="J770" s="62"/>
      <c r="K770" s="62"/>
      <c r="L770" s="62"/>
      <c r="M770" s="62"/>
      <c r="N770" s="62"/>
      <c r="O770" s="62"/>
      <c r="P770" s="62"/>
      <c r="Q770" s="62"/>
      <c r="R770" s="62"/>
      <c r="S770" s="62"/>
      <c r="T770" s="62"/>
      <c r="U770" s="62"/>
      <c r="V770" s="62"/>
      <c r="W770" s="62"/>
      <c r="X770" s="62"/>
      <c r="Y770" s="62"/>
      <c r="Z770" s="62"/>
    </row>
    <row r="771" ht="15.75" customHeight="1">
      <c r="A771" s="74"/>
      <c r="B771" s="74"/>
      <c r="C771" s="74"/>
      <c r="D771" s="74"/>
      <c r="E771" s="2"/>
      <c r="F771" s="2"/>
      <c r="G771" s="2"/>
      <c r="H771" s="127"/>
      <c r="I771" s="62"/>
      <c r="J771" s="62"/>
      <c r="K771" s="62"/>
      <c r="L771" s="62"/>
      <c r="M771" s="62"/>
      <c r="N771" s="62"/>
      <c r="O771" s="62"/>
      <c r="P771" s="62"/>
      <c r="Q771" s="62"/>
      <c r="R771" s="62"/>
      <c r="S771" s="62"/>
      <c r="T771" s="62"/>
      <c r="U771" s="62"/>
      <c r="V771" s="62"/>
      <c r="W771" s="62"/>
      <c r="X771" s="62"/>
      <c r="Y771" s="62"/>
      <c r="Z771" s="62"/>
    </row>
    <row r="772" ht="15.75" customHeight="1">
      <c r="A772" s="74"/>
      <c r="B772" s="74"/>
      <c r="C772" s="74"/>
      <c r="D772" s="74"/>
      <c r="E772" s="2"/>
      <c r="F772" s="2"/>
      <c r="G772" s="2"/>
      <c r="H772" s="127"/>
      <c r="I772" s="62"/>
      <c r="J772" s="62"/>
      <c r="K772" s="62"/>
      <c r="L772" s="62"/>
      <c r="M772" s="62"/>
      <c r="N772" s="62"/>
      <c r="O772" s="62"/>
      <c r="P772" s="62"/>
      <c r="Q772" s="62"/>
      <c r="R772" s="62"/>
      <c r="S772" s="62"/>
      <c r="T772" s="62"/>
      <c r="U772" s="62"/>
      <c r="V772" s="62"/>
      <c r="W772" s="62"/>
      <c r="X772" s="62"/>
      <c r="Y772" s="62"/>
      <c r="Z772" s="62"/>
    </row>
    <row r="773" ht="15.75" customHeight="1">
      <c r="A773" s="74"/>
      <c r="B773" s="74"/>
      <c r="C773" s="74"/>
      <c r="D773" s="74"/>
      <c r="E773" s="2"/>
      <c r="F773" s="2"/>
      <c r="G773" s="2"/>
      <c r="H773" s="127"/>
      <c r="I773" s="62"/>
      <c r="J773" s="62"/>
      <c r="K773" s="62"/>
      <c r="L773" s="62"/>
      <c r="M773" s="62"/>
      <c r="N773" s="62"/>
      <c r="O773" s="62"/>
      <c r="P773" s="62"/>
      <c r="Q773" s="62"/>
      <c r="R773" s="62"/>
      <c r="S773" s="62"/>
      <c r="T773" s="62"/>
      <c r="U773" s="62"/>
      <c r="V773" s="62"/>
      <c r="W773" s="62"/>
      <c r="X773" s="62"/>
      <c r="Y773" s="62"/>
      <c r="Z773" s="62"/>
    </row>
    <row r="774" ht="15.75" customHeight="1">
      <c r="A774" s="74"/>
      <c r="B774" s="74"/>
      <c r="C774" s="74"/>
      <c r="D774" s="74"/>
      <c r="E774" s="2"/>
      <c r="F774" s="2"/>
      <c r="G774" s="2"/>
      <c r="H774" s="127"/>
      <c r="I774" s="62"/>
      <c r="J774" s="62"/>
      <c r="K774" s="62"/>
      <c r="L774" s="62"/>
      <c r="M774" s="62"/>
      <c r="N774" s="62"/>
      <c r="O774" s="62"/>
      <c r="P774" s="62"/>
      <c r="Q774" s="62"/>
      <c r="R774" s="62"/>
      <c r="S774" s="62"/>
      <c r="T774" s="62"/>
      <c r="U774" s="62"/>
      <c r="V774" s="62"/>
      <c r="W774" s="62"/>
      <c r="X774" s="62"/>
      <c r="Y774" s="62"/>
      <c r="Z774" s="62"/>
    </row>
    <row r="775" ht="15.75" customHeight="1">
      <c r="A775" s="74"/>
      <c r="B775" s="74"/>
      <c r="C775" s="74"/>
      <c r="D775" s="74"/>
      <c r="E775" s="2"/>
      <c r="F775" s="2"/>
      <c r="G775" s="2"/>
      <c r="H775" s="127"/>
      <c r="I775" s="62"/>
      <c r="J775" s="62"/>
      <c r="K775" s="62"/>
      <c r="L775" s="62"/>
      <c r="M775" s="62"/>
      <c r="N775" s="62"/>
      <c r="O775" s="62"/>
      <c r="P775" s="62"/>
      <c r="Q775" s="62"/>
      <c r="R775" s="62"/>
      <c r="S775" s="62"/>
      <c r="T775" s="62"/>
      <c r="U775" s="62"/>
      <c r="V775" s="62"/>
      <c r="W775" s="62"/>
      <c r="X775" s="62"/>
      <c r="Y775" s="62"/>
      <c r="Z775" s="62"/>
    </row>
    <row r="776" ht="15.75" customHeight="1">
      <c r="A776" s="74"/>
      <c r="B776" s="74"/>
      <c r="C776" s="74"/>
      <c r="D776" s="74"/>
      <c r="E776" s="2"/>
      <c r="F776" s="2"/>
      <c r="G776" s="2"/>
      <c r="H776" s="127"/>
      <c r="I776" s="62"/>
      <c r="J776" s="62"/>
      <c r="K776" s="62"/>
      <c r="L776" s="62"/>
      <c r="M776" s="62"/>
      <c r="N776" s="62"/>
      <c r="O776" s="62"/>
      <c r="P776" s="62"/>
      <c r="Q776" s="62"/>
      <c r="R776" s="62"/>
      <c r="S776" s="62"/>
      <c r="T776" s="62"/>
      <c r="U776" s="62"/>
      <c r="V776" s="62"/>
      <c r="W776" s="62"/>
      <c r="X776" s="62"/>
      <c r="Y776" s="62"/>
      <c r="Z776" s="62"/>
    </row>
    <row r="777" ht="15.75" customHeight="1">
      <c r="A777" s="74"/>
      <c r="B777" s="74"/>
      <c r="C777" s="74"/>
      <c r="D777" s="74"/>
      <c r="E777" s="2"/>
      <c r="F777" s="2"/>
      <c r="G777" s="2"/>
      <c r="H777" s="127"/>
      <c r="I777" s="62"/>
      <c r="J777" s="62"/>
      <c r="K777" s="62"/>
      <c r="L777" s="62"/>
      <c r="M777" s="62"/>
      <c r="N777" s="62"/>
      <c r="O777" s="62"/>
      <c r="P777" s="62"/>
      <c r="Q777" s="62"/>
      <c r="R777" s="62"/>
      <c r="S777" s="62"/>
      <c r="T777" s="62"/>
      <c r="U777" s="62"/>
      <c r="V777" s="62"/>
      <c r="W777" s="62"/>
      <c r="X777" s="62"/>
      <c r="Y777" s="62"/>
      <c r="Z777" s="62"/>
    </row>
    <row r="778" ht="15.75" customHeight="1">
      <c r="A778" s="74"/>
      <c r="B778" s="74"/>
      <c r="C778" s="74"/>
      <c r="D778" s="74"/>
      <c r="E778" s="2"/>
      <c r="F778" s="2"/>
      <c r="G778" s="2"/>
      <c r="H778" s="127"/>
      <c r="I778" s="62"/>
      <c r="J778" s="62"/>
      <c r="K778" s="62"/>
      <c r="L778" s="62"/>
      <c r="M778" s="62"/>
      <c r="N778" s="62"/>
      <c r="O778" s="62"/>
      <c r="P778" s="62"/>
      <c r="Q778" s="62"/>
      <c r="R778" s="62"/>
      <c r="S778" s="62"/>
      <c r="T778" s="62"/>
      <c r="U778" s="62"/>
      <c r="V778" s="62"/>
      <c r="W778" s="62"/>
      <c r="X778" s="62"/>
      <c r="Y778" s="62"/>
      <c r="Z778" s="62"/>
    </row>
    <row r="779" ht="15.75" customHeight="1">
      <c r="A779" s="74"/>
      <c r="B779" s="74"/>
      <c r="C779" s="74"/>
      <c r="D779" s="74"/>
      <c r="E779" s="2"/>
      <c r="F779" s="2"/>
      <c r="G779" s="2"/>
      <c r="H779" s="127"/>
      <c r="I779" s="62"/>
      <c r="J779" s="62"/>
      <c r="K779" s="62"/>
      <c r="L779" s="62"/>
      <c r="M779" s="62"/>
      <c r="N779" s="62"/>
      <c r="O779" s="62"/>
      <c r="P779" s="62"/>
      <c r="Q779" s="62"/>
      <c r="R779" s="62"/>
      <c r="S779" s="62"/>
      <c r="T779" s="62"/>
      <c r="U779" s="62"/>
      <c r="V779" s="62"/>
      <c r="W779" s="62"/>
      <c r="X779" s="62"/>
      <c r="Y779" s="62"/>
      <c r="Z779" s="62"/>
    </row>
    <row r="780" ht="15.75" customHeight="1">
      <c r="A780" s="74"/>
      <c r="B780" s="74"/>
      <c r="C780" s="74"/>
      <c r="D780" s="74"/>
      <c r="E780" s="2"/>
      <c r="F780" s="2"/>
      <c r="G780" s="2"/>
      <c r="H780" s="127"/>
      <c r="I780" s="62"/>
      <c r="J780" s="62"/>
      <c r="K780" s="62"/>
      <c r="L780" s="62"/>
      <c r="M780" s="62"/>
      <c r="N780" s="62"/>
      <c r="O780" s="62"/>
      <c r="P780" s="62"/>
      <c r="Q780" s="62"/>
      <c r="R780" s="62"/>
      <c r="S780" s="62"/>
      <c r="T780" s="62"/>
      <c r="U780" s="62"/>
      <c r="V780" s="62"/>
      <c r="W780" s="62"/>
      <c r="X780" s="62"/>
      <c r="Y780" s="62"/>
      <c r="Z780" s="62"/>
    </row>
    <row r="781" ht="15.75" customHeight="1">
      <c r="A781" s="74"/>
      <c r="B781" s="74"/>
      <c r="C781" s="74"/>
      <c r="D781" s="74"/>
      <c r="E781" s="2"/>
      <c r="F781" s="2"/>
      <c r="G781" s="2"/>
      <c r="H781" s="127"/>
      <c r="I781" s="62"/>
      <c r="J781" s="62"/>
      <c r="K781" s="62"/>
      <c r="L781" s="62"/>
      <c r="M781" s="62"/>
      <c r="N781" s="62"/>
      <c r="O781" s="62"/>
      <c r="P781" s="62"/>
      <c r="Q781" s="62"/>
      <c r="R781" s="62"/>
      <c r="S781" s="62"/>
      <c r="T781" s="62"/>
      <c r="U781" s="62"/>
      <c r="V781" s="62"/>
      <c r="W781" s="62"/>
      <c r="X781" s="62"/>
      <c r="Y781" s="62"/>
      <c r="Z781" s="62"/>
    </row>
    <row r="782" ht="15.75" customHeight="1">
      <c r="A782" s="74"/>
      <c r="B782" s="74"/>
      <c r="C782" s="74"/>
      <c r="D782" s="74"/>
      <c r="E782" s="2"/>
      <c r="F782" s="2"/>
      <c r="G782" s="2"/>
      <c r="H782" s="127"/>
      <c r="I782" s="62"/>
      <c r="J782" s="62"/>
      <c r="K782" s="62"/>
      <c r="L782" s="62"/>
      <c r="M782" s="62"/>
      <c r="N782" s="62"/>
      <c r="O782" s="62"/>
      <c r="P782" s="62"/>
      <c r="Q782" s="62"/>
      <c r="R782" s="62"/>
      <c r="S782" s="62"/>
      <c r="T782" s="62"/>
      <c r="U782" s="62"/>
      <c r="V782" s="62"/>
      <c r="W782" s="62"/>
      <c r="X782" s="62"/>
      <c r="Y782" s="62"/>
      <c r="Z782" s="62"/>
    </row>
    <row r="783" ht="15.75" customHeight="1">
      <c r="A783" s="74"/>
      <c r="B783" s="74"/>
      <c r="C783" s="74"/>
      <c r="D783" s="74"/>
      <c r="E783" s="2"/>
      <c r="F783" s="2"/>
      <c r="G783" s="2"/>
      <c r="H783" s="127"/>
      <c r="I783" s="62"/>
      <c r="J783" s="62"/>
      <c r="K783" s="62"/>
      <c r="L783" s="62"/>
      <c r="M783" s="62"/>
      <c r="N783" s="62"/>
      <c r="O783" s="62"/>
      <c r="P783" s="62"/>
      <c r="Q783" s="62"/>
      <c r="R783" s="62"/>
      <c r="S783" s="62"/>
      <c r="T783" s="62"/>
      <c r="U783" s="62"/>
      <c r="V783" s="62"/>
      <c r="W783" s="62"/>
      <c r="X783" s="62"/>
      <c r="Y783" s="62"/>
      <c r="Z783" s="62"/>
    </row>
    <row r="784" ht="15.75" customHeight="1">
      <c r="A784" s="74"/>
      <c r="B784" s="74"/>
      <c r="C784" s="74"/>
      <c r="D784" s="74"/>
      <c r="E784" s="2"/>
      <c r="F784" s="2"/>
      <c r="G784" s="2"/>
      <c r="H784" s="127"/>
      <c r="I784" s="62"/>
      <c r="J784" s="62"/>
      <c r="K784" s="62"/>
      <c r="L784" s="62"/>
      <c r="M784" s="62"/>
      <c r="N784" s="62"/>
      <c r="O784" s="62"/>
      <c r="P784" s="62"/>
      <c r="Q784" s="62"/>
      <c r="R784" s="62"/>
      <c r="S784" s="62"/>
      <c r="T784" s="62"/>
      <c r="U784" s="62"/>
      <c r="V784" s="62"/>
      <c r="W784" s="62"/>
      <c r="X784" s="62"/>
      <c r="Y784" s="62"/>
      <c r="Z784" s="62"/>
    </row>
    <row r="785" ht="15.75" customHeight="1">
      <c r="A785" s="74"/>
      <c r="B785" s="74"/>
      <c r="C785" s="74"/>
      <c r="D785" s="74"/>
      <c r="E785" s="2"/>
      <c r="F785" s="2"/>
      <c r="G785" s="2"/>
      <c r="H785" s="127"/>
      <c r="I785" s="62"/>
      <c r="J785" s="62"/>
      <c r="K785" s="62"/>
      <c r="L785" s="62"/>
      <c r="M785" s="62"/>
      <c r="N785" s="62"/>
      <c r="O785" s="62"/>
      <c r="P785" s="62"/>
      <c r="Q785" s="62"/>
      <c r="R785" s="62"/>
      <c r="S785" s="62"/>
      <c r="T785" s="62"/>
      <c r="U785" s="62"/>
      <c r="V785" s="62"/>
      <c r="W785" s="62"/>
      <c r="X785" s="62"/>
      <c r="Y785" s="62"/>
      <c r="Z785" s="62"/>
    </row>
    <row r="786" ht="15.75" customHeight="1">
      <c r="A786" s="74"/>
      <c r="B786" s="74"/>
      <c r="C786" s="74"/>
      <c r="D786" s="74"/>
      <c r="E786" s="2"/>
      <c r="F786" s="2"/>
      <c r="G786" s="2"/>
      <c r="H786" s="127"/>
      <c r="I786" s="62"/>
      <c r="J786" s="62"/>
      <c r="K786" s="62"/>
      <c r="L786" s="62"/>
      <c r="M786" s="62"/>
      <c r="N786" s="62"/>
      <c r="O786" s="62"/>
      <c r="P786" s="62"/>
      <c r="Q786" s="62"/>
      <c r="R786" s="62"/>
      <c r="S786" s="62"/>
      <c r="T786" s="62"/>
      <c r="U786" s="62"/>
      <c r="V786" s="62"/>
      <c r="W786" s="62"/>
      <c r="X786" s="62"/>
      <c r="Y786" s="62"/>
      <c r="Z786" s="62"/>
    </row>
    <row r="787" ht="15.75" customHeight="1">
      <c r="A787" s="74"/>
      <c r="B787" s="74"/>
      <c r="C787" s="74"/>
      <c r="D787" s="74"/>
      <c r="E787" s="2"/>
      <c r="F787" s="2"/>
      <c r="G787" s="2"/>
      <c r="H787" s="127"/>
      <c r="I787" s="62"/>
      <c r="J787" s="62"/>
      <c r="K787" s="62"/>
      <c r="L787" s="62"/>
      <c r="M787" s="62"/>
      <c r="N787" s="62"/>
      <c r="O787" s="62"/>
      <c r="P787" s="62"/>
      <c r="Q787" s="62"/>
      <c r="R787" s="62"/>
      <c r="S787" s="62"/>
      <c r="T787" s="62"/>
      <c r="U787" s="62"/>
      <c r="V787" s="62"/>
      <c r="W787" s="62"/>
      <c r="X787" s="62"/>
      <c r="Y787" s="62"/>
      <c r="Z787" s="62"/>
    </row>
    <row r="788" ht="15.75" customHeight="1">
      <c r="A788" s="74"/>
      <c r="B788" s="74"/>
      <c r="C788" s="74"/>
      <c r="D788" s="74"/>
      <c r="E788" s="2"/>
      <c r="F788" s="2"/>
      <c r="G788" s="2"/>
      <c r="H788" s="127"/>
      <c r="I788" s="62"/>
      <c r="J788" s="62"/>
      <c r="K788" s="62"/>
      <c r="L788" s="62"/>
      <c r="M788" s="62"/>
      <c r="N788" s="62"/>
      <c r="O788" s="62"/>
      <c r="P788" s="62"/>
      <c r="Q788" s="62"/>
      <c r="R788" s="62"/>
      <c r="S788" s="62"/>
      <c r="T788" s="62"/>
      <c r="U788" s="62"/>
      <c r="V788" s="62"/>
      <c r="W788" s="62"/>
      <c r="X788" s="62"/>
      <c r="Y788" s="62"/>
      <c r="Z788" s="62"/>
    </row>
    <row r="789" ht="15.75" customHeight="1">
      <c r="A789" s="74"/>
      <c r="B789" s="74"/>
      <c r="C789" s="74"/>
      <c r="D789" s="74"/>
      <c r="E789" s="2"/>
      <c r="F789" s="2"/>
      <c r="G789" s="2"/>
      <c r="H789" s="127"/>
      <c r="I789" s="62"/>
      <c r="J789" s="62"/>
      <c r="K789" s="62"/>
      <c r="L789" s="62"/>
      <c r="M789" s="62"/>
      <c r="N789" s="62"/>
      <c r="O789" s="62"/>
      <c r="P789" s="62"/>
      <c r="Q789" s="62"/>
      <c r="R789" s="62"/>
      <c r="S789" s="62"/>
      <c r="T789" s="62"/>
      <c r="U789" s="62"/>
      <c r="V789" s="62"/>
      <c r="W789" s="62"/>
      <c r="X789" s="62"/>
      <c r="Y789" s="62"/>
      <c r="Z789" s="62"/>
    </row>
    <row r="790" ht="15.75" customHeight="1">
      <c r="A790" s="74"/>
      <c r="B790" s="74"/>
      <c r="C790" s="74"/>
      <c r="D790" s="74"/>
      <c r="E790" s="2"/>
      <c r="F790" s="2"/>
      <c r="G790" s="2"/>
      <c r="H790" s="127"/>
      <c r="I790" s="62"/>
      <c r="J790" s="62"/>
      <c r="K790" s="62"/>
      <c r="L790" s="62"/>
      <c r="M790" s="62"/>
      <c r="N790" s="62"/>
      <c r="O790" s="62"/>
      <c r="P790" s="62"/>
      <c r="Q790" s="62"/>
      <c r="R790" s="62"/>
      <c r="S790" s="62"/>
      <c r="T790" s="62"/>
      <c r="U790" s="62"/>
      <c r="V790" s="62"/>
      <c r="W790" s="62"/>
      <c r="X790" s="62"/>
      <c r="Y790" s="62"/>
      <c r="Z790" s="62"/>
    </row>
    <row r="791" ht="15.75" customHeight="1">
      <c r="A791" s="74"/>
      <c r="B791" s="74"/>
      <c r="C791" s="74"/>
      <c r="D791" s="74"/>
      <c r="E791" s="2"/>
      <c r="F791" s="2"/>
      <c r="G791" s="2"/>
      <c r="H791" s="127"/>
      <c r="I791" s="62"/>
      <c r="J791" s="62"/>
      <c r="K791" s="62"/>
      <c r="L791" s="62"/>
      <c r="M791" s="62"/>
      <c r="N791" s="62"/>
      <c r="O791" s="62"/>
      <c r="P791" s="62"/>
      <c r="Q791" s="62"/>
      <c r="R791" s="62"/>
      <c r="S791" s="62"/>
      <c r="T791" s="62"/>
      <c r="U791" s="62"/>
      <c r="V791" s="62"/>
      <c r="W791" s="62"/>
      <c r="X791" s="62"/>
      <c r="Y791" s="62"/>
      <c r="Z791" s="62"/>
    </row>
    <row r="792" ht="15.75" customHeight="1">
      <c r="A792" s="74"/>
      <c r="B792" s="74"/>
      <c r="C792" s="74"/>
      <c r="D792" s="74"/>
      <c r="E792" s="2"/>
      <c r="F792" s="2"/>
      <c r="G792" s="2"/>
      <c r="H792" s="127"/>
      <c r="I792" s="62"/>
      <c r="J792" s="62"/>
      <c r="K792" s="62"/>
      <c r="L792" s="62"/>
      <c r="M792" s="62"/>
      <c r="N792" s="62"/>
      <c r="O792" s="62"/>
      <c r="P792" s="62"/>
      <c r="Q792" s="62"/>
      <c r="R792" s="62"/>
      <c r="S792" s="62"/>
      <c r="T792" s="62"/>
      <c r="U792" s="62"/>
      <c r="V792" s="62"/>
      <c r="W792" s="62"/>
      <c r="X792" s="62"/>
      <c r="Y792" s="62"/>
      <c r="Z792" s="62"/>
    </row>
    <row r="793" ht="15.75" customHeight="1">
      <c r="A793" s="74"/>
      <c r="B793" s="74"/>
      <c r="C793" s="74"/>
      <c r="D793" s="74"/>
      <c r="E793" s="2"/>
      <c r="F793" s="2"/>
      <c r="G793" s="2"/>
      <c r="H793" s="127"/>
      <c r="I793" s="62"/>
      <c r="J793" s="62"/>
      <c r="K793" s="62"/>
      <c r="L793" s="62"/>
      <c r="M793" s="62"/>
      <c r="N793" s="62"/>
      <c r="O793" s="62"/>
      <c r="P793" s="62"/>
      <c r="Q793" s="62"/>
      <c r="R793" s="62"/>
      <c r="S793" s="62"/>
      <c r="T793" s="62"/>
      <c r="U793" s="62"/>
      <c r="V793" s="62"/>
      <c r="W793" s="62"/>
      <c r="X793" s="62"/>
      <c r="Y793" s="62"/>
      <c r="Z793" s="62"/>
    </row>
    <row r="794" ht="15.75" customHeight="1">
      <c r="A794" s="74"/>
      <c r="B794" s="74"/>
      <c r="C794" s="74"/>
      <c r="D794" s="74"/>
      <c r="E794" s="2"/>
      <c r="F794" s="2"/>
      <c r="G794" s="2"/>
      <c r="H794" s="127"/>
      <c r="I794" s="62"/>
      <c r="J794" s="62"/>
      <c r="K794" s="62"/>
      <c r="L794" s="62"/>
      <c r="M794" s="62"/>
      <c r="N794" s="62"/>
      <c r="O794" s="62"/>
      <c r="P794" s="62"/>
      <c r="Q794" s="62"/>
      <c r="R794" s="62"/>
      <c r="S794" s="62"/>
      <c r="T794" s="62"/>
      <c r="U794" s="62"/>
      <c r="V794" s="62"/>
      <c r="W794" s="62"/>
      <c r="X794" s="62"/>
      <c r="Y794" s="62"/>
      <c r="Z794" s="62"/>
    </row>
    <row r="795" ht="15.75" customHeight="1">
      <c r="A795" s="74"/>
      <c r="B795" s="74"/>
      <c r="C795" s="74"/>
      <c r="D795" s="74"/>
      <c r="E795" s="2"/>
      <c r="F795" s="2"/>
      <c r="G795" s="2"/>
      <c r="H795" s="127"/>
      <c r="I795" s="62"/>
      <c r="J795" s="62"/>
      <c r="K795" s="62"/>
      <c r="L795" s="62"/>
      <c r="M795" s="62"/>
      <c r="N795" s="62"/>
      <c r="O795" s="62"/>
      <c r="P795" s="62"/>
      <c r="Q795" s="62"/>
      <c r="R795" s="62"/>
      <c r="S795" s="62"/>
      <c r="T795" s="62"/>
      <c r="U795" s="62"/>
      <c r="V795" s="62"/>
      <c r="W795" s="62"/>
      <c r="X795" s="62"/>
      <c r="Y795" s="62"/>
      <c r="Z795" s="62"/>
    </row>
    <row r="796" ht="15.75" customHeight="1">
      <c r="A796" s="74"/>
      <c r="B796" s="74"/>
      <c r="C796" s="74"/>
      <c r="D796" s="74"/>
      <c r="E796" s="2"/>
      <c r="F796" s="2"/>
      <c r="G796" s="2"/>
      <c r="H796" s="127"/>
      <c r="I796" s="62"/>
      <c r="J796" s="62"/>
      <c r="K796" s="62"/>
      <c r="L796" s="62"/>
      <c r="M796" s="62"/>
      <c r="N796" s="62"/>
      <c r="O796" s="62"/>
      <c r="P796" s="62"/>
      <c r="Q796" s="62"/>
      <c r="R796" s="62"/>
      <c r="S796" s="62"/>
      <c r="T796" s="62"/>
      <c r="U796" s="62"/>
      <c r="V796" s="62"/>
      <c r="W796" s="62"/>
      <c r="X796" s="62"/>
      <c r="Y796" s="62"/>
      <c r="Z796" s="62"/>
    </row>
    <row r="797" ht="15.75" customHeight="1">
      <c r="A797" s="74"/>
      <c r="B797" s="74"/>
      <c r="C797" s="74"/>
      <c r="D797" s="74"/>
      <c r="E797" s="2"/>
      <c r="F797" s="2"/>
      <c r="G797" s="2"/>
      <c r="H797" s="127"/>
      <c r="I797" s="62"/>
      <c r="J797" s="62"/>
      <c r="K797" s="62"/>
      <c r="L797" s="62"/>
      <c r="M797" s="62"/>
      <c r="N797" s="62"/>
      <c r="O797" s="62"/>
      <c r="P797" s="62"/>
      <c r="Q797" s="62"/>
      <c r="R797" s="62"/>
      <c r="S797" s="62"/>
      <c r="T797" s="62"/>
      <c r="U797" s="62"/>
      <c r="V797" s="62"/>
      <c r="W797" s="62"/>
      <c r="X797" s="62"/>
      <c r="Y797" s="62"/>
      <c r="Z797" s="62"/>
    </row>
    <row r="798" ht="15.75" customHeight="1">
      <c r="A798" s="74"/>
      <c r="B798" s="74"/>
      <c r="C798" s="74"/>
      <c r="D798" s="74"/>
      <c r="E798" s="2"/>
      <c r="F798" s="2"/>
      <c r="G798" s="2"/>
      <c r="H798" s="127"/>
      <c r="I798" s="62"/>
      <c r="J798" s="62"/>
      <c r="K798" s="62"/>
      <c r="L798" s="62"/>
      <c r="M798" s="62"/>
      <c r="N798" s="62"/>
      <c r="O798" s="62"/>
      <c r="P798" s="62"/>
      <c r="Q798" s="62"/>
      <c r="R798" s="62"/>
      <c r="S798" s="62"/>
      <c r="T798" s="62"/>
      <c r="U798" s="62"/>
      <c r="V798" s="62"/>
      <c r="W798" s="62"/>
      <c r="X798" s="62"/>
      <c r="Y798" s="62"/>
      <c r="Z798" s="62"/>
    </row>
    <row r="799" ht="15.75" customHeight="1">
      <c r="A799" s="74"/>
      <c r="B799" s="74"/>
      <c r="C799" s="74"/>
      <c r="D799" s="74"/>
      <c r="E799" s="2"/>
      <c r="F799" s="2"/>
      <c r="G799" s="2"/>
      <c r="H799" s="127"/>
      <c r="I799" s="62"/>
      <c r="J799" s="62"/>
      <c r="K799" s="62"/>
      <c r="L799" s="62"/>
      <c r="M799" s="62"/>
      <c r="N799" s="62"/>
      <c r="O799" s="62"/>
      <c r="P799" s="62"/>
      <c r="Q799" s="62"/>
      <c r="R799" s="62"/>
      <c r="S799" s="62"/>
      <c r="T799" s="62"/>
      <c r="U799" s="62"/>
      <c r="V799" s="62"/>
      <c r="W799" s="62"/>
      <c r="X799" s="62"/>
      <c r="Y799" s="62"/>
      <c r="Z799" s="62"/>
    </row>
    <row r="800" ht="15.75" customHeight="1">
      <c r="A800" s="74"/>
      <c r="B800" s="74"/>
      <c r="C800" s="74"/>
      <c r="D800" s="74"/>
      <c r="E800" s="2"/>
      <c r="F800" s="2"/>
      <c r="G800" s="2"/>
      <c r="H800" s="127"/>
      <c r="I800" s="62"/>
      <c r="J800" s="62"/>
      <c r="K800" s="62"/>
      <c r="L800" s="62"/>
      <c r="M800" s="62"/>
      <c r="N800" s="62"/>
      <c r="O800" s="62"/>
      <c r="P800" s="62"/>
      <c r="Q800" s="62"/>
      <c r="R800" s="62"/>
      <c r="S800" s="62"/>
      <c r="T800" s="62"/>
      <c r="U800" s="62"/>
      <c r="V800" s="62"/>
      <c r="W800" s="62"/>
      <c r="X800" s="62"/>
      <c r="Y800" s="62"/>
      <c r="Z800" s="62"/>
    </row>
    <row r="801" ht="15.75" customHeight="1">
      <c r="A801" s="74"/>
      <c r="B801" s="74"/>
      <c r="C801" s="74"/>
      <c r="D801" s="74"/>
      <c r="E801" s="2"/>
      <c r="F801" s="2"/>
      <c r="G801" s="2"/>
      <c r="H801" s="127"/>
      <c r="I801" s="62"/>
      <c r="J801" s="62"/>
      <c r="K801" s="62"/>
      <c r="L801" s="62"/>
      <c r="M801" s="62"/>
      <c r="N801" s="62"/>
      <c r="O801" s="62"/>
      <c r="P801" s="62"/>
      <c r="Q801" s="62"/>
      <c r="R801" s="62"/>
      <c r="S801" s="62"/>
      <c r="T801" s="62"/>
      <c r="U801" s="62"/>
      <c r="V801" s="62"/>
      <c r="W801" s="62"/>
      <c r="X801" s="62"/>
      <c r="Y801" s="62"/>
      <c r="Z801" s="62"/>
    </row>
    <row r="802" ht="15.75" customHeight="1">
      <c r="A802" s="74"/>
      <c r="B802" s="74"/>
      <c r="C802" s="74"/>
      <c r="D802" s="74"/>
      <c r="E802" s="2"/>
      <c r="F802" s="2"/>
      <c r="G802" s="2"/>
      <c r="H802" s="127"/>
      <c r="I802" s="62"/>
      <c r="J802" s="62"/>
      <c r="K802" s="62"/>
      <c r="L802" s="62"/>
      <c r="M802" s="62"/>
      <c r="N802" s="62"/>
      <c r="O802" s="62"/>
      <c r="P802" s="62"/>
      <c r="Q802" s="62"/>
      <c r="R802" s="62"/>
      <c r="S802" s="62"/>
      <c r="T802" s="62"/>
      <c r="U802" s="62"/>
      <c r="V802" s="62"/>
      <c r="W802" s="62"/>
      <c r="X802" s="62"/>
      <c r="Y802" s="62"/>
      <c r="Z802" s="62"/>
    </row>
    <row r="803" ht="15.75" customHeight="1">
      <c r="A803" s="74"/>
      <c r="B803" s="74"/>
      <c r="C803" s="74"/>
      <c r="D803" s="74"/>
      <c r="E803" s="2"/>
      <c r="F803" s="2"/>
      <c r="G803" s="2"/>
      <c r="H803" s="127"/>
      <c r="I803" s="62"/>
      <c r="J803" s="62"/>
      <c r="K803" s="62"/>
      <c r="L803" s="62"/>
      <c r="M803" s="62"/>
      <c r="N803" s="62"/>
      <c r="O803" s="62"/>
      <c r="P803" s="62"/>
      <c r="Q803" s="62"/>
      <c r="R803" s="62"/>
      <c r="S803" s="62"/>
      <c r="T803" s="62"/>
      <c r="U803" s="62"/>
      <c r="V803" s="62"/>
      <c r="W803" s="62"/>
      <c r="X803" s="62"/>
      <c r="Y803" s="62"/>
      <c r="Z803" s="62"/>
    </row>
    <row r="804" ht="15.75" customHeight="1">
      <c r="A804" s="74"/>
      <c r="B804" s="74"/>
      <c r="C804" s="74"/>
      <c r="D804" s="74"/>
      <c r="E804" s="2"/>
      <c r="F804" s="2"/>
      <c r="G804" s="2"/>
      <c r="H804" s="127"/>
      <c r="I804" s="62"/>
      <c r="J804" s="62"/>
      <c r="K804" s="62"/>
      <c r="L804" s="62"/>
      <c r="M804" s="62"/>
      <c r="N804" s="62"/>
      <c r="O804" s="62"/>
      <c r="P804" s="62"/>
      <c r="Q804" s="62"/>
      <c r="R804" s="62"/>
      <c r="S804" s="62"/>
      <c r="T804" s="62"/>
      <c r="U804" s="62"/>
      <c r="V804" s="62"/>
      <c r="W804" s="62"/>
      <c r="X804" s="62"/>
      <c r="Y804" s="62"/>
      <c r="Z804" s="62"/>
    </row>
    <row r="805" ht="15.75" customHeight="1">
      <c r="A805" s="74"/>
      <c r="B805" s="74"/>
      <c r="C805" s="74"/>
      <c r="D805" s="74"/>
      <c r="E805" s="2"/>
      <c r="F805" s="2"/>
      <c r="G805" s="2"/>
      <c r="H805" s="127"/>
      <c r="I805" s="62"/>
      <c r="J805" s="62"/>
      <c r="K805" s="62"/>
      <c r="L805" s="62"/>
      <c r="M805" s="62"/>
      <c r="N805" s="62"/>
      <c r="O805" s="62"/>
      <c r="P805" s="62"/>
      <c r="Q805" s="62"/>
      <c r="R805" s="62"/>
      <c r="S805" s="62"/>
      <c r="T805" s="62"/>
      <c r="U805" s="62"/>
      <c r="V805" s="62"/>
      <c r="W805" s="62"/>
      <c r="X805" s="62"/>
      <c r="Y805" s="62"/>
      <c r="Z805" s="62"/>
    </row>
    <row r="806" ht="15.75" customHeight="1">
      <c r="A806" s="74"/>
      <c r="B806" s="74"/>
      <c r="C806" s="74"/>
      <c r="D806" s="74"/>
      <c r="E806" s="2"/>
      <c r="F806" s="2"/>
      <c r="G806" s="2"/>
      <c r="H806" s="127"/>
      <c r="I806" s="62"/>
      <c r="J806" s="62"/>
      <c r="K806" s="62"/>
      <c r="L806" s="62"/>
      <c r="M806" s="62"/>
      <c r="N806" s="62"/>
      <c r="O806" s="62"/>
      <c r="P806" s="62"/>
      <c r="Q806" s="62"/>
      <c r="R806" s="62"/>
      <c r="S806" s="62"/>
      <c r="T806" s="62"/>
      <c r="U806" s="62"/>
      <c r="V806" s="62"/>
      <c r="W806" s="62"/>
      <c r="X806" s="62"/>
      <c r="Y806" s="62"/>
      <c r="Z806" s="62"/>
    </row>
    <row r="807" ht="15.75" customHeight="1">
      <c r="A807" s="74"/>
      <c r="B807" s="74"/>
      <c r="C807" s="74"/>
      <c r="D807" s="74"/>
      <c r="E807" s="2"/>
      <c r="F807" s="2"/>
      <c r="G807" s="2"/>
      <c r="H807" s="127"/>
      <c r="I807" s="62"/>
      <c r="J807" s="62"/>
      <c r="K807" s="62"/>
      <c r="L807" s="62"/>
      <c r="M807" s="62"/>
      <c r="N807" s="62"/>
      <c r="O807" s="62"/>
      <c r="P807" s="62"/>
      <c r="Q807" s="62"/>
      <c r="R807" s="62"/>
      <c r="S807" s="62"/>
      <c r="T807" s="62"/>
      <c r="U807" s="62"/>
      <c r="V807" s="62"/>
      <c r="W807" s="62"/>
      <c r="X807" s="62"/>
      <c r="Y807" s="62"/>
      <c r="Z807" s="62"/>
    </row>
    <row r="808" ht="15.75" customHeight="1">
      <c r="A808" s="74"/>
      <c r="B808" s="74"/>
      <c r="C808" s="74"/>
      <c r="D808" s="74"/>
      <c r="E808" s="2"/>
      <c r="F808" s="2"/>
      <c r="G808" s="2"/>
      <c r="H808" s="127"/>
      <c r="I808" s="62"/>
      <c r="J808" s="62"/>
      <c r="K808" s="62"/>
      <c r="L808" s="62"/>
      <c r="M808" s="62"/>
      <c r="N808" s="62"/>
      <c r="O808" s="62"/>
      <c r="P808" s="62"/>
      <c r="Q808" s="62"/>
      <c r="R808" s="62"/>
      <c r="S808" s="62"/>
      <c r="T808" s="62"/>
      <c r="U808" s="62"/>
      <c r="V808" s="62"/>
      <c r="W808" s="62"/>
      <c r="X808" s="62"/>
      <c r="Y808" s="62"/>
      <c r="Z808" s="62"/>
    </row>
    <row r="809" ht="15.75" customHeight="1">
      <c r="A809" s="74"/>
      <c r="B809" s="74"/>
      <c r="C809" s="74"/>
      <c r="D809" s="74"/>
      <c r="E809" s="2"/>
      <c r="F809" s="2"/>
      <c r="G809" s="2"/>
      <c r="H809" s="127"/>
      <c r="I809" s="62"/>
      <c r="J809" s="62"/>
      <c r="K809" s="62"/>
      <c r="L809" s="62"/>
      <c r="M809" s="62"/>
      <c r="N809" s="62"/>
      <c r="O809" s="62"/>
      <c r="P809" s="62"/>
      <c r="Q809" s="62"/>
      <c r="R809" s="62"/>
      <c r="S809" s="62"/>
      <c r="T809" s="62"/>
      <c r="U809" s="62"/>
      <c r="V809" s="62"/>
      <c r="W809" s="62"/>
      <c r="X809" s="62"/>
      <c r="Y809" s="62"/>
      <c r="Z809" s="62"/>
    </row>
    <row r="810" ht="15.75" customHeight="1">
      <c r="A810" s="74"/>
      <c r="B810" s="74"/>
      <c r="C810" s="74"/>
      <c r="D810" s="74"/>
      <c r="E810" s="2"/>
      <c r="F810" s="2"/>
      <c r="G810" s="2"/>
      <c r="H810" s="127"/>
      <c r="I810" s="62"/>
      <c r="J810" s="62"/>
      <c r="K810" s="62"/>
      <c r="L810" s="62"/>
      <c r="M810" s="62"/>
      <c r="N810" s="62"/>
      <c r="O810" s="62"/>
      <c r="P810" s="62"/>
      <c r="Q810" s="62"/>
      <c r="R810" s="62"/>
      <c r="S810" s="62"/>
      <c r="T810" s="62"/>
      <c r="U810" s="62"/>
      <c r="V810" s="62"/>
      <c r="W810" s="62"/>
      <c r="X810" s="62"/>
      <c r="Y810" s="62"/>
      <c r="Z810" s="62"/>
    </row>
    <row r="811" ht="15.75" customHeight="1">
      <c r="A811" s="74"/>
      <c r="B811" s="74"/>
      <c r="C811" s="74"/>
      <c r="D811" s="74"/>
      <c r="E811" s="2"/>
      <c r="F811" s="2"/>
      <c r="G811" s="2"/>
      <c r="H811" s="127"/>
      <c r="I811" s="62"/>
      <c r="J811" s="62"/>
      <c r="K811" s="62"/>
      <c r="L811" s="62"/>
      <c r="M811" s="62"/>
      <c r="N811" s="62"/>
      <c r="O811" s="62"/>
      <c r="P811" s="62"/>
      <c r="Q811" s="62"/>
      <c r="R811" s="62"/>
      <c r="S811" s="62"/>
      <c r="T811" s="62"/>
      <c r="U811" s="62"/>
      <c r="V811" s="62"/>
      <c r="W811" s="62"/>
      <c r="X811" s="62"/>
      <c r="Y811" s="62"/>
      <c r="Z811" s="62"/>
    </row>
    <row r="812" ht="15.75" customHeight="1">
      <c r="A812" s="74"/>
      <c r="B812" s="74"/>
      <c r="C812" s="74"/>
      <c r="D812" s="74"/>
      <c r="E812" s="2"/>
      <c r="F812" s="2"/>
      <c r="G812" s="2"/>
      <c r="H812" s="127"/>
      <c r="I812" s="62"/>
      <c r="J812" s="62"/>
      <c r="K812" s="62"/>
      <c r="L812" s="62"/>
      <c r="M812" s="62"/>
      <c r="N812" s="62"/>
      <c r="O812" s="62"/>
      <c r="P812" s="62"/>
      <c r="Q812" s="62"/>
      <c r="R812" s="62"/>
      <c r="S812" s="62"/>
      <c r="T812" s="62"/>
      <c r="U812" s="62"/>
      <c r="V812" s="62"/>
      <c r="W812" s="62"/>
      <c r="X812" s="62"/>
      <c r="Y812" s="62"/>
      <c r="Z812" s="62"/>
    </row>
    <row r="813" ht="15.75" customHeight="1">
      <c r="A813" s="74"/>
      <c r="B813" s="74"/>
      <c r="C813" s="74"/>
      <c r="D813" s="74"/>
      <c r="E813" s="2"/>
      <c r="F813" s="2"/>
      <c r="G813" s="2"/>
      <c r="H813" s="127"/>
      <c r="I813" s="62"/>
      <c r="J813" s="62"/>
      <c r="K813" s="62"/>
      <c r="L813" s="62"/>
      <c r="M813" s="62"/>
      <c r="N813" s="62"/>
      <c r="O813" s="62"/>
      <c r="P813" s="62"/>
      <c r="Q813" s="62"/>
      <c r="R813" s="62"/>
      <c r="S813" s="62"/>
      <c r="T813" s="62"/>
      <c r="U813" s="62"/>
      <c r="V813" s="62"/>
      <c r="W813" s="62"/>
      <c r="X813" s="62"/>
      <c r="Y813" s="62"/>
      <c r="Z813" s="62"/>
    </row>
    <row r="814" ht="15.75" customHeight="1">
      <c r="A814" s="74"/>
      <c r="B814" s="74"/>
      <c r="C814" s="74"/>
      <c r="D814" s="74"/>
      <c r="E814" s="2"/>
      <c r="F814" s="2"/>
      <c r="G814" s="2"/>
      <c r="H814" s="127"/>
      <c r="I814" s="62"/>
      <c r="J814" s="62"/>
      <c r="K814" s="62"/>
      <c r="L814" s="62"/>
      <c r="M814" s="62"/>
      <c r="N814" s="62"/>
      <c r="O814" s="62"/>
      <c r="P814" s="62"/>
      <c r="Q814" s="62"/>
      <c r="R814" s="62"/>
      <c r="S814" s="62"/>
      <c r="T814" s="62"/>
      <c r="U814" s="62"/>
      <c r="V814" s="62"/>
      <c r="W814" s="62"/>
      <c r="X814" s="62"/>
      <c r="Y814" s="62"/>
      <c r="Z814" s="62"/>
    </row>
    <row r="815" ht="15.75" customHeight="1">
      <c r="A815" s="74"/>
      <c r="B815" s="74"/>
      <c r="C815" s="74"/>
      <c r="D815" s="74"/>
      <c r="E815" s="2"/>
      <c r="F815" s="2"/>
      <c r="G815" s="2"/>
      <c r="H815" s="127"/>
      <c r="I815" s="62"/>
      <c r="J815" s="62"/>
      <c r="K815" s="62"/>
      <c r="L815" s="62"/>
      <c r="M815" s="62"/>
      <c r="N815" s="62"/>
      <c r="O815" s="62"/>
      <c r="P815" s="62"/>
      <c r="Q815" s="62"/>
      <c r="R815" s="62"/>
      <c r="S815" s="62"/>
      <c r="T815" s="62"/>
      <c r="U815" s="62"/>
      <c r="V815" s="62"/>
      <c r="W815" s="62"/>
      <c r="X815" s="62"/>
      <c r="Y815" s="62"/>
      <c r="Z815" s="62"/>
    </row>
    <row r="816" ht="15.75" customHeight="1">
      <c r="A816" s="74"/>
      <c r="B816" s="74"/>
      <c r="C816" s="74"/>
      <c r="D816" s="74"/>
      <c r="E816" s="2"/>
      <c r="F816" s="2"/>
      <c r="G816" s="2"/>
      <c r="H816" s="127"/>
      <c r="I816" s="62"/>
      <c r="J816" s="62"/>
      <c r="K816" s="62"/>
      <c r="L816" s="62"/>
      <c r="M816" s="62"/>
      <c r="N816" s="62"/>
      <c r="O816" s="62"/>
      <c r="P816" s="62"/>
      <c r="Q816" s="62"/>
      <c r="R816" s="62"/>
      <c r="S816" s="62"/>
      <c r="T816" s="62"/>
      <c r="U816" s="62"/>
      <c r="V816" s="62"/>
      <c r="W816" s="62"/>
      <c r="X816" s="62"/>
      <c r="Y816" s="62"/>
      <c r="Z816" s="62"/>
    </row>
    <row r="817" ht="15.75" customHeight="1">
      <c r="A817" s="74"/>
      <c r="B817" s="74"/>
      <c r="C817" s="74"/>
      <c r="D817" s="74"/>
      <c r="E817" s="2"/>
      <c r="F817" s="2"/>
      <c r="G817" s="2"/>
      <c r="H817" s="127"/>
      <c r="I817" s="62"/>
      <c r="J817" s="62"/>
      <c r="K817" s="62"/>
      <c r="L817" s="62"/>
      <c r="M817" s="62"/>
      <c r="N817" s="62"/>
      <c r="O817" s="62"/>
      <c r="P817" s="62"/>
      <c r="Q817" s="62"/>
      <c r="R817" s="62"/>
      <c r="S817" s="62"/>
      <c r="T817" s="62"/>
      <c r="U817" s="62"/>
      <c r="V817" s="62"/>
      <c r="W817" s="62"/>
      <c r="X817" s="62"/>
      <c r="Y817" s="62"/>
      <c r="Z817" s="62"/>
    </row>
    <row r="818" ht="15.75" customHeight="1">
      <c r="A818" s="74"/>
      <c r="B818" s="74"/>
      <c r="C818" s="74"/>
      <c r="D818" s="74"/>
      <c r="E818" s="2"/>
      <c r="F818" s="2"/>
      <c r="G818" s="2"/>
      <c r="H818" s="127"/>
      <c r="I818" s="62"/>
      <c r="J818" s="62"/>
      <c r="K818" s="62"/>
      <c r="L818" s="62"/>
      <c r="M818" s="62"/>
      <c r="N818" s="62"/>
      <c r="O818" s="62"/>
      <c r="P818" s="62"/>
      <c r="Q818" s="62"/>
      <c r="R818" s="62"/>
      <c r="S818" s="62"/>
      <c r="T818" s="62"/>
      <c r="U818" s="62"/>
      <c r="V818" s="62"/>
      <c r="W818" s="62"/>
      <c r="X818" s="62"/>
      <c r="Y818" s="62"/>
      <c r="Z818" s="62"/>
    </row>
    <row r="819" ht="15.75" customHeight="1">
      <c r="A819" s="74"/>
      <c r="B819" s="74"/>
      <c r="C819" s="74"/>
      <c r="D819" s="74"/>
      <c r="E819" s="2"/>
      <c r="F819" s="2"/>
      <c r="G819" s="2"/>
      <c r="H819" s="127"/>
      <c r="I819" s="62"/>
      <c r="J819" s="62"/>
      <c r="K819" s="62"/>
      <c r="L819" s="62"/>
      <c r="M819" s="62"/>
      <c r="N819" s="62"/>
      <c r="O819" s="62"/>
      <c r="P819" s="62"/>
      <c r="Q819" s="62"/>
      <c r="R819" s="62"/>
      <c r="S819" s="62"/>
      <c r="T819" s="62"/>
      <c r="U819" s="62"/>
      <c r="V819" s="62"/>
      <c r="W819" s="62"/>
      <c r="X819" s="62"/>
      <c r="Y819" s="62"/>
      <c r="Z819" s="62"/>
    </row>
    <row r="820" ht="15.75" customHeight="1">
      <c r="A820" s="74"/>
      <c r="B820" s="74"/>
      <c r="C820" s="74"/>
      <c r="D820" s="74"/>
      <c r="E820" s="2"/>
      <c r="F820" s="2"/>
      <c r="G820" s="2"/>
      <c r="H820" s="127"/>
      <c r="I820" s="62"/>
      <c r="J820" s="62"/>
      <c r="K820" s="62"/>
      <c r="L820" s="62"/>
      <c r="M820" s="62"/>
      <c r="N820" s="62"/>
      <c r="O820" s="62"/>
      <c r="P820" s="62"/>
      <c r="Q820" s="62"/>
      <c r="R820" s="62"/>
      <c r="S820" s="62"/>
      <c r="T820" s="62"/>
      <c r="U820" s="62"/>
      <c r="V820" s="62"/>
      <c r="W820" s="62"/>
      <c r="X820" s="62"/>
      <c r="Y820" s="62"/>
      <c r="Z820" s="62"/>
    </row>
    <row r="821" ht="15.75" customHeight="1">
      <c r="A821" s="74"/>
      <c r="B821" s="74"/>
      <c r="C821" s="74"/>
      <c r="D821" s="74"/>
      <c r="E821" s="2"/>
      <c r="F821" s="2"/>
      <c r="G821" s="2"/>
      <c r="H821" s="127"/>
      <c r="I821" s="62"/>
      <c r="J821" s="62"/>
      <c r="K821" s="62"/>
      <c r="L821" s="62"/>
      <c r="M821" s="62"/>
      <c r="N821" s="62"/>
      <c r="O821" s="62"/>
      <c r="P821" s="62"/>
      <c r="Q821" s="62"/>
      <c r="R821" s="62"/>
      <c r="S821" s="62"/>
      <c r="T821" s="62"/>
      <c r="U821" s="62"/>
      <c r="V821" s="62"/>
      <c r="W821" s="62"/>
      <c r="X821" s="62"/>
      <c r="Y821" s="62"/>
      <c r="Z821" s="62"/>
    </row>
    <row r="822" ht="15.75" customHeight="1">
      <c r="A822" s="74"/>
      <c r="B822" s="74"/>
      <c r="C822" s="74"/>
      <c r="D822" s="74"/>
      <c r="E822" s="2"/>
      <c r="F822" s="2"/>
      <c r="G822" s="2"/>
      <c r="H822" s="127"/>
      <c r="I822" s="62"/>
      <c r="J822" s="62"/>
      <c r="K822" s="62"/>
      <c r="L822" s="62"/>
      <c r="M822" s="62"/>
      <c r="N822" s="62"/>
      <c r="O822" s="62"/>
      <c r="P822" s="62"/>
      <c r="Q822" s="62"/>
      <c r="R822" s="62"/>
      <c r="S822" s="62"/>
      <c r="T822" s="62"/>
      <c r="U822" s="62"/>
      <c r="V822" s="62"/>
      <c r="W822" s="62"/>
      <c r="X822" s="62"/>
      <c r="Y822" s="62"/>
      <c r="Z822" s="62"/>
    </row>
    <row r="823" ht="15.75" customHeight="1">
      <c r="A823" s="74"/>
      <c r="B823" s="74"/>
      <c r="C823" s="74"/>
      <c r="D823" s="74"/>
      <c r="E823" s="2"/>
      <c r="F823" s="2"/>
      <c r="G823" s="2"/>
      <c r="H823" s="127"/>
      <c r="I823" s="62"/>
      <c r="J823" s="62"/>
      <c r="K823" s="62"/>
      <c r="L823" s="62"/>
      <c r="M823" s="62"/>
      <c r="N823" s="62"/>
      <c r="O823" s="62"/>
      <c r="P823" s="62"/>
      <c r="Q823" s="62"/>
      <c r="R823" s="62"/>
      <c r="S823" s="62"/>
      <c r="T823" s="62"/>
      <c r="U823" s="62"/>
      <c r="V823" s="62"/>
      <c r="W823" s="62"/>
      <c r="X823" s="62"/>
      <c r="Y823" s="62"/>
      <c r="Z823" s="62"/>
    </row>
    <row r="824" ht="15.75" customHeight="1">
      <c r="A824" s="74"/>
      <c r="B824" s="74"/>
      <c r="C824" s="74"/>
      <c r="D824" s="74"/>
      <c r="E824" s="2"/>
      <c r="F824" s="2"/>
      <c r="G824" s="2"/>
      <c r="H824" s="127"/>
      <c r="I824" s="62"/>
      <c r="J824" s="62"/>
      <c r="K824" s="62"/>
      <c r="L824" s="62"/>
      <c r="M824" s="62"/>
      <c r="N824" s="62"/>
      <c r="O824" s="62"/>
      <c r="P824" s="62"/>
      <c r="Q824" s="62"/>
      <c r="R824" s="62"/>
      <c r="S824" s="62"/>
      <c r="T824" s="62"/>
      <c r="U824" s="62"/>
      <c r="V824" s="62"/>
      <c r="W824" s="62"/>
      <c r="X824" s="62"/>
      <c r="Y824" s="62"/>
      <c r="Z824" s="62"/>
    </row>
    <row r="825" ht="15.75" customHeight="1">
      <c r="A825" s="74"/>
      <c r="B825" s="74"/>
      <c r="C825" s="74"/>
      <c r="D825" s="74"/>
      <c r="E825" s="2"/>
      <c r="F825" s="2"/>
      <c r="G825" s="2"/>
      <c r="H825" s="127"/>
      <c r="I825" s="62"/>
      <c r="J825" s="62"/>
      <c r="K825" s="62"/>
      <c r="L825" s="62"/>
      <c r="M825" s="62"/>
      <c r="N825" s="62"/>
      <c r="O825" s="62"/>
      <c r="P825" s="62"/>
      <c r="Q825" s="62"/>
      <c r="R825" s="62"/>
      <c r="S825" s="62"/>
      <c r="T825" s="62"/>
      <c r="U825" s="62"/>
      <c r="V825" s="62"/>
      <c r="W825" s="62"/>
      <c r="X825" s="62"/>
      <c r="Y825" s="62"/>
      <c r="Z825" s="62"/>
    </row>
    <row r="826" ht="15.75" customHeight="1">
      <c r="A826" s="74"/>
      <c r="B826" s="74"/>
      <c r="C826" s="74"/>
      <c r="D826" s="74"/>
      <c r="E826" s="2"/>
      <c r="F826" s="2"/>
      <c r="G826" s="2"/>
      <c r="H826" s="127"/>
      <c r="I826" s="62"/>
      <c r="J826" s="62"/>
      <c r="K826" s="62"/>
      <c r="L826" s="62"/>
      <c r="M826" s="62"/>
      <c r="N826" s="62"/>
      <c r="O826" s="62"/>
      <c r="P826" s="62"/>
      <c r="Q826" s="62"/>
      <c r="R826" s="62"/>
      <c r="S826" s="62"/>
      <c r="T826" s="62"/>
      <c r="U826" s="62"/>
      <c r="V826" s="62"/>
      <c r="W826" s="62"/>
      <c r="X826" s="62"/>
      <c r="Y826" s="62"/>
      <c r="Z826" s="62"/>
    </row>
    <row r="827" ht="15.75" customHeight="1">
      <c r="A827" s="74"/>
      <c r="B827" s="74"/>
      <c r="C827" s="74"/>
      <c r="D827" s="74"/>
      <c r="E827" s="2"/>
      <c r="F827" s="2"/>
      <c r="G827" s="2"/>
      <c r="H827" s="127"/>
      <c r="I827" s="62"/>
      <c r="J827" s="62"/>
      <c r="K827" s="62"/>
      <c r="L827" s="62"/>
      <c r="M827" s="62"/>
      <c r="N827" s="62"/>
      <c r="O827" s="62"/>
      <c r="P827" s="62"/>
      <c r="Q827" s="62"/>
      <c r="R827" s="62"/>
      <c r="S827" s="62"/>
      <c r="T827" s="62"/>
      <c r="U827" s="62"/>
      <c r="V827" s="62"/>
      <c r="W827" s="62"/>
      <c r="X827" s="62"/>
      <c r="Y827" s="62"/>
      <c r="Z827" s="62"/>
    </row>
    <row r="828" ht="15.75" customHeight="1">
      <c r="A828" s="74"/>
      <c r="B828" s="74"/>
      <c r="C828" s="74"/>
      <c r="D828" s="74"/>
      <c r="E828" s="2"/>
      <c r="F828" s="2"/>
      <c r="G828" s="2"/>
      <c r="H828" s="127"/>
      <c r="I828" s="62"/>
      <c r="J828" s="62"/>
      <c r="K828" s="62"/>
      <c r="L828" s="62"/>
      <c r="M828" s="62"/>
      <c r="N828" s="62"/>
      <c r="O828" s="62"/>
      <c r="P828" s="62"/>
      <c r="Q828" s="62"/>
      <c r="R828" s="62"/>
      <c r="S828" s="62"/>
      <c r="T828" s="62"/>
      <c r="U828" s="62"/>
      <c r="V828" s="62"/>
      <c r="W828" s="62"/>
      <c r="X828" s="62"/>
      <c r="Y828" s="62"/>
      <c r="Z828" s="62"/>
    </row>
    <row r="829" ht="15.75" customHeight="1">
      <c r="A829" s="74"/>
      <c r="B829" s="74"/>
      <c r="C829" s="74"/>
      <c r="D829" s="74"/>
      <c r="E829" s="2"/>
      <c r="F829" s="2"/>
      <c r="G829" s="2"/>
      <c r="H829" s="127"/>
      <c r="I829" s="62"/>
      <c r="J829" s="62"/>
      <c r="K829" s="62"/>
      <c r="L829" s="62"/>
      <c r="M829" s="62"/>
      <c r="N829" s="62"/>
      <c r="O829" s="62"/>
      <c r="P829" s="62"/>
      <c r="Q829" s="62"/>
      <c r="R829" s="62"/>
      <c r="S829" s="62"/>
      <c r="T829" s="62"/>
      <c r="U829" s="62"/>
      <c r="V829" s="62"/>
      <c r="W829" s="62"/>
      <c r="X829" s="62"/>
      <c r="Y829" s="62"/>
      <c r="Z829" s="62"/>
    </row>
    <row r="830" ht="15.75" customHeight="1">
      <c r="A830" s="74"/>
      <c r="B830" s="74"/>
      <c r="C830" s="74"/>
      <c r="D830" s="74"/>
      <c r="E830" s="2"/>
      <c r="F830" s="2"/>
      <c r="G830" s="2"/>
      <c r="H830" s="127"/>
      <c r="I830" s="62"/>
      <c r="J830" s="62"/>
      <c r="K830" s="62"/>
      <c r="L830" s="62"/>
      <c r="M830" s="62"/>
      <c r="N830" s="62"/>
      <c r="O830" s="62"/>
      <c r="P830" s="62"/>
      <c r="Q830" s="62"/>
      <c r="R830" s="62"/>
      <c r="S830" s="62"/>
      <c r="T830" s="62"/>
      <c r="U830" s="62"/>
      <c r="V830" s="62"/>
      <c r="W830" s="62"/>
      <c r="X830" s="62"/>
      <c r="Y830" s="62"/>
      <c r="Z830" s="62"/>
    </row>
    <row r="831" ht="15.75" customHeight="1">
      <c r="A831" s="74"/>
      <c r="B831" s="74"/>
      <c r="C831" s="74"/>
      <c r="D831" s="74"/>
      <c r="E831" s="2"/>
      <c r="F831" s="2"/>
      <c r="G831" s="2"/>
      <c r="H831" s="127"/>
      <c r="I831" s="62"/>
      <c r="J831" s="62"/>
      <c r="K831" s="62"/>
      <c r="L831" s="62"/>
      <c r="M831" s="62"/>
      <c r="N831" s="62"/>
      <c r="O831" s="62"/>
      <c r="P831" s="62"/>
      <c r="Q831" s="62"/>
      <c r="R831" s="62"/>
      <c r="S831" s="62"/>
      <c r="T831" s="62"/>
      <c r="U831" s="62"/>
      <c r="V831" s="62"/>
      <c r="W831" s="62"/>
      <c r="X831" s="62"/>
      <c r="Y831" s="62"/>
      <c r="Z831" s="62"/>
    </row>
    <row r="832" ht="15.75" customHeight="1">
      <c r="A832" s="74"/>
      <c r="B832" s="74"/>
      <c r="C832" s="74"/>
      <c r="D832" s="74"/>
      <c r="E832" s="2"/>
      <c r="F832" s="2"/>
      <c r="G832" s="2"/>
      <c r="H832" s="127"/>
      <c r="I832" s="62"/>
      <c r="J832" s="62"/>
      <c r="K832" s="62"/>
      <c r="L832" s="62"/>
      <c r="M832" s="62"/>
      <c r="N832" s="62"/>
      <c r="O832" s="62"/>
      <c r="P832" s="62"/>
      <c r="Q832" s="62"/>
      <c r="R832" s="62"/>
      <c r="S832" s="62"/>
      <c r="T832" s="62"/>
      <c r="U832" s="62"/>
      <c r="V832" s="62"/>
      <c r="W832" s="62"/>
      <c r="X832" s="62"/>
      <c r="Y832" s="62"/>
      <c r="Z832" s="62"/>
    </row>
    <row r="833" ht="15.75" customHeight="1">
      <c r="A833" s="74"/>
      <c r="B833" s="74"/>
      <c r="C833" s="74"/>
      <c r="D833" s="74"/>
      <c r="E833" s="2"/>
      <c r="F833" s="2"/>
      <c r="G833" s="2"/>
      <c r="H833" s="127"/>
      <c r="I833" s="62"/>
      <c r="J833" s="62"/>
      <c r="K833" s="62"/>
      <c r="L833" s="62"/>
      <c r="M833" s="62"/>
      <c r="N833" s="62"/>
      <c r="O833" s="62"/>
      <c r="P833" s="62"/>
      <c r="Q833" s="62"/>
      <c r="R833" s="62"/>
      <c r="S833" s="62"/>
      <c r="T833" s="62"/>
      <c r="U833" s="62"/>
      <c r="V833" s="62"/>
      <c r="W833" s="62"/>
      <c r="X833" s="62"/>
      <c r="Y833" s="62"/>
      <c r="Z833" s="62"/>
    </row>
    <row r="834" ht="15.75" customHeight="1">
      <c r="A834" s="74"/>
      <c r="B834" s="74"/>
      <c r="C834" s="74"/>
      <c r="D834" s="74"/>
      <c r="E834" s="2"/>
      <c r="F834" s="2"/>
      <c r="G834" s="2"/>
      <c r="H834" s="127"/>
      <c r="I834" s="62"/>
      <c r="J834" s="62"/>
      <c r="K834" s="62"/>
      <c r="L834" s="62"/>
      <c r="M834" s="62"/>
      <c r="N834" s="62"/>
      <c r="O834" s="62"/>
      <c r="P834" s="62"/>
      <c r="Q834" s="62"/>
      <c r="R834" s="62"/>
      <c r="S834" s="62"/>
      <c r="T834" s="62"/>
      <c r="U834" s="62"/>
      <c r="V834" s="62"/>
      <c r="W834" s="62"/>
      <c r="X834" s="62"/>
      <c r="Y834" s="62"/>
      <c r="Z834" s="62"/>
    </row>
    <row r="835" ht="15.75" customHeight="1">
      <c r="A835" s="74"/>
      <c r="B835" s="74"/>
      <c r="C835" s="74"/>
      <c r="D835" s="74"/>
      <c r="E835" s="2"/>
      <c r="F835" s="2"/>
      <c r="G835" s="2"/>
      <c r="H835" s="127"/>
      <c r="I835" s="62"/>
      <c r="J835" s="62"/>
      <c r="K835" s="62"/>
      <c r="L835" s="62"/>
      <c r="M835" s="62"/>
      <c r="N835" s="62"/>
      <c r="O835" s="62"/>
      <c r="P835" s="62"/>
      <c r="Q835" s="62"/>
      <c r="R835" s="62"/>
      <c r="S835" s="62"/>
      <c r="T835" s="62"/>
      <c r="U835" s="62"/>
      <c r="V835" s="62"/>
      <c r="W835" s="62"/>
      <c r="X835" s="62"/>
      <c r="Y835" s="62"/>
      <c r="Z835" s="62"/>
    </row>
    <row r="836" ht="15.75" customHeight="1">
      <c r="A836" s="74"/>
      <c r="B836" s="74"/>
      <c r="C836" s="74"/>
      <c r="D836" s="74"/>
      <c r="E836" s="2"/>
      <c r="F836" s="2"/>
      <c r="G836" s="2"/>
      <c r="H836" s="127"/>
      <c r="I836" s="62"/>
      <c r="J836" s="62"/>
      <c r="K836" s="62"/>
      <c r="L836" s="62"/>
      <c r="M836" s="62"/>
      <c r="N836" s="62"/>
      <c r="O836" s="62"/>
      <c r="P836" s="62"/>
      <c r="Q836" s="62"/>
      <c r="R836" s="62"/>
      <c r="S836" s="62"/>
      <c r="T836" s="62"/>
      <c r="U836" s="62"/>
      <c r="V836" s="62"/>
      <c r="W836" s="62"/>
      <c r="X836" s="62"/>
      <c r="Y836" s="62"/>
      <c r="Z836" s="62"/>
    </row>
    <row r="837" ht="15.75" customHeight="1">
      <c r="A837" s="74"/>
      <c r="B837" s="74"/>
      <c r="C837" s="74"/>
      <c r="D837" s="74"/>
      <c r="E837" s="2"/>
      <c r="F837" s="2"/>
      <c r="G837" s="2"/>
      <c r="H837" s="127"/>
      <c r="I837" s="62"/>
      <c r="J837" s="62"/>
      <c r="K837" s="62"/>
      <c r="L837" s="62"/>
      <c r="M837" s="62"/>
      <c r="N837" s="62"/>
      <c r="O837" s="62"/>
      <c r="P837" s="62"/>
      <c r="Q837" s="62"/>
      <c r="R837" s="62"/>
      <c r="S837" s="62"/>
      <c r="T837" s="62"/>
      <c r="U837" s="62"/>
      <c r="V837" s="62"/>
      <c r="W837" s="62"/>
      <c r="X837" s="62"/>
      <c r="Y837" s="62"/>
      <c r="Z837" s="62"/>
    </row>
    <row r="838" ht="15.75" customHeight="1">
      <c r="A838" s="74"/>
      <c r="B838" s="74"/>
      <c r="C838" s="74"/>
      <c r="D838" s="74"/>
      <c r="E838" s="2"/>
      <c r="F838" s="2"/>
      <c r="G838" s="2"/>
      <c r="H838" s="127"/>
      <c r="I838" s="62"/>
      <c r="J838" s="62"/>
      <c r="K838" s="62"/>
      <c r="L838" s="62"/>
      <c r="M838" s="62"/>
      <c r="N838" s="62"/>
      <c r="O838" s="62"/>
      <c r="P838" s="62"/>
      <c r="Q838" s="62"/>
      <c r="R838" s="62"/>
      <c r="S838" s="62"/>
      <c r="T838" s="62"/>
      <c r="U838" s="62"/>
      <c r="V838" s="62"/>
      <c r="W838" s="62"/>
      <c r="X838" s="62"/>
      <c r="Y838" s="62"/>
      <c r="Z838" s="62"/>
    </row>
    <row r="839" ht="15.75" customHeight="1">
      <c r="A839" s="74"/>
      <c r="B839" s="74"/>
      <c r="C839" s="74"/>
      <c r="D839" s="74"/>
      <c r="E839" s="2"/>
      <c r="F839" s="2"/>
      <c r="G839" s="2"/>
      <c r="H839" s="127"/>
      <c r="I839" s="62"/>
      <c r="J839" s="62"/>
      <c r="K839" s="62"/>
      <c r="L839" s="62"/>
      <c r="M839" s="62"/>
      <c r="N839" s="62"/>
      <c r="O839" s="62"/>
      <c r="P839" s="62"/>
      <c r="Q839" s="62"/>
      <c r="R839" s="62"/>
      <c r="S839" s="62"/>
      <c r="T839" s="62"/>
      <c r="U839" s="62"/>
      <c r="V839" s="62"/>
      <c r="W839" s="62"/>
      <c r="X839" s="62"/>
      <c r="Y839" s="62"/>
      <c r="Z839" s="62"/>
    </row>
    <row r="840" ht="15.75" customHeight="1">
      <c r="A840" s="74"/>
      <c r="B840" s="74"/>
      <c r="C840" s="74"/>
      <c r="D840" s="74"/>
      <c r="E840" s="2"/>
      <c r="F840" s="2"/>
      <c r="G840" s="2"/>
      <c r="H840" s="127"/>
      <c r="I840" s="62"/>
      <c r="J840" s="62"/>
      <c r="K840" s="62"/>
      <c r="L840" s="62"/>
      <c r="M840" s="62"/>
      <c r="N840" s="62"/>
      <c r="O840" s="62"/>
      <c r="P840" s="62"/>
      <c r="Q840" s="62"/>
      <c r="R840" s="62"/>
      <c r="S840" s="62"/>
      <c r="T840" s="62"/>
      <c r="U840" s="62"/>
      <c r="V840" s="62"/>
      <c r="W840" s="62"/>
      <c r="X840" s="62"/>
      <c r="Y840" s="62"/>
      <c r="Z840" s="62"/>
    </row>
    <row r="841" ht="15.75" customHeight="1">
      <c r="A841" s="74"/>
      <c r="B841" s="74"/>
      <c r="C841" s="74"/>
      <c r="D841" s="74"/>
      <c r="E841" s="2"/>
      <c r="F841" s="2"/>
      <c r="G841" s="2"/>
      <c r="H841" s="127"/>
      <c r="I841" s="62"/>
      <c r="J841" s="62"/>
      <c r="K841" s="62"/>
      <c r="L841" s="62"/>
      <c r="M841" s="62"/>
      <c r="N841" s="62"/>
      <c r="O841" s="62"/>
      <c r="P841" s="62"/>
      <c r="Q841" s="62"/>
      <c r="R841" s="62"/>
      <c r="S841" s="62"/>
      <c r="T841" s="62"/>
      <c r="U841" s="62"/>
      <c r="V841" s="62"/>
      <c r="W841" s="62"/>
      <c r="X841" s="62"/>
      <c r="Y841" s="62"/>
      <c r="Z841" s="62"/>
    </row>
    <row r="842" ht="15.75" customHeight="1">
      <c r="A842" s="74"/>
      <c r="B842" s="74"/>
      <c r="C842" s="74"/>
      <c r="D842" s="74"/>
      <c r="E842" s="2"/>
      <c r="F842" s="2"/>
      <c r="G842" s="2"/>
      <c r="H842" s="127"/>
      <c r="I842" s="62"/>
      <c r="J842" s="62"/>
      <c r="K842" s="62"/>
      <c r="L842" s="62"/>
      <c r="M842" s="62"/>
      <c r="N842" s="62"/>
      <c r="O842" s="62"/>
      <c r="P842" s="62"/>
      <c r="Q842" s="62"/>
      <c r="R842" s="62"/>
      <c r="S842" s="62"/>
      <c r="T842" s="62"/>
      <c r="U842" s="62"/>
      <c r="V842" s="62"/>
      <c r="W842" s="62"/>
      <c r="X842" s="62"/>
      <c r="Y842" s="62"/>
      <c r="Z842" s="62"/>
    </row>
    <row r="843" ht="15.75" customHeight="1">
      <c r="A843" s="74"/>
      <c r="B843" s="74"/>
      <c r="C843" s="74"/>
      <c r="D843" s="74"/>
      <c r="E843" s="2"/>
      <c r="F843" s="2"/>
      <c r="G843" s="2"/>
      <c r="H843" s="127"/>
      <c r="I843" s="62"/>
      <c r="J843" s="62"/>
      <c r="K843" s="62"/>
      <c r="L843" s="62"/>
      <c r="M843" s="62"/>
      <c r="N843" s="62"/>
      <c r="O843" s="62"/>
      <c r="P843" s="62"/>
      <c r="Q843" s="62"/>
      <c r="R843" s="62"/>
      <c r="S843" s="62"/>
      <c r="T843" s="62"/>
      <c r="U843" s="62"/>
      <c r="V843" s="62"/>
      <c r="W843" s="62"/>
      <c r="X843" s="62"/>
      <c r="Y843" s="62"/>
      <c r="Z843" s="62"/>
    </row>
    <row r="844" ht="15.75" customHeight="1">
      <c r="A844" s="74"/>
      <c r="B844" s="74"/>
      <c r="C844" s="74"/>
      <c r="D844" s="74"/>
      <c r="E844" s="2"/>
      <c r="F844" s="2"/>
      <c r="G844" s="2"/>
      <c r="H844" s="127"/>
      <c r="I844" s="62"/>
      <c r="J844" s="62"/>
      <c r="K844" s="62"/>
      <c r="L844" s="62"/>
      <c r="M844" s="62"/>
      <c r="N844" s="62"/>
      <c r="O844" s="62"/>
      <c r="P844" s="62"/>
      <c r="Q844" s="62"/>
      <c r="R844" s="62"/>
      <c r="S844" s="62"/>
      <c r="T844" s="62"/>
      <c r="U844" s="62"/>
      <c r="V844" s="62"/>
      <c r="W844" s="62"/>
      <c r="X844" s="62"/>
      <c r="Y844" s="62"/>
      <c r="Z844" s="62"/>
    </row>
    <row r="845" ht="15.75" customHeight="1">
      <c r="A845" s="74"/>
      <c r="B845" s="74"/>
      <c r="C845" s="74"/>
      <c r="D845" s="74"/>
      <c r="E845" s="2"/>
      <c r="F845" s="2"/>
      <c r="G845" s="2"/>
      <c r="H845" s="127"/>
      <c r="I845" s="62"/>
      <c r="J845" s="62"/>
      <c r="K845" s="62"/>
      <c r="L845" s="62"/>
      <c r="M845" s="62"/>
      <c r="N845" s="62"/>
      <c r="O845" s="62"/>
      <c r="P845" s="62"/>
      <c r="Q845" s="62"/>
      <c r="R845" s="62"/>
      <c r="S845" s="62"/>
      <c r="T845" s="62"/>
      <c r="U845" s="62"/>
      <c r="V845" s="62"/>
      <c r="W845" s="62"/>
      <c r="X845" s="62"/>
      <c r="Y845" s="62"/>
      <c r="Z845" s="62"/>
    </row>
    <row r="846" ht="15.75" customHeight="1">
      <c r="A846" s="74"/>
      <c r="B846" s="74"/>
      <c r="C846" s="74"/>
      <c r="D846" s="74"/>
      <c r="E846" s="2"/>
      <c r="F846" s="2"/>
      <c r="G846" s="2"/>
      <c r="H846" s="127"/>
      <c r="I846" s="62"/>
      <c r="J846" s="62"/>
      <c r="K846" s="62"/>
      <c r="L846" s="62"/>
      <c r="M846" s="62"/>
      <c r="N846" s="62"/>
      <c r="O846" s="62"/>
      <c r="P846" s="62"/>
      <c r="Q846" s="62"/>
      <c r="R846" s="62"/>
      <c r="S846" s="62"/>
      <c r="T846" s="62"/>
      <c r="U846" s="62"/>
      <c r="V846" s="62"/>
      <c r="W846" s="62"/>
      <c r="X846" s="62"/>
      <c r="Y846" s="62"/>
      <c r="Z846" s="62"/>
    </row>
    <row r="847" ht="15.75" customHeight="1">
      <c r="A847" s="74"/>
      <c r="B847" s="74"/>
      <c r="C847" s="74"/>
      <c r="D847" s="74"/>
      <c r="E847" s="2"/>
      <c r="F847" s="2"/>
      <c r="G847" s="2"/>
      <c r="H847" s="127"/>
      <c r="I847" s="62"/>
      <c r="J847" s="62"/>
      <c r="K847" s="62"/>
      <c r="L847" s="62"/>
      <c r="M847" s="62"/>
      <c r="N847" s="62"/>
      <c r="O847" s="62"/>
      <c r="P847" s="62"/>
      <c r="Q847" s="62"/>
      <c r="R847" s="62"/>
      <c r="S847" s="62"/>
      <c r="T847" s="62"/>
      <c r="U847" s="62"/>
      <c r="V847" s="62"/>
      <c r="W847" s="62"/>
      <c r="X847" s="62"/>
      <c r="Y847" s="62"/>
      <c r="Z847" s="62"/>
    </row>
    <row r="848" ht="15.75" customHeight="1">
      <c r="A848" s="74"/>
      <c r="B848" s="74"/>
      <c r="C848" s="74"/>
      <c r="D848" s="74"/>
      <c r="E848" s="2"/>
      <c r="F848" s="2"/>
      <c r="G848" s="2"/>
      <c r="H848" s="127"/>
      <c r="I848" s="62"/>
      <c r="J848" s="62"/>
      <c r="K848" s="62"/>
      <c r="L848" s="62"/>
      <c r="M848" s="62"/>
      <c r="N848" s="62"/>
      <c r="O848" s="62"/>
      <c r="P848" s="62"/>
      <c r="Q848" s="62"/>
      <c r="R848" s="62"/>
      <c r="S848" s="62"/>
      <c r="T848" s="62"/>
      <c r="U848" s="62"/>
      <c r="V848" s="62"/>
      <c r="W848" s="62"/>
      <c r="X848" s="62"/>
      <c r="Y848" s="62"/>
      <c r="Z848" s="62"/>
    </row>
    <row r="849" ht="15.75" customHeight="1">
      <c r="A849" s="74"/>
      <c r="B849" s="74"/>
      <c r="C849" s="74"/>
      <c r="D849" s="74"/>
      <c r="E849" s="2"/>
      <c r="F849" s="2"/>
      <c r="G849" s="2"/>
      <c r="H849" s="127"/>
      <c r="I849" s="62"/>
      <c r="J849" s="62"/>
      <c r="K849" s="62"/>
      <c r="L849" s="62"/>
      <c r="M849" s="62"/>
      <c r="N849" s="62"/>
      <c r="O849" s="62"/>
      <c r="P849" s="62"/>
      <c r="Q849" s="62"/>
      <c r="R849" s="62"/>
      <c r="S849" s="62"/>
      <c r="T849" s="62"/>
      <c r="U849" s="62"/>
      <c r="V849" s="62"/>
      <c r="W849" s="62"/>
      <c r="X849" s="62"/>
      <c r="Y849" s="62"/>
      <c r="Z849" s="62"/>
    </row>
    <row r="850" ht="15.75" customHeight="1">
      <c r="A850" s="74"/>
      <c r="B850" s="74"/>
      <c r="C850" s="74"/>
      <c r="D850" s="74"/>
      <c r="E850" s="2"/>
      <c r="F850" s="2"/>
      <c r="G850" s="2"/>
      <c r="H850" s="127"/>
      <c r="I850" s="62"/>
      <c r="J850" s="62"/>
      <c r="K850" s="62"/>
      <c r="L850" s="62"/>
      <c r="M850" s="62"/>
      <c r="N850" s="62"/>
      <c r="O850" s="62"/>
      <c r="P850" s="62"/>
      <c r="Q850" s="62"/>
      <c r="R850" s="62"/>
      <c r="S850" s="62"/>
      <c r="T850" s="62"/>
      <c r="U850" s="62"/>
      <c r="V850" s="62"/>
      <c r="W850" s="62"/>
      <c r="X850" s="62"/>
      <c r="Y850" s="62"/>
      <c r="Z850" s="62"/>
    </row>
    <row r="851" ht="15.75" customHeight="1">
      <c r="A851" s="74"/>
      <c r="B851" s="74"/>
      <c r="C851" s="74"/>
      <c r="D851" s="74"/>
      <c r="E851" s="2"/>
      <c r="F851" s="2"/>
      <c r="G851" s="2"/>
      <c r="H851" s="127"/>
      <c r="I851" s="62"/>
      <c r="J851" s="62"/>
      <c r="K851" s="62"/>
      <c r="L851" s="62"/>
      <c r="M851" s="62"/>
      <c r="N851" s="62"/>
      <c r="O851" s="62"/>
      <c r="P851" s="62"/>
      <c r="Q851" s="62"/>
      <c r="R851" s="62"/>
      <c r="S851" s="62"/>
      <c r="T851" s="62"/>
      <c r="U851" s="62"/>
      <c r="V851" s="62"/>
      <c r="W851" s="62"/>
      <c r="X851" s="62"/>
      <c r="Y851" s="62"/>
      <c r="Z851" s="62"/>
    </row>
    <row r="852" ht="15.75" customHeight="1">
      <c r="A852" s="74"/>
      <c r="B852" s="74"/>
      <c r="C852" s="74"/>
      <c r="D852" s="74"/>
      <c r="E852" s="2"/>
      <c r="F852" s="2"/>
      <c r="G852" s="2"/>
      <c r="H852" s="127"/>
      <c r="I852" s="62"/>
      <c r="J852" s="62"/>
      <c r="K852" s="62"/>
      <c r="L852" s="62"/>
      <c r="M852" s="62"/>
      <c r="N852" s="62"/>
      <c r="O852" s="62"/>
      <c r="P852" s="62"/>
      <c r="Q852" s="62"/>
      <c r="R852" s="62"/>
      <c r="S852" s="62"/>
      <c r="T852" s="62"/>
      <c r="U852" s="62"/>
      <c r="V852" s="62"/>
      <c r="W852" s="62"/>
      <c r="X852" s="62"/>
      <c r="Y852" s="62"/>
      <c r="Z852" s="62"/>
    </row>
    <row r="853" ht="15.75" customHeight="1">
      <c r="A853" s="74"/>
      <c r="B853" s="74"/>
      <c r="C853" s="74"/>
      <c r="D853" s="74"/>
      <c r="E853" s="2"/>
      <c r="F853" s="2"/>
      <c r="G853" s="2"/>
      <c r="H853" s="127"/>
      <c r="I853" s="62"/>
      <c r="J853" s="62"/>
      <c r="K853" s="62"/>
      <c r="L853" s="62"/>
      <c r="M853" s="62"/>
      <c r="N853" s="62"/>
      <c r="O853" s="62"/>
      <c r="P853" s="62"/>
      <c r="Q853" s="62"/>
      <c r="R853" s="62"/>
      <c r="S853" s="62"/>
      <c r="T853" s="62"/>
      <c r="U853" s="62"/>
      <c r="V853" s="62"/>
      <c r="W853" s="62"/>
      <c r="X853" s="62"/>
      <c r="Y853" s="62"/>
      <c r="Z853" s="62"/>
    </row>
    <row r="854" ht="15.75" customHeight="1">
      <c r="A854" s="74"/>
      <c r="B854" s="74"/>
      <c r="C854" s="74"/>
      <c r="D854" s="74"/>
      <c r="E854" s="2"/>
      <c r="F854" s="2"/>
      <c r="G854" s="2"/>
      <c r="H854" s="127"/>
      <c r="I854" s="62"/>
      <c r="J854" s="62"/>
      <c r="K854" s="62"/>
      <c r="L854" s="62"/>
      <c r="M854" s="62"/>
      <c r="N854" s="62"/>
      <c r="O854" s="62"/>
      <c r="P854" s="62"/>
      <c r="Q854" s="62"/>
      <c r="R854" s="62"/>
      <c r="S854" s="62"/>
      <c r="T854" s="62"/>
      <c r="U854" s="62"/>
      <c r="V854" s="62"/>
      <c r="W854" s="62"/>
      <c r="X854" s="62"/>
      <c r="Y854" s="62"/>
      <c r="Z854" s="62"/>
    </row>
    <row r="855" ht="15.75" customHeight="1">
      <c r="A855" s="74"/>
      <c r="B855" s="74"/>
      <c r="C855" s="74"/>
      <c r="D855" s="74"/>
      <c r="E855" s="2"/>
      <c r="F855" s="2"/>
      <c r="G855" s="2"/>
      <c r="H855" s="127"/>
      <c r="I855" s="62"/>
      <c r="J855" s="62"/>
      <c r="K855" s="62"/>
      <c r="L855" s="62"/>
      <c r="M855" s="62"/>
      <c r="N855" s="62"/>
      <c r="O855" s="62"/>
      <c r="P855" s="62"/>
      <c r="Q855" s="62"/>
      <c r="R855" s="62"/>
      <c r="S855" s="62"/>
      <c r="T855" s="62"/>
      <c r="U855" s="62"/>
      <c r="V855" s="62"/>
      <c r="W855" s="62"/>
      <c r="X855" s="62"/>
      <c r="Y855" s="62"/>
      <c r="Z855" s="62"/>
    </row>
    <row r="856" ht="15.75" customHeight="1">
      <c r="A856" s="74"/>
      <c r="B856" s="74"/>
      <c r="C856" s="74"/>
      <c r="D856" s="74"/>
      <c r="E856" s="2"/>
      <c r="F856" s="2"/>
      <c r="G856" s="2"/>
      <c r="H856" s="127"/>
      <c r="I856" s="62"/>
      <c r="J856" s="62"/>
      <c r="K856" s="62"/>
      <c r="L856" s="62"/>
      <c r="M856" s="62"/>
      <c r="N856" s="62"/>
      <c r="O856" s="62"/>
      <c r="P856" s="62"/>
      <c r="Q856" s="62"/>
      <c r="R856" s="62"/>
      <c r="S856" s="62"/>
      <c r="T856" s="62"/>
      <c r="U856" s="62"/>
      <c r="V856" s="62"/>
      <c r="W856" s="62"/>
      <c r="X856" s="62"/>
      <c r="Y856" s="62"/>
      <c r="Z856" s="62"/>
    </row>
    <row r="857" ht="15.75" customHeight="1">
      <c r="A857" s="74"/>
      <c r="B857" s="74"/>
      <c r="C857" s="74"/>
      <c r="D857" s="74"/>
      <c r="E857" s="2"/>
      <c r="F857" s="2"/>
      <c r="G857" s="2"/>
      <c r="H857" s="127"/>
      <c r="I857" s="62"/>
      <c r="J857" s="62"/>
      <c r="K857" s="62"/>
      <c r="L857" s="62"/>
      <c r="M857" s="62"/>
      <c r="N857" s="62"/>
      <c r="O857" s="62"/>
      <c r="P857" s="62"/>
      <c r="Q857" s="62"/>
      <c r="R857" s="62"/>
      <c r="S857" s="62"/>
      <c r="T857" s="62"/>
      <c r="U857" s="62"/>
      <c r="V857" s="62"/>
      <c r="W857" s="62"/>
      <c r="X857" s="62"/>
      <c r="Y857" s="62"/>
      <c r="Z857" s="62"/>
    </row>
    <row r="858" ht="15.75" customHeight="1">
      <c r="A858" s="74"/>
      <c r="B858" s="74"/>
      <c r="C858" s="74"/>
      <c r="D858" s="74"/>
      <c r="E858" s="2"/>
      <c r="F858" s="2"/>
      <c r="G858" s="2"/>
      <c r="H858" s="127"/>
      <c r="I858" s="62"/>
      <c r="J858" s="62"/>
      <c r="K858" s="62"/>
      <c r="L858" s="62"/>
      <c r="M858" s="62"/>
      <c r="N858" s="62"/>
      <c r="O858" s="62"/>
      <c r="P858" s="62"/>
      <c r="Q858" s="62"/>
      <c r="R858" s="62"/>
      <c r="S858" s="62"/>
      <c r="T858" s="62"/>
      <c r="U858" s="62"/>
      <c r="V858" s="62"/>
      <c r="W858" s="62"/>
      <c r="X858" s="62"/>
      <c r="Y858" s="62"/>
      <c r="Z858" s="62"/>
    </row>
    <row r="859" ht="15.75" customHeight="1">
      <c r="A859" s="74"/>
      <c r="B859" s="74"/>
      <c r="C859" s="74"/>
      <c r="D859" s="74"/>
      <c r="E859" s="2"/>
      <c r="F859" s="2"/>
      <c r="G859" s="2"/>
      <c r="H859" s="127"/>
      <c r="I859" s="62"/>
      <c r="J859" s="62"/>
      <c r="K859" s="62"/>
      <c r="L859" s="62"/>
      <c r="M859" s="62"/>
      <c r="N859" s="62"/>
      <c r="O859" s="62"/>
      <c r="P859" s="62"/>
      <c r="Q859" s="62"/>
      <c r="R859" s="62"/>
      <c r="S859" s="62"/>
      <c r="T859" s="62"/>
      <c r="U859" s="62"/>
      <c r="V859" s="62"/>
      <c r="W859" s="62"/>
      <c r="X859" s="62"/>
      <c r="Y859" s="62"/>
      <c r="Z859" s="62"/>
    </row>
    <row r="860" ht="15.75" customHeight="1">
      <c r="A860" s="74"/>
      <c r="B860" s="74"/>
      <c r="C860" s="74"/>
      <c r="D860" s="74"/>
      <c r="E860" s="2"/>
      <c r="F860" s="2"/>
      <c r="G860" s="2"/>
      <c r="H860" s="127"/>
      <c r="I860" s="62"/>
      <c r="J860" s="62"/>
      <c r="K860" s="62"/>
      <c r="L860" s="62"/>
      <c r="M860" s="62"/>
      <c r="N860" s="62"/>
      <c r="O860" s="62"/>
      <c r="P860" s="62"/>
      <c r="Q860" s="62"/>
      <c r="R860" s="62"/>
      <c r="S860" s="62"/>
      <c r="T860" s="62"/>
      <c r="U860" s="62"/>
      <c r="V860" s="62"/>
      <c r="W860" s="62"/>
      <c r="X860" s="62"/>
      <c r="Y860" s="62"/>
      <c r="Z860" s="62"/>
    </row>
    <row r="861" ht="15.75" customHeight="1">
      <c r="A861" s="74"/>
      <c r="B861" s="74"/>
      <c r="C861" s="74"/>
      <c r="D861" s="74"/>
      <c r="E861" s="2"/>
      <c r="F861" s="2"/>
      <c r="G861" s="2"/>
      <c r="H861" s="127"/>
      <c r="I861" s="62"/>
      <c r="J861" s="62"/>
      <c r="K861" s="62"/>
      <c r="L861" s="62"/>
      <c r="M861" s="62"/>
      <c r="N861" s="62"/>
      <c r="O861" s="62"/>
      <c r="P861" s="62"/>
      <c r="Q861" s="62"/>
      <c r="R861" s="62"/>
      <c r="S861" s="62"/>
      <c r="T861" s="62"/>
      <c r="U861" s="62"/>
      <c r="V861" s="62"/>
      <c r="W861" s="62"/>
      <c r="X861" s="62"/>
      <c r="Y861" s="62"/>
      <c r="Z861" s="62"/>
    </row>
    <row r="862" ht="15.75" customHeight="1">
      <c r="A862" s="74"/>
      <c r="B862" s="74"/>
      <c r="C862" s="74"/>
      <c r="D862" s="74"/>
      <c r="E862" s="2"/>
      <c r="F862" s="2"/>
      <c r="G862" s="2"/>
      <c r="H862" s="127"/>
      <c r="I862" s="62"/>
      <c r="J862" s="62"/>
      <c r="K862" s="62"/>
      <c r="L862" s="62"/>
      <c r="M862" s="62"/>
      <c r="N862" s="62"/>
      <c r="O862" s="62"/>
      <c r="P862" s="62"/>
      <c r="Q862" s="62"/>
      <c r="R862" s="62"/>
      <c r="S862" s="62"/>
      <c r="T862" s="62"/>
      <c r="U862" s="62"/>
      <c r="V862" s="62"/>
      <c r="W862" s="62"/>
      <c r="X862" s="62"/>
      <c r="Y862" s="62"/>
      <c r="Z862" s="62"/>
    </row>
    <row r="863" ht="15.75" customHeight="1">
      <c r="A863" s="74"/>
      <c r="B863" s="74"/>
      <c r="C863" s="74"/>
      <c r="D863" s="74"/>
      <c r="E863" s="2"/>
      <c r="F863" s="2"/>
      <c r="G863" s="2"/>
      <c r="H863" s="127"/>
      <c r="I863" s="62"/>
      <c r="J863" s="62"/>
      <c r="K863" s="62"/>
      <c r="L863" s="62"/>
      <c r="M863" s="62"/>
      <c r="N863" s="62"/>
      <c r="O863" s="62"/>
      <c r="P863" s="62"/>
      <c r="Q863" s="62"/>
      <c r="R863" s="62"/>
      <c r="S863" s="62"/>
      <c r="T863" s="62"/>
      <c r="U863" s="62"/>
      <c r="V863" s="62"/>
      <c r="W863" s="62"/>
      <c r="X863" s="62"/>
      <c r="Y863" s="62"/>
      <c r="Z863" s="62"/>
    </row>
    <row r="864" ht="15.75" customHeight="1">
      <c r="A864" s="74"/>
      <c r="B864" s="74"/>
      <c r="C864" s="74"/>
      <c r="D864" s="74"/>
      <c r="E864" s="2"/>
      <c r="F864" s="2"/>
      <c r="G864" s="2"/>
      <c r="H864" s="127"/>
      <c r="I864" s="62"/>
      <c r="J864" s="62"/>
      <c r="K864" s="62"/>
      <c r="L864" s="62"/>
      <c r="M864" s="62"/>
      <c r="N864" s="62"/>
      <c r="O864" s="62"/>
      <c r="P864" s="62"/>
      <c r="Q864" s="62"/>
      <c r="R864" s="62"/>
      <c r="S864" s="62"/>
      <c r="T864" s="62"/>
      <c r="U864" s="62"/>
      <c r="V864" s="62"/>
      <c r="W864" s="62"/>
      <c r="X864" s="62"/>
      <c r="Y864" s="62"/>
      <c r="Z864" s="62"/>
    </row>
    <row r="865" ht="15.75" customHeight="1">
      <c r="A865" s="74"/>
      <c r="B865" s="74"/>
      <c r="C865" s="74"/>
      <c r="D865" s="74"/>
      <c r="E865" s="2"/>
      <c r="F865" s="2"/>
      <c r="G865" s="2"/>
      <c r="H865" s="127"/>
      <c r="I865" s="62"/>
      <c r="J865" s="62"/>
      <c r="K865" s="62"/>
      <c r="L865" s="62"/>
      <c r="M865" s="62"/>
      <c r="N865" s="62"/>
      <c r="O865" s="62"/>
      <c r="P865" s="62"/>
      <c r="Q865" s="62"/>
      <c r="R865" s="62"/>
      <c r="S865" s="62"/>
      <c r="T865" s="62"/>
      <c r="U865" s="62"/>
      <c r="V865" s="62"/>
      <c r="W865" s="62"/>
      <c r="X865" s="62"/>
      <c r="Y865" s="62"/>
      <c r="Z865" s="62"/>
    </row>
    <row r="866" ht="15.75" customHeight="1">
      <c r="A866" s="74"/>
      <c r="B866" s="74"/>
      <c r="C866" s="74"/>
      <c r="D866" s="74"/>
      <c r="E866" s="2"/>
      <c r="F866" s="2"/>
      <c r="G866" s="2"/>
      <c r="H866" s="127"/>
      <c r="I866" s="62"/>
      <c r="J866" s="62"/>
      <c r="K866" s="62"/>
      <c r="L866" s="62"/>
      <c r="M866" s="62"/>
      <c r="N866" s="62"/>
      <c r="O866" s="62"/>
      <c r="P866" s="62"/>
      <c r="Q866" s="62"/>
      <c r="R866" s="62"/>
      <c r="S866" s="62"/>
      <c r="T866" s="62"/>
      <c r="U866" s="62"/>
      <c r="V866" s="62"/>
      <c r="W866" s="62"/>
      <c r="X866" s="62"/>
      <c r="Y866" s="62"/>
      <c r="Z866" s="62"/>
    </row>
    <row r="867" ht="15.75" customHeight="1">
      <c r="A867" s="74"/>
      <c r="B867" s="74"/>
      <c r="C867" s="74"/>
      <c r="D867" s="74"/>
      <c r="E867" s="2"/>
      <c r="F867" s="2"/>
      <c r="G867" s="2"/>
      <c r="H867" s="127"/>
      <c r="I867" s="62"/>
      <c r="J867" s="62"/>
      <c r="K867" s="62"/>
      <c r="L867" s="62"/>
      <c r="M867" s="62"/>
      <c r="N867" s="62"/>
      <c r="O867" s="62"/>
      <c r="P867" s="62"/>
      <c r="Q867" s="62"/>
      <c r="R867" s="62"/>
      <c r="S867" s="62"/>
      <c r="T867" s="62"/>
      <c r="U867" s="62"/>
      <c r="V867" s="62"/>
      <c r="W867" s="62"/>
      <c r="X867" s="62"/>
      <c r="Y867" s="62"/>
      <c r="Z867" s="62"/>
    </row>
    <row r="868" ht="15.75" customHeight="1">
      <c r="A868" s="74"/>
      <c r="B868" s="74"/>
      <c r="C868" s="74"/>
      <c r="D868" s="74"/>
      <c r="E868" s="2"/>
      <c r="F868" s="2"/>
      <c r="G868" s="2"/>
      <c r="H868" s="127"/>
      <c r="I868" s="62"/>
      <c r="J868" s="62"/>
      <c r="K868" s="62"/>
      <c r="L868" s="62"/>
      <c r="M868" s="62"/>
      <c r="N868" s="62"/>
      <c r="O868" s="62"/>
      <c r="P868" s="62"/>
      <c r="Q868" s="62"/>
      <c r="R868" s="62"/>
      <c r="S868" s="62"/>
      <c r="T868" s="62"/>
      <c r="U868" s="62"/>
      <c r="V868" s="62"/>
      <c r="W868" s="62"/>
      <c r="X868" s="62"/>
      <c r="Y868" s="62"/>
      <c r="Z868" s="62"/>
    </row>
    <row r="869" ht="15.75" customHeight="1">
      <c r="A869" s="74"/>
      <c r="B869" s="74"/>
      <c r="C869" s="74"/>
      <c r="D869" s="74"/>
      <c r="E869" s="2"/>
      <c r="F869" s="2"/>
      <c r="G869" s="2"/>
      <c r="H869" s="127"/>
      <c r="I869" s="62"/>
      <c r="J869" s="62"/>
      <c r="K869" s="62"/>
      <c r="L869" s="62"/>
      <c r="M869" s="62"/>
      <c r="N869" s="62"/>
      <c r="O869" s="62"/>
      <c r="P869" s="62"/>
      <c r="Q869" s="62"/>
      <c r="R869" s="62"/>
      <c r="S869" s="62"/>
      <c r="T869" s="62"/>
      <c r="U869" s="62"/>
      <c r="V869" s="62"/>
      <c r="W869" s="62"/>
      <c r="X869" s="62"/>
      <c r="Y869" s="62"/>
      <c r="Z869" s="62"/>
    </row>
    <row r="870" ht="15.75" customHeight="1">
      <c r="A870" s="74"/>
      <c r="B870" s="74"/>
      <c r="C870" s="74"/>
      <c r="D870" s="74"/>
      <c r="E870" s="2"/>
      <c r="F870" s="2"/>
      <c r="G870" s="2"/>
      <c r="H870" s="127"/>
      <c r="I870" s="62"/>
      <c r="J870" s="62"/>
      <c r="K870" s="62"/>
      <c r="L870" s="62"/>
      <c r="M870" s="62"/>
      <c r="N870" s="62"/>
      <c r="O870" s="62"/>
      <c r="P870" s="62"/>
      <c r="Q870" s="62"/>
      <c r="R870" s="62"/>
      <c r="S870" s="62"/>
      <c r="T870" s="62"/>
      <c r="U870" s="62"/>
      <c r="V870" s="62"/>
      <c r="W870" s="62"/>
      <c r="X870" s="62"/>
      <c r="Y870" s="62"/>
      <c r="Z870" s="62"/>
    </row>
    <row r="871" ht="15.75" customHeight="1">
      <c r="A871" s="74"/>
      <c r="B871" s="74"/>
      <c r="C871" s="74"/>
      <c r="D871" s="74"/>
      <c r="E871" s="2"/>
      <c r="F871" s="2"/>
      <c r="G871" s="2"/>
      <c r="H871" s="127"/>
      <c r="I871" s="62"/>
      <c r="J871" s="62"/>
      <c r="K871" s="62"/>
      <c r="L871" s="62"/>
      <c r="M871" s="62"/>
      <c r="N871" s="62"/>
      <c r="O871" s="62"/>
      <c r="P871" s="62"/>
      <c r="Q871" s="62"/>
      <c r="R871" s="62"/>
      <c r="S871" s="62"/>
      <c r="T871" s="62"/>
      <c r="U871" s="62"/>
      <c r="V871" s="62"/>
      <c r="W871" s="62"/>
      <c r="X871" s="62"/>
      <c r="Y871" s="62"/>
      <c r="Z871" s="62"/>
    </row>
    <row r="872" ht="15.75" customHeight="1">
      <c r="A872" s="74"/>
      <c r="B872" s="74"/>
      <c r="C872" s="74"/>
      <c r="D872" s="74"/>
      <c r="E872" s="2"/>
      <c r="F872" s="2"/>
      <c r="G872" s="2"/>
      <c r="H872" s="127"/>
      <c r="I872" s="62"/>
      <c r="J872" s="62"/>
      <c r="K872" s="62"/>
      <c r="L872" s="62"/>
      <c r="M872" s="62"/>
      <c r="N872" s="62"/>
      <c r="O872" s="62"/>
      <c r="P872" s="62"/>
      <c r="Q872" s="62"/>
      <c r="R872" s="62"/>
      <c r="S872" s="62"/>
      <c r="T872" s="62"/>
      <c r="U872" s="62"/>
      <c r="V872" s="62"/>
      <c r="W872" s="62"/>
      <c r="X872" s="62"/>
      <c r="Y872" s="62"/>
      <c r="Z872" s="62"/>
    </row>
    <row r="873" ht="15.75" customHeight="1">
      <c r="A873" s="74"/>
      <c r="B873" s="74"/>
      <c r="C873" s="74"/>
      <c r="D873" s="74"/>
      <c r="E873" s="2"/>
      <c r="F873" s="2"/>
      <c r="G873" s="2"/>
      <c r="H873" s="127"/>
      <c r="I873" s="62"/>
      <c r="J873" s="62"/>
      <c r="K873" s="62"/>
      <c r="L873" s="62"/>
      <c r="M873" s="62"/>
      <c r="N873" s="62"/>
      <c r="O873" s="62"/>
      <c r="P873" s="62"/>
      <c r="Q873" s="62"/>
      <c r="R873" s="62"/>
      <c r="S873" s="62"/>
      <c r="T873" s="62"/>
      <c r="U873" s="62"/>
      <c r="V873" s="62"/>
      <c r="W873" s="62"/>
      <c r="X873" s="62"/>
      <c r="Y873" s="62"/>
      <c r="Z873" s="62"/>
    </row>
    <row r="874" ht="15.75" customHeight="1">
      <c r="A874" s="74"/>
      <c r="B874" s="74"/>
      <c r="C874" s="74"/>
      <c r="D874" s="74"/>
      <c r="E874" s="2"/>
      <c r="F874" s="2"/>
      <c r="G874" s="2"/>
      <c r="H874" s="127"/>
      <c r="I874" s="62"/>
      <c r="J874" s="62"/>
      <c r="K874" s="62"/>
      <c r="L874" s="62"/>
      <c r="M874" s="62"/>
      <c r="N874" s="62"/>
      <c r="O874" s="62"/>
      <c r="P874" s="62"/>
      <c r="Q874" s="62"/>
      <c r="R874" s="62"/>
      <c r="S874" s="62"/>
      <c r="T874" s="62"/>
      <c r="U874" s="62"/>
      <c r="V874" s="62"/>
      <c r="W874" s="62"/>
      <c r="X874" s="62"/>
      <c r="Y874" s="62"/>
      <c r="Z874" s="62"/>
    </row>
    <row r="875" ht="15.75" customHeight="1">
      <c r="A875" s="74"/>
      <c r="B875" s="74"/>
      <c r="C875" s="74"/>
      <c r="D875" s="74"/>
      <c r="E875" s="2"/>
      <c r="F875" s="2"/>
      <c r="G875" s="2"/>
      <c r="H875" s="127"/>
      <c r="I875" s="62"/>
      <c r="J875" s="62"/>
      <c r="K875" s="62"/>
      <c r="L875" s="62"/>
      <c r="M875" s="62"/>
      <c r="N875" s="62"/>
      <c r="O875" s="62"/>
      <c r="P875" s="62"/>
      <c r="Q875" s="62"/>
      <c r="R875" s="62"/>
      <c r="S875" s="62"/>
      <c r="T875" s="62"/>
      <c r="U875" s="62"/>
      <c r="V875" s="62"/>
      <c r="W875" s="62"/>
      <c r="X875" s="62"/>
      <c r="Y875" s="62"/>
      <c r="Z875" s="62"/>
    </row>
    <row r="876" ht="15.75" customHeight="1">
      <c r="A876" s="74"/>
      <c r="B876" s="74"/>
      <c r="C876" s="74"/>
      <c r="D876" s="74"/>
      <c r="E876" s="2"/>
      <c r="F876" s="2"/>
      <c r="G876" s="2"/>
      <c r="H876" s="127"/>
      <c r="I876" s="62"/>
      <c r="J876" s="62"/>
      <c r="K876" s="62"/>
      <c r="L876" s="62"/>
      <c r="M876" s="62"/>
      <c r="N876" s="62"/>
      <c r="O876" s="62"/>
      <c r="P876" s="62"/>
      <c r="Q876" s="62"/>
      <c r="R876" s="62"/>
      <c r="S876" s="62"/>
      <c r="T876" s="62"/>
      <c r="U876" s="62"/>
      <c r="V876" s="62"/>
      <c r="W876" s="62"/>
      <c r="X876" s="62"/>
      <c r="Y876" s="62"/>
      <c r="Z876" s="62"/>
    </row>
    <row r="877" ht="15.75" customHeight="1">
      <c r="A877" s="74"/>
      <c r="B877" s="74"/>
      <c r="C877" s="74"/>
      <c r="D877" s="74"/>
      <c r="E877" s="2"/>
      <c r="F877" s="2"/>
      <c r="G877" s="2"/>
      <c r="H877" s="127"/>
      <c r="I877" s="62"/>
      <c r="J877" s="62"/>
      <c r="K877" s="62"/>
      <c r="L877" s="62"/>
      <c r="M877" s="62"/>
      <c r="N877" s="62"/>
      <c r="O877" s="62"/>
      <c r="P877" s="62"/>
      <c r="Q877" s="62"/>
      <c r="R877" s="62"/>
      <c r="S877" s="62"/>
      <c r="T877" s="62"/>
      <c r="U877" s="62"/>
      <c r="V877" s="62"/>
      <c r="W877" s="62"/>
      <c r="X877" s="62"/>
      <c r="Y877" s="62"/>
      <c r="Z877" s="62"/>
    </row>
    <row r="878" ht="15.75" customHeight="1">
      <c r="A878" s="74"/>
      <c r="B878" s="74"/>
      <c r="C878" s="74"/>
      <c r="D878" s="74"/>
      <c r="E878" s="2"/>
      <c r="F878" s="2"/>
      <c r="G878" s="2"/>
      <c r="H878" s="127"/>
      <c r="I878" s="62"/>
      <c r="J878" s="62"/>
      <c r="K878" s="62"/>
      <c r="L878" s="62"/>
      <c r="M878" s="62"/>
      <c r="N878" s="62"/>
      <c r="O878" s="62"/>
      <c r="P878" s="62"/>
      <c r="Q878" s="62"/>
      <c r="R878" s="62"/>
      <c r="S878" s="62"/>
      <c r="T878" s="62"/>
      <c r="U878" s="62"/>
      <c r="V878" s="62"/>
      <c r="W878" s="62"/>
      <c r="X878" s="62"/>
      <c r="Y878" s="62"/>
      <c r="Z878" s="62"/>
    </row>
    <row r="879" ht="15.75" customHeight="1">
      <c r="A879" s="74"/>
      <c r="B879" s="74"/>
      <c r="C879" s="74"/>
      <c r="D879" s="74"/>
      <c r="E879" s="2"/>
      <c r="F879" s="2"/>
      <c r="G879" s="2"/>
      <c r="H879" s="127"/>
      <c r="I879" s="62"/>
      <c r="J879" s="62"/>
      <c r="K879" s="62"/>
      <c r="L879" s="62"/>
      <c r="M879" s="62"/>
      <c r="N879" s="62"/>
      <c r="O879" s="62"/>
      <c r="P879" s="62"/>
      <c r="Q879" s="62"/>
      <c r="R879" s="62"/>
      <c r="S879" s="62"/>
      <c r="T879" s="62"/>
      <c r="U879" s="62"/>
      <c r="V879" s="62"/>
      <c r="W879" s="62"/>
      <c r="X879" s="62"/>
      <c r="Y879" s="62"/>
      <c r="Z879" s="62"/>
    </row>
    <row r="880" ht="15.75" customHeight="1">
      <c r="A880" s="74"/>
      <c r="B880" s="74"/>
      <c r="C880" s="74"/>
      <c r="D880" s="74"/>
      <c r="E880" s="2"/>
      <c r="F880" s="2"/>
      <c r="G880" s="2"/>
      <c r="H880" s="127"/>
      <c r="I880" s="62"/>
      <c r="J880" s="62"/>
      <c r="K880" s="62"/>
      <c r="L880" s="62"/>
      <c r="M880" s="62"/>
      <c r="N880" s="62"/>
      <c r="O880" s="62"/>
      <c r="P880" s="62"/>
      <c r="Q880" s="62"/>
      <c r="R880" s="62"/>
      <c r="S880" s="62"/>
      <c r="T880" s="62"/>
      <c r="U880" s="62"/>
      <c r="V880" s="62"/>
      <c r="W880" s="62"/>
      <c r="X880" s="62"/>
      <c r="Y880" s="62"/>
      <c r="Z880" s="62"/>
    </row>
    <row r="881" ht="15.75" customHeight="1">
      <c r="A881" s="74"/>
      <c r="B881" s="74"/>
      <c r="C881" s="74"/>
      <c r="D881" s="74"/>
      <c r="E881" s="2"/>
      <c r="F881" s="2"/>
      <c r="G881" s="2"/>
      <c r="H881" s="127"/>
      <c r="I881" s="62"/>
      <c r="J881" s="62"/>
      <c r="K881" s="62"/>
      <c r="L881" s="62"/>
      <c r="M881" s="62"/>
      <c r="N881" s="62"/>
      <c r="O881" s="62"/>
      <c r="P881" s="62"/>
      <c r="Q881" s="62"/>
      <c r="R881" s="62"/>
      <c r="S881" s="62"/>
      <c r="T881" s="62"/>
      <c r="U881" s="62"/>
      <c r="V881" s="62"/>
      <c r="W881" s="62"/>
      <c r="X881" s="62"/>
      <c r="Y881" s="62"/>
      <c r="Z881" s="62"/>
    </row>
    <row r="882" ht="15.75" customHeight="1">
      <c r="A882" s="74"/>
      <c r="B882" s="74"/>
      <c r="C882" s="74"/>
      <c r="D882" s="74"/>
      <c r="E882" s="2"/>
      <c r="F882" s="2"/>
      <c r="G882" s="2"/>
      <c r="H882" s="127"/>
      <c r="I882" s="62"/>
      <c r="J882" s="62"/>
      <c r="K882" s="62"/>
      <c r="L882" s="62"/>
      <c r="M882" s="62"/>
      <c r="N882" s="62"/>
      <c r="O882" s="62"/>
      <c r="P882" s="62"/>
      <c r="Q882" s="62"/>
      <c r="R882" s="62"/>
      <c r="S882" s="62"/>
      <c r="T882" s="62"/>
      <c r="U882" s="62"/>
      <c r="V882" s="62"/>
      <c r="W882" s="62"/>
      <c r="X882" s="62"/>
      <c r="Y882" s="62"/>
      <c r="Z882" s="62"/>
    </row>
    <row r="883" ht="15.75" customHeight="1">
      <c r="A883" s="74"/>
      <c r="B883" s="74"/>
      <c r="C883" s="74"/>
      <c r="D883" s="74"/>
      <c r="E883" s="2"/>
      <c r="F883" s="2"/>
      <c r="G883" s="2"/>
      <c r="H883" s="127"/>
      <c r="I883" s="62"/>
      <c r="J883" s="62"/>
      <c r="K883" s="62"/>
      <c r="L883" s="62"/>
      <c r="M883" s="62"/>
      <c r="N883" s="62"/>
      <c r="O883" s="62"/>
      <c r="P883" s="62"/>
      <c r="Q883" s="62"/>
      <c r="R883" s="62"/>
      <c r="S883" s="62"/>
      <c r="T883" s="62"/>
      <c r="U883" s="62"/>
      <c r="V883" s="62"/>
      <c r="W883" s="62"/>
      <c r="X883" s="62"/>
      <c r="Y883" s="62"/>
      <c r="Z883" s="62"/>
    </row>
    <row r="884" ht="15.75" customHeight="1">
      <c r="A884" s="74"/>
      <c r="B884" s="74"/>
      <c r="C884" s="74"/>
      <c r="D884" s="74"/>
      <c r="E884" s="2"/>
      <c r="F884" s="2"/>
      <c r="G884" s="2"/>
      <c r="H884" s="127"/>
      <c r="I884" s="62"/>
      <c r="J884" s="62"/>
      <c r="K884" s="62"/>
      <c r="L884" s="62"/>
      <c r="M884" s="62"/>
      <c r="N884" s="62"/>
      <c r="O884" s="62"/>
      <c r="P884" s="62"/>
      <c r="Q884" s="62"/>
      <c r="R884" s="62"/>
      <c r="S884" s="62"/>
      <c r="T884" s="62"/>
      <c r="U884" s="62"/>
      <c r="V884" s="62"/>
      <c r="W884" s="62"/>
      <c r="X884" s="62"/>
      <c r="Y884" s="62"/>
      <c r="Z884" s="62"/>
    </row>
    <row r="885" ht="15.75" customHeight="1">
      <c r="A885" s="74"/>
      <c r="B885" s="74"/>
      <c r="C885" s="74"/>
      <c r="D885" s="74"/>
      <c r="E885" s="2"/>
      <c r="F885" s="2"/>
      <c r="G885" s="2"/>
      <c r="H885" s="127"/>
      <c r="I885" s="62"/>
      <c r="J885" s="62"/>
      <c r="K885" s="62"/>
      <c r="L885" s="62"/>
      <c r="M885" s="62"/>
      <c r="N885" s="62"/>
      <c r="O885" s="62"/>
      <c r="P885" s="62"/>
      <c r="Q885" s="62"/>
      <c r="R885" s="62"/>
      <c r="S885" s="62"/>
      <c r="T885" s="62"/>
      <c r="U885" s="62"/>
      <c r="V885" s="62"/>
      <c r="W885" s="62"/>
      <c r="X885" s="62"/>
      <c r="Y885" s="62"/>
      <c r="Z885" s="62"/>
    </row>
    <row r="886" ht="15.75" customHeight="1">
      <c r="A886" s="74"/>
      <c r="B886" s="74"/>
      <c r="C886" s="74"/>
      <c r="D886" s="74"/>
      <c r="E886" s="2"/>
      <c r="F886" s="2"/>
      <c r="G886" s="2"/>
      <c r="H886" s="127"/>
      <c r="I886" s="62"/>
      <c r="J886" s="62"/>
      <c r="K886" s="62"/>
      <c r="L886" s="62"/>
      <c r="M886" s="62"/>
      <c r="N886" s="62"/>
      <c r="O886" s="62"/>
      <c r="P886" s="62"/>
      <c r="Q886" s="62"/>
      <c r="R886" s="62"/>
      <c r="S886" s="62"/>
      <c r="T886" s="62"/>
      <c r="U886" s="62"/>
      <c r="V886" s="62"/>
      <c r="W886" s="62"/>
      <c r="X886" s="62"/>
      <c r="Y886" s="62"/>
      <c r="Z886" s="62"/>
    </row>
    <row r="887" ht="15.75" customHeight="1">
      <c r="A887" s="74"/>
      <c r="B887" s="74"/>
      <c r="C887" s="74"/>
      <c r="D887" s="74"/>
      <c r="E887" s="2"/>
      <c r="F887" s="2"/>
      <c r="G887" s="2"/>
      <c r="H887" s="127"/>
      <c r="I887" s="62"/>
      <c r="J887" s="62"/>
      <c r="K887" s="62"/>
      <c r="L887" s="62"/>
      <c r="M887" s="62"/>
      <c r="N887" s="62"/>
      <c r="O887" s="62"/>
      <c r="P887" s="62"/>
      <c r="Q887" s="62"/>
      <c r="R887" s="62"/>
      <c r="S887" s="62"/>
      <c r="T887" s="62"/>
      <c r="U887" s="62"/>
      <c r="V887" s="62"/>
      <c r="W887" s="62"/>
      <c r="X887" s="62"/>
      <c r="Y887" s="62"/>
      <c r="Z887" s="62"/>
    </row>
    <row r="888" ht="15.75" customHeight="1">
      <c r="A888" s="74"/>
      <c r="B888" s="74"/>
      <c r="C888" s="74"/>
      <c r="D888" s="74"/>
      <c r="E888" s="2"/>
      <c r="F888" s="2"/>
      <c r="G888" s="2"/>
      <c r="H888" s="127"/>
      <c r="I888" s="62"/>
      <c r="J888" s="62"/>
      <c r="K888" s="62"/>
      <c r="L888" s="62"/>
      <c r="M888" s="62"/>
      <c r="N888" s="62"/>
      <c r="O888" s="62"/>
      <c r="P888" s="62"/>
      <c r="Q888" s="62"/>
      <c r="R888" s="62"/>
      <c r="S888" s="62"/>
      <c r="T888" s="62"/>
      <c r="U888" s="62"/>
      <c r="V888" s="62"/>
      <c r="W888" s="62"/>
      <c r="X888" s="62"/>
      <c r="Y888" s="62"/>
      <c r="Z888" s="62"/>
    </row>
    <row r="889" ht="15.75" customHeight="1">
      <c r="A889" s="74"/>
      <c r="B889" s="74"/>
      <c r="C889" s="74"/>
      <c r="D889" s="74"/>
      <c r="E889" s="2"/>
      <c r="F889" s="2"/>
      <c r="G889" s="2"/>
      <c r="H889" s="127"/>
      <c r="I889" s="62"/>
      <c r="J889" s="62"/>
      <c r="K889" s="62"/>
      <c r="L889" s="62"/>
      <c r="M889" s="62"/>
      <c r="N889" s="62"/>
      <c r="O889" s="62"/>
      <c r="P889" s="62"/>
      <c r="Q889" s="62"/>
      <c r="R889" s="62"/>
      <c r="S889" s="62"/>
      <c r="T889" s="62"/>
      <c r="U889" s="62"/>
      <c r="V889" s="62"/>
      <c r="W889" s="62"/>
      <c r="X889" s="62"/>
      <c r="Y889" s="62"/>
      <c r="Z889" s="62"/>
    </row>
    <row r="890" ht="15.75" customHeight="1">
      <c r="A890" s="74"/>
      <c r="B890" s="74"/>
      <c r="C890" s="74"/>
      <c r="D890" s="74"/>
      <c r="E890" s="2"/>
      <c r="F890" s="2"/>
      <c r="G890" s="2"/>
      <c r="H890" s="127"/>
      <c r="I890" s="62"/>
      <c r="J890" s="62"/>
      <c r="K890" s="62"/>
      <c r="L890" s="62"/>
      <c r="M890" s="62"/>
      <c r="N890" s="62"/>
      <c r="O890" s="62"/>
      <c r="P890" s="62"/>
      <c r="Q890" s="62"/>
      <c r="R890" s="62"/>
      <c r="S890" s="62"/>
      <c r="T890" s="62"/>
      <c r="U890" s="62"/>
      <c r="V890" s="62"/>
      <c r="W890" s="62"/>
      <c r="X890" s="62"/>
      <c r="Y890" s="62"/>
      <c r="Z890" s="62"/>
    </row>
    <row r="891" ht="15.75" customHeight="1">
      <c r="A891" s="74"/>
      <c r="B891" s="74"/>
      <c r="C891" s="74"/>
      <c r="D891" s="74"/>
      <c r="E891" s="2"/>
      <c r="F891" s="2"/>
      <c r="G891" s="2"/>
      <c r="H891" s="127"/>
      <c r="I891" s="62"/>
      <c r="J891" s="62"/>
      <c r="K891" s="62"/>
      <c r="L891" s="62"/>
      <c r="M891" s="62"/>
      <c r="N891" s="62"/>
      <c r="O891" s="62"/>
      <c r="P891" s="62"/>
      <c r="Q891" s="62"/>
      <c r="R891" s="62"/>
      <c r="S891" s="62"/>
      <c r="T891" s="62"/>
      <c r="U891" s="62"/>
      <c r="V891" s="62"/>
      <c r="W891" s="62"/>
      <c r="X891" s="62"/>
      <c r="Y891" s="62"/>
      <c r="Z891" s="62"/>
    </row>
    <row r="892" ht="15.75" customHeight="1">
      <c r="A892" s="74"/>
      <c r="B892" s="74"/>
      <c r="C892" s="74"/>
      <c r="D892" s="74"/>
      <c r="E892" s="2"/>
      <c r="F892" s="2"/>
      <c r="G892" s="2"/>
      <c r="H892" s="127"/>
      <c r="I892" s="62"/>
      <c r="J892" s="62"/>
      <c r="K892" s="62"/>
      <c r="L892" s="62"/>
      <c r="M892" s="62"/>
      <c r="N892" s="62"/>
      <c r="O892" s="62"/>
      <c r="P892" s="62"/>
      <c r="Q892" s="62"/>
      <c r="R892" s="62"/>
      <c r="S892" s="62"/>
      <c r="T892" s="62"/>
      <c r="U892" s="62"/>
      <c r="V892" s="62"/>
      <c r="W892" s="62"/>
      <c r="X892" s="62"/>
      <c r="Y892" s="62"/>
      <c r="Z892" s="62"/>
    </row>
    <row r="893" ht="15.75" customHeight="1">
      <c r="A893" s="74"/>
      <c r="B893" s="74"/>
      <c r="C893" s="74"/>
      <c r="D893" s="74"/>
      <c r="E893" s="2"/>
      <c r="F893" s="2"/>
      <c r="G893" s="2"/>
      <c r="H893" s="127"/>
      <c r="I893" s="62"/>
      <c r="J893" s="62"/>
      <c r="K893" s="62"/>
      <c r="L893" s="62"/>
      <c r="M893" s="62"/>
      <c r="N893" s="62"/>
      <c r="O893" s="62"/>
      <c r="P893" s="62"/>
      <c r="Q893" s="62"/>
      <c r="R893" s="62"/>
      <c r="S893" s="62"/>
      <c r="T893" s="62"/>
      <c r="U893" s="62"/>
      <c r="V893" s="62"/>
      <c r="W893" s="62"/>
      <c r="X893" s="62"/>
      <c r="Y893" s="62"/>
      <c r="Z893" s="62"/>
    </row>
    <row r="894" ht="15.75" customHeight="1">
      <c r="A894" s="74"/>
      <c r="B894" s="74"/>
      <c r="C894" s="74"/>
      <c r="D894" s="74"/>
      <c r="E894" s="2"/>
      <c r="F894" s="2"/>
      <c r="G894" s="2"/>
      <c r="H894" s="127"/>
      <c r="I894" s="62"/>
      <c r="J894" s="62"/>
      <c r="K894" s="62"/>
      <c r="L894" s="62"/>
      <c r="M894" s="62"/>
      <c r="N894" s="62"/>
      <c r="O894" s="62"/>
      <c r="P894" s="62"/>
      <c r="Q894" s="62"/>
      <c r="R894" s="62"/>
      <c r="S894" s="62"/>
      <c r="T894" s="62"/>
      <c r="U894" s="62"/>
      <c r="V894" s="62"/>
      <c r="W894" s="62"/>
      <c r="X894" s="62"/>
      <c r="Y894" s="62"/>
      <c r="Z894" s="62"/>
    </row>
    <row r="895" ht="15.75" customHeight="1">
      <c r="A895" s="74"/>
      <c r="B895" s="74"/>
      <c r="C895" s="74"/>
      <c r="D895" s="74"/>
      <c r="E895" s="2"/>
      <c r="F895" s="2"/>
      <c r="G895" s="2"/>
      <c r="H895" s="127"/>
      <c r="I895" s="62"/>
      <c r="J895" s="62"/>
      <c r="K895" s="62"/>
      <c r="L895" s="62"/>
      <c r="M895" s="62"/>
      <c r="N895" s="62"/>
      <c r="O895" s="62"/>
      <c r="P895" s="62"/>
      <c r="Q895" s="62"/>
      <c r="R895" s="62"/>
      <c r="S895" s="62"/>
      <c r="T895" s="62"/>
      <c r="U895" s="62"/>
      <c r="V895" s="62"/>
      <c r="W895" s="62"/>
      <c r="X895" s="62"/>
      <c r="Y895" s="62"/>
      <c r="Z895" s="62"/>
    </row>
    <row r="896" ht="15.75" customHeight="1">
      <c r="A896" s="74"/>
      <c r="B896" s="74"/>
      <c r="C896" s="74"/>
      <c r="D896" s="74"/>
      <c r="E896" s="2"/>
      <c r="F896" s="2"/>
      <c r="G896" s="2"/>
      <c r="H896" s="127"/>
      <c r="I896" s="62"/>
      <c r="J896" s="62"/>
      <c r="K896" s="62"/>
      <c r="L896" s="62"/>
      <c r="M896" s="62"/>
      <c r="N896" s="62"/>
      <c r="O896" s="62"/>
      <c r="P896" s="62"/>
      <c r="Q896" s="62"/>
      <c r="R896" s="62"/>
      <c r="S896" s="62"/>
      <c r="T896" s="62"/>
      <c r="U896" s="62"/>
      <c r="V896" s="62"/>
      <c r="W896" s="62"/>
      <c r="X896" s="62"/>
      <c r="Y896" s="62"/>
      <c r="Z896" s="62"/>
    </row>
    <row r="897" ht="15.75" customHeight="1">
      <c r="A897" s="74"/>
      <c r="B897" s="74"/>
      <c r="C897" s="74"/>
      <c r="D897" s="74"/>
      <c r="E897" s="2"/>
      <c r="F897" s="2"/>
      <c r="G897" s="2"/>
      <c r="H897" s="127"/>
      <c r="I897" s="62"/>
      <c r="J897" s="62"/>
      <c r="K897" s="62"/>
      <c r="L897" s="62"/>
      <c r="M897" s="62"/>
      <c r="N897" s="62"/>
      <c r="O897" s="62"/>
      <c r="P897" s="62"/>
      <c r="Q897" s="62"/>
      <c r="R897" s="62"/>
      <c r="S897" s="62"/>
      <c r="T897" s="62"/>
      <c r="U897" s="62"/>
      <c r="V897" s="62"/>
      <c r="W897" s="62"/>
      <c r="X897" s="62"/>
      <c r="Y897" s="62"/>
      <c r="Z897" s="62"/>
    </row>
    <row r="898" ht="15.75" customHeight="1">
      <c r="A898" s="74"/>
      <c r="B898" s="74"/>
      <c r="C898" s="74"/>
      <c r="D898" s="74"/>
      <c r="E898" s="2"/>
      <c r="F898" s="2"/>
      <c r="G898" s="2"/>
      <c r="H898" s="127"/>
      <c r="I898" s="62"/>
      <c r="J898" s="62"/>
      <c r="K898" s="62"/>
      <c r="L898" s="62"/>
      <c r="M898" s="62"/>
      <c r="N898" s="62"/>
      <c r="O898" s="62"/>
      <c r="P898" s="62"/>
      <c r="Q898" s="62"/>
      <c r="R898" s="62"/>
      <c r="S898" s="62"/>
      <c r="T898" s="62"/>
      <c r="U898" s="62"/>
      <c r="V898" s="62"/>
      <c r="W898" s="62"/>
      <c r="X898" s="62"/>
      <c r="Y898" s="62"/>
      <c r="Z898" s="62"/>
    </row>
    <row r="899" ht="15.75" customHeight="1">
      <c r="A899" s="74"/>
      <c r="B899" s="74"/>
      <c r="C899" s="74"/>
      <c r="D899" s="74"/>
      <c r="E899" s="2"/>
      <c r="F899" s="2"/>
      <c r="G899" s="2"/>
      <c r="H899" s="127"/>
      <c r="I899" s="62"/>
      <c r="J899" s="62"/>
      <c r="K899" s="62"/>
      <c r="L899" s="62"/>
      <c r="M899" s="62"/>
      <c r="N899" s="62"/>
      <c r="O899" s="62"/>
      <c r="P899" s="62"/>
      <c r="Q899" s="62"/>
      <c r="R899" s="62"/>
      <c r="S899" s="62"/>
      <c r="T899" s="62"/>
      <c r="U899" s="62"/>
      <c r="V899" s="62"/>
      <c r="W899" s="62"/>
      <c r="X899" s="62"/>
      <c r="Y899" s="62"/>
      <c r="Z899" s="62"/>
    </row>
    <row r="900" ht="15.75" customHeight="1">
      <c r="A900" s="74"/>
      <c r="B900" s="74"/>
      <c r="C900" s="74"/>
      <c r="D900" s="74"/>
      <c r="E900" s="2"/>
      <c r="F900" s="2"/>
      <c r="G900" s="2"/>
      <c r="H900" s="127"/>
      <c r="I900" s="62"/>
      <c r="J900" s="62"/>
      <c r="K900" s="62"/>
      <c r="L900" s="62"/>
      <c r="M900" s="62"/>
      <c r="N900" s="62"/>
      <c r="O900" s="62"/>
      <c r="P900" s="62"/>
      <c r="Q900" s="62"/>
      <c r="R900" s="62"/>
      <c r="S900" s="62"/>
      <c r="T900" s="62"/>
      <c r="U900" s="62"/>
      <c r="V900" s="62"/>
      <c r="W900" s="62"/>
      <c r="X900" s="62"/>
      <c r="Y900" s="62"/>
      <c r="Z900" s="62"/>
    </row>
    <row r="901" ht="15.75" customHeight="1">
      <c r="A901" s="74"/>
      <c r="B901" s="74"/>
      <c r="C901" s="74"/>
      <c r="D901" s="74"/>
      <c r="E901" s="2"/>
      <c r="F901" s="2"/>
      <c r="G901" s="2"/>
      <c r="H901" s="127"/>
      <c r="I901" s="62"/>
      <c r="J901" s="62"/>
      <c r="K901" s="62"/>
      <c r="L901" s="62"/>
      <c r="M901" s="62"/>
      <c r="N901" s="62"/>
      <c r="O901" s="62"/>
      <c r="P901" s="62"/>
      <c r="Q901" s="62"/>
      <c r="R901" s="62"/>
      <c r="S901" s="62"/>
      <c r="T901" s="62"/>
      <c r="U901" s="62"/>
      <c r="V901" s="62"/>
      <c r="W901" s="62"/>
      <c r="X901" s="62"/>
      <c r="Y901" s="62"/>
      <c r="Z901" s="62"/>
    </row>
    <row r="902" ht="15.75" customHeight="1">
      <c r="A902" s="74"/>
      <c r="B902" s="74"/>
      <c r="C902" s="74"/>
      <c r="D902" s="74"/>
      <c r="E902" s="2"/>
      <c r="F902" s="2"/>
      <c r="G902" s="2"/>
      <c r="H902" s="127"/>
      <c r="I902" s="62"/>
      <c r="J902" s="62"/>
      <c r="K902" s="62"/>
      <c r="L902" s="62"/>
      <c r="M902" s="62"/>
      <c r="N902" s="62"/>
      <c r="O902" s="62"/>
      <c r="P902" s="62"/>
      <c r="Q902" s="62"/>
      <c r="R902" s="62"/>
      <c r="S902" s="62"/>
      <c r="T902" s="62"/>
      <c r="U902" s="62"/>
      <c r="V902" s="62"/>
      <c r="W902" s="62"/>
      <c r="X902" s="62"/>
      <c r="Y902" s="62"/>
      <c r="Z902" s="62"/>
    </row>
    <row r="903" ht="15.75" customHeight="1">
      <c r="A903" s="74"/>
      <c r="B903" s="74"/>
      <c r="C903" s="74"/>
      <c r="D903" s="74"/>
      <c r="E903" s="2"/>
      <c r="F903" s="2"/>
      <c r="G903" s="2"/>
      <c r="H903" s="127"/>
      <c r="I903" s="62"/>
      <c r="J903" s="62"/>
      <c r="K903" s="62"/>
      <c r="L903" s="62"/>
      <c r="M903" s="62"/>
      <c r="N903" s="62"/>
      <c r="O903" s="62"/>
      <c r="P903" s="62"/>
      <c r="Q903" s="62"/>
      <c r="R903" s="62"/>
      <c r="S903" s="62"/>
      <c r="T903" s="62"/>
      <c r="U903" s="62"/>
      <c r="V903" s="62"/>
      <c r="W903" s="62"/>
      <c r="X903" s="62"/>
      <c r="Y903" s="62"/>
      <c r="Z903" s="62"/>
    </row>
    <row r="904" ht="15.75" customHeight="1">
      <c r="A904" s="74"/>
      <c r="B904" s="74"/>
      <c r="C904" s="74"/>
      <c r="D904" s="74"/>
      <c r="E904" s="2"/>
      <c r="F904" s="2"/>
      <c r="G904" s="2"/>
      <c r="H904" s="127"/>
      <c r="I904" s="62"/>
      <c r="J904" s="62"/>
      <c r="K904" s="62"/>
      <c r="L904" s="62"/>
      <c r="M904" s="62"/>
      <c r="N904" s="62"/>
      <c r="O904" s="62"/>
      <c r="P904" s="62"/>
      <c r="Q904" s="62"/>
      <c r="R904" s="62"/>
      <c r="S904" s="62"/>
      <c r="T904" s="62"/>
      <c r="U904" s="62"/>
      <c r="V904" s="62"/>
      <c r="W904" s="62"/>
      <c r="X904" s="62"/>
      <c r="Y904" s="62"/>
      <c r="Z904" s="62"/>
    </row>
    <row r="905" ht="15.75" customHeight="1">
      <c r="A905" s="74"/>
      <c r="B905" s="74"/>
      <c r="C905" s="74"/>
      <c r="D905" s="74"/>
      <c r="E905" s="2"/>
      <c r="F905" s="2"/>
      <c r="G905" s="2"/>
      <c r="H905" s="127"/>
      <c r="I905" s="62"/>
      <c r="J905" s="62"/>
      <c r="K905" s="62"/>
      <c r="L905" s="62"/>
      <c r="M905" s="62"/>
      <c r="N905" s="62"/>
      <c r="O905" s="62"/>
      <c r="P905" s="62"/>
      <c r="Q905" s="62"/>
      <c r="R905" s="62"/>
      <c r="S905" s="62"/>
      <c r="T905" s="62"/>
      <c r="U905" s="62"/>
      <c r="V905" s="62"/>
      <c r="W905" s="62"/>
      <c r="X905" s="62"/>
      <c r="Y905" s="62"/>
      <c r="Z905" s="62"/>
    </row>
    <row r="906" ht="15.75" customHeight="1">
      <c r="A906" s="74"/>
      <c r="B906" s="74"/>
      <c r="C906" s="74"/>
      <c r="D906" s="74"/>
      <c r="E906" s="2"/>
      <c r="F906" s="2"/>
      <c r="G906" s="2"/>
      <c r="H906" s="127"/>
      <c r="I906" s="62"/>
      <c r="J906" s="62"/>
      <c r="K906" s="62"/>
      <c r="L906" s="62"/>
      <c r="M906" s="62"/>
      <c r="N906" s="62"/>
      <c r="O906" s="62"/>
      <c r="P906" s="62"/>
      <c r="Q906" s="62"/>
      <c r="R906" s="62"/>
      <c r="S906" s="62"/>
      <c r="T906" s="62"/>
      <c r="U906" s="62"/>
      <c r="V906" s="62"/>
      <c r="W906" s="62"/>
      <c r="X906" s="62"/>
      <c r="Y906" s="62"/>
      <c r="Z906" s="62"/>
    </row>
    <row r="907" ht="15.75" customHeight="1">
      <c r="A907" s="74"/>
      <c r="B907" s="74"/>
      <c r="C907" s="74"/>
      <c r="D907" s="74"/>
      <c r="E907" s="2"/>
      <c r="F907" s="2"/>
      <c r="G907" s="2"/>
      <c r="H907" s="127"/>
      <c r="I907" s="62"/>
      <c r="J907" s="62"/>
      <c r="K907" s="62"/>
      <c r="L907" s="62"/>
      <c r="M907" s="62"/>
      <c r="N907" s="62"/>
      <c r="O907" s="62"/>
      <c r="P907" s="62"/>
      <c r="Q907" s="62"/>
      <c r="R907" s="62"/>
      <c r="S907" s="62"/>
      <c r="T907" s="62"/>
      <c r="U907" s="62"/>
      <c r="V907" s="62"/>
      <c r="W907" s="62"/>
      <c r="X907" s="62"/>
      <c r="Y907" s="62"/>
      <c r="Z907" s="62"/>
    </row>
    <row r="908" ht="15.75" customHeight="1">
      <c r="A908" s="74"/>
      <c r="B908" s="74"/>
      <c r="C908" s="74"/>
      <c r="D908" s="74"/>
      <c r="E908" s="2"/>
      <c r="F908" s="2"/>
      <c r="G908" s="2"/>
      <c r="H908" s="127"/>
      <c r="I908" s="62"/>
      <c r="J908" s="62"/>
      <c r="K908" s="62"/>
      <c r="L908" s="62"/>
      <c r="M908" s="62"/>
      <c r="N908" s="62"/>
      <c r="O908" s="62"/>
      <c r="P908" s="62"/>
      <c r="Q908" s="62"/>
      <c r="R908" s="62"/>
      <c r="S908" s="62"/>
      <c r="T908" s="62"/>
      <c r="U908" s="62"/>
      <c r="V908" s="62"/>
      <c r="W908" s="62"/>
      <c r="X908" s="62"/>
      <c r="Y908" s="62"/>
      <c r="Z908" s="62"/>
    </row>
    <row r="909" ht="15.75" customHeight="1">
      <c r="A909" s="74"/>
      <c r="B909" s="74"/>
      <c r="C909" s="74"/>
      <c r="D909" s="74"/>
      <c r="E909" s="2"/>
      <c r="F909" s="2"/>
      <c r="G909" s="2"/>
      <c r="H909" s="127"/>
      <c r="I909" s="62"/>
      <c r="J909" s="62"/>
      <c r="K909" s="62"/>
      <c r="L909" s="62"/>
      <c r="M909" s="62"/>
      <c r="N909" s="62"/>
      <c r="O909" s="62"/>
      <c r="P909" s="62"/>
      <c r="Q909" s="62"/>
      <c r="R909" s="62"/>
      <c r="S909" s="62"/>
      <c r="T909" s="62"/>
      <c r="U909" s="62"/>
      <c r="V909" s="62"/>
      <c r="W909" s="62"/>
      <c r="X909" s="62"/>
      <c r="Y909" s="62"/>
      <c r="Z909" s="62"/>
    </row>
    <row r="910" ht="15.75" customHeight="1">
      <c r="A910" s="74"/>
      <c r="B910" s="74"/>
      <c r="C910" s="74"/>
      <c r="D910" s="74"/>
      <c r="E910" s="2"/>
      <c r="F910" s="2"/>
      <c r="G910" s="2"/>
      <c r="H910" s="127"/>
      <c r="I910" s="62"/>
      <c r="J910" s="62"/>
      <c r="K910" s="62"/>
      <c r="L910" s="62"/>
      <c r="M910" s="62"/>
      <c r="N910" s="62"/>
      <c r="O910" s="62"/>
      <c r="P910" s="62"/>
      <c r="Q910" s="62"/>
      <c r="R910" s="62"/>
      <c r="S910" s="62"/>
      <c r="T910" s="62"/>
      <c r="U910" s="62"/>
      <c r="V910" s="62"/>
      <c r="W910" s="62"/>
      <c r="X910" s="62"/>
      <c r="Y910" s="62"/>
      <c r="Z910" s="62"/>
    </row>
    <row r="911" ht="15.75" customHeight="1">
      <c r="A911" s="74"/>
      <c r="B911" s="74"/>
      <c r="C911" s="74"/>
      <c r="D911" s="74"/>
      <c r="E911" s="2"/>
      <c r="F911" s="2"/>
      <c r="G911" s="2"/>
      <c r="H911" s="127"/>
      <c r="I911" s="62"/>
      <c r="J911" s="62"/>
      <c r="K911" s="62"/>
      <c r="L911" s="62"/>
      <c r="M911" s="62"/>
      <c r="N911" s="62"/>
      <c r="O911" s="62"/>
      <c r="P911" s="62"/>
      <c r="Q911" s="62"/>
      <c r="R911" s="62"/>
      <c r="S911" s="62"/>
      <c r="T911" s="62"/>
      <c r="U911" s="62"/>
      <c r="V911" s="62"/>
      <c r="W911" s="62"/>
      <c r="X911" s="62"/>
      <c r="Y911" s="62"/>
      <c r="Z911" s="62"/>
    </row>
    <row r="912" ht="15.75" customHeight="1">
      <c r="A912" s="74"/>
      <c r="B912" s="74"/>
      <c r="C912" s="74"/>
      <c r="D912" s="74"/>
      <c r="E912" s="2"/>
      <c r="F912" s="2"/>
      <c r="G912" s="2"/>
      <c r="H912" s="127"/>
      <c r="I912" s="62"/>
      <c r="J912" s="62"/>
      <c r="K912" s="62"/>
      <c r="L912" s="62"/>
      <c r="M912" s="62"/>
      <c r="N912" s="62"/>
      <c r="O912" s="62"/>
      <c r="P912" s="62"/>
      <c r="Q912" s="62"/>
      <c r="R912" s="62"/>
      <c r="S912" s="62"/>
      <c r="T912" s="62"/>
      <c r="U912" s="62"/>
      <c r="V912" s="62"/>
      <c r="W912" s="62"/>
      <c r="X912" s="62"/>
      <c r="Y912" s="62"/>
      <c r="Z912" s="62"/>
    </row>
    <row r="913" ht="15.75" customHeight="1">
      <c r="A913" s="74"/>
      <c r="B913" s="74"/>
      <c r="C913" s="74"/>
      <c r="D913" s="74"/>
      <c r="E913" s="2"/>
      <c r="F913" s="2"/>
      <c r="G913" s="2"/>
      <c r="H913" s="127"/>
      <c r="I913" s="62"/>
      <c r="J913" s="62"/>
      <c r="K913" s="62"/>
      <c r="L913" s="62"/>
      <c r="M913" s="62"/>
      <c r="N913" s="62"/>
      <c r="O913" s="62"/>
      <c r="P913" s="62"/>
      <c r="Q913" s="62"/>
      <c r="R913" s="62"/>
      <c r="S913" s="62"/>
      <c r="T913" s="62"/>
      <c r="U913" s="62"/>
      <c r="V913" s="62"/>
      <c r="W913" s="62"/>
      <c r="X913" s="62"/>
      <c r="Y913" s="62"/>
      <c r="Z913" s="62"/>
    </row>
    <row r="914" ht="15.75" customHeight="1">
      <c r="A914" s="74"/>
      <c r="B914" s="74"/>
      <c r="C914" s="74"/>
      <c r="D914" s="74"/>
      <c r="E914" s="2"/>
      <c r="F914" s="2"/>
      <c r="G914" s="2"/>
      <c r="H914" s="127"/>
      <c r="I914" s="62"/>
      <c r="J914" s="62"/>
      <c r="K914" s="62"/>
      <c r="L914" s="62"/>
      <c r="M914" s="62"/>
      <c r="N914" s="62"/>
      <c r="O914" s="62"/>
      <c r="P914" s="62"/>
      <c r="Q914" s="62"/>
      <c r="R914" s="62"/>
      <c r="S914" s="62"/>
      <c r="T914" s="62"/>
      <c r="U914" s="62"/>
      <c r="V914" s="62"/>
      <c r="W914" s="62"/>
      <c r="X914" s="62"/>
      <c r="Y914" s="62"/>
      <c r="Z914" s="62"/>
    </row>
    <row r="915" ht="15.75" customHeight="1">
      <c r="A915" s="74"/>
      <c r="B915" s="74"/>
      <c r="C915" s="74"/>
      <c r="D915" s="74"/>
      <c r="E915" s="2"/>
      <c r="F915" s="2"/>
      <c r="G915" s="2"/>
      <c r="H915" s="127"/>
      <c r="I915" s="62"/>
      <c r="J915" s="62"/>
      <c r="K915" s="62"/>
      <c r="L915" s="62"/>
      <c r="M915" s="62"/>
      <c r="N915" s="62"/>
      <c r="O915" s="62"/>
      <c r="P915" s="62"/>
      <c r="Q915" s="62"/>
      <c r="R915" s="62"/>
      <c r="S915" s="62"/>
      <c r="T915" s="62"/>
      <c r="U915" s="62"/>
      <c r="V915" s="62"/>
      <c r="W915" s="62"/>
      <c r="X915" s="62"/>
      <c r="Y915" s="62"/>
      <c r="Z915" s="62"/>
    </row>
    <row r="916" ht="15.75" customHeight="1">
      <c r="A916" s="74"/>
      <c r="B916" s="74"/>
      <c r="C916" s="74"/>
      <c r="D916" s="74"/>
      <c r="E916" s="2"/>
      <c r="F916" s="2"/>
      <c r="G916" s="2"/>
      <c r="H916" s="127"/>
      <c r="I916" s="62"/>
      <c r="J916" s="62"/>
      <c r="K916" s="62"/>
      <c r="L916" s="62"/>
      <c r="M916" s="62"/>
      <c r="N916" s="62"/>
      <c r="O916" s="62"/>
      <c r="P916" s="62"/>
      <c r="Q916" s="62"/>
      <c r="R916" s="62"/>
      <c r="S916" s="62"/>
      <c r="T916" s="62"/>
      <c r="U916" s="62"/>
      <c r="V916" s="62"/>
      <c r="W916" s="62"/>
      <c r="X916" s="62"/>
      <c r="Y916" s="62"/>
      <c r="Z916" s="62"/>
    </row>
    <row r="917" ht="15.75" customHeight="1">
      <c r="A917" s="74"/>
      <c r="B917" s="74"/>
      <c r="C917" s="74"/>
      <c r="D917" s="74"/>
      <c r="E917" s="2"/>
      <c r="F917" s="2"/>
      <c r="G917" s="2"/>
      <c r="H917" s="127"/>
      <c r="I917" s="62"/>
      <c r="J917" s="62"/>
      <c r="K917" s="62"/>
      <c r="L917" s="62"/>
      <c r="M917" s="62"/>
      <c r="N917" s="62"/>
      <c r="O917" s="62"/>
      <c r="P917" s="62"/>
      <c r="Q917" s="62"/>
      <c r="R917" s="62"/>
      <c r="S917" s="62"/>
      <c r="T917" s="62"/>
      <c r="U917" s="62"/>
      <c r="V917" s="62"/>
      <c r="W917" s="62"/>
      <c r="X917" s="62"/>
      <c r="Y917" s="62"/>
      <c r="Z917" s="62"/>
    </row>
    <row r="918" ht="15.75" customHeight="1">
      <c r="A918" s="74"/>
      <c r="B918" s="74"/>
      <c r="C918" s="74"/>
      <c r="D918" s="74"/>
      <c r="E918" s="2"/>
      <c r="F918" s="2"/>
      <c r="G918" s="2"/>
      <c r="H918" s="127"/>
      <c r="I918" s="62"/>
      <c r="J918" s="62"/>
      <c r="K918" s="62"/>
      <c r="L918" s="62"/>
      <c r="M918" s="62"/>
      <c r="N918" s="62"/>
      <c r="O918" s="62"/>
      <c r="P918" s="62"/>
      <c r="Q918" s="62"/>
      <c r="R918" s="62"/>
      <c r="S918" s="62"/>
      <c r="T918" s="62"/>
      <c r="U918" s="62"/>
      <c r="V918" s="62"/>
      <c r="W918" s="62"/>
      <c r="X918" s="62"/>
      <c r="Y918" s="62"/>
      <c r="Z918" s="62"/>
    </row>
    <row r="919" ht="15.75" customHeight="1">
      <c r="A919" s="74"/>
      <c r="B919" s="74"/>
      <c r="C919" s="74"/>
      <c r="D919" s="74"/>
      <c r="E919" s="2"/>
      <c r="F919" s="2"/>
      <c r="G919" s="2"/>
      <c r="H919" s="127"/>
      <c r="I919" s="62"/>
      <c r="J919" s="62"/>
      <c r="K919" s="62"/>
      <c r="L919" s="62"/>
      <c r="M919" s="62"/>
      <c r="N919" s="62"/>
      <c r="O919" s="62"/>
      <c r="P919" s="62"/>
      <c r="Q919" s="62"/>
      <c r="R919" s="62"/>
      <c r="S919" s="62"/>
      <c r="T919" s="62"/>
      <c r="U919" s="62"/>
      <c r="V919" s="62"/>
      <c r="W919" s="62"/>
      <c r="X919" s="62"/>
      <c r="Y919" s="62"/>
      <c r="Z919" s="62"/>
    </row>
    <row r="920" ht="15.75" customHeight="1">
      <c r="A920" s="74"/>
      <c r="B920" s="74"/>
      <c r="C920" s="74"/>
      <c r="D920" s="74"/>
      <c r="E920" s="2"/>
      <c r="F920" s="2"/>
      <c r="G920" s="2"/>
      <c r="H920" s="127"/>
      <c r="I920" s="62"/>
      <c r="J920" s="62"/>
      <c r="K920" s="62"/>
      <c r="L920" s="62"/>
      <c r="M920" s="62"/>
      <c r="N920" s="62"/>
      <c r="O920" s="62"/>
      <c r="P920" s="62"/>
      <c r="Q920" s="62"/>
      <c r="R920" s="62"/>
      <c r="S920" s="62"/>
      <c r="T920" s="62"/>
      <c r="U920" s="62"/>
      <c r="V920" s="62"/>
      <c r="W920" s="62"/>
      <c r="X920" s="62"/>
      <c r="Y920" s="62"/>
      <c r="Z920" s="62"/>
    </row>
    <row r="921" ht="15.75" customHeight="1">
      <c r="A921" s="74"/>
      <c r="B921" s="74"/>
      <c r="C921" s="74"/>
      <c r="D921" s="74"/>
      <c r="E921" s="2"/>
      <c r="F921" s="2"/>
      <c r="G921" s="2"/>
      <c r="H921" s="127"/>
      <c r="I921" s="62"/>
      <c r="J921" s="62"/>
      <c r="K921" s="62"/>
      <c r="L921" s="62"/>
      <c r="M921" s="62"/>
      <c r="N921" s="62"/>
      <c r="O921" s="62"/>
      <c r="P921" s="62"/>
      <c r="Q921" s="62"/>
      <c r="R921" s="62"/>
      <c r="S921" s="62"/>
      <c r="T921" s="62"/>
      <c r="U921" s="62"/>
      <c r="V921" s="62"/>
      <c r="W921" s="62"/>
      <c r="X921" s="62"/>
      <c r="Y921" s="62"/>
      <c r="Z921" s="62"/>
    </row>
    <row r="922" ht="15.75" customHeight="1">
      <c r="A922" s="74"/>
      <c r="B922" s="74"/>
      <c r="C922" s="74"/>
      <c r="D922" s="74"/>
      <c r="E922" s="2"/>
      <c r="F922" s="2"/>
      <c r="G922" s="2"/>
      <c r="H922" s="127"/>
      <c r="I922" s="62"/>
      <c r="J922" s="62"/>
      <c r="K922" s="62"/>
      <c r="L922" s="62"/>
      <c r="M922" s="62"/>
      <c r="N922" s="62"/>
      <c r="O922" s="62"/>
      <c r="P922" s="62"/>
      <c r="Q922" s="62"/>
      <c r="R922" s="62"/>
      <c r="S922" s="62"/>
      <c r="T922" s="62"/>
      <c r="U922" s="62"/>
      <c r="V922" s="62"/>
      <c r="W922" s="62"/>
      <c r="X922" s="62"/>
      <c r="Y922" s="62"/>
      <c r="Z922" s="62"/>
    </row>
    <row r="923" ht="15.75" customHeight="1">
      <c r="A923" s="74"/>
      <c r="B923" s="74"/>
      <c r="C923" s="74"/>
      <c r="D923" s="74"/>
      <c r="E923" s="2"/>
      <c r="F923" s="2"/>
      <c r="G923" s="2"/>
      <c r="H923" s="127"/>
      <c r="I923" s="62"/>
      <c r="J923" s="62"/>
      <c r="K923" s="62"/>
      <c r="L923" s="62"/>
      <c r="M923" s="62"/>
      <c r="N923" s="62"/>
      <c r="O923" s="62"/>
      <c r="P923" s="62"/>
      <c r="Q923" s="62"/>
      <c r="R923" s="62"/>
      <c r="S923" s="62"/>
      <c r="T923" s="62"/>
      <c r="U923" s="62"/>
      <c r="V923" s="62"/>
      <c r="W923" s="62"/>
      <c r="X923" s="62"/>
      <c r="Y923" s="62"/>
      <c r="Z923" s="62"/>
    </row>
    <row r="924" ht="15.75" customHeight="1">
      <c r="A924" s="74"/>
      <c r="B924" s="74"/>
      <c r="C924" s="74"/>
      <c r="D924" s="74"/>
      <c r="E924" s="2"/>
      <c r="F924" s="2"/>
      <c r="G924" s="2"/>
      <c r="H924" s="127"/>
      <c r="I924" s="62"/>
      <c r="J924" s="62"/>
      <c r="K924" s="62"/>
      <c r="L924" s="62"/>
      <c r="M924" s="62"/>
      <c r="N924" s="62"/>
      <c r="O924" s="62"/>
      <c r="P924" s="62"/>
      <c r="Q924" s="62"/>
      <c r="R924" s="62"/>
      <c r="S924" s="62"/>
      <c r="T924" s="62"/>
      <c r="U924" s="62"/>
      <c r="V924" s="62"/>
      <c r="W924" s="62"/>
      <c r="X924" s="62"/>
      <c r="Y924" s="62"/>
      <c r="Z924" s="62"/>
    </row>
    <row r="925" ht="15.75" customHeight="1">
      <c r="A925" s="74"/>
      <c r="B925" s="74"/>
      <c r="C925" s="74"/>
      <c r="D925" s="74"/>
      <c r="E925" s="2"/>
      <c r="F925" s="2"/>
      <c r="G925" s="2"/>
      <c r="H925" s="127"/>
      <c r="I925" s="62"/>
      <c r="J925" s="62"/>
      <c r="K925" s="62"/>
      <c r="L925" s="62"/>
      <c r="M925" s="62"/>
      <c r="N925" s="62"/>
      <c r="O925" s="62"/>
      <c r="P925" s="62"/>
      <c r="Q925" s="62"/>
      <c r="R925" s="62"/>
      <c r="S925" s="62"/>
      <c r="T925" s="62"/>
      <c r="U925" s="62"/>
      <c r="V925" s="62"/>
      <c r="W925" s="62"/>
      <c r="X925" s="62"/>
      <c r="Y925" s="62"/>
      <c r="Z925" s="62"/>
    </row>
    <row r="926" ht="15.75" customHeight="1">
      <c r="A926" s="74"/>
      <c r="B926" s="74"/>
      <c r="C926" s="74"/>
      <c r="D926" s="74"/>
      <c r="E926" s="2"/>
      <c r="F926" s="2"/>
      <c r="G926" s="2"/>
      <c r="H926" s="127"/>
      <c r="I926" s="62"/>
      <c r="J926" s="62"/>
      <c r="K926" s="62"/>
      <c r="L926" s="62"/>
      <c r="M926" s="62"/>
      <c r="N926" s="62"/>
      <c r="O926" s="62"/>
      <c r="P926" s="62"/>
      <c r="Q926" s="62"/>
      <c r="R926" s="62"/>
      <c r="S926" s="62"/>
      <c r="T926" s="62"/>
      <c r="U926" s="62"/>
      <c r="V926" s="62"/>
      <c r="W926" s="62"/>
      <c r="X926" s="62"/>
      <c r="Y926" s="62"/>
      <c r="Z926" s="62"/>
    </row>
    <row r="927" ht="15.75" customHeight="1">
      <c r="A927" s="74"/>
      <c r="B927" s="74"/>
      <c r="C927" s="74"/>
      <c r="D927" s="74"/>
      <c r="E927" s="2"/>
      <c r="F927" s="2"/>
      <c r="G927" s="2"/>
      <c r="H927" s="127"/>
      <c r="I927" s="62"/>
      <c r="J927" s="62"/>
      <c r="K927" s="62"/>
      <c r="L927" s="62"/>
      <c r="M927" s="62"/>
      <c r="N927" s="62"/>
      <c r="O927" s="62"/>
      <c r="P927" s="62"/>
      <c r="Q927" s="62"/>
      <c r="R927" s="62"/>
      <c r="S927" s="62"/>
      <c r="T927" s="62"/>
      <c r="U927" s="62"/>
      <c r="V927" s="62"/>
      <c r="W927" s="62"/>
      <c r="X927" s="62"/>
      <c r="Y927" s="62"/>
      <c r="Z927" s="62"/>
    </row>
    <row r="928" ht="15.75" customHeight="1">
      <c r="A928" s="74"/>
      <c r="B928" s="74"/>
      <c r="C928" s="74"/>
      <c r="D928" s="74"/>
      <c r="E928" s="2"/>
      <c r="F928" s="2"/>
      <c r="G928" s="2"/>
      <c r="H928" s="127"/>
      <c r="I928" s="62"/>
      <c r="J928" s="62"/>
      <c r="K928" s="62"/>
      <c r="L928" s="62"/>
      <c r="M928" s="62"/>
      <c r="N928" s="62"/>
      <c r="O928" s="62"/>
      <c r="P928" s="62"/>
      <c r="Q928" s="62"/>
      <c r="R928" s="62"/>
      <c r="S928" s="62"/>
      <c r="T928" s="62"/>
      <c r="U928" s="62"/>
      <c r="V928" s="62"/>
      <c r="W928" s="62"/>
      <c r="X928" s="62"/>
      <c r="Y928" s="62"/>
      <c r="Z928" s="62"/>
    </row>
    <row r="929" ht="15.75" customHeight="1">
      <c r="A929" s="74"/>
      <c r="B929" s="74"/>
      <c r="C929" s="74"/>
      <c r="D929" s="74"/>
      <c r="E929" s="2"/>
      <c r="F929" s="2"/>
      <c r="G929" s="2"/>
      <c r="H929" s="127"/>
      <c r="I929" s="62"/>
      <c r="J929" s="62"/>
      <c r="K929" s="62"/>
      <c r="L929" s="62"/>
      <c r="M929" s="62"/>
      <c r="N929" s="62"/>
      <c r="O929" s="62"/>
      <c r="P929" s="62"/>
      <c r="Q929" s="62"/>
      <c r="R929" s="62"/>
      <c r="S929" s="62"/>
      <c r="T929" s="62"/>
      <c r="U929" s="62"/>
      <c r="V929" s="62"/>
      <c r="W929" s="62"/>
      <c r="X929" s="62"/>
      <c r="Y929" s="62"/>
      <c r="Z929" s="62"/>
    </row>
    <row r="930" ht="15.75" customHeight="1">
      <c r="A930" s="74"/>
      <c r="B930" s="74"/>
      <c r="C930" s="74"/>
      <c r="D930" s="74"/>
      <c r="E930" s="2"/>
      <c r="F930" s="2"/>
      <c r="G930" s="2"/>
      <c r="H930" s="127"/>
      <c r="I930" s="62"/>
      <c r="J930" s="62"/>
      <c r="K930" s="62"/>
      <c r="L930" s="62"/>
      <c r="M930" s="62"/>
      <c r="N930" s="62"/>
      <c r="O930" s="62"/>
      <c r="P930" s="62"/>
      <c r="Q930" s="62"/>
      <c r="R930" s="62"/>
      <c r="S930" s="62"/>
      <c r="T930" s="62"/>
      <c r="U930" s="62"/>
      <c r="V930" s="62"/>
      <c r="W930" s="62"/>
      <c r="X930" s="62"/>
      <c r="Y930" s="62"/>
      <c r="Z930" s="62"/>
    </row>
    <row r="931" ht="15.75" customHeight="1">
      <c r="A931" s="74"/>
      <c r="B931" s="74"/>
      <c r="C931" s="74"/>
      <c r="D931" s="74"/>
      <c r="E931" s="2"/>
      <c r="F931" s="2"/>
      <c r="G931" s="2"/>
      <c r="H931" s="127"/>
      <c r="I931" s="62"/>
      <c r="J931" s="62"/>
      <c r="K931" s="62"/>
      <c r="L931" s="62"/>
      <c r="M931" s="62"/>
      <c r="N931" s="62"/>
      <c r="O931" s="62"/>
      <c r="P931" s="62"/>
      <c r="Q931" s="62"/>
      <c r="R931" s="62"/>
      <c r="S931" s="62"/>
      <c r="T931" s="62"/>
      <c r="U931" s="62"/>
      <c r="V931" s="62"/>
      <c r="W931" s="62"/>
      <c r="X931" s="62"/>
      <c r="Y931" s="62"/>
      <c r="Z931" s="62"/>
    </row>
    <row r="932" ht="15.75" customHeight="1">
      <c r="A932" s="74"/>
      <c r="B932" s="74"/>
      <c r="C932" s="74"/>
      <c r="D932" s="74"/>
      <c r="E932" s="2"/>
      <c r="F932" s="2"/>
      <c r="G932" s="2"/>
      <c r="H932" s="127"/>
      <c r="I932" s="62"/>
      <c r="J932" s="62"/>
      <c r="K932" s="62"/>
      <c r="L932" s="62"/>
      <c r="M932" s="62"/>
      <c r="N932" s="62"/>
      <c r="O932" s="62"/>
      <c r="P932" s="62"/>
      <c r="Q932" s="62"/>
      <c r="R932" s="62"/>
      <c r="S932" s="62"/>
      <c r="T932" s="62"/>
      <c r="U932" s="62"/>
      <c r="V932" s="62"/>
      <c r="W932" s="62"/>
      <c r="X932" s="62"/>
      <c r="Y932" s="62"/>
      <c r="Z932" s="62"/>
    </row>
    <row r="933" ht="15.75" customHeight="1">
      <c r="A933" s="74"/>
      <c r="B933" s="74"/>
      <c r="C933" s="74"/>
      <c r="D933" s="74"/>
      <c r="E933" s="2"/>
      <c r="F933" s="2"/>
      <c r="G933" s="2"/>
      <c r="H933" s="127"/>
      <c r="I933" s="62"/>
      <c r="J933" s="62"/>
      <c r="K933" s="62"/>
      <c r="L933" s="62"/>
      <c r="M933" s="62"/>
      <c r="N933" s="62"/>
      <c r="O933" s="62"/>
      <c r="P933" s="62"/>
      <c r="Q933" s="62"/>
      <c r="R933" s="62"/>
      <c r="S933" s="62"/>
      <c r="T933" s="62"/>
      <c r="U933" s="62"/>
      <c r="V933" s="62"/>
      <c r="W933" s="62"/>
      <c r="X933" s="62"/>
      <c r="Y933" s="62"/>
      <c r="Z933" s="62"/>
    </row>
    <row r="934" ht="15.75" customHeight="1">
      <c r="A934" s="74"/>
      <c r="B934" s="74"/>
      <c r="C934" s="74"/>
      <c r="D934" s="74"/>
      <c r="E934" s="2"/>
      <c r="F934" s="2"/>
      <c r="G934" s="2"/>
      <c r="H934" s="127"/>
      <c r="I934" s="62"/>
      <c r="J934" s="62"/>
      <c r="K934" s="62"/>
      <c r="L934" s="62"/>
      <c r="M934" s="62"/>
      <c r="N934" s="62"/>
      <c r="O934" s="62"/>
      <c r="P934" s="62"/>
      <c r="Q934" s="62"/>
      <c r="R934" s="62"/>
      <c r="S934" s="62"/>
      <c r="T934" s="62"/>
      <c r="U934" s="62"/>
      <c r="V934" s="62"/>
      <c r="W934" s="62"/>
      <c r="X934" s="62"/>
      <c r="Y934" s="62"/>
      <c r="Z934" s="62"/>
    </row>
    <row r="935" ht="15.75" customHeight="1">
      <c r="A935" s="74"/>
      <c r="B935" s="74"/>
      <c r="C935" s="74"/>
      <c r="D935" s="74"/>
      <c r="E935" s="2"/>
      <c r="F935" s="2"/>
      <c r="G935" s="2"/>
      <c r="H935" s="127"/>
      <c r="I935" s="62"/>
      <c r="J935" s="62"/>
      <c r="K935" s="62"/>
      <c r="L935" s="62"/>
      <c r="M935" s="62"/>
      <c r="N935" s="62"/>
      <c r="O935" s="62"/>
      <c r="P935" s="62"/>
      <c r="Q935" s="62"/>
      <c r="R935" s="62"/>
      <c r="S935" s="62"/>
      <c r="T935" s="62"/>
      <c r="U935" s="62"/>
      <c r="V935" s="62"/>
      <c r="W935" s="62"/>
      <c r="X935" s="62"/>
      <c r="Y935" s="62"/>
      <c r="Z935" s="62"/>
    </row>
    <row r="936" ht="15.75" customHeight="1">
      <c r="A936" s="74"/>
      <c r="B936" s="74"/>
      <c r="C936" s="74"/>
      <c r="D936" s="74"/>
      <c r="E936" s="2"/>
      <c r="F936" s="2"/>
      <c r="G936" s="2"/>
      <c r="H936" s="127"/>
      <c r="I936" s="62"/>
      <c r="J936" s="62"/>
      <c r="K936" s="62"/>
      <c r="L936" s="62"/>
      <c r="M936" s="62"/>
      <c r="N936" s="62"/>
      <c r="O936" s="62"/>
      <c r="P936" s="62"/>
      <c r="Q936" s="62"/>
      <c r="R936" s="62"/>
      <c r="S936" s="62"/>
      <c r="T936" s="62"/>
      <c r="U936" s="62"/>
      <c r="V936" s="62"/>
      <c r="W936" s="62"/>
      <c r="X936" s="62"/>
      <c r="Y936" s="62"/>
      <c r="Z936" s="62"/>
    </row>
    <row r="937" ht="15.75" customHeight="1">
      <c r="A937" s="74"/>
      <c r="B937" s="74"/>
      <c r="C937" s="74"/>
      <c r="D937" s="74"/>
      <c r="E937" s="2"/>
      <c r="F937" s="2"/>
      <c r="G937" s="2"/>
      <c r="H937" s="127"/>
      <c r="I937" s="62"/>
      <c r="J937" s="62"/>
      <c r="K937" s="62"/>
      <c r="L937" s="62"/>
      <c r="M937" s="62"/>
      <c r="N937" s="62"/>
      <c r="O937" s="62"/>
      <c r="P937" s="62"/>
      <c r="Q937" s="62"/>
      <c r="R937" s="62"/>
      <c r="S937" s="62"/>
      <c r="T937" s="62"/>
      <c r="U937" s="62"/>
      <c r="V937" s="62"/>
      <c r="W937" s="62"/>
      <c r="X937" s="62"/>
      <c r="Y937" s="62"/>
      <c r="Z937" s="62"/>
    </row>
    <row r="938" ht="15.75" customHeight="1">
      <c r="A938" s="74"/>
      <c r="B938" s="74"/>
      <c r="C938" s="74"/>
      <c r="D938" s="74"/>
      <c r="E938" s="2"/>
      <c r="F938" s="2"/>
      <c r="G938" s="2"/>
      <c r="H938" s="127"/>
      <c r="I938" s="62"/>
      <c r="J938" s="62"/>
      <c r="K938" s="62"/>
      <c r="L938" s="62"/>
      <c r="M938" s="62"/>
      <c r="N938" s="62"/>
      <c r="O938" s="62"/>
      <c r="P938" s="62"/>
      <c r="Q938" s="62"/>
      <c r="R938" s="62"/>
      <c r="S938" s="62"/>
      <c r="T938" s="62"/>
      <c r="U938" s="62"/>
      <c r="V938" s="62"/>
      <c r="W938" s="62"/>
      <c r="X938" s="62"/>
      <c r="Y938" s="62"/>
      <c r="Z938" s="62"/>
    </row>
    <row r="939" ht="15.75" customHeight="1">
      <c r="A939" s="74"/>
      <c r="B939" s="74"/>
      <c r="C939" s="74"/>
      <c r="D939" s="74"/>
      <c r="E939" s="2"/>
      <c r="F939" s="2"/>
      <c r="G939" s="2"/>
      <c r="H939" s="127"/>
      <c r="I939" s="62"/>
      <c r="J939" s="62"/>
      <c r="K939" s="62"/>
      <c r="L939" s="62"/>
      <c r="M939" s="62"/>
      <c r="N939" s="62"/>
      <c r="O939" s="62"/>
      <c r="P939" s="62"/>
      <c r="Q939" s="62"/>
      <c r="R939" s="62"/>
      <c r="S939" s="62"/>
      <c r="T939" s="62"/>
      <c r="U939" s="62"/>
      <c r="V939" s="62"/>
      <c r="W939" s="62"/>
      <c r="X939" s="62"/>
      <c r="Y939" s="62"/>
      <c r="Z939" s="62"/>
    </row>
    <row r="940" ht="15.75" customHeight="1">
      <c r="A940" s="74"/>
      <c r="B940" s="74"/>
      <c r="C940" s="74"/>
      <c r="D940" s="74"/>
      <c r="E940" s="2"/>
      <c r="F940" s="2"/>
      <c r="G940" s="2"/>
      <c r="H940" s="127"/>
      <c r="I940" s="62"/>
      <c r="J940" s="62"/>
      <c r="K940" s="62"/>
      <c r="L940" s="62"/>
      <c r="M940" s="62"/>
      <c r="N940" s="62"/>
      <c r="O940" s="62"/>
      <c r="P940" s="62"/>
      <c r="Q940" s="62"/>
      <c r="R940" s="62"/>
      <c r="S940" s="62"/>
      <c r="T940" s="62"/>
      <c r="U940" s="62"/>
      <c r="V940" s="62"/>
      <c r="W940" s="62"/>
      <c r="X940" s="62"/>
      <c r="Y940" s="62"/>
      <c r="Z940" s="62"/>
    </row>
    <row r="941" ht="15.75" customHeight="1">
      <c r="A941" s="74"/>
      <c r="B941" s="74"/>
      <c r="C941" s="74"/>
      <c r="D941" s="74"/>
      <c r="E941" s="2"/>
      <c r="F941" s="2"/>
      <c r="G941" s="2"/>
      <c r="H941" s="127"/>
      <c r="I941" s="62"/>
      <c r="J941" s="62"/>
      <c r="K941" s="62"/>
      <c r="L941" s="62"/>
      <c r="M941" s="62"/>
      <c r="N941" s="62"/>
      <c r="O941" s="62"/>
      <c r="P941" s="62"/>
      <c r="Q941" s="62"/>
      <c r="R941" s="62"/>
      <c r="S941" s="62"/>
      <c r="T941" s="62"/>
      <c r="U941" s="62"/>
      <c r="V941" s="62"/>
      <c r="W941" s="62"/>
      <c r="X941" s="62"/>
      <c r="Y941" s="62"/>
      <c r="Z941" s="62"/>
    </row>
    <row r="942" ht="15.75" customHeight="1">
      <c r="A942" s="74"/>
      <c r="B942" s="74"/>
      <c r="C942" s="74"/>
      <c r="D942" s="74"/>
      <c r="E942" s="2"/>
      <c r="F942" s="2"/>
      <c r="G942" s="2"/>
      <c r="H942" s="127"/>
      <c r="I942" s="62"/>
      <c r="J942" s="62"/>
      <c r="K942" s="62"/>
      <c r="L942" s="62"/>
      <c r="M942" s="62"/>
      <c r="N942" s="62"/>
      <c r="O942" s="62"/>
      <c r="P942" s="62"/>
      <c r="Q942" s="62"/>
      <c r="R942" s="62"/>
      <c r="S942" s="62"/>
      <c r="T942" s="62"/>
      <c r="U942" s="62"/>
      <c r="V942" s="62"/>
      <c r="W942" s="62"/>
      <c r="X942" s="62"/>
      <c r="Y942" s="62"/>
      <c r="Z942" s="62"/>
    </row>
    <row r="943" ht="15.75" customHeight="1">
      <c r="A943" s="74"/>
      <c r="B943" s="74"/>
      <c r="C943" s="74"/>
      <c r="D943" s="74"/>
      <c r="E943" s="2"/>
      <c r="F943" s="2"/>
      <c r="G943" s="2"/>
      <c r="H943" s="127"/>
      <c r="I943" s="62"/>
      <c r="J943" s="62"/>
      <c r="K943" s="62"/>
      <c r="L943" s="62"/>
      <c r="M943" s="62"/>
      <c r="N943" s="62"/>
      <c r="O943" s="62"/>
      <c r="P943" s="62"/>
      <c r="Q943" s="62"/>
      <c r="R943" s="62"/>
      <c r="S943" s="62"/>
      <c r="T943" s="62"/>
      <c r="U943" s="62"/>
      <c r="V943" s="62"/>
      <c r="W943" s="62"/>
      <c r="X943" s="62"/>
      <c r="Y943" s="62"/>
      <c r="Z943" s="62"/>
    </row>
    <row r="944" ht="15.75" customHeight="1">
      <c r="A944" s="74"/>
      <c r="B944" s="74"/>
      <c r="C944" s="74"/>
      <c r="D944" s="74"/>
      <c r="E944" s="2"/>
      <c r="F944" s="2"/>
      <c r="G944" s="2"/>
      <c r="H944" s="127"/>
      <c r="I944" s="62"/>
      <c r="J944" s="62"/>
      <c r="K944" s="62"/>
      <c r="L944" s="62"/>
      <c r="M944" s="62"/>
      <c r="N944" s="62"/>
      <c r="O944" s="62"/>
      <c r="P944" s="62"/>
      <c r="Q944" s="62"/>
      <c r="R944" s="62"/>
      <c r="S944" s="62"/>
      <c r="T944" s="62"/>
      <c r="U944" s="62"/>
      <c r="V944" s="62"/>
      <c r="W944" s="62"/>
      <c r="X944" s="62"/>
      <c r="Y944" s="62"/>
      <c r="Z944" s="62"/>
    </row>
    <row r="945" ht="15.75" customHeight="1">
      <c r="A945" s="74"/>
      <c r="B945" s="74"/>
      <c r="C945" s="74"/>
      <c r="D945" s="74"/>
      <c r="E945" s="2"/>
      <c r="F945" s="2"/>
      <c r="G945" s="2"/>
      <c r="H945" s="127"/>
      <c r="I945" s="62"/>
      <c r="J945" s="62"/>
      <c r="K945" s="62"/>
      <c r="L945" s="62"/>
      <c r="M945" s="62"/>
      <c r="N945" s="62"/>
      <c r="O945" s="62"/>
      <c r="P945" s="62"/>
      <c r="Q945" s="62"/>
      <c r="R945" s="62"/>
      <c r="S945" s="62"/>
      <c r="T945" s="62"/>
      <c r="U945" s="62"/>
      <c r="V945" s="62"/>
      <c r="W945" s="62"/>
      <c r="X945" s="62"/>
      <c r="Y945" s="62"/>
      <c r="Z945" s="62"/>
    </row>
    <row r="946" ht="15.75" customHeight="1">
      <c r="A946" s="74"/>
      <c r="B946" s="74"/>
      <c r="C946" s="74"/>
      <c r="D946" s="74"/>
      <c r="E946" s="2"/>
      <c r="F946" s="2"/>
      <c r="G946" s="2"/>
      <c r="H946" s="127"/>
      <c r="I946" s="62"/>
      <c r="J946" s="62"/>
      <c r="K946" s="62"/>
      <c r="L946" s="62"/>
      <c r="M946" s="62"/>
      <c r="N946" s="62"/>
      <c r="O946" s="62"/>
      <c r="P946" s="62"/>
      <c r="Q946" s="62"/>
      <c r="R946" s="62"/>
      <c r="S946" s="62"/>
      <c r="T946" s="62"/>
      <c r="U946" s="62"/>
      <c r="V946" s="62"/>
      <c r="W946" s="62"/>
      <c r="X946" s="62"/>
      <c r="Y946" s="62"/>
      <c r="Z946" s="62"/>
    </row>
    <row r="947" ht="15.75" customHeight="1">
      <c r="A947" s="74"/>
      <c r="B947" s="74"/>
      <c r="C947" s="74"/>
      <c r="D947" s="74"/>
      <c r="E947" s="2"/>
      <c r="F947" s="2"/>
      <c r="G947" s="2"/>
      <c r="H947" s="127"/>
      <c r="I947" s="62"/>
      <c r="J947" s="62"/>
      <c r="K947" s="62"/>
      <c r="L947" s="62"/>
      <c r="M947" s="62"/>
      <c r="N947" s="62"/>
      <c r="O947" s="62"/>
      <c r="P947" s="62"/>
      <c r="Q947" s="62"/>
      <c r="R947" s="62"/>
      <c r="S947" s="62"/>
      <c r="T947" s="62"/>
      <c r="U947" s="62"/>
      <c r="V947" s="62"/>
      <c r="W947" s="62"/>
      <c r="X947" s="62"/>
      <c r="Y947" s="62"/>
      <c r="Z947" s="62"/>
    </row>
    <row r="948" ht="15.75" customHeight="1">
      <c r="A948" s="74"/>
      <c r="B948" s="74"/>
      <c r="C948" s="74"/>
      <c r="D948" s="74"/>
      <c r="E948" s="2"/>
      <c r="F948" s="2"/>
      <c r="G948" s="2"/>
      <c r="H948" s="127"/>
      <c r="I948" s="62"/>
      <c r="J948" s="62"/>
      <c r="K948" s="62"/>
      <c r="L948" s="62"/>
      <c r="M948" s="62"/>
      <c r="N948" s="62"/>
      <c r="O948" s="62"/>
      <c r="P948" s="62"/>
      <c r="Q948" s="62"/>
      <c r="R948" s="62"/>
      <c r="S948" s="62"/>
      <c r="T948" s="62"/>
      <c r="U948" s="62"/>
      <c r="V948" s="62"/>
      <c r="W948" s="62"/>
      <c r="X948" s="62"/>
      <c r="Y948" s="62"/>
      <c r="Z948" s="62"/>
    </row>
    <row r="949" ht="15.75" customHeight="1">
      <c r="A949" s="74"/>
      <c r="B949" s="74"/>
      <c r="C949" s="74"/>
      <c r="D949" s="74"/>
      <c r="E949" s="2"/>
      <c r="F949" s="2"/>
      <c r="G949" s="2"/>
      <c r="H949" s="127"/>
      <c r="I949" s="62"/>
      <c r="J949" s="62"/>
      <c r="K949" s="62"/>
      <c r="L949" s="62"/>
      <c r="M949" s="62"/>
      <c r="N949" s="62"/>
      <c r="O949" s="62"/>
      <c r="P949" s="62"/>
      <c r="Q949" s="62"/>
      <c r="R949" s="62"/>
      <c r="S949" s="62"/>
      <c r="T949" s="62"/>
      <c r="U949" s="62"/>
      <c r="V949" s="62"/>
      <c r="W949" s="62"/>
      <c r="X949" s="62"/>
      <c r="Y949" s="62"/>
      <c r="Z949" s="62"/>
    </row>
    <row r="950" ht="15.75" customHeight="1">
      <c r="A950" s="74"/>
      <c r="B950" s="74"/>
      <c r="C950" s="74"/>
      <c r="D950" s="74"/>
      <c r="E950" s="2"/>
      <c r="F950" s="2"/>
      <c r="G950" s="2"/>
      <c r="H950" s="127"/>
      <c r="I950" s="62"/>
      <c r="J950" s="62"/>
      <c r="K950" s="62"/>
      <c r="L950" s="62"/>
      <c r="M950" s="62"/>
      <c r="N950" s="62"/>
      <c r="O950" s="62"/>
      <c r="P950" s="62"/>
      <c r="Q950" s="62"/>
      <c r="R950" s="62"/>
      <c r="S950" s="62"/>
      <c r="T950" s="62"/>
      <c r="U950" s="62"/>
      <c r="V950" s="62"/>
      <c r="W950" s="62"/>
      <c r="X950" s="62"/>
      <c r="Y950" s="62"/>
      <c r="Z950" s="62"/>
    </row>
    <row r="951" ht="15.75" customHeight="1">
      <c r="A951" s="74"/>
      <c r="B951" s="74"/>
      <c r="C951" s="74"/>
      <c r="D951" s="74"/>
      <c r="E951" s="2"/>
      <c r="F951" s="2"/>
      <c r="G951" s="2"/>
      <c r="H951" s="127"/>
      <c r="I951" s="62"/>
      <c r="J951" s="62"/>
      <c r="K951" s="62"/>
      <c r="L951" s="62"/>
      <c r="M951" s="62"/>
      <c r="N951" s="62"/>
      <c r="O951" s="62"/>
      <c r="P951" s="62"/>
      <c r="Q951" s="62"/>
      <c r="R951" s="62"/>
      <c r="S951" s="62"/>
      <c r="T951" s="62"/>
      <c r="U951" s="62"/>
      <c r="V951" s="62"/>
      <c r="W951" s="62"/>
      <c r="X951" s="62"/>
      <c r="Y951" s="62"/>
      <c r="Z951" s="62"/>
    </row>
    <row r="952" ht="15.75" customHeight="1">
      <c r="A952" s="74"/>
      <c r="B952" s="74"/>
      <c r="C952" s="74"/>
      <c r="D952" s="74"/>
      <c r="E952" s="2"/>
      <c r="F952" s="2"/>
      <c r="G952" s="2"/>
      <c r="H952" s="127"/>
      <c r="I952" s="62"/>
      <c r="J952" s="62"/>
      <c r="K952" s="62"/>
      <c r="L952" s="62"/>
      <c r="M952" s="62"/>
      <c r="N952" s="62"/>
      <c r="O952" s="62"/>
      <c r="P952" s="62"/>
      <c r="Q952" s="62"/>
      <c r="R952" s="62"/>
      <c r="S952" s="62"/>
      <c r="T952" s="62"/>
      <c r="U952" s="62"/>
      <c r="V952" s="62"/>
      <c r="W952" s="62"/>
      <c r="X952" s="62"/>
      <c r="Y952" s="62"/>
      <c r="Z952" s="62"/>
    </row>
    <row r="953" ht="15.75" customHeight="1">
      <c r="A953" s="74"/>
      <c r="B953" s="74"/>
      <c r="C953" s="74"/>
      <c r="D953" s="74"/>
      <c r="E953" s="2"/>
      <c r="F953" s="2"/>
      <c r="G953" s="2"/>
      <c r="H953" s="127"/>
      <c r="I953" s="62"/>
      <c r="J953" s="62"/>
      <c r="K953" s="62"/>
      <c r="L953" s="62"/>
      <c r="M953" s="62"/>
      <c r="N953" s="62"/>
      <c r="O953" s="62"/>
      <c r="P953" s="62"/>
      <c r="Q953" s="62"/>
      <c r="R953" s="62"/>
      <c r="S953" s="62"/>
      <c r="T953" s="62"/>
      <c r="U953" s="62"/>
      <c r="V953" s="62"/>
      <c r="W953" s="62"/>
      <c r="X953" s="62"/>
      <c r="Y953" s="62"/>
      <c r="Z953" s="62"/>
    </row>
    <row r="954" ht="15.75" customHeight="1">
      <c r="A954" s="74"/>
      <c r="B954" s="74"/>
      <c r="C954" s="74"/>
      <c r="D954" s="74"/>
      <c r="E954" s="2"/>
      <c r="F954" s="2"/>
      <c r="G954" s="2"/>
      <c r="H954" s="127"/>
      <c r="I954" s="62"/>
      <c r="J954" s="62"/>
      <c r="K954" s="62"/>
      <c r="L954" s="62"/>
      <c r="M954" s="62"/>
      <c r="N954" s="62"/>
      <c r="O954" s="62"/>
      <c r="P954" s="62"/>
      <c r="Q954" s="62"/>
      <c r="R954" s="62"/>
      <c r="S954" s="62"/>
      <c r="T954" s="62"/>
      <c r="U954" s="62"/>
      <c r="V954" s="62"/>
      <c r="W954" s="62"/>
      <c r="X954" s="62"/>
      <c r="Y954" s="62"/>
      <c r="Z954" s="62"/>
    </row>
    <row r="955" ht="15.75" customHeight="1">
      <c r="A955" s="74"/>
      <c r="B955" s="74"/>
      <c r="C955" s="74"/>
      <c r="D955" s="74"/>
      <c r="E955" s="2"/>
      <c r="F955" s="2"/>
      <c r="G955" s="2"/>
      <c r="H955" s="127"/>
      <c r="I955" s="62"/>
      <c r="J955" s="62"/>
      <c r="K955" s="62"/>
      <c r="L955" s="62"/>
      <c r="M955" s="62"/>
      <c r="N955" s="62"/>
      <c r="O955" s="62"/>
      <c r="P955" s="62"/>
      <c r="Q955" s="62"/>
      <c r="R955" s="62"/>
      <c r="S955" s="62"/>
      <c r="T955" s="62"/>
      <c r="U955" s="62"/>
      <c r="V955" s="62"/>
      <c r="W955" s="62"/>
      <c r="X955" s="62"/>
      <c r="Y955" s="62"/>
      <c r="Z955" s="62"/>
    </row>
    <row r="956" ht="15.75" customHeight="1">
      <c r="A956" s="74"/>
      <c r="B956" s="74"/>
      <c r="C956" s="74"/>
      <c r="D956" s="74"/>
      <c r="E956" s="2"/>
      <c r="F956" s="2"/>
      <c r="G956" s="2"/>
      <c r="H956" s="127"/>
      <c r="I956" s="62"/>
      <c r="J956" s="62"/>
      <c r="K956" s="62"/>
      <c r="L956" s="62"/>
      <c r="M956" s="62"/>
      <c r="N956" s="62"/>
      <c r="O956" s="62"/>
      <c r="P956" s="62"/>
      <c r="Q956" s="62"/>
      <c r="R956" s="62"/>
      <c r="S956" s="62"/>
      <c r="T956" s="62"/>
      <c r="U956" s="62"/>
      <c r="V956" s="62"/>
      <c r="W956" s="62"/>
      <c r="X956" s="62"/>
      <c r="Y956" s="62"/>
      <c r="Z956" s="62"/>
    </row>
    <row r="957" ht="15.75" customHeight="1">
      <c r="A957" s="74"/>
      <c r="B957" s="74"/>
      <c r="C957" s="74"/>
      <c r="D957" s="74"/>
      <c r="E957" s="2"/>
      <c r="F957" s="2"/>
      <c r="G957" s="2"/>
      <c r="H957" s="127"/>
      <c r="I957" s="62"/>
      <c r="J957" s="62"/>
      <c r="K957" s="62"/>
      <c r="L957" s="62"/>
      <c r="M957" s="62"/>
      <c r="N957" s="62"/>
      <c r="O957" s="62"/>
      <c r="P957" s="62"/>
      <c r="Q957" s="62"/>
      <c r="R957" s="62"/>
      <c r="S957" s="62"/>
      <c r="T957" s="62"/>
      <c r="U957" s="62"/>
      <c r="V957" s="62"/>
      <c r="W957" s="62"/>
      <c r="X957" s="62"/>
      <c r="Y957" s="62"/>
      <c r="Z957" s="62"/>
    </row>
    <row r="958" ht="15.75" customHeight="1">
      <c r="A958" s="74"/>
      <c r="B958" s="74"/>
      <c r="C958" s="74"/>
      <c r="D958" s="74"/>
      <c r="E958" s="2"/>
      <c r="F958" s="2"/>
      <c r="G958" s="2"/>
      <c r="H958" s="127"/>
      <c r="I958" s="62"/>
      <c r="J958" s="62"/>
      <c r="K958" s="62"/>
      <c r="L958" s="62"/>
      <c r="M958" s="62"/>
      <c r="N958" s="62"/>
      <c r="O958" s="62"/>
      <c r="P958" s="62"/>
      <c r="Q958" s="62"/>
      <c r="R958" s="62"/>
      <c r="S958" s="62"/>
      <c r="T958" s="62"/>
      <c r="U958" s="62"/>
      <c r="V958" s="62"/>
      <c r="W958" s="62"/>
      <c r="X958" s="62"/>
      <c r="Y958" s="62"/>
      <c r="Z958" s="62"/>
    </row>
    <row r="959" ht="15.75" customHeight="1">
      <c r="A959" s="74"/>
      <c r="B959" s="74"/>
      <c r="C959" s="74"/>
      <c r="D959" s="74"/>
      <c r="E959" s="2"/>
      <c r="F959" s="2"/>
      <c r="G959" s="2"/>
      <c r="H959" s="127"/>
      <c r="I959" s="62"/>
      <c r="J959" s="62"/>
      <c r="K959" s="62"/>
      <c r="L959" s="62"/>
      <c r="M959" s="62"/>
      <c r="N959" s="62"/>
      <c r="O959" s="62"/>
      <c r="P959" s="62"/>
      <c r="Q959" s="62"/>
      <c r="R959" s="62"/>
      <c r="S959" s="62"/>
      <c r="T959" s="62"/>
      <c r="U959" s="62"/>
      <c r="V959" s="62"/>
      <c r="W959" s="62"/>
      <c r="X959" s="62"/>
      <c r="Y959" s="62"/>
      <c r="Z959" s="62"/>
    </row>
    <row r="960" ht="15.75" customHeight="1">
      <c r="A960" s="74"/>
      <c r="B960" s="74"/>
      <c r="C960" s="74"/>
      <c r="D960" s="74"/>
      <c r="E960" s="2"/>
      <c r="F960" s="2"/>
      <c r="G960" s="2"/>
      <c r="H960" s="127"/>
      <c r="I960" s="62"/>
      <c r="J960" s="62"/>
      <c r="K960" s="62"/>
      <c r="L960" s="62"/>
      <c r="M960" s="62"/>
      <c r="N960" s="62"/>
      <c r="O960" s="62"/>
      <c r="P960" s="62"/>
      <c r="Q960" s="62"/>
      <c r="R960" s="62"/>
      <c r="S960" s="62"/>
      <c r="T960" s="62"/>
      <c r="U960" s="62"/>
      <c r="V960" s="62"/>
      <c r="W960" s="62"/>
      <c r="X960" s="62"/>
      <c r="Y960" s="62"/>
      <c r="Z960" s="62"/>
    </row>
    <row r="961" ht="15.75" customHeight="1">
      <c r="A961" s="74"/>
      <c r="B961" s="74"/>
      <c r="C961" s="74"/>
      <c r="D961" s="74"/>
      <c r="E961" s="2"/>
      <c r="F961" s="2"/>
      <c r="G961" s="2"/>
      <c r="H961" s="127"/>
      <c r="I961" s="62"/>
      <c r="J961" s="62"/>
      <c r="K961" s="62"/>
      <c r="L961" s="62"/>
      <c r="M961" s="62"/>
      <c r="N961" s="62"/>
      <c r="O961" s="62"/>
      <c r="P961" s="62"/>
      <c r="Q961" s="62"/>
      <c r="R961" s="62"/>
      <c r="S961" s="62"/>
      <c r="T961" s="62"/>
      <c r="U961" s="62"/>
      <c r="V961" s="62"/>
      <c r="W961" s="62"/>
      <c r="X961" s="62"/>
      <c r="Y961" s="62"/>
      <c r="Z961" s="62"/>
    </row>
    <row r="962" ht="15.75" customHeight="1">
      <c r="A962" s="74"/>
      <c r="B962" s="74"/>
      <c r="C962" s="74"/>
      <c r="D962" s="74"/>
      <c r="E962" s="2"/>
      <c r="F962" s="2"/>
      <c r="G962" s="2"/>
      <c r="H962" s="127"/>
      <c r="I962" s="62"/>
      <c r="J962" s="62"/>
      <c r="K962" s="62"/>
      <c r="L962" s="62"/>
      <c r="M962" s="62"/>
      <c r="N962" s="62"/>
      <c r="O962" s="62"/>
      <c r="P962" s="62"/>
      <c r="Q962" s="62"/>
      <c r="R962" s="62"/>
      <c r="S962" s="62"/>
      <c r="T962" s="62"/>
      <c r="U962" s="62"/>
      <c r="V962" s="62"/>
      <c r="W962" s="62"/>
      <c r="X962" s="62"/>
      <c r="Y962" s="62"/>
      <c r="Z962" s="62"/>
    </row>
    <row r="963" ht="15.75" customHeight="1">
      <c r="A963" s="74"/>
      <c r="B963" s="74"/>
      <c r="C963" s="74"/>
      <c r="D963" s="74"/>
      <c r="E963" s="2"/>
      <c r="F963" s="2"/>
      <c r="G963" s="2"/>
      <c r="H963" s="127"/>
      <c r="I963" s="62"/>
      <c r="J963" s="62"/>
      <c r="K963" s="62"/>
      <c r="L963" s="62"/>
      <c r="M963" s="62"/>
      <c r="N963" s="62"/>
      <c r="O963" s="62"/>
      <c r="P963" s="62"/>
      <c r="Q963" s="62"/>
      <c r="R963" s="62"/>
      <c r="S963" s="62"/>
      <c r="T963" s="62"/>
      <c r="U963" s="62"/>
      <c r="V963" s="62"/>
      <c r="W963" s="62"/>
      <c r="X963" s="62"/>
      <c r="Y963" s="62"/>
      <c r="Z963" s="62"/>
    </row>
    <row r="964" ht="15.75" customHeight="1">
      <c r="A964" s="74"/>
      <c r="B964" s="74"/>
      <c r="C964" s="74"/>
      <c r="D964" s="74"/>
      <c r="E964" s="2"/>
      <c r="F964" s="2"/>
      <c r="G964" s="2"/>
      <c r="H964" s="127"/>
      <c r="I964" s="62"/>
      <c r="J964" s="62"/>
      <c r="K964" s="62"/>
      <c r="L964" s="62"/>
      <c r="M964" s="62"/>
      <c r="N964" s="62"/>
      <c r="O964" s="62"/>
      <c r="P964" s="62"/>
      <c r="Q964" s="62"/>
      <c r="R964" s="62"/>
      <c r="S964" s="62"/>
      <c r="T964" s="62"/>
      <c r="U964" s="62"/>
      <c r="V964" s="62"/>
      <c r="W964" s="62"/>
      <c r="X964" s="62"/>
      <c r="Y964" s="62"/>
      <c r="Z964" s="62"/>
    </row>
    <row r="965" ht="15.75" customHeight="1">
      <c r="A965" s="74"/>
      <c r="B965" s="74"/>
      <c r="C965" s="74"/>
      <c r="D965" s="74"/>
      <c r="E965" s="2"/>
      <c r="F965" s="2"/>
      <c r="G965" s="2"/>
      <c r="H965" s="127"/>
      <c r="I965" s="62"/>
      <c r="J965" s="62"/>
      <c r="K965" s="62"/>
      <c r="L965" s="62"/>
      <c r="M965" s="62"/>
      <c r="N965" s="62"/>
      <c r="O965" s="62"/>
      <c r="P965" s="62"/>
      <c r="Q965" s="62"/>
      <c r="R965" s="62"/>
      <c r="S965" s="62"/>
      <c r="T965" s="62"/>
      <c r="U965" s="62"/>
      <c r="V965" s="62"/>
      <c r="W965" s="62"/>
      <c r="X965" s="62"/>
      <c r="Y965" s="62"/>
      <c r="Z965" s="62"/>
    </row>
    <row r="966" ht="15.75" customHeight="1">
      <c r="A966" s="74"/>
      <c r="B966" s="74"/>
      <c r="C966" s="74"/>
      <c r="D966" s="74"/>
      <c r="E966" s="2"/>
      <c r="F966" s="2"/>
      <c r="G966" s="2"/>
      <c r="H966" s="127"/>
      <c r="I966" s="62"/>
      <c r="J966" s="62"/>
      <c r="K966" s="62"/>
      <c r="L966" s="62"/>
      <c r="M966" s="62"/>
      <c r="N966" s="62"/>
      <c r="O966" s="62"/>
      <c r="P966" s="62"/>
      <c r="Q966" s="62"/>
      <c r="R966" s="62"/>
      <c r="S966" s="62"/>
      <c r="T966" s="62"/>
      <c r="U966" s="62"/>
      <c r="V966" s="62"/>
      <c r="W966" s="62"/>
      <c r="X966" s="62"/>
      <c r="Y966" s="62"/>
      <c r="Z966" s="62"/>
    </row>
    <row r="967" ht="15.75" customHeight="1">
      <c r="A967" s="74"/>
      <c r="B967" s="74"/>
      <c r="C967" s="74"/>
      <c r="D967" s="74"/>
      <c r="E967" s="2"/>
      <c r="F967" s="2"/>
      <c r="G967" s="2"/>
      <c r="H967" s="127"/>
      <c r="I967" s="62"/>
      <c r="J967" s="62"/>
      <c r="K967" s="62"/>
      <c r="L967" s="62"/>
      <c r="M967" s="62"/>
      <c r="N967" s="62"/>
      <c r="O967" s="62"/>
      <c r="P967" s="62"/>
      <c r="Q967" s="62"/>
      <c r="R967" s="62"/>
      <c r="S967" s="62"/>
      <c r="T967" s="62"/>
      <c r="U967" s="62"/>
      <c r="V967" s="62"/>
      <c r="W967" s="62"/>
      <c r="X967" s="62"/>
      <c r="Y967" s="62"/>
      <c r="Z967" s="62"/>
    </row>
    <row r="968" ht="15.75" customHeight="1">
      <c r="A968" s="74"/>
      <c r="B968" s="74"/>
      <c r="C968" s="74"/>
      <c r="D968" s="74"/>
      <c r="E968" s="2"/>
      <c r="F968" s="2"/>
      <c r="G968" s="2"/>
      <c r="H968" s="127"/>
      <c r="I968" s="62"/>
      <c r="J968" s="62"/>
      <c r="K968" s="62"/>
      <c r="L968" s="62"/>
      <c r="M968" s="62"/>
      <c r="N968" s="62"/>
      <c r="O968" s="62"/>
      <c r="P968" s="62"/>
      <c r="Q968" s="62"/>
      <c r="R968" s="62"/>
      <c r="S968" s="62"/>
      <c r="T968" s="62"/>
      <c r="U968" s="62"/>
      <c r="V968" s="62"/>
      <c r="W968" s="62"/>
      <c r="X968" s="62"/>
      <c r="Y968" s="62"/>
      <c r="Z968" s="62"/>
    </row>
    <row r="969" ht="15.75" customHeight="1">
      <c r="A969" s="74"/>
      <c r="B969" s="74"/>
      <c r="C969" s="74"/>
      <c r="D969" s="74"/>
      <c r="E969" s="2"/>
      <c r="F969" s="2"/>
      <c r="G969" s="2"/>
      <c r="H969" s="127"/>
      <c r="I969" s="62"/>
      <c r="J969" s="62"/>
      <c r="K969" s="62"/>
      <c r="L969" s="62"/>
      <c r="M969" s="62"/>
      <c r="N969" s="62"/>
      <c r="O969" s="62"/>
      <c r="P969" s="62"/>
      <c r="Q969" s="62"/>
      <c r="R969" s="62"/>
      <c r="S969" s="62"/>
      <c r="T969" s="62"/>
      <c r="U969" s="62"/>
      <c r="V969" s="62"/>
      <c r="W969" s="62"/>
      <c r="X969" s="62"/>
      <c r="Y969" s="62"/>
      <c r="Z969" s="62"/>
    </row>
    <row r="970" ht="15.75" customHeight="1">
      <c r="A970" s="74"/>
      <c r="B970" s="74"/>
      <c r="C970" s="74"/>
      <c r="D970" s="74"/>
      <c r="E970" s="2"/>
      <c r="F970" s="2"/>
      <c r="G970" s="2"/>
      <c r="H970" s="127"/>
      <c r="I970" s="62"/>
      <c r="J970" s="62"/>
      <c r="K970" s="62"/>
      <c r="L970" s="62"/>
      <c r="M970" s="62"/>
      <c r="N970" s="62"/>
      <c r="O970" s="62"/>
      <c r="P970" s="62"/>
      <c r="Q970" s="62"/>
      <c r="R970" s="62"/>
      <c r="S970" s="62"/>
      <c r="T970" s="62"/>
      <c r="U970" s="62"/>
      <c r="V970" s="62"/>
      <c r="W970" s="62"/>
      <c r="X970" s="62"/>
      <c r="Y970" s="62"/>
      <c r="Z970" s="62"/>
    </row>
    <row r="971" ht="15.75" customHeight="1">
      <c r="A971" s="74"/>
      <c r="B971" s="74"/>
      <c r="C971" s="74"/>
      <c r="D971" s="74"/>
      <c r="E971" s="2"/>
      <c r="F971" s="2"/>
      <c r="G971" s="2"/>
      <c r="H971" s="127"/>
      <c r="I971" s="62"/>
      <c r="J971" s="62"/>
      <c r="K971" s="62"/>
      <c r="L971" s="62"/>
      <c r="M971" s="62"/>
      <c r="N971" s="62"/>
      <c r="O971" s="62"/>
      <c r="P971" s="62"/>
      <c r="Q971" s="62"/>
      <c r="R971" s="62"/>
      <c r="S971" s="62"/>
      <c r="T971" s="62"/>
      <c r="U971" s="62"/>
      <c r="V971" s="62"/>
      <c r="W971" s="62"/>
      <c r="X971" s="62"/>
      <c r="Y971" s="62"/>
      <c r="Z971" s="62"/>
    </row>
    <row r="972" ht="15.75" customHeight="1">
      <c r="A972" s="74"/>
      <c r="B972" s="74"/>
      <c r="C972" s="74"/>
      <c r="D972" s="74"/>
      <c r="E972" s="2"/>
      <c r="F972" s="2"/>
      <c r="G972" s="2"/>
      <c r="H972" s="127"/>
      <c r="I972" s="62"/>
      <c r="J972" s="62"/>
      <c r="K972" s="62"/>
      <c r="L972" s="62"/>
      <c r="M972" s="62"/>
      <c r="N972" s="62"/>
      <c r="O972" s="62"/>
      <c r="P972" s="62"/>
      <c r="Q972" s="62"/>
      <c r="R972" s="62"/>
      <c r="S972" s="62"/>
      <c r="T972" s="62"/>
      <c r="U972" s="62"/>
      <c r="V972" s="62"/>
      <c r="W972" s="62"/>
      <c r="X972" s="62"/>
      <c r="Y972" s="62"/>
      <c r="Z972" s="62"/>
    </row>
    <row r="973" ht="15.75" customHeight="1">
      <c r="A973" s="74"/>
      <c r="B973" s="74"/>
      <c r="C973" s="74"/>
      <c r="D973" s="74"/>
      <c r="E973" s="2"/>
      <c r="F973" s="2"/>
      <c r="G973" s="2"/>
      <c r="H973" s="127"/>
      <c r="I973" s="62"/>
      <c r="J973" s="62"/>
      <c r="K973" s="62"/>
      <c r="L973" s="62"/>
      <c r="M973" s="62"/>
      <c r="N973" s="62"/>
      <c r="O973" s="62"/>
      <c r="P973" s="62"/>
      <c r="Q973" s="62"/>
      <c r="R973" s="62"/>
      <c r="S973" s="62"/>
      <c r="T973" s="62"/>
      <c r="U973" s="62"/>
      <c r="V973" s="62"/>
      <c r="W973" s="62"/>
      <c r="X973" s="62"/>
      <c r="Y973" s="62"/>
      <c r="Z973" s="62"/>
    </row>
    <row r="974" ht="15.75" customHeight="1">
      <c r="A974" s="74"/>
      <c r="B974" s="74"/>
      <c r="C974" s="74"/>
      <c r="D974" s="74"/>
      <c r="E974" s="2"/>
      <c r="F974" s="2"/>
      <c r="G974" s="2"/>
      <c r="H974" s="127"/>
      <c r="I974" s="62"/>
      <c r="J974" s="62"/>
      <c r="K974" s="62"/>
      <c r="L974" s="62"/>
      <c r="M974" s="62"/>
      <c r="N974" s="62"/>
      <c r="O974" s="62"/>
      <c r="P974" s="62"/>
      <c r="Q974" s="62"/>
      <c r="R974" s="62"/>
      <c r="S974" s="62"/>
      <c r="T974" s="62"/>
      <c r="U974" s="62"/>
      <c r="V974" s="62"/>
      <c r="W974" s="62"/>
      <c r="X974" s="62"/>
      <c r="Y974" s="62"/>
      <c r="Z974" s="62"/>
    </row>
    <row r="975" ht="15.75" customHeight="1">
      <c r="A975" s="74"/>
      <c r="B975" s="74"/>
      <c r="C975" s="74"/>
      <c r="D975" s="74"/>
      <c r="E975" s="2"/>
      <c r="F975" s="2"/>
      <c r="G975" s="2"/>
      <c r="H975" s="127"/>
      <c r="I975" s="62"/>
      <c r="J975" s="62"/>
      <c r="K975" s="62"/>
      <c r="L975" s="62"/>
      <c r="M975" s="62"/>
      <c r="N975" s="62"/>
      <c r="O975" s="62"/>
      <c r="P975" s="62"/>
      <c r="Q975" s="62"/>
      <c r="R975" s="62"/>
      <c r="S975" s="62"/>
      <c r="T975" s="62"/>
      <c r="U975" s="62"/>
      <c r="V975" s="62"/>
      <c r="W975" s="62"/>
      <c r="X975" s="62"/>
      <c r="Y975" s="62"/>
      <c r="Z975" s="62"/>
    </row>
    <row r="976" ht="15.75" customHeight="1">
      <c r="A976" s="74"/>
      <c r="B976" s="74"/>
      <c r="C976" s="74"/>
      <c r="D976" s="74"/>
      <c r="E976" s="2"/>
      <c r="F976" s="2"/>
      <c r="G976" s="2"/>
      <c r="H976" s="127"/>
      <c r="I976" s="62"/>
      <c r="J976" s="62"/>
      <c r="K976" s="62"/>
      <c r="L976" s="62"/>
      <c r="M976" s="62"/>
      <c r="N976" s="62"/>
      <c r="O976" s="62"/>
      <c r="P976" s="62"/>
      <c r="Q976" s="62"/>
      <c r="R976" s="62"/>
      <c r="S976" s="62"/>
      <c r="T976" s="62"/>
      <c r="U976" s="62"/>
      <c r="V976" s="62"/>
      <c r="W976" s="62"/>
      <c r="X976" s="62"/>
      <c r="Y976" s="62"/>
      <c r="Z976" s="62"/>
    </row>
    <row r="977" ht="15.75" customHeight="1">
      <c r="A977" s="74"/>
      <c r="B977" s="74"/>
      <c r="C977" s="74"/>
      <c r="D977" s="74"/>
      <c r="E977" s="2"/>
      <c r="F977" s="2"/>
      <c r="G977" s="2"/>
      <c r="H977" s="127"/>
      <c r="I977" s="62"/>
      <c r="J977" s="62"/>
      <c r="K977" s="62"/>
      <c r="L977" s="62"/>
      <c r="M977" s="62"/>
      <c r="N977" s="62"/>
      <c r="O977" s="62"/>
      <c r="P977" s="62"/>
      <c r="Q977" s="62"/>
      <c r="R977" s="62"/>
      <c r="S977" s="62"/>
      <c r="T977" s="62"/>
      <c r="U977" s="62"/>
      <c r="V977" s="62"/>
      <c r="W977" s="62"/>
      <c r="X977" s="62"/>
      <c r="Y977" s="62"/>
      <c r="Z977" s="62"/>
    </row>
    <row r="978" ht="15.75" customHeight="1">
      <c r="A978" s="74"/>
      <c r="B978" s="74"/>
      <c r="C978" s="74"/>
      <c r="D978" s="74"/>
      <c r="E978" s="2"/>
      <c r="F978" s="2"/>
      <c r="G978" s="2"/>
      <c r="H978" s="127"/>
      <c r="I978" s="62"/>
      <c r="J978" s="62"/>
      <c r="K978" s="62"/>
      <c r="L978" s="62"/>
      <c r="M978" s="62"/>
      <c r="N978" s="62"/>
      <c r="O978" s="62"/>
      <c r="P978" s="62"/>
      <c r="Q978" s="62"/>
      <c r="R978" s="62"/>
      <c r="S978" s="62"/>
      <c r="T978" s="62"/>
      <c r="U978" s="62"/>
      <c r="V978" s="62"/>
      <c r="W978" s="62"/>
      <c r="X978" s="62"/>
      <c r="Y978" s="62"/>
      <c r="Z978" s="62"/>
    </row>
    <row r="979" ht="15.75" customHeight="1">
      <c r="A979" s="74"/>
      <c r="B979" s="74"/>
      <c r="C979" s="74"/>
      <c r="D979" s="74"/>
      <c r="E979" s="2"/>
      <c r="F979" s="2"/>
      <c r="G979" s="2"/>
      <c r="H979" s="127"/>
      <c r="I979" s="62"/>
      <c r="J979" s="62"/>
      <c r="K979" s="62"/>
      <c r="L979" s="62"/>
      <c r="M979" s="62"/>
      <c r="N979" s="62"/>
      <c r="O979" s="62"/>
      <c r="P979" s="62"/>
      <c r="Q979" s="62"/>
      <c r="R979" s="62"/>
      <c r="S979" s="62"/>
      <c r="T979" s="62"/>
      <c r="U979" s="62"/>
      <c r="V979" s="62"/>
      <c r="W979" s="62"/>
      <c r="X979" s="62"/>
      <c r="Y979" s="62"/>
      <c r="Z979" s="62"/>
    </row>
    <row r="980" ht="15.75" customHeight="1">
      <c r="A980" s="74"/>
      <c r="B980" s="74"/>
      <c r="C980" s="74"/>
      <c r="D980" s="74"/>
      <c r="E980" s="2"/>
      <c r="F980" s="2"/>
      <c r="G980" s="2"/>
      <c r="H980" s="127"/>
      <c r="I980" s="62"/>
      <c r="J980" s="62"/>
      <c r="K980" s="62"/>
      <c r="L980" s="62"/>
      <c r="M980" s="62"/>
      <c r="N980" s="62"/>
      <c r="O980" s="62"/>
      <c r="P980" s="62"/>
      <c r="Q980" s="62"/>
      <c r="R980" s="62"/>
      <c r="S980" s="62"/>
      <c r="T980" s="62"/>
      <c r="U980" s="62"/>
      <c r="V980" s="62"/>
      <c r="W980" s="62"/>
      <c r="X980" s="62"/>
      <c r="Y980" s="62"/>
      <c r="Z980" s="62"/>
    </row>
    <row r="981" ht="15.75" customHeight="1">
      <c r="A981" s="74"/>
      <c r="B981" s="74"/>
      <c r="C981" s="74"/>
      <c r="D981" s="74"/>
      <c r="E981" s="2"/>
      <c r="F981" s="2"/>
      <c r="G981" s="2"/>
      <c r="H981" s="127"/>
      <c r="I981" s="62"/>
      <c r="J981" s="62"/>
      <c r="K981" s="62"/>
      <c r="L981" s="62"/>
      <c r="M981" s="62"/>
      <c r="N981" s="62"/>
      <c r="O981" s="62"/>
      <c r="P981" s="62"/>
      <c r="Q981" s="62"/>
      <c r="R981" s="62"/>
      <c r="S981" s="62"/>
      <c r="T981" s="62"/>
      <c r="U981" s="62"/>
      <c r="V981" s="62"/>
      <c r="W981" s="62"/>
      <c r="X981" s="62"/>
      <c r="Y981" s="62"/>
      <c r="Z981" s="62"/>
    </row>
    <row r="982" ht="15.75" customHeight="1">
      <c r="A982" s="74"/>
      <c r="B982" s="74"/>
      <c r="C982" s="74"/>
      <c r="D982" s="74"/>
      <c r="E982" s="2"/>
      <c r="F982" s="2"/>
      <c r="G982" s="2"/>
      <c r="H982" s="127"/>
      <c r="I982" s="62"/>
      <c r="J982" s="62"/>
      <c r="K982" s="62"/>
      <c r="L982" s="62"/>
      <c r="M982" s="62"/>
      <c r="N982" s="62"/>
      <c r="O982" s="62"/>
      <c r="P982" s="62"/>
      <c r="Q982" s="62"/>
      <c r="R982" s="62"/>
      <c r="S982" s="62"/>
      <c r="T982" s="62"/>
      <c r="U982" s="62"/>
      <c r="V982" s="62"/>
      <c r="W982" s="62"/>
      <c r="X982" s="62"/>
      <c r="Y982" s="62"/>
      <c r="Z982" s="62"/>
    </row>
    <row r="983" ht="15.75" customHeight="1">
      <c r="A983" s="74"/>
      <c r="B983" s="74"/>
      <c r="C983" s="74"/>
      <c r="D983" s="74"/>
      <c r="E983" s="2"/>
      <c r="F983" s="2"/>
      <c r="G983" s="2"/>
      <c r="H983" s="127"/>
      <c r="I983" s="62"/>
      <c r="J983" s="62"/>
      <c r="K983" s="62"/>
      <c r="L983" s="62"/>
      <c r="M983" s="62"/>
      <c r="N983" s="62"/>
      <c r="O983" s="62"/>
      <c r="P983" s="62"/>
      <c r="Q983" s="62"/>
      <c r="R983" s="62"/>
      <c r="S983" s="62"/>
      <c r="T983" s="62"/>
      <c r="U983" s="62"/>
      <c r="V983" s="62"/>
      <c r="W983" s="62"/>
      <c r="X983" s="62"/>
      <c r="Y983" s="62"/>
      <c r="Z983" s="62"/>
    </row>
    <row r="984" ht="15.75" customHeight="1">
      <c r="A984" s="74"/>
      <c r="B984" s="74"/>
      <c r="C984" s="74"/>
      <c r="D984" s="74"/>
      <c r="E984" s="2"/>
      <c r="F984" s="2"/>
      <c r="G984" s="2"/>
      <c r="H984" s="127"/>
      <c r="I984" s="62"/>
      <c r="J984" s="62"/>
      <c r="K984" s="62"/>
      <c r="L984" s="62"/>
      <c r="M984" s="62"/>
      <c r="N984" s="62"/>
      <c r="O984" s="62"/>
      <c r="P984" s="62"/>
      <c r="Q984" s="62"/>
      <c r="R984" s="62"/>
      <c r="S984" s="62"/>
      <c r="T984" s="62"/>
      <c r="U984" s="62"/>
      <c r="V984" s="62"/>
      <c r="W984" s="62"/>
      <c r="X984" s="62"/>
      <c r="Y984" s="62"/>
      <c r="Z984" s="62"/>
    </row>
    <row r="985" ht="15.75" customHeight="1">
      <c r="A985" s="74"/>
      <c r="B985" s="74"/>
      <c r="C985" s="74"/>
      <c r="D985" s="74"/>
      <c r="E985" s="2"/>
      <c r="F985" s="2"/>
      <c r="G985" s="2"/>
      <c r="H985" s="127"/>
      <c r="I985" s="62"/>
      <c r="J985" s="62"/>
      <c r="K985" s="62"/>
      <c r="L985" s="62"/>
      <c r="M985" s="62"/>
      <c r="N985" s="62"/>
      <c r="O985" s="62"/>
      <c r="P985" s="62"/>
      <c r="Q985" s="62"/>
      <c r="R985" s="62"/>
      <c r="S985" s="62"/>
      <c r="T985" s="62"/>
      <c r="U985" s="62"/>
      <c r="V985" s="62"/>
      <c r="W985" s="62"/>
      <c r="X985" s="62"/>
      <c r="Y985" s="62"/>
      <c r="Z985" s="62"/>
    </row>
    <row r="986" ht="15.75" customHeight="1">
      <c r="A986" s="74"/>
      <c r="B986" s="74"/>
      <c r="C986" s="74"/>
      <c r="D986" s="74"/>
      <c r="E986" s="2"/>
      <c r="F986" s="2"/>
      <c r="G986" s="2"/>
      <c r="H986" s="127"/>
      <c r="I986" s="62"/>
      <c r="J986" s="62"/>
      <c r="K986" s="62"/>
      <c r="L986" s="62"/>
      <c r="M986" s="62"/>
      <c r="N986" s="62"/>
      <c r="O986" s="62"/>
      <c r="P986" s="62"/>
      <c r="Q986" s="62"/>
      <c r="R986" s="62"/>
      <c r="S986" s="62"/>
      <c r="T986" s="62"/>
      <c r="U986" s="62"/>
      <c r="V986" s="62"/>
      <c r="W986" s="62"/>
      <c r="X986" s="62"/>
      <c r="Y986" s="62"/>
      <c r="Z986" s="62"/>
    </row>
    <row r="987" ht="15.75" customHeight="1">
      <c r="A987" s="74"/>
      <c r="B987" s="74"/>
      <c r="C987" s="74"/>
      <c r="D987" s="74"/>
      <c r="E987" s="2"/>
      <c r="F987" s="2"/>
      <c r="G987" s="2"/>
      <c r="H987" s="127"/>
      <c r="I987" s="62"/>
      <c r="J987" s="62"/>
      <c r="K987" s="62"/>
      <c r="L987" s="62"/>
      <c r="M987" s="62"/>
      <c r="N987" s="62"/>
      <c r="O987" s="62"/>
      <c r="P987" s="62"/>
      <c r="Q987" s="62"/>
      <c r="R987" s="62"/>
      <c r="S987" s="62"/>
      <c r="T987" s="62"/>
      <c r="U987" s="62"/>
      <c r="V987" s="62"/>
      <c r="W987" s="62"/>
      <c r="X987" s="62"/>
      <c r="Y987" s="62"/>
      <c r="Z987" s="62"/>
    </row>
    <row r="988" ht="15.75" customHeight="1">
      <c r="A988" s="74"/>
      <c r="B988" s="74"/>
      <c r="C988" s="74"/>
      <c r="D988" s="74"/>
      <c r="E988" s="2"/>
      <c r="F988" s="2"/>
      <c r="G988" s="2"/>
      <c r="H988" s="127"/>
      <c r="I988" s="62"/>
      <c r="J988" s="62"/>
      <c r="K988" s="62"/>
      <c r="L988" s="62"/>
      <c r="M988" s="62"/>
      <c r="N988" s="62"/>
      <c r="O988" s="62"/>
      <c r="P988" s="62"/>
      <c r="Q988" s="62"/>
      <c r="R988" s="62"/>
      <c r="S988" s="62"/>
      <c r="T988" s="62"/>
      <c r="U988" s="62"/>
      <c r="V988" s="62"/>
      <c r="W988" s="62"/>
      <c r="X988" s="62"/>
      <c r="Y988" s="62"/>
      <c r="Z988" s="62"/>
    </row>
    <row r="989" ht="15.75" customHeight="1">
      <c r="A989" s="74"/>
      <c r="B989" s="74"/>
      <c r="C989" s="74"/>
      <c r="D989" s="74"/>
      <c r="E989" s="2"/>
      <c r="F989" s="2"/>
      <c r="G989" s="2"/>
      <c r="H989" s="127"/>
      <c r="I989" s="62"/>
      <c r="J989" s="62"/>
      <c r="K989" s="62"/>
      <c r="L989" s="62"/>
      <c r="M989" s="62"/>
      <c r="N989" s="62"/>
      <c r="O989" s="62"/>
      <c r="P989" s="62"/>
      <c r="Q989" s="62"/>
      <c r="R989" s="62"/>
      <c r="S989" s="62"/>
      <c r="T989" s="62"/>
      <c r="U989" s="62"/>
      <c r="V989" s="62"/>
      <c r="W989" s="62"/>
      <c r="X989" s="62"/>
      <c r="Y989" s="62"/>
      <c r="Z989" s="62"/>
    </row>
    <row r="990" ht="15.75" customHeight="1">
      <c r="A990" s="74"/>
      <c r="B990" s="74"/>
      <c r="C990" s="74"/>
      <c r="D990" s="74"/>
      <c r="E990" s="2"/>
      <c r="F990" s="2"/>
      <c r="G990" s="2"/>
      <c r="H990" s="127"/>
      <c r="I990" s="62"/>
      <c r="J990" s="62"/>
      <c r="K990" s="62"/>
      <c r="L990" s="62"/>
      <c r="M990" s="62"/>
      <c r="N990" s="62"/>
      <c r="O990" s="62"/>
      <c r="P990" s="62"/>
      <c r="Q990" s="62"/>
      <c r="R990" s="62"/>
      <c r="S990" s="62"/>
      <c r="T990" s="62"/>
      <c r="U990" s="62"/>
      <c r="V990" s="62"/>
      <c r="W990" s="62"/>
      <c r="X990" s="62"/>
      <c r="Y990" s="62"/>
      <c r="Z990" s="62"/>
    </row>
    <row r="991" ht="15.75" customHeight="1">
      <c r="A991" s="74"/>
      <c r="B991" s="74"/>
      <c r="C991" s="74"/>
      <c r="D991" s="74"/>
      <c r="E991" s="2"/>
      <c r="F991" s="2"/>
      <c r="G991" s="2"/>
      <c r="H991" s="127"/>
      <c r="I991" s="62"/>
      <c r="J991" s="62"/>
      <c r="K991" s="62"/>
      <c r="L991" s="62"/>
      <c r="M991" s="62"/>
      <c r="N991" s="62"/>
      <c r="O991" s="62"/>
      <c r="P991" s="62"/>
      <c r="Q991" s="62"/>
      <c r="R991" s="62"/>
      <c r="S991" s="62"/>
      <c r="T991" s="62"/>
      <c r="U991" s="62"/>
      <c r="V991" s="62"/>
      <c r="W991" s="62"/>
      <c r="X991" s="62"/>
      <c r="Y991" s="62"/>
      <c r="Z991" s="62"/>
    </row>
    <row r="992" ht="15.75" customHeight="1">
      <c r="A992" s="74"/>
      <c r="B992" s="74"/>
      <c r="C992" s="74"/>
      <c r="D992" s="74"/>
      <c r="E992" s="2"/>
      <c r="F992" s="2"/>
      <c r="G992" s="2"/>
      <c r="H992" s="127"/>
      <c r="I992" s="62"/>
      <c r="J992" s="62"/>
      <c r="K992" s="62"/>
      <c r="L992" s="62"/>
      <c r="M992" s="62"/>
      <c r="N992" s="62"/>
      <c r="O992" s="62"/>
      <c r="P992" s="62"/>
      <c r="Q992" s="62"/>
      <c r="R992" s="62"/>
      <c r="S992" s="62"/>
      <c r="T992" s="62"/>
      <c r="U992" s="62"/>
      <c r="V992" s="62"/>
      <c r="W992" s="62"/>
      <c r="X992" s="62"/>
      <c r="Y992" s="62"/>
      <c r="Z992" s="62"/>
    </row>
    <row r="993" ht="15.75" customHeight="1">
      <c r="A993" s="74"/>
      <c r="B993" s="74"/>
      <c r="C993" s="74"/>
      <c r="D993" s="74"/>
      <c r="E993" s="2"/>
      <c r="F993" s="2"/>
      <c r="G993" s="2"/>
      <c r="H993" s="127"/>
      <c r="I993" s="62"/>
      <c r="J993" s="62"/>
      <c r="K993" s="62"/>
      <c r="L993" s="62"/>
      <c r="M993" s="62"/>
      <c r="N993" s="62"/>
      <c r="O993" s="62"/>
      <c r="P993" s="62"/>
      <c r="Q993" s="62"/>
      <c r="R993" s="62"/>
      <c r="S993" s="62"/>
      <c r="T993" s="62"/>
      <c r="U993" s="62"/>
      <c r="V993" s="62"/>
      <c r="W993" s="62"/>
      <c r="X993" s="62"/>
      <c r="Y993" s="62"/>
      <c r="Z993" s="62"/>
    </row>
    <row r="994" ht="15.75" customHeight="1">
      <c r="A994" s="74"/>
      <c r="B994" s="74"/>
      <c r="C994" s="74"/>
      <c r="D994" s="74"/>
      <c r="E994" s="2"/>
      <c r="F994" s="2"/>
      <c r="G994" s="2"/>
      <c r="H994" s="127"/>
      <c r="I994" s="62"/>
      <c r="J994" s="62"/>
      <c r="K994" s="62"/>
      <c r="L994" s="62"/>
      <c r="M994" s="62"/>
      <c r="N994" s="62"/>
      <c r="O994" s="62"/>
      <c r="P994" s="62"/>
      <c r="Q994" s="62"/>
      <c r="R994" s="62"/>
      <c r="S994" s="62"/>
      <c r="T994" s="62"/>
      <c r="U994" s="62"/>
      <c r="V994" s="62"/>
      <c r="W994" s="62"/>
      <c r="X994" s="62"/>
      <c r="Y994" s="62"/>
      <c r="Z994" s="62"/>
    </row>
    <row r="995" ht="15.75" customHeight="1">
      <c r="A995" s="74"/>
      <c r="B995" s="74"/>
      <c r="C995" s="74"/>
      <c r="D995" s="74"/>
      <c r="E995" s="2"/>
      <c r="F995" s="2"/>
      <c r="G995" s="2"/>
      <c r="H995" s="127"/>
      <c r="I995" s="62"/>
      <c r="J995" s="62"/>
      <c r="K995" s="62"/>
      <c r="L995" s="62"/>
      <c r="M995" s="62"/>
      <c r="N995" s="62"/>
      <c r="O995" s="62"/>
      <c r="P995" s="62"/>
      <c r="Q995" s="62"/>
      <c r="R995" s="62"/>
      <c r="S995" s="62"/>
      <c r="T995" s="62"/>
      <c r="U995" s="62"/>
      <c r="V995" s="62"/>
      <c r="W995" s="62"/>
      <c r="X995" s="62"/>
      <c r="Y995" s="62"/>
      <c r="Z995" s="62"/>
    </row>
    <row r="996" ht="15.75" customHeight="1">
      <c r="A996" s="74"/>
      <c r="B996" s="74"/>
      <c r="C996" s="74"/>
      <c r="D996" s="74"/>
      <c r="E996" s="2"/>
      <c r="F996" s="2"/>
      <c r="G996" s="2"/>
      <c r="H996" s="127"/>
      <c r="I996" s="62"/>
      <c r="J996" s="62"/>
      <c r="K996" s="62"/>
      <c r="L996" s="62"/>
      <c r="M996" s="62"/>
      <c r="N996" s="62"/>
      <c r="O996" s="62"/>
      <c r="P996" s="62"/>
      <c r="Q996" s="62"/>
      <c r="R996" s="62"/>
      <c r="S996" s="62"/>
      <c r="T996" s="62"/>
      <c r="U996" s="62"/>
      <c r="V996" s="62"/>
      <c r="W996" s="62"/>
      <c r="X996" s="62"/>
      <c r="Y996" s="62"/>
      <c r="Z996" s="62"/>
    </row>
    <row r="997" ht="15.75" customHeight="1">
      <c r="A997" s="74"/>
      <c r="B997" s="74"/>
      <c r="C997" s="74"/>
      <c r="D997" s="74"/>
      <c r="E997" s="2"/>
      <c r="F997" s="2"/>
      <c r="G997" s="2"/>
      <c r="H997" s="127"/>
      <c r="I997" s="62"/>
      <c r="J997" s="62"/>
      <c r="K997" s="62"/>
      <c r="L997" s="62"/>
      <c r="M997" s="62"/>
      <c r="N997" s="62"/>
      <c r="O997" s="62"/>
      <c r="P997" s="62"/>
      <c r="Q997" s="62"/>
      <c r="R997" s="62"/>
      <c r="S997" s="62"/>
      <c r="T997" s="62"/>
      <c r="U997" s="62"/>
      <c r="V997" s="62"/>
      <c r="W997" s="62"/>
      <c r="X997" s="62"/>
      <c r="Y997" s="62"/>
      <c r="Z997" s="62"/>
    </row>
    <row r="998" ht="15.75" customHeight="1">
      <c r="A998" s="74"/>
      <c r="B998" s="74"/>
      <c r="C998" s="74"/>
      <c r="D998" s="74"/>
      <c r="E998" s="2"/>
      <c r="F998" s="2"/>
      <c r="G998" s="2"/>
      <c r="H998" s="127"/>
      <c r="I998" s="62"/>
      <c r="J998" s="62"/>
      <c r="K998" s="62"/>
      <c r="L998" s="62"/>
      <c r="M998" s="62"/>
      <c r="N998" s="62"/>
      <c r="O998" s="62"/>
      <c r="P998" s="62"/>
      <c r="Q998" s="62"/>
      <c r="R998" s="62"/>
      <c r="S998" s="62"/>
      <c r="T998" s="62"/>
      <c r="U998" s="62"/>
      <c r="V998" s="62"/>
      <c r="W998" s="62"/>
      <c r="X998" s="62"/>
      <c r="Y998" s="62"/>
      <c r="Z998" s="62"/>
    </row>
    <row r="999" ht="15.75" customHeight="1">
      <c r="A999" s="74"/>
      <c r="B999" s="74"/>
      <c r="C999" s="74"/>
      <c r="D999" s="74"/>
      <c r="E999" s="2"/>
      <c r="F999" s="2"/>
      <c r="G999" s="2"/>
      <c r="H999" s="127"/>
      <c r="I999" s="62"/>
      <c r="J999" s="62"/>
      <c r="K999" s="62"/>
      <c r="L999" s="62"/>
      <c r="M999" s="62"/>
      <c r="N999" s="62"/>
      <c r="O999" s="62"/>
      <c r="P999" s="62"/>
      <c r="Q999" s="62"/>
      <c r="R999" s="62"/>
      <c r="S999" s="62"/>
      <c r="T999" s="62"/>
      <c r="U999" s="62"/>
      <c r="V999" s="62"/>
      <c r="W999" s="62"/>
      <c r="X999" s="62"/>
      <c r="Y999" s="62"/>
      <c r="Z999" s="62"/>
    </row>
    <row r="1000" ht="15.75" customHeight="1">
      <c r="A1000" s="74"/>
      <c r="B1000" s="74"/>
      <c r="C1000" s="74"/>
      <c r="D1000" s="74"/>
      <c r="E1000" s="2"/>
      <c r="F1000" s="2"/>
      <c r="G1000" s="2"/>
      <c r="H1000" s="127"/>
      <c r="I1000" s="62"/>
      <c r="J1000" s="62"/>
      <c r="K1000" s="62"/>
      <c r="L1000" s="62"/>
      <c r="M1000" s="62"/>
      <c r="N1000" s="62"/>
      <c r="O1000" s="62"/>
      <c r="P1000" s="62"/>
      <c r="Q1000" s="62"/>
      <c r="R1000" s="62"/>
      <c r="S1000" s="62"/>
      <c r="T1000" s="62"/>
      <c r="U1000" s="62"/>
      <c r="V1000" s="62"/>
      <c r="W1000" s="62"/>
      <c r="X1000" s="62"/>
      <c r="Y1000" s="62"/>
      <c r="Z1000" s="62"/>
    </row>
  </sheetData>
  <autoFilter ref="$A$1:$H$48"/>
  <hyperlinks>
    <hyperlink r:id="rId1" ref="C4"/>
    <hyperlink r:id="rId2" ref="C6"/>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35.0"/>
    <col customWidth="1" min="2" max="2" width="43.63"/>
    <col customWidth="1" min="3" max="3" width="21.63"/>
    <col customWidth="1" min="4" max="4" width="21.13"/>
    <col customWidth="1" min="5" max="5" width="22.63"/>
    <col customWidth="1" min="6" max="6" width="24.25"/>
    <col customWidth="1" min="7" max="7" width="54.75"/>
    <col customWidth="1" min="8" max="26" width="8.63"/>
  </cols>
  <sheetData>
    <row r="1">
      <c r="B1" s="79"/>
      <c r="C1" s="2"/>
      <c r="D1" s="2"/>
      <c r="E1" s="2"/>
      <c r="F1" s="2"/>
      <c r="G1" s="62"/>
    </row>
    <row r="2">
      <c r="B2" s="79"/>
      <c r="C2" s="2"/>
      <c r="D2" s="2"/>
      <c r="E2" s="2"/>
      <c r="F2" s="2"/>
      <c r="G2" s="62"/>
    </row>
    <row r="3">
      <c r="B3" s="79"/>
      <c r="C3" s="2"/>
      <c r="D3" s="2"/>
      <c r="E3" s="2"/>
      <c r="F3" s="2"/>
      <c r="G3" s="62"/>
    </row>
    <row r="4">
      <c r="B4" s="79"/>
      <c r="C4" s="2"/>
      <c r="D4" s="2"/>
      <c r="E4" s="2"/>
      <c r="F4" s="2"/>
      <c r="G4" s="62"/>
    </row>
    <row r="5">
      <c r="B5" s="79"/>
      <c r="C5" s="2"/>
      <c r="D5" s="2"/>
      <c r="E5" s="2"/>
      <c r="F5" s="2"/>
      <c r="G5" s="62"/>
    </row>
    <row r="6">
      <c r="A6" s="90" t="s">
        <v>676</v>
      </c>
      <c r="B6" s="90" t="s">
        <v>677</v>
      </c>
      <c r="C6" s="128" t="s">
        <v>678</v>
      </c>
      <c r="D6" s="128" t="s">
        <v>679</v>
      </c>
      <c r="E6" s="128" t="s">
        <v>680</v>
      </c>
      <c r="F6" s="128" t="s">
        <v>681</v>
      </c>
      <c r="G6" s="128" t="s">
        <v>276</v>
      </c>
    </row>
    <row r="7" ht="78.75" hidden="1" customHeight="1">
      <c r="A7" s="33" t="s">
        <v>50</v>
      </c>
      <c r="B7" s="129" t="s">
        <v>682</v>
      </c>
      <c r="C7" s="7" t="s">
        <v>559</v>
      </c>
      <c r="D7" s="7" t="s">
        <v>559</v>
      </c>
      <c r="E7" s="7" t="s">
        <v>560</v>
      </c>
      <c r="F7" s="130">
        <v>46329.0</v>
      </c>
      <c r="G7" s="20"/>
    </row>
    <row r="8" ht="134.25" hidden="1" customHeight="1">
      <c r="A8" s="63" t="s">
        <v>58</v>
      </c>
      <c r="B8" s="129" t="s">
        <v>683</v>
      </c>
      <c r="C8" s="7" t="s">
        <v>559</v>
      </c>
      <c r="D8" s="7" t="s">
        <v>559</v>
      </c>
      <c r="E8" s="7" t="s">
        <v>559</v>
      </c>
      <c r="F8" s="130" t="s">
        <v>684</v>
      </c>
      <c r="G8" s="65" t="s">
        <v>685</v>
      </c>
    </row>
    <row r="9" hidden="1">
      <c r="A9" s="63" t="s">
        <v>63</v>
      </c>
      <c r="B9" s="129" t="s">
        <v>686</v>
      </c>
      <c r="C9" s="7" t="s">
        <v>559</v>
      </c>
      <c r="D9" s="7" t="s">
        <v>559</v>
      </c>
      <c r="E9" s="7" t="s">
        <v>560</v>
      </c>
      <c r="F9" s="130">
        <v>46329.0</v>
      </c>
      <c r="G9" s="20"/>
    </row>
    <row r="10" hidden="1">
      <c r="A10" s="63" t="s">
        <v>70</v>
      </c>
      <c r="B10" s="129" t="s">
        <v>687</v>
      </c>
      <c r="C10" s="7" t="s">
        <v>559</v>
      </c>
      <c r="D10" s="7" t="s">
        <v>559</v>
      </c>
      <c r="E10" s="7" t="s">
        <v>559</v>
      </c>
      <c r="F10" s="130">
        <v>46329.0</v>
      </c>
      <c r="G10" s="20"/>
    </row>
    <row r="11" hidden="1">
      <c r="A11" s="33" t="s">
        <v>74</v>
      </c>
      <c r="B11" s="129" t="s">
        <v>688</v>
      </c>
      <c r="C11" s="7" t="s">
        <v>559</v>
      </c>
      <c r="D11" s="7" t="s">
        <v>559</v>
      </c>
      <c r="E11" s="7" t="s">
        <v>559</v>
      </c>
      <c r="F11" s="130">
        <v>46329.0</v>
      </c>
      <c r="G11" s="20"/>
    </row>
    <row r="12" hidden="1">
      <c r="A12" s="33" t="s">
        <v>79</v>
      </c>
      <c r="B12" s="129" t="s">
        <v>688</v>
      </c>
      <c r="C12" s="7" t="s">
        <v>559</v>
      </c>
      <c r="D12" s="7" t="s">
        <v>559</v>
      </c>
      <c r="E12" s="7" t="s">
        <v>559</v>
      </c>
      <c r="F12" s="130">
        <v>46329.0</v>
      </c>
      <c r="G12" s="20"/>
    </row>
    <row r="13" hidden="1">
      <c r="A13" s="33" t="s">
        <v>82</v>
      </c>
      <c r="B13" s="129" t="s">
        <v>689</v>
      </c>
      <c r="C13" s="7" t="s">
        <v>559</v>
      </c>
      <c r="D13" s="7" t="s">
        <v>559</v>
      </c>
      <c r="E13" s="7" t="s">
        <v>559</v>
      </c>
      <c r="F13" s="130">
        <v>46329.0</v>
      </c>
      <c r="G13" s="20"/>
    </row>
    <row r="14" hidden="1">
      <c r="A14" s="33" t="s">
        <v>85</v>
      </c>
      <c r="B14" s="129" t="s">
        <v>690</v>
      </c>
      <c r="C14" s="7" t="s">
        <v>559</v>
      </c>
      <c r="D14" s="7" t="s">
        <v>559</v>
      </c>
      <c r="E14" s="7" t="s">
        <v>559</v>
      </c>
      <c r="F14" s="130">
        <v>46329.0</v>
      </c>
      <c r="G14" s="20"/>
    </row>
    <row r="15" hidden="1">
      <c r="A15" s="33" t="s">
        <v>88</v>
      </c>
      <c r="B15" s="129" t="s">
        <v>691</v>
      </c>
      <c r="C15" s="7" t="s">
        <v>559</v>
      </c>
      <c r="D15" s="7" t="s">
        <v>559</v>
      </c>
      <c r="E15" s="7" t="s">
        <v>559</v>
      </c>
      <c r="F15" s="130">
        <v>46329.0</v>
      </c>
      <c r="G15" s="20"/>
    </row>
    <row r="16" hidden="1">
      <c r="A16" s="33" t="s">
        <v>93</v>
      </c>
      <c r="B16" s="129" t="s">
        <v>691</v>
      </c>
      <c r="C16" s="7" t="s">
        <v>559</v>
      </c>
      <c r="D16" s="7" t="s">
        <v>559</v>
      </c>
      <c r="E16" s="7" t="s">
        <v>559</v>
      </c>
      <c r="F16" s="130">
        <v>46329.0</v>
      </c>
      <c r="G16" s="20"/>
    </row>
    <row r="17" hidden="1">
      <c r="A17" s="33" t="s">
        <v>97</v>
      </c>
      <c r="B17" s="129" t="s">
        <v>692</v>
      </c>
      <c r="C17" s="7" t="s">
        <v>559</v>
      </c>
      <c r="D17" s="7" t="s">
        <v>559</v>
      </c>
      <c r="E17" s="7" t="s">
        <v>559</v>
      </c>
      <c r="F17" s="130">
        <v>46329.0</v>
      </c>
      <c r="G17" s="20"/>
    </row>
    <row r="18">
      <c r="A18" s="33" t="s">
        <v>100</v>
      </c>
      <c r="B18" s="129" t="s">
        <v>693</v>
      </c>
      <c r="C18" s="66" t="s">
        <v>560</v>
      </c>
      <c r="D18" s="66" t="s">
        <v>560</v>
      </c>
      <c r="E18" s="66" t="s">
        <v>560</v>
      </c>
      <c r="F18" s="130" t="s">
        <v>490</v>
      </c>
      <c r="G18" s="65" t="s">
        <v>694</v>
      </c>
    </row>
    <row r="19" ht="108.0" hidden="1" customHeight="1">
      <c r="A19" s="33" t="s">
        <v>103</v>
      </c>
      <c r="B19" s="129" t="s">
        <v>695</v>
      </c>
      <c r="C19" s="7" t="s">
        <v>559</v>
      </c>
      <c r="D19" s="7" t="s">
        <v>559</v>
      </c>
      <c r="E19" s="7" t="s">
        <v>559</v>
      </c>
      <c r="F19" s="130" t="s">
        <v>684</v>
      </c>
      <c r="G19" s="65" t="s">
        <v>696</v>
      </c>
    </row>
    <row r="20" ht="84.0" hidden="1" customHeight="1">
      <c r="A20" s="33" t="s">
        <v>106</v>
      </c>
      <c r="B20" s="131" t="s">
        <v>697</v>
      </c>
      <c r="C20" s="7" t="s">
        <v>559</v>
      </c>
      <c r="D20" s="7" t="s">
        <v>559</v>
      </c>
      <c r="E20" s="66" t="s">
        <v>559</v>
      </c>
      <c r="F20" s="130">
        <v>46329.0</v>
      </c>
      <c r="G20" s="20"/>
    </row>
    <row r="21" ht="123.75" customHeight="1">
      <c r="A21" s="33" t="s">
        <v>110</v>
      </c>
      <c r="B21" s="132" t="s">
        <v>698</v>
      </c>
      <c r="C21" s="66" t="s">
        <v>560</v>
      </c>
      <c r="D21" s="66" t="s">
        <v>560</v>
      </c>
      <c r="E21" s="66" t="s">
        <v>560</v>
      </c>
      <c r="F21" s="130" t="s">
        <v>490</v>
      </c>
      <c r="G21" s="65" t="s">
        <v>699</v>
      </c>
    </row>
    <row r="22" ht="120.75" hidden="1" customHeight="1">
      <c r="A22" s="33" t="s">
        <v>113</v>
      </c>
      <c r="B22" s="129" t="s">
        <v>700</v>
      </c>
      <c r="C22" s="7" t="s">
        <v>559</v>
      </c>
      <c r="D22" s="7" t="s">
        <v>559</v>
      </c>
      <c r="E22" s="7" t="s">
        <v>559</v>
      </c>
      <c r="F22" s="130" t="s">
        <v>701</v>
      </c>
      <c r="G22" s="132" t="s">
        <v>702</v>
      </c>
    </row>
    <row r="23" ht="105.0" hidden="1" customHeight="1">
      <c r="A23" s="33" t="s">
        <v>117</v>
      </c>
      <c r="B23" s="129" t="s">
        <v>703</v>
      </c>
      <c r="C23" s="7" t="s">
        <v>559</v>
      </c>
      <c r="D23" s="7" t="s">
        <v>559</v>
      </c>
      <c r="E23" s="7" t="s">
        <v>559</v>
      </c>
      <c r="F23" s="130">
        <v>46329.0</v>
      </c>
      <c r="G23" s="20"/>
    </row>
    <row r="24" ht="93.0" customHeight="1">
      <c r="A24" s="33" t="s">
        <v>120</v>
      </c>
      <c r="B24" s="133" t="s">
        <v>704</v>
      </c>
      <c r="C24" s="7" t="s">
        <v>559</v>
      </c>
      <c r="D24" s="7" t="s">
        <v>560</v>
      </c>
      <c r="E24" s="7" t="s">
        <v>560</v>
      </c>
      <c r="F24" s="130" t="s">
        <v>490</v>
      </c>
      <c r="G24" s="65" t="s">
        <v>705</v>
      </c>
    </row>
    <row r="25" ht="15.75" hidden="1" customHeight="1">
      <c r="A25" s="33" t="s">
        <v>123</v>
      </c>
      <c r="B25" s="129" t="s">
        <v>706</v>
      </c>
      <c r="C25" s="7" t="s">
        <v>559</v>
      </c>
      <c r="D25" s="7" t="s">
        <v>559</v>
      </c>
      <c r="E25" s="7" t="s">
        <v>559</v>
      </c>
      <c r="F25" s="130">
        <v>46329.0</v>
      </c>
      <c r="G25" s="20"/>
    </row>
    <row r="26" ht="91.5" customHeight="1">
      <c r="A26" s="33" t="s">
        <v>126</v>
      </c>
      <c r="B26" s="133" t="s">
        <v>707</v>
      </c>
      <c r="C26" s="7" t="s">
        <v>559</v>
      </c>
      <c r="D26" s="7" t="s">
        <v>560</v>
      </c>
      <c r="E26" s="7" t="s">
        <v>560</v>
      </c>
      <c r="F26" s="130" t="s">
        <v>490</v>
      </c>
      <c r="G26" s="65" t="s">
        <v>708</v>
      </c>
    </row>
    <row r="27" ht="15.75" hidden="1" customHeight="1">
      <c r="A27" s="33" t="s">
        <v>129</v>
      </c>
      <c r="B27" s="129" t="s">
        <v>709</v>
      </c>
      <c r="C27" s="7" t="s">
        <v>559</v>
      </c>
      <c r="D27" s="7" t="s">
        <v>559</v>
      </c>
      <c r="E27" s="7" t="s">
        <v>559</v>
      </c>
      <c r="F27" s="130">
        <v>46329.0</v>
      </c>
      <c r="G27" s="20"/>
    </row>
    <row r="28" ht="15.75" hidden="1" customHeight="1">
      <c r="A28" s="33" t="s">
        <v>132</v>
      </c>
      <c r="B28" s="129" t="s">
        <v>710</v>
      </c>
      <c r="C28" s="7" t="s">
        <v>559</v>
      </c>
      <c r="D28" s="7" t="s">
        <v>559</v>
      </c>
      <c r="E28" s="7" t="s">
        <v>559</v>
      </c>
      <c r="F28" s="130">
        <v>46329.0</v>
      </c>
      <c r="G28" s="20"/>
    </row>
    <row r="29" ht="15.75" hidden="1" customHeight="1">
      <c r="A29" s="33" t="s">
        <v>135</v>
      </c>
      <c r="B29" s="129" t="s">
        <v>711</v>
      </c>
      <c r="C29" s="7" t="s">
        <v>559</v>
      </c>
      <c r="D29" s="7" t="s">
        <v>559</v>
      </c>
      <c r="E29" s="7" t="s">
        <v>559</v>
      </c>
      <c r="F29" s="130">
        <v>46329.0</v>
      </c>
      <c r="G29" s="20"/>
    </row>
    <row r="30" ht="15.75" hidden="1" customHeight="1">
      <c r="A30" s="33" t="s">
        <v>138</v>
      </c>
      <c r="B30" s="129" t="s">
        <v>712</v>
      </c>
      <c r="C30" s="7" t="s">
        <v>559</v>
      </c>
      <c r="D30" s="7" t="s">
        <v>559</v>
      </c>
      <c r="E30" s="7" t="s">
        <v>559</v>
      </c>
      <c r="F30" s="130">
        <v>46329.0</v>
      </c>
      <c r="G30" s="20"/>
    </row>
    <row r="31" ht="15.75" hidden="1" customHeight="1">
      <c r="A31" s="33" t="s">
        <v>141</v>
      </c>
      <c r="B31" s="129" t="s">
        <v>712</v>
      </c>
      <c r="C31" s="7" t="s">
        <v>559</v>
      </c>
      <c r="D31" s="7" t="s">
        <v>559</v>
      </c>
      <c r="E31" s="7" t="s">
        <v>559</v>
      </c>
      <c r="F31" s="130">
        <v>46329.0</v>
      </c>
      <c r="G31" s="20"/>
    </row>
    <row r="32" ht="15.75" hidden="1" customHeight="1">
      <c r="A32" s="33" t="s">
        <v>145</v>
      </c>
      <c r="B32" s="129" t="s">
        <v>713</v>
      </c>
      <c r="C32" s="7" t="s">
        <v>559</v>
      </c>
      <c r="D32" s="7" t="s">
        <v>559</v>
      </c>
      <c r="E32" s="7" t="s">
        <v>559</v>
      </c>
      <c r="F32" s="130">
        <v>46329.0</v>
      </c>
      <c r="G32" s="20"/>
    </row>
    <row r="33" ht="15.75" hidden="1" customHeight="1">
      <c r="A33" s="33" t="s">
        <v>148</v>
      </c>
      <c r="B33" s="129" t="s">
        <v>714</v>
      </c>
      <c r="C33" s="7" t="s">
        <v>559</v>
      </c>
      <c r="D33" s="7" t="s">
        <v>559</v>
      </c>
      <c r="E33" s="7" t="s">
        <v>559</v>
      </c>
      <c r="F33" s="130" t="s">
        <v>490</v>
      </c>
      <c r="G33" s="65" t="s">
        <v>715</v>
      </c>
    </row>
    <row r="34" ht="15.75" hidden="1" customHeight="1">
      <c r="A34" s="33" t="s">
        <v>151</v>
      </c>
      <c r="B34" s="129" t="s">
        <v>716</v>
      </c>
      <c r="C34" s="7" t="s">
        <v>559</v>
      </c>
      <c r="D34" s="7" t="s">
        <v>559</v>
      </c>
      <c r="E34" s="7" t="s">
        <v>559</v>
      </c>
      <c r="F34" s="130" t="s">
        <v>490</v>
      </c>
      <c r="G34" s="65" t="s">
        <v>717</v>
      </c>
    </row>
    <row r="35" ht="15.75" hidden="1" customHeight="1">
      <c r="A35" s="63" t="s">
        <v>154</v>
      </c>
      <c r="B35" s="133" t="s">
        <v>718</v>
      </c>
      <c r="C35" s="7" t="s">
        <v>560</v>
      </c>
      <c r="D35" s="7" t="s">
        <v>559</v>
      </c>
      <c r="E35" s="7" t="s">
        <v>559</v>
      </c>
      <c r="F35" s="130">
        <v>46329.0</v>
      </c>
      <c r="G35" s="20"/>
    </row>
    <row r="36" ht="15.75" customHeight="1">
      <c r="A36" s="33" t="s">
        <v>158</v>
      </c>
      <c r="B36" s="133" t="s">
        <v>719</v>
      </c>
      <c r="C36" s="7" t="s">
        <v>559</v>
      </c>
      <c r="D36" s="7" t="s">
        <v>560</v>
      </c>
      <c r="E36" s="7" t="s">
        <v>559</v>
      </c>
      <c r="F36" s="130" t="s">
        <v>490</v>
      </c>
      <c r="G36" s="65" t="s">
        <v>720</v>
      </c>
    </row>
    <row r="37" ht="15.75" hidden="1" customHeight="1">
      <c r="A37" s="33" t="s">
        <v>161</v>
      </c>
      <c r="B37" s="129" t="s">
        <v>721</v>
      </c>
      <c r="C37" s="7" t="s">
        <v>559</v>
      </c>
      <c r="D37" s="7" t="s">
        <v>559</v>
      </c>
      <c r="E37" s="7" t="s">
        <v>559</v>
      </c>
      <c r="F37" s="130">
        <v>46329.0</v>
      </c>
      <c r="G37" s="20"/>
    </row>
    <row r="38" ht="15.75" customHeight="1">
      <c r="A38" s="33" t="s">
        <v>164</v>
      </c>
      <c r="B38" s="133" t="s">
        <v>722</v>
      </c>
      <c r="C38" s="7" t="s">
        <v>559</v>
      </c>
      <c r="D38" s="7" t="s">
        <v>560</v>
      </c>
      <c r="E38" s="7" t="s">
        <v>559</v>
      </c>
      <c r="F38" s="130" t="s">
        <v>490</v>
      </c>
      <c r="G38" s="65" t="s">
        <v>723</v>
      </c>
    </row>
    <row r="39" ht="121.5" hidden="1" customHeight="1">
      <c r="A39" s="33" t="s">
        <v>167</v>
      </c>
      <c r="B39" s="129" t="s">
        <v>724</v>
      </c>
      <c r="C39" s="7" t="s">
        <v>559</v>
      </c>
      <c r="D39" s="7" t="s">
        <v>559</v>
      </c>
      <c r="E39" s="7" t="s">
        <v>559</v>
      </c>
      <c r="F39" s="130">
        <v>46329.0</v>
      </c>
      <c r="G39" s="20"/>
    </row>
    <row r="40" ht="15.75" hidden="1" customHeight="1">
      <c r="A40" s="33" t="s">
        <v>170</v>
      </c>
      <c r="B40" s="129" t="s">
        <v>725</v>
      </c>
      <c r="C40" s="7" t="s">
        <v>559</v>
      </c>
      <c r="D40" s="7" t="s">
        <v>560</v>
      </c>
      <c r="E40" s="7" t="s">
        <v>559</v>
      </c>
      <c r="F40" s="130" t="s">
        <v>490</v>
      </c>
      <c r="G40" s="65" t="s">
        <v>726</v>
      </c>
    </row>
    <row r="41" ht="15.75" hidden="1" customHeight="1">
      <c r="A41" s="33" t="s">
        <v>173</v>
      </c>
      <c r="B41" s="129" t="s">
        <v>727</v>
      </c>
      <c r="C41" s="7" t="s">
        <v>559</v>
      </c>
      <c r="D41" s="7" t="s">
        <v>559</v>
      </c>
      <c r="E41" s="7" t="s">
        <v>559</v>
      </c>
      <c r="F41" s="130">
        <v>46329.0</v>
      </c>
      <c r="G41" s="65" t="s">
        <v>728</v>
      </c>
    </row>
    <row r="42" ht="15.75" hidden="1" customHeight="1">
      <c r="A42" s="63" t="s">
        <v>176</v>
      </c>
      <c r="B42" s="129" t="s">
        <v>729</v>
      </c>
      <c r="C42" s="7" t="s">
        <v>559</v>
      </c>
      <c r="D42" s="7" t="s">
        <v>559</v>
      </c>
      <c r="E42" s="7" t="s">
        <v>559</v>
      </c>
      <c r="F42" s="130" t="s">
        <v>490</v>
      </c>
      <c r="G42" s="65" t="s">
        <v>685</v>
      </c>
    </row>
    <row r="43" ht="15.75" customHeight="1">
      <c r="A43" s="33" t="s">
        <v>180</v>
      </c>
      <c r="B43" s="133" t="s">
        <v>730</v>
      </c>
      <c r="C43" s="7" t="s">
        <v>560</v>
      </c>
      <c r="D43" s="7" t="s">
        <v>560</v>
      </c>
      <c r="E43" s="7" t="s">
        <v>559</v>
      </c>
      <c r="F43" s="130" t="s">
        <v>490</v>
      </c>
      <c r="G43" s="65" t="s">
        <v>731</v>
      </c>
    </row>
    <row r="44" ht="15.75" hidden="1" customHeight="1">
      <c r="A44" s="33" t="s">
        <v>183</v>
      </c>
      <c r="B44" s="133" t="s">
        <v>732</v>
      </c>
      <c r="C44" s="7" t="s">
        <v>560</v>
      </c>
      <c r="D44" s="7" t="s">
        <v>559</v>
      </c>
      <c r="E44" s="7" t="s">
        <v>559</v>
      </c>
      <c r="F44" s="130">
        <v>46329.0</v>
      </c>
      <c r="G44" s="20"/>
    </row>
    <row r="45" ht="15.75" hidden="1" customHeight="1">
      <c r="A45" s="33" t="s">
        <v>187</v>
      </c>
      <c r="B45" s="129" t="s">
        <v>733</v>
      </c>
      <c r="C45" s="7" t="s">
        <v>559</v>
      </c>
      <c r="D45" s="7" t="s">
        <v>559</v>
      </c>
      <c r="E45" s="7" t="s">
        <v>559</v>
      </c>
      <c r="F45" s="130">
        <v>46329.0</v>
      </c>
      <c r="G45" s="20"/>
    </row>
    <row r="46" ht="15.75" hidden="1" customHeight="1">
      <c r="A46" s="63" t="s">
        <v>208</v>
      </c>
      <c r="B46" s="129" t="s">
        <v>734</v>
      </c>
      <c r="C46" s="7" t="s">
        <v>559</v>
      </c>
      <c r="D46" s="7" t="s">
        <v>559</v>
      </c>
      <c r="E46" s="7" t="s">
        <v>559</v>
      </c>
      <c r="F46" s="130">
        <v>46329.0</v>
      </c>
      <c r="G46" s="20"/>
    </row>
    <row r="47" ht="15.75" hidden="1" customHeight="1">
      <c r="A47" s="63" t="s">
        <v>212</v>
      </c>
      <c r="B47" s="129" t="s">
        <v>735</v>
      </c>
      <c r="C47" s="7" t="s">
        <v>559</v>
      </c>
      <c r="D47" s="7" t="s">
        <v>559</v>
      </c>
      <c r="E47" s="7" t="s">
        <v>559</v>
      </c>
      <c r="F47" s="130">
        <v>46329.0</v>
      </c>
      <c r="G47" s="20"/>
    </row>
    <row r="48" ht="15.75" hidden="1" customHeight="1">
      <c r="A48" s="33" t="s">
        <v>214</v>
      </c>
      <c r="B48" s="129" t="s">
        <v>736</v>
      </c>
      <c r="C48" s="7" t="s">
        <v>559</v>
      </c>
      <c r="D48" s="7" t="s">
        <v>559</v>
      </c>
      <c r="E48" s="7" t="s">
        <v>559</v>
      </c>
      <c r="F48" s="130">
        <v>46329.0</v>
      </c>
      <c r="G48" s="20"/>
    </row>
    <row r="49" ht="15.75" hidden="1" customHeight="1">
      <c r="A49" s="33" t="s">
        <v>216</v>
      </c>
      <c r="B49" s="129" t="s">
        <v>737</v>
      </c>
      <c r="C49" s="7" t="s">
        <v>559</v>
      </c>
      <c r="D49" s="7" t="s">
        <v>559</v>
      </c>
      <c r="E49" s="7" t="s">
        <v>559</v>
      </c>
      <c r="F49" s="130">
        <v>46329.0</v>
      </c>
      <c r="G49" s="20"/>
    </row>
    <row r="50" ht="110.25" customHeight="1">
      <c r="A50" s="33" t="s">
        <v>218</v>
      </c>
      <c r="B50" s="132" t="s">
        <v>738</v>
      </c>
      <c r="C50" s="7" t="s">
        <v>560</v>
      </c>
      <c r="D50" s="7" t="s">
        <v>560</v>
      </c>
      <c r="E50" s="7" t="s">
        <v>559</v>
      </c>
      <c r="F50" s="130" t="s">
        <v>490</v>
      </c>
      <c r="G50" s="65" t="s">
        <v>739</v>
      </c>
    </row>
    <row r="51" ht="15.75" customHeight="1">
      <c r="B51" s="79"/>
      <c r="C51" s="2"/>
      <c r="D51" s="2"/>
      <c r="E51" s="2"/>
      <c r="F51" s="2"/>
      <c r="G51" s="62"/>
    </row>
    <row r="52" ht="15.75" customHeight="1">
      <c r="B52" s="79"/>
      <c r="C52" s="2"/>
      <c r="D52" s="2"/>
      <c r="E52" s="2"/>
      <c r="F52" s="2"/>
      <c r="G52" s="62"/>
    </row>
    <row r="53" ht="15.75" customHeight="1">
      <c r="B53" s="79"/>
      <c r="C53" s="2"/>
      <c r="D53" s="2"/>
      <c r="E53" s="2"/>
      <c r="F53" s="2"/>
      <c r="G53" s="62"/>
    </row>
    <row r="54" ht="15.75" customHeight="1">
      <c r="B54" s="79"/>
      <c r="C54" s="2"/>
      <c r="D54" s="2"/>
      <c r="E54" s="2"/>
      <c r="F54" s="2"/>
      <c r="G54" s="62"/>
    </row>
    <row r="55" ht="15.75" customHeight="1">
      <c r="B55" s="79"/>
      <c r="C55" s="2"/>
      <c r="D55" s="2"/>
      <c r="E55" s="2"/>
      <c r="F55" s="2"/>
      <c r="G55" s="62"/>
    </row>
    <row r="56" ht="15.75" customHeight="1">
      <c r="B56" s="79"/>
      <c r="C56" s="2"/>
      <c r="D56" s="2"/>
      <c r="E56" s="2"/>
      <c r="F56" s="2"/>
      <c r="G56" s="62"/>
    </row>
    <row r="57" ht="15.75" customHeight="1">
      <c r="B57" s="79"/>
      <c r="C57" s="2"/>
      <c r="D57" s="2"/>
      <c r="E57" s="2"/>
      <c r="F57" s="2"/>
      <c r="G57" s="62"/>
    </row>
    <row r="58" ht="15.75" customHeight="1">
      <c r="B58" s="79"/>
      <c r="C58" s="2"/>
      <c r="D58" s="2"/>
      <c r="E58" s="2"/>
      <c r="F58" s="2"/>
      <c r="G58" s="62"/>
    </row>
    <row r="59" ht="15.75" customHeight="1">
      <c r="B59" s="79"/>
      <c r="C59" s="2"/>
      <c r="D59" s="2"/>
      <c r="E59" s="2"/>
      <c r="F59" s="2"/>
      <c r="G59" s="62"/>
    </row>
    <row r="60" ht="15.75" customHeight="1">
      <c r="B60" s="79"/>
      <c r="C60" s="2"/>
      <c r="D60" s="2"/>
      <c r="E60" s="2"/>
      <c r="F60" s="2"/>
      <c r="G60" s="62"/>
    </row>
    <row r="61" ht="15.75" customHeight="1">
      <c r="B61" s="79"/>
      <c r="C61" s="2"/>
      <c r="D61" s="2"/>
      <c r="E61" s="2"/>
      <c r="F61" s="2"/>
      <c r="G61" s="62"/>
    </row>
    <row r="62" ht="15.75" customHeight="1">
      <c r="B62" s="79"/>
      <c r="C62" s="2"/>
      <c r="D62" s="2"/>
      <c r="E62" s="2"/>
      <c r="F62" s="2"/>
      <c r="G62" s="62"/>
    </row>
    <row r="63" ht="15.75" customHeight="1">
      <c r="B63" s="79"/>
      <c r="C63" s="2"/>
      <c r="D63" s="2"/>
      <c r="E63" s="2"/>
      <c r="F63" s="2"/>
      <c r="G63" s="62"/>
    </row>
    <row r="64" ht="15.75" customHeight="1">
      <c r="B64" s="79"/>
      <c r="C64" s="2"/>
      <c r="D64" s="2"/>
      <c r="E64" s="2"/>
      <c r="F64" s="2"/>
      <c r="G64" s="62"/>
    </row>
    <row r="65" ht="15.75" customHeight="1">
      <c r="B65" s="79"/>
      <c r="C65" s="2"/>
      <c r="D65" s="2"/>
      <c r="E65" s="2"/>
      <c r="F65" s="2"/>
      <c r="G65" s="62"/>
    </row>
    <row r="66" ht="15.75" customHeight="1">
      <c r="B66" s="79"/>
      <c r="C66" s="2"/>
      <c r="D66" s="2"/>
      <c r="E66" s="2"/>
      <c r="F66" s="2"/>
      <c r="G66" s="62"/>
    </row>
    <row r="67" ht="15.75" customHeight="1">
      <c r="B67" s="79"/>
      <c r="C67" s="2"/>
      <c r="D67" s="2"/>
      <c r="E67" s="2"/>
      <c r="F67" s="2"/>
      <c r="G67" s="62"/>
    </row>
    <row r="68" ht="15.75" customHeight="1">
      <c r="B68" s="79"/>
      <c r="C68" s="2"/>
      <c r="D68" s="2"/>
      <c r="E68" s="2"/>
      <c r="F68" s="2"/>
      <c r="G68" s="62"/>
    </row>
    <row r="69" ht="15.75" customHeight="1">
      <c r="B69" s="79"/>
      <c r="C69" s="2"/>
      <c r="D69" s="2"/>
      <c r="E69" s="2"/>
      <c r="F69" s="2"/>
      <c r="G69" s="62"/>
    </row>
    <row r="70" ht="15.75" customHeight="1">
      <c r="B70" s="79"/>
      <c r="C70" s="2"/>
      <c r="D70" s="2"/>
      <c r="E70" s="2"/>
      <c r="F70" s="2"/>
      <c r="G70" s="62"/>
    </row>
    <row r="71" ht="15.75" customHeight="1">
      <c r="B71" s="79"/>
      <c r="C71" s="2"/>
      <c r="D71" s="2"/>
      <c r="E71" s="2"/>
      <c r="F71" s="2"/>
      <c r="G71" s="62"/>
    </row>
    <row r="72" ht="15.75" customHeight="1">
      <c r="B72" s="79"/>
      <c r="C72" s="2"/>
      <c r="D72" s="2"/>
      <c r="E72" s="2"/>
      <c r="F72" s="2"/>
      <c r="G72" s="62"/>
    </row>
    <row r="73" ht="15.75" customHeight="1">
      <c r="B73" s="79"/>
      <c r="C73" s="2"/>
      <c r="D73" s="2"/>
      <c r="E73" s="2"/>
      <c r="F73" s="2"/>
      <c r="G73" s="62"/>
    </row>
    <row r="74" ht="15.75" customHeight="1">
      <c r="B74" s="79"/>
      <c r="C74" s="2"/>
      <c r="D74" s="2"/>
      <c r="E74" s="2"/>
      <c r="F74" s="2"/>
      <c r="G74" s="62"/>
    </row>
    <row r="75" ht="15.75" customHeight="1">
      <c r="B75" s="79"/>
      <c r="C75" s="2"/>
      <c r="D75" s="2"/>
      <c r="E75" s="2"/>
      <c r="F75" s="2"/>
      <c r="G75" s="62"/>
    </row>
    <row r="76" ht="15.75" customHeight="1">
      <c r="B76" s="79"/>
      <c r="C76" s="2"/>
      <c r="D76" s="2"/>
      <c r="E76" s="2"/>
      <c r="F76" s="2"/>
      <c r="G76" s="62"/>
    </row>
    <row r="77" ht="15.75" customHeight="1">
      <c r="B77" s="79"/>
      <c r="C77" s="2"/>
      <c r="D77" s="2"/>
      <c r="E77" s="2"/>
      <c r="F77" s="2"/>
      <c r="G77" s="62"/>
    </row>
    <row r="78" ht="15.75" customHeight="1">
      <c r="B78" s="79"/>
      <c r="C78" s="2"/>
      <c r="D78" s="2"/>
      <c r="E78" s="2"/>
      <c r="F78" s="2"/>
      <c r="G78" s="62"/>
    </row>
    <row r="79" ht="15.75" customHeight="1">
      <c r="B79" s="79"/>
      <c r="C79" s="2"/>
      <c r="D79" s="2"/>
      <c r="E79" s="2"/>
      <c r="F79" s="2"/>
      <c r="G79" s="62"/>
    </row>
    <row r="80" ht="15.75" customHeight="1">
      <c r="B80" s="79"/>
      <c r="C80" s="2"/>
      <c r="D80" s="2"/>
      <c r="E80" s="2"/>
      <c r="F80" s="2"/>
      <c r="G80" s="62"/>
    </row>
    <row r="81" ht="15.75" customHeight="1">
      <c r="B81" s="79"/>
      <c r="C81" s="2"/>
      <c r="D81" s="2"/>
      <c r="E81" s="2"/>
      <c r="F81" s="2"/>
      <c r="G81" s="62"/>
    </row>
    <row r="82" ht="15.75" customHeight="1">
      <c r="B82" s="79"/>
      <c r="C82" s="2"/>
      <c r="D82" s="2"/>
      <c r="E82" s="2"/>
      <c r="F82" s="2"/>
      <c r="G82" s="62"/>
    </row>
    <row r="83" ht="15.75" customHeight="1">
      <c r="B83" s="79"/>
      <c r="C83" s="2"/>
      <c r="D83" s="2"/>
      <c r="E83" s="2"/>
      <c r="F83" s="2"/>
      <c r="G83" s="62"/>
    </row>
    <row r="84" ht="15.75" customHeight="1">
      <c r="B84" s="79"/>
      <c r="C84" s="2"/>
      <c r="D84" s="2"/>
      <c r="E84" s="2"/>
      <c r="F84" s="2"/>
      <c r="G84" s="62"/>
    </row>
    <row r="85" ht="15.75" customHeight="1">
      <c r="B85" s="79"/>
      <c r="C85" s="2"/>
      <c r="D85" s="2"/>
      <c r="E85" s="2"/>
      <c r="F85" s="2"/>
      <c r="G85" s="62"/>
    </row>
    <row r="86" ht="15.75" customHeight="1">
      <c r="B86" s="79"/>
      <c r="C86" s="2"/>
      <c r="D86" s="2"/>
      <c r="E86" s="2"/>
      <c r="F86" s="2"/>
      <c r="G86" s="62"/>
    </row>
    <row r="87" ht="15.75" customHeight="1">
      <c r="B87" s="79"/>
      <c r="C87" s="2"/>
      <c r="D87" s="2"/>
      <c r="E87" s="2"/>
      <c r="F87" s="2"/>
      <c r="G87" s="62"/>
    </row>
    <row r="88" ht="15.75" customHeight="1">
      <c r="B88" s="79"/>
      <c r="C88" s="2"/>
      <c r="D88" s="2"/>
      <c r="E88" s="2"/>
      <c r="F88" s="2"/>
      <c r="G88" s="62"/>
    </row>
    <row r="89" ht="15.75" customHeight="1">
      <c r="B89" s="79"/>
      <c r="C89" s="2"/>
      <c r="D89" s="2"/>
      <c r="E89" s="2"/>
      <c r="F89" s="2"/>
      <c r="G89" s="62"/>
    </row>
    <row r="90" ht="15.75" customHeight="1">
      <c r="B90" s="79"/>
      <c r="C90" s="2"/>
      <c r="D90" s="2"/>
      <c r="E90" s="2"/>
      <c r="F90" s="2"/>
      <c r="G90" s="62"/>
    </row>
    <row r="91" ht="15.75" customHeight="1">
      <c r="B91" s="79"/>
      <c r="C91" s="2"/>
      <c r="D91" s="2"/>
      <c r="E91" s="2"/>
      <c r="F91" s="2"/>
      <c r="G91" s="62"/>
    </row>
    <row r="92" ht="15.75" customHeight="1">
      <c r="B92" s="79"/>
      <c r="C92" s="2"/>
      <c r="D92" s="2"/>
      <c r="E92" s="2"/>
      <c r="F92" s="2"/>
      <c r="G92" s="62"/>
    </row>
    <row r="93" ht="15.75" customHeight="1">
      <c r="B93" s="79"/>
      <c r="C93" s="2"/>
      <c r="D93" s="2"/>
      <c r="E93" s="2"/>
      <c r="F93" s="2"/>
      <c r="G93" s="62"/>
    </row>
    <row r="94" ht="15.75" customHeight="1">
      <c r="B94" s="79"/>
      <c r="C94" s="2"/>
      <c r="D94" s="2"/>
      <c r="E94" s="2"/>
      <c r="F94" s="2"/>
      <c r="G94" s="62"/>
    </row>
    <row r="95" ht="15.75" customHeight="1">
      <c r="B95" s="79"/>
      <c r="C95" s="2"/>
      <c r="D95" s="2"/>
      <c r="E95" s="2"/>
      <c r="F95" s="2"/>
      <c r="G95" s="62"/>
    </row>
    <row r="96" ht="15.75" customHeight="1">
      <c r="B96" s="79"/>
      <c r="C96" s="2"/>
      <c r="D96" s="2"/>
      <c r="E96" s="2"/>
      <c r="F96" s="2"/>
      <c r="G96" s="62"/>
    </row>
    <row r="97" ht="15.75" customHeight="1">
      <c r="B97" s="79"/>
      <c r="C97" s="2"/>
      <c r="D97" s="2"/>
      <c r="E97" s="2"/>
      <c r="F97" s="2"/>
      <c r="G97" s="62"/>
    </row>
    <row r="98" ht="15.75" customHeight="1">
      <c r="B98" s="79"/>
      <c r="C98" s="2"/>
      <c r="D98" s="2"/>
      <c r="E98" s="2"/>
      <c r="F98" s="2"/>
      <c r="G98" s="62"/>
    </row>
    <row r="99" ht="15.75" customHeight="1">
      <c r="B99" s="79"/>
      <c r="C99" s="2"/>
      <c r="D99" s="2"/>
      <c r="E99" s="2"/>
      <c r="F99" s="2"/>
      <c r="G99" s="62"/>
    </row>
    <row r="100" ht="15.75" customHeight="1">
      <c r="B100" s="79"/>
      <c r="C100" s="2"/>
      <c r="D100" s="2"/>
      <c r="E100" s="2"/>
      <c r="F100" s="2"/>
      <c r="G100" s="62"/>
    </row>
    <row r="101" ht="15.75" customHeight="1">
      <c r="B101" s="79"/>
      <c r="C101" s="2"/>
      <c r="D101" s="2"/>
      <c r="E101" s="2"/>
      <c r="F101" s="2"/>
      <c r="G101" s="62"/>
    </row>
    <row r="102" ht="15.75" customHeight="1">
      <c r="B102" s="79"/>
      <c r="C102" s="2"/>
      <c r="D102" s="2"/>
      <c r="E102" s="2"/>
      <c r="F102" s="2"/>
      <c r="G102" s="62"/>
    </row>
    <row r="103" ht="15.75" customHeight="1">
      <c r="B103" s="79"/>
      <c r="C103" s="2"/>
      <c r="D103" s="2"/>
      <c r="E103" s="2"/>
      <c r="F103" s="2"/>
      <c r="G103" s="62"/>
    </row>
    <row r="104" ht="15.75" customHeight="1">
      <c r="B104" s="79"/>
      <c r="C104" s="2"/>
      <c r="D104" s="2"/>
      <c r="E104" s="2"/>
      <c r="F104" s="2"/>
      <c r="G104" s="62"/>
    </row>
    <row r="105" ht="15.75" customHeight="1">
      <c r="B105" s="79"/>
      <c r="C105" s="2"/>
      <c r="D105" s="2"/>
      <c r="E105" s="2"/>
      <c r="F105" s="2"/>
      <c r="G105" s="62"/>
    </row>
    <row r="106" ht="15.75" customHeight="1">
      <c r="B106" s="79"/>
      <c r="C106" s="2"/>
      <c r="D106" s="2"/>
      <c r="E106" s="2"/>
      <c r="F106" s="2"/>
      <c r="G106" s="62"/>
    </row>
    <row r="107" ht="15.75" customHeight="1">
      <c r="B107" s="79"/>
      <c r="C107" s="2"/>
      <c r="D107" s="2"/>
      <c r="E107" s="2"/>
      <c r="F107" s="2"/>
      <c r="G107" s="62"/>
    </row>
    <row r="108" ht="15.75" customHeight="1">
      <c r="B108" s="79"/>
      <c r="C108" s="2"/>
      <c r="D108" s="2"/>
      <c r="E108" s="2"/>
      <c r="F108" s="2"/>
      <c r="G108" s="62"/>
    </row>
    <row r="109" ht="15.75" customHeight="1">
      <c r="B109" s="79"/>
      <c r="C109" s="2"/>
      <c r="D109" s="2"/>
      <c r="E109" s="2"/>
      <c r="F109" s="2"/>
      <c r="G109" s="62"/>
    </row>
    <row r="110" ht="15.75" customHeight="1">
      <c r="B110" s="79"/>
      <c r="C110" s="2"/>
      <c r="D110" s="2"/>
      <c r="E110" s="2"/>
      <c r="F110" s="2"/>
      <c r="G110" s="62"/>
    </row>
    <row r="111" ht="15.75" customHeight="1">
      <c r="B111" s="79"/>
      <c r="C111" s="2"/>
      <c r="D111" s="2"/>
      <c r="E111" s="2"/>
      <c r="F111" s="2"/>
      <c r="G111" s="62"/>
    </row>
    <row r="112" ht="15.75" customHeight="1">
      <c r="B112" s="79"/>
      <c r="C112" s="2"/>
      <c r="D112" s="2"/>
      <c r="E112" s="2"/>
      <c r="F112" s="2"/>
      <c r="G112" s="62"/>
    </row>
    <row r="113" ht="15.75" customHeight="1">
      <c r="B113" s="79"/>
      <c r="C113" s="2"/>
      <c r="D113" s="2"/>
      <c r="E113" s="2"/>
      <c r="F113" s="2"/>
      <c r="G113" s="62"/>
    </row>
    <row r="114" ht="15.75" customHeight="1">
      <c r="B114" s="79"/>
      <c r="C114" s="2"/>
      <c r="D114" s="2"/>
      <c r="E114" s="2"/>
      <c r="F114" s="2"/>
      <c r="G114" s="62"/>
    </row>
    <row r="115" ht="15.75" customHeight="1">
      <c r="B115" s="79"/>
      <c r="C115" s="2"/>
      <c r="D115" s="2"/>
      <c r="E115" s="2"/>
      <c r="F115" s="2"/>
      <c r="G115" s="62"/>
    </row>
    <row r="116" ht="15.75" customHeight="1">
      <c r="B116" s="79"/>
      <c r="C116" s="2"/>
      <c r="D116" s="2"/>
      <c r="E116" s="2"/>
      <c r="F116" s="2"/>
      <c r="G116" s="62"/>
    </row>
    <row r="117" ht="15.75" customHeight="1">
      <c r="B117" s="79"/>
      <c r="C117" s="2"/>
      <c r="D117" s="2"/>
      <c r="E117" s="2"/>
      <c r="F117" s="2"/>
      <c r="G117" s="62"/>
    </row>
    <row r="118" ht="15.75" customHeight="1">
      <c r="B118" s="79"/>
      <c r="C118" s="2"/>
      <c r="D118" s="2"/>
      <c r="E118" s="2"/>
      <c r="F118" s="2"/>
      <c r="G118" s="62"/>
    </row>
    <row r="119" ht="15.75" customHeight="1">
      <c r="B119" s="79"/>
      <c r="C119" s="2"/>
      <c r="D119" s="2"/>
      <c r="E119" s="2"/>
      <c r="F119" s="2"/>
      <c r="G119" s="62"/>
    </row>
    <row r="120" ht="15.75" customHeight="1">
      <c r="B120" s="79"/>
      <c r="C120" s="2"/>
      <c r="D120" s="2"/>
      <c r="E120" s="2"/>
      <c r="F120" s="2"/>
      <c r="G120" s="62"/>
    </row>
    <row r="121" ht="15.75" customHeight="1">
      <c r="B121" s="79"/>
      <c r="C121" s="2"/>
      <c r="D121" s="2"/>
      <c r="E121" s="2"/>
      <c r="F121" s="2"/>
      <c r="G121" s="62"/>
    </row>
    <row r="122" ht="15.75" customHeight="1">
      <c r="B122" s="79"/>
      <c r="C122" s="2"/>
      <c r="D122" s="2"/>
      <c r="E122" s="2"/>
      <c r="F122" s="2"/>
      <c r="G122" s="62"/>
    </row>
    <row r="123" ht="15.75" customHeight="1">
      <c r="B123" s="79"/>
      <c r="C123" s="2"/>
      <c r="D123" s="2"/>
      <c r="E123" s="2"/>
      <c r="F123" s="2"/>
      <c r="G123" s="62"/>
    </row>
    <row r="124" ht="15.75" customHeight="1">
      <c r="B124" s="79"/>
      <c r="C124" s="2"/>
      <c r="D124" s="2"/>
      <c r="E124" s="2"/>
      <c r="F124" s="2"/>
      <c r="G124" s="62"/>
    </row>
    <row r="125" ht="15.75" customHeight="1">
      <c r="B125" s="79"/>
      <c r="C125" s="2"/>
      <c r="D125" s="2"/>
      <c r="E125" s="2"/>
      <c r="F125" s="2"/>
      <c r="G125" s="62"/>
    </row>
    <row r="126" ht="15.75" customHeight="1">
      <c r="B126" s="79"/>
      <c r="C126" s="2"/>
      <c r="D126" s="2"/>
      <c r="E126" s="2"/>
      <c r="F126" s="2"/>
      <c r="G126" s="62"/>
    </row>
    <row r="127" ht="15.75" customHeight="1">
      <c r="B127" s="79"/>
      <c r="C127" s="2"/>
      <c r="D127" s="2"/>
      <c r="E127" s="2"/>
      <c r="F127" s="2"/>
      <c r="G127" s="62"/>
    </row>
    <row r="128" ht="15.75" customHeight="1">
      <c r="B128" s="79"/>
      <c r="C128" s="2"/>
      <c r="D128" s="2"/>
      <c r="E128" s="2"/>
      <c r="F128" s="2"/>
      <c r="G128" s="62"/>
    </row>
    <row r="129" ht="15.75" customHeight="1">
      <c r="B129" s="79"/>
      <c r="C129" s="2"/>
      <c r="D129" s="2"/>
      <c r="E129" s="2"/>
      <c r="F129" s="2"/>
      <c r="G129" s="62"/>
    </row>
    <row r="130" ht="15.75" customHeight="1">
      <c r="B130" s="79"/>
      <c r="C130" s="2"/>
      <c r="D130" s="2"/>
      <c r="E130" s="2"/>
      <c r="F130" s="2"/>
      <c r="G130" s="62"/>
    </row>
    <row r="131" ht="15.75" customHeight="1">
      <c r="B131" s="79"/>
      <c r="C131" s="2"/>
      <c r="D131" s="2"/>
      <c r="E131" s="2"/>
      <c r="F131" s="2"/>
      <c r="G131" s="62"/>
    </row>
    <row r="132" ht="15.75" customHeight="1">
      <c r="B132" s="79"/>
      <c r="C132" s="2"/>
      <c r="D132" s="2"/>
      <c r="E132" s="2"/>
      <c r="F132" s="2"/>
      <c r="G132" s="62"/>
    </row>
    <row r="133" ht="15.75" customHeight="1">
      <c r="B133" s="79"/>
      <c r="C133" s="2"/>
      <c r="D133" s="2"/>
      <c r="E133" s="2"/>
      <c r="F133" s="2"/>
      <c r="G133" s="62"/>
    </row>
    <row r="134" ht="15.75" customHeight="1">
      <c r="B134" s="79"/>
      <c r="C134" s="2"/>
      <c r="D134" s="2"/>
      <c r="E134" s="2"/>
      <c r="F134" s="2"/>
      <c r="G134" s="62"/>
    </row>
    <row r="135" ht="15.75" customHeight="1">
      <c r="B135" s="79"/>
      <c r="C135" s="2"/>
      <c r="D135" s="2"/>
      <c r="E135" s="2"/>
      <c r="F135" s="2"/>
      <c r="G135" s="62"/>
    </row>
    <row r="136" ht="15.75" customHeight="1">
      <c r="B136" s="79"/>
      <c r="C136" s="2"/>
      <c r="D136" s="2"/>
      <c r="E136" s="2"/>
      <c r="F136" s="2"/>
      <c r="G136" s="62"/>
    </row>
    <row r="137" ht="15.75" customHeight="1">
      <c r="B137" s="79"/>
      <c r="C137" s="2"/>
      <c r="D137" s="2"/>
      <c r="E137" s="2"/>
      <c r="F137" s="2"/>
      <c r="G137" s="62"/>
    </row>
    <row r="138" ht="15.75" customHeight="1">
      <c r="B138" s="79"/>
      <c r="C138" s="2"/>
      <c r="D138" s="2"/>
      <c r="E138" s="2"/>
      <c r="F138" s="2"/>
      <c r="G138" s="62"/>
    </row>
    <row r="139" ht="15.75" customHeight="1">
      <c r="B139" s="79"/>
      <c r="C139" s="2"/>
      <c r="D139" s="2"/>
      <c r="E139" s="2"/>
      <c r="F139" s="2"/>
      <c r="G139" s="62"/>
    </row>
    <row r="140" ht="15.75" customHeight="1">
      <c r="B140" s="79"/>
      <c r="C140" s="2"/>
      <c r="D140" s="2"/>
      <c r="E140" s="2"/>
      <c r="F140" s="2"/>
      <c r="G140" s="62"/>
    </row>
    <row r="141" ht="15.75" customHeight="1">
      <c r="B141" s="79"/>
      <c r="C141" s="2"/>
      <c r="D141" s="2"/>
      <c r="E141" s="2"/>
      <c r="F141" s="2"/>
      <c r="G141" s="62"/>
    </row>
    <row r="142" ht="15.75" customHeight="1">
      <c r="B142" s="79"/>
      <c r="C142" s="2"/>
      <c r="D142" s="2"/>
      <c r="E142" s="2"/>
      <c r="F142" s="2"/>
      <c r="G142" s="62"/>
    </row>
    <row r="143" ht="15.75" customHeight="1">
      <c r="B143" s="79"/>
      <c r="C143" s="2"/>
      <c r="D143" s="2"/>
      <c r="E143" s="2"/>
      <c r="F143" s="2"/>
      <c r="G143" s="62"/>
    </row>
    <row r="144" ht="15.75" customHeight="1">
      <c r="B144" s="79"/>
      <c r="C144" s="2"/>
      <c r="D144" s="2"/>
      <c r="E144" s="2"/>
      <c r="F144" s="2"/>
      <c r="G144" s="62"/>
    </row>
    <row r="145" ht="15.75" customHeight="1">
      <c r="B145" s="79"/>
      <c r="C145" s="2"/>
      <c r="D145" s="2"/>
      <c r="E145" s="2"/>
      <c r="F145" s="2"/>
      <c r="G145" s="62"/>
    </row>
    <row r="146" ht="15.75" customHeight="1">
      <c r="B146" s="79"/>
      <c r="C146" s="2"/>
      <c r="D146" s="2"/>
      <c r="E146" s="2"/>
      <c r="F146" s="2"/>
      <c r="G146" s="62"/>
    </row>
    <row r="147" ht="15.75" customHeight="1">
      <c r="B147" s="79"/>
      <c r="C147" s="2"/>
      <c r="D147" s="2"/>
      <c r="E147" s="2"/>
      <c r="F147" s="2"/>
      <c r="G147" s="62"/>
    </row>
    <row r="148" ht="15.75" customHeight="1">
      <c r="B148" s="79"/>
      <c r="C148" s="2"/>
      <c r="D148" s="2"/>
      <c r="E148" s="2"/>
      <c r="F148" s="2"/>
      <c r="G148" s="62"/>
    </row>
    <row r="149" ht="15.75" customHeight="1">
      <c r="B149" s="79"/>
      <c r="C149" s="2"/>
      <c r="D149" s="2"/>
      <c r="E149" s="2"/>
      <c r="F149" s="2"/>
      <c r="G149" s="62"/>
    </row>
    <row r="150" ht="15.75" customHeight="1">
      <c r="B150" s="79"/>
      <c r="C150" s="2"/>
      <c r="D150" s="2"/>
      <c r="E150" s="2"/>
      <c r="F150" s="2"/>
      <c r="G150" s="62"/>
    </row>
    <row r="151" ht="15.75" customHeight="1">
      <c r="B151" s="79"/>
      <c r="C151" s="2"/>
      <c r="D151" s="2"/>
      <c r="E151" s="2"/>
      <c r="F151" s="2"/>
      <c r="G151" s="62"/>
    </row>
    <row r="152" ht="15.75" customHeight="1">
      <c r="B152" s="79"/>
      <c r="C152" s="2"/>
      <c r="D152" s="2"/>
      <c r="E152" s="2"/>
      <c r="F152" s="2"/>
      <c r="G152" s="62"/>
    </row>
    <row r="153" ht="15.75" customHeight="1">
      <c r="B153" s="79"/>
      <c r="C153" s="2"/>
      <c r="D153" s="2"/>
      <c r="E153" s="2"/>
      <c r="F153" s="2"/>
      <c r="G153" s="62"/>
    </row>
    <row r="154" ht="15.75" customHeight="1">
      <c r="B154" s="79"/>
      <c r="C154" s="2"/>
      <c r="D154" s="2"/>
      <c r="E154" s="2"/>
      <c r="F154" s="2"/>
      <c r="G154" s="62"/>
    </row>
    <row r="155" ht="15.75" customHeight="1">
      <c r="B155" s="79"/>
      <c r="C155" s="2"/>
      <c r="D155" s="2"/>
      <c r="E155" s="2"/>
      <c r="F155" s="2"/>
      <c r="G155" s="62"/>
    </row>
    <row r="156" ht="15.75" customHeight="1">
      <c r="B156" s="79"/>
      <c r="C156" s="2"/>
      <c r="D156" s="2"/>
      <c r="E156" s="2"/>
      <c r="F156" s="2"/>
      <c r="G156" s="62"/>
    </row>
    <row r="157" ht="15.75" customHeight="1">
      <c r="B157" s="79"/>
      <c r="C157" s="2"/>
      <c r="D157" s="2"/>
      <c r="E157" s="2"/>
      <c r="F157" s="2"/>
      <c r="G157" s="62"/>
    </row>
    <row r="158" ht="15.75" customHeight="1">
      <c r="B158" s="79"/>
      <c r="C158" s="2"/>
      <c r="D158" s="2"/>
      <c r="E158" s="2"/>
      <c r="F158" s="2"/>
      <c r="G158" s="62"/>
    </row>
    <row r="159" ht="15.75" customHeight="1">
      <c r="B159" s="79"/>
      <c r="C159" s="2"/>
      <c r="D159" s="2"/>
      <c r="E159" s="2"/>
      <c r="F159" s="2"/>
      <c r="G159" s="62"/>
    </row>
    <row r="160" ht="15.75" customHeight="1">
      <c r="B160" s="79"/>
      <c r="C160" s="2"/>
      <c r="D160" s="2"/>
      <c r="E160" s="2"/>
      <c r="F160" s="2"/>
      <c r="G160" s="62"/>
    </row>
    <row r="161" ht="15.75" customHeight="1">
      <c r="B161" s="79"/>
      <c r="C161" s="2"/>
      <c r="D161" s="2"/>
      <c r="E161" s="2"/>
      <c r="F161" s="2"/>
      <c r="G161" s="62"/>
    </row>
    <row r="162" ht="15.75" customHeight="1">
      <c r="B162" s="79"/>
      <c r="C162" s="2"/>
      <c r="D162" s="2"/>
      <c r="E162" s="2"/>
      <c r="F162" s="2"/>
      <c r="G162" s="62"/>
    </row>
    <row r="163" ht="15.75" customHeight="1">
      <c r="B163" s="79"/>
      <c r="C163" s="2"/>
      <c r="D163" s="2"/>
      <c r="E163" s="2"/>
      <c r="F163" s="2"/>
      <c r="G163" s="62"/>
    </row>
    <row r="164" ht="15.75" customHeight="1">
      <c r="B164" s="79"/>
      <c r="C164" s="2"/>
      <c r="D164" s="2"/>
      <c r="E164" s="2"/>
      <c r="F164" s="2"/>
      <c r="G164" s="62"/>
    </row>
    <row r="165" ht="15.75" customHeight="1">
      <c r="B165" s="79"/>
      <c r="C165" s="2"/>
      <c r="D165" s="2"/>
      <c r="E165" s="2"/>
      <c r="F165" s="2"/>
      <c r="G165" s="62"/>
    </row>
    <row r="166" ht="15.75" customHeight="1">
      <c r="B166" s="79"/>
      <c r="C166" s="2"/>
      <c r="D166" s="2"/>
      <c r="E166" s="2"/>
      <c r="F166" s="2"/>
      <c r="G166" s="62"/>
    </row>
    <row r="167" ht="15.75" customHeight="1">
      <c r="B167" s="79"/>
      <c r="C167" s="2"/>
      <c r="D167" s="2"/>
      <c r="E167" s="2"/>
      <c r="F167" s="2"/>
      <c r="G167" s="62"/>
    </row>
    <row r="168" ht="15.75" customHeight="1">
      <c r="B168" s="79"/>
      <c r="C168" s="2"/>
      <c r="D168" s="2"/>
      <c r="E168" s="2"/>
      <c r="F168" s="2"/>
      <c r="G168" s="62"/>
    </row>
    <row r="169" ht="15.75" customHeight="1">
      <c r="B169" s="79"/>
      <c r="C169" s="2"/>
      <c r="D169" s="2"/>
      <c r="E169" s="2"/>
      <c r="F169" s="2"/>
      <c r="G169" s="62"/>
    </row>
    <row r="170" ht="15.75" customHeight="1">
      <c r="B170" s="79"/>
      <c r="C170" s="2"/>
      <c r="D170" s="2"/>
      <c r="E170" s="2"/>
      <c r="F170" s="2"/>
      <c r="G170" s="62"/>
    </row>
    <row r="171" ht="15.75" customHeight="1">
      <c r="B171" s="79"/>
      <c r="C171" s="2"/>
      <c r="D171" s="2"/>
      <c r="E171" s="2"/>
      <c r="F171" s="2"/>
      <c r="G171" s="62"/>
    </row>
    <row r="172" ht="15.75" customHeight="1">
      <c r="B172" s="79"/>
      <c r="C172" s="2"/>
      <c r="D172" s="2"/>
      <c r="E172" s="2"/>
      <c r="F172" s="2"/>
      <c r="G172" s="62"/>
    </row>
    <row r="173" ht="15.75" customHeight="1">
      <c r="B173" s="79"/>
      <c r="C173" s="2"/>
      <c r="D173" s="2"/>
      <c r="E173" s="2"/>
      <c r="F173" s="2"/>
      <c r="G173" s="62"/>
    </row>
    <row r="174" ht="15.75" customHeight="1">
      <c r="B174" s="79"/>
      <c r="C174" s="2"/>
      <c r="D174" s="2"/>
      <c r="E174" s="2"/>
      <c r="F174" s="2"/>
      <c r="G174" s="62"/>
    </row>
    <row r="175" ht="15.75" customHeight="1">
      <c r="B175" s="79"/>
      <c r="C175" s="2"/>
      <c r="D175" s="2"/>
      <c r="E175" s="2"/>
      <c r="F175" s="2"/>
      <c r="G175" s="62"/>
    </row>
    <row r="176" ht="15.75" customHeight="1">
      <c r="B176" s="79"/>
      <c r="C176" s="2"/>
      <c r="D176" s="2"/>
      <c r="E176" s="2"/>
      <c r="F176" s="2"/>
      <c r="G176" s="62"/>
    </row>
    <row r="177" ht="15.75" customHeight="1">
      <c r="B177" s="79"/>
      <c r="C177" s="2"/>
      <c r="D177" s="2"/>
      <c r="E177" s="2"/>
      <c r="F177" s="2"/>
      <c r="G177" s="62"/>
    </row>
    <row r="178" ht="15.75" customHeight="1">
      <c r="B178" s="79"/>
      <c r="C178" s="2"/>
      <c r="D178" s="2"/>
      <c r="E178" s="2"/>
      <c r="F178" s="2"/>
      <c r="G178" s="62"/>
    </row>
    <row r="179" ht="15.75" customHeight="1">
      <c r="B179" s="79"/>
      <c r="C179" s="2"/>
      <c r="D179" s="2"/>
      <c r="E179" s="2"/>
      <c r="F179" s="2"/>
      <c r="G179" s="62"/>
    </row>
    <row r="180" ht="15.75" customHeight="1">
      <c r="B180" s="79"/>
      <c r="C180" s="2"/>
      <c r="D180" s="2"/>
      <c r="E180" s="2"/>
      <c r="F180" s="2"/>
      <c r="G180" s="62"/>
    </row>
    <row r="181" ht="15.75" customHeight="1">
      <c r="B181" s="79"/>
      <c r="C181" s="2"/>
      <c r="D181" s="2"/>
      <c r="E181" s="2"/>
      <c r="F181" s="2"/>
      <c r="G181" s="62"/>
    </row>
    <row r="182" ht="15.75" customHeight="1">
      <c r="B182" s="79"/>
      <c r="C182" s="2"/>
      <c r="D182" s="2"/>
      <c r="E182" s="2"/>
      <c r="F182" s="2"/>
      <c r="G182" s="62"/>
    </row>
    <row r="183" ht="15.75" customHeight="1">
      <c r="B183" s="79"/>
      <c r="C183" s="2"/>
      <c r="D183" s="2"/>
      <c r="E183" s="2"/>
      <c r="F183" s="2"/>
      <c r="G183" s="62"/>
    </row>
    <row r="184" ht="15.75" customHeight="1">
      <c r="B184" s="79"/>
      <c r="C184" s="2"/>
      <c r="D184" s="2"/>
      <c r="E184" s="2"/>
      <c r="F184" s="2"/>
      <c r="G184" s="62"/>
    </row>
    <row r="185" ht="15.75" customHeight="1">
      <c r="B185" s="79"/>
      <c r="C185" s="2"/>
      <c r="D185" s="2"/>
      <c r="E185" s="2"/>
      <c r="F185" s="2"/>
      <c r="G185" s="62"/>
    </row>
    <row r="186" ht="15.75" customHeight="1">
      <c r="B186" s="79"/>
      <c r="C186" s="2"/>
      <c r="D186" s="2"/>
      <c r="E186" s="2"/>
      <c r="F186" s="2"/>
      <c r="G186" s="62"/>
    </row>
    <row r="187" ht="15.75" customHeight="1">
      <c r="B187" s="79"/>
      <c r="C187" s="2"/>
      <c r="D187" s="2"/>
      <c r="E187" s="2"/>
      <c r="F187" s="2"/>
      <c r="G187" s="62"/>
    </row>
    <row r="188" ht="15.75" customHeight="1">
      <c r="B188" s="79"/>
      <c r="C188" s="2"/>
      <c r="D188" s="2"/>
      <c r="E188" s="2"/>
      <c r="F188" s="2"/>
      <c r="G188" s="62"/>
    </row>
    <row r="189" ht="15.75" customHeight="1">
      <c r="B189" s="79"/>
      <c r="C189" s="2"/>
      <c r="D189" s="2"/>
      <c r="E189" s="2"/>
      <c r="F189" s="2"/>
      <c r="G189" s="62"/>
    </row>
    <row r="190" ht="15.75" customHeight="1">
      <c r="B190" s="79"/>
      <c r="C190" s="2"/>
      <c r="D190" s="2"/>
      <c r="E190" s="2"/>
      <c r="F190" s="2"/>
      <c r="G190" s="62"/>
    </row>
    <row r="191" ht="15.75" customHeight="1">
      <c r="B191" s="79"/>
      <c r="C191" s="2"/>
      <c r="D191" s="2"/>
      <c r="E191" s="2"/>
      <c r="F191" s="2"/>
      <c r="G191" s="62"/>
    </row>
    <row r="192" ht="15.75" customHeight="1">
      <c r="B192" s="79"/>
      <c r="C192" s="2"/>
      <c r="D192" s="2"/>
      <c r="E192" s="2"/>
      <c r="F192" s="2"/>
      <c r="G192" s="62"/>
    </row>
    <row r="193" ht="15.75" customHeight="1">
      <c r="B193" s="79"/>
      <c r="C193" s="2"/>
      <c r="D193" s="2"/>
      <c r="E193" s="2"/>
      <c r="F193" s="2"/>
      <c r="G193" s="62"/>
    </row>
    <row r="194" ht="15.75" customHeight="1">
      <c r="B194" s="79"/>
      <c r="C194" s="2"/>
      <c r="D194" s="2"/>
      <c r="E194" s="2"/>
      <c r="F194" s="2"/>
      <c r="G194" s="62"/>
    </row>
    <row r="195" ht="15.75" customHeight="1">
      <c r="B195" s="79"/>
      <c r="C195" s="2"/>
      <c r="D195" s="2"/>
      <c r="E195" s="2"/>
      <c r="F195" s="2"/>
      <c r="G195" s="62"/>
    </row>
    <row r="196" ht="15.75" customHeight="1">
      <c r="B196" s="79"/>
      <c r="C196" s="2"/>
      <c r="D196" s="2"/>
      <c r="E196" s="2"/>
      <c r="F196" s="2"/>
      <c r="G196" s="62"/>
    </row>
    <row r="197" ht="15.75" customHeight="1">
      <c r="B197" s="79"/>
      <c r="C197" s="2"/>
      <c r="D197" s="2"/>
      <c r="E197" s="2"/>
      <c r="F197" s="2"/>
      <c r="G197" s="62"/>
    </row>
    <row r="198" ht="15.75" customHeight="1">
      <c r="B198" s="79"/>
      <c r="C198" s="2"/>
      <c r="D198" s="2"/>
      <c r="E198" s="2"/>
      <c r="F198" s="2"/>
      <c r="G198" s="62"/>
    </row>
    <row r="199" ht="15.75" customHeight="1">
      <c r="B199" s="79"/>
      <c r="C199" s="2"/>
      <c r="D199" s="2"/>
      <c r="E199" s="2"/>
      <c r="F199" s="2"/>
      <c r="G199" s="62"/>
    </row>
    <row r="200" ht="15.75" customHeight="1">
      <c r="B200" s="79"/>
      <c r="C200" s="2"/>
      <c r="D200" s="2"/>
      <c r="E200" s="2"/>
      <c r="F200" s="2"/>
      <c r="G200" s="62"/>
    </row>
    <row r="201" ht="15.75" customHeight="1">
      <c r="B201" s="79"/>
      <c r="C201" s="2"/>
      <c r="D201" s="2"/>
      <c r="E201" s="2"/>
      <c r="F201" s="2"/>
      <c r="G201" s="62"/>
    </row>
    <row r="202" ht="15.75" customHeight="1">
      <c r="B202" s="79"/>
      <c r="C202" s="2"/>
      <c r="D202" s="2"/>
      <c r="E202" s="2"/>
      <c r="F202" s="2"/>
      <c r="G202" s="62"/>
    </row>
    <row r="203" ht="15.75" customHeight="1">
      <c r="B203" s="79"/>
      <c r="C203" s="2"/>
      <c r="D203" s="2"/>
      <c r="E203" s="2"/>
      <c r="F203" s="2"/>
      <c r="G203" s="62"/>
    </row>
    <row r="204" ht="15.75" customHeight="1">
      <c r="B204" s="79"/>
      <c r="C204" s="2"/>
      <c r="D204" s="2"/>
      <c r="E204" s="2"/>
      <c r="F204" s="2"/>
      <c r="G204" s="62"/>
    </row>
    <row r="205" ht="15.75" customHeight="1">
      <c r="B205" s="79"/>
      <c r="C205" s="2"/>
      <c r="D205" s="2"/>
      <c r="E205" s="2"/>
      <c r="F205" s="2"/>
      <c r="G205" s="62"/>
    </row>
    <row r="206" ht="15.75" customHeight="1">
      <c r="B206" s="79"/>
      <c r="C206" s="2"/>
      <c r="D206" s="2"/>
      <c r="E206" s="2"/>
      <c r="F206" s="2"/>
      <c r="G206" s="62"/>
    </row>
    <row r="207" ht="15.75" customHeight="1">
      <c r="B207" s="79"/>
      <c r="C207" s="2"/>
      <c r="D207" s="2"/>
      <c r="E207" s="2"/>
      <c r="F207" s="2"/>
      <c r="G207" s="62"/>
    </row>
    <row r="208" ht="15.75" customHeight="1">
      <c r="B208" s="79"/>
      <c r="C208" s="2"/>
      <c r="D208" s="2"/>
      <c r="E208" s="2"/>
      <c r="F208" s="2"/>
      <c r="G208" s="62"/>
    </row>
    <row r="209" ht="15.75" customHeight="1">
      <c r="B209" s="79"/>
      <c r="C209" s="2"/>
      <c r="D209" s="2"/>
      <c r="E209" s="2"/>
      <c r="F209" s="2"/>
      <c r="G209" s="62"/>
    </row>
    <row r="210" ht="15.75" customHeight="1">
      <c r="B210" s="79"/>
      <c r="C210" s="2"/>
      <c r="D210" s="2"/>
      <c r="E210" s="2"/>
      <c r="F210" s="2"/>
      <c r="G210" s="62"/>
    </row>
    <row r="211" ht="15.75" customHeight="1">
      <c r="B211" s="79"/>
      <c r="C211" s="2"/>
      <c r="D211" s="2"/>
      <c r="E211" s="2"/>
      <c r="F211" s="2"/>
      <c r="G211" s="62"/>
    </row>
    <row r="212" ht="15.75" customHeight="1">
      <c r="B212" s="79"/>
      <c r="C212" s="2"/>
      <c r="D212" s="2"/>
      <c r="E212" s="2"/>
      <c r="F212" s="2"/>
      <c r="G212" s="62"/>
    </row>
    <row r="213" ht="15.75" customHeight="1">
      <c r="B213" s="79"/>
      <c r="C213" s="2"/>
      <c r="D213" s="2"/>
      <c r="E213" s="2"/>
      <c r="F213" s="2"/>
      <c r="G213" s="62"/>
    </row>
    <row r="214" ht="15.75" customHeight="1">
      <c r="B214" s="79"/>
      <c r="C214" s="2"/>
      <c r="D214" s="2"/>
      <c r="E214" s="2"/>
      <c r="F214" s="2"/>
      <c r="G214" s="62"/>
    </row>
    <row r="215" ht="15.75" customHeight="1">
      <c r="B215" s="79"/>
      <c r="C215" s="2"/>
      <c r="D215" s="2"/>
      <c r="E215" s="2"/>
      <c r="F215" s="2"/>
      <c r="G215" s="62"/>
    </row>
    <row r="216" ht="15.75" customHeight="1">
      <c r="B216" s="79"/>
      <c r="C216" s="2"/>
      <c r="D216" s="2"/>
      <c r="E216" s="2"/>
      <c r="F216" s="2"/>
      <c r="G216" s="62"/>
    </row>
    <row r="217" ht="15.75" customHeight="1">
      <c r="B217" s="79"/>
      <c r="C217" s="2"/>
      <c r="D217" s="2"/>
      <c r="E217" s="2"/>
      <c r="F217" s="2"/>
      <c r="G217" s="62"/>
    </row>
    <row r="218" ht="15.75" customHeight="1">
      <c r="B218" s="79"/>
      <c r="C218" s="2"/>
      <c r="D218" s="2"/>
      <c r="E218" s="2"/>
      <c r="F218" s="2"/>
      <c r="G218" s="62"/>
    </row>
    <row r="219" ht="15.75" customHeight="1">
      <c r="B219" s="79"/>
      <c r="C219" s="2"/>
      <c r="D219" s="2"/>
      <c r="E219" s="2"/>
      <c r="F219" s="2"/>
      <c r="G219" s="62"/>
    </row>
    <row r="220" ht="15.75" customHeight="1">
      <c r="B220" s="79"/>
      <c r="C220" s="2"/>
      <c r="D220" s="2"/>
      <c r="E220" s="2"/>
      <c r="F220" s="2"/>
      <c r="G220" s="62"/>
    </row>
    <row r="221" ht="15.75" customHeight="1">
      <c r="B221" s="79"/>
      <c r="C221" s="2"/>
      <c r="D221" s="2"/>
      <c r="E221" s="2"/>
      <c r="F221" s="2"/>
      <c r="G221" s="62"/>
    </row>
    <row r="222" ht="15.75" customHeight="1">
      <c r="B222" s="79"/>
      <c r="C222" s="2"/>
      <c r="D222" s="2"/>
      <c r="E222" s="2"/>
      <c r="F222" s="2"/>
      <c r="G222" s="62"/>
    </row>
    <row r="223" ht="15.75" customHeight="1">
      <c r="B223" s="79"/>
      <c r="C223" s="2"/>
      <c r="D223" s="2"/>
      <c r="E223" s="2"/>
      <c r="F223" s="2"/>
      <c r="G223" s="62"/>
    </row>
    <row r="224" ht="15.75" customHeight="1">
      <c r="B224" s="79"/>
      <c r="C224" s="2"/>
      <c r="D224" s="2"/>
      <c r="E224" s="2"/>
      <c r="F224" s="2"/>
      <c r="G224" s="62"/>
    </row>
    <row r="225" ht="15.75" customHeight="1">
      <c r="B225" s="79"/>
      <c r="C225" s="2"/>
      <c r="D225" s="2"/>
      <c r="E225" s="2"/>
      <c r="F225" s="2"/>
      <c r="G225" s="62"/>
    </row>
    <row r="226" ht="15.75" customHeight="1">
      <c r="B226" s="79"/>
      <c r="C226" s="2"/>
      <c r="D226" s="2"/>
      <c r="E226" s="2"/>
      <c r="F226" s="2"/>
      <c r="G226" s="62"/>
    </row>
    <row r="227" ht="15.75" customHeight="1">
      <c r="B227" s="79"/>
      <c r="C227" s="2"/>
      <c r="D227" s="2"/>
      <c r="E227" s="2"/>
      <c r="F227" s="2"/>
      <c r="G227" s="62"/>
    </row>
    <row r="228" ht="15.75" customHeight="1">
      <c r="B228" s="79"/>
      <c r="C228" s="2"/>
      <c r="D228" s="2"/>
      <c r="E228" s="2"/>
      <c r="F228" s="2"/>
      <c r="G228" s="62"/>
    </row>
    <row r="229" ht="15.75" customHeight="1">
      <c r="B229" s="79"/>
      <c r="C229" s="2"/>
      <c r="D229" s="2"/>
      <c r="E229" s="2"/>
      <c r="F229" s="2"/>
      <c r="G229" s="62"/>
    </row>
    <row r="230" ht="15.75" customHeight="1">
      <c r="B230" s="79"/>
      <c r="C230" s="2"/>
      <c r="D230" s="2"/>
      <c r="E230" s="2"/>
      <c r="F230" s="2"/>
      <c r="G230" s="62"/>
    </row>
    <row r="231" ht="15.75" customHeight="1">
      <c r="B231" s="79"/>
      <c r="C231" s="2"/>
      <c r="D231" s="2"/>
      <c r="E231" s="2"/>
      <c r="F231" s="2"/>
      <c r="G231" s="62"/>
    </row>
    <row r="232" ht="15.75" customHeight="1">
      <c r="B232" s="79"/>
      <c r="C232" s="2"/>
      <c r="D232" s="2"/>
      <c r="E232" s="2"/>
      <c r="F232" s="2"/>
      <c r="G232" s="62"/>
    </row>
    <row r="233" ht="15.75" customHeight="1">
      <c r="B233" s="79"/>
      <c r="C233" s="2"/>
      <c r="D233" s="2"/>
      <c r="E233" s="2"/>
      <c r="F233" s="2"/>
      <c r="G233" s="62"/>
    </row>
    <row r="234" ht="15.75" customHeight="1">
      <c r="B234" s="79"/>
      <c r="C234" s="2"/>
      <c r="D234" s="2"/>
      <c r="E234" s="2"/>
      <c r="F234" s="2"/>
      <c r="G234" s="62"/>
    </row>
    <row r="235" ht="15.75" customHeight="1">
      <c r="B235" s="79"/>
      <c r="C235" s="2"/>
      <c r="D235" s="2"/>
      <c r="E235" s="2"/>
      <c r="F235" s="2"/>
      <c r="G235" s="62"/>
    </row>
    <row r="236" ht="15.75" customHeight="1">
      <c r="B236" s="79"/>
      <c r="C236" s="2"/>
      <c r="D236" s="2"/>
      <c r="E236" s="2"/>
      <c r="F236" s="2"/>
      <c r="G236" s="62"/>
    </row>
    <row r="237" ht="15.75" customHeight="1">
      <c r="B237" s="79"/>
      <c r="C237" s="2"/>
      <c r="D237" s="2"/>
      <c r="E237" s="2"/>
      <c r="F237" s="2"/>
      <c r="G237" s="62"/>
    </row>
    <row r="238" ht="15.75" customHeight="1">
      <c r="B238" s="79"/>
      <c r="C238" s="2"/>
      <c r="D238" s="2"/>
      <c r="E238" s="2"/>
      <c r="F238" s="2"/>
      <c r="G238" s="62"/>
    </row>
    <row r="239" ht="15.75" customHeight="1">
      <c r="B239" s="79"/>
      <c r="C239" s="2"/>
      <c r="D239" s="2"/>
      <c r="E239" s="2"/>
      <c r="F239" s="2"/>
      <c r="G239" s="62"/>
    </row>
    <row r="240" ht="15.75" customHeight="1">
      <c r="B240" s="79"/>
      <c r="C240" s="2"/>
      <c r="D240" s="2"/>
      <c r="E240" s="2"/>
      <c r="F240" s="2"/>
      <c r="G240" s="62"/>
    </row>
    <row r="241" ht="15.75" customHeight="1">
      <c r="B241" s="79"/>
      <c r="C241" s="2"/>
      <c r="D241" s="2"/>
      <c r="E241" s="2"/>
      <c r="F241" s="2"/>
      <c r="G241" s="62"/>
    </row>
    <row r="242" ht="15.75" customHeight="1">
      <c r="B242" s="79"/>
      <c r="C242" s="2"/>
      <c r="D242" s="2"/>
      <c r="E242" s="2"/>
      <c r="F242" s="2"/>
      <c r="G242" s="62"/>
    </row>
    <row r="243" ht="15.75" customHeight="1">
      <c r="B243" s="79"/>
      <c r="C243" s="2"/>
      <c r="D243" s="2"/>
      <c r="E243" s="2"/>
      <c r="F243" s="2"/>
      <c r="G243" s="62"/>
    </row>
    <row r="244" ht="15.75" customHeight="1">
      <c r="B244" s="79"/>
      <c r="C244" s="2"/>
      <c r="D244" s="2"/>
      <c r="E244" s="2"/>
      <c r="F244" s="2"/>
      <c r="G244" s="62"/>
    </row>
    <row r="245" ht="15.75" customHeight="1">
      <c r="B245" s="79"/>
      <c r="C245" s="2"/>
      <c r="D245" s="2"/>
      <c r="E245" s="2"/>
      <c r="F245" s="2"/>
      <c r="G245" s="62"/>
    </row>
    <row r="246" ht="15.75" customHeight="1">
      <c r="B246" s="79"/>
      <c r="C246" s="2"/>
      <c r="D246" s="2"/>
      <c r="E246" s="2"/>
      <c r="F246" s="2"/>
      <c r="G246" s="62"/>
    </row>
    <row r="247" ht="15.75" customHeight="1">
      <c r="B247" s="79"/>
      <c r="C247" s="2"/>
      <c r="D247" s="2"/>
      <c r="E247" s="2"/>
      <c r="F247" s="2"/>
      <c r="G247" s="62"/>
    </row>
    <row r="248" ht="15.75" customHeight="1">
      <c r="B248" s="79"/>
      <c r="C248" s="2"/>
      <c r="D248" s="2"/>
      <c r="E248" s="2"/>
      <c r="F248" s="2"/>
      <c r="G248" s="62"/>
    </row>
    <row r="249" ht="15.75" customHeight="1">
      <c r="B249" s="79"/>
      <c r="C249" s="2"/>
      <c r="D249" s="2"/>
      <c r="E249" s="2"/>
      <c r="F249" s="2"/>
      <c r="G249" s="62"/>
    </row>
    <row r="250" ht="15.75" customHeight="1">
      <c r="B250" s="79"/>
      <c r="C250" s="2"/>
      <c r="D250" s="2"/>
      <c r="E250" s="2"/>
      <c r="F250" s="2"/>
      <c r="G250" s="62"/>
    </row>
    <row r="251" ht="15.75" customHeight="1">
      <c r="B251" s="79"/>
      <c r="C251" s="2"/>
      <c r="D251" s="2"/>
      <c r="E251" s="2"/>
      <c r="F251" s="2"/>
      <c r="G251" s="62"/>
    </row>
    <row r="252" ht="15.75" customHeight="1">
      <c r="B252" s="79"/>
      <c r="C252" s="2"/>
      <c r="D252" s="2"/>
      <c r="E252" s="2"/>
      <c r="F252" s="2"/>
      <c r="G252" s="62"/>
    </row>
    <row r="253" ht="15.75" customHeight="1">
      <c r="B253" s="79"/>
      <c r="C253" s="2"/>
      <c r="D253" s="2"/>
      <c r="E253" s="2"/>
      <c r="F253" s="2"/>
      <c r="G253" s="62"/>
    </row>
    <row r="254" ht="15.75" customHeight="1">
      <c r="B254" s="79"/>
      <c r="C254" s="2"/>
      <c r="D254" s="2"/>
      <c r="E254" s="2"/>
      <c r="F254" s="2"/>
      <c r="G254" s="62"/>
    </row>
    <row r="255" ht="15.75" customHeight="1">
      <c r="B255" s="79"/>
      <c r="C255" s="2"/>
      <c r="D255" s="2"/>
      <c r="E255" s="2"/>
      <c r="F255" s="2"/>
      <c r="G255" s="62"/>
    </row>
    <row r="256" ht="15.75" customHeight="1">
      <c r="B256" s="79"/>
      <c r="C256" s="2"/>
      <c r="D256" s="2"/>
      <c r="E256" s="2"/>
      <c r="F256" s="2"/>
      <c r="G256" s="62"/>
    </row>
    <row r="257" ht="15.75" customHeight="1">
      <c r="B257" s="79"/>
      <c r="C257" s="2"/>
      <c r="D257" s="2"/>
      <c r="E257" s="2"/>
      <c r="F257" s="2"/>
      <c r="G257" s="62"/>
    </row>
    <row r="258" ht="15.75" customHeight="1">
      <c r="B258" s="79"/>
      <c r="C258" s="2"/>
      <c r="D258" s="2"/>
      <c r="E258" s="2"/>
      <c r="F258" s="2"/>
      <c r="G258" s="62"/>
    </row>
    <row r="259" ht="15.75" customHeight="1">
      <c r="B259" s="79"/>
      <c r="C259" s="2"/>
      <c r="D259" s="2"/>
      <c r="E259" s="2"/>
      <c r="F259" s="2"/>
      <c r="G259" s="62"/>
    </row>
    <row r="260" ht="15.75" customHeight="1">
      <c r="B260" s="79"/>
      <c r="C260" s="2"/>
      <c r="D260" s="2"/>
      <c r="E260" s="2"/>
      <c r="F260" s="2"/>
      <c r="G260" s="62"/>
    </row>
    <row r="261" ht="15.75" customHeight="1">
      <c r="B261" s="79"/>
      <c r="C261" s="2"/>
      <c r="D261" s="2"/>
      <c r="E261" s="2"/>
      <c r="F261" s="2"/>
      <c r="G261" s="62"/>
    </row>
    <row r="262" ht="15.75" customHeight="1">
      <c r="B262" s="79"/>
      <c r="C262" s="2"/>
      <c r="D262" s="2"/>
      <c r="E262" s="2"/>
      <c r="F262" s="2"/>
      <c r="G262" s="62"/>
    </row>
    <row r="263" ht="15.75" customHeight="1">
      <c r="B263" s="79"/>
      <c r="C263" s="2"/>
      <c r="D263" s="2"/>
      <c r="E263" s="2"/>
      <c r="F263" s="2"/>
      <c r="G263" s="62"/>
    </row>
    <row r="264" ht="15.75" customHeight="1">
      <c r="B264" s="79"/>
      <c r="C264" s="2"/>
      <c r="D264" s="2"/>
      <c r="E264" s="2"/>
      <c r="F264" s="2"/>
      <c r="G264" s="62"/>
    </row>
    <row r="265" ht="15.75" customHeight="1">
      <c r="B265" s="79"/>
      <c r="C265" s="2"/>
      <c r="D265" s="2"/>
      <c r="E265" s="2"/>
      <c r="F265" s="2"/>
      <c r="G265" s="62"/>
    </row>
    <row r="266" ht="15.75" customHeight="1">
      <c r="B266" s="79"/>
      <c r="C266" s="2"/>
      <c r="D266" s="2"/>
      <c r="E266" s="2"/>
      <c r="F266" s="2"/>
      <c r="G266" s="62"/>
    </row>
    <row r="267" ht="15.75" customHeight="1">
      <c r="B267" s="79"/>
      <c r="C267" s="2"/>
      <c r="D267" s="2"/>
      <c r="E267" s="2"/>
      <c r="F267" s="2"/>
      <c r="G267" s="62"/>
    </row>
    <row r="268" ht="15.75" customHeight="1">
      <c r="B268" s="79"/>
      <c r="C268" s="2"/>
      <c r="D268" s="2"/>
      <c r="E268" s="2"/>
      <c r="F268" s="2"/>
      <c r="G268" s="62"/>
    </row>
    <row r="269" ht="15.75" customHeight="1">
      <c r="B269" s="79"/>
      <c r="C269" s="2"/>
      <c r="D269" s="2"/>
      <c r="E269" s="2"/>
      <c r="F269" s="2"/>
      <c r="G269" s="62"/>
    </row>
    <row r="270" ht="15.75" customHeight="1">
      <c r="B270" s="79"/>
      <c r="C270" s="2"/>
      <c r="D270" s="2"/>
      <c r="E270" s="2"/>
      <c r="F270" s="2"/>
      <c r="G270" s="62"/>
    </row>
    <row r="271" ht="15.75" customHeight="1">
      <c r="B271" s="79"/>
      <c r="C271" s="2"/>
      <c r="D271" s="2"/>
      <c r="E271" s="2"/>
      <c r="F271" s="2"/>
      <c r="G271" s="62"/>
    </row>
    <row r="272" ht="15.75" customHeight="1">
      <c r="B272" s="79"/>
      <c r="C272" s="2"/>
      <c r="D272" s="2"/>
      <c r="E272" s="2"/>
      <c r="F272" s="2"/>
      <c r="G272" s="62"/>
    </row>
    <row r="273" ht="15.75" customHeight="1">
      <c r="B273" s="79"/>
      <c r="C273" s="2"/>
      <c r="D273" s="2"/>
      <c r="E273" s="2"/>
      <c r="F273" s="2"/>
      <c r="G273" s="62"/>
    </row>
    <row r="274" ht="15.75" customHeight="1">
      <c r="B274" s="79"/>
      <c r="C274" s="2"/>
      <c r="D274" s="2"/>
      <c r="E274" s="2"/>
      <c r="F274" s="2"/>
      <c r="G274" s="62"/>
    </row>
    <row r="275" ht="15.75" customHeight="1">
      <c r="B275" s="79"/>
      <c r="C275" s="2"/>
      <c r="D275" s="2"/>
      <c r="E275" s="2"/>
      <c r="F275" s="2"/>
      <c r="G275" s="62"/>
    </row>
    <row r="276" ht="15.75" customHeight="1">
      <c r="B276" s="79"/>
      <c r="C276" s="2"/>
      <c r="D276" s="2"/>
      <c r="E276" s="2"/>
      <c r="F276" s="2"/>
      <c r="G276" s="62"/>
    </row>
    <row r="277" ht="15.75" customHeight="1">
      <c r="B277" s="79"/>
      <c r="C277" s="2"/>
      <c r="D277" s="2"/>
      <c r="E277" s="2"/>
      <c r="F277" s="2"/>
      <c r="G277" s="62"/>
    </row>
    <row r="278" ht="15.75" customHeight="1">
      <c r="B278" s="79"/>
      <c r="C278" s="2"/>
      <c r="D278" s="2"/>
      <c r="E278" s="2"/>
      <c r="F278" s="2"/>
      <c r="G278" s="62"/>
    </row>
    <row r="279" ht="15.75" customHeight="1">
      <c r="B279" s="79"/>
      <c r="C279" s="2"/>
      <c r="D279" s="2"/>
      <c r="E279" s="2"/>
      <c r="F279" s="2"/>
      <c r="G279" s="62"/>
    </row>
    <row r="280" ht="15.75" customHeight="1">
      <c r="B280" s="79"/>
      <c r="C280" s="2"/>
      <c r="D280" s="2"/>
      <c r="E280" s="2"/>
      <c r="F280" s="2"/>
      <c r="G280" s="62"/>
    </row>
    <row r="281" ht="15.75" customHeight="1">
      <c r="B281" s="79"/>
      <c r="C281" s="2"/>
      <c r="D281" s="2"/>
      <c r="E281" s="2"/>
      <c r="F281" s="2"/>
      <c r="G281" s="62"/>
    </row>
    <row r="282" ht="15.75" customHeight="1">
      <c r="B282" s="79"/>
      <c r="C282" s="2"/>
      <c r="D282" s="2"/>
      <c r="E282" s="2"/>
      <c r="F282" s="2"/>
      <c r="G282" s="62"/>
    </row>
    <row r="283" ht="15.75" customHeight="1">
      <c r="B283" s="79"/>
      <c r="C283" s="2"/>
      <c r="D283" s="2"/>
      <c r="E283" s="2"/>
      <c r="F283" s="2"/>
      <c r="G283" s="62"/>
    </row>
    <row r="284" ht="15.75" customHeight="1">
      <c r="B284" s="79"/>
      <c r="C284" s="2"/>
      <c r="D284" s="2"/>
      <c r="E284" s="2"/>
      <c r="F284" s="2"/>
      <c r="G284" s="62"/>
    </row>
    <row r="285" ht="15.75" customHeight="1">
      <c r="B285" s="79"/>
      <c r="C285" s="2"/>
      <c r="D285" s="2"/>
      <c r="E285" s="2"/>
      <c r="F285" s="2"/>
      <c r="G285" s="62"/>
    </row>
    <row r="286" ht="15.75" customHeight="1">
      <c r="B286" s="79"/>
      <c r="C286" s="2"/>
      <c r="D286" s="2"/>
      <c r="E286" s="2"/>
      <c r="F286" s="2"/>
      <c r="G286" s="62"/>
    </row>
    <row r="287" ht="15.75" customHeight="1">
      <c r="B287" s="79"/>
      <c r="C287" s="2"/>
      <c r="D287" s="2"/>
      <c r="E287" s="2"/>
      <c r="F287" s="2"/>
      <c r="G287" s="62"/>
    </row>
    <row r="288" ht="15.75" customHeight="1">
      <c r="B288" s="79"/>
      <c r="C288" s="2"/>
      <c r="D288" s="2"/>
      <c r="E288" s="2"/>
      <c r="F288" s="2"/>
      <c r="G288" s="62"/>
    </row>
    <row r="289" ht="15.75" customHeight="1">
      <c r="B289" s="79"/>
      <c r="C289" s="2"/>
      <c r="D289" s="2"/>
      <c r="E289" s="2"/>
      <c r="F289" s="2"/>
      <c r="G289" s="62"/>
    </row>
    <row r="290" ht="15.75" customHeight="1">
      <c r="B290" s="79"/>
      <c r="C290" s="2"/>
      <c r="D290" s="2"/>
      <c r="E290" s="2"/>
      <c r="F290" s="2"/>
      <c r="G290" s="62"/>
    </row>
    <row r="291" ht="15.75" customHeight="1">
      <c r="B291" s="79"/>
      <c r="C291" s="2"/>
      <c r="D291" s="2"/>
      <c r="E291" s="2"/>
      <c r="F291" s="2"/>
      <c r="G291" s="62"/>
    </row>
    <row r="292" ht="15.75" customHeight="1">
      <c r="B292" s="79"/>
      <c r="C292" s="2"/>
      <c r="D292" s="2"/>
      <c r="E292" s="2"/>
      <c r="F292" s="2"/>
      <c r="G292" s="62"/>
    </row>
    <row r="293" ht="15.75" customHeight="1">
      <c r="B293" s="79"/>
      <c r="C293" s="2"/>
      <c r="D293" s="2"/>
      <c r="E293" s="2"/>
      <c r="F293" s="2"/>
      <c r="G293" s="62"/>
    </row>
    <row r="294" ht="15.75" customHeight="1">
      <c r="B294" s="79"/>
      <c r="C294" s="2"/>
      <c r="D294" s="2"/>
      <c r="E294" s="2"/>
      <c r="F294" s="2"/>
      <c r="G294" s="62"/>
    </row>
    <row r="295" ht="15.75" customHeight="1">
      <c r="B295" s="79"/>
      <c r="C295" s="2"/>
      <c r="D295" s="2"/>
      <c r="E295" s="2"/>
      <c r="F295" s="2"/>
      <c r="G295" s="62"/>
    </row>
    <row r="296" ht="15.75" customHeight="1">
      <c r="B296" s="79"/>
      <c r="C296" s="2"/>
      <c r="D296" s="2"/>
      <c r="E296" s="2"/>
      <c r="F296" s="2"/>
      <c r="G296" s="62"/>
    </row>
    <row r="297" ht="15.75" customHeight="1">
      <c r="B297" s="79"/>
      <c r="C297" s="2"/>
      <c r="D297" s="2"/>
      <c r="E297" s="2"/>
      <c r="F297" s="2"/>
      <c r="G297" s="62"/>
    </row>
    <row r="298" ht="15.75" customHeight="1">
      <c r="B298" s="79"/>
      <c r="C298" s="2"/>
      <c r="D298" s="2"/>
      <c r="E298" s="2"/>
      <c r="F298" s="2"/>
      <c r="G298" s="62"/>
    </row>
    <row r="299" ht="15.75" customHeight="1">
      <c r="B299" s="79"/>
      <c r="C299" s="2"/>
      <c r="D299" s="2"/>
      <c r="E299" s="2"/>
      <c r="F299" s="2"/>
      <c r="G299" s="62"/>
    </row>
    <row r="300" ht="15.75" customHeight="1">
      <c r="B300" s="79"/>
      <c r="C300" s="2"/>
      <c r="D300" s="2"/>
      <c r="E300" s="2"/>
      <c r="F300" s="2"/>
      <c r="G300" s="62"/>
    </row>
    <row r="301" ht="15.75" customHeight="1">
      <c r="B301" s="79"/>
      <c r="C301" s="2"/>
      <c r="D301" s="2"/>
      <c r="E301" s="2"/>
      <c r="F301" s="2"/>
      <c r="G301" s="62"/>
    </row>
    <row r="302" ht="15.75" customHeight="1">
      <c r="B302" s="79"/>
      <c r="C302" s="2"/>
      <c r="D302" s="2"/>
      <c r="E302" s="2"/>
      <c r="F302" s="2"/>
      <c r="G302" s="62"/>
    </row>
    <row r="303" ht="15.75" customHeight="1">
      <c r="B303" s="79"/>
      <c r="C303" s="2"/>
      <c r="D303" s="2"/>
      <c r="E303" s="2"/>
      <c r="F303" s="2"/>
      <c r="G303" s="62"/>
    </row>
    <row r="304" ht="15.75" customHeight="1">
      <c r="B304" s="79"/>
      <c r="C304" s="2"/>
      <c r="D304" s="2"/>
      <c r="E304" s="2"/>
      <c r="F304" s="2"/>
      <c r="G304" s="62"/>
    </row>
    <row r="305" ht="15.75" customHeight="1">
      <c r="B305" s="79"/>
      <c r="C305" s="2"/>
      <c r="D305" s="2"/>
      <c r="E305" s="2"/>
      <c r="F305" s="2"/>
      <c r="G305" s="62"/>
    </row>
    <row r="306" ht="15.75" customHeight="1">
      <c r="B306" s="79"/>
      <c r="C306" s="2"/>
      <c r="D306" s="2"/>
      <c r="E306" s="2"/>
      <c r="F306" s="2"/>
      <c r="G306" s="62"/>
    </row>
    <row r="307" ht="15.75" customHeight="1">
      <c r="B307" s="79"/>
      <c r="C307" s="2"/>
      <c r="D307" s="2"/>
      <c r="E307" s="2"/>
      <c r="F307" s="2"/>
      <c r="G307" s="62"/>
    </row>
    <row r="308" ht="15.75" customHeight="1">
      <c r="B308" s="79"/>
      <c r="C308" s="2"/>
      <c r="D308" s="2"/>
      <c r="E308" s="2"/>
      <c r="F308" s="2"/>
      <c r="G308" s="62"/>
    </row>
    <row r="309" ht="15.75" customHeight="1">
      <c r="B309" s="79"/>
      <c r="C309" s="2"/>
      <c r="D309" s="2"/>
      <c r="E309" s="2"/>
      <c r="F309" s="2"/>
      <c r="G309" s="62"/>
    </row>
    <row r="310" ht="15.75" customHeight="1">
      <c r="B310" s="79"/>
      <c r="C310" s="2"/>
      <c r="D310" s="2"/>
      <c r="E310" s="2"/>
      <c r="F310" s="2"/>
      <c r="G310" s="62"/>
    </row>
    <row r="311" ht="15.75" customHeight="1">
      <c r="B311" s="79"/>
      <c r="C311" s="2"/>
      <c r="D311" s="2"/>
      <c r="E311" s="2"/>
      <c r="F311" s="2"/>
      <c r="G311" s="62"/>
    </row>
    <row r="312" ht="15.75" customHeight="1">
      <c r="B312" s="79"/>
      <c r="C312" s="2"/>
      <c r="D312" s="2"/>
      <c r="E312" s="2"/>
      <c r="F312" s="2"/>
      <c r="G312" s="62"/>
    </row>
    <row r="313" ht="15.75" customHeight="1">
      <c r="B313" s="79"/>
      <c r="C313" s="2"/>
      <c r="D313" s="2"/>
      <c r="E313" s="2"/>
      <c r="F313" s="2"/>
      <c r="G313" s="62"/>
    </row>
    <row r="314" ht="15.75" customHeight="1">
      <c r="B314" s="79"/>
      <c r="C314" s="2"/>
      <c r="D314" s="2"/>
      <c r="E314" s="2"/>
      <c r="F314" s="2"/>
      <c r="G314" s="62"/>
    </row>
    <row r="315" ht="15.75" customHeight="1">
      <c r="B315" s="79"/>
      <c r="C315" s="2"/>
      <c r="D315" s="2"/>
      <c r="E315" s="2"/>
      <c r="F315" s="2"/>
      <c r="G315" s="62"/>
    </row>
    <row r="316" ht="15.75" customHeight="1">
      <c r="B316" s="79"/>
      <c r="C316" s="2"/>
      <c r="D316" s="2"/>
      <c r="E316" s="2"/>
      <c r="F316" s="2"/>
      <c r="G316" s="62"/>
    </row>
    <row r="317" ht="15.75" customHeight="1">
      <c r="B317" s="79"/>
      <c r="C317" s="2"/>
      <c r="D317" s="2"/>
      <c r="E317" s="2"/>
      <c r="F317" s="2"/>
      <c r="G317" s="62"/>
    </row>
    <row r="318" ht="15.75" customHeight="1">
      <c r="B318" s="79"/>
      <c r="C318" s="2"/>
      <c r="D318" s="2"/>
      <c r="E318" s="2"/>
      <c r="F318" s="2"/>
      <c r="G318" s="62"/>
    </row>
    <row r="319" ht="15.75" customHeight="1">
      <c r="B319" s="79"/>
      <c r="C319" s="2"/>
      <c r="D319" s="2"/>
      <c r="E319" s="2"/>
      <c r="F319" s="2"/>
      <c r="G319" s="62"/>
    </row>
    <row r="320" ht="15.75" customHeight="1">
      <c r="B320" s="79"/>
      <c r="C320" s="2"/>
      <c r="D320" s="2"/>
      <c r="E320" s="2"/>
      <c r="F320" s="2"/>
      <c r="G320" s="62"/>
    </row>
    <row r="321" ht="15.75" customHeight="1">
      <c r="B321" s="79"/>
      <c r="C321" s="2"/>
      <c r="D321" s="2"/>
      <c r="E321" s="2"/>
      <c r="F321" s="2"/>
      <c r="G321" s="62"/>
    </row>
    <row r="322" ht="15.75" customHeight="1">
      <c r="B322" s="79"/>
      <c r="C322" s="2"/>
      <c r="D322" s="2"/>
      <c r="E322" s="2"/>
      <c r="F322" s="2"/>
      <c r="G322" s="62"/>
    </row>
    <row r="323" ht="15.75" customHeight="1">
      <c r="B323" s="79"/>
      <c r="C323" s="2"/>
      <c r="D323" s="2"/>
      <c r="E323" s="2"/>
      <c r="F323" s="2"/>
      <c r="G323" s="62"/>
    </row>
    <row r="324" ht="15.75" customHeight="1">
      <c r="B324" s="79"/>
      <c r="C324" s="2"/>
      <c r="D324" s="2"/>
      <c r="E324" s="2"/>
      <c r="F324" s="2"/>
      <c r="G324" s="62"/>
    </row>
    <row r="325" ht="15.75" customHeight="1">
      <c r="B325" s="79"/>
      <c r="C325" s="2"/>
      <c r="D325" s="2"/>
      <c r="E325" s="2"/>
      <c r="F325" s="2"/>
      <c r="G325" s="62"/>
    </row>
    <row r="326" ht="15.75" customHeight="1">
      <c r="B326" s="79"/>
      <c r="C326" s="2"/>
      <c r="D326" s="2"/>
      <c r="E326" s="2"/>
      <c r="F326" s="2"/>
      <c r="G326" s="62"/>
    </row>
    <row r="327" ht="15.75" customHeight="1">
      <c r="B327" s="79"/>
      <c r="C327" s="2"/>
      <c r="D327" s="2"/>
      <c r="E327" s="2"/>
      <c r="F327" s="2"/>
      <c r="G327" s="62"/>
    </row>
    <row r="328" ht="15.75" customHeight="1">
      <c r="B328" s="79"/>
      <c r="C328" s="2"/>
      <c r="D328" s="2"/>
      <c r="E328" s="2"/>
      <c r="F328" s="2"/>
      <c r="G328" s="62"/>
    </row>
    <row r="329" ht="15.75" customHeight="1">
      <c r="B329" s="79"/>
      <c r="C329" s="2"/>
      <c r="D329" s="2"/>
      <c r="E329" s="2"/>
      <c r="F329" s="2"/>
      <c r="G329" s="62"/>
    </row>
    <row r="330" ht="15.75" customHeight="1">
      <c r="B330" s="79"/>
      <c r="C330" s="2"/>
      <c r="D330" s="2"/>
      <c r="E330" s="2"/>
      <c r="F330" s="2"/>
      <c r="G330" s="62"/>
    </row>
    <row r="331" ht="15.75" customHeight="1">
      <c r="B331" s="79"/>
      <c r="C331" s="2"/>
      <c r="D331" s="2"/>
      <c r="E331" s="2"/>
      <c r="F331" s="2"/>
      <c r="G331" s="62"/>
    </row>
    <row r="332" ht="15.75" customHeight="1">
      <c r="B332" s="79"/>
      <c r="C332" s="2"/>
      <c r="D332" s="2"/>
      <c r="E332" s="2"/>
      <c r="F332" s="2"/>
      <c r="G332" s="62"/>
    </row>
    <row r="333" ht="15.75" customHeight="1">
      <c r="B333" s="79"/>
      <c r="C333" s="2"/>
      <c r="D333" s="2"/>
      <c r="E333" s="2"/>
      <c r="F333" s="2"/>
      <c r="G333" s="62"/>
    </row>
    <row r="334" ht="15.75" customHeight="1">
      <c r="B334" s="79"/>
      <c r="C334" s="2"/>
      <c r="D334" s="2"/>
      <c r="E334" s="2"/>
      <c r="F334" s="2"/>
      <c r="G334" s="62"/>
    </row>
    <row r="335" ht="15.75" customHeight="1">
      <c r="B335" s="79"/>
      <c r="C335" s="2"/>
      <c r="D335" s="2"/>
      <c r="E335" s="2"/>
      <c r="F335" s="2"/>
      <c r="G335" s="62"/>
    </row>
    <row r="336" ht="15.75" customHeight="1">
      <c r="B336" s="79"/>
      <c r="C336" s="2"/>
      <c r="D336" s="2"/>
      <c r="E336" s="2"/>
      <c r="F336" s="2"/>
      <c r="G336" s="62"/>
    </row>
    <row r="337" ht="15.75" customHeight="1">
      <c r="B337" s="79"/>
      <c r="C337" s="2"/>
      <c r="D337" s="2"/>
      <c r="E337" s="2"/>
      <c r="F337" s="2"/>
      <c r="G337" s="62"/>
    </row>
    <row r="338" ht="15.75" customHeight="1">
      <c r="B338" s="79"/>
      <c r="C338" s="2"/>
      <c r="D338" s="2"/>
      <c r="E338" s="2"/>
      <c r="F338" s="2"/>
      <c r="G338" s="62"/>
    </row>
    <row r="339" ht="15.75" customHeight="1">
      <c r="B339" s="79"/>
      <c r="C339" s="2"/>
      <c r="D339" s="2"/>
      <c r="E339" s="2"/>
      <c r="F339" s="2"/>
      <c r="G339" s="62"/>
    </row>
    <row r="340" ht="15.75" customHeight="1">
      <c r="B340" s="79"/>
      <c r="C340" s="2"/>
      <c r="D340" s="2"/>
      <c r="E340" s="2"/>
      <c r="F340" s="2"/>
      <c r="G340" s="62"/>
    </row>
    <row r="341" ht="15.75" customHeight="1">
      <c r="B341" s="79"/>
      <c r="C341" s="2"/>
      <c r="D341" s="2"/>
      <c r="E341" s="2"/>
      <c r="F341" s="2"/>
      <c r="G341" s="62"/>
    </row>
    <row r="342" ht="15.75" customHeight="1">
      <c r="B342" s="79"/>
      <c r="C342" s="2"/>
      <c r="D342" s="2"/>
      <c r="E342" s="2"/>
      <c r="F342" s="2"/>
      <c r="G342" s="62"/>
    </row>
    <row r="343" ht="15.75" customHeight="1">
      <c r="B343" s="79"/>
      <c r="C343" s="2"/>
      <c r="D343" s="2"/>
      <c r="E343" s="2"/>
      <c r="F343" s="2"/>
      <c r="G343" s="62"/>
    </row>
    <row r="344" ht="15.75" customHeight="1">
      <c r="B344" s="79"/>
      <c r="C344" s="2"/>
      <c r="D344" s="2"/>
      <c r="E344" s="2"/>
      <c r="F344" s="2"/>
      <c r="G344" s="62"/>
    </row>
    <row r="345" ht="15.75" customHeight="1">
      <c r="B345" s="79"/>
      <c r="C345" s="2"/>
      <c r="D345" s="2"/>
      <c r="E345" s="2"/>
      <c r="F345" s="2"/>
      <c r="G345" s="62"/>
    </row>
    <row r="346" ht="15.75" customHeight="1">
      <c r="B346" s="79"/>
      <c r="C346" s="2"/>
      <c r="D346" s="2"/>
      <c r="E346" s="2"/>
      <c r="F346" s="2"/>
      <c r="G346" s="62"/>
    </row>
    <row r="347" ht="15.75" customHeight="1">
      <c r="B347" s="79"/>
      <c r="C347" s="2"/>
      <c r="D347" s="2"/>
      <c r="E347" s="2"/>
      <c r="F347" s="2"/>
      <c r="G347" s="62"/>
    </row>
    <row r="348" ht="15.75" customHeight="1">
      <c r="B348" s="79"/>
      <c r="C348" s="2"/>
      <c r="D348" s="2"/>
      <c r="E348" s="2"/>
      <c r="F348" s="2"/>
      <c r="G348" s="62"/>
    </row>
    <row r="349" ht="15.75" customHeight="1">
      <c r="B349" s="79"/>
      <c r="C349" s="2"/>
      <c r="D349" s="2"/>
      <c r="E349" s="2"/>
      <c r="F349" s="2"/>
      <c r="G349" s="62"/>
    </row>
    <row r="350" ht="15.75" customHeight="1">
      <c r="B350" s="79"/>
      <c r="C350" s="2"/>
      <c r="D350" s="2"/>
      <c r="E350" s="2"/>
      <c r="F350" s="2"/>
      <c r="G350" s="62"/>
    </row>
    <row r="351" ht="15.75" customHeight="1">
      <c r="B351" s="79"/>
      <c r="C351" s="2"/>
      <c r="D351" s="2"/>
      <c r="E351" s="2"/>
      <c r="F351" s="2"/>
      <c r="G351" s="62"/>
    </row>
    <row r="352" ht="15.75" customHeight="1">
      <c r="B352" s="79"/>
      <c r="C352" s="2"/>
      <c r="D352" s="2"/>
      <c r="E352" s="2"/>
      <c r="F352" s="2"/>
      <c r="G352" s="62"/>
    </row>
    <row r="353" ht="15.75" customHeight="1">
      <c r="B353" s="79"/>
      <c r="C353" s="2"/>
      <c r="D353" s="2"/>
      <c r="E353" s="2"/>
      <c r="F353" s="2"/>
      <c r="G353" s="62"/>
    </row>
    <row r="354" ht="15.75" customHeight="1">
      <c r="B354" s="79"/>
      <c r="C354" s="2"/>
      <c r="D354" s="2"/>
      <c r="E354" s="2"/>
      <c r="F354" s="2"/>
      <c r="G354" s="62"/>
    </row>
    <row r="355" ht="15.75" customHeight="1">
      <c r="B355" s="79"/>
      <c r="C355" s="2"/>
      <c r="D355" s="2"/>
      <c r="E355" s="2"/>
      <c r="F355" s="2"/>
      <c r="G355" s="62"/>
    </row>
    <row r="356" ht="15.75" customHeight="1">
      <c r="B356" s="79"/>
      <c r="C356" s="2"/>
      <c r="D356" s="2"/>
      <c r="E356" s="2"/>
      <c r="F356" s="2"/>
      <c r="G356" s="62"/>
    </row>
    <row r="357" ht="15.75" customHeight="1">
      <c r="B357" s="79"/>
      <c r="C357" s="2"/>
      <c r="D357" s="2"/>
      <c r="E357" s="2"/>
      <c r="F357" s="2"/>
      <c r="G357" s="62"/>
    </row>
    <row r="358" ht="15.75" customHeight="1">
      <c r="B358" s="79"/>
      <c r="C358" s="2"/>
      <c r="D358" s="2"/>
      <c r="E358" s="2"/>
      <c r="F358" s="2"/>
      <c r="G358" s="62"/>
    </row>
    <row r="359" ht="15.75" customHeight="1">
      <c r="B359" s="79"/>
      <c r="C359" s="2"/>
      <c r="D359" s="2"/>
      <c r="E359" s="2"/>
      <c r="F359" s="2"/>
      <c r="G359" s="62"/>
    </row>
    <row r="360" ht="15.75" customHeight="1">
      <c r="B360" s="79"/>
      <c r="C360" s="2"/>
      <c r="D360" s="2"/>
      <c r="E360" s="2"/>
      <c r="F360" s="2"/>
      <c r="G360" s="62"/>
    </row>
    <row r="361" ht="15.75" customHeight="1">
      <c r="B361" s="79"/>
      <c r="C361" s="2"/>
      <c r="D361" s="2"/>
      <c r="E361" s="2"/>
      <c r="F361" s="2"/>
      <c r="G361" s="62"/>
    </row>
    <row r="362" ht="15.75" customHeight="1">
      <c r="B362" s="79"/>
      <c r="C362" s="2"/>
      <c r="D362" s="2"/>
      <c r="E362" s="2"/>
      <c r="F362" s="2"/>
      <c r="G362" s="62"/>
    </row>
    <row r="363" ht="15.75" customHeight="1">
      <c r="B363" s="79"/>
      <c r="C363" s="2"/>
      <c r="D363" s="2"/>
      <c r="E363" s="2"/>
      <c r="F363" s="2"/>
      <c r="G363" s="62"/>
    </row>
    <row r="364" ht="15.75" customHeight="1">
      <c r="B364" s="79"/>
      <c r="C364" s="2"/>
      <c r="D364" s="2"/>
      <c r="E364" s="2"/>
      <c r="F364" s="2"/>
      <c r="G364" s="62"/>
    </row>
    <row r="365" ht="15.75" customHeight="1">
      <c r="B365" s="79"/>
      <c r="C365" s="2"/>
      <c r="D365" s="2"/>
      <c r="E365" s="2"/>
      <c r="F365" s="2"/>
      <c r="G365" s="62"/>
    </row>
    <row r="366" ht="15.75" customHeight="1">
      <c r="B366" s="79"/>
      <c r="C366" s="2"/>
      <c r="D366" s="2"/>
      <c r="E366" s="2"/>
      <c r="F366" s="2"/>
      <c r="G366" s="62"/>
    </row>
    <row r="367" ht="15.75" customHeight="1">
      <c r="B367" s="79"/>
      <c r="C367" s="2"/>
      <c r="D367" s="2"/>
      <c r="E367" s="2"/>
      <c r="F367" s="2"/>
      <c r="G367" s="62"/>
    </row>
    <row r="368" ht="15.75" customHeight="1">
      <c r="B368" s="79"/>
      <c r="C368" s="2"/>
      <c r="D368" s="2"/>
      <c r="E368" s="2"/>
      <c r="F368" s="2"/>
      <c r="G368" s="62"/>
    </row>
    <row r="369" ht="15.75" customHeight="1">
      <c r="B369" s="79"/>
      <c r="C369" s="2"/>
      <c r="D369" s="2"/>
      <c r="E369" s="2"/>
      <c r="F369" s="2"/>
      <c r="G369" s="62"/>
    </row>
    <row r="370" ht="15.75" customHeight="1">
      <c r="B370" s="79"/>
      <c r="C370" s="2"/>
      <c r="D370" s="2"/>
      <c r="E370" s="2"/>
      <c r="F370" s="2"/>
      <c r="G370" s="62"/>
    </row>
    <row r="371" ht="15.75" customHeight="1">
      <c r="B371" s="79"/>
      <c r="C371" s="2"/>
      <c r="D371" s="2"/>
      <c r="E371" s="2"/>
      <c r="F371" s="2"/>
      <c r="G371" s="62"/>
    </row>
    <row r="372" ht="15.75" customHeight="1">
      <c r="B372" s="79"/>
      <c r="C372" s="2"/>
      <c r="D372" s="2"/>
      <c r="E372" s="2"/>
      <c r="F372" s="2"/>
      <c r="G372" s="62"/>
    </row>
    <row r="373" ht="15.75" customHeight="1">
      <c r="B373" s="79"/>
      <c r="C373" s="2"/>
      <c r="D373" s="2"/>
      <c r="E373" s="2"/>
      <c r="F373" s="2"/>
      <c r="G373" s="62"/>
    </row>
    <row r="374" ht="15.75" customHeight="1">
      <c r="B374" s="79"/>
      <c r="C374" s="2"/>
      <c r="D374" s="2"/>
      <c r="E374" s="2"/>
      <c r="F374" s="2"/>
      <c r="G374" s="62"/>
    </row>
    <row r="375" ht="15.75" customHeight="1">
      <c r="B375" s="79"/>
      <c r="C375" s="2"/>
      <c r="D375" s="2"/>
      <c r="E375" s="2"/>
      <c r="F375" s="2"/>
      <c r="G375" s="62"/>
    </row>
    <row r="376" ht="15.75" customHeight="1">
      <c r="B376" s="79"/>
      <c r="C376" s="2"/>
      <c r="D376" s="2"/>
      <c r="E376" s="2"/>
      <c r="F376" s="2"/>
      <c r="G376" s="62"/>
    </row>
    <row r="377" ht="15.75" customHeight="1">
      <c r="B377" s="79"/>
      <c r="C377" s="2"/>
      <c r="D377" s="2"/>
      <c r="E377" s="2"/>
      <c r="F377" s="2"/>
      <c r="G377" s="62"/>
    </row>
    <row r="378" ht="15.75" customHeight="1">
      <c r="B378" s="79"/>
      <c r="C378" s="2"/>
      <c r="D378" s="2"/>
      <c r="E378" s="2"/>
      <c r="F378" s="2"/>
      <c r="G378" s="62"/>
    </row>
    <row r="379" ht="15.75" customHeight="1">
      <c r="B379" s="79"/>
      <c r="C379" s="2"/>
      <c r="D379" s="2"/>
      <c r="E379" s="2"/>
      <c r="F379" s="2"/>
      <c r="G379" s="62"/>
    </row>
    <row r="380" ht="15.75" customHeight="1">
      <c r="B380" s="79"/>
      <c r="C380" s="2"/>
      <c r="D380" s="2"/>
      <c r="E380" s="2"/>
      <c r="F380" s="2"/>
      <c r="G380" s="62"/>
    </row>
    <row r="381" ht="15.75" customHeight="1">
      <c r="B381" s="79"/>
      <c r="C381" s="2"/>
      <c r="D381" s="2"/>
      <c r="E381" s="2"/>
      <c r="F381" s="2"/>
      <c r="G381" s="62"/>
    </row>
    <row r="382" ht="15.75" customHeight="1">
      <c r="B382" s="79"/>
      <c r="C382" s="2"/>
      <c r="D382" s="2"/>
      <c r="E382" s="2"/>
      <c r="F382" s="2"/>
      <c r="G382" s="62"/>
    </row>
    <row r="383" ht="15.75" customHeight="1">
      <c r="B383" s="79"/>
      <c r="C383" s="2"/>
      <c r="D383" s="2"/>
      <c r="E383" s="2"/>
      <c r="F383" s="2"/>
      <c r="G383" s="62"/>
    </row>
    <row r="384" ht="15.75" customHeight="1">
      <c r="B384" s="79"/>
      <c r="C384" s="2"/>
      <c r="D384" s="2"/>
      <c r="E384" s="2"/>
      <c r="F384" s="2"/>
      <c r="G384" s="62"/>
    </row>
    <row r="385" ht="15.75" customHeight="1">
      <c r="B385" s="79"/>
      <c r="C385" s="2"/>
      <c r="D385" s="2"/>
      <c r="E385" s="2"/>
      <c r="F385" s="2"/>
      <c r="G385" s="62"/>
    </row>
    <row r="386" ht="15.75" customHeight="1">
      <c r="B386" s="79"/>
      <c r="C386" s="2"/>
      <c r="D386" s="2"/>
      <c r="E386" s="2"/>
      <c r="F386" s="2"/>
      <c r="G386" s="62"/>
    </row>
    <row r="387" ht="15.75" customHeight="1">
      <c r="B387" s="79"/>
      <c r="C387" s="2"/>
      <c r="D387" s="2"/>
      <c r="E387" s="2"/>
      <c r="F387" s="2"/>
      <c r="G387" s="62"/>
    </row>
    <row r="388" ht="15.75" customHeight="1">
      <c r="B388" s="79"/>
      <c r="C388" s="2"/>
      <c r="D388" s="2"/>
      <c r="E388" s="2"/>
      <c r="F388" s="2"/>
      <c r="G388" s="62"/>
    </row>
    <row r="389" ht="15.75" customHeight="1">
      <c r="B389" s="79"/>
      <c r="C389" s="2"/>
      <c r="D389" s="2"/>
      <c r="E389" s="2"/>
      <c r="F389" s="2"/>
      <c r="G389" s="62"/>
    </row>
    <row r="390" ht="15.75" customHeight="1">
      <c r="B390" s="79"/>
      <c r="C390" s="2"/>
      <c r="D390" s="2"/>
      <c r="E390" s="2"/>
      <c r="F390" s="2"/>
      <c r="G390" s="62"/>
    </row>
    <row r="391" ht="15.75" customHeight="1">
      <c r="B391" s="79"/>
      <c r="C391" s="2"/>
      <c r="D391" s="2"/>
      <c r="E391" s="2"/>
      <c r="F391" s="2"/>
      <c r="G391" s="62"/>
    </row>
    <row r="392" ht="15.75" customHeight="1">
      <c r="B392" s="79"/>
      <c r="C392" s="2"/>
      <c r="D392" s="2"/>
      <c r="E392" s="2"/>
      <c r="F392" s="2"/>
      <c r="G392" s="62"/>
    </row>
    <row r="393" ht="15.75" customHeight="1">
      <c r="B393" s="79"/>
      <c r="C393" s="2"/>
      <c r="D393" s="2"/>
      <c r="E393" s="2"/>
      <c r="F393" s="2"/>
      <c r="G393" s="62"/>
    </row>
    <row r="394" ht="15.75" customHeight="1">
      <c r="B394" s="79"/>
      <c r="C394" s="2"/>
      <c r="D394" s="2"/>
      <c r="E394" s="2"/>
      <c r="F394" s="2"/>
      <c r="G394" s="62"/>
    </row>
    <row r="395" ht="15.75" customHeight="1">
      <c r="B395" s="79"/>
      <c r="C395" s="2"/>
      <c r="D395" s="2"/>
      <c r="E395" s="2"/>
      <c r="F395" s="2"/>
      <c r="G395" s="62"/>
    </row>
    <row r="396" ht="15.75" customHeight="1">
      <c r="B396" s="79"/>
      <c r="C396" s="2"/>
      <c r="D396" s="2"/>
      <c r="E396" s="2"/>
      <c r="F396" s="2"/>
      <c r="G396" s="62"/>
    </row>
    <row r="397" ht="15.75" customHeight="1">
      <c r="B397" s="79"/>
      <c r="C397" s="2"/>
      <c r="D397" s="2"/>
      <c r="E397" s="2"/>
      <c r="F397" s="2"/>
      <c r="G397" s="62"/>
    </row>
    <row r="398" ht="15.75" customHeight="1">
      <c r="B398" s="79"/>
      <c r="C398" s="2"/>
      <c r="D398" s="2"/>
      <c r="E398" s="2"/>
      <c r="F398" s="2"/>
      <c r="G398" s="62"/>
    </row>
    <row r="399" ht="15.75" customHeight="1">
      <c r="B399" s="79"/>
      <c r="C399" s="2"/>
      <c r="D399" s="2"/>
      <c r="E399" s="2"/>
      <c r="F399" s="2"/>
      <c r="G399" s="62"/>
    </row>
    <row r="400" ht="15.75" customHeight="1">
      <c r="B400" s="79"/>
      <c r="C400" s="2"/>
      <c r="D400" s="2"/>
      <c r="E400" s="2"/>
      <c r="F400" s="2"/>
      <c r="G400" s="62"/>
    </row>
    <row r="401" ht="15.75" customHeight="1">
      <c r="B401" s="79"/>
      <c r="C401" s="2"/>
      <c r="D401" s="2"/>
      <c r="E401" s="2"/>
      <c r="F401" s="2"/>
      <c r="G401" s="62"/>
    </row>
    <row r="402" ht="15.75" customHeight="1">
      <c r="B402" s="79"/>
      <c r="C402" s="2"/>
      <c r="D402" s="2"/>
      <c r="E402" s="2"/>
      <c r="F402" s="2"/>
      <c r="G402" s="62"/>
    </row>
    <row r="403" ht="15.75" customHeight="1">
      <c r="B403" s="79"/>
      <c r="C403" s="2"/>
      <c r="D403" s="2"/>
      <c r="E403" s="2"/>
      <c r="F403" s="2"/>
      <c r="G403" s="62"/>
    </row>
    <row r="404" ht="15.75" customHeight="1">
      <c r="B404" s="79"/>
      <c r="C404" s="2"/>
      <c r="D404" s="2"/>
      <c r="E404" s="2"/>
      <c r="F404" s="2"/>
      <c r="G404" s="62"/>
    </row>
    <row r="405" ht="15.75" customHeight="1">
      <c r="B405" s="79"/>
      <c r="C405" s="2"/>
      <c r="D405" s="2"/>
      <c r="E405" s="2"/>
      <c r="F405" s="2"/>
      <c r="G405" s="62"/>
    </row>
    <row r="406" ht="15.75" customHeight="1">
      <c r="B406" s="79"/>
      <c r="C406" s="2"/>
      <c r="D406" s="2"/>
      <c r="E406" s="2"/>
      <c r="F406" s="2"/>
      <c r="G406" s="62"/>
    </row>
    <row r="407" ht="15.75" customHeight="1">
      <c r="B407" s="79"/>
      <c r="C407" s="2"/>
      <c r="D407" s="2"/>
      <c r="E407" s="2"/>
      <c r="F407" s="2"/>
      <c r="G407" s="62"/>
    </row>
    <row r="408" ht="15.75" customHeight="1">
      <c r="B408" s="79"/>
      <c r="C408" s="2"/>
      <c r="D408" s="2"/>
      <c r="E408" s="2"/>
      <c r="F408" s="2"/>
      <c r="G408" s="62"/>
    </row>
    <row r="409" ht="15.75" customHeight="1">
      <c r="B409" s="79"/>
      <c r="C409" s="2"/>
      <c r="D409" s="2"/>
      <c r="E409" s="2"/>
      <c r="F409" s="2"/>
      <c r="G409" s="62"/>
    </row>
    <row r="410" ht="15.75" customHeight="1">
      <c r="B410" s="79"/>
      <c r="C410" s="2"/>
      <c r="D410" s="2"/>
      <c r="E410" s="2"/>
      <c r="F410" s="2"/>
      <c r="G410" s="62"/>
    </row>
    <row r="411" ht="15.75" customHeight="1">
      <c r="B411" s="79"/>
      <c r="C411" s="2"/>
      <c r="D411" s="2"/>
      <c r="E411" s="2"/>
      <c r="F411" s="2"/>
      <c r="G411" s="62"/>
    </row>
    <row r="412" ht="15.75" customHeight="1">
      <c r="B412" s="79"/>
      <c r="C412" s="2"/>
      <c r="D412" s="2"/>
      <c r="E412" s="2"/>
      <c r="F412" s="2"/>
      <c r="G412" s="62"/>
    </row>
    <row r="413" ht="15.75" customHeight="1">
      <c r="B413" s="79"/>
      <c r="C413" s="2"/>
      <c r="D413" s="2"/>
      <c r="E413" s="2"/>
      <c r="F413" s="2"/>
      <c r="G413" s="62"/>
    </row>
    <row r="414" ht="15.75" customHeight="1">
      <c r="B414" s="79"/>
      <c r="C414" s="2"/>
      <c r="D414" s="2"/>
      <c r="E414" s="2"/>
      <c r="F414" s="2"/>
      <c r="G414" s="62"/>
    </row>
    <row r="415" ht="15.75" customHeight="1">
      <c r="B415" s="79"/>
      <c r="C415" s="2"/>
      <c r="D415" s="2"/>
      <c r="E415" s="2"/>
      <c r="F415" s="2"/>
      <c r="G415" s="62"/>
    </row>
    <row r="416" ht="15.75" customHeight="1">
      <c r="B416" s="79"/>
      <c r="C416" s="2"/>
      <c r="D416" s="2"/>
      <c r="E416" s="2"/>
      <c r="F416" s="2"/>
      <c r="G416" s="62"/>
    </row>
    <row r="417" ht="15.75" customHeight="1">
      <c r="B417" s="79"/>
      <c r="C417" s="2"/>
      <c r="D417" s="2"/>
      <c r="E417" s="2"/>
      <c r="F417" s="2"/>
      <c r="G417" s="62"/>
    </row>
    <row r="418" ht="15.75" customHeight="1">
      <c r="B418" s="79"/>
      <c r="C418" s="2"/>
      <c r="D418" s="2"/>
      <c r="E418" s="2"/>
      <c r="F418" s="2"/>
      <c r="G418" s="62"/>
    </row>
    <row r="419" ht="15.75" customHeight="1">
      <c r="B419" s="79"/>
      <c r="C419" s="2"/>
      <c r="D419" s="2"/>
      <c r="E419" s="2"/>
      <c r="F419" s="2"/>
      <c r="G419" s="62"/>
    </row>
    <row r="420" ht="15.75" customHeight="1">
      <c r="B420" s="79"/>
      <c r="C420" s="2"/>
      <c r="D420" s="2"/>
      <c r="E420" s="2"/>
      <c r="F420" s="2"/>
      <c r="G420" s="62"/>
    </row>
    <row r="421" ht="15.75" customHeight="1">
      <c r="B421" s="79"/>
      <c r="C421" s="2"/>
      <c r="D421" s="2"/>
      <c r="E421" s="2"/>
      <c r="F421" s="2"/>
      <c r="G421" s="62"/>
    </row>
    <row r="422" ht="15.75" customHeight="1">
      <c r="B422" s="79"/>
      <c r="C422" s="2"/>
      <c r="D422" s="2"/>
      <c r="E422" s="2"/>
      <c r="F422" s="2"/>
      <c r="G422" s="62"/>
    </row>
    <row r="423" ht="15.75" customHeight="1">
      <c r="B423" s="79"/>
      <c r="C423" s="2"/>
      <c r="D423" s="2"/>
      <c r="E423" s="2"/>
      <c r="F423" s="2"/>
      <c r="G423" s="62"/>
    </row>
    <row r="424" ht="15.75" customHeight="1">
      <c r="B424" s="79"/>
      <c r="C424" s="2"/>
      <c r="D424" s="2"/>
      <c r="E424" s="2"/>
      <c r="F424" s="2"/>
      <c r="G424" s="62"/>
    </row>
    <row r="425" ht="15.75" customHeight="1">
      <c r="B425" s="79"/>
      <c r="C425" s="2"/>
      <c r="D425" s="2"/>
      <c r="E425" s="2"/>
      <c r="F425" s="2"/>
      <c r="G425" s="62"/>
    </row>
    <row r="426" ht="15.75" customHeight="1">
      <c r="B426" s="79"/>
      <c r="C426" s="2"/>
      <c r="D426" s="2"/>
      <c r="E426" s="2"/>
      <c r="F426" s="2"/>
      <c r="G426" s="62"/>
    </row>
    <row r="427" ht="15.75" customHeight="1">
      <c r="B427" s="79"/>
      <c r="C427" s="2"/>
      <c r="D427" s="2"/>
      <c r="E427" s="2"/>
      <c r="F427" s="2"/>
      <c r="G427" s="62"/>
    </row>
    <row r="428" ht="15.75" customHeight="1">
      <c r="B428" s="79"/>
      <c r="C428" s="2"/>
      <c r="D428" s="2"/>
      <c r="E428" s="2"/>
      <c r="F428" s="2"/>
      <c r="G428" s="62"/>
    </row>
    <row r="429" ht="15.75" customHeight="1">
      <c r="B429" s="79"/>
      <c r="C429" s="2"/>
      <c r="D429" s="2"/>
      <c r="E429" s="2"/>
      <c r="F429" s="2"/>
      <c r="G429" s="62"/>
    </row>
    <row r="430" ht="15.75" customHeight="1">
      <c r="B430" s="79"/>
      <c r="C430" s="2"/>
      <c r="D430" s="2"/>
      <c r="E430" s="2"/>
      <c r="F430" s="2"/>
      <c r="G430" s="62"/>
    </row>
    <row r="431" ht="15.75" customHeight="1">
      <c r="B431" s="79"/>
      <c r="C431" s="2"/>
      <c r="D431" s="2"/>
      <c r="E431" s="2"/>
      <c r="F431" s="2"/>
      <c r="G431" s="62"/>
    </row>
    <row r="432" ht="15.75" customHeight="1">
      <c r="B432" s="79"/>
      <c r="C432" s="2"/>
      <c r="D432" s="2"/>
      <c r="E432" s="2"/>
      <c r="F432" s="2"/>
      <c r="G432" s="62"/>
    </row>
    <row r="433" ht="15.75" customHeight="1">
      <c r="B433" s="79"/>
      <c r="C433" s="2"/>
      <c r="D433" s="2"/>
      <c r="E433" s="2"/>
      <c r="F433" s="2"/>
      <c r="G433" s="62"/>
    </row>
    <row r="434" ht="15.75" customHeight="1">
      <c r="B434" s="79"/>
      <c r="C434" s="2"/>
      <c r="D434" s="2"/>
      <c r="E434" s="2"/>
      <c r="F434" s="2"/>
      <c r="G434" s="62"/>
    </row>
    <row r="435" ht="15.75" customHeight="1">
      <c r="B435" s="79"/>
      <c r="C435" s="2"/>
      <c r="D435" s="2"/>
      <c r="E435" s="2"/>
      <c r="F435" s="2"/>
      <c r="G435" s="62"/>
    </row>
    <row r="436" ht="15.75" customHeight="1">
      <c r="B436" s="79"/>
      <c r="C436" s="2"/>
      <c r="D436" s="2"/>
      <c r="E436" s="2"/>
      <c r="F436" s="2"/>
      <c r="G436" s="62"/>
    </row>
    <row r="437" ht="15.75" customHeight="1">
      <c r="B437" s="79"/>
      <c r="C437" s="2"/>
      <c r="D437" s="2"/>
      <c r="E437" s="2"/>
      <c r="F437" s="2"/>
      <c r="G437" s="62"/>
    </row>
    <row r="438" ht="15.75" customHeight="1">
      <c r="B438" s="79"/>
      <c r="C438" s="2"/>
      <c r="D438" s="2"/>
      <c r="E438" s="2"/>
      <c r="F438" s="2"/>
      <c r="G438" s="62"/>
    </row>
    <row r="439" ht="15.75" customHeight="1">
      <c r="B439" s="79"/>
      <c r="C439" s="2"/>
      <c r="D439" s="2"/>
      <c r="E439" s="2"/>
      <c r="F439" s="2"/>
      <c r="G439" s="62"/>
    </row>
    <row r="440" ht="15.75" customHeight="1">
      <c r="B440" s="79"/>
      <c r="C440" s="2"/>
      <c r="D440" s="2"/>
      <c r="E440" s="2"/>
      <c r="F440" s="2"/>
      <c r="G440" s="62"/>
    </row>
    <row r="441" ht="15.75" customHeight="1">
      <c r="B441" s="79"/>
      <c r="C441" s="2"/>
      <c r="D441" s="2"/>
      <c r="E441" s="2"/>
      <c r="F441" s="2"/>
      <c r="G441" s="62"/>
    </row>
    <row r="442" ht="15.75" customHeight="1">
      <c r="B442" s="79"/>
      <c r="C442" s="2"/>
      <c r="D442" s="2"/>
      <c r="E442" s="2"/>
      <c r="F442" s="2"/>
      <c r="G442" s="62"/>
    </row>
    <row r="443" ht="15.75" customHeight="1">
      <c r="B443" s="79"/>
      <c r="C443" s="2"/>
      <c r="D443" s="2"/>
      <c r="E443" s="2"/>
      <c r="F443" s="2"/>
      <c r="G443" s="62"/>
    </row>
    <row r="444" ht="15.75" customHeight="1">
      <c r="B444" s="79"/>
      <c r="C444" s="2"/>
      <c r="D444" s="2"/>
      <c r="E444" s="2"/>
      <c r="F444" s="2"/>
      <c r="G444" s="62"/>
    </row>
    <row r="445" ht="15.75" customHeight="1">
      <c r="B445" s="79"/>
      <c r="C445" s="2"/>
      <c r="D445" s="2"/>
      <c r="E445" s="2"/>
      <c r="F445" s="2"/>
      <c r="G445" s="62"/>
    </row>
    <row r="446" ht="15.75" customHeight="1">
      <c r="B446" s="79"/>
      <c r="C446" s="2"/>
      <c r="D446" s="2"/>
      <c r="E446" s="2"/>
      <c r="F446" s="2"/>
      <c r="G446" s="62"/>
    </row>
    <row r="447" ht="15.75" customHeight="1">
      <c r="B447" s="79"/>
      <c r="C447" s="2"/>
      <c r="D447" s="2"/>
      <c r="E447" s="2"/>
      <c r="F447" s="2"/>
      <c r="G447" s="62"/>
    </row>
    <row r="448" ht="15.75" customHeight="1">
      <c r="B448" s="79"/>
      <c r="C448" s="2"/>
      <c r="D448" s="2"/>
      <c r="E448" s="2"/>
      <c r="F448" s="2"/>
      <c r="G448" s="62"/>
    </row>
    <row r="449" ht="15.75" customHeight="1">
      <c r="B449" s="79"/>
      <c r="C449" s="2"/>
      <c r="D449" s="2"/>
      <c r="E449" s="2"/>
      <c r="F449" s="2"/>
      <c r="G449" s="62"/>
    </row>
    <row r="450" ht="15.75" customHeight="1">
      <c r="B450" s="79"/>
      <c r="C450" s="2"/>
      <c r="D450" s="2"/>
      <c r="E450" s="2"/>
      <c r="F450" s="2"/>
      <c r="G450" s="62"/>
    </row>
    <row r="451" ht="15.75" customHeight="1">
      <c r="B451" s="79"/>
      <c r="C451" s="2"/>
      <c r="D451" s="2"/>
      <c r="E451" s="2"/>
      <c r="F451" s="2"/>
      <c r="G451" s="62"/>
    </row>
    <row r="452" ht="15.75" customHeight="1">
      <c r="B452" s="79"/>
      <c r="C452" s="2"/>
      <c r="D452" s="2"/>
      <c r="E452" s="2"/>
      <c r="F452" s="2"/>
      <c r="G452" s="62"/>
    </row>
    <row r="453" ht="15.75" customHeight="1">
      <c r="B453" s="79"/>
      <c r="C453" s="2"/>
      <c r="D453" s="2"/>
      <c r="E453" s="2"/>
      <c r="F453" s="2"/>
      <c r="G453" s="62"/>
    </row>
    <row r="454" ht="15.75" customHeight="1">
      <c r="B454" s="79"/>
      <c r="C454" s="2"/>
      <c r="D454" s="2"/>
      <c r="E454" s="2"/>
      <c r="F454" s="2"/>
      <c r="G454" s="62"/>
    </row>
    <row r="455" ht="15.75" customHeight="1">
      <c r="B455" s="79"/>
      <c r="C455" s="2"/>
      <c r="D455" s="2"/>
      <c r="E455" s="2"/>
      <c r="F455" s="2"/>
      <c r="G455" s="62"/>
    </row>
    <row r="456" ht="15.75" customHeight="1">
      <c r="B456" s="79"/>
      <c r="C456" s="2"/>
      <c r="D456" s="2"/>
      <c r="E456" s="2"/>
      <c r="F456" s="2"/>
      <c r="G456" s="62"/>
    </row>
    <row r="457" ht="15.75" customHeight="1">
      <c r="B457" s="79"/>
      <c r="C457" s="2"/>
      <c r="D457" s="2"/>
      <c r="E457" s="2"/>
      <c r="F457" s="2"/>
      <c r="G457" s="62"/>
    </row>
    <row r="458" ht="15.75" customHeight="1">
      <c r="B458" s="79"/>
      <c r="C458" s="2"/>
      <c r="D458" s="2"/>
      <c r="E458" s="2"/>
      <c r="F458" s="2"/>
      <c r="G458" s="62"/>
    </row>
    <row r="459" ht="15.75" customHeight="1">
      <c r="B459" s="79"/>
      <c r="C459" s="2"/>
      <c r="D459" s="2"/>
      <c r="E459" s="2"/>
      <c r="F459" s="2"/>
      <c r="G459" s="62"/>
    </row>
    <row r="460" ht="15.75" customHeight="1">
      <c r="B460" s="79"/>
      <c r="C460" s="2"/>
      <c r="D460" s="2"/>
      <c r="E460" s="2"/>
      <c r="F460" s="2"/>
      <c r="G460" s="62"/>
    </row>
    <row r="461" ht="15.75" customHeight="1">
      <c r="B461" s="79"/>
      <c r="C461" s="2"/>
      <c r="D461" s="2"/>
      <c r="E461" s="2"/>
      <c r="F461" s="2"/>
      <c r="G461" s="62"/>
    </row>
    <row r="462" ht="15.75" customHeight="1">
      <c r="B462" s="79"/>
      <c r="C462" s="2"/>
      <c r="D462" s="2"/>
      <c r="E462" s="2"/>
      <c r="F462" s="2"/>
      <c r="G462" s="62"/>
    </row>
    <row r="463" ht="15.75" customHeight="1">
      <c r="B463" s="79"/>
      <c r="C463" s="2"/>
      <c r="D463" s="2"/>
      <c r="E463" s="2"/>
      <c r="F463" s="2"/>
      <c r="G463" s="62"/>
    </row>
    <row r="464" ht="15.75" customHeight="1">
      <c r="B464" s="79"/>
      <c r="C464" s="2"/>
      <c r="D464" s="2"/>
      <c r="E464" s="2"/>
      <c r="F464" s="2"/>
      <c r="G464" s="62"/>
    </row>
    <row r="465" ht="15.75" customHeight="1">
      <c r="B465" s="79"/>
      <c r="C465" s="2"/>
      <c r="D465" s="2"/>
      <c r="E465" s="2"/>
      <c r="F465" s="2"/>
      <c r="G465" s="62"/>
    </row>
    <row r="466" ht="15.75" customHeight="1">
      <c r="B466" s="79"/>
      <c r="C466" s="2"/>
      <c r="D466" s="2"/>
      <c r="E466" s="2"/>
      <c r="F466" s="2"/>
      <c r="G466" s="62"/>
    </row>
    <row r="467" ht="15.75" customHeight="1">
      <c r="B467" s="79"/>
      <c r="C467" s="2"/>
      <c r="D467" s="2"/>
      <c r="E467" s="2"/>
      <c r="F467" s="2"/>
      <c r="G467" s="62"/>
    </row>
    <row r="468" ht="15.75" customHeight="1">
      <c r="B468" s="79"/>
      <c r="C468" s="2"/>
      <c r="D468" s="2"/>
      <c r="E468" s="2"/>
      <c r="F468" s="2"/>
      <c r="G468" s="62"/>
    </row>
    <row r="469" ht="15.75" customHeight="1">
      <c r="B469" s="79"/>
      <c r="C469" s="2"/>
      <c r="D469" s="2"/>
      <c r="E469" s="2"/>
      <c r="F469" s="2"/>
      <c r="G469" s="62"/>
    </row>
    <row r="470" ht="15.75" customHeight="1">
      <c r="B470" s="79"/>
      <c r="C470" s="2"/>
      <c r="D470" s="2"/>
      <c r="E470" s="2"/>
      <c r="F470" s="2"/>
      <c r="G470" s="62"/>
    </row>
    <row r="471" ht="15.75" customHeight="1">
      <c r="B471" s="79"/>
      <c r="C471" s="2"/>
      <c r="D471" s="2"/>
      <c r="E471" s="2"/>
      <c r="F471" s="2"/>
      <c r="G471" s="62"/>
    </row>
    <row r="472" ht="15.75" customHeight="1">
      <c r="B472" s="79"/>
      <c r="C472" s="2"/>
      <c r="D472" s="2"/>
      <c r="E472" s="2"/>
      <c r="F472" s="2"/>
      <c r="G472" s="62"/>
    </row>
    <row r="473" ht="15.75" customHeight="1">
      <c r="B473" s="79"/>
      <c r="C473" s="2"/>
      <c r="D473" s="2"/>
      <c r="E473" s="2"/>
      <c r="F473" s="2"/>
      <c r="G473" s="62"/>
    </row>
    <row r="474" ht="15.75" customHeight="1">
      <c r="B474" s="79"/>
      <c r="C474" s="2"/>
      <c r="D474" s="2"/>
      <c r="E474" s="2"/>
      <c r="F474" s="2"/>
      <c r="G474" s="62"/>
    </row>
    <row r="475" ht="15.75" customHeight="1">
      <c r="B475" s="79"/>
      <c r="C475" s="2"/>
      <c r="D475" s="2"/>
      <c r="E475" s="2"/>
      <c r="F475" s="2"/>
      <c r="G475" s="62"/>
    </row>
    <row r="476" ht="15.75" customHeight="1">
      <c r="B476" s="79"/>
      <c r="C476" s="2"/>
      <c r="D476" s="2"/>
      <c r="E476" s="2"/>
      <c r="F476" s="2"/>
      <c r="G476" s="62"/>
    </row>
    <row r="477" ht="15.75" customHeight="1">
      <c r="B477" s="79"/>
      <c r="C477" s="2"/>
      <c r="D477" s="2"/>
      <c r="E477" s="2"/>
      <c r="F477" s="2"/>
      <c r="G477" s="62"/>
    </row>
    <row r="478" ht="15.75" customHeight="1">
      <c r="B478" s="79"/>
      <c r="C478" s="2"/>
      <c r="D478" s="2"/>
      <c r="E478" s="2"/>
      <c r="F478" s="2"/>
      <c r="G478" s="62"/>
    </row>
    <row r="479" ht="15.75" customHeight="1">
      <c r="B479" s="79"/>
      <c r="C479" s="2"/>
      <c r="D479" s="2"/>
      <c r="E479" s="2"/>
      <c r="F479" s="2"/>
      <c r="G479" s="62"/>
    </row>
    <row r="480" ht="15.75" customHeight="1">
      <c r="B480" s="79"/>
      <c r="C480" s="2"/>
      <c r="D480" s="2"/>
      <c r="E480" s="2"/>
      <c r="F480" s="2"/>
      <c r="G480" s="62"/>
    </row>
    <row r="481" ht="15.75" customHeight="1">
      <c r="B481" s="79"/>
      <c r="C481" s="2"/>
      <c r="D481" s="2"/>
      <c r="E481" s="2"/>
      <c r="F481" s="2"/>
      <c r="G481" s="62"/>
    </row>
    <row r="482" ht="15.75" customHeight="1">
      <c r="B482" s="79"/>
      <c r="C482" s="2"/>
      <c r="D482" s="2"/>
      <c r="E482" s="2"/>
      <c r="F482" s="2"/>
      <c r="G482" s="62"/>
    </row>
    <row r="483" ht="15.75" customHeight="1">
      <c r="B483" s="79"/>
      <c r="C483" s="2"/>
      <c r="D483" s="2"/>
      <c r="E483" s="2"/>
      <c r="F483" s="2"/>
      <c r="G483" s="62"/>
    </row>
    <row r="484" ht="15.75" customHeight="1">
      <c r="B484" s="79"/>
      <c r="C484" s="2"/>
      <c r="D484" s="2"/>
      <c r="E484" s="2"/>
      <c r="F484" s="2"/>
      <c r="G484" s="62"/>
    </row>
    <row r="485" ht="15.75" customHeight="1">
      <c r="B485" s="79"/>
      <c r="C485" s="2"/>
      <c r="D485" s="2"/>
      <c r="E485" s="2"/>
      <c r="F485" s="2"/>
      <c r="G485" s="62"/>
    </row>
    <row r="486" ht="15.75" customHeight="1">
      <c r="B486" s="79"/>
      <c r="C486" s="2"/>
      <c r="D486" s="2"/>
      <c r="E486" s="2"/>
      <c r="F486" s="2"/>
      <c r="G486" s="62"/>
    </row>
    <row r="487" ht="15.75" customHeight="1">
      <c r="B487" s="79"/>
      <c r="C487" s="2"/>
      <c r="D487" s="2"/>
      <c r="E487" s="2"/>
      <c r="F487" s="2"/>
      <c r="G487" s="62"/>
    </row>
    <row r="488" ht="15.75" customHeight="1">
      <c r="B488" s="79"/>
      <c r="C488" s="2"/>
      <c r="D488" s="2"/>
      <c r="E488" s="2"/>
      <c r="F488" s="2"/>
      <c r="G488" s="62"/>
    </row>
    <row r="489" ht="15.75" customHeight="1">
      <c r="B489" s="79"/>
      <c r="C489" s="2"/>
      <c r="D489" s="2"/>
      <c r="E489" s="2"/>
      <c r="F489" s="2"/>
      <c r="G489" s="62"/>
    </row>
    <row r="490" ht="15.75" customHeight="1">
      <c r="B490" s="79"/>
      <c r="C490" s="2"/>
      <c r="D490" s="2"/>
      <c r="E490" s="2"/>
      <c r="F490" s="2"/>
      <c r="G490" s="62"/>
    </row>
    <row r="491" ht="15.75" customHeight="1">
      <c r="B491" s="79"/>
      <c r="C491" s="2"/>
      <c r="D491" s="2"/>
      <c r="E491" s="2"/>
      <c r="F491" s="2"/>
      <c r="G491" s="62"/>
    </row>
    <row r="492" ht="15.75" customHeight="1">
      <c r="B492" s="79"/>
      <c r="C492" s="2"/>
      <c r="D492" s="2"/>
      <c r="E492" s="2"/>
      <c r="F492" s="2"/>
      <c r="G492" s="62"/>
    </row>
    <row r="493" ht="15.75" customHeight="1">
      <c r="B493" s="79"/>
      <c r="C493" s="2"/>
      <c r="D493" s="2"/>
      <c r="E493" s="2"/>
      <c r="F493" s="2"/>
      <c r="G493" s="62"/>
    </row>
    <row r="494" ht="15.75" customHeight="1">
      <c r="B494" s="79"/>
      <c r="C494" s="2"/>
      <c r="D494" s="2"/>
      <c r="E494" s="2"/>
      <c r="F494" s="2"/>
      <c r="G494" s="62"/>
    </row>
    <row r="495" ht="15.75" customHeight="1">
      <c r="B495" s="79"/>
      <c r="C495" s="2"/>
      <c r="D495" s="2"/>
      <c r="E495" s="2"/>
      <c r="F495" s="2"/>
      <c r="G495" s="62"/>
    </row>
    <row r="496" ht="15.75" customHeight="1">
      <c r="B496" s="79"/>
      <c r="C496" s="2"/>
      <c r="D496" s="2"/>
      <c r="E496" s="2"/>
      <c r="F496" s="2"/>
      <c r="G496" s="62"/>
    </row>
    <row r="497" ht="15.75" customHeight="1">
      <c r="B497" s="79"/>
      <c r="C497" s="2"/>
      <c r="D497" s="2"/>
      <c r="E497" s="2"/>
      <c r="F497" s="2"/>
      <c r="G497" s="62"/>
    </row>
    <row r="498" ht="15.75" customHeight="1">
      <c r="B498" s="79"/>
      <c r="C498" s="2"/>
      <c r="D498" s="2"/>
      <c r="E498" s="2"/>
      <c r="F498" s="2"/>
      <c r="G498" s="62"/>
    </row>
    <row r="499" ht="15.75" customHeight="1">
      <c r="B499" s="79"/>
      <c r="C499" s="2"/>
      <c r="D499" s="2"/>
      <c r="E499" s="2"/>
      <c r="F499" s="2"/>
      <c r="G499" s="62"/>
    </row>
    <row r="500" ht="15.75" customHeight="1">
      <c r="B500" s="79"/>
      <c r="C500" s="2"/>
      <c r="D500" s="2"/>
      <c r="E500" s="2"/>
      <c r="F500" s="2"/>
      <c r="G500" s="62"/>
    </row>
    <row r="501" ht="15.75" customHeight="1">
      <c r="B501" s="79"/>
      <c r="C501" s="2"/>
      <c r="D501" s="2"/>
      <c r="E501" s="2"/>
      <c r="F501" s="2"/>
      <c r="G501" s="62"/>
    </row>
    <row r="502" ht="15.75" customHeight="1">
      <c r="B502" s="79"/>
      <c r="C502" s="2"/>
      <c r="D502" s="2"/>
      <c r="E502" s="2"/>
      <c r="F502" s="2"/>
      <c r="G502" s="62"/>
    </row>
    <row r="503" ht="15.75" customHeight="1">
      <c r="B503" s="79"/>
      <c r="C503" s="2"/>
      <c r="D503" s="2"/>
      <c r="E503" s="2"/>
      <c r="F503" s="2"/>
      <c r="G503" s="62"/>
    </row>
    <row r="504" ht="15.75" customHeight="1">
      <c r="B504" s="79"/>
      <c r="C504" s="2"/>
      <c r="D504" s="2"/>
      <c r="E504" s="2"/>
      <c r="F504" s="2"/>
      <c r="G504" s="62"/>
    </row>
    <row r="505" ht="15.75" customHeight="1">
      <c r="B505" s="79"/>
      <c r="C505" s="2"/>
      <c r="D505" s="2"/>
      <c r="E505" s="2"/>
      <c r="F505" s="2"/>
      <c r="G505" s="62"/>
    </row>
    <row r="506" ht="15.75" customHeight="1">
      <c r="B506" s="79"/>
      <c r="C506" s="2"/>
      <c r="D506" s="2"/>
      <c r="E506" s="2"/>
      <c r="F506" s="2"/>
      <c r="G506" s="62"/>
    </row>
    <row r="507" ht="15.75" customHeight="1">
      <c r="B507" s="79"/>
      <c r="C507" s="2"/>
      <c r="D507" s="2"/>
      <c r="E507" s="2"/>
      <c r="F507" s="2"/>
      <c r="G507" s="62"/>
    </row>
    <row r="508" ht="15.75" customHeight="1">
      <c r="B508" s="79"/>
      <c r="C508" s="2"/>
      <c r="D508" s="2"/>
      <c r="E508" s="2"/>
      <c r="F508" s="2"/>
      <c r="G508" s="62"/>
    </row>
    <row r="509" ht="15.75" customHeight="1">
      <c r="B509" s="79"/>
      <c r="C509" s="2"/>
      <c r="D509" s="2"/>
      <c r="E509" s="2"/>
      <c r="F509" s="2"/>
      <c r="G509" s="62"/>
    </row>
    <row r="510" ht="15.75" customHeight="1">
      <c r="B510" s="79"/>
      <c r="C510" s="2"/>
      <c r="D510" s="2"/>
      <c r="E510" s="2"/>
      <c r="F510" s="2"/>
      <c r="G510" s="62"/>
    </row>
    <row r="511" ht="15.75" customHeight="1">
      <c r="B511" s="79"/>
      <c r="C511" s="2"/>
      <c r="D511" s="2"/>
      <c r="E511" s="2"/>
      <c r="F511" s="2"/>
      <c r="G511" s="62"/>
    </row>
    <row r="512" ht="15.75" customHeight="1">
      <c r="B512" s="79"/>
      <c r="C512" s="2"/>
      <c r="D512" s="2"/>
      <c r="E512" s="2"/>
      <c r="F512" s="2"/>
      <c r="G512" s="62"/>
    </row>
    <row r="513" ht="15.75" customHeight="1">
      <c r="B513" s="79"/>
      <c r="C513" s="2"/>
      <c r="D513" s="2"/>
      <c r="E513" s="2"/>
      <c r="F513" s="2"/>
      <c r="G513" s="62"/>
    </row>
    <row r="514" ht="15.75" customHeight="1">
      <c r="B514" s="79"/>
      <c r="C514" s="2"/>
      <c r="D514" s="2"/>
      <c r="E514" s="2"/>
      <c r="F514" s="2"/>
      <c r="G514" s="62"/>
    </row>
    <row r="515" ht="15.75" customHeight="1">
      <c r="B515" s="79"/>
      <c r="C515" s="2"/>
      <c r="D515" s="2"/>
      <c r="E515" s="2"/>
      <c r="F515" s="2"/>
      <c r="G515" s="62"/>
    </row>
    <row r="516" ht="15.75" customHeight="1">
      <c r="B516" s="79"/>
      <c r="C516" s="2"/>
      <c r="D516" s="2"/>
      <c r="E516" s="2"/>
      <c r="F516" s="2"/>
      <c r="G516" s="62"/>
    </row>
    <row r="517" ht="15.75" customHeight="1">
      <c r="B517" s="79"/>
      <c r="C517" s="2"/>
      <c r="D517" s="2"/>
      <c r="E517" s="2"/>
      <c r="F517" s="2"/>
      <c r="G517" s="62"/>
    </row>
    <row r="518" ht="15.75" customHeight="1">
      <c r="B518" s="79"/>
      <c r="C518" s="2"/>
      <c r="D518" s="2"/>
      <c r="E518" s="2"/>
      <c r="F518" s="2"/>
      <c r="G518" s="62"/>
    </row>
    <row r="519" ht="15.75" customHeight="1">
      <c r="B519" s="79"/>
      <c r="C519" s="2"/>
      <c r="D519" s="2"/>
      <c r="E519" s="2"/>
      <c r="F519" s="2"/>
      <c r="G519" s="62"/>
    </row>
    <row r="520" ht="15.75" customHeight="1">
      <c r="B520" s="79"/>
      <c r="C520" s="2"/>
      <c r="D520" s="2"/>
      <c r="E520" s="2"/>
      <c r="F520" s="2"/>
      <c r="G520" s="62"/>
    </row>
    <row r="521" ht="15.75" customHeight="1">
      <c r="B521" s="79"/>
      <c r="C521" s="2"/>
      <c r="D521" s="2"/>
      <c r="E521" s="2"/>
      <c r="F521" s="2"/>
      <c r="G521" s="62"/>
    </row>
    <row r="522" ht="15.75" customHeight="1">
      <c r="B522" s="79"/>
      <c r="C522" s="2"/>
      <c r="D522" s="2"/>
      <c r="E522" s="2"/>
      <c r="F522" s="2"/>
      <c r="G522" s="62"/>
    </row>
    <row r="523" ht="15.75" customHeight="1">
      <c r="B523" s="79"/>
      <c r="C523" s="2"/>
      <c r="D523" s="2"/>
      <c r="E523" s="2"/>
      <c r="F523" s="2"/>
      <c r="G523" s="62"/>
    </row>
    <row r="524" ht="15.75" customHeight="1">
      <c r="B524" s="79"/>
      <c r="C524" s="2"/>
      <c r="D524" s="2"/>
      <c r="E524" s="2"/>
      <c r="F524" s="2"/>
      <c r="G524" s="62"/>
    </row>
    <row r="525" ht="15.75" customHeight="1">
      <c r="B525" s="79"/>
      <c r="C525" s="2"/>
      <c r="D525" s="2"/>
      <c r="E525" s="2"/>
      <c r="F525" s="2"/>
      <c r="G525" s="62"/>
    </row>
    <row r="526" ht="15.75" customHeight="1">
      <c r="B526" s="79"/>
      <c r="C526" s="2"/>
      <c r="D526" s="2"/>
      <c r="E526" s="2"/>
      <c r="F526" s="2"/>
      <c r="G526" s="62"/>
    </row>
    <row r="527" ht="15.75" customHeight="1">
      <c r="B527" s="79"/>
      <c r="C527" s="2"/>
      <c r="D527" s="2"/>
      <c r="E527" s="2"/>
      <c r="F527" s="2"/>
      <c r="G527" s="62"/>
    </row>
    <row r="528" ht="15.75" customHeight="1">
      <c r="B528" s="79"/>
      <c r="C528" s="2"/>
      <c r="D528" s="2"/>
      <c r="E528" s="2"/>
      <c r="F528" s="2"/>
      <c r="G528" s="62"/>
    </row>
    <row r="529" ht="15.75" customHeight="1">
      <c r="B529" s="79"/>
      <c r="C529" s="2"/>
      <c r="D529" s="2"/>
      <c r="E529" s="2"/>
      <c r="F529" s="2"/>
      <c r="G529" s="62"/>
    </row>
    <row r="530" ht="15.75" customHeight="1">
      <c r="B530" s="79"/>
      <c r="C530" s="2"/>
      <c r="D530" s="2"/>
      <c r="E530" s="2"/>
      <c r="F530" s="2"/>
      <c r="G530" s="62"/>
    </row>
    <row r="531" ht="15.75" customHeight="1">
      <c r="B531" s="79"/>
      <c r="C531" s="2"/>
      <c r="D531" s="2"/>
      <c r="E531" s="2"/>
      <c r="F531" s="2"/>
      <c r="G531" s="62"/>
    </row>
    <row r="532" ht="15.75" customHeight="1">
      <c r="B532" s="79"/>
      <c r="C532" s="2"/>
      <c r="D532" s="2"/>
      <c r="E532" s="2"/>
      <c r="F532" s="2"/>
      <c r="G532" s="62"/>
    </row>
    <row r="533" ht="15.75" customHeight="1">
      <c r="B533" s="79"/>
      <c r="C533" s="2"/>
      <c r="D533" s="2"/>
      <c r="E533" s="2"/>
      <c r="F533" s="2"/>
      <c r="G533" s="62"/>
    </row>
    <row r="534" ht="15.75" customHeight="1">
      <c r="B534" s="79"/>
      <c r="C534" s="2"/>
      <c r="D534" s="2"/>
      <c r="E534" s="2"/>
      <c r="F534" s="2"/>
      <c r="G534" s="62"/>
    </row>
    <row r="535" ht="15.75" customHeight="1">
      <c r="B535" s="79"/>
      <c r="C535" s="2"/>
      <c r="D535" s="2"/>
      <c r="E535" s="2"/>
      <c r="F535" s="2"/>
      <c r="G535" s="62"/>
    </row>
    <row r="536" ht="15.75" customHeight="1">
      <c r="B536" s="79"/>
      <c r="C536" s="2"/>
      <c r="D536" s="2"/>
      <c r="E536" s="2"/>
      <c r="F536" s="2"/>
      <c r="G536" s="62"/>
    </row>
    <row r="537" ht="15.75" customHeight="1">
      <c r="B537" s="79"/>
      <c r="C537" s="2"/>
      <c r="D537" s="2"/>
      <c r="E537" s="2"/>
      <c r="F537" s="2"/>
      <c r="G537" s="62"/>
    </row>
    <row r="538" ht="15.75" customHeight="1">
      <c r="B538" s="79"/>
      <c r="C538" s="2"/>
      <c r="D538" s="2"/>
      <c r="E538" s="2"/>
      <c r="F538" s="2"/>
      <c r="G538" s="62"/>
    </row>
    <row r="539" ht="15.75" customHeight="1">
      <c r="B539" s="79"/>
      <c r="C539" s="2"/>
      <c r="D539" s="2"/>
      <c r="E539" s="2"/>
      <c r="F539" s="2"/>
      <c r="G539" s="62"/>
    </row>
    <row r="540" ht="15.75" customHeight="1">
      <c r="B540" s="79"/>
      <c r="C540" s="2"/>
      <c r="D540" s="2"/>
      <c r="E540" s="2"/>
      <c r="F540" s="2"/>
      <c r="G540" s="62"/>
    </row>
    <row r="541" ht="15.75" customHeight="1">
      <c r="B541" s="79"/>
      <c r="C541" s="2"/>
      <c r="D541" s="2"/>
      <c r="E541" s="2"/>
      <c r="F541" s="2"/>
      <c r="G541" s="62"/>
    </row>
    <row r="542" ht="15.75" customHeight="1">
      <c r="B542" s="79"/>
      <c r="C542" s="2"/>
      <c r="D542" s="2"/>
      <c r="E542" s="2"/>
      <c r="F542" s="2"/>
      <c r="G542" s="62"/>
    </row>
    <row r="543" ht="15.75" customHeight="1">
      <c r="B543" s="79"/>
      <c r="C543" s="2"/>
      <c r="D543" s="2"/>
      <c r="E543" s="2"/>
      <c r="F543" s="2"/>
      <c r="G543" s="62"/>
    </row>
    <row r="544" ht="15.75" customHeight="1">
      <c r="B544" s="79"/>
      <c r="C544" s="2"/>
      <c r="D544" s="2"/>
      <c r="E544" s="2"/>
      <c r="F544" s="2"/>
      <c r="G544" s="62"/>
    </row>
    <row r="545" ht="15.75" customHeight="1">
      <c r="B545" s="79"/>
      <c r="C545" s="2"/>
      <c r="D545" s="2"/>
      <c r="E545" s="2"/>
      <c r="F545" s="2"/>
      <c r="G545" s="62"/>
    </row>
    <row r="546" ht="15.75" customHeight="1">
      <c r="B546" s="79"/>
      <c r="C546" s="2"/>
      <c r="D546" s="2"/>
      <c r="E546" s="2"/>
      <c r="F546" s="2"/>
      <c r="G546" s="62"/>
    </row>
    <row r="547" ht="15.75" customHeight="1">
      <c r="B547" s="79"/>
      <c r="C547" s="2"/>
      <c r="D547" s="2"/>
      <c r="E547" s="2"/>
      <c r="F547" s="2"/>
      <c r="G547" s="62"/>
    </row>
    <row r="548" ht="15.75" customHeight="1">
      <c r="B548" s="79"/>
      <c r="C548" s="2"/>
      <c r="D548" s="2"/>
      <c r="E548" s="2"/>
      <c r="F548" s="2"/>
      <c r="G548" s="62"/>
    </row>
    <row r="549" ht="15.75" customHeight="1">
      <c r="B549" s="79"/>
      <c r="C549" s="2"/>
      <c r="D549" s="2"/>
      <c r="E549" s="2"/>
      <c r="F549" s="2"/>
      <c r="G549" s="62"/>
    </row>
    <row r="550" ht="15.75" customHeight="1">
      <c r="B550" s="79"/>
      <c r="C550" s="2"/>
      <c r="D550" s="2"/>
      <c r="E550" s="2"/>
      <c r="F550" s="2"/>
      <c r="G550" s="62"/>
    </row>
    <row r="551" ht="15.75" customHeight="1">
      <c r="B551" s="79"/>
      <c r="C551" s="2"/>
      <c r="D551" s="2"/>
      <c r="E551" s="2"/>
      <c r="F551" s="2"/>
      <c r="G551" s="62"/>
    </row>
    <row r="552" ht="15.75" customHeight="1">
      <c r="B552" s="79"/>
      <c r="C552" s="2"/>
      <c r="D552" s="2"/>
      <c r="E552" s="2"/>
      <c r="F552" s="2"/>
      <c r="G552" s="62"/>
    </row>
    <row r="553" ht="15.75" customHeight="1">
      <c r="B553" s="79"/>
      <c r="C553" s="2"/>
      <c r="D553" s="2"/>
      <c r="E553" s="2"/>
      <c r="F553" s="2"/>
      <c r="G553" s="62"/>
    </row>
    <row r="554" ht="15.75" customHeight="1">
      <c r="B554" s="79"/>
      <c r="C554" s="2"/>
      <c r="D554" s="2"/>
      <c r="E554" s="2"/>
      <c r="F554" s="2"/>
      <c r="G554" s="62"/>
    </row>
    <row r="555" ht="15.75" customHeight="1">
      <c r="B555" s="79"/>
      <c r="C555" s="2"/>
      <c r="D555" s="2"/>
      <c r="E555" s="2"/>
      <c r="F555" s="2"/>
      <c r="G555" s="62"/>
    </row>
    <row r="556" ht="15.75" customHeight="1">
      <c r="B556" s="79"/>
      <c r="C556" s="2"/>
      <c r="D556" s="2"/>
      <c r="E556" s="2"/>
      <c r="F556" s="2"/>
      <c r="G556" s="62"/>
    </row>
    <row r="557" ht="15.75" customHeight="1">
      <c r="B557" s="79"/>
      <c r="C557" s="2"/>
      <c r="D557" s="2"/>
      <c r="E557" s="2"/>
      <c r="F557" s="2"/>
      <c r="G557" s="62"/>
    </row>
    <row r="558" ht="15.75" customHeight="1">
      <c r="B558" s="79"/>
      <c r="C558" s="2"/>
      <c r="D558" s="2"/>
      <c r="E558" s="2"/>
      <c r="F558" s="2"/>
      <c r="G558" s="62"/>
    </row>
    <row r="559" ht="15.75" customHeight="1">
      <c r="B559" s="79"/>
      <c r="C559" s="2"/>
      <c r="D559" s="2"/>
      <c r="E559" s="2"/>
      <c r="F559" s="2"/>
      <c r="G559" s="62"/>
    </row>
    <row r="560" ht="15.75" customHeight="1">
      <c r="B560" s="79"/>
      <c r="C560" s="2"/>
      <c r="D560" s="2"/>
      <c r="E560" s="2"/>
      <c r="F560" s="2"/>
      <c r="G560" s="62"/>
    </row>
    <row r="561" ht="15.75" customHeight="1">
      <c r="B561" s="79"/>
      <c r="C561" s="2"/>
      <c r="D561" s="2"/>
      <c r="E561" s="2"/>
      <c r="F561" s="2"/>
      <c r="G561" s="62"/>
    </row>
    <row r="562" ht="15.75" customHeight="1">
      <c r="B562" s="79"/>
      <c r="C562" s="2"/>
      <c r="D562" s="2"/>
      <c r="E562" s="2"/>
      <c r="F562" s="2"/>
      <c r="G562" s="62"/>
    </row>
    <row r="563" ht="15.75" customHeight="1">
      <c r="B563" s="79"/>
      <c r="C563" s="2"/>
      <c r="D563" s="2"/>
      <c r="E563" s="2"/>
      <c r="F563" s="2"/>
      <c r="G563" s="62"/>
    </row>
    <row r="564" ht="15.75" customHeight="1">
      <c r="B564" s="79"/>
      <c r="C564" s="2"/>
      <c r="D564" s="2"/>
      <c r="E564" s="2"/>
      <c r="F564" s="2"/>
      <c r="G564" s="62"/>
    </row>
    <row r="565" ht="15.75" customHeight="1">
      <c r="B565" s="79"/>
      <c r="C565" s="2"/>
      <c r="D565" s="2"/>
      <c r="E565" s="2"/>
      <c r="F565" s="2"/>
      <c r="G565" s="62"/>
    </row>
    <row r="566" ht="15.75" customHeight="1">
      <c r="B566" s="79"/>
      <c r="C566" s="2"/>
      <c r="D566" s="2"/>
      <c r="E566" s="2"/>
      <c r="F566" s="2"/>
      <c r="G566" s="62"/>
    </row>
    <row r="567" ht="15.75" customHeight="1">
      <c r="B567" s="79"/>
      <c r="C567" s="2"/>
      <c r="D567" s="2"/>
      <c r="E567" s="2"/>
      <c r="F567" s="2"/>
      <c r="G567" s="62"/>
    </row>
    <row r="568" ht="15.75" customHeight="1">
      <c r="B568" s="79"/>
      <c r="C568" s="2"/>
      <c r="D568" s="2"/>
      <c r="E568" s="2"/>
      <c r="F568" s="2"/>
      <c r="G568" s="62"/>
    </row>
    <row r="569" ht="15.75" customHeight="1">
      <c r="B569" s="79"/>
      <c r="C569" s="2"/>
      <c r="D569" s="2"/>
      <c r="E569" s="2"/>
      <c r="F569" s="2"/>
      <c r="G569" s="62"/>
    </row>
    <row r="570" ht="15.75" customHeight="1">
      <c r="B570" s="79"/>
      <c r="C570" s="2"/>
      <c r="D570" s="2"/>
      <c r="E570" s="2"/>
      <c r="F570" s="2"/>
      <c r="G570" s="62"/>
    </row>
    <row r="571" ht="15.75" customHeight="1">
      <c r="B571" s="79"/>
      <c r="C571" s="2"/>
      <c r="D571" s="2"/>
      <c r="E571" s="2"/>
      <c r="F571" s="2"/>
      <c r="G571" s="62"/>
    </row>
    <row r="572" ht="15.75" customHeight="1">
      <c r="B572" s="79"/>
      <c r="C572" s="2"/>
      <c r="D572" s="2"/>
      <c r="E572" s="2"/>
      <c r="F572" s="2"/>
      <c r="G572" s="62"/>
    </row>
    <row r="573" ht="15.75" customHeight="1">
      <c r="B573" s="79"/>
      <c r="C573" s="2"/>
      <c r="D573" s="2"/>
      <c r="E573" s="2"/>
      <c r="F573" s="2"/>
      <c r="G573" s="62"/>
    </row>
    <row r="574" ht="15.75" customHeight="1">
      <c r="B574" s="79"/>
      <c r="C574" s="2"/>
      <c r="D574" s="2"/>
      <c r="E574" s="2"/>
      <c r="F574" s="2"/>
      <c r="G574" s="62"/>
    </row>
    <row r="575" ht="15.75" customHeight="1">
      <c r="B575" s="79"/>
      <c r="C575" s="2"/>
      <c r="D575" s="2"/>
      <c r="E575" s="2"/>
      <c r="F575" s="2"/>
      <c r="G575" s="62"/>
    </row>
    <row r="576" ht="15.75" customHeight="1">
      <c r="B576" s="79"/>
      <c r="C576" s="2"/>
      <c r="D576" s="2"/>
      <c r="E576" s="2"/>
      <c r="F576" s="2"/>
      <c r="G576" s="62"/>
    </row>
    <row r="577" ht="15.75" customHeight="1">
      <c r="B577" s="79"/>
      <c r="C577" s="2"/>
      <c r="D577" s="2"/>
      <c r="E577" s="2"/>
      <c r="F577" s="2"/>
      <c r="G577" s="62"/>
    </row>
    <row r="578" ht="15.75" customHeight="1">
      <c r="B578" s="79"/>
      <c r="C578" s="2"/>
      <c r="D578" s="2"/>
      <c r="E578" s="2"/>
      <c r="F578" s="2"/>
      <c r="G578" s="62"/>
    </row>
    <row r="579" ht="15.75" customHeight="1">
      <c r="B579" s="79"/>
      <c r="C579" s="2"/>
      <c r="D579" s="2"/>
      <c r="E579" s="2"/>
      <c r="F579" s="2"/>
      <c r="G579" s="62"/>
    </row>
    <row r="580" ht="15.75" customHeight="1">
      <c r="B580" s="79"/>
      <c r="C580" s="2"/>
      <c r="D580" s="2"/>
      <c r="E580" s="2"/>
      <c r="F580" s="2"/>
      <c r="G580" s="62"/>
    </row>
    <row r="581" ht="15.75" customHeight="1">
      <c r="B581" s="79"/>
      <c r="C581" s="2"/>
      <c r="D581" s="2"/>
      <c r="E581" s="2"/>
      <c r="F581" s="2"/>
      <c r="G581" s="62"/>
    </row>
    <row r="582" ht="15.75" customHeight="1">
      <c r="B582" s="79"/>
      <c r="C582" s="2"/>
      <c r="D582" s="2"/>
      <c r="E582" s="2"/>
      <c r="F582" s="2"/>
      <c r="G582" s="62"/>
    </row>
    <row r="583" ht="15.75" customHeight="1">
      <c r="B583" s="79"/>
      <c r="C583" s="2"/>
      <c r="D583" s="2"/>
      <c r="E583" s="2"/>
      <c r="F583" s="2"/>
      <c r="G583" s="62"/>
    </row>
    <row r="584" ht="15.75" customHeight="1">
      <c r="B584" s="79"/>
      <c r="C584" s="2"/>
      <c r="D584" s="2"/>
      <c r="E584" s="2"/>
      <c r="F584" s="2"/>
      <c r="G584" s="62"/>
    </row>
    <row r="585" ht="15.75" customHeight="1">
      <c r="B585" s="79"/>
      <c r="C585" s="2"/>
      <c r="D585" s="2"/>
      <c r="E585" s="2"/>
      <c r="F585" s="2"/>
      <c r="G585" s="62"/>
    </row>
    <row r="586" ht="15.75" customHeight="1">
      <c r="B586" s="79"/>
      <c r="C586" s="2"/>
      <c r="D586" s="2"/>
      <c r="E586" s="2"/>
      <c r="F586" s="2"/>
      <c r="G586" s="62"/>
    </row>
    <row r="587" ht="15.75" customHeight="1">
      <c r="B587" s="79"/>
      <c r="C587" s="2"/>
      <c r="D587" s="2"/>
      <c r="E587" s="2"/>
      <c r="F587" s="2"/>
      <c r="G587" s="62"/>
    </row>
    <row r="588" ht="15.75" customHeight="1">
      <c r="B588" s="79"/>
      <c r="C588" s="2"/>
      <c r="D588" s="2"/>
      <c r="E588" s="2"/>
      <c r="F588" s="2"/>
      <c r="G588" s="62"/>
    </row>
    <row r="589" ht="15.75" customHeight="1">
      <c r="B589" s="79"/>
      <c r="C589" s="2"/>
      <c r="D589" s="2"/>
      <c r="E589" s="2"/>
      <c r="F589" s="2"/>
      <c r="G589" s="62"/>
    </row>
    <row r="590" ht="15.75" customHeight="1">
      <c r="B590" s="79"/>
      <c r="C590" s="2"/>
      <c r="D590" s="2"/>
      <c r="E590" s="2"/>
      <c r="F590" s="2"/>
      <c r="G590" s="62"/>
    </row>
    <row r="591" ht="15.75" customHeight="1">
      <c r="B591" s="79"/>
      <c r="C591" s="2"/>
      <c r="D591" s="2"/>
      <c r="E591" s="2"/>
      <c r="F591" s="2"/>
      <c r="G591" s="62"/>
    </row>
    <row r="592" ht="15.75" customHeight="1">
      <c r="B592" s="79"/>
      <c r="C592" s="2"/>
      <c r="D592" s="2"/>
      <c r="E592" s="2"/>
      <c r="F592" s="2"/>
      <c r="G592" s="62"/>
    </row>
    <row r="593" ht="15.75" customHeight="1">
      <c r="B593" s="79"/>
      <c r="C593" s="2"/>
      <c r="D593" s="2"/>
      <c r="E593" s="2"/>
      <c r="F593" s="2"/>
      <c r="G593" s="62"/>
    </row>
    <row r="594" ht="15.75" customHeight="1">
      <c r="B594" s="79"/>
      <c r="C594" s="2"/>
      <c r="D594" s="2"/>
      <c r="E594" s="2"/>
      <c r="F594" s="2"/>
      <c r="G594" s="62"/>
    </row>
    <row r="595" ht="15.75" customHeight="1">
      <c r="B595" s="79"/>
      <c r="C595" s="2"/>
      <c r="D595" s="2"/>
      <c r="E595" s="2"/>
      <c r="F595" s="2"/>
      <c r="G595" s="62"/>
    </row>
    <row r="596" ht="15.75" customHeight="1">
      <c r="B596" s="79"/>
      <c r="C596" s="2"/>
      <c r="D596" s="2"/>
      <c r="E596" s="2"/>
      <c r="F596" s="2"/>
      <c r="G596" s="62"/>
    </row>
    <row r="597" ht="15.75" customHeight="1">
      <c r="B597" s="79"/>
      <c r="C597" s="2"/>
      <c r="D597" s="2"/>
      <c r="E597" s="2"/>
      <c r="F597" s="2"/>
      <c r="G597" s="62"/>
    </row>
    <row r="598" ht="15.75" customHeight="1">
      <c r="B598" s="79"/>
      <c r="C598" s="2"/>
      <c r="D598" s="2"/>
      <c r="E598" s="2"/>
      <c r="F598" s="2"/>
      <c r="G598" s="62"/>
    </row>
    <row r="599" ht="15.75" customHeight="1">
      <c r="B599" s="79"/>
      <c r="C599" s="2"/>
      <c r="D599" s="2"/>
      <c r="E599" s="2"/>
      <c r="F599" s="2"/>
      <c r="G599" s="62"/>
    </row>
    <row r="600" ht="15.75" customHeight="1">
      <c r="B600" s="79"/>
      <c r="C600" s="2"/>
      <c r="D600" s="2"/>
      <c r="E600" s="2"/>
      <c r="F600" s="2"/>
      <c r="G600" s="62"/>
    </row>
    <row r="601" ht="15.75" customHeight="1">
      <c r="B601" s="79"/>
      <c r="C601" s="2"/>
      <c r="D601" s="2"/>
      <c r="E601" s="2"/>
      <c r="F601" s="2"/>
      <c r="G601" s="62"/>
    </row>
    <row r="602" ht="15.75" customHeight="1">
      <c r="B602" s="79"/>
      <c r="C602" s="2"/>
      <c r="D602" s="2"/>
      <c r="E602" s="2"/>
      <c r="F602" s="2"/>
      <c r="G602" s="62"/>
    </row>
    <row r="603" ht="15.75" customHeight="1">
      <c r="B603" s="79"/>
      <c r="C603" s="2"/>
      <c r="D603" s="2"/>
      <c r="E603" s="2"/>
      <c r="F603" s="2"/>
      <c r="G603" s="62"/>
    </row>
    <row r="604" ht="15.75" customHeight="1">
      <c r="B604" s="79"/>
      <c r="C604" s="2"/>
      <c r="D604" s="2"/>
      <c r="E604" s="2"/>
      <c r="F604" s="2"/>
      <c r="G604" s="62"/>
    </row>
    <row r="605" ht="15.75" customHeight="1">
      <c r="B605" s="79"/>
      <c r="C605" s="2"/>
      <c r="D605" s="2"/>
      <c r="E605" s="2"/>
      <c r="F605" s="2"/>
      <c r="G605" s="62"/>
    </row>
    <row r="606" ht="15.75" customHeight="1">
      <c r="B606" s="79"/>
      <c r="C606" s="2"/>
      <c r="D606" s="2"/>
      <c r="E606" s="2"/>
      <c r="F606" s="2"/>
      <c r="G606" s="62"/>
    </row>
    <row r="607" ht="15.75" customHeight="1">
      <c r="B607" s="79"/>
      <c r="C607" s="2"/>
      <c r="D607" s="2"/>
      <c r="E607" s="2"/>
      <c r="F607" s="2"/>
      <c r="G607" s="62"/>
    </row>
    <row r="608" ht="15.75" customHeight="1">
      <c r="B608" s="79"/>
      <c r="C608" s="2"/>
      <c r="D608" s="2"/>
      <c r="E608" s="2"/>
      <c r="F608" s="2"/>
      <c r="G608" s="62"/>
    </row>
    <row r="609" ht="15.75" customHeight="1">
      <c r="B609" s="79"/>
      <c r="C609" s="2"/>
      <c r="D609" s="2"/>
      <c r="E609" s="2"/>
      <c r="F609" s="2"/>
      <c r="G609" s="62"/>
    </row>
    <row r="610" ht="15.75" customHeight="1">
      <c r="B610" s="79"/>
      <c r="C610" s="2"/>
      <c r="D610" s="2"/>
      <c r="E610" s="2"/>
      <c r="F610" s="2"/>
      <c r="G610" s="62"/>
    </row>
    <row r="611" ht="15.75" customHeight="1">
      <c r="B611" s="79"/>
      <c r="C611" s="2"/>
      <c r="D611" s="2"/>
      <c r="E611" s="2"/>
      <c r="F611" s="2"/>
      <c r="G611" s="62"/>
    </row>
    <row r="612" ht="15.75" customHeight="1">
      <c r="B612" s="79"/>
      <c r="C612" s="2"/>
      <c r="D612" s="2"/>
      <c r="E612" s="2"/>
      <c r="F612" s="2"/>
      <c r="G612" s="62"/>
    </row>
    <row r="613" ht="15.75" customHeight="1">
      <c r="B613" s="79"/>
      <c r="C613" s="2"/>
      <c r="D613" s="2"/>
      <c r="E613" s="2"/>
      <c r="F613" s="2"/>
      <c r="G613" s="62"/>
    </row>
    <row r="614" ht="15.75" customHeight="1">
      <c r="B614" s="79"/>
      <c r="C614" s="2"/>
      <c r="D614" s="2"/>
      <c r="E614" s="2"/>
      <c r="F614" s="2"/>
      <c r="G614" s="62"/>
    </row>
    <row r="615" ht="15.75" customHeight="1">
      <c r="B615" s="79"/>
      <c r="C615" s="2"/>
      <c r="D615" s="2"/>
      <c r="E615" s="2"/>
      <c r="F615" s="2"/>
      <c r="G615" s="62"/>
    </row>
    <row r="616" ht="15.75" customHeight="1">
      <c r="B616" s="79"/>
      <c r="C616" s="2"/>
      <c r="D616" s="2"/>
      <c r="E616" s="2"/>
      <c r="F616" s="2"/>
      <c r="G616" s="62"/>
    </row>
    <row r="617" ht="15.75" customHeight="1">
      <c r="B617" s="79"/>
      <c r="C617" s="2"/>
      <c r="D617" s="2"/>
      <c r="E617" s="2"/>
      <c r="F617" s="2"/>
      <c r="G617" s="62"/>
    </row>
    <row r="618" ht="15.75" customHeight="1">
      <c r="B618" s="79"/>
      <c r="C618" s="2"/>
      <c r="D618" s="2"/>
      <c r="E618" s="2"/>
      <c r="F618" s="2"/>
      <c r="G618" s="62"/>
    </row>
    <row r="619" ht="15.75" customHeight="1">
      <c r="B619" s="79"/>
      <c r="C619" s="2"/>
      <c r="D619" s="2"/>
      <c r="E619" s="2"/>
      <c r="F619" s="2"/>
      <c r="G619" s="62"/>
    </row>
    <row r="620" ht="15.75" customHeight="1">
      <c r="B620" s="79"/>
      <c r="C620" s="2"/>
      <c r="D620" s="2"/>
      <c r="E620" s="2"/>
      <c r="F620" s="2"/>
      <c r="G620" s="62"/>
    </row>
    <row r="621" ht="15.75" customHeight="1">
      <c r="B621" s="79"/>
      <c r="C621" s="2"/>
      <c r="D621" s="2"/>
      <c r="E621" s="2"/>
      <c r="F621" s="2"/>
      <c r="G621" s="62"/>
    </row>
    <row r="622" ht="15.75" customHeight="1">
      <c r="B622" s="79"/>
      <c r="C622" s="2"/>
      <c r="D622" s="2"/>
      <c r="E622" s="2"/>
      <c r="F622" s="2"/>
      <c r="G622" s="62"/>
    </row>
    <row r="623" ht="15.75" customHeight="1">
      <c r="B623" s="79"/>
      <c r="C623" s="2"/>
      <c r="D623" s="2"/>
      <c r="E623" s="2"/>
      <c r="F623" s="2"/>
      <c r="G623" s="62"/>
    </row>
    <row r="624" ht="15.75" customHeight="1">
      <c r="B624" s="79"/>
      <c r="C624" s="2"/>
      <c r="D624" s="2"/>
      <c r="E624" s="2"/>
      <c r="F624" s="2"/>
      <c r="G624" s="62"/>
    </row>
    <row r="625" ht="15.75" customHeight="1">
      <c r="B625" s="79"/>
      <c r="C625" s="2"/>
      <c r="D625" s="2"/>
      <c r="E625" s="2"/>
      <c r="F625" s="2"/>
      <c r="G625" s="62"/>
    </row>
    <row r="626" ht="15.75" customHeight="1">
      <c r="B626" s="79"/>
      <c r="C626" s="2"/>
      <c r="D626" s="2"/>
      <c r="E626" s="2"/>
      <c r="F626" s="2"/>
      <c r="G626" s="62"/>
    </row>
    <row r="627" ht="15.75" customHeight="1">
      <c r="B627" s="79"/>
      <c r="C627" s="2"/>
      <c r="D627" s="2"/>
      <c r="E627" s="2"/>
      <c r="F627" s="2"/>
      <c r="G627" s="62"/>
    </row>
    <row r="628" ht="15.75" customHeight="1">
      <c r="B628" s="79"/>
      <c r="C628" s="2"/>
      <c r="D628" s="2"/>
      <c r="E628" s="2"/>
      <c r="F628" s="2"/>
      <c r="G628" s="62"/>
    </row>
    <row r="629" ht="15.75" customHeight="1">
      <c r="B629" s="79"/>
      <c r="C629" s="2"/>
      <c r="D629" s="2"/>
      <c r="E629" s="2"/>
      <c r="F629" s="2"/>
      <c r="G629" s="62"/>
    </row>
    <row r="630" ht="15.75" customHeight="1">
      <c r="B630" s="79"/>
      <c r="C630" s="2"/>
      <c r="D630" s="2"/>
      <c r="E630" s="2"/>
      <c r="F630" s="2"/>
      <c r="G630" s="62"/>
    </row>
    <row r="631" ht="15.75" customHeight="1">
      <c r="B631" s="79"/>
      <c r="C631" s="2"/>
      <c r="D631" s="2"/>
      <c r="E631" s="2"/>
      <c r="F631" s="2"/>
      <c r="G631" s="62"/>
    </row>
    <row r="632" ht="15.75" customHeight="1">
      <c r="B632" s="79"/>
      <c r="C632" s="2"/>
      <c r="D632" s="2"/>
      <c r="E632" s="2"/>
      <c r="F632" s="2"/>
      <c r="G632" s="62"/>
    </row>
    <row r="633" ht="15.75" customHeight="1">
      <c r="B633" s="79"/>
      <c r="C633" s="2"/>
      <c r="D633" s="2"/>
      <c r="E633" s="2"/>
      <c r="F633" s="2"/>
      <c r="G633" s="62"/>
    </row>
    <row r="634" ht="15.75" customHeight="1">
      <c r="B634" s="79"/>
      <c r="C634" s="2"/>
      <c r="D634" s="2"/>
      <c r="E634" s="2"/>
      <c r="F634" s="2"/>
      <c r="G634" s="62"/>
    </row>
    <row r="635" ht="15.75" customHeight="1">
      <c r="B635" s="79"/>
      <c r="C635" s="2"/>
      <c r="D635" s="2"/>
      <c r="E635" s="2"/>
      <c r="F635" s="2"/>
      <c r="G635" s="62"/>
    </row>
    <row r="636" ht="15.75" customHeight="1">
      <c r="B636" s="79"/>
      <c r="C636" s="2"/>
      <c r="D636" s="2"/>
      <c r="E636" s="2"/>
      <c r="F636" s="2"/>
      <c r="G636" s="62"/>
    </row>
    <row r="637" ht="15.75" customHeight="1">
      <c r="B637" s="79"/>
      <c r="C637" s="2"/>
      <c r="D637" s="2"/>
      <c r="E637" s="2"/>
      <c r="F637" s="2"/>
      <c r="G637" s="62"/>
    </row>
    <row r="638" ht="15.75" customHeight="1">
      <c r="B638" s="79"/>
      <c r="C638" s="2"/>
      <c r="D638" s="2"/>
      <c r="E638" s="2"/>
      <c r="F638" s="2"/>
      <c r="G638" s="62"/>
    </row>
    <row r="639" ht="15.75" customHeight="1">
      <c r="B639" s="79"/>
      <c r="C639" s="2"/>
      <c r="D639" s="2"/>
      <c r="E639" s="2"/>
      <c r="F639" s="2"/>
      <c r="G639" s="62"/>
    </row>
    <row r="640" ht="15.75" customHeight="1">
      <c r="B640" s="79"/>
      <c r="C640" s="2"/>
      <c r="D640" s="2"/>
      <c r="E640" s="2"/>
      <c r="F640" s="2"/>
      <c r="G640" s="62"/>
    </row>
    <row r="641" ht="15.75" customHeight="1">
      <c r="B641" s="79"/>
      <c r="C641" s="2"/>
      <c r="D641" s="2"/>
      <c r="E641" s="2"/>
      <c r="F641" s="2"/>
      <c r="G641" s="62"/>
    </row>
    <row r="642" ht="15.75" customHeight="1">
      <c r="B642" s="79"/>
      <c r="C642" s="2"/>
      <c r="D642" s="2"/>
      <c r="E642" s="2"/>
      <c r="F642" s="2"/>
      <c r="G642" s="62"/>
    </row>
    <row r="643" ht="15.75" customHeight="1">
      <c r="B643" s="79"/>
      <c r="C643" s="2"/>
      <c r="D643" s="2"/>
      <c r="E643" s="2"/>
      <c r="F643" s="2"/>
      <c r="G643" s="62"/>
    </row>
    <row r="644" ht="15.75" customHeight="1">
      <c r="B644" s="79"/>
      <c r="C644" s="2"/>
      <c r="D644" s="2"/>
      <c r="E644" s="2"/>
      <c r="F644" s="2"/>
      <c r="G644" s="62"/>
    </row>
    <row r="645" ht="15.75" customHeight="1">
      <c r="B645" s="79"/>
      <c r="C645" s="2"/>
      <c r="D645" s="2"/>
      <c r="E645" s="2"/>
      <c r="F645" s="2"/>
      <c r="G645" s="62"/>
    </row>
    <row r="646" ht="15.75" customHeight="1">
      <c r="B646" s="79"/>
      <c r="C646" s="2"/>
      <c r="D646" s="2"/>
      <c r="E646" s="2"/>
      <c r="F646" s="2"/>
      <c r="G646" s="62"/>
    </row>
    <row r="647" ht="15.75" customHeight="1">
      <c r="B647" s="79"/>
      <c r="C647" s="2"/>
      <c r="D647" s="2"/>
      <c r="E647" s="2"/>
      <c r="F647" s="2"/>
      <c r="G647" s="62"/>
    </row>
    <row r="648" ht="15.75" customHeight="1">
      <c r="B648" s="79"/>
      <c r="C648" s="2"/>
      <c r="D648" s="2"/>
      <c r="E648" s="2"/>
      <c r="F648" s="2"/>
      <c r="G648" s="62"/>
    </row>
    <row r="649" ht="15.75" customHeight="1">
      <c r="B649" s="79"/>
      <c r="C649" s="2"/>
      <c r="D649" s="2"/>
      <c r="E649" s="2"/>
      <c r="F649" s="2"/>
      <c r="G649" s="62"/>
    </row>
    <row r="650" ht="15.75" customHeight="1">
      <c r="B650" s="79"/>
      <c r="C650" s="2"/>
      <c r="D650" s="2"/>
      <c r="E650" s="2"/>
      <c r="F650" s="2"/>
      <c r="G650" s="62"/>
    </row>
    <row r="651" ht="15.75" customHeight="1">
      <c r="B651" s="79"/>
      <c r="C651" s="2"/>
      <c r="D651" s="2"/>
      <c r="E651" s="2"/>
      <c r="F651" s="2"/>
      <c r="G651" s="62"/>
    </row>
    <row r="652" ht="15.75" customHeight="1">
      <c r="B652" s="79"/>
      <c r="C652" s="2"/>
      <c r="D652" s="2"/>
      <c r="E652" s="2"/>
      <c r="F652" s="2"/>
      <c r="G652" s="62"/>
    </row>
    <row r="653" ht="15.75" customHeight="1">
      <c r="B653" s="79"/>
      <c r="C653" s="2"/>
      <c r="D653" s="2"/>
      <c r="E653" s="2"/>
      <c r="F653" s="2"/>
      <c r="G653" s="62"/>
    </row>
    <row r="654" ht="15.75" customHeight="1">
      <c r="B654" s="79"/>
      <c r="C654" s="2"/>
      <c r="D654" s="2"/>
      <c r="E654" s="2"/>
      <c r="F654" s="2"/>
      <c r="G654" s="62"/>
    </row>
    <row r="655" ht="15.75" customHeight="1">
      <c r="B655" s="79"/>
      <c r="C655" s="2"/>
      <c r="D655" s="2"/>
      <c r="E655" s="2"/>
      <c r="F655" s="2"/>
      <c r="G655" s="62"/>
    </row>
    <row r="656" ht="15.75" customHeight="1">
      <c r="B656" s="79"/>
      <c r="C656" s="2"/>
      <c r="D656" s="2"/>
      <c r="E656" s="2"/>
      <c r="F656" s="2"/>
      <c r="G656" s="62"/>
    </row>
    <row r="657" ht="15.75" customHeight="1">
      <c r="B657" s="79"/>
      <c r="C657" s="2"/>
      <c r="D657" s="2"/>
      <c r="E657" s="2"/>
      <c r="F657" s="2"/>
      <c r="G657" s="62"/>
    </row>
    <row r="658" ht="15.75" customHeight="1">
      <c r="B658" s="79"/>
      <c r="C658" s="2"/>
      <c r="D658" s="2"/>
      <c r="E658" s="2"/>
      <c r="F658" s="2"/>
      <c r="G658" s="62"/>
    </row>
    <row r="659" ht="15.75" customHeight="1">
      <c r="B659" s="79"/>
      <c r="C659" s="2"/>
      <c r="D659" s="2"/>
      <c r="E659" s="2"/>
      <c r="F659" s="2"/>
      <c r="G659" s="62"/>
    </row>
    <row r="660" ht="15.75" customHeight="1">
      <c r="B660" s="79"/>
      <c r="C660" s="2"/>
      <c r="D660" s="2"/>
      <c r="E660" s="2"/>
      <c r="F660" s="2"/>
      <c r="G660" s="62"/>
    </row>
    <row r="661" ht="15.75" customHeight="1">
      <c r="B661" s="79"/>
      <c r="C661" s="2"/>
      <c r="D661" s="2"/>
      <c r="E661" s="2"/>
      <c r="F661" s="2"/>
      <c r="G661" s="62"/>
    </row>
    <row r="662" ht="15.75" customHeight="1">
      <c r="B662" s="79"/>
      <c r="C662" s="2"/>
      <c r="D662" s="2"/>
      <c r="E662" s="2"/>
      <c r="F662" s="2"/>
      <c r="G662" s="62"/>
    </row>
    <row r="663" ht="15.75" customHeight="1">
      <c r="B663" s="79"/>
      <c r="C663" s="2"/>
      <c r="D663" s="2"/>
      <c r="E663" s="2"/>
      <c r="F663" s="2"/>
      <c r="G663" s="62"/>
    </row>
    <row r="664" ht="15.75" customHeight="1">
      <c r="B664" s="79"/>
      <c r="C664" s="2"/>
      <c r="D664" s="2"/>
      <c r="E664" s="2"/>
      <c r="F664" s="2"/>
      <c r="G664" s="62"/>
    </row>
    <row r="665" ht="15.75" customHeight="1">
      <c r="B665" s="79"/>
      <c r="C665" s="2"/>
      <c r="D665" s="2"/>
      <c r="E665" s="2"/>
      <c r="F665" s="2"/>
      <c r="G665" s="62"/>
    </row>
    <row r="666" ht="15.75" customHeight="1">
      <c r="B666" s="79"/>
      <c r="C666" s="2"/>
      <c r="D666" s="2"/>
      <c r="E666" s="2"/>
      <c r="F666" s="2"/>
      <c r="G666" s="62"/>
    </row>
    <row r="667" ht="15.75" customHeight="1">
      <c r="B667" s="79"/>
      <c r="C667" s="2"/>
      <c r="D667" s="2"/>
      <c r="E667" s="2"/>
      <c r="F667" s="2"/>
      <c r="G667" s="62"/>
    </row>
    <row r="668" ht="15.75" customHeight="1">
      <c r="B668" s="79"/>
      <c r="C668" s="2"/>
      <c r="D668" s="2"/>
      <c r="E668" s="2"/>
      <c r="F668" s="2"/>
      <c r="G668" s="62"/>
    </row>
    <row r="669" ht="15.75" customHeight="1">
      <c r="B669" s="79"/>
      <c r="C669" s="2"/>
      <c r="D669" s="2"/>
      <c r="E669" s="2"/>
      <c r="F669" s="2"/>
      <c r="G669" s="62"/>
    </row>
    <row r="670" ht="15.75" customHeight="1">
      <c r="B670" s="79"/>
      <c r="C670" s="2"/>
      <c r="D670" s="2"/>
      <c r="E670" s="2"/>
      <c r="F670" s="2"/>
      <c r="G670" s="62"/>
    </row>
    <row r="671" ht="15.75" customHeight="1">
      <c r="B671" s="79"/>
      <c r="C671" s="2"/>
      <c r="D671" s="2"/>
      <c r="E671" s="2"/>
      <c r="F671" s="2"/>
      <c r="G671" s="62"/>
    </row>
    <row r="672" ht="15.75" customHeight="1">
      <c r="B672" s="79"/>
      <c r="C672" s="2"/>
      <c r="D672" s="2"/>
      <c r="E672" s="2"/>
      <c r="F672" s="2"/>
      <c r="G672" s="62"/>
    </row>
    <row r="673" ht="15.75" customHeight="1">
      <c r="B673" s="79"/>
      <c r="C673" s="2"/>
      <c r="D673" s="2"/>
      <c r="E673" s="2"/>
      <c r="F673" s="2"/>
      <c r="G673" s="62"/>
    </row>
    <row r="674" ht="15.75" customHeight="1">
      <c r="B674" s="79"/>
      <c r="C674" s="2"/>
      <c r="D674" s="2"/>
      <c r="E674" s="2"/>
      <c r="F674" s="2"/>
      <c r="G674" s="62"/>
    </row>
    <row r="675" ht="15.75" customHeight="1">
      <c r="B675" s="79"/>
      <c r="C675" s="2"/>
      <c r="D675" s="2"/>
      <c r="E675" s="2"/>
      <c r="F675" s="2"/>
      <c r="G675" s="62"/>
    </row>
    <row r="676" ht="15.75" customHeight="1">
      <c r="B676" s="79"/>
      <c r="C676" s="2"/>
      <c r="D676" s="2"/>
      <c r="E676" s="2"/>
      <c r="F676" s="2"/>
      <c r="G676" s="62"/>
    </row>
    <row r="677" ht="15.75" customHeight="1">
      <c r="B677" s="79"/>
      <c r="C677" s="2"/>
      <c r="D677" s="2"/>
      <c r="E677" s="2"/>
      <c r="F677" s="2"/>
      <c r="G677" s="62"/>
    </row>
    <row r="678" ht="15.75" customHeight="1">
      <c r="B678" s="79"/>
      <c r="C678" s="2"/>
      <c r="D678" s="2"/>
      <c r="E678" s="2"/>
      <c r="F678" s="2"/>
      <c r="G678" s="62"/>
    </row>
    <row r="679" ht="15.75" customHeight="1">
      <c r="B679" s="79"/>
      <c r="C679" s="2"/>
      <c r="D679" s="2"/>
      <c r="E679" s="2"/>
      <c r="F679" s="2"/>
      <c r="G679" s="62"/>
    </row>
    <row r="680" ht="15.75" customHeight="1">
      <c r="B680" s="79"/>
      <c r="C680" s="2"/>
      <c r="D680" s="2"/>
      <c r="E680" s="2"/>
      <c r="F680" s="2"/>
      <c r="G680" s="62"/>
    </row>
    <row r="681" ht="15.75" customHeight="1">
      <c r="B681" s="79"/>
      <c r="C681" s="2"/>
      <c r="D681" s="2"/>
      <c r="E681" s="2"/>
      <c r="F681" s="2"/>
      <c r="G681" s="62"/>
    </row>
    <row r="682" ht="15.75" customHeight="1">
      <c r="B682" s="79"/>
      <c r="C682" s="2"/>
      <c r="D682" s="2"/>
      <c r="E682" s="2"/>
      <c r="F682" s="2"/>
      <c r="G682" s="62"/>
    </row>
    <row r="683" ht="15.75" customHeight="1">
      <c r="B683" s="79"/>
      <c r="C683" s="2"/>
      <c r="D683" s="2"/>
      <c r="E683" s="2"/>
      <c r="F683" s="2"/>
      <c r="G683" s="62"/>
    </row>
    <row r="684" ht="15.75" customHeight="1">
      <c r="B684" s="79"/>
      <c r="C684" s="2"/>
      <c r="D684" s="2"/>
      <c r="E684" s="2"/>
      <c r="F684" s="2"/>
      <c r="G684" s="62"/>
    </row>
    <row r="685" ht="15.75" customHeight="1">
      <c r="B685" s="79"/>
      <c r="C685" s="2"/>
      <c r="D685" s="2"/>
      <c r="E685" s="2"/>
      <c r="F685" s="2"/>
      <c r="G685" s="62"/>
    </row>
    <row r="686" ht="15.75" customHeight="1">
      <c r="B686" s="79"/>
      <c r="C686" s="2"/>
      <c r="D686" s="2"/>
      <c r="E686" s="2"/>
      <c r="F686" s="2"/>
      <c r="G686" s="62"/>
    </row>
    <row r="687" ht="15.75" customHeight="1">
      <c r="B687" s="79"/>
      <c r="C687" s="2"/>
      <c r="D687" s="2"/>
      <c r="E687" s="2"/>
      <c r="F687" s="2"/>
      <c r="G687" s="62"/>
    </row>
    <row r="688" ht="15.75" customHeight="1">
      <c r="B688" s="79"/>
      <c r="C688" s="2"/>
      <c r="D688" s="2"/>
      <c r="E688" s="2"/>
      <c r="F688" s="2"/>
      <c r="G688" s="62"/>
    </row>
    <row r="689" ht="15.75" customHeight="1">
      <c r="B689" s="79"/>
      <c r="C689" s="2"/>
      <c r="D689" s="2"/>
      <c r="E689" s="2"/>
      <c r="F689" s="2"/>
      <c r="G689" s="62"/>
    </row>
    <row r="690" ht="15.75" customHeight="1">
      <c r="B690" s="79"/>
      <c r="C690" s="2"/>
      <c r="D690" s="2"/>
      <c r="E690" s="2"/>
      <c r="F690" s="2"/>
      <c r="G690" s="62"/>
    </row>
    <row r="691" ht="15.75" customHeight="1">
      <c r="B691" s="79"/>
      <c r="C691" s="2"/>
      <c r="D691" s="2"/>
      <c r="E691" s="2"/>
      <c r="F691" s="2"/>
      <c r="G691" s="62"/>
    </row>
    <row r="692" ht="15.75" customHeight="1">
      <c r="B692" s="79"/>
      <c r="C692" s="2"/>
      <c r="D692" s="2"/>
      <c r="E692" s="2"/>
      <c r="F692" s="2"/>
      <c r="G692" s="62"/>
    </row>
    <row r="693" ht="15.75" customHeight="1">
      <c r="B693" s="79"/>
      <c r="C693" s="2"/>
      <c r="D693" s="2"/>
      <c r="E693" s="2"/>
      <c r="F693" s="2"/>
      <c r="G693" s="62"/>
    </row>
    <row r="694" ht="15.75" customHeight="1">
      <c r="B694" s="79"/>
      <c r="C694" s="2"/>
      <c r="D694" s="2"/>
      <c r="E694" s="2"/>
      <c r="F694" s="2"/>
      <c r="G694" s="62"/>
    </row>
    <row r="695" ht="15.75" customHeight="1">
      <c r="B695" s="79"/>
      <c r="C695" s="2"/>
      <c r="D695" s="2"/>
      <c r="E695" s="2"/>
      <c r="F695" s="2"/>
      <c r="G695" s="62"/>
    </row>
    <row r="696" ht="15.75" customHeight="1">
      <c r="B696" s="79"/>
      <c r="C696" s="2"/>
      <c r="D696" s="2"/>
      <c r="E696" s="2"/>
      <c r="F696" s="2"/>
      <c r="G696" s="62"/>
    </row>
    <row r="697" ht="15.75" customHeight="1">
      <c r="B697" s="79"/>
      <c r="C697" s="2"/>
      <c r="D697" s="2"/>
      <c r="E697" s="2"/>
      <c r="F697" s="2"/>
      <c r="G697" s="62"/>
    </row>
    <row r="698" ht="15.75" customHeight="1">
      <c r="B698" s="79"/>
      <c r="C698" s="2"/>
      <c r="D698" s="2"/>
      <c r="E698" s="2"/>
      <c r="F698" s="2"/>
      <c r="G698" s="62"/>
    </row>
    <row r="699" ht="15.75" customHeight="1">
      <c r="B699" s="79"/>
      <c r="C699" s="2"/>
      <c r="D699" s="2"/>
      <c r="E699" s="2"/>
      <c r="F699" s="2"/>
      <c r="G699" s="62"/>
    </row>
    <row r="700" ht="15.75" customHeight="1">
      <c r="B700" s="79"/>
      <c r="C700" s="2"/>
      <c r="D700" s="2"/>
      <c r="E700" s="2"/>
      <c r="F700" s="2"/>
      <c r="G700" s="62"/>
    </row>
    <row r="701" ht="15.75" customHeight="1">
      <c r="B701" s="79"/>
      <c r="C701" s="2"/>
      <c r="D701" s="2"/>
      <c r="E701" s="2"/>
      <c r="F701" s="2"/>
      <c r="G701" s="62"/>
    </row>
    <row r="702" ht="15.75" customHeight="1">
      <c r="B702" s="79"/>
      <c r="C702" s="2"/>
      <c r="D702" s="2"/>
      <c r="E702" s="2"/>
      <c r="F702" s="2"/>
      <c r="G702" s="62"/>
    </row>
    <row r="703" ht="15.75" customHeight="1">
      <c r="B703" s="79"/>
      <c r="C703" s="2"/>
      <c r="D703" s="2"/>
      <c r="E703" s="2"/>
      <c r="F703" s="2"/>
      <c r="G703" s="62"/>
    </row>
    <row r="704" ht="15.75" customHeight="1">
      <c r="B704" s="79"/>
      <c r="C704" s="2"/>
      <c r="D704" s="2"/>
      <c r="E704" s="2"/>
      <c r="F704" s="2"/>
      <c r="G704" s="62"/>
    </row>
    <row r="705" ht="15.75" customHeight="1">
      <c r="B705" s="79"/>
      <c r="C705" s="2"/>
      <c r="D705" s="2"/>
      <c r="E705" s="2"/>
      <c r="F705" s="2"/>
      <c r="G705" s="62"/>
    </row>
    <row r="706" ht="15.75" customHeight="1">
      <c r="B706" s="79"/>
      <c r="C706" s="2"/>
      <c r="D706" s="2"/>
      <c r="E706" s="2"/>
      <c r="F706" s="2"/>
      <c r="G706" s="62"/>
    </row>
    <row r="707" ht="15.75" customHeight="1">
      <c r="B707" s="79"/>
      <c r="C707" s="2"/>
      <c r="D707" s="2"/>
      <c r="E707" s="2"/>
      <c r="F707" s="2"/>
      <c r="G707" s="62"/>
    </row>
    <row r="708" ht="15.75" customHeight="1">
      <c r="B708" s="79"/>
      <c r="C708" s="2"/>
      <c r="D708" s="2"/>
      <c r="E708" s="2"/>
      <c r="F708" s="2"/>
      <c r="G708" s="62"/>
    </row>
    <row r="709" ht="15.75" customHeight="1">
      <c r="B709" s="79"/>
      <c r="C709" s="2"/>
      <c r="D709" s="2"/>
      <c r="E709" s="2"/>
      <c r="F709" s="2"/>
      <c r="G709" s="62"/>
    </row>
    <row r="710" ht="15.75" customHeight="1">
      <c r="B710" s="79"/>
      <c r="C710" s="2"/>
      <c r="D710" s="2"/>
      <c r="E710" s="2"/>
      <c r="F710" s="2"/>
      <c r="G710" s="62"/>
    </row>
    <row r="711" ht="15.75" customHeight="1">
      <c r="B711" s="79"/>
      <c r="C711" s="2"/>
      <c r="D711" s="2"/>
      <c r="E711" s="2"/>
      <c r="F711" s="2"/>
      <c r="G711" s="62"/>
    </row>
    <row r="712" ht="15.75" customHeight="1">
      <c r="B712" s="79"/>
      <c r="C712" s="2"/>
      <c r="D712" s="2"/>
      <c r="E712" s="2"/>
      <c r="F712" s="2"/>
      <c r="G712" s="62"/>
    </row>
    <row r="713" ht="15.75" customHeight="1">
      <c r="B713" s="79"/>
      <c r="C713" s="2"/>
      <c r="D713" s="2"/>
      <c r="E713" s="2"/>
      <c r="F713" s="2"/>
      <c r="G713" s="62"/>
    </row>
    <row r="714" ht="15.75" customHeight="1">
      <c r="B714" s="79"/>
      <c r="C714" s="2"/>
      <c r="D714" s="2"/>
      <c r="E714" s="2"/>
      <c r="F714" s="2"/>
      <c r="G714" s="62"/>
    </row>
    <row r="715" ht="15.75" customHeight="1">
      <c r="B715" s="79"/>
      <c r="C715" s="2"/>
      <c r="D715" s="2"/>
      <c r="E715" s="2"/>
      <c r="F715" s="2"/>
      <c r="G715" s="62"/>
    </row>
    <row r="716" ht="15.75" customHeight="1">
      <c r="B716" s="79"/>
      <c r="C716" s="2"/>
      <c r="D716" s="2"/>
      <c r="E716" s="2"/>
      <c r="F716" s="2"/>
      <c r="G716" s="62"/>
    </row>
    <row r="717" ht="15.75" customHeight="1">
      <c r="B717" s="79"/>
      <c r="C717" s="2"/>
      <c r="D717" s="2"/>
      <c r="E717" s="2"/>
      <c r="F717" s="2"/>
      <c r="G717" s="62"/>
    </row>
    <row r="718" ht="15.75" customHeight="1">
      <c r="B718" s="79"/>
      <c r="C718" s="2"/>
      <c r="D718" s="2"/>
      <c r="E718" s="2"/>
      <c r="F718" s="2"/>
      <c r="G718" s="62"/>
    </row>
    <row r="719" ht="15.75" customHeight="1">
      <c r="B719" s="79"/>
      <c r="C719" s="2"/>
      <c r="D719" s="2"/>
      <c r="E719" s="2"/>
      <c r="F719" s="2"/>
      <c r="G719" s="62"/>
    </row>
    <row r="720" ht="15.75" customHeight="1">
      <c r="B720" s="79"/>
      <c r="C720" s="2"/>
      <c r="D720" s="2"/>
      <c r="E720" s="2"/>
      <c r="F720" s="2"/>
      <c r="G720" s="62"/>
    </row>
    <row r="721" ht="15.75" customHeight="1">
      <c r="B721" s="79"/>
      <c r="C721" s="2"/>
      <c r="D721" s="2"/>
      <c r="E721" s="2"/>
      <c r="F721" s="2"/>
      <c r="G721" s="62"/>
    </row>
    <row r="722" ht="15.75" customHeight="1">
      <c r="B722" s="79"/>
      <c r="C722" s="2"/>
      <c r="D722" s="2"/>
      <c r="E722" s="2"/>
      <c r="F722" s="2"/>
      <c r="G722" s="62"/>
    </row>
    <row r="723" ht="15.75" customHeight="1">
      <c r="B723" s="79"/>
      <c r="C723" s="2"/>
      <c r="D723" s="2"/>
      <c r="E723" s="2"/>
      <c r="F723" s="2"/>
      <c r="G723" s="62"/>
    </row>
    <row r="724" ht="15.75" customHeight="1">
      <c r="B724" s="79"/>
      <c r="C724" s="2"/>
      <c r="D724" s="2"/>
      <c r="E724" s="2"/>
      <c r="F724" s="2"/>
      <c r="G724" s="62"/>
    </row>
    <row r="725" ht="15.75" customHeight="1">
      <c r="B725" s="79"/>
      <c r="C725" s="2"/>
      <c r="D725" s="2"/>
      <c r="E725" s="2"/>
      <c r="F725" s="2"/>
      <c r="G725" s="62"/>
    </row>
    <row r="726" ht="15.75" customHeight="1">
      <c r="B726" s="79"/>
      <c r="C726" s="2"/>
      <c r="D726" s="2"/>
      <c r="E726" s="2"/>
      <c r="F726" s="2"/>
      <c r="G726" s="62"/>
    </row>
    <row r="727" ht="15.75" customHeight="1">
      <c r="B727" s="79"/>
      <c r="C727" s="2"/>
      <c r="D727" s="2"/>
      <c r="E727" s="2"/>
      <c r="F727" s="2"/>
      <c r="G727" s="62"/>
    </row>
    <row r="728" ht="15.75" customHeight="1">
      <c r="B728" s="79"/>
      <c r="C728" s="2"/>
      <c r="D728" s="2"/>
      <c r="E728" s="2"/>
      <c r="F728" s="2"/>
      <c r="G728" s="62"/>
    </row>
    <row r="729" ht="15.75" customHeight="1">
      <c r="B729" s="79"/>
      <c r="C729" s="2"/>
      <c r="D729" s="2"/>
      <c r="E729" s="2"/>
      <c r="F729" s="2"/>
      <c r="G729" s="62"/>
    </row>
    <row r="730" ht="15.75" customHeight="1">
      <c r="B730" s="79"/>
      <c r="C730" s="2"/>
      <c r="D730" s="2"/>
      <c r="E730" s="2"/>
      <c r="F730" s="2"/>
      <c r="G730" s="62"/>
    </row>
    <row r="731" ht="15.75" customHeight="1">
      <c r="B731" s="79"/>
      <c r="C731" s="2"/>
      <c r="D731" s="2"/>
      <c r="E731" s="2"/>
      <c r="F731" s="2"/>
      <c r="G731" s="62"/>
    </row>
    <row r="732" ht="15.75" customHeight="1">
      <c r="B732" s="79"/>
      <c r="C732" s="2"/>
      <c r="D732" s="2"/>
      <c r="E732" s="2"/>
      <c r="F732" s="2"/>
      <c r="G732" s="62"/>
    </row>
    <row r="733" ht="15.75" customHeight="1">
      <c r="B733" s="79"/>
      <c r="C733" s="2"/>
      <c r="D733" s="2"/>
      <c r="E733" s="2"/>
      <c r="F733" s="2"/>
      <c r="G733" s="62"/>
    </row>
    <row r="734" ht="15.75" customHeight="1">
      <c r="B734" s="79"/>
      <c r="C734" s="2"/>
      <c r="D734" s="2"/>
      <c r="E734" s="2"/>
      <c r="F734" s="2"/>
      <c r="G734" s="62"/>
    </row>
    <row r="735" ht="15.75" customHeight="1">
      <c r="B735" s="79"/>
      <c r="C735" s="2"/>
      <c r="D735" s="2"/>
      <c r="E735" s="2"/>
      <c r="F735" s="2"/>
      <c r="G735" s="62"/>
    </row>
    <row r="736" ht="15.75" customHeight="1">
      <c r="B736" s="79"/>
      <c r="C736" s="2"/>
      <c r="D736" s="2"/>
      <c r="E736" s="2"/>
      <c r="F736" s="2"/>
      <c r="G736" s="62"/>
    </row>
    <row r="737" ht="15.75" customHeight="1">
      <c r="B737" s="79"/>
      <c r="C737" s="2"/>
      <c r="D737" s="2"/>
      <c r="E737" s="2"/>
      <c r="F737" s="2"/>
      <c r="G737" s="62"/>
    </row>
    <row r="738" ht="15.75" customHeight="1">
      <c r="B738" s="79"/>
      <c r="C738" s="2"/>
      <c r="D738" s="2"/>
      <c r="E738" s="2"/>
      <c r="F738" s="2"/>
      <c r="G738" s="62"/>
    </row>
    <row r="739" ht="15.75" customHeight="1">
      <c r="B739" s="79"/>
      <c r="C739" s="2"/>
      <c r="D739" s="2"/>
      <c r="E739" s="2"/>
      <c r="F739" s="2"/>
      <c r="G739" s="62"/>
    </row>
    <row r="740" ht="15.75" customHeight="1">
      <c r="B740" s="79"/>
      <c r="C740" s="2"/>
      <c r="D740" s="2"/>
      <c r="E740" s="2"/>
      <c r="F740" s="2"/>
      <c r="G740" s="62"/>
    </row>
    <row r="741" ht="15.75" customHeight="1">
      <c r="B741" s="79"/>
      <c r="C741" s="2"/>
      <c r="D741" s="2"/>
      <c r="E741" s="2"/>
      <c r="F741" s="2"/>
      <c r="G741" s="62"/>
    </row>
    <row r="742" ht="15.75" customHeight="1">
      <c r="B742" s="79"/>
      <c r="C742" s="2"/>
      <c r="D742" s="2"/>
      <c r="E742" s="2"/>
      <c r="F742" s="2"/>
      <c r="G742" s="62"/>
    </row>
    <row r="743" ht="15.75" customHeight="1">
      <c r="B743" s="79"/>
      <c r="C743" s="2"/>
      <c r="D743" s="2"/>
      <c r="E743" s="2"/>
      <c r="F743" s="2"/>
      <c r="G743" s="62"/>
    </row>
    <row r="744" ht="15.75" customHeight="1">
      <c r="B744" s="79"/>
      <c r="C744" s="2"/>
      <c r="D744" s="2"/>
      <c r="E744" s="2"/>
      <c r="F744" s="2"/>
      <c r="G744" s="62"/>
    </row>
    <row r="745" ht="15.75" customHeight="1">
      <c r="B745" s="79"/>
      <c r="C745" s="2"/>
      <c r="D745" s="2"/>
      <c r="E745" s="2"/>
      <c r="F745" s="2"/>
      <c r="G745" s="62"/>
    </row>
    <row r="746" ht="15.75" customHeight="1">
      <c r="B746" s="79"/>
      <c r="C746" s="2"/>
      <c r="D746" s="2"/>
      <c r="E746" s="2"/>
      <c r="F746" s="2"/>
      <c r="G746" s="62"/>
    </row>
    <row r="747" ht="15.75" customHeight="1">
      <c r="B747" s="79"/>
      <c r="C747" s="2"/>
      <c r="D747" s="2"/>
      <c r="E747" s="2"/>
      <c r="F747" s="2"/>
      <c r="G747" s="62"/>
    </row>
    <row r="748" ht="15.75" customHeight="1">
      <c r="B748" s="79"/>
      <c r="C748" s="2"/>
      <c r="D748" s="2"/>
      <c r="E748" s="2"/>
      <c r="F748" s="2"/>
      <c r="G748" s="62"/>
    </row>
    <row r="749" ht="15.75" customHeight="1">
      <c r="B749" s="79"/>
      <c r="C749" s="2"/>
      <c r="D749" s="2"/>
      <c r="E749" s="2"/>
      <c r="F749" s="2"/>
      <c r="G749" s="62"/>
    </row>
    <row r="750" ht="15.75" customHeight="1">
      <c r="B750" s="79"/>
      <c r="C750" s="2"/>
      <c r="D750" s="2"/>
      <c r="E750" s="2"/>
      <c r="F750" s="2"/>
      <c r="G750" s="62"/>
    </row>
    <row r="751" ht="15.75" customHeight="1">
      <c r="B751" s="79"/>
      <c r="C751" s="2"/>
      <c r="D751" s="2"/>
      <c r="E751" s="2"/>
      <c r="F751" s="2"/>
      <c r="G751" s="62"/>
    </row>
    <row r="752" ht="15.75" customHeight="1">
      <c r="B752" s="79"/>
      <c r="C752" s="2"/>
      <c r="D752" s="2"/>
      <c r="E752" s="2"/>
      <c r="F752" s="2"/>
      <c r="G752" s="62"/>
    </row>
    <row r="753" ht="15.75" customHeight="1">
      <c r="B753" s="79"/>
      <c r="C753" s="2"/>
      <c r="D753" s="2"/>
      <c r="E753" s="2"/>
      <c r="F753" s="2"/>
      <c r="G753" s="62"/>
    </row>
    <row r="754" ht="15.75" customHeight="1">
      <c r="B754" s="79"/>
      <c r="C754" s="2"/>
      <c r="D754" s="2"/>
      <c r="E754" s="2"/>
      <c r="F754" s="2"/>
      <c r="G754" s="62"/>
    </row>
    <row r="755" ht="15.75" customHeight="1">
      <c r="B755" s="79"/>
      <c r="C755" s="2"/>
      <c r="D755" s="2"/>
      <c r="E755" s="2"/>
      <c r="F755" s="2"/>
      <c r="G755" s="62"/>
    </row>
    <row r="756" ht="15.75" customHeight="1">
      <c r="B756" s="79"/>
      <c r="C756" s="2"/>
      <c r="D756" s="2"/>
      <c r="E756" s="2"/>
      <c r="F756" s="2"/>
      <c r="G756" s="62"/>
    </row>
    <row r="757" ht="15.75" customHeight="1">
      <c r="B757" s="79"/>
      <c r="C757" s="2"/>
      <c r="D757" s="2"/>
      <c r="E757" s="2"/>
      <c r="F757" s="2"/>
      <c r="G757" s="62"/>
    </row>
    <row r="758" ht="15.75" customHeight="1">
      <c r="B758" s="79"/>
      <c r="C758" s="2"/>
      <c r="D758" s="2"/>
      <c r="E758" s="2"/>
      <c r="F758" s="2"/>
      <c r="G758" s="62"/>
    </row>
    <row r="759" ht="15.75" customHeight="1">
      <c r="B759" s="79"/>
      <c r="C759" s="2"/>
      <c r="D759" s="2"/>
      <c r="E759" s="2"/>
      <c r="F759" s="2"/>
      <c r="G759" s="62"/>
    </row>
    <row r="760" ht="15.75" customHeight="1">
      <c r="B760" s="79"/>
      <c r="C760" s="2"/>
      <c r="D760" s="2"/>
      <c r="E760" s="2"/>
      <c r="F760" s="2"/>
      <c r="G760" s="62"/>
    </row>
    <row r="761" ht="15.75" customHeight="1">
      <c r="B761" s="79"/>
      <c r="C761" s="2"/>
      <c r="D761" s="2"/>
      <c r="E761" s="2"/>
      <c r="F761" s="2"/>
      <c r="G761" s="62"/>
    </row>
    <row r="762" ht="15.75" customHeight="1">
      <c r="B762" s="79"/>
      <c r="C762" s="2"/>
      <c r="D762" s="2"/>
      <c r="E762" s="2"/>
      <c r="F762" s="2"/>
      <c r="G762" s="62"/>
    </row>
    <row r="763" ht="15.75" customHeight="1">
      <c r="B763" s="79"/>
      <c r="C763" s="2"/>
      <c r="D763" s="2"/>
      <c r="E763" s="2"/>
      <c r="F763" s="2"/>
      <c r="G763" s="62"/>
    </row>
    <row r="764" ht="15.75" customHeight="1">
      <c r="B764" s="79"/>
      <c r="C764" s="2"/>
      <c r="D764" s="2"/>
      <c r="E764" s="2"/>
      <c r="F764" s="2"/>
      <c r="G764" s="62"/>
    </row>
    <row r="765" ht="15.75" customHeight="1">
      <c r="B765" s="79"/>
      <c r="C765" s="2"/>
      <c r="D765" s="2"/>
      <c r="E765" s="2"/>
      <c r="F765" s="2"/>
      <c r="G765" s="62"/>
    </row>
    <row r="766" ht="15.75" customHeight="1">
      <c r="B766" s="79"/>
      <c r="C766" s="2"/>
      <c r="D766" s="2"/>
      <c r="E766" s="2"/>
      <c r="F766" s="2"/>
      <c r="G766" s="62"/>
    </row>
    <row r="767" ht="15.75" customHeight="1">
      <c r="B767" s="79"/>
      <c r="C767" s="2"/>
      <c r="D767" s="2"/>
      <c r="E767" s="2"/>
      <c r="F767" s="2"/>
      <c r="G767" s="62"/>
    </row>
    <row r="768" ht="15.75" customHeight="1">
      <c r="B768" s="79"/>
      <c r="C768" s="2"/>
      <c r="D768" s="2"/>
      <c r="E768" s="2"/>
      <c r="F768" s="2"/>
      <c r="G768" s="62"/>
    </row>
    <row r="769" ht="15.75" customHeight="1">
      <c r="B769" s="79"/>
      <c r="C769" s="2"/>
      <c r="D769" s="2"/>
      <c r="E769" s="2"/>
      <c r="F769" s="2"/>
      <c r="G769" s="62"/>
    </row>
    <row r="770" ht="15.75" customHeight="1">
      <c r="B770" s="79"/>
      <c r="C770" s="2"/>
      <c r="D770" s="2"/>
      <c r="E770" s="2"/>
      <c r="F770" s="2"/>
      <c r="G770" s="62"/>
    </row>
    <row r="771" ht="15.75" customHeight="1">
      <c r="B771" s="79"/>
      <c r="C771" s="2"/>
      <c r="D771" s="2"/>
      <c r="E771" s="2"/>
      <c r="F771" s="2"/>
      <c r="G771" s="62"/>
    </row>
    <row r="772" ht="15.75" customHeight="1">
      <c r="B772" s="79"/>
      <c r="C772" s="2"/>
      <c r="D772" s="2"/>
      <c r="E772" s="2"/>
      <c r="F772" s="2"/>
      <c r="G772" s="62"/>
    </row>
    <row r="773" ht="15.75" customHeight="1">
      <c r="B773" s="79"/>
      <c r="C773" s="2"/>
      <c r="D773" s="2"/>
      <c r="E773" s="2"/>
      <c r="F773" s="2"/>
      <c r="G773" s="62"/>
    </row>
    <row r="774" ht="15.75" customHeight="1">
      <c r="B774" s="79"/>
      <c r="C774" s="2"/>
      <c r="D774" s="2"/>
      <c r="E774" s="2"/>
      <c r="F774" s="2"/>
      <c r="G774" s="62"/>
    </row>
    <row r="775" ht="15.75" customHeight="1">
      <c r="B775" s="79"/>
      <c r="C775" s="2"/>
      <c r="D775" s="2"/>
      <c r="E775" s="2"/>
      <c r="F775" s="2"/>
      <c r="G775" s="62"/>
    </row>
    <row r="776" ht="15.75" customHeight="1">
      <c r="B776" s="79"/>
      <c r="C776" s="2"/>
      <c r="D776" s="2"/>
      <c r="E776" s="2"/>
      <c r="F776" s="2"/>
      <c r="G776" s="62"/>
    </row>
    <row r="777" ht="15.75" customHeight="1">
      <c r="B777" s="79"/>
      <c r="C777" s="2"/>
      <c r="D777" s="2"/>
      <c r="E777" s="2"/>
      <c r="F777" s="2"/>
      <c r="G777" s="62"/>
    </row>
    <row r="778" ht="15.75" customHeight="1">
      <c r="B778" s="79"/>
      <c r="C778" s="2"/>
      <c r="D778" s="2"/>
      <c r="E778" s="2"/>
      <c r="F778" s="2"/>
      <c r="G778" s="62"/>
    </row>
    <row r="779" ht="15.75" customHeight="1">
      <c r="B779" s="79"/>
      <c r="C779" s="2"/>
      <c r="D779" s="2"/>
      <c r="E779" s="2"/>
      <c r="F779" s="2"/>
      <c r="G779" s="62"/>
    </row>
    <row r="780" ht="15.75" customHeight="1">
      <c r="B780" s="79"/>
      <c r="C780" s="2"/>
      <c r="D780" s="2"/>
      <c r="E780" s="2"/>
      <c r="F780" s="2"/>
      <c r="G780" s="62"/>
    </row>
    <row r="781" ht="15.75" customHeight="1">
      <c r="B781" s="79"/>
      <c r="C781" s="2"/>
      <c r="D781" s="2"/>
      <c r="E781" s="2"/>
      <c r="F781" s="2"/>
      <c r="G781" s="62"/>
    </row>
    <row r="782" ht="15.75" customHeight="1">
      <c r="B782" s="79"/>
      <c r="C782" s="2"/>
      <c r="D782" s="2"/>
      <c r="E782" s="2"/>
      <c r="F782" s="2"/>
      <c r="G782" s="62"/>
    </row>
    <row r="783" ht="15.75" customHeight="1">
      <c r="B783" s="79"/>
      <c r="C783" s="2"/>
      <c r="D783" s="2"/>
      <c r="E783" s="2"/>
      <c r="F783" s="2"/>
      <c r="G783" s="62"/>
    </row>
    <row r="784" ht="15.75" customHeight="1">
      <c r="B784" s="79"/>
      <c r="C784" s="2"/>
      <c r="D784" s="2"/>
      <c r="E784" s="2"/>
      <c r="F784" s="2"/>
      <c r="G784" s="62"/>
    </row>
    <row r="785" ht="15.75" customHeight="1">
      <c r="B785" s="79"/>
      <c r="C785" s="2"/>
      <c r="D785" s="2"/>
      <c r="E785" s="2"/>
      <c r="F785" s="2"/>
      <c r="G785" s="62"/>
    </row>
    <row r="786" ht="15.75" customHeight="1">
      <c r="B786" s="79"/>
      <c r="C786" s="2"/>
      <c r="D786" s="2"/>
      <c r="E786" s="2"/>
      <c r="F786" s="2"/>
      <c r="G786" s="62"/>
    </row>
    <row r="787" ht="15.75" customHeight="1">
      <c r="B787" s="79"/>
      <c r="C787" s="2"/>
      <c r="D787" s="2"/>
      <c r="E787" s="2"/>
      <c r="F787" s="2"/>
      <c r="G787" s="62"/>
    </row>
    <row r="788" ht="15.75" customHeight="1">
      <c r="B788" s="79"/>
      <c r="C788" s="2"/>
      <c r="D788" s="2"/>
      <c r="E788" s="2"/>
      <c r="F788" s="2"/>
      <c r="G788" s="62"/>
    </row>
    <row r="789" ht="15.75" customHeight="1">
      <c r="B789" s="79"/>
      <c r="C789" s="2"/>
      <c r="D789" s="2"/>
      <c r="E789" s="2"/>
      <c r="F789" s="2"/>
      <c r="G789" s="62"/>
    </row>
    <row r="790" ht="15.75" customHeight="1">
      <c r="B790" s="79"/>
      <c r="C790" s="2"/>
      <c r="D790" s="2"/>
      <c r="E790" s="2"/>
      <c r="F790" s="2"/>
      <c r="G790" s="62"/>
    </row>
    <row r="791" ht="15.75" customHeight="1">
      <c r="B791" s="79"/>
      <c r="C791" s="2"/>
      <c r="D791" s="2"/>
      <c r="E791" s="2"/>
      <c r="F791" s="2"/>
      <c r="G791" s="62"/>
    </row>
    <row r="792" ht="15.75" customHeight="1">
      <c r="B792" s="79"/>
      <c r="C792" s="2"/>
      <c r="D792" s="2"/>
      <c r="E792" s="2"/>
      <c r="F792" s="2"/>
      <c r="G792" s="62"/>
    </row>
    <row r="793" ht="15.75" customHeight="1">
      <c r="B793" s="79"/>
      <c r="C793" s="2"/>
      <c r="D793" s="2"/>
      <c r="E793" s="2"/>
      <c r="F793" s="2"/>
      <c r="G793" s="62"/>
    </row>
    <row r="794" ht="15.75" customHeight="1">
      <c r="B794" s="79"/>
      <c r="C794" s="2"/>
      <c r="D794" s="2"/>
      <c r="E794" s="2"/>
      <c r="F794" s="2"/>
      <c r="G794" s="62"/>
    </row>
    <row r="795" ht="15.75" customHeight="1">
      <c r="B795" s="79"/>
      <c r="C795" s="2"/>
      <c r="D795" s="2"/>
      <c r="E795" s="2"/>
      <c r="F795" s="2"/>
      <c r="G795" s="62"/>
    </row>
    <row r="796" ht="15.75" customHeight="1">
      <c r="B796" s="79"/>
      <c r="C796" s="2"/>
      <c r="D796" s="2"/>
      <c r="E796" s="2"/>
      <c r="F796" s="2"/>
      <c r="G796" s="62"/>
    </row>
    <row r="797" ht="15.75" customHeight="1">
      <c r="B797" s="79"/>
      <c r="C797" s="2"/>
      <c r="D797" s="2"/>
      <c r="E797" s="2"/>
      <c r="F797" s="2"/>
      <c r="G797" s="62"/>
    </row>
    <row r="798" ht="15.75" customHeight="1">
      <c r="B798" s="79"/>
      <c r="C798" s="2"/>
      <c r="D798" s="2"/>
      <c r="E798" s="2"/>
      <c r="F798" s="2"/>
      <c r="G798" s="62"/>
    </row>
    <row r="799" ht="15.75" customHeight="1">
      <c r="B799" s="79"/>
      <c r="C799" s="2"/>
      <c r="D799" s="2"/>
      <c r="E799" s="2"/>
      <c r="F799" s="2"/>
      <c r="G799" s="62"/>
    </row>
    <row r="800" ht="15.75" customHeight="1">
      <c r="B800" s="79"/>
      <c r="C800" s="2"/>
      <c r="D800" s="2"/>
      <c r="E800" s="2"/>
      <c r="F800" s="2"/>
      <c r="G800" s="62"/>
    </row>
    <row r="801" ht="15.75" customHeight="1">
      <c r="B801" s="79"/>
      <c r="C801" s="2"/>
      <c r="D801" s="2"/>
      <c r="E801" s="2"/>
      <c r="F801" s="2"/>
      <c r="G801" s="62"/>
    </row>
    <row r="802" ht="15.75" customHeight="1">
      <c r="B802" s="79"/>
      <c r="C802" s="2"/>
      <c r="D802" s="2"/>
      <c r="E802" s="2"/>
      <c r="F802" s="2"/>
      <c r="G802" s="62"/>
    </row>
    <row r="803" ht="15.75" customHeight="1">
      <c r="B803" s="79"/>
      <c r="C803" s="2"/>
      <c r="D803" s="2"/>
      <c r="E803" s="2"/>
      <c r="F803" s="2"/>
      <c r="G803" s="62"/>
    </row>
    <row r="804" ht="15.75" customHeight="1">
      <c r="B804" s="79"/>
      <c r="C804" s="2"/>
      <c r="D804" s="2"/>
      <c r="E804" s="2"/>
      <c r="F804" s="2"/>
      <c r="G804" s="62"/>
    </row>
    <row r="805" ht="15.75" customHeight="1">
      <c r="B805" s="79"/>
      <c r="C805" s="2"/>
      <c r="D805" s="2"/>
      <c r="E805" s="2"/>
      <c r="F805" s="2"/>
      <c r="G805" s="62"/>
    </row>
    <row r="806" ht="15.75" customHeight="1">
      <c r="B806" s="79"/>
      <c r="C806" s="2"/>
      <c r="D806" s="2"/>
      <c r="E806" s="2"/>
      <c r="F806" s="2"/>
      <c r="G806" s="62"/>
    </row>
    <row r="807" ht="15.75" customHeight="1">
      <c r="B807" s="79"/>
      <c r="C807" s="2"/>
      <c r="D807" s="2"/>
      <c r="E807" s="2"/>
      <c r="F807" s="2"/>
      <c r="G807" s="62"/>
    </row>
    <row r="808" ht="15.75" customHeight="1">
      <c r="B808" s="79"/>
      <c r="C808" s="2"/>
      <c r="D808" s="2"/>
      <c r="E808" s="2"/>
      <c r="F808" s="2"/>
      <c r="G808" s="62"/>
    </row>
    <row r="809" ht="15.75" customHeight="1">
      <c r="B809" s="79"/>
      <c r="C809" s="2"/>
      <c r="D809" s="2"/>
      <c r="E809" s="2"/>
      <c r="F809" s="2"/>
      <c r="G809" s="62"/>
    </row>
    <row r="810" ht="15.75" customHeight="1">
      <c r="B810" s="79"/>
      <c r="C810" s="2"/>
      <c r="D810" s="2"/>
      <c r="E810" s="2"/>
      <c r="F810" s="2"/>
      <c r="G810" s="62"/>
    </row>
    <row r="811" ht="15.75" customHeight="1">
      <c r="B811" s="79"/>
      <c r="C811" s="2"/>
      <c r="D811" s="2"/>
      <c r="E811" s="2"/>
      <c r="F811" s="2"/>
      <c r="G811" s="62"/>
    </row>
    <row r="812" ht="15.75" customHeight="1">
      <c r="B812" s="79"/>
      <c r="C812" s="2"/>
      <c r="D812" s="2"/>
      <c r="E812" s="2"/>
      <c r="F812" s="2"/>
      <c r="G812" s="62"/>
    </row>
    <row r="813" ht="15.75" customHeight="1">
      <c r="B813" s="79"/>
      <c r="C813" s="2"/>
      <c r="D813" s="2"/>
      <c r="E813" s="2"/>
      <c r="F813" s="2"/>
      <c r="G813" s="62"/>
    </row>
    <row r="814" ht="15.75" customHeight="1">
      <c r="B814" s="79"/>
      <c r="C814" s="2"/>
      <c r="D814" s="2"/>
      <c r="E814" s="2"/>
      <c r="F814" s="2"/>
      <c r="G814" s="62"/>
    </row>
    <row r="815" ht="15.75" customHeight="1">
      <c r="B815" s="79"/>
      <c r="C815" s="2"/>
      <c r="D815" s="2"/>
      <c r="E815" s="2"/>
      <c r="F815" s="2"/>
      <c r="G815" s="62"/>
    </row>
    <row r="816" ht="15.75" customHeight="1">
      <c r="B816" s="79"/>
      <c r="C816" s="2"/>
      <c r="D816" s="2"/>
      <c r="E816" s="2"/>
      <c r="F816" s="2"/>
      <c r="G816" s="62"/>
    </row>
    <row r="817" ht="15.75" customHeight="1">
      <c r="B817" s="79"/>
      <c r="C817" s="2"/>
      <c r="D817" s="2"/>
      <c r="E817" s="2"/>
      <c r="F817" s="2"/>
      <c r="G817" s="62"/>
    </row>
    <row r="818" ht="15.75" customHeight="1">
      <c r="B818" s="79"/>
      <c r="C818" s="2"/>
      <c r="D818" s="2"/>
      <c r="E818" s="2"/>
      <c r="F818" s="2"/>
      <c r="G818" s="62"/>
    </row>
    <row r="819" ht="15.75" customHeight="1">
      <c r="B819" s="79"/>
      <c r="C819" s="2"/>
      <c r="D819" s="2"/>
      <c r="E819" s="2"/>
      <c r="F819" s="2"/>
      <c r="G819" s="62"/>
    </row>
    <row r="820" ht="15.75" customHeight="1">
      <c r="B820" s="79"/>
      <c r="C820" s="2"/>
      <c r="D820" s="2"/>
      <c r="E820" s="2"/>
      <c r="F820" s="2"/>
      <c r="G820" s="62"/>
    </row>
    <row r="821" ht="15.75" customHeight="1">
      <c r="B821" s="79"/>
      <c r="C821" s="2"/>
      <c r="D821" s="2"/>
      <c r="E821" s="2"/>
      <c r="F821" s="2"/>
      <c r="G821" s="62"/>
    </row>
    <row r="822" ht="15.75" customHeight="1">
      <c r="B822" s="79"/>
      <c r="C822" s="2"/>
      <c r="D822" s="2"/>
      <c r="E822" s="2"/>
      <c r="F822" s="2"/>
      <c r="G822" s="62"/>
    </row>
    <row r="823" ht="15.75" customHeight="1">
      <c r="B823" s="79"/>
      <c r="C823" s="2"/>
      <c r="D823" s="2"/>
      <c r="E823" s="2"/>
      <c r="F823" s="2"/>
      <c r="G823" s="62"/>
    </row>
    <row r="824" ht="15.75" customHeight="1">
      <c r="B824" s="79"/>
      <c r="C824" s="2"/>
      <c r="D824" s="2"/>
      <c r="E824" s="2"/>
      <c r="F824" s="2"/>
      <c r="G824" s="62"/>
    </row>
    <row r="825" ht="15.75" customHeight="1">
      <c r="B825" s="79"/>
      <c r="C825" s="2"/>
      <c r="D825" s="2"/>
      <c r="E825" s="2"/>
      <c r="F825" s="2"/>
      <c r="G825" s="62"/>
    </row>
    <row r="826" ht="15.75" customHeight="1">
      <c r="B826" s="79"/>
      <c r="C826" s="2"/>
      <c r="D826" s="2"/>
      <c r="E826" s="2"/>
      <c r="F826" s="2"/>
      <c r="G826" s="62"/>
    </row>
    <row r="827" ht="15.75" customHeight="1">
      <c r="B827" s="79"/>
      <c r="C827" s="2"/>
      <c r="D827" s="2"/>
      <c r="E827" s="2"/>
      <c r="F827" s="2"/>
      <c r="G827" s="62"/>
    </row>
    <row r="828" ht="15.75" customHeight="1">
      <c r="B828" s="79"/>
      <c r="C828" s="2"/>
      <c r="D828" s="2"/>
      <c r="E828" s="2"/>
      <c r="F828" s="2"/>
      <c r="G828" s="62"/>
    </row>
    <row r="829" ht="15.75" customHeight="1">
      <c r="B829" s="79"/>
      <c r="C829" s="2"/>
      <c r="D829" s="2"/>
      <c r="E829" s="2"/>
      <c r="F829" s="2"/>
      <c r="G829" s="62"/>
    </row>
    <row r="830" ht="15.75" customHeight="1">
      <c r="B830" s="79"/>
      <c r="C830" s="2"/>
      <c r="D830" s="2"/>
      <c r="E830" s="2"/>
      <c r="F830" s="2"/>
      <c r="G830" s="62"/>
    </row>
    <row r="831" ht="15.75" customHeight="1">
      <c r="B831" s="79"/>
      <c r="C831" s="2"/>
      <c r="D831" s="2"/>
      <c r="E831" s="2"/>
      <c r="F831" s="2"/>
      <c r="G831" s="62"/>
    </row>
    <row r="832" ht="15.75" customHeight="1">
      <c r="B832" s="79"/>
      <c r="C832" s="2"/>
      <c r="D832" s="2"/>
      <c r="E832" s="2"/>
      <c r="F832" s="2"/>
      <c r="G832" s="62"/>
    </row>
    <row r="833" ht="15.75" customHeight="1">
      <c r="B833" s="79"/>
      <c r="C833" s="2"/>
      <c r="D833" s="2"/>
      <c r="E833" s="2"/>
      <c r="F833" s="2"/>
      <c r="G833" s="62"/>
    </row>
    <row r="834" ht="15.75" customHeight="1">
      <c r="B834" s="79"/>
      <c r="C834" s="2"/>
      <c r="D834" s="2"/>
      <c r="E834" s="2"/>
      <c r="F834" s="2"/>
      <c r="G834" s="62"/>
    </row>
    <row r="835" ht="15.75" customHeight="1">
      <c r="B835" s="79"/>
      <c r="C835" s="2"/>
      <c r="D835" s="2"/>
      <c r="E835" s="2"/>
      <c r="F835" s="2"/>
      <c r="G835" s="62"/>
    </row>
    <row r="836" ht="15.75" customHeight="1">
      <c r="B836" s="79"/>
      <c r="C836" s="2"/>
      <c r="D836" s="2"/>
      <c r="E836" s="2"/>
      <c r="F836" s="2"/>
      <c r="G836" s="62"/>
    </row>
    <row r="837" ht="15.75" customHeight="1">
      <c r="B837" s="79"/>
      <c r="C837" s="2"/>
      <c r="D837" s="2"/>
      <c r="E837" s="2"/>
      <c r="F837" s="2"/>
      <c r="G837" s="62"/>
    </row>
    <row r="838" ht="15.75" customHeight="1">
      <c r="B838" s="79"/>
      <c r="C838" s="2"/>
      <c r="D838" s="2"/>
      <c r="E838" s="2"/>
      <c r="F838" s="2"/>
      <c r="G838" s="62"/>
    </row>
    <row r="839" ht="15.75" customHeight="1">
      <c r="B839" s="79"/>
      <c r="C839" s="2"/>
      <c r="D839" s="2"/>
      <c r="E839" s="2"/>
      <c r="F839" s="2"/>
      <c r="G839" s="62"/>
    </row>
    <row r="840" ht="15.75" customHeight="1">
      <c r="B840" s="79"/>
      <c r="C840" s="2"/>
      <c r="D840" s="2"/>
      <c r="E840" s="2"/>
      <c r="F840" s="2"/>
      <c r="G840" s="62"/>
    </row>
    <row r="841" ht="15.75" customHeight="1">
      <c r="B841" s="79"/>
      <c r="C841" s="2"/>
      <c r="D841" s="2"/>
      <c r="E841" s="2"/>
      <c r="F841" s="2"/>
      <c r="G841" s="62"/>
    </row>
    <row r="842" ht="15.75" customHeight="1">
      <c r="B842" s="79"/>
      <c r="C842" s="2"/>
      <c r="D842" s="2"/>
      <c r="E842" s="2"/>
      <c r="F842" s="2"/>
      <c r="G842" s="62"/>
    </row>
    <row r="843" ht="15.75" customHeight="1">
      <c r="B843" s="79"/>
      <c r="C843" s="2"/>
      <c r="D843" s="2"/>
      <c r="E843" s="2"/>
      <c r="F843" s="2"/>
      <c r="G843" s="62"/>
    </row>
    <row r="844" ht="15.75" customHeight="1">
      <c r="B844" s="79"/>
      <c r="C844" s="2"/>
      <c r="D844" s="2"/>
      <c r="E844" s="2"/>
      <c r="F844" s="2"/>
      <c r="G844" s="62"/>
    </row>
    <row r="845" ht="15.75" customHeight="1">
      <c r="B845" s="79"/>
      <c r="C845" s="2"/>
      <c r="D845" s="2"/>
      <c r="E845" s="2"/>
      <c r="F845" s="2"/>
      <c r="G845" s="62"/>
    </row>
    <row r="846" ht="15.75" customHeight="1">
      <c r="B846" s="79"/>
      <c r="C846" s="2"/>
      <c r="D846" s="2"/>
      <c r="E846" s="2"/>
      <c r="F846" s="2"/>
      <c r="G846" s="62"/>
    </row>
    <row r="847" ht="15.75" customHeight="1">
      <c r="B847" s="79"/>
      <c r="C847" s="2"/>
      <c r="D847" s="2"/>
      <c r="E847" s="2"/>
      <c r="F847" s="2"/>
      <c r="G847" s="62"/>
    </row>
    <row r="848" ht="15.75" customHeight="1">
      <c r="B848" s="79"/>
      <c r="C848" s="2"/>
      <c r="D848" s="2"/>
      <c r="E848" s="2"/>
      <c r="F848" s="2"/>
      <c r="G848" s="62"/>
    </row>
    <row r="849" ht="15.75" customHeight="1">
      <c r="B849" s="79"/>
      <c r="C849" s="2"/>
      <c r="D849" s="2"/>
      <c r="E849" s="2"/>
      <c r="F849" s="2"/>
      <c r="G849" s="62"/>
    </row>
    <row r="850" ht="15.75" customHeight="1">
      <c r="B850" s="79"/>
      <c r="C850" s="2"/>
      <c r="D850" s="2"/>
      <c r="E850" s="2"/>
      <c r="F850" s="2"/>
      <c r="G850" s="62"/>
    </row>
    <row r="851" ht="15.75" customHeight="1">
      <c r="B851" s="79"/>
      <c r="C851" s="2"/>
      <c r="D851" s="2"/>
      <c r="E851" s="2"/>
      <c r="F851" s="2"/>
      <c r="G851" s="62"/>
    </row>
    <row r="852" ht="15.75" customHeight="1">
      <c r="B852" s="79"/>
      <c r="C852" s="2"/>
      <c r="D852" s="2"/>
      <c r="E852" s="2"/>
      <c r="F852" s="2"/>
      <c r="G852" s="62"/>
    </row>
    <row r="853" ht="15.75" customHeight="1">
      <c r="B853" s="79"/>
      <c r="C853" s="2"/>
      <c r="D853" s="2"/>
      <c r="E853" s="2"/>
      <c r="F853" s="2"/>
      <c r="G853" s="62"/>
    </row>
    <row r="854" ht="15.75" customHeight="1">
      <c r="B854" s="79"/>
      <c r="C854" s="2"/>
      <c r="D854" s="2"/>
      <c r="E854" s="2"/>
      <c r="F854" s="2"/>
      <c r="G854" s="62"/>
    </row>
    <row r="855" ht="15.75" customHeight="1">
      <c r="B855" s="79"/>
      <c r="C855" s="2"/>
      <c r="D855" s="2"/>
      <c r="E855" s="2"/>
      <c r="F855" s="2"/>
      <c r="G855" s="62"/>
    </row>
    <row r="856" ht="15.75" customHeight="1">
      <c r="B856" s="79"/>
      <c r="C856" s="2"/>
      <c r="D856" s="2"/>
      <c r="E856" s="2"/>
      <c r="F856" s="2"/>
      <c r="G856" s="62"/>
    </row>
    <row r="857" ht="15.75" customHeight="1">
      <c r="B857" s="79"/>
      <c r="C857" s="2"/>
      <c r="D857" s="2"/>
      <c r="E857" s="2"/>
      <c r="F857" s="2"/>
      <c r="G857" s="62"/>
    </row>
    <row r="858" ht="15.75" customHeight="1">
      <c r="B858" s="79"/>
      <c r="C858" s="2"/>
      <c r="D858" s="2"/>
      <c r="E858" s="2"/>
      <c r="F858" s="2"/>
      <c r="G858" s="62"/>
    </row>
    <row r="859" ht="15.75" customHeight="1">
      <c r="B859" s="79"/>
      <c r="C859" s="2"/>
      <c r="D859" s="2"/>
      <c r="E859" s="2"/>
      <c r="F859" s="2"/>
      <c r="G859" s="62"/>
    </row>
    <row r="860" ht="15.75" customHeight="1">
      <c r="B860" s="79"/>
      <c r="C860" s="2"/>
      <c r="D860" s="2"/>
      <c r="E860" s="2"/>
      <c r="F860" s="2"/>
      <c r="G860" s="62"/>
    </row>
    <row r="861" ht="15.75" customHeight="1">
      <c r="B861" s="79"/>
      <c r="C861" s="2"/>
      <c r="D861" s="2"/>
      <c r="E861" s="2"/>
      <c r="F861" s="2"/>
      <c r="G861" s="62"/>
    </row>
    <row r="862" ht="15.75" customHeight="1">
      <c r="B862" s="79"/>
      <c r="C862" s="2"/>
      <c r="D862" s="2"/>
      <c r="E862" s="2"/>
      <c r="F862" s="2"/>
      <c r="G862" s="62"/>
    </row>
    <row r="863" ht="15.75" customHeight="1">
      <c r="B863" s="79"/>
      <c r="C863" s="2"/>
      <c r="D863" s="2"/>
      <c r="E863" s="2"/>
      <c r="F863" s="2"/>
      <c r="G863" s="62"/>
    </row>
    <row r="864" ht="15.75" customHeight="1">
      <c r="B864" s="79"/>
      <c r="C864" s="2"/>
      <c r="D864" s="2"/>
      <c r="E864" s="2"/>
      <c r="F864" s="2"/>
      <c r="G864" s="62"/>
    </row>
    <row r="865" ht="15.75" customHeight="1">
      <c r="B865" s="79"/>
      <c r="C865" s="2"/>
      <c r="D865" s="2"/>
      <c r="E865" s="2"/>
      <c r="F865" s="2"/>
      <c r="G865" s="62"/>
    </row>
    <row r="866" ht="15.75" customHeight="1">
      <c r="B866" s="79"/>
      <c r="C866" s="2"/>
      <c r="D866" s="2"/>
      <c r="E866" s="2"/>
      <c r="F866" s="2"/>
      <c r="G866" s="62"/>
    </row>
    <row r="867" ht="15.75" customHeight="1">
      <c r="B867" s="79"/>
      <c r="C867" s="2"/>
      <c r="D867" s="2"/>
      <c r="E867" s="2"/>
      <c r="F867" s="2"/>
      <c r="G867" s="62"/>
    </row>
    <row r="868" ht="15.75" customHeight="1">
      <c r="B868" s="79"/>
      <c r="C868" s="2"/>
      <c r="D868" s="2"/>
      <c r="E868" s="2"/>
      <c r="F868" s="2"/>
      <c r="G868" s="62"/>
    </row>
    <row r="869" ht="15.75" customHeight="1">
      <c r="B869" s="79"/>
      <c r="C869" s="2"/>
      <c r="D869" s="2"/>
      <c r="E869" s="2"/>
      <c r="F869" s="2"/>
      <c r="G869" s="62"/>
    </row>
    <row r="870" ht="15.75" customHeight="1">
      <c r="B870" s="79"/>
      <c r="C870" s="2"/>
      <c r="D870" s="2"/>
      <c r="E870" s="2"/>
      <c r="F870" s="2"/>
      <c r="G870" s="62"/>
    </row>
    <row r="871" ht="15.75" customHeight="1">
      <c r="B871" s="79"/>
      <c r="C871" s="2"/>
      <c r="D871" s="2"/>
      <c r="E871" s="2"/>
      <c r="F871" s="2"/>
      <c r="G871" s="62"/>
    </row>
    <row r="872" ht="15.75" customHeight="1">
      <c r="B872" s="79"/>
      <c r="C872" s="2"/>
      <c r="D872" s="2"/>
      <c r="E872" s="2"/>
      <c r="F872" s="2"/>
      <c r="G872" s="62"/>
    </row>
    <row r="873" ht="15.75" customHeight="1">
      <c r="B873" s="79"/>
      <c r="C873" s="2"/>
      <c r="D873" s="2"/>
      <c r="E873" s="2"/>
      <c r="F873" s="2"/>
      <c r="G873" s="62"/>
    </row>
    <row r="874" ht="15.75" customHeight="1">
      <c r="B874" s="79"/>
      <c r="C874" s="2"/>
      <c r="D874" s="2"/>
      <c r="E874" s="2"/>
      <c r="F874" s="2"/>
      <c r="G874" s="62"/>
    </row>
    <row r="875" ht="15.75" customHeight="1">
      <c r="B875" s="79"/>
      <c r="C875" s="2"/>
      <c r="D875" s="2"/>
      <c r="E875" s="2"/>
      <c r="F875" s="2"/>
      <c r="G875" s="62"/>
    </row>
    <row r="876" ht="15.75" customHeight="1">
      <c r="B876" s="79"/>
      <c r="C876" s="2"/>
      <c r="D876" s="2"/>
      <c r="E876" s="2"/>
      <c r="F876" s="2"/>
      <c r="G876" s="62"/>
    </row>
    <row r="877" ht="15.75" customHeight="1">
      <c r="B877" s="79"/>
      <c r="C877" s="2"/>
      <c r="D877" s="2"/>
      <c r="E877" s="2"/>
      <c r="F877" s="2"/>
      <c r="G877" s="62"/>
    </row>
    <row r="878" ht="15.75" customHeight="1">
      <c r="B878" s="79"/>
      <c r="C878" s="2"/>
      <c r="D878" s="2"/>
      <c r="E878" s="2"/>
      <c r="F878" s="2"/>
      <c r="G878" s="62"/>
    </row>
    <row r="879" ht="15.75" customHeight="1">
      <c r="B879" s="79"/>
      <c r="C879" s="2"/>
      <c r="D879" s="2"/>
      <c r="E879" s="2"/>
      <c r="F879" s="2"/>
      <c r="G879" s="62"/>
    </row>
    <row r="880" ht="15.75" customHeight="1">
      <c r="B880" s="79"/>
      <c r="C880" s="2"/>
      <c r="D880" s="2"/>
      <c r="E880" s="2"/>
      <c r="F880" s="2"/>
      <c r="G880" s="62"/>
    </row>
    <row r="881" ht="15.75" customHeight="1">
      <c r="B881" s="79"/>
      <c r="C881" s="2"/>
      <c r="D881" s="2"/>
      <c r="E881" s="2"/>
      <c r="F881" s="2"/>
      <c r="G881" s="62"/>
    </row>
    <row r="882" ht="15.75" customHeight="1">
      <c r="B882" s="79"/>
      <c r="C882" s="2"/>
      <c r="D882" s="2"/>
      <c r="E882" s="2"/>
      <c r="F882" s="2"/>
      <c r="G882" s="62"/>
    </row>
    <row r="883" ht="15.75" customHeight="1">
      <c r="B883" s="79"/>
      <c r="C883" s="2"/>
      <c r="D883" s="2"/>
      <c r="E883" s="2"/>
      <c r="F883" s="2"/>
      <c r="G883" s="62"/>
    </row>
    <row r="884" ht="15.75" customHeight="1">
      <c r="B884" s="79"/>
      <c r="C884" s="2"/>
      <c r="D884" s="2"/>
      <c r="E884" s="2"/>
      <c r="F884" s="2"/>
      <c r="G884" s="62"/>
    </row>
    <row r="885" ht="15.75" customHeight="1">
      <c r="B885" s="79"/>
      <c r="C885" s="2"/>
      <c r="D885" s="2"/>
      <c r="E885" s="2"/>
      <c r="F885" s="2"/>
      <c r="G885" s="62"/>
    </row>
    <row r="886" ht="15.75" customHeight="1">
      <c r="B886" s="79"/>
      <c r="C886" s="2"/>
      <c r="D886" s="2"/>
      <c r="E886" s="2"/>
      <c r="F886" s="2"/>
      <c r="G886" s="62"/>
    </row>
    <row r="887" ht="15.75" customHeight="1">
      <c r="B887" s="79"/>
      <c r="C887" s="2"/>
      <c r="D887" s="2"/>
      <c r="E887" s="2"/>
      <c r="F887" s="2"/>
      <c r="G887" s="62"/>
    </row>
    <row r="888" ht="15.75" customHeight="1">
      <c r="B888" s="79"/>
      <c r="C888" s="2"/>
      <c r="D888" s="2"/>
      <c r="E888" s="2"/>
      <c r="F888" s="2"/>
      <c r="G888" s="62"/>
    </row>
    <row r="889" ht="15.75" customHeight="1">
      <c r="B889" s="79"/>
      <c r="C889" s="2"/>
      <c r="D889" s="2"/>
      <c r="E889" s="2"/>
      <c r="F889" s="2"/>
      <c r="G889" s="62"/>
    </row>
    <row r="890" ht="15.75" customHeight="1">
      <c r="B890" s="79"/>
      <c r="C890" s="2"/>
      <c r="D890" s="2"/>
      <c r="E890" s="2"/>
      <c r="F890" s="2"/>
      <c r="G890" s="62"/>
    </row>
    <row r="891" ht="15.75" customHeight="1">
      <c r="B891" s="79"/>
      <c r="C891" s="2"/>
      <c r="D891" s="2"/>
      <c r="E891" s="2"/>
      <c r="F891" s="2"/>
      <c r="G891" s="62"/>
    </row>
    <row r="892" ht="15.75" customHeight="1">
      <c r="B892" s="79"/>
      <c r="C892" s="2"/>
      <c r="D892" s="2"/>
      <c r="E892" s="2"/>
      <c r="F892" s="2"/>
      <c r="G892" s="62"/>
    </row>
    <row r="893" ht="15.75" customHeight="1">
      <c r="B893" s="79"/>
      <c r="C893" s="2"/>
      <c r="D893" s="2"/>
      <c r="E893" s="2"/>
      <c r="F893" s="2"/>
      <c r="G893" s="62"/>
    </row>
    <row r="894" ht="15.75" customHeight="1">
      <c r="B894" s="79"/>
      <c r="C894" s="2"/>
      <c r="D894" s="2"/>
      <c r="E894" s="2"/>
      <c r="F894" s="2"/>
      <c r="G894" s="62"/>
    </row>
    <row r="895" ht="15.75" customHeight="1">
      <c r="B895" s="79"/>
      <c r="C895" s="2"/>
      <c r="D895" s="2"/>
      <c r="E895" s="2"/>
      <c r="F895" s="2"/>
      <c r="G895" s="62"/>
    </row>
    <row r="896" ht="15.75" customHeight="1">
      <c r="B896" s="79"/>
      <c r="C896" s="2"/>
      <c r="D896" s="2"/>
      <c r="E896" s="2"/>
      <c r="F896" s="2"/>
      <c r="G896" s="62"/>
    </row>
    <row r="897" ht="15.75" customHeight="1">
      <c r="B897" s="79"/>
      <c r="C897" s="2"/>
      <c r="D897" s="2"/>
      <c r="E897" s="2"/>
      <c r="F897" s="2"/>
      <c r="G897" s="62"/>
    </row>
    <row r="898" ht="15.75" customHeight="1">
      <c r="B898" s="79"/>
      <c r="C898" s="2"/>
      <c r="D898" s="2"/>
      <c r="E898" s="2"/>
      <c r="F898" s="2"/>
      <c r="G898" s="62"/>
    </row>
    <row r="899" ht="15.75" customHeight="1">
      <c r="B899" s="79"/>
      <c r="C899" s="2"/>
      <c r="D899" s="2"/>
      <c r="E899" s="2"/>
      <c r="F899" s="2"/>
      <c r="G899" s="62"/>
    </row>
    <row r="900" ht="15.75" customHeight="1">
      <c r="B900" s="79"/>
      <c r="C900" s="2"/>
      <c r="D900" s="2"/>
      <c r="E900" s="2"/>
      <c r="F900" s="2"/>
      <c r="G900" s="62"/>
    </row>
    <row r="901" ht="15.75" customHeight="1">
      <c r="B901" s="79"/>
      <c r="C901" s="2"/>
      <c r="D901" s="2"/>
      <c r="E901" s="2"/>
      <c r="F901" s="2"/>
      <c r="G901" s="62"/>
    </row>
    <row r="902" ht="15.75" customHeight="1">
      <c r="B902" s="79"/>
      <c r="C902" s="2"/>
      <c r="D902" s="2"/>
      <c r="E902" s="2"/>
      <c r="F902" s="2"/>
      <c r="G902" s="62"/>
    </row>
    <row r="903" ht="15.75" customHeight="1">
      <c r="B903" s="79"/>
      <c r="C903" s="2"/>
      <c r="D903" s="2"/>
      <c r="E903" s="2"/>
      <c r="F903" s="2"/>
      <c r="G903" s="62"/>
    </row>
    <row r="904" ht="15.75" customHeight="1">
      <c r="B904" s="79"/>
      <c r="C904" s="2"/>
      <c r="D904" s="2"/>
      <c r="E904" s="2"/>
      <c r="F904" s="2"/>
      <c r="G904" s="62"/>
    </row>
    <row r="905" ht="15.75" customHeight="1">
      <c r="B905" s="79"/>
      <c r="C905" s="2"/>
      <c r="D905" s="2"/>
      <c r="E905" s="2"/>
      <c r="F905" s="2"/>
      <c r="G905" s="62"/>
    </row>
    <row r="906" ht="15.75" customHeight="1">
      <c r="B906" s="79"/>
      <c r="C906" s="2"/>
      <c r="D906" s="2"/>
      <c r="E906" s="2"/>
      <c r="F906" s="2"/>
      <c r="G906" s="62"/>
    </row>
    <row r="907" ht="15.75" customHeight="1">
      <c r="B907" s="79"/>
      <c r="C907" s="2"/>
      <c r="D907" s="2"/>
      <c r="E907" s="2"/>
      <c r="F907" s="2"/>
      <c r="G907" s="62"/>
    </row>
    <row r="908" ht="15.75" customHeight="1">
      <c r="B908" s="79"/>
      <c r="C908" s="2"/>
      <c r="D908" s="2"/>
      <c r="E908" s="2"/>
      <c r="F908" s="2"/>
      <c r="G908" s="62"/>
    </row>
    <row r="909" ht="15.75" customHeight="1">
      <c r="B909" s="79"/>
      <c r="C909" s="2"/>
      <c r="D909" s="2"/>
      <c r="E909" s="2"/>
      <c r="F909" s="2"/>
      <c r="G909" s="62"/>
    </row>
    <row r="910" ht="15.75" customHeight="1">
      <c r="B910" s="79"/>
      <c r="C910" s="2"/>
      <c r="D910" s="2"/>
      <c r="E910" s="2"/>
      <c r="F910" s="2"/>
      <c r="G910" s="62"/>
    </row>
    <row r="911" ht="15.75" customHeight="1">
      <c r="B911" s="79"/>
      <c r="C911" s="2"/>
      <c r="D911" s="2"/>
      <c r="E911" s="2"/>
      <c r="F911" s="2"/>
      <c r="G911" s="62"/>
    </row>
    <row r="912" ht="15.75" customHeight="1">
      <c r="B912" s="79"/>
      <c r="C912" s="2"/>
      <c r="D912" s="2"/>
      <c r="E912" s="2"/>
      <c r="F912" s="2"/>
      <c r="G912" s="62"/>
    </row>
    <row r="913" ht="15.75" customHeight="1">
      <c r="B913" s="79"/>
      <c r="C913" s="2"/>
      <c r="D913" s="2"/>
      <c r="E913" s="2"/>
      <c r="F913" s="2"/>
      <c r="G913" s="62"/>
    </row>
    <row r="914" ht="15.75" customHeight="1">
      <c r="B914" s="79"/>
      <c r="C914" s="2"/>
      <c r="D914" s="2"/>
      <c r="E914" s="2"/>
      <c r="F914" s="2"/>
      <c r="G914" s="62"/>
    </row>
    <row r="915" ht="15.75" customHeight="1">
      <c r="B915" s="79"/>
      <c r="C915" s="2"/>
      <c r="D915" s="2"/>
      <c r="E915" s="2"/>
      <c r="F915" s="2"/>
      <c r="G915" s="62"/>
    </row>
    <row r="916" ht="15.75" customHeight="1">
      <c r="B916" s="79"/>
      <c r="C916" s="2"/>
      <c r="D916" s="2"/>
      <c r="E916" s="2"/>
      <c r="F916" s="2"/>
      <c r="G916" s="62"/>
    </row>
    <row r="917" ht="15.75" customHeight="1">
      <c r="B917" s="79"/>
      <c r="C917" s="2"/>
      <c r="D917" s="2"/>
      <c r="E917" s="2"/>
      <c r="F917" s="2"/>
      <c r="G917" s="62"/>
    </row>
    <row r="918" ht="15.75" customHeight="1">
      <c r="B918" s="79"/>
      <c r="C918" s="2"/>
      <c r="D918" s="2"/>
      <c r="E918" s="2"/>
      <c r="F918" s="2"/>
      <c r="G918" s="62"/>
    </row>
    <row r="919" ht="15.75" customHeight="1">
      <c r="B919" s="79"/>
      <c r="C919" s="2"/>
      <c r="D919" s="2"/>
      <c r="E919" s="2"/>
      <c r="F919" s="2"/>
      <c r="G919" s="62"/>
    </row>
    <row r="920" ht="15.75" customHeight="1">
      <c r="B920" s="79"/>
      <c r="C920" s="2"/>
      <c r="D920" s="2"/>
      <c r="E920" s="2"/>
      <c r="F920" s="2"/>
      <c r="G920" s="62"/>
    </row>
    <row r="921" ht="15.75" customHeight="1">
      <c r="B921" s="79"/>
      <c r="C921" s="2"/>
      <c r="D921" s="2"/>
      <c r="E921" s="2"/>
      <c r="F921" s="2"/>
      <c r="G921" s="62"/>
    </row>
    <row r="922" ht="15.75" customHeight="1">
      <c r="B922" s="79"/>
      <c r="C922" s="2"/>
      <c r="D922" s="2"/>
      <c r="E922" s="2"/>
      <c r="F922" s="2"/>
      <c r="G922" s="62"/>
    </row>
    <row r="923" ht="15.75" customHeight="1">
      <c r="B923" s="79"/>
      <c r="C923" s="2"/>
      <c r="D923" s="2"/>
      <c r="E923" s="2"/>
      <c r="F923" s="2"/>
      <c r="G923" s="62"/>
    </row>
    <row r="924" ht="15.75" customHeight="1">
      <c r="B924" s="79"/>
      <c r="C924" s="2"/>
      <c r="D924" s="2"/>
      <c r="E924" s="2"/>
      <c r="F924" s="2"/>
      <c r="G924" s="62"/>
    </row>
    <row r="925" ht="15.75" customHeight="1">
      <c r="B925" s="79"/>
      <c r="C925" s="2"/>
      <c r="D925" s="2"/>
      <c r="E925" s="2"/>
      <c r="F925" s="2"/>
      <c r="G925" s="62"/>
    </row>
    <row r="926" ht="15.75" customHeight="1">
      <c r="B926" s="79"/>
      <c r="C926" s="2"/>
      <c r="D926" s="2"/>
      <c r="E926" s="2"/>
      <c r="F926" s="2"/>
      <c r="G926" s="62"/>
    </row>
    <row r="927" ht="15.75" customHeight="1">
      <c r="B927" s="79"/>
      <c r="C927" s="2"/>
      <c r="D927" s="2"/>
      <c r="E927" s="2"/>
      <c r="F927" s="2"/>
      <c r="G927" s="62"/>
    </row>
    <row r="928" ht="15.75" customHeight="1">
      <c r="B928" s="79"/>
      <c r="C928" s="2"/>
      <c r="D928" s="2"/>
      <c r="E928" s="2"/>
      <c r="F928" s="2"/>
      <c r="G928" s="62"/>
    </row>
    <row r="929" ht="15.75" customHeight="1">
      <c r="B929" s="79"/>
      <c r="C929" s="2"/>
      <c r="D929" s="2"/>
      <c r="E929" s="2"/>
      <c r="F929" s="2"/>
      <c r="G929" s="62"/>
    </row>
    <row r="930" ht="15.75" customHeight="1">
      <c r="B930" s="79"/>
      <c r="C930" s="2"/>
      <c r="D930" s="2"/>
      <c r="E930" s="2"/>
      <c r="F930" s="2"/>
      <c r="G930" s="62"/>
    </row>
    <row r="931" ht="15.75" customHeight="1">
      <c r="B931" s="79"/>
      <c r="C931" s="2"/>
      <c r="D931" s="2"/>
      <c r="E931" s="2"/>
      <c r="F931" s="2"/>
      <c r="G931" s="62"/>
    </row>
    <row r="932" ht="15.75" customHeight="1">
      <c r="B932" s="79"/>
      <c r="C932" s="2"/>
      <c r="D932" s="2"/>
      <c r="E932" s="2"/>
      <c r="F932" s="2"/>
      <c r="G932" s="62"/>
    </row>
    <row r="933" ht="15.75" customHeight="1">
      <c r="B933" s="79"/>
      <c r="C933" s="2"/>
      <c r="D933" s="2"/>
      <c r="E933" s="2"/>
      <c r="F933" s="2"/>
      <c r="G933" s="62"/>
    </row>
    <row r="934" ht="15.75" customHeight="1">
      <c r="B934" s="79"/>
      <c r="C934" s="2"/>
      <c r="D934" s="2"/>
      <c r="E934" s="2"/>
      <c r="F934" s="2"/>
      <c r="G934" s="62"/>
    </row>
    <row r="935" ht="15.75" customHeight="1">
      <c r="B935" s="79"/>
      <c r="C935" s="2"/>
      <c r="D935" s="2"/>
      <c r="E935" s="2"/>
      <c r="F935" s="2"/>
      <c r="G935" s="62"/>
    </row>
    <row r="936" ht="15.75" customHeight="1">
      <c r="B936" s="79"/>
      <c r="C936" s="2"/>
      <c r="D936" s="2"/>
      <c r="E936" s="2"/>
      <c r="F936" s="2"/>
      <c r="G936" s="62"/>
    </row>
    <row r="937" ht="15.75" customHeight="1">
      <c r="B937" s="79"/>
      <c r="C937" s="2"/>
      <c r="D937" s="2"/>
      <c r="E937" s="2"/>
      <c r="F937" s="2"/>
      <c r="G937" s="62"/>
    </row>
    <row r="938" ht="15.75" customHeight="1">
      <c r="B938" s="79"/>
      <c r="C938" s="2"/>
      <c r="D938" s="2"/>
      <c r="E938" s="2"/>
      <c r="F938" s="2"/>
      <c r="G938" s="62"/>
    </row>
    <row r="939" ht="15.75" customHeight="1">
      <c r="B939" s="79"/>
      <c r="C939" s="2"/>
      <c r="D939" s="2"/>
      <c r="E939" s="2"/>
      <c r="F939" s="2"/>
      <c r="G939" s="62"/>
    </row>
    <row r="940" ht="15.75" customHeight="1">
      <c r="B940" s="79"/>
      <c r="C940" s="2"/>
      <c r="D940" s="2"/>
      <c r="E940" s="2"/>
      <c r="F940" s="2"/>
      <c r="G940" s="62"/>
    </row>
    <row r="941" ht="15.75" customHeight="1">
      <c r="B941" s="79"/>
      <c r="C941" s="2"/>
      <c r="D941" s="2"/>
      <c r="E941" s="2"/>
      <c r="F941" s="2"/>
      <c r="G941" s="62"/>
    </row>
    <row r="942" ht="15.75" customHeight="1">
      <c r="B942" s="79"/>
      <c r="C942" s="2"/>
      <c r="D942" s="2"/>
      <c r="E942" s="2"/>
      <c r="F942" s="2"/>
      <c r="G942" s="62"/>
    </row>
    <row r="943" ht="15.75" customHeight="1">
      <c r="B943" s="79"/>
      <c r="C943" s="2"/>
      <c r="D943" s="2"/>
      <c r="E943" s="2"/>
      <c r="F943" s="2"/>
      <c r="G943" s="62"/>
    </row>
    <row r="944" ht="15.75" customHeight="1">
      <c r="B944" s="79"/>
      <c r="C944" s="2"/>
      <c r="D944" s="2"/>
      <c r="E944" s="2"/>
      <c r="F944" s="2"/>
      <c r="G944" s="62"/>
    </row>
    <row r="945" ht="15.75" customHeight="1">
      <c r="B945" s="79"/>
      <c r="C945" s="2"/>
      <c r="D945" s="2"/>
      <c r="E945" s="2"/>
      <c r="F945" s="2"/>
      <c r="G945" s="62"/>
    </row>
    <row r="946" ht="15.75" customHeight="1">
      <c r="B946" s="79"/>
      <c r="C946" s="2"/>
      <c r="D946" s="2"/>
      <c r="E946" s="2"/>
      <c r="F946" s="2"/>
      <c r="G946" s="62"/>
    </row>
    <row r="947" ht="15.75" customHeight="1">
      <c r="B947" s="79"/>
      <c r="C947" s="2"/>
      <c r="D947" s="2"/>
      <c r="E947" s="2"/>
      <c r="F947" s="2"/>
      <c r="G947" s="62"/>
    </row>
    <row r="948" ht="15.75" customHeight="1">
      <c r="B948" s="79"/>
      <c r="C948" s="2"/>
      <c r="D948" s="2"/>
      <c r="E948" s="2"/>
      <c r="F948" s="2"/>
      <c r="G948" s="62"/>
    </row>
    <row r="949" ht="15.75" customHeight="1">
      <c r="B949" s="79"/>
      <c r="C949" s="2"/>
      <c r="D949" s="2"/>
      <c r="E949" s="2"/>
      <c r="F949" s="2"/>
      <c r="G949" s="62"/>
    </row>
    <row r="950" ht="15.75" customHeight="1">
      <c r="B950" s="79"/>
      <c r="C950" s="2"/>
      <c r="D950" s="2"/>
      <c r="E950" s="2"/>
      <c r="F950" s="2"/>
      <c r="G950" s="62"/>
    </row>
    <row r="951" ht="15.75" customHeight="1">
      <c r="B951" s="79"/>
      <c r="C951" s="2"/>
      <c r="D951" s="2"/>
      <c r="E951" s="2"/>
      <c r="F951" s="2"/>
      <c r="G951" s="62"/>
    </row>
    <row r="952" ht="15.75" customHeight="1">
      <c r="B952" s="79"/>
      <c r="C952" s="2"/>
      <c r="D952" s="2"/>
      <c r="E952" s="2"/>
      <c r="F952" s="2"/>
      <c r="G952" s="62"/>
    </row>
    <row r="953" ht="15.75" customHeight="1">
      <c r="B953" s="79"/>
      <c r="C953" s="2"/>
      <c r="D953" s="2"/>
      <c r="E953" s="2"/>
      <c r="F953" s="2"/>
      <c r="G953" s="62"/>
    </row>
    <row r="954" ht="15.75" customHeight="1">
      <c r="B954" s="79"/>
      <c r="C954" s="2"/>
      <c r="D954" s="2"/>
      <c r="E954" s="2"/>
      <c r="F954" s="2"/>
      <c r="G954" s="62"/>
    </row>
    <row r="955" ht="15.75" customHeight="1">
      <c r="B955" s="79"/>
      <c r="C955" s="2"/>
      <c r="D955" s="2"/>
      <c r="E955" s="2"/>
      <c r="F955" s="2"/>
      <c r="G955" s="62"/>
    </row>
    <row r="956" ht="15.75" customHeight="1">
      <c r="B956" s="79"/>
      <c r="C956" s="2"/>
      <c r="D956" s="2"/>
      <c r="E956" s="2"/>
      <c r="F956" s="2"/>
      <c r="G956" s="62"/>
    </row>
    <row r="957" ht="15.75" customHeight="1">
      <c r="B957" s="79"/>
      <c r="C957" s="2"/>
      <c r="D957" s="2"/>
      <c r="E957" s="2"/>
      <c r="F957" s="2"/>
      <c r="G957" s="62"/>
    </row>
    <row r="958" ht="15.75" customHeight="1">
      <c r="B958" s="79"/>
      <c r="C958" s="2"/>
      <c r="D958" s="2"/>
      <c r="E958" s="2"/>
      <c r="F958" s="2"/>
      <c r="G958" s="62"/>
    </row>
    <row r="959" ht="15.75" customHeight="1">
      <c r="B959" s="79"/>
      <c r="C959" s="2"/>
      <c r="D959" s="2"/>
      <c r="E959" s="2"/>
      <c r="F959" s="2"/>
      <c r="G959" s="62"/>
    </row>
    <row r="960" ht="15.75" customHeight="1">
      <c r="B960" s="79"/>
      <c r="C960" s="2"/>
      <c r="D960" s="2"/>
      <c r="E960" s="2"/>
      <c r="F960" s="2"/>
      <c r="G960" s="62"/>
    </row>
    <row r="961" ht="15.75" customHeight="1">
      <c r="B961" s="79"/>
      <c r="C961" s="2"/>
      <c r="D961" s="2"/>
      <c r="E961" s="2"/>
      <c r="F961" s="2"/>
      <c r="G961" s="62"/>
    </row>
    <row r="962" ht="15.75" customHeight="1">
      <c r="B962" s="79"/>
      <c r="C962" s="2"/>
      <c r="D962" s="2"/>
      <c r="E962" s="2"/>
      <c r="F962" s="2"/>
      <c r="G962" s="62"/>
    </row>
    <row r="963" ht="15.75" customHeight="1">
      <c r="B963" s="79"/>
      <c r="C963" s="2"/>
      <c r="D963" s="2"/>
      <c r="E963" s="2"/>
      <c r="F963" s="2"/>
      <c r="G963" s="62"/>
    </row>
    <row r="964" ht="15.75" customHeight="1">
      <c r="B964" s="79"/>
      <c r="C964" s="2"/>
      <c r="D964" s="2"/>
      <c r="E964" s="2"/>
      <c r="F964" s="2"/>
      <c r="G964" s="62"/>
    </row>
    <row r="965" ht="15.75" customHeight="1">
      <c r="B965" s="79"/>
      <c r="C965" s="2"/>
      <c r="D965" s="2"/>
      <c r="E965" s="2"/>
      <c r="F965" s="2"/>
      <c r="G965" s="62"/>
    </row>
    <row r="966" ht="15.75" customHeight="1">
      <c r="B966" s="79"/>
      <c r="C966" s="2"/>
      <c r="D966" s="2"/>
      <c r="E966" s="2"/>
      <c r="F966" s="2"/>
      <c r="G966" s="62"/>
    </row>
    <row r="967" ht="15.75" customHeight="1">
      <c r="B967" s="79"/>
      <c r="C967" s="2"/>
      <c r="D967" s="2"/>
      <c r="E967" s="2"/>
      <c r="F967" s="2"/>
      <c r="G967" s="62"/>
    </row>
    <row r="968" ht="15.75" customHeight="1">
      <c r="B968" s="79"/>
      <c r="C968" s="2"/>
      <c r="D968" s="2"/>
      <c r="E968" s="2"/>
      <c r="F968" s="2"/>
      <c r="G968" s="62"/>
    </row>
    <row r="969" ht="15.75" customHeight="1">
      <c r="B969" s="79"/>
      <c r="C969" s="2"/>
      <c r="D969" s="2"/>
      <c r="E969" s="2"/>
      <c r="F969" s="2"/>
      <c r="G969" s="62"/>
    </row>
    <row r="970" ht="15.75" customHeight="1">
      <c r="B970" s="79"/>
      <c r="C970" s="2"/>
      <c r="D970" s="2"/>
      <c r="E970" s="2"/>
      <c r="F970" s="2"/>
      <c r="G970" s="62"/>
    </row>
    <row r="971" ht="15.75" customHeight="1">
      <c r="B971" s="79"/>
      <c r="C971" s="2"/>
      <c r="D971" s="2"/>
      <c r="E971" s="2"/>
      <c r="F971" s="2"/>
      <c r="G971" s="62"/>
    </row>
    <row r="972" ht="15.75" customHeight="1">
      <c r="B972" s="79"/>
      <c r="C972" s="2"/>
      <c r="D972" s="2"/>
      <c r="E972" s="2"/>
      <c r="F972" s="2"/>
      <c r="G972" s="62"/>
    </row>
    <row r="973" ht="15.75" customHeight="1">
      <c r="B973" s="79"/>
      <c r="C973" s="2"/>
      <c r="D973" s="2"/>
      <c r="E973" s="2"/>
      <c r="F973" s="2"/>
      <c r="G973" s="62"/>
    </row>
    <row r="974" ht="15.75" customHeight="1">
      <c r="B974" s="79"/>
      <c r="C974" s="2"/>
      <c r="D974" s="2"/>
      <c r="E974" s="2"/>
      <c r="F974" s="2"/>
      <c r="G974" s="62"/>
    </row>
    <row r="975" ht="15.75" customHeight="1">
      <c r="B975" s="79"/>
      <c r="C975" s="2"/>
      <c r="D975" s="2"/>
      <c r="E975" s="2"/>
      <c r="F975" s="2"/>
      <c r="G975" s="62"/>
    </row>
    <row r="976" ht="15.75" customHeight="1">
      <c r="B976" s="79"/>
      <c r="C976" s="2"/>
      <c r="D976" s="2"/>
      <c r="E976" s="2"/>
      <c r="F976" s="2"/>
      <c r="G976" s="62"/>
    </row>
    <row r="977" ht="15.75" customHeight="1">
      <c r="B977" s="79"/>
      <c r="C977" s="2"/>
      <c r="D977" s="2"/>
      <c r="E977" s="2"/>
      <c r="F977" s="2"/>
      <c r="G977" s="62"/>
    </row>
    <row r="978" ht="15.75" customHeight="1">
      <c r="B978" s="79"/>
      <c r="C978" s="2"/>
      <c r="D978" s="2"/>
      <c r="E978" s="2"/>
      <c r="F978" s="2"/>
      <c r="G978" s="62"/>
    </row>
    <row r="979" ht="15.75" customHeight="1">
      <c r="B979" s="79"/>
      <c r="C979" s="2"/>
      <c r="D979" s="2"/>
      <c r="E979" s="2"/>
      <c r="F979" s="2"/>
      <c r="G979" s="62"/>
    </row>
    <row r="980" ht="15.75" customHeight="1">
      <c r="B980" s="79"/>
      <c r="C980" s="2"/>
      <c r="D980" s="2"/>
      <c r="E980" s="2"/>
      <c r="F980" s="2"/>
      <c r="G980" s="62"/>
    </row>
    <row r="981" ht="15.75" customHeight="1">
      <c r="B981" s="79"/>
      <c r="C981" s="2"/>
      <c r="D981" s="2"/>
      <c r="E981" s="2"/>
      <c r="F981" s="2"/>
      <c r="G981" s="62"/>
    </row>
    <row r="982" ht="15.75" customHeight="1">
      <c r="B982" s="79"/>
      <c r="C982" s="2"/>
      <c r="D982" s="2"/>
      <c r="E982" s="2"/>
      <c r="F982" s="2"/>
      <c r="G982" s="62"/>
    </row>
    <row r="983" ht="15.75" customHeight="1">
      <c r="B983" s="79"/>
      <c r="C983" s="2"/>
      <c r="D983" s="2"/>
      <c r="E983" s="2"/>
      <c r="F983" s="2"/>
      <c r="G983" s="62"/>
    </row>
    <row r="984" ht="15.75" customHeight="1">
      <c r="B984" s="79"/>
      <c r="C984" s="2"/>
      <c r="D984" s="2"/>
      <c r="E984" s="2"/>
      <c r="F984" s="2"/>
      <c r="G984" s="62"/>
    </row>
    <row r="985" ht="15.75" customHeight="1">
      <c r="B985" s="79"/>
      <c r="C985" s="2"/>
      <c r="D985" s="2"/>
      <c r="E985" s="2"/>
      <c r="F985" s="2"/>
      <c r="G985" s="62"/>
    </row>
    <row r="986" ht="15.75" customHeight="1">
      <c r="B986" s="79"/>
      <c r="C986" s="2"/>
      <c r="D986" s="2"/>
      <c r="E986" s="2"/>
      <c r="F986" s="2"/>
      <c r="G986" s="62"/>
    </row>
    <row r="987" ht="15.75" customHeight="1">
      <c r="B987" s="79"/>
      <c r="C987" s="2"/>
      <c r="D987" s="2"/>
      <c r="E987" s="2"/>
      <c r="F987" s="2"/>
      <c r="G987" s="62"/>
    </row>
    <row r="988" ht="15.75" customHeight="1">
      <c r="B988" s="79"/>
      <c r="C988" s="2"/>
      <c r="D988" s="2"/>
      <c r="E988" s="2"/>
      <c r="F988" s="2"/>
      <c r="G988" s="62"/>
    </row>
    <row r="989" ht="15.75" customHeight="1">
      <c r="B989" s="79"/>
      <c r="C989" s="2"/>
      <c r="D989" s="2"/>
      <c r="E989" s="2"/>
      <c r="F989" s="2"/>
      <c r="G989" s="62"/>
    </row>
    <row r="990" ht="15.75" customHeight="1">
      <c r="B990" s="79"/>
      <c r="C990" s="2"/>
      <c r="D990" s="2"/>
      <c r="E990" s="2"/>
      <c r="F990" s="2"/>
      <c r="G990" s="62"/>
    </row>
    <row r="991" ht="15.75" customHeight="1">
      <c r="B991" s="79"/>
      <c r="C991" s="2"/>
      <c r="D991" s="2"/>
      <c r="E991" s="2"/>
      <c r="F991" s="2"/>
      <c r="G991" s="62"/>
    </row>
    <row r="992" ht="15.75" customHeight="1">
      <c r="B992" s="79"/>
      <c r="C992" s="2"/>
      <c r="D992" s="2"/>
      <c r="E992" s="2"/>
      <c r="F992" s="2"/>
      <c r="G992" s="62"/>
    </row>
    <row r="993" ht="15.75" customHeight="1">
      <c r="B993" s="79"/>
      <c r="C993" s="2"/>
      <c r="D993" s="2"/>
      <c r="E993" s="2"/>
      <c r="F993" s="2"/>
      <c r="G993" s="62"/>
    </row>
    <row r="994" ht="15.75" customHeight="1">
      <c r="B994" s="79"/>
      <c r="C994" s="2"/>
      <c r="D994" s="2"/>
      <c r="E994" s="2"/>
      <c r="F994" s="2"/>
      <c r="G994" s="62"/>
    </row>
    <row r="995" ht="15.75" customHeight="1">
      <c r="B995" s="79"/>
      <c r="C995" s="2"/>
      <c r="D995" s="2"/>
      <c r="E995" s="2"/>
      <c r="F995" s="2"/>
      <c r="G995" s="62"/>
    </row>
    <row r="996" ht="15.75" customHeight="1">
      <c r="B996" s="79"/>
      <c r="C996" s="2"/>
      <c r="D996" s="2"/>
      <c r="E996" s="2"/>
      <c r="F996" s="2"/>
      <c r="G996" s="62"/>
    </row>
    <row r="997" ht="15.75" customHeight="1">
      <c r="B997" s="79"/>
      <c r="C997" s="2"/>
      <c r="D997" s="2"/>
      <c r="E997" s="2"/>
      <c r="F997" s="2"/>
      <c r="G997" s="62"/>
    </row>
    <row r="998" ht="15.75" customHeight="1">
      <c r="B998" s="79"/>
      <c r="C998" s="2"/>
      <c r="D998" s="2"/>
      <c r="E998" s="2"/>
      <c r="F998" s="2"/>
      <c r="G998" s="62"/>
    </row>
    <row r="999" ht="15.75" customHeight="1">
      <c r="B999" s="79"/>
      <c r="C999" s="2"/>
      <c r="D999" s="2"/>
      <c r="E999" s="2"/>
      <c r="F999" s="2"/>
      <c r="G999" s="62"/>
    </row>
    <row r="1000" ht="15.75" customHeight="1">
      <c r="B1000" s="79"/>
      <c r="C1000" s="2"/>
      <c r="D1000" s="2"/>
      <c r="E1000" s="2"/>
      <c r="F1000" s="2"/>
      <c r="G1000" s="62"/>
    </row>
  </sheetData>
  <autoFilter ref="$A$6:$G$50">
    <filterColumn colId="1">
      <colorFilter cellColor="0" dxfId="1"/>
    </filterColumn>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9.25"/>
    <col customWidth="1" min="3" max="4" width="19.88"/>
    <col customWidth="1" min="5" max="5" width="24.88"/>
    <col customWidth="1" min="6" max="6" width="30.25"/>
    <col customWidth="1" min="7" max="8" width="22.13"/>
    <col customWidth="1" min="9" max="9" width="32.38"/>
    <col customWidth="1" min="10" max="10" width="48.38"/>
    <col customWidth="1" min="11" max="11" width="14.0"/>
    <col customWidth="1" min="12" max="26" width="8.63"/>
  </cols>
  <sheetData>
    <row r="1" ht="15.0" customHeight="1">
      <c r="A1" s="90" t="s">
        <v>1</v>
      </c>
      <c r="B1" s="90" t="s">
        <v>740</v>
      </c>
      <c r="C1" s="90" t="s">
        <v>741</v>
      </c>
      <c r="D1" s="90" t="s">
        <v>742</v>
      </c>
      <c r="E1" s="90" t="s">
        <v>743</v>
      </c>
      <c r="F1" s="91" t="s">
        <v>744</v>
      </c>
      <c r="G1" s="91" t="s">
        <v>460</v>
      </c>
      <c r="H1" s="91" t="s">
        <v>745</v>
      </c>
      <c r="I1" s="90" t="s">
        <v>461</v>
      </c>
      <c r="J1" s="91" t="s">
        <v>746</v>
      </c>
      <c r="K1" s="90" t="s">
        <v>462</v>
      </c>
      <c r="L1" s="88"/>
      <c r="M1" s="88"/>
      <c r="N1" s="88"/>
      <c r="O1" s="88"/>
      <c r="P1" s="88"/>
      <c r="Q1" s="88"/>
      <c r="R1" s="88"/>
      <c r="S1" s="88"/>
      <c r="T1" s="88"/>
      <c r="U1" s="88"/>
      <c r="V1" s="88"/>
      <c r="W1" s="88"/>
      <c r="X1" s="88"/>
      <c r="Y1" s="88"/>
      <c r="Z1" s="88"/>
    </row>
    <row r="2" ht="15.0" hidden="1" customHeight="1">
      <c r="A2" s="111" t="s">
        <v>58</v>
      </c>
      <c r="B2" s="134" t="s">
        <v>747</v>
      </c>
      <c r="C2" s="135" t="s">
        <v>39</v>
      </c>
      <c r="D2" s="135" t="s">
        <v>748</v>
      </c>
      <c r="E2" s="135" t="s">
        <v>749</v>
      </c>
      <c r="F2" s="136" t="s">
        <v>39</v>
      </c>
      <c r="G2" s="136" t="s">
        <v>39</v>
      </c>
      <c r="H2" s="136" t="s">
        <v>750</v>
      </c>
      <c r="I2" s="137"/>
      <c r="J2" s="12"/>
      <c r="K2" s="13" t="s">
        <v>3</v>
      </c>
    </row>
    <row r="3" ht="15.0" hidden="1" customHeight="1">
      <c r="A3" s="111" t="s">
        <v>58</v>
      </c>
      <c r="B3" s="134" t="s">
        <v>747</v>
      </c>
      <c r="C3" s="135" t="s">
        <v>39</v>
      </c>
      <c r="D3" s="135" t="s">
        <v>751</v>
      </c>
      <c r="E3" s="135" t="s">
        <v>752</v>
      </c>
      <c r="F3" s="136" t="s">
        <v>480</v>
      </c>
      <c r="G3" s="136" t="s">
        <v>39</v>
      </c>
      <c r="H3" s="136" t="s">
        <v>753</v>
      </c>
      <c r="I3" s="137"/>
      <c r="J3" s="108" t="s">
        <v>754</v>
      </c>
      <c r="K3" s="13" t="s">
        <v>3</v>
      </c>
    </row>
    <row r="4" ht="15.0" customHeight="1">
      <c r="A4" s="138" t="s">
        <v>58</v>
      </c>
      <c r="B4" s="139" t="s">
        <v>755</v>
      </c>
      <c r="C4" s="140" t="s">
        <v>756</v>
      </c>
      <c r="D4" s="140" t="s">
        <v>757</v>
      </c>
      <c r="E4" s="140" t="s">
        <v>758</v>
      </c>
      <c r="F4" s="141" t="s">
        <v>759</v>
      </c>
      <c r="G4" s="141" t="s">
        <v>494</v>
      </c>
      <c r="H4" s="141" t="s">
        <v>753</v>
      </c>
      <c r="I4" s="142"/>
      <c r="J4" s="143" t="s">
        <v>760</v>
      </c>
      <c r="K4" s="13" t="s">
        <v>3</v>
      </c>
    </row>
    <row r="5" ht="15.0" customHeight="1">
      <c r="A5" s="138" t="s">
        <v>58</v>
      </c>
      <c r="B5" s="139" t="s">
        <v>755</v>
      </c>
      <c r="C5" s="140" t="s">
        <v>761</v>
      </c>
      <c r="D5" s="140" t="s">
        <v>757</v>
      </c>
      <c r="E5" s="140" t="s">
        <v>758</v>
      </c>
      <c r="F5" s="141" t="s">
        <v>759</v>
      </c>
      <c r="G5" s="141" t="s">
        <v>466</v>
      </c>
      <c r="H5" s="141" t="s">
        <v>753</v>
      </c>
      <c r="I5" s="142"/>
      <c r="J5" s="143" t="s">
        <v>760</v>
      </c>
      <c r="K5" s="13" t="s">
        <v>3</v>
      </c>
    </row>
    <row r="6" ht="15.0" customHeight="1">
      <c r="A6" s="138" t="s">
        <v>58</v>
      </c>
      <c r="B6" s="139" t="s">
        <v>747</v>
      </c>
      <c r="C6" s="140" t="s">
        <v>762</v>
      </c>
      <c r="D6" s="140" t="s">
        <v>757</v>
      </c>
      <c r="E6" s="140" t="s">
        <v>758</v>
      </c>
      <c r="F6" s="141" t="s">
        <v>759</v>
      </c>
      <c r="G6" s="141" t="s">
        <v>494</v>
      </c>
      <c r="H6" s="141" t="s">
        <v>753</v>
      </c>
      <c r="I6" s="142"/>
      <c r="J6" s="143" t="s">
        <v>760</v>
      </c>
      <c r="K6" s="13" t="s">
        <v>3</v>
      </c>
    </row>
    <row r="7" ht="15.0" customHeight="1">
      <c r="A7" s="138" t="s">
        <v>63</v>
      </c>
      <c r="B7" s="139" t="s">
        <v>747</v>
      </c>
      <c r="C7" s="140" t="s">
        <v>763</v>
      </c>
      <c r="D7" s="140" t="s">
        <v>757</v>
      </c>
      <c r="E7" s="140" t="s">
        <v>764</v>
      </c>
      <c r="F7" s="141" t="s">
        <v>765</v>
      </c>
      <c r="G7" s="141" t="s">
        <v>494</v>
      </c>
      <c r="H7" s="141" t="s">
        <v>753</v>
      </c>
      <c r="I7" s="142"/>
      <c r="J7" s="143" t="s">
        <v>766</v>
      </c>
      <c r="K7" s="144" t="s">
        <v>3</v>
      </c>
      <c r="L7" s="45"/>
      <c r="M7" s="45"/>
      <c r="N7" s="45"/>
      <c r="O7" s="45"/>
      <c r="P7" s="45"/>
      <c r="Q7" s="45"/>
      <c r="R7" s="45"/>
      <c r="S7" s="45"/>
      <c r="T7" s="45"/>
      <c r="U7" s="45"/>
      <c r="V7" s="45"/>
      <c r="W7" s="45"/>
      <c r="X7" s="45"/>
      <c r="Y7" s="45"/>
      <c r="Z7" s="45"/>
    </row>
    <row r="8" ht="15.0" customHeight="1">
      <c r="A8" s="138" t="s">
        <v>63</v>
      </c>
      <c r="B8" s="139" t="s">
        <v>755</v>
      </c>
      <c r="C8" s="140" t="s">
        <v>763</v>
      </c>
      <c r="D8" s="140" t="s">
        <v>757</v>
      </c>
      <c r="E8" s="140" t="s">
        <v>764</v>
      </c>
      <c r="F8" s="141" t="s">
        <v>765</v>
      </c>
      <c r="G8" s="141" t="s">
        <v>767</v>
      </c>
      <c r="H8" s="141" t="s">
        <v>753</v>
      </c>
      <c r="I8" s="142"/>
      <c r="J8" s="143" t="s">
        <v>766</v>
      </c>
      <c r="K8" s="144" t="s">
        <v>3</v>
      </c>
    </row>
    <row r="9" ht="15.0" customHeight="1">
      <c r="A9" s="138" t="s">
        <v>63</v>
      </c>
      <c r="B9" s="139" t="s">
        <v>755</v>
      </c>
      <c r="C9" s="140" t="s">
        <v>762</v>
      </c>
      <c r="D9" s="140" t="s">
        <v>757</v>
      </c>
      <c r="E9" s="140" t="s">
        <v>764</v>
      </c>
      <c r="F9" s="141" t="s">
        <v>765</v>
      </c>
      <c r="G9" s="141" t="s">
        <v>494</v>
      </c>
      <c r="H9" s="141" t="s">
        <v>753</v>
      </c>
      <c r="I9" s="142"/>
      <c r="J9" s="143" t="s">
        <v>766</v>
      </c>
      <c r="K9" s="144" t="s">
        <v>3</v>
      </c>
    </row>
    <row r="10" ht="15.0" customHeight="1">
      <c r="A10" s="138" t="s">
        <v>70</v>
      </c>
      <c r="B10" s="139" t="s">
        <v>747</v>
      </c>
      <c r="C10" s="140" t="s">
        <v>756</v>
      </c>
      <c r="D10" s="140" t="s">
        <v>757</v>
      </c>
      <c r="E10" s="140" t="s">
        <v>764</v>
      </c>
      <c r="F10" s="141" t="s">
        <v>765</v>
      </c>
      <c r="G10" s="141" t="s">
        <v>494</v>
      </c>
      <c r="H10" s="141" t="s">
        <v>753</v>
      </c>
      <c r="I10" s="142"/>
      <c r="J10" s="143" t="s">
        <v>766</v>
      </c>
      <c r="K10" s="145" t="s">
        <v>3</v>
      </c>
    </row>
    <row r="11" ht="15.0" customHeight="1">
      <c r="A11" s="138" t="s">
        <v>70</v>
      </c>
      <c r="B11" s="139" t="s">
        <v>755</v>
      </c>
      <c r="C11" s="140" t="s">
        <v>756</v>
      </c>
      <c r="D11" s="140" t="s">
        <v>757</v>
      </c>
      <c r="E11" s="140" t="s">
        <v>764</v>
      </c>
      <c r="F11" s="141" t="s">
        <v>765</v>
      </c>
      <c r="G11" s="141" t="s">
        <v>466</v>
      </c>
      <c r="H11" s="141" t="s">
        <v>753</v>
      </c>
      <c r="I11" s="142"/>
      <c r="J11" s="143" t="s">
        <v>766</v>
      </c>
      <c r="K11" s="145" t="s">
        <v>3</v>
      </c>
    </row>
    <row r="12" ht="15.0" customHeight="1">
      <c r="A12" s="138" t="s">
        <v>70</v>
      </c>
      <c r="B12" s="139" t="s">
        <v>747</v>
      </c>
      <c r="C12" s="140" t="s">
        <v>768</v>
      </c>
      <c r="D12" s="140" t="s">
        <v>757</v>
      </c>
      <c r="E12" s="140" t="s">
        <v>764</v>
      </c>
      <c r="F12" s="141" t="s">
        <v>765</v>
      </c>
      <c r="G12" s="141" t="s">
        <v>494</v>
      </c>
      <c r="H12" s="141" t="s">
        <v>753</v>
      </c>
      <c r="I12" s="142"/>
      <c r="J12" s="143" t="s">
        <v>766</v>
      </c>
      <c r="K12" s="145" t="s">
        <v>3</v>
      </c>
    </row>
    <row r="13" ht="15.0" customHeight="1">
      <c r="A13" s="138" t="s">
        <v>70</v>
      </c>
      <c r="B13" s="139" t="s">
        <v>755</v>
      </c>
      <c r="C13" s="140" t="s">
        <v>768</v>
      </c>
      <c r="D13" s="140" t="s">
        <v>757</v>
      </c>
      <c r="E13" s="140" t="s">
        <v>764</v>
      </c>
      <c r="F13" s="141" t="s">
        <v>765</v>
      </c>
      <c r="G13" s="141" t="s">
        <v>469</v>
      </c>
      <c r="H13" s="141" t="s">
        <v>753</v>
      </c>
      <c r="I13" s="142"/>
      <c r="J13" s="143" t="s">
        <v>766</v>
      </c>
      <c r="K13" s="145" t="s">
        <v>3</v>
      </c>
    </row>
    <row r="14" ht="15.0" customHeight="1">
      <c r="A14" s="138" t="s">
        <v>70</v>
      </c>
      <c r="B14" s="139" t="s">
        <v>747</v>
      </c>
      <c r="C14" s="140" t="s">
        <v>768</v>
      </c>
      <c r="D14" s="140" t="s">
        <v>757</v>
      </c>
      <c r="E14" s="140" t="s">
        <v>764</v>
      </c>
      <c r="F14" s="141" t="s">
        <v>765</v>
      </c>
      <c r="G14" s="141" t="s">
        <v>466</v>
      </c>
      <c r="H14" s="141" t="s">
        <v>753</v>
      </c>
      <c r="I14" s="142"/>
      <c r="J14" s="143" t="s">
        <v>766</v>
      </c>
      <c r="K14" s="145" t="s">
        <v>3</v>
      </c>
    </row>
    <row r="15" ht="15.0" customHeight="1">
      <c r="A15" s="138" t="s">
        <v>70</v>
      </c>
      <c r="B15" s="139" t="s">
        <v>747</v>
      </c>
      <c r="C15" s="140" t="s">
        <v>761</v>
      </c>
      <c r="D15" s="140" t="s">
        <v>757</v>
      </c>
      <c r="E15" s="140" t="s">
        <v>764</v>
      </c>
      <c r="F15" s="141" t="s">
        <v>765</v>
      </c>
      <c r="G15" s="141" t="s">
        <v>466</v>
      </c>
      <c r="H15" s="141" t="s">
        <v>753</v>
      </c>
      <c r="I15" s="142"/>
      <c r="J15" s="143" t="s">
        <v>766</v>
      </c>
      <c r="K15" s="145" t="s">
        <v>3</v>
      </c>
    </row>
    <row r="16" ht="15.0" customHeight="1">
      <c r="A16" s="138" t="s">
        <v>70</v>
      </c>
      <c r="B16" s="139" t="s">
        <v>755</v>
      </c>
      <c r="C16" s="140" t="s">
        <v>761</v>
      </c>
      <c r="D16" s="140" t="s">
        <v>757</v>
      </c>
      <c r="E16" s="140" t="s">
        <v>764</v>
      </c>
      <c r="F16" s="141" t="s">
        <v>765</v>
      </c>
      <c r="G16" s="141" t="s">
        <v>469</v>
      </c>
      <c r="H16" s="141" t="s">
        <v>753</v>
      </c>
      <c r="I16" s="142"/>
      <c r="J16" s="143" t="s">
        <v>766</v>
      </c>
      <c r="K16" s="145" t="s">
        <v>3</v>
      </c>
    </row>
    <row r="17" ht="15.0" customHeight="1">
      <c r="A17" s="138" t="s">
        <v>70</v>
      </c>
      <c r="B17" s="139" t="s">
        <v>747</v>
      </c>
      <c r="C17" s="142" t="s">
        <v>769</v>
      </c>
      <c r="D17" s="140" t="s">
        <v>757</v>
      </c>
      <c r="E17" s="140" t="s">
        <v>764</v>
      </c>
      <c r="F17" s="141" t="s">
        <v>765</v>
      </c>
      <c r="G17" s="141" t="s">
        <v>494</v>
      </c>
      <c r="H17" s="141" t="s">
        <v>753</v>
      </c>
      <c r="I17" s="142"/>
      <c r="J17" s="143" t="s">
        <v>766</v>
      </c>
      <c r="K17" s="145" t="s">
        <v>3</v>
      </c>
    </row>
    <row r="18" ht="15.0" hidden="1" customHeight="1">
      <c r="A18" s="146" t="s">
        <v>74</v>
      </c>
      <c r="B18" s="139" t="s">
        <v>770</v>
      </c>
      <c r="C18" s="140" t="s">
        <v>39</v>
      </c>
      <c r="D18" s="140" t="s">
        <v>748</v>
      </c>
      <c r="E18" s="140" t="s">
        <v>39</v>
      </c>
      <c r="F18" s="141" t="s">
        <v>39</v>
      </c>
      <c r="G18" s="141" t="s">
        <v>39</v>
      </c>
      <c r="H18" s="141" t="s">
        <v>753</v>
      </c>
      <c r="I18" s="142"/>
      <c r="J18" s="147" t="s">
        <v>771</v>
      </c>
      <c r="K18" s="145" t="s">
        <v>4</v>
      </c>
    </row>
    <row r="19" ht="15.0" hidden="1" customHeight="1">
      <c r="A19" s="146" t="s">
        <v>79</v>
      </c>
      <c r="B19" s="139" t="s">
        <v>770</v>
      </c>
      <c r="C19" s="140" t="s">
        <v>39</v>
      </c>
      <c r="D19" s="140" t="s">
        <v>748</v>
      </c>
      <c r="E19" s="140" t="s">
        <v>39</v>
      </c>
      <c r="F19" s="141" t="s">
        <v>39</v>
      </c>
      <c r="G19" s="141" t="s">
        <v>39</v>
      </c>
      <c r="H19" s="141" t="s">
        <v>753</v>
      </c>
      <c r="I19" s="142"/>
      <c r="J19" s="147" t="s">
        <v>772</v>
      </c>
      <c r="K19" s="145" t="s">
        <v>4</v>
      </c>
    </row>
    <row r="20" ht="15.0" hidden="1" customHeight="1">
      <c r="A20" s="111" t="s">
        <v>82</v>
      </c>
      <c r="B20" s="134" t="s">
        <v>747</v>
      </c>
      <c r="C20" s="135" t="s">
        <v>39</v>
      </c>
      <c r="D20" s="135" t="s">
        <v>751</v>
      </c>
      <c r="E20" s="135" t="s">
        <v>773</v>
      </c>
      <c r="F20" s="148" t="s">
        <v>774</v>
      </c>
      <c r="G20" s="136" t="s">
        <v>39</v>
      </c>
      <c r="H20" s="136" t="s">
        <v>753</v>
      </c>
      <c r="I20" s="137"/>
      <c r="J20" s="149" t="s">
        <v>775</v>
      </c>
      <c r="K20" s="13" t="s">
        <v>4</v>
      </c>
    </row>
    <row r="21" ht="15.0" hidden="1" customHeight="1">
      <c r="A21" s="111" t="s">
        <v>88</v>
      </c>
      <c r="B21" s="134" t="s">
        <v>747</v>
      </c>
      <c r="C21" s="135" t="s">
        <v>39</v>
      </c>
      <c r="D21" s="135" t="s">
        <v>751</v>
      </c>
      <c r="E21" s="135" t="s">
        <v>776</v>
      </c>
      <c r="F21" s="136" t="s">
        <v>777</v>
      </c>
      <c r="G21" s="136" t="s">
        <v>39</v>
      </c>
      <c r="H21" s="136" t="s">
        <v>753</v>
      </c>
      <c r="I21" s="137"/>
      <c r="J21" s="108" t="s">
        <v>778</v>
      </c>
      <c r="K21" s="13" t="s">
        <v>4</v>
      </c>
    </row>
    <row r="22" ht="15.75" customHeight="1">
      <c r="A22" s="111" t="s">
        <v>88</v>
      </c>
      <c r="B22" s="134" t="s">
        <v>747</v>
      </c>
      <c r="C22" s="135" t="s">
        <v>39</v>
      </c>
      <c r="D22" s="135" t="s">
        <v>757</v>
      </c>
      <c r="E22" s="135" t="s">
        <v>776</v>
      </c>
      <c r="F22" s="136" t="s">
        <v>777</v>
      </c>
      <c r="G22" s="136" t="s">
        <v>494</v>
      </c>
      <c r="H22" s="136" t="s">
        <v>750</v>
      </c>
      <c r="I22" s="137"/>
      <c r="J22" s="150" t="s">
        <v>779</v>
      </c>
      <c r="K22" s="13" t="s">
        <v>4</v>
      </c>
    </row>
    <row r="23" ht="15.75" hidden="1" customHeight="1">
      <c r="A23" s="151" t="s">
        <v>93</v>
      </c>
      <c r="B23" s="134" t="s">
        <v>747</v>
      </c>
      <c r="C23" s="135" t="s">
        <v>39</v>
      </c>
      <c r="D23" s="135" t="s">
        <v>751</v>
      </c>
      <c r="E23" s="135" t="s">
        <v>764</v>
      </c>
      <c r="F23" s="136" t="s">
        <v>780</v>
      </c>
      <c r="G23" s="136" t="s">
        <v>39</v>
      </c>
      <c r="H23" s="136" t="s">
        <v>753</v>
      </c>
      <c r="I23" s="137"/>
      <c r="J23" s="108" t="s">
        <v>781</v>
      </c>
      <c r="K23" s="13" t="s">
        <v>4</v>
      </c>
    </row>
    <row r="24" ht="15.75" customHeight="1">
      <c r="A24" s="151" t="s">
        <v>93</v>
      </c>
      <c r="B24" s="134" t="s">
        <v>747</v>
      </c>
      <c r="C24" s="135" t="s">
        <v>39</v>
      </c>
      <c r="D24" s="135" t="s">
        <v>757</v>
      </c>
      <c r="E24" s="135" t="s">
        <v>764</v>
      </c>
      <c r="F24" s="136" t="s">
        <v>780</v>
      </c>
      <c r="G24" s="136" t="s">
        <v>494</v>
      </c>
      <c r="H24" s="136" t="s">
        <v>750</v>
      </c>
      <c r="I24" s="137"/>
      <c r="J24" s="150" t="s">
        <v>779</v>
      </c>
      <c r="K24" s="13" t="s">
        <v>4</v>
      </c>
    </row>
    <row r="25" ht="15.75" hidden="1" customHeight="1">
      <c r="A25" s="111" t="s">
        <v>782</v>
      </c>
      <c r="B25" s="134" t="s">
        <v>770</v>
      </c>
      <c r="C25" s="135" t="s">
        <v>39</v>
      </c>
      <c r="D25" s="135" t="s">
        <v>751</v>
      </c>
      <c r="E25" s="135" t="s">
        <v>783</v>
      </c>
      <c r="F25" s="136" t="s">
        <v>783</v>
      </c>
      <c r="G25" s="136" t="s">
        <v>39</v>
      </c>
      <c r="H25" s="136" t="s">
        <v>753</v>
      </c>
      <c r="I25" s="137"/>
      <c r="J25" s="108" t="s">
        <v>784</v>
      </c>
      <c r="K25" s="13" t="s">
        <v>4</v>
      </c>
    </row>
    <row r="26" ht="15.75" hidden="1" customHeight="1">
      <c r="A26" s="151" t="s">
        <v>97</v>
      </c>
      <c r="B26" s="134" t="s">
        <v>747</v>
      </c>
      <c r="C26" s="135" t="s">
        <v>39</v>
      </c>
      <c r="D26" s="135" t="s">
        <v>751</v>
      </c>
      <c r="E26" s="135" t="s">
        <v>785</v>
      </c>
      <c r="F26" s="136" t="s">
        <v>786</v>
      </c>
      <c r="G26" s="136" t="s">
        <v>39</v>
      </c>
      <c r="H26" s="136" t="s">
        <v>753</v>
      </c>
      <c r="I26" s="137"/>
      <c r="J26" s="108" t="s">
        <v>787</v>
      </c>
      <c r="K26" s="13" t="s">
        <v>3</v>
      </c>
    </row>
    <row r="27" ht="15.75" customHeight="1">
      <c r="A27" s="151" t="s">
        <v>97</v>
      </c>
      <c r="B27" s="134" t="s">
        <v>747</v>
      </c>
      <c r="C27" s="135" t="s">
        <v>39</v>
      </c>
      <c r="D27" s="135" t="s">
        <v>757</v>
      </c>
      <c r="E27" s="135" t="s">
        <v>785</v>
      </c>
      <c r="F27" s="136" t="s">
        <v>786</v>
      </c>
      <c r="G27" s="136" t="s">
        <v>494</v>
      </c>
      <c r="H27" s="136" t="s">
        <v>750</v>
      </c>
      <c r="I27" s="137"/>
      <c r="J27" s="150" t="s">
        <v>779</v>
      </c>
      <c r="K27" s="13" t="s">
        <v>4</v>
      </c>
    </row>
    <row r="28" ht="15.75" customHeight="1">
      <c r="A28" s="138" t="s">
        <v>100</v>
      </c>
      <c r="B28" s="139" t="s">
        <v>747</v>
      </c>
      <c r="C28" s="140" t="s">
        <v>768</v>
      </c>
      <c r="D28" s="140" t="s">
        <v>757</v>
      </c>
      <c r="E28" s="140" t="s">
        <v>758</v>
      </c>
      <c r="F28" s="141" t="s">
        <v>788</v>
      </c>
      <c r="G28" s="141" t="s">
        <v>466</v>
      </c>
      <c r="H28" s="141" t="s">
        <v>753</v>
      </c>
      <c r="I28" s="142"/>
      <c r="J28" s="143" t="s">
        <v>789</v>
      </c>
      <c r="K28" s="145" t="s">
        <v>4</v>
      </c>
    </row>
    <row r="29" ht="15.75" customHeight="1">
      <c r="A29" s="138" t="s">
        <v>100</v>
      </c>
      <c r="B29" s="139" t="s">
        <v>747</v>
      </c>
      <c r="C29" s="140" t="s">
        <v>790</v>
      </c>
      <c r="D29" s="140" t="s">
        <v>757</v>
      </c>
      <c r="E29" s="140" t="s">
        <v>758</v>
      </c>
      <c r="F29" s="141" t="s">
        <v>788</v>
      </c>
      <c r="G29" s="141" t="s">
        <v>466</v>
      </c>
      <c r="H29" s="141" t="s">
        <v>753</v>
      </c>
      <c r="I29" s="142"/>
      <c r="J29" s="143" t="s">
        <v>789</v>
      </c>
      <c r="K29" s="145" t="s">
        <v>4</v>
      </c>
    </row>
    <row r="30" ht="15.75" hidden="1" customHeight="1">
      <c r="A30" s="111" t="s">
        <v>100</v>
      </c>
      <c r="B30" s="134" t="s">
        <v>747</v>
      </c>
      <c r="C30" s="135" t="s">
        <v>39</v>
      </c>
      <c r="D30" s="135" t="s">
        <v>751</v>
      </c>
      <c r="E30" s="135" t="s">
        <v>785</v>
      </c>
      <c r="F30" s="136" t="s">
        <v>791</v>
      </c>
      <c r="G30" s="136" t="s">
        <v>39</v>
      </c>
      <c r="H30" s="136" t="s">
        <v>753</v>
      </c>
      <c r="I30" s="137"/>
      <c r="J30" s="108" t="s">
        <v>792</v>
      </c>
      <c r="K30" s="13" t="s">
        <v>3</v>
      </c>
    </row>
    <row r="31" ht="15.75" hidden="1" customHeight="1">
      <c r="A31" s="111" t="s">
        <v>479</v>
      </c>
      <c r="B31" s="134" t="s">
        <v>747</v>
      </c>
      <c r="C31" s="135" t="s">
        <v>39</v>
      </c>
      <c r="D31" s="135" t="s">
        <v>748</v>
      </c>
      <c r="E31" s="135" t="s">
        <v>785</v>
      </c>
      <c r="F31" s="136" t="s">
        <v>39</v>
      </c>
      <c r="G31" s="136" t="s">
        <v>39</v>
      </c>
      <c r="H31" s="136" t="s">
        <v>750</v>
      </c>
      <c r="I31" s="137"/>
      <c r="J31" s="108" t="s">
        <v>793</v>
      </c>
      <c r="K31" s="13" t="s">
        <v>3</v>
      </c>
    </row>
    <row r="32" ht="15.75" hidden="1" customHeight="1">
      <c r="A32" s="111" t="s">
        <v>479</v>
      </c>
      <c r="B32" s="134" t="s">
        <v>747</v>
      </c>
      <c r="C32" s="135" t="s">
        <v>39</v>
      </c>
      <c r="D32" s="135" t="s">
        <v>751</v>
      </c>
      <c r="E32" s="135" t="s">
        <v>785</v>
      </c>
      <c r="F32" s="136" t="s">
        <v>794</v>
      </c>
      <c r="G32" s="136" t="s">
        <v>39</v>
      </c>
      <c r="H32" s="136" t="s">
        <v>753</v>
      </c>
      <c r="I32" s="137"/>
      <c r="J32" s="108" t="s">
        <v>792</v>
      </c>
      <c r="K32" s="13" t="s">
        <v>3</v>
      </c>
    </row>
    <row r="33" ht="15.75" customHeight="1">
      <c r="A33" s="138" t="s">
        <v>479</v>
      </c>
      <c r="B33" s="139" t="s">
        <v>747</v>
      </c>
      <c r="C33" s="140" t="s">
        <v>756</v>
      </c>
      <c r="D33" s="140" t="s">
        <v>757</v>
      </c>
      <c r="E33" s="140" t="s">
        <v>764</v>
      </c>
      <c r="F33" s="141" t="s">
        <v>765</v>
      </c>
      <c r="G33" s="141" t="s">
        <v>494</v>
      </c>
      <c r="H33" s="141" t="s">
        <v>753</v>
      </c>
      <c r="I33" s="142"/>
      <c r="J33" s="143" t="s">
        <v>766</v>
      </c>
      <c r="K33" s="13" t="s">
        <v>3</v>
      </c>
    </row>
    <row r="34" ht="15.75" customHeight="1">
      <c r="A34" s="138" t="s">
        <v>479</v>
      </c>
      <c r="B34" s="139" t="s">
        <v>755</v>
      </c>
      <c r="C34" s="140" t="s">
        <v>756</v>
      </c>
      <c r="D34" s="140" t="s">
        <v>757</v>
      </c>
      <c r="E34" s="140" t="s">
        <v>764</v>
      </c>
      <c r="F34" s="141" t="s">
        <v>765</v>
      </c>
      <c r="G34" s="141" t="s">
        <v>466</v>
      </c>
      <c r="H34" s="141" t="s">
        <v>753</v>
      </c>
      <c r="I34" s="142"/>
      <c r="J34" s="143" t="s">
        <v>766</v>
      </c>
      <c r="K34" s="13" t="s">
        <v>3</v>
      </c>
    </row>
    <row r="35" ht="15.75" customHeight="1">
      <c r="A35" s="138" t="s">
        <v>479</v>
      </c>
      <c r="B35" s="139" t="s">
        <v>747</v>
      </c>
      <c r="C35" s="140" t="s">
        <v>768</v>
      </c>
      <c r="D35" s="140" t="s">
        <v>757</v>
      </c>
      <c r="E35" s="140" t="s">
        <v>764</v>
      </c>
      <c r="F35" s="141" t="s">
        <v>765</v>
      </c>
      <c r="G35" s="141" t="s">
        <v>494</v>
      </c>
      <c r="H35" s="141" t="s">
        <v>753</v>
      </c>
      <c r="I35" s="142"/>
      <c r="J35" s="143" t="s">
        <v>766</v>
      </c>
      <c r="K35" s="13" t="s">
        <v>3</v>
      </c>
    </row>
    <row r="36" ht="15.75" customHeight="1">
      <c r="A36" s="138" t="s">
        <v>479</v>
      </c>
      <c r="B36" s="139" t="s">
        <v>755</v>
      </c>
      <c r="C36" s="140" t="s">
        <v>768</v>
      </c>
      <c r="D36" s="140" t="s">
        <v>757</v>
      </c>
      <c r="E36" s="140" t="s">
        <v>764</v>
      </c>
      <c r="F36" s="141" t="s">
        <v>765</v>
      </c>
      <c r="G36" s="141" t="s">
        <v>469</v>
      </c>
      <c r="H36" s="141" t="s">
        <v>753</v>
      </c>
      <c r="I36" s="142"/>
      <c r="J36" s="143" t="s">
        <v>766</v>
      </c>
      <c r="K36" s="13" t="s">
        <v>3</v>
      </c>
    </row>
    <row r="37" ht="15.75" customHeight="1">
      <c r="A37" s="138" t="s">
        <v>479</v>
      </c>
      <c r="B37" s="139" t="s">
        <v>747</v>
      </c>
      <c r="C37" s="140" t="s">
        <v>768</v>
      </c>
      <c r="D37" s="140" t="s">
        <v>757</v>
      </c>
      <c r="E37" s="140" t="s">
        <v>764</v>
      </c>
      <c r="F37" s="141" t="s">
        <v>765</v>
      </c>
      <c r="G37" s="141" t="s">
        <v>466</v>
      </c>
      <c r="H37" s="141" t="s">
        <v>753</v>
      </c>
      <c r="I37" s="142"/>
      <c r="J37" s="143" t="s">
        <v>766</v>
      </c>
      <c r="K37" s="13" t="s">
        <v>3</v>
      </c>
    </row>
    <row r="38" ht="15.75" customHeight="1">
      <c r="A38" s="138" t="s">
        <v>479</v>
      </c>
      <c r="B38" s="139" t="s">
        <v>747</v>
      </c>
      <c r="C38" s="140" t="s">
        <v>761</v>
      </c>
      <c r="D38" s="140" t="s">
        <v>757</v>
      </c>
      <c r="E38" s="140" t="s">
        <v>764</v>
      </c>
      <c r="F38" s="141" t="s">
        <v>765</v>
      </c>
      <c r="G38" s="141" t="s">
        <v>466</v>
      </c>
      <c r="H38" s="141" t="s">
        <v>753</v>
      </c>
      <c r="I38" s="142"/>
      <c r="J38" s="143" t="s">
        <v>766</v>
      </c>
      <c r="K38" s="13" t="s">
        <v>3</v>
      </c>
    </row>
    <row r="39" ht="15.75" customHeight="1">
      <c r="A39" s="138" t="s">
        <v>479</v>
      </c>
      <c r="B39" s="139" t="s">
        <v>755</v>
      </c>
      <c r="C39" s="140" t="s">
        <v>761</v>
      </c>
      <c r="D39" s="140" t="s">
        <v>757</v>
      </c>
      <c r="E39" s="140" t="s">
        <v>764</v>
      </c>
      <c r="F39" s="141" t="s">
        <v>765</v>
      </c>
      <c r="G39" s="141" t="s">
        <v>469</v>
      </c>
      <c r="H39" s="141" t="s">
        <v>753</v>
      </c>
      <c r="I39" s="142"/>
      <c r="J39" s="143" t="s">
        <v>766</v>
      </c>
      <c r="K39" s="13" t="s">
        <v>3</v>
      </c>
    </row>
    <row r="40" ht="15.75" customHeight="1">
      <c r="A40" s="138" t="s">
        <v>479</v>
      </c>
      <c r="B40" s="139" t="s">
        <v>747</v>
      </c>
      <c r="C40" s="142" t="s">
        <v>769</v>
      </c>
      <c r="D40" s="140" t="s">
        <v>757</v>
      </c>
      <c r="E40" s="140" t="s">
        <v>764</v>
      </c>
      <c r="F40" s="141" t="s">
        <v>765</v>
      </c>
      <c r="G40" s="141" t="s">
        <v>494</v>
      </c>
      <c r="H40" s="141" t="s">
        <v>753</v>
      </c>
      <c r="I40" s="142"/>
      <c r="J40" s="143" t="s">
        <v>766</v>
      </c>
      <c r="K40" s="13" t="s">
        <v>3</v>
      </c>
    </row>
    <row r="41" ht="15.75" hidden="1" customHeight="1">
      <c r="A41" s="111" t="s">
        <v>110</v>
      </c>
      <c r="B41" s="134" t="s">
        <v>747</v>
      </c>
      <c r="C41" s="135" t="s">
        <v>39</v>
      </c>
      <c r="D41" s="135" t="s">
        <v>751</v>
      </c>
      <c r="E41" s="135" t="s">
        <v>795</v>
      </c>
      <c r="F41" s="136" t="s">
        <v>796</v>
      </c>
      <c r="G41" s="136" t="s">
        <v>39</v>
      </c>
      <c r="H41" s="136" t="s">
        <v>753</v>
      </c>
      <c r="I41" s="137"/>
      <c r="J41" s="108" t="s">
        <v>792</v>
      </c>
      <c r="K41" s="13" t="s">
        <v>4</v>
      </c>
    </row>
    <row r="42" ht="15.75" hidden="1" customHeight="1">
      <c r="A42" s="111" t="s">
        <v>797</v>
      </c>
      <c r="B42" s="134" t="s">
        <v>747</v>
      </c>
      <c r="C42" s="135" t="s">
        <v>39</v>
      </c>
      <c r="D42" s="135" t="s">
        <v>751</v>
      </c>
      <c r="E42" s="135" t="s">
        <v>785</v>
      </c>
      <c r="F42" s="136" t="s">
        <v>794</v>
      </c>
      <c r="G42" s="136" t="s">
        <v>39</v>
      </c>
      <c r="H42" s="136" t="s">
        <v>753</v>
      </c>
      <c r="I42" s="137"/>
      <c r="J42" s="108" t="s">
        <v>798</v>
      </c>
      <c r="K42" s="7" t="s">
        <v>3</v>
      </c>
    </row>
    <row r="43" ht="15.75" customHeight="1">
      <c r="A43" s="138" t="s">
        <v>797</v>
      </c>
      <c r="B43" s="139" t="s">
        <v>747</v>
      </c>
      <c r="C43" s="140" t="s">
        <v>756</v>
      </c>
      <c r="D43" s="140" t="s">
        <v>757</v>
      </c>
      <c r="E43" s="140" t="s">
        <v>764</v>
      </c>
      <c r="F43" s="141" t="s">
        <v>765</v>
      </c>
      <c r="G43" s="141" t="s">
        <v>494</v>
      </c>
      <c r="H43" s="141" t="s">
        <v>753</v>
      </c>
      <c r="I43" s="142"/>
      <c r="J43" s="143" t="s">
        <v>766</v>
      </c>
      <c r="K43" s="7" t="s">
        <v>3</v>
      </c>
    </row>
    <row r="44" ht="15.75" customHeight="1">
      <c r="A44" s="138" t="s">
        <v>797</v>
      </c>
      <c r="B44" s="139" t="s">
        <v>755</v>
      </c>
      <c r="C44" s="140" t="s">
        <v>756</v>
      </c>
      <c r="D44" s="140" t="s">
        <v>757</v>
      </c>
      <c r="E44" s="140" t="s">
        <v>764</v>
      </c>
      <c r="F44" s="141" t="s">
        <v>765</v>
      </c>
      <c r="G44" s="141" t="s">
        <v>466</v>
      </c>
      <c r="H44" s="141" t="s">
        <v>753</v>
      </c>
      <c r="I44" s="142"/>
      <c r="J44" s="143" t="s">
        <v>766</v>
      </c>
      <c r="K44" s="7" t="s">
        <v>3</v>
      </c>
    </row>
    <row r="45" ht="15.75" customHeight="1">
      <c r="A45" s="138" t="s">
        <v>797</v>
      </c>
      <c r="B45" s="139" t="s">
        <v>747</v>
      </c>
      <c r="C45" s="140" t="s">
        <v>768</v>
      </c>
      <c r="D45" s="140" t="s">
        <v>757</v>
      </c>
      <c r="E45" s="140" t="s">
        <v>764</v>
      </c>
      <c r="F45" s="141" t="s">
        <v>765</v>
      </c>
      <c r="G45" s="141" t="s">
        <v>494</v>
      </c>
      <c r="H45" s="141" t="s">
        <v>753</v>
      </c>
      <c r="I45" s="142"/>
      <c r="J45" s="143" t="s">
        <v>766</v>
      </c>
      <c r="K45" s="7" t="s">
        <v>3</v>
      </c>
    </row>
    <row r="46" ht="15.75" customHeight="1">
      <c r="A46" s="138" t="s">
        <v>797</v>
      </c>
      <c r="B46" s="139" t="s">
        <v>755</v>
      </c>
      <c r="C46" s="140" t="s">
        <v>768</v>
      </c>
      <c r="D46" s="140" t="s">
        <v>757</v>
      </c>
      <c r="E46" s="140" t="s">
        <v>764</v>
      </c>
      <c r="F46" s="141" t="s">
        <v>765</v>
      </c>
      <c r="G46" s="141" t="s">
        <v>469</v>
      </c>
      <c r="H46" s="141" t="s">
        <v>753</v>
      </c>
      <c r="I46" s="142"/>
      <c r="J46" s="143" t="s">
        <v>766</v>
      </c>
      <c r="K46" s="7" t="s">
        <v>3</v>
      </c>
    </row>
    <row r="47" ht="15.75" customHeight="1">
      <c r="A47" s="138" t="s">
        <v>797</v>
      </c>
      <c r="B47" s="139" t="s">
        <v>747</v>
      </c>
      <c r="C47" s="140" t="s">
        <v>768</v>
      </c>
      <c r="D47" s="140" t="s">
        <v>757</v>
      </c>
      <c r="E47" s="140" t="s">
        <v>764</v>
      </c>
      <c r="F47" s="141" t="s">
        <v>765</v>
      </c>
      <c r="G47" s="141" t="s">
        <v>466</v>
      </c>
      <c r="H47" s="141" t="s">
        <v>753</v>
      </c>
      <c r="I47" s="142"/>
      <c r="J47" s="143" t="s">
        <v>766</v>
      </c>
      <c r="K47" s="7" t="s">
        <v>3</v>
      </c>
      <c r="L47" s="62"/>
      <c r="M47" s="62"/>
      <c r="N47" s="62"/>
      <c r="O47" s="62"/>
      <c r="P47" s="62"/>
      <c r="Q47" s="62"/>
      <c r="R47" s="62"/>
      <c r="S47" s="62"/>
      <c r="T47" s="62"/>
      <c r="U47" s="62"/>
      <c r="V47" s="62"/>
      <c r="W47" s="62"/>
      <c r="X47" s="62"/>
      <c r="Y47" s="62"/>
      <c r="Z47" s="62"/>
    </row>
    <row r="48" ht="15.75" customHeight="1">
      <c r="A48" s="138" t="s">
        <v>797</v>
      </c>
      <c r="B48" s="139" t="s">
        <v>747</v>
      </c>
      <c r="C48" s="140" t="s">
        <v>761</v>
      </c>
      <c r="D48" s="140" t="s">
        <v>757</v>
      </c>
      <c r="E48" s="140" t="s">
        <v>764</v>
      </c>
      <c r="F48" s="141" t="s">
        <v>765</v>
      </c>
      <c r="G48" s="141" t="s">
        <v>466</v>
      </c>
      <c r="H48" s="141" t="s">
        <v>753</v>
      </c>
      <c r="I48" s="142"/>
      <c r="J48" s="143" t="s">
        <v>766</v>
      </c>
      <c r="K48" s="7" t="s">
        <v>3</v>
      </c>
    </row>
    <row r="49" ht="15.0" customHeight="1">
      <c r="A49" s="138" t="s">
        <v>797</v>
      </c>
      <c r="B49" s="139" t="s">
        <v>755</v>
      </c>
      <c r="C49" s="140" t="s">
        <v>761</v>
      </c>
      <c r="D49" s="140" t="s">
        <v>757</v>
      </c>
      <c r="E49" s="140" t="s">
        <v>764</v>
      </c>
      <c r="F49" s="141" t="s">
        <v>765</v>
      </c>
      <c r="G49" s="141" t="s">
        <v>469</v>
      </c>
      <c r="H49" s="141" t="s">
        <v>753</v>
      </c>
      <c r="I49" s="142"/>
      <c r="J49" s="143" t="s">
        <v>766</v>
      </c>
      <c r="K49" s="7" t="s">
        <v>3</v>
      </c>
    </row>
    <row r="50" ht="15.0" customHeight="1">
      <c r="A50" s="138" t="s">
        <v>797</v>
      </c>
      <c r="B50" s="139" t="s">
        <v>747</v>
      </c>
      <c r="C50" s="142" t="s">
        <v>769</v>
      </c>
      <c r="D50" s="140" t="s">
        <v>757</v>
      </c>
      <c r="E50" s="140" t="s">
        <v>764</v>
      </c>
      <c r="F50" s="141" t="s">
        <v>765</v>
      </c>
      <c r="G50" s="141" t="s">
        <v>494</v>
      </c>
      <c r="H50" s="141" t="s">
        <v>753</v>
      </c>
      <c r="I50" s="142"/>
      <c r="J50" s="143" t="s">
        <v>766</v>
      </c>
      <c r="K50" s="7" t="s">
        <v>3</v>
      </c>
    </row>
    <row r="51" ht="15.0" hidden="1" customHeight="1">
      <c r="A51" s="33" t="s">
        <v>117</v>
      </c>
      <c r="B51" s="7" t="s">
        <v>747</v>
      </c>
      <c r="C51" s="13" t="s">
        <v>39</v>
      </c>
      <c r="D51" s="13" t="s">
        <v>748</v>
      </c>
      <c r="E51" s="13" t="s">
        <v>764</v>
      </c>
      <c r="F51" s="13" t="s">
        <v>39</v>
      </c>
      <c r="G51" s="13" t="s">
        <v>39</v>
      </c>
      <c r="H51" s="13" t="s">
        <v>750</v>
      </c>
      <c r="I51" s="16"/>
      <c r="J51" s="108" t="s">
        <v>799</v>
      </c>
      <c r="K51" s="13" t="s">
        <v>3</v>
      </c>
    </row>
    <row r="52" ht="15.0" hidden="1" customHeight="1">
      <c r="A52" s="33" t="s">
        <v>117</v>
      </c>
      <c r="B52" s="134" t="s">
        <v>747</v>
      </c>
      <c r="C52" s="135" t="s">
        <v>39</v>
      </c>
      <c r="D52" s="135" t="s">
        <v>751</v>
      </c>
      <c r="E52" s="135" t="s">
        <v>776</v>
      </c>
      <c r="F52" s="136" t="s">
        <v>800</v>
      </c>
      <c r="G52" s="136" t="s">
        <v>39</v>
      </c>
      <c r="H52" s="136" t="s">
        <v>753</v>
      </c>
      <c r="I52" s="137"/>
      <c r="J52" s="108" t="s">
        <v>801</v>
      </c>
      <c r="K52" s="13" t="s">
        <v>3</v>
      </c>
    </row>
    <row r="53" ht="15.0" customHeight="1">
      <c r="A53" s="152" t="s">
        <v>117</v>
      </c>
      <c r="B53" s="139" t="s">
        <v>747</v>
      </c>
      <c r="C53" s="140" t="s">
        <v>756</v>
      </c>
      <c r="D53" s="140" t="s">
        <v>757</v>
      </c>
      <c r="E53" s="145" t="s">
        <v>764</v>
      </c>
      <c r="F53" s="141" t="s">
        <v>765</v>
      </c>
      <c r="G53" s="141" t="s">
        <v>494</v>
      </c>
      <c r="H53" s="141" t="s">
        <v>753</v>
      </c>
      <c r="I53" s="153"/>
      <c r="J53" s="143" t="s">
        <v>766</v>
      </c>
      <c r="K53" s="13" t="s">
        <v>3</v>
      </c>
    </row>
    <row r="54" ht="15.0" customHeight="1">
      <c r="A54" s="152" t="s">
        <v>117</v>
      </c>
      <c r="B54" s="139" t="s">
        <v>755</v>
      </c>
      <c r="C54" s="140" t="s">
        <v>756</v>
      </c>
      <c r="D54" s="140" t="s">
        <v>757</v>
      </c>
      <c r="E54" s="140" t="s">
        <v>764</v>
      </c>
      <c r="F54" s="141" t="s">
        <v>765</v>
      </c>
      <c r="G54" s="141" t="s">
        <v>466</v>
      </c>
      <c r="H54" s="141" t="s">
        <v>753</v>
      </c>
      <c r="I54" s="153"/>
      <c r="J54" s="143" t="s">
        <v>766</v>
      </c>
      <c r="K54" s="13" t="s">
        <v>3</v>
      </c>
    </row>
    <row r="55" ht="15.0" customHeight="1">
      <c r="A55" s="152" t="s">
        <v>117</v>
      </c>
      <c r="B55" s="139" t="s">
        <v>747</v>
      </c>
      <c r="C55" s="140" t="s">
        <v>768</v>
      </c>
      <c r="D55" s="140" t="s">
        <v>757</v>
      </c>
      <c r="E55" s="140" t="s">
        <v>764</v>
      </c>
      <c r="F55" s="141" t="s">
        <v>765</v>
      </c>
      <c r="G55" s="141" t="s">
        <v>494</v>
      </c>
      <c r="H55" s="141" t="s">
        <v>753</v>
      </c>
      <c r="I55" s="153"/>
      <c r="J55" s="143" t="s">
        <v>766</v>
      </c>
      <c r="K55" s="13" t="s">
        <v>3</v>
      </c>
    </row>
    <row r="56" ht="15.0" customHeight="1">
      <c r="A56" s="152" t="s">
        <v>117</v>
      </c>
      <c r="B56" s="139" t="s">
        <v>755</v>
      </c>
      <c r="C56" s="140" t="s">
        <v>768</v>
      </c>
      <c r="D56" s="140" t="s">
        <v>757</v>
      </c>
      <c r="E56" s="140" t="s">
        <v>764</v>
      </c>
      <c r="F56" s="141" t="s">
        <v>765</v>
      </c>
      <c r="G56" s="141" t="s">
        <v>469</v>
      </c>
      <c r="H56" s="141" t="s">
        <v>753</v>
      </c>
      <c r="I56" s="153"/>
      <c r="J56" s="143" t="s">
        <v>766</v>
      </c>
      <c r="K56" s="13" t="s">
        <v>3</v>
      </c>
    </row>
    <row r="57" ht="15.0" customHeight="1">
      <c r="A57" s="152" t="s">
        <v>117</v>
      </c>
      <c r="B57" s="139" t="s">
        <v>747</v>
      </c>
      <c r="C57" s="140" t="s">
        <v>768</v>
      </c>
      <c r="D57" s="140" t="s">
        <v>757</v>
      </c>
      <c r="E57" s="140" t="s">
        <v>764</v>
      </c>
      <c r="F57" s="141" t="s">
        <v>765</v>
      </c>
      <c r="G57" s="141" t="s">
        <v>466</v>
      </c>
      <c r="H57" s="141" t="s">
        <v>753</v>
      </c>
      <c r="I57" s="153"/>
      <c r="J57" s="143" t="s">
        <v>766</v>
      </c>
      <c r="K57" s="13" t="s">
        <v>3</v>
      </c>
    </row>
    <row r="58" ht="15.0" customHeight="1">
      <c r="A58" s="152" t="s">
        <v>117</v>
      </c>
      <c r="B58" s="139" t="s">
        <v>747</v>
      </c>
      <c r="C58" s="140" t="s">
        <v>761</v>
      </c>
      <c r="D58" s="140" t="s">
        <v>757</v>
      </c>
      <c r="E58" s="140" t="s">
        <v>764</v>
      </c>
      <c r="F58" s="141" t="s">
        <v>765</v>
      </c>
      <c r="G58" s="141" t="s">
        <v>466</v>
      </c>
      <c r="H58" s="141" t="s">
        <v>753</v>
      </c>
      <c r="I58" s="153"/>
      <c r="J58" s="143" t="s">
        <v>766</v>
      </c>
      <c r="K58" s="13" t="s">
        <v>3</v>
      </c>
    </row>
    <row r="59" ht="15.0" customHeight="1">
      <c r="A59" s="152" t="s">
        <v>117</v>
      </c>
      <c r="B59" s="139" t="s">
        <v>755</v>
      </c>
      <c r="C59" s="140" t="s">
        <v>761</v>
      </c>
      <c r="D59" s="140" t="s">
        <v>757</v>
      </c>
      <c r="E59" s="140" t="s">
        <v>764</v>
      </c>
      <c r="F59" s="141" t="s">
        <v>765</v>
      </c>
      <c r="G59" s="141" t="s">
        <v>469</v>
      </c>
      <c r="H59" s="141" t="s">
        <v>753</v>
      </c>
      <c r="I59" s="153"/>
      <c r="J59" s="143" t="s">
        <v>766</v>
      </c>
      <c r="K59" s="13" t="s">
        <v>3</v>
      </c>
    </row>
    <row r="60" ht="15.0" customHeight="1">
      <c r="A60" s="152" t="s">
        <v>117</v>
      </c>
      <c r="B60" s="139" t="s">
        <v>747</v>
      </c>
      <c r="C60" s="142" t="s">
        <v>769</v>
      </c>
      <c r="D60" s="140" t="s">
        <v>757</v>
      </c>
      <c r="E60" s="140" t="s">
        <v>764</v>
      </c>
      <c r="F60" s="141" t="s">
        <v>765</v>
      </c>
      <c r="G60" s="141" t="s">
        <v>494</v>
      </c>
      <c r="H60" s="141" t="s">
        <v>753</v>
      </c>
      <c r="I60" s="153"/>
      <c r="J60" s="143" t="s">
        <v>766</v>
      </c>
      <c r="K60" s="13" t="s">
        <v>3</v>
      </c>
    </row>
    <row r="61" ht="15.0" customHeight="1">
      <c r="A61" s="152" t="s">
        <v>120</v>
      </c>
      <c r="B61" s="154" t="s">
        <v>747</v>
      </c>
      <c r="C61" s="145" t="s">
        <v>762</v>
      </c>
      <c r="D61" s="145" t="s">
        <v>757</v>
      </c>
      <c r="E61" s="145" t="s">
        <v>764</v>
      </c>
      <c r="F61" s="145" t="s">
        <v>802</v>
      </c>
      <c r="G61" s="145" t="s">
        <v>469</v>
      </c>
      <c r="H61" s="145" t="s">
        <v>753</v>
      </c>
      <c r="I61" s="153"/>
      <c r="J61" s="147" t="s">
        <v>803</v>
      </c>
      <c r="K61" s="145" t="s">
        <v>4</v>
      </c>
    </row>
    <row r="62" ht="15.0" customHeight="1">
      <c r="A62" s="152" t="s">
        <v>120</v>
      </c>
      <c r="B62" s="154" t="s">
        <v>770</v>
      </c>
      <c r="C62" s="153" t="s">
        <v>804</v>
      </c>
      <c r="D62" s="145" t="s">
        <v>805</v>
      </c>
      <c r="E62" s="145" t="s">
        <v>764</v>
      </c>
      <c r="F62" s="145" t="s">
        <v>802</v>
      </c>
      <c r="G62" s="145" t="s">
        <v>466</v>
      </c>
      <c r="H62" s="145" t="s">
        <v>753</v>
      </c>
      <c r="I62" s="153"/>
      <c r="J62" s="147" t="s">
        <v>803</v>
      </c>
      <c r="K62" s="145" t="s">
        <v>4</v>
      </c>
    </row>
    <row r="63" ht="15.0" customHeight="1">
      <c r="A63" s="152" t="s">
        <v>120</v>
      </c>
      <c r="B63" s="154" t="s">
        <v>770</v>
      </c>
      <c r="C63" s="153" t="s">
        <v>804</v>
      </c>
      <c r="D63" s="145" t="s">
        <v>805</v>
      </c>
      <c r="E63" s="145" t="s">
        <v>764</v>
      </c>
      <c r="F63" s="145" t="s">
        <v>802</v>
      </c>
      <c r="G63" s="145" t="s">
        <v>469</v>
      </c>
      <c r="H63" s="145" t="s">
        <v>753</v>
      </c>
      <c r="I63" s="153"/>
      <c r="J63" s="147" t="s">
        <v>803</v>
      </c>
      <c r="K63" s="145" t="s">
        <v>4</v>
      </c>
    </row>
    <row r="64" ht="15.0" customHeight="1">
      <c r="A64" s="152" t="s">
        <v>126</v>
      </c>
      <c r="B64" s="154" t="s">
        <v>747</v>
      </c>
      <c r="C64" s="145" t="s">
        <v>762</v>
      </c>
      <c r="D64" s="145" t="s">
        <v>757</v>
      </c>
      <c r="E64" s="145" t="s">
        <v>806</v>
      </c>
      <c r="F64" s="145" t="s">
        <v>802</v>
      </c>
      <c r="G64" s="145" t="s">
        <v>469</v>
      </c>
      <c r="H64" s="145" t="s">
        <v>753</v>
      </c>
      <c r="I64" s="153"/>
      <c r="J64" s="147" t="s">
        <v>803</v>
      </c>
      <c r="K64" s="145" t="s">
        <v>4</v>
      </c>
    </row>
    <row r="65" ht="15.0" customHeight="1">
      <c r="A65" s="152" t="s">
        <v>126</v>
      </c>
      <c r="B65" s="154" t="s">
        <v>770</v>
      </c>
      <c r="C65" s="153" t="s">
        <v>804</v>
      </c>
      <c r="D65" s="145" t="s">
        <v>805</v>
      </c>
      <c r="E65" s="145" t="s">
        <v>806</v>
      </c>
      <c r="F65" s="145" t="s">
        <v>802</v>
      </c>
      <c r="G65" s="145" t="s">
        <v>466</v>
      </c>
      <c r="H65" s="145" t="s">
        <v>753</v>
      </c>
      <c r="I65" s="153"/>
      <c r="J65" s="147" t="s">
        <v>803</v>
      </c>
      <c r="K65" s="145" t="s">
        <v>4</v>
      </c>
    </row>
    <row r="66" ht="15.0" customHeight="1">
      <c r="A66" s="152" t="s">
        <v>126</v>
      </c>
      <c r="B66" s="154" t="s">
        <v>770</v>
      </c>
      <c r="C66" s="153" t="s">
        <v>804</v>
      </c>
      <c r="D66" s="145" t="s">
        <v>805</v>
      </c>
      <c r="E66" s="145" t="s">
        <v>806</v>
      </c>
      <c r="F66" s="145" t="s">
        <v>802</v>
      </c>
      <c r="G66" s="145" t="s">
        <v>469</v>
      </c>
      <c r="H66" s="145" t="s">
        <v>753</v>
      </c>
      <c r="I66" s="153"/>
      <c r="J66" s="147" t="s">
        <v>803</v>
      </c>
      <c r="K66" s="145" t="s">
        <v>4</v>
      </c>
    </row>
    <row r="67" ht="15.0" hidden="1" customHeight="1">
      <c r="A67" s="33" t="s">
        <v>129</v>
      </c>
      <c r="B67" s="7" t="s">
        <v>770</v>
      </c>
      <c r="C67" s="13" t="s">
        <v>39</v>
      </c>
      <c r="D67" s="13" t="s">
        <v>748</v>
      </c>
      <c r="E67" s="13"/>
      <c r="F67" s="13" t="s">
        <v>39</v>
      </c>
      <c r="G67" s="13" t="s">
        <v>39</v>
      </c>
      <c r="H67" s="13" t="s">
        <v>750</v>
      </c>
      <c r="I67" s="16"/>
      <c r="J67" s="149" t="s">
        <v>807</v>
      </c>
      <c r="K67" s="13" t="s">
        <v>3</v>
      </c>
    </row>
    <row r="68" ht="15.0" customHeight="1">
      <c r="A68" s="152" t="s">
        <v>539</v>
      </c>
      <c r="B68" s="139" t="s">
        <v>755</v>
      </c>
      <c r="C68" s="140" t="s">
        <v>756</v>
      </c>
      <c r="D68" s="140" t="s">
        <v>757</v>
      </c>
      <c r="E68" s="140" t="s">
        <v>764</v>
      </c>
      <c r="F68" s="141" t="s">
        <v>759</v>
      </c>
      <c r="G68" s="141" t="s">
        <v>494</v>
      </c>
      <c r="H68" s="141" t="s">
        <v>753</v>
      </c>
      <c r="I68" s="153"/>
      <c r="J68" s="143" t="s">
        <v>760</v>
      </c>
      <c r="K68" s="13" t="s">
        <v>3</v>
      </c>
    </row>
    <row r="69" ht="15.0" customHeight="1">
      <c r="A69" s="152" t="s">
        <v>539</v>
      </c>
      <c r="B69" s="139" t="s">
        <v>755</v>
      </c>
      <c r="C69" s="140" t="s">
        <v>761</v>
      </c>
      <c r="D69" s="140" t="s">
        <v>757</v>
      </c>
      <c r="E69" s="140" t="s">
        <v>764</v>
      </c>
      <c r="F69" s="141" t="s">
        <v>759</v>
      </c>
      <c r="G69" s="141" t="s">
        <v>466</v>
      </c>
      <c r="H69" s="141" t="s">
        <v>753</v>
      </c>
      <c r="I69" s="153"/>
      <c r="J69" s="143" t="s">
        <v>760</v>
      </c>
      <c r="K69" s="13" t="s">
        <v>3</v>
      </c>
    </row>
    <row r="70" ht="15.0" customHeight="1">
      <c r="A70" s="152" t="s">
        <v>539</v>
      </c>
      <c r="B70" s="139" t="s">
        <v>747</v>
      </c>
      <c r="C70" s="140" t="s">
        <v>762</v>
      </c>
      <c r="D70" s="140" t="s">
        <v>757</v>
      </c>
      <c r="E70" s="140" t="s">
        <v>764</v>
      </c>
      <c r="F70" s="141" t="s">
        <v>759</v>
      </c>
      <c r="G70" s="141" t="s">
        <v>494</v>
      </c>
      <c r="H70" s="141" t="s">
        <v>753</v>
      </c>
      <c r="I70" s="153"/>
      <c r="J70" s="143" t="s">
        <v>760</v>
      </c>
      <c r="K70" s="13" t="s">
        <v>3</v>
      </c>
    </row>
    <row r="71" ht="15.0" hidden="1" customHeight="1">
      <c r="A71" s="33" t="s">
        <v>539</v>
      </c>
      <c r="B71" s="134" t="s">
        <v>747</v>
      </c>
      <c r="C71" s="135" t="s">
        <v>39</v>
      </c>
      <c r="D71" s="135" t="s">
        <v>751</v>
      </c>
      <c r="E71" s="135" t="s">
        <v>808</v>
      </c>
      <c r="F71" s="136" t="s">
        <v>809</v>
      </c>
      <c r="G71" s="136" t="s">
        <v>39</v>
      </c>
      <c r="H71" s="136" t="s">
        <v>753</v>
      </c>
      <c r="I71" s="137"/>
      <c r="J71" s="108" t="s">
        <v>792</v>
      </c>
      <c r="K71" s="13" t="s">
        <v>3</v>
      </c>
    </row>
    <row r="72" ht="15.0" hidden="1" customHeight="1">
      <c r="A72" s="33" t="s">
        <v>539</v>
      </c>
      <c r="B72" s="134" t="s">
        <v>747</v>
      </c>
      <c r="C72" s="135" t="s">
        <v>39</v>
      </c>
      <c r="D72" s="135" t="s">
        <v>751</v>
      </c>
      <c r="E72" s="135" t="s">
        <v>810</v>
      </c>
      <c r="F72" s="136" t="s">
        <v>811</v>
      </c>
      <c r="G72" s="136" t="s">
        <v>39</v>
      </c>
      <c r="H72" s="136" t="s">
        <v>753</v>
      </c>
      <c r="I72" s="137"/>
      <c r="J72" s="108" t="s">
        <v>792</v>
      </c>
      <c r="K72" s="13" t="s">
        <v>3</v>
      </c>
    </row>
    <row r="73" ht="15.0" hidden="1" customHeight="1">
      <c r="A73" s="33" t="s">
        <v>540</v>
      </c>
      <c r="B73" s="7" t="s">
        <v>747</v>
      </c>
      <c r="C73" s="13" t="s">
        <v>39</v>
      </c>
      <c r="D73" s="135" t="s">
        <v>751</v>
      </c>
      <c r="E73" s="13" t="s">
        <v>776</v>
      </c>
      <c r="F73" s="13" t="s">
        <v>812</v>
      </c>
      <c r="G73" s="13" t="s">
        <v>39</v>
      </c>
      <c r="H73" s="13" t="s">
        <v>753</v>
      </c>
      <c r="I73" s="16"/>
      <c r="J73" s="108" t="s">
        <v>792</v>
      </c>
      <c r="K73" s="13" t="s">
        <v>4</v>
      </c>
    </row>
    <row r="74" ht="15.0" customHeight="1">
      <c r="A74" s="33" t="s">
        <v>540</v>
      </c>
      <c r="B74" s="7" t="s">
        <v>755</v>
      </c>
      <c r="C74" s="13" t="s">
        <v>756</v>
      </c>
      <c r="D74" s="13" t="s">
        <v>757</v>
      </c>
      <c r="E74" s="13" t="s">
        <v>813</v>
      </c>
      <c r="F74" s="16" t="s">
        <v>814</v>
      </c>
      <c r="G74" s="13" t="s">
        <v>469</v>
      </c>
      <c r="H74" s="13" t="s">
        <v>750</v>
      </c>
      <c r="I74" s="16"/>
      <c r="J74" s="149" t="s">
        <v>815</v>
      </c>
      <c r="K74" s="13" t="s">
        <v>4</v>
      </c>
    </row>
    <row r="75" ht="15.0" customHeight="1">
      <c r="A75" s="33" t="s">
        <v>540</v>
      </c>
      <c r="B75" s="7" t="s">
        <v>755</v>
      </c>
      <c r="C75" s="13" t="s">
        <v>756</v>
      </c>
      <c r="D75" s="13" t="s">
        <v>757</v>
      </c>
      <c r="E75" s="13" t="s">
        <v>813</v>
      </c>
      <c r="F75" s="16" t="s">
        <v>814</v>
      </c>
      <c r="G75" s="13" t="s">
        <v>466</v>
      </c>
      <c r="H75" s="13" t="s">
        <v>750</v>
      </c>
      <c r="I75" s="16"/>
      <c r="J75" s="149" t="s">
        <v>815</v>
      </c>
      <c r="K75" s="13" t="s">
        <v>4</v>
      </c>
    </row>
    <row r="76" ht="15.0" customHeight="1">
      <c r="A76" s="33" t="s">
        <v>540</v>
      </c>
      <c r="B76" s="7" t="s">
        <v>747</v>
      </c>
      <c r="C76" s="13" t="s">
        <v>768</v>
      </c>
      <c r="D76" s="13" t="s">
        <v>757</v>
      </c>
      <c r="E76" s="13" t="s">
        <v>813</v>
      </c>
      <c r="F76" s="16" t="s">
        <v>814</v>
      </c>
      <c r="G76" s="13" t="s">
        <v>469</v>
      </c>
      <c r="H76" s="13" t="s">
        <v>750</v>
      </c>
      <c r="I76" s="16"/>
      <c r="J76" s="149" t="s">
        <v>815</v>
      </c>
      <c r="K76" s="13" t="s">
        <v>4</v>
      </c>
    </row>
    <row r="77" ht="15.0" customHeight="1">
      <c r="A77" s="33" t="s">
        <v>540</v>
      </c>
      <c r="B77" s="7" t="s">
        <v>747</v>
      </c>
      <c r="C77" s="13" t="s">
        <v>768</v>
      </c>
      <c r="D77" s="13" t="s">
        <v>757</v>
      </c>
      <c r="E77" s="13" t="s">
        <v>813</v>
      </c>
      <c r="F77" s="16" t="s">
        <v>814</v>
      </c>
      <c r="G77" s="13" t="s">
        <v>469</v>
      </c>
      <c r="H77" s="13" t="s">
        <v>750</v>
      </c>
      <c r="I77" s="16"/>
      <c r="J77" s="149" t="s">
        <v>815</v>
      </c>
      <c r="K77" s="13" t="s">
        <v>4</v>
      </c>
    </row>
    <row r="78" ht="15.0" hidden="1" customHeight="1">
      <c r="A78" s="33" t="s">
        <v>643</v>
      </c>
      <c r="B78" s="7" t="s">
        <v>747</v>
      </c>
      <c r="C78" s="13" t="s">
        <v>39</v>
      </c>
      <c r="D78" s="13" t="s">
        <v>748</v>
      </c>
      <c r="E78" s="13" t="s">
        <v>758</v>
      </c>
      <c r="F78" s="13" t="s">
        <v>39</v>
      </c>
      <c r="G78" s="13" t="s">
        <v>39</v>
      </c>
      <c r="H78" s="13" t="s">
        <v>750</v>
      </c>
      <c r="I78" s="16"/>
      <c r="J78" s="108" t="s">
        <v>816</v>
      </c>
      <c r="K78" s="13" t="s">
        <v>3</v>
      </c>
    </row>
    <row r="79" ht="15.0" hidden="1" customHeight="1">
      <c r="A79" s="33" t="s">
        <v>643</v>
      </c>
      <c r="B79" s="7" t="s">
        <v>747</v>
      </c>
      <c r="C79" s="13" t="s">
        <v>39</v>
      </c>
      <c r="D79" s="135" t="s">
        <v>751</v>
      </c>
      <c r="E79" s="13" t="s">
        <v>785</v>
      </c>
      <c r="F79" s="13" t="s">
        <v>817</v>
      </c>
      <c r="G79" s="13" t="s">
        <v>39</v>
      </c>
      <c r="H79" s="13" t="s">
        <v>753</v>
      </c>
      <c r="I79" s="16"/>
      <c r="J79" s="108" t="s">
        <v>792</v>
      </c>
      <c r="K79" s="13" t="s">
        <v>4</v>
      </c>
    </row>
    <row r="80" ht="15.0" customHeight="1">
      <c r="A80" s="33" t="s">
        <v>643</v>
      </c>
      <c r="B80" s="7" t="s">
        <v>755</v>
      </c>
      <c r="C80" s="13" t="s">
        <v>756</v>
      </c>
      <c r="D80" s="13" t="s">
        <v>757</v>
      </c>
      <c r="E80" s="13" t="s">
        <v>818</v>
      </c>
      <c r="F80" s="16" t="s">
        <v>819</v>
      </c>
      <c r="G80" s="13" t="s">
        <v>469</v>
      </c>
      <c r="H80" s="13" t="s">
        <v>750</v>
      </c>
      <c r="I80" s="16"/>
      <c r="J80" s="149" t="s">
        <v>815</v>
      </c>
      <c r="K80" s="13" t="s">
        <v>4</v>
      </c>
    </row>
    <row r="81" ht="15.0" customHeight="1">
      <c r="A81" s="33" t="s">
        <v>643</v>
      </c>
      <c r="B81" s="7" t="s">
        <v>755</v>
      </c>
      <c r="C81" s="13" t="s">
        <v>756</v>
      </c>
      <c r="D81" s="13" t="s">
        <v>757</v>
      </c>
      <c r="E81" s="13" t="s">
        <v>818</v>
      </c>
      <c r="F81" s="16" t="s">
        <v>819</v>
      </c>
      <c r="G81" s="13" t="s">
        <v>466</v>
      </c>
      <c r="H81" s="13" t="s">
        <v>750</v>
      </c>
      <c r="I81" s="16"/>
      <c r="J81" s="149" t="s">
        <v>815</v>
      </c>
      <c r="K81" s="13" t="s">
        <v>4</v>
      </c>
    </row>
    <row r="82" ht="15.0" customHeight="1">
      <c r="A82" s="33" t="s">
        <v>643</v>
      </c>
      <c r="B82" s="7" t="s">
        <v>747</v>
      </c>
      <c r="C82" s="13" t="s">
        <v>768</v>
      </c>
      <c r="D82" s="13" t="s">
        <v>757</v>
      </c>
      <c r="E82" s="13" t="s">
        <v>818</v>
      </c>
      <c r="F82" s="16" t="s">
        <v>819</v>
      </c>
      <c r="G82" s="13" t="s">
        <v>469</v>
      </c>
      <c r="H82" s="13" t="s">
        <v>750</v>
      </c>
      <c r="I82" s="16"/>
      <c r="J82" s="149" t="s">
        <v>815</v>
      </c>
      <c r="K82" s="13" t="s">
        <v>4</v>
      </c>
    </row>
    <row r="83" ht="15.0" customHeight="1">
      <c r="A83" s="33" t="s">
        <v>643</v>
      </c>
      <c r="B83" s="7" t="s">
        <v>747</v>
      </c>
      <c r="C83" s="13" t="s">
        <v>768</v>
      </c>
      <c r="D83" s="13" t="s">
        <v>757</v>
      </c>
      <c r="E83" s="13" t="s">
        <v>818</v>
      </c>
      <c r="F83" s="16" t="s">
        <v>819</v>
      </c>
      <c r="G83" s="13" t="s">
        <v>469</v>
      </c>
      <c r="H83" s="13" t="s">
        <v>750</v>
      </c>
      <c r="I83" s="16"/>
      <c r="J83" s="149" t="s">
        <v>815</v>
      </c>
      <c r="K83" s="13" t="s">
        <v>4</v>
      </c>
    </row>
    <row r="84" ht="15.0" hidden="1" customHeight="1">
      <c r="A84" s="33" t="s">
        <v>148</v>
      </c>
      <c r="B84" s="7" t="s">
        <v>747</v>
      </c>
      <c r="C84" s="13" t="s">
        <v>39</v>
      </c>
      <c r="D84" s="135" t="s">
        <v>751</v>
      </c>
      <c r="E84" s="13" t="s">
        <v>776</v>
      </c>
      <c r="F84" s="155" t="s">
        <v>820</v>
      </c>
      <c r="G84" s="13" t="s">
        <v>39</v>
      </c>
      <c r="H84" s="13" t="s">
        <v>753</v>
      </c>
      <c r="I84" s="16"/>
      <c r="J84" s="149" t="s">
        <v>821</v>
      </c>
      <c r="K84" s="13" t="s">
        <v>4</v>
      </c>
    </row>
    <row r="85" ht="15.0" customHeight="1">
      <c r="A85" s="152" t="s">
        <v>148</v>
      </c>
      <c r="B85" s="139" t="s">
        <v>755</v>
      </c>
      <c r="C85" s="140" t="s">
        <v>756</v>
      </c>
      <c r="D85" s="140" t="s">
        <v>757</v>
      </c>
      <c r="E85" s="140" t="s">
        <v>810</v>
      </c>
      <c r="F85" s="141" t="s">
        <v>759</v>
      </c>
      <c r="G85" s="141" t="s">
        <v>494</v>
      </c>
      <c r="H85" s="141" t="s">
        <v>753</v>
      </c>
      <c r="I85" s="153"/>
      <c r="J85" s="143" t="s">
        <v>760</v>
      </c>
      <c r="K85" s="13" t="s">
        <v>3</v>
      </c>
    </row>
    <row r="86" ht="15.0" customHeight="1">
      <c r="A86" s="152" t="s">
        <v>148</v>
      </c>
      <c r="B86" s="139" t="s">
        <v>755</v>
      </c>
      <c r="C86" s="140" t="s">
        <v>761</v>
      </c>
      <c r="D86" s="140" t="s">
        <v>757</v>
      </c>
      <c r="E86" s="140" t="s">
        <v>810</v>
      </c>
      <c r="F86" s="141" t="s">
        <v>759</v>
      </c>
      <c r="G86" s="141" t="s">
        <v>466</v>
      </c>
      <c r="H86" s="141" t="s">
        <v>753</v>
      </c>
      <c r="I86" s="153"/>
      <c r="J86" s="143" t="s">
        <v>760</v>
      </c>
      <c r="K86" s="13" t="s">
        <v>3</v>
      </c>
    </row>
    <row r="87" ht="15.0" customHeight="1">
      <c r="A87" s="152" t="s">
        <v>148</v>
      </c>
      <c r="B87" s="139" t="s">
        <v>747</v>
      </c>
      <c r="C87" s="140" t="s">
        <v>762</v>
      </c>
      <c r="D87" s="140" t="s">
        <v>757</v>
      </c>
      <c r="E87" s="140" t="s">
        <v>810</v>
      </c>
      <c r="F87" s="141" t="s">
        <v>759</v>
      </c>
      <c r="G87" s="141" t="s">
        <v>494</v>
      </c>
      <c r="H87" s="141" t="s">
        <v>753</v>
      </c>
      <c r="I87" s="153"/>
      <c r="J87" s="143" t="s">
        <v>760</v>
      </c>
      <c r="K87" s="13" t="s">
        <v>3</v>
      </c>
    </row>
    <row r="88" ht="15.0" hidden="1" customHeight="1">
      <c r="A88" s="33" t="s">
        <v>822</v>
      </c>
      <c r="B88" s="7" t="s">
        <v>747</v>
      </c>
      <c r="C88" s="13" t="s">
        <v>39</v>
      </c>
      <c r="D88" s="135" t="s">
        <v>751</v>
      </c>
      <c r="E88" s="13" t="s">
        <v>823</v>
      </c>
      <c r="F88" s="13" t="s">
        <v>824</v>
      </c>
      <c r="G88" s="13" t="s">
        <v>39</v>
      </c>
      <c r="H88" s="13" t="s">
        <v>753</v>
      </c>
      <c r="I88" s="16"/>
      <c r="J88" s="149" t="s">
        <v>821</v>
      </c>
      <c r="K88" s="13" t="s">
        <v>4</v>
      </c>
    </row>
    <row r="89" ht="15.0" hidden="1" customHeight="1">
      <c r="A89" s="33" t="s">
        <v>822</v>
      </c>
      <c r="B89" s="7" t="s">
        <v>747</v>
      </c>
      <c r="C89" s="13" t="s">
        <v>39</v>
      </c>
      <c r="D89" s="135" t="s">
        <v>751</v>
      </c>
      <c r="E89" s="13" t="s">
        <v>773</v>
      </c>
      <c r="F89" s="13" t="s">
        <v>825</v>
      </c>
      <c r="G89" s="13" t="s">
        <v>39</v>
      </c>
      <c r="H89" s="13" t="s">
        <v>753</v>
      </c>
      <c r="I89" s="16"/>
      <c r="J89" s="149" t="s">
        <v>821</v>
      </c>
      <c r="K89" s="13" t="s">
        <v>4</v>
      </c>
    </row>
    <row r="90" ht="15.0" customHeight="1">
      <c r="A90" s="152" t="s">
        <v>154</v>
      </c>
      <c r="B90" s="139" t="s">
        <v>755</v>
      </c>
      <c r="C90" s="140" t="s">
        <v>756</v>
      </c>
      <c r="D90" s="140" t="s">
        <v>757</v>
      </c>
      <c r="E90" s="140" t="s">
        <v>826</v>
      </c>
      <c r="F90" s="141" t="s">
        <v>759</v>
      </c>
      <c r="G90" s="141" t="s">
        <v>494</v>
      </c>
      <c r="H90" s="141" t="s">
        <v>753</v>
      </c>
      <c r="I90" s="153"/>
      <c r="J90" s="143" t="s">
        <v>760</v>
      </c>
      <c r="K90" s="13" t="s">
        <v>3</v>
      </c>
    </row>
    <row r="91" ht="15.0" customHeight="1">
      <c r="A91" s="152" t="s">
        <v>154</v>
      </c>
      <c r="B91" s="139" t="s">
        <v>755</v>
      </c>
      <c r="C91" s="140" t="s">
        <v>761</v>
      </c>
      <c r="D91" s="140" t="s">
        <v>757</v>
      </c>
      <c r="E91" s="140" t="s">
        <v>826</v>
      </c>
      <c r="F91" s="141" t="s">
        <v>759</v>
      </c>
      <c r="G91" s="141" t="s">
        <v>466</v>
      </c>
      <c r="H91" s="141" t="s">
        <v>753</v>
      </c>
      <c r="I91" s="156"/>
      <c r="J91" s="143" t="s">
        <v>760</v>
      </c>
      <c r="K91" s="13" t="s">
        <v>3</v>
      </c>
    </row>
    <row r="92" ht="15.0" customHeight="1">
      <c r="A92" s="152" t="s">
        <v>154</v>
      </c>
      <c r="B92" s="139" t="s">
        <v>747</v>
      </c>
      <c r="C92" s="140" t="s">
        <v>762</v>
      </c>
      <c r="D92" s="140" t="s">
        <v>757</v>
      </c>
      <c r="E92" s="140" t="s">
        <v>826</v>
      </c>
      <c r="F92" s="141" t="s">
        <v>759</v>
      </c>
      <c r="G92" s="141" t="s">
        <v>494</v>
      </c>
      <c r="H92" s="141" t="s">
        <v>753</v>
      </c>
      <c r="I92" s="153"/>
      <c r="J92" s="143" t="s">
        <v>760</v>
      </c>
      <c r="K92" s="13" t="s">
        <v>3</v>
      </c>
    </row>
    <row r="93" ht="15.0" customHeight="1">
      <c r="A93" s="152" t="s">
        <v>154</v>
      </c>
      <c r="B93" s="154" t="s">
        <v>747</v>
      </c>
      <c r="C93" s="145" t="s">
        <v>756</v>
      </c>
      <c r="D93" s="145" t="s">
        <v>757</v>
      </c>
      <c r="E93" s="145" t="s">
        <v>810</v>
      </c>
      <c r="F93" s="145" t="s">
        <v>827</v>
      </c>
      <c r="G93" s="145" t="s">
        <v>494</v>
      </c>
      <c r="H93" s="145" t="s">
        <v>753</v>
      </c>
      <c r="I93" s="153"/>
      <c r="J93" s="143" t="s">
        <v>828</v>
      </c>
      <c r="K93" s="13" t="s">
        <v>3</v>
      </c>
    </row>
    <row r="94" ht="15.0" customHeight="1">
      <c r="A94" s="152" t="s">
        <v>154</v>
      </c>
      <c r="B94" s="154" t="s">
        <v>770</v>
      </c>
      <c r="C94" s="145" t="s">
        <v>829</v>
      </c>
      <c r="D94" s="145" t="s">
        <v>805</v>
      </c>
      <c r="E94" s="145" t="s">
        <v>810</v>
      </c>
      <c r="F94" s="145" t="s">
        <v>827</v>
      </c>
      <c r="G94" s="145" t="s">
        <v>830</v>
      </c>
      <c r="H94" s="145" t="s">
        <v>753</v>
      </c>
      <c r="I94" s="153"/>
      <c r="J94" s="143" t="s">
        <v>828</v>
      </c>
      <c r="K94" s="13" t="s">
        <v>3</v>
      </c>
    </row>
    <row r="95" ht="15.0" hidden="1" customHeight="1">
      <c r="A95" s="33" t="s">
        <v>154</v>
      </c>
      <c r="B95" s="7" t="s">
        <v>747</v>
      </c>
      <c r="C95" s="13" t="s">
        <v>39</v>
      </c>
      <c r="D95" s="135" t="s">
        <v>751</v>
      </c>
      <c r="E95" s="13" t="s">
        <v>831</v>
      </c>
      <c r="F95" s="13" t="s">
        <v>832</v>
      </c>
      <c r="G95" s="13" t="s">
        <v>39</v>
      </c>
      <c r="H95" s="13" t="s">
        <v>753</v>
      </c>
      <c r="I95" s="16"/>
      <c r="J95" s="108" t="s">
        <v>792</v>
      </c>
      <c r="K95" s="13" t="s">
        <v>3</v>
      </c>
    </row>
    <row r="96" ht="15.0" hidden="1" customHeight="1">
      <c r="A96" s="33" t="s">
        <v>158</v>
      </c>
      <c r="B96" s="7" t="s">
        <v>747</v>
      </c>
      <c r="C96" s="13" t="s">
        <v>39</v>
      </c>
      <c r="D96" s="135" t="s">
        <v>751</v>
      </c>
      <c r="E96" s="13" t="s">
        <v>776</v>
      </c>
      <c r="F96" s="13" t="s">
        <v>833</v>
      </c>
      <c r="G96" s="13" t="s">
        <v>39</v>
      </c>
      <c r="H96" s="13" t="s">
        <v>753</v>
      </c>
      <c r="I96" s="16"/>
      <c r="J96" s="108" t="s">
        <v>792</v>
      </c>
      <c r="K96" s="13" t="s">
        <v>3</v>
      </c>
    </row>
    <row r="97" ht="15.0" hidden="1" customHeight="1">
      <c r="A97" s="33" t="s">
        <v>158</v>
      </c>
      <c r="B97" s="7" t="s">
        <v>747</v>
      </c>
      <c r="C97" s="13" t="s">
        <v>39</v>
      </c>
      <c r="D97" s="13" t="s">
        <v>748</v>
      </c>
      <c r="E97" s="13" t="s">
        <v>773</v>
      </c>
      <c r="F97" s="13" t="s">
        <v>39</v>
      </c>
      <c r="G97" s="13" t="s">
        <v>39</v>
      </c>
      <c r="H97" s="13" t="s">
        <v>750</v>
      </c>
      <c r="I97" s="16"/>
      <c r="J97" s="108"/>
      <c r="K97" s="13" t="s">
        <v>3</v>
      </c>
    </row>
    <row r="98" ht="15.0" hidden="1" customHeight="1">
      <c r="A98" s="33" t="s">
        <v>158</v>
      </c>
      <c r="B98" s="7" t="s">
        <v>747</v>
      </c>
      <c r="C98" s="13" t="s">
        <v>39</v>
      </c>
      <c r="D98" s="13" t="s">
        <v>748</v>
      </c>
      <c r="E98" s="13" t="s">
        <v>834</v>
      </c>
      <c r="F98" s="13" t="s">
        <v>39</v>
      </c>
      <c r="G98" s="13" t="s">
        <v>39</v>
      </c>
      <c r="H98" s="13" t="s">
        <v>750</v>
      </c>
      <c r="I98" s="16"/>
      <c r="J98" s="108"/>
      <c r="K98" s="13" t="s">
        <v>3</v>
      </c>
    </row>
    <row r="99" ht="15.0" hidden="1" customHeight="1">
      <c r="A99" s="33" t="s">
        <v>158</v>
      </c>
      <c r="B99" s="7" t="s">
        <v>747</v>
      </c>
      <c r="C99" s="13" t="s">
        <v>39</v>
      </c>
      <c r="D99" s="13" t="s">
        <v>748</v>
      </c>
      <c r="E99" s="13" t="s">
        <v>831</v>
      </c>
      <c r="F99" s="13" t="s">
        <v>39</v>
      </c>
      <c r="G99" s="13" t="s">
        <v>39</v>
      </c>
      <c r="H99" s="13" t="s">
        <v>750</v>
      </c>
      <c r="I99" s="16"/>
      <c r="J99" s="108"/>
      <c r="K99" s="13" t="s">
        <v>3</v>
      </c>
    </row>
    <row r="100" ht="15.0" customHeight="1">
      <c r="A100" s="152" t="s">
        <v>161</v>
      </c>
      <c r="B100" s="139" t="s">
        <v>747</v>
      </c>
      <c r="C100" s="140" t="s">
        <v>756</v>
      </c>
      <c r="D100" s="140" t="s">
        <v>757</v>
      </c>
      <c r="E100" s="145" t="s">
        <v>810</v>
      </c>
      <c r="F100" s="141" t="s">
        <v>765</v>
      </c>
      <c r="G100" s="141" t="s">
        <v>494</v>
      </c>
      <c r="H100" s="141" t="s">
        <v>753</v>
      </c>
      <c r="I100" s="153"/>
      <c r="J100" s="143" t="s">
        <v>766</v>
      </c>
      <c r="K100" s="145" t="s">
        <v>4</v>
      </c>
    </row>
    <row r="101" ht="15.0" customHeight="1">
      <c r="A101" s="152" t="s">
        <v>161</v>
      </c>
      <c r="B101" s="139" t="s">
        <v>755</v>
      </c>
      <c r="C101" s="140" t="s">
        <v>756</v>
      </c>
      <c r="D101" s="140" t="s">
        <v>757</v>
      </c>
      <c r="E101" s="145" t="s">
        <v>810</v>
      </c>
      <c r="F101" s="141" t="s">
        <v>765</v>
      </c>
      <c r="G101" s="141" t="s">
        <v>466</v>
      </c>
      <c r="H101" s="141" t="s">
        <v>753</v>
      </c>
      <c r="I101" s="153"/>
      <c r="J101" s="143" t="s">
        <v>766</v>
      </c>
      <c r="K101" s="145" t="s">
        <v>4</v>
      </c>
    </row>
    <row r="102" ht="15.0" customHeight="1">
      <c r="A102" s="152" t="s">
        <v>161</v>
      </c>
      <c r="B102" s="139" t="s">
        <v>747</v>
      </c>
      <c r="C102" s="140" t="s">
        <v>768</v>
      </c>
      <c r="D102" s="140" t="s">
        <v>757</v>
      </c>
      <c r="E102" s="145" t="s">
        <v>810</v>
      </c>
      <c r="F102" s="141" t="s">
        <v>765</v>
      </c>
      <c r="G102" s="141" t="s">
        <v>494</v>
      </c>
      <c r="H102" s="141" t="s">
        <v>753</v>
      </c>
      <c r="I102" s="153"/>
      <c r="J102" s="143" t="s">
        <v>766</v>
      </c>
      <c r="K102" s="145" t="s">
        <v>4</v>
      </c>
    </row>
    <row r="103" ht="15.0" customHeight="1">
      <c r="A103" s="152" t="s">
        <v>161</v>
      </c>
      <c r="B103" s="139" t="s">
        <v>755</v>
      </c>
      <c r="C103" s="140" t="s">
        <v>768</v>
      </c>
      <c r="D103" s="140" t="s">
        <v>757</v>
      </c>
      <c r="E103" s="145" t="s">
        <v>810</v>
      </c>
      <c r="F103" s="141" t="s">
        <v>765</v>
      </c>
      <c r="G103" s="141" t="s">
        <v>469</v>
      </c>
      <c r="H103" s="141" t="s">
        <v>753</v>
      </c>
      <c r="I103" s="153"/>
      <c r="J103" s="143" t="s">
        <v>766</v>
      </c>
      <c r="K103" s="145" t="s">
        <v>4</v>
      </c>
    </row>
    <row r="104" ht="15.0" customHeight="1">
      <c r="A104" s="152" t="s">
        <v>161</v>
      </c>
      <c r="B104" s="139" t="s">
        <v>747</v>
      </c>
      <c r="C104" s="140" t="s">
        <v>768</v>
      </c>
      <c r="D104" s="140" t="s">
        <v>757</v>
      </c>
      <c r="E104" s="145" t="s">
        <v>810</v>
      </c>
      <c r="F104" s="141" t="s">
        <v>765</v>
      </c>
      <c r="G104" s="141" t="s">
        <v>466</v>
      </c>
      <c r="H104" s="141" t="s">
        <v>753</v>
      </c>
      <c r="I104" s="153"/>
      <c r="J104" s="143" t="s">
        <v>766</v>
      </c>
      <c r="K104" s="145" t="s">
        <v>4</v>
      </c>
    </row>
    <row r="105" ht="15.0" customHeight="1">
      <c r="A105" s="152" t="s">
        <v>161</v>
      </c>
      <c r="B105" s="139" t="s">
        <v>747</v>
      </c>
      <c r="C105" s="140" t="s">
        <v>761</v>
      </c>
      <c r="D105" s="140" t="s">
        <v>757</v>
      </c>
      <c r="E105" s="145" t="s">
        <v>810</v>
      </c>
      <c r="F105" s="141" t="s">
        <v>765</v>
      </c>
      <c r="G105" s="141" t="s">
        <v>466</v>
      </c>
      <c r="H105" s="141" t="s">
        <v>753</v>
      </c>
      <c r="I105" s="153"/>
      <c r="J105" s="143" t="s">
        <v>766</v>
      </c>
      <c r="K105" s="145" t="s">
        <v>4</v>
      </c>
    </row>
    <row r="106" ht="15.0" customHeight="1">
      <c r="A106" s="152" t="s">
        <v>161</v>
      </c>
      <c r="B106" s="139" t="s">
        <v>755</v>
      </c>
      <c r="C106" s="140" t="s">
        <v>761</v>
      </c>
      <c r="D106" s="140" t="s">
        <v>757</v>
      </c>
      <c r="E106" s="145" t="s">
        <v>810</v>
      </c>
      <c r="F106" s="141" t="s">
        <v>765</v>
      </c>
      <c r="G106" s="141" t="s">
        <v>469</v>
      </c>
      <c r="H106" s="141" t="s">
        <v>753</v>
      </c>
      <c r="I106" s="153"/>
      <c r="J106" s="143" t="s">
        <v>766</v>
      </c>
      <c r="K106" s="145" t="s">
        <v>4</v>
      </c>
    </row>
    <row r="107" ht="15.0" customHeight="1">
      <c r="A107" s="152" t="s">
        <v>161</v>
      </c>
      <c r="B107" s="139" t="s">
        <v>747</v>
      </c>
      <c r="C107" s="142" t="s">
        <v>769</v>
      </c>
      <c r="D107" s="140" t="s">
        <v>757</v>
      </c>
      <c r="E107" s="145" t="s">
        <v>810</v>
      </c>
      <c r="F107" s="141" t="s">
        <v>765</v>
      </c>
      <c r="G107" s="141" t="s">
        <v>494</v>
      </c>
      <c r="H107" s="141" t="s">
        <v>753</v>
      </c>
      <c r="I107" s="153"/>
      <c r="J107" s="143" t="s">
        <v>766</v>
      </c>
      <c r="K107" s="145" t="s">
        <v>4</v>
      </c>
    </row>
    <row r="108" ht="15.0" hidden="1" customHeight="1">
      <c r="A108" s="33" t="s">
        <v>161</v>
      </c>
      <c r="B108" s="7" t="s">
        <v>747</v>
      </c>
      <c r="C108" s="13" t="s">
        <v>39</v>
      </c>
      <c r="D108" s="135" t="s">
        <v>751</v>
      </c>
      <c r="E108" s="13" t="s">
        <v>835</v>
      </c>
      <c r="F108" s="157" t="s">
        <v>836</v>
      </c>
      <c r="G108" s="13" t="s">
        <v>39</v>
      </c>
      <c r="H108" s="13" t="s">
        <v>753</v>
      </c>
      <c r="I108" s="16"/>
      <c r="J108" s="108" t="s">
        <v>837</v>
      </c>
      <c r="K108" s="13" t="s">
        <v>4</v>
      </c>
    </row>
    <row r="109" ht="15.0" hidden="1" customHeight="1">
      <c r="A109" s="33" t="s">
        <v>161</v>
      </c>
      <c r="B109" s="7" t="s">
        <v>747</v>
      </c>
      <c r="C109" s="13" t="s">
        <v>39</v>
      </c>
      <c r="D109" s="135" t="s">
        <v>751</v>
      </c>
      <c r="E109" s="13" t="s">
        <v>838</v>
      </c>
      <c r="F109" s="157" t="s">
        <v>839</v>
      </c>
      <c r="G109" s="13" t="s">
        <v>39</v>
      </c>
      <c r="H109" s="13" t="s">
        <v>753</v>
      </c>
      <c r="I109" s="16"/>
      <c r="J109" s="108" t="s">
        <v>840</v>
      </c>
      <c r="K109" s="13" t="s">
        <v>4</v>
      </c>
    </row>
    <row r="110" ht="15.0" hidden="1" customHeight="1">
      <c r="A110" s="33" t="s">
        <v>161</v>
      </c>
      <c r="B110" s="7" t="s">
        <v>747</v>
      </c>
      <c r="C110" s="13" t="s">
        <v>39</v>
      </c>
      <c r="D110" s="135" t="s">
        <v>751</v>
      </c>
      <c r="E110" s="13" t="s">
        <v>841</v>
      </c>
      <c r="F110" s="157" t="s">
        <v>842</v>
      </c>
      <c r="G110" s="13" t="s">
        <v>39</v>
      </c>
      <c r="H110" s="13" t="s">
        <v>753</v>
      </c>
      <c r="I110" s="16"/>
      <c r="J110" s="108" t="s">
        <v>840</v>
      </c>
      <c r="K110" s="13" t="s">
        <v>4</v>
      </c>
    </row>
    <row r="111" ht="15.0" customHeight="1">
      <c r="A111" s="33" t="s">
        <v>161</v>
      </c>
      <c r="B111" s="7" t="s">
        <v>755</v>
      </c>
      <c r="C111" s="13" t="s">
        <v>763</v>
      </c>
      <c r="D111" s="13" t="s">
        <v>757</v>
      </c>
      <c r="E111" s="13" t="s">
        <v>843</v>
      </c>
      <c r="F111" s="13" t="s">
        <v>844</v>
      </c>
      <c r="G111" s="13" t="s">
        <v>830</v>
      </c>
      <c r="H111" s="13" t="s">
        <v>750</v>
      </c>
      <c r="I111" s="16"/>
      <c r="J111" s="150" t="s">
        <v>815</v>
      </c>
      <c r="K111" s="13" t="s">
        <v>4</v>
      </c>
    </row>
    <row r="112" ht="15.0" hidden="1" customHeight="1">
      <c r="A112" s="33" t="s">
        <v>164</v>
      </c>
      <c r="B112" s="7" t="s">
        <v>747</v>
      </c>
      <c r="C112" s="13" t="s">
        <v>39</v>
      </c>
      <c r="D112" s="13" t="s">
        <v>748</v>
      </c>
      <c r="E112" s="13" t="s">
        <v>823</v>
      </c>
      <c r="F112" s="13" t="s">
        <v>39</v>
      </c>
      <c r="G112" s="13" t="s">
        <v>39</v>
      </c>
      <c r="H112" s="13" t="s">
        <v>750</v>
      </c>
      <c r="I112" s="16"/>
      <c r="J112" s="108"/>
      <c r="K112" s="13" t="s">
        <v>3</v>
      </c>
    </row>
    <row r="113" ht="15.0" hidden="1" customHeight="1">
      <c r="A113" s="33" t="s">
        <v>164</v>
      </c>
      <c r="B113" s="7" t="s">
        <v>747</v>
      </c>
      <c r="C113" s="13" t="s">
        <v>39</v>
      </c>
      <c r="D113" s="135" t="s">
        <v>751</v>
      </c>
      <c r="E113" s="13" t="s">
        <v>764</v>
      </c>
      <c r="F113" s="13" t="s">
        <v>845</v>
      </c>
      <c r="G113" s="13" t="s">
        <v>39</v>
      </c>
      <c r="H113" s="13" t="s">
        <v>753</v>
      </c>
      <c r="I113" s="16"/>
      <c r="J113" s="108" t="s">
        <v>792</v>
      </c>
      <c r="K113" s="13" t="s">
        <v>3</v>
      </c>
    </row>
    <row r="114" ht="15.0" hidden="1" customHeight="1">
      <c r="A114" s="33" t="s">
        <v>167</v>
      </c>
      <c r="B114" s="7" t="s">
        <v>747</v>
      </c>
      <c r="C114" s="13" t="s">
        <v>39</v>
      </c>
      <c r="D114" s="135" t="s">
        <v>751</v>
      </c>
      <c r="E114" s="13" t="s">
        <v>846</v>
      </c>
      <c r="F114" s="157" t="s">
        <v>847</v>
      </c>
      <c r="G114" s="13" t="s">
        <v>39</v>
      </c>
      <c r="H114" s="13" t="s">
        <v>753</v>
      </c>
      <c r="I114" s="16"/>
      <c r="J114" s="108" t="s">
        <v>837</v>
      </c>
      <c r="K114" s="13" t="s">
        <v>4</v>
      </c>
    </row>
    <row r="115" ht="15.0" hidden="1" customHeight="1">
      <c r="A115" s="33" t="s">
        <v>167</v>
      </c>
      <c r="B115" s="7" t="s">
        <v>747</v>
      </c>
      <c r="C115" s="13" t="s">
        <v>39</v>
      </c>
      <c r="D115" s="135" t="s">
        <v>751</v>
      </c>
      <c r="E115" s="13" t="s">
        <v>848</v>
      </c>
      <c r="F115" s="157" t="s">
        <v>849</v>
      </c>
      <c r="G115" s="13" t="s">
        <v>39</v>
      </c>
      <c r="H115" s="13" t="s">
        <v>753</v>
      </c>
      <c r="I115" s="16"/>
      <c r="J115" s="108" t="s">
        <v>837</v>
      </c>
      <c r="K115" s="13" t="s">
        <v>4</v>
      </c>
    </row>
    <row r="116" ht="15.0" hidden="1" customHeight="1">
      <c r="A116" s="33" t="s">
        <v>167</v>
      </c>
      <c r="B116" s="7" t="s">
        <v>747</v>
      </c>
      <c r="C116" s="13" t="s">
        <v>39</v>
      </c>
      <c r="D116" s="135" t="s">
        <v>751</v>
      </c>
      <c r="E116" s="13" t="s">
        <v>776</v>
      </c>
      <c r="F116" s="157" t="s">
        <v>850</v>
      </c>
      <c r="G116" s="13" t="s">
        <v>39</v>
      </c>
      <c r="H116" s="13" t="s">
        <v>753</v>
      </c>
      <c r="I116" s="16"/>
      <c r="J116" s="108" t="s">
        <v>837</v>
      </c>
      <c r="K116" s="13" t="s">
        <v>4</v>
      </c>
    </row>
    <row r="117" ht="15.0" customHeight="1">
      <c r="A117" s="33" t="s">
        <v>167</v>
      </c>
      <c r="B117" s="7" t="s">
        <v>755</v>
      </c>
      <c r="C117" s="13" t="s">
        <v>763</v>
      </c>
      <c r="D117" s="13" t="s">
        <v>757</v>
      </c>
      <c r="E117" s="13" t="s">
        <v>851</v>
      </c>
      <c r="F117" s="13" t="s">
        <v>844</v>
      </c>
      <c r="G117" s="13" t="s">
        <v>830</v>
      </c>
      <c r="H117" s="13" t="s">
        <v>750</v>
      </c>
      <c r="I117" s="16"/>
      <c r="J117" s="150" t="s">
        <v>815</v>
      </c>
      <c r="K117" s="13" t="s">
        <v>4</v>
      </c>
    </row>
    <row r="118" ht="15.0" hidden="1" customHeight="1">
      <c r="A118" s="33" t="s">
        <v>167</v>
      </c>
      <c r="B118" s="7" t="s">
        <v>770</v>
      </c>
      <c r="C118" s="13" t="s">
        <v>39</v>
      </c>
      <c r="D118" s="13" t="s">
        <v>852</v>
      </c>
      <c r="E118" s="13" t="s">
        <v>776</v>
      </c>
      <c r="F118" s="13" t="s">
        <v>39</v>
      </c>
      <c r="G118" s="13" t="s">
        <v>39</v>
      </c>
      <c r="H118" s="13" t="s">
        <v>753</v>
      </c>
      <c r="I118" s="16"/>
      <c r="J118" s="108" t="s">
        <v>853</v>
      </c>
      <c r="K118" s="13" t="s">
        <v>4</v>
      </c>
    </row>
    <row r="119" ht="15.0" customHeight="1">
      <c r="A119" s="152" t="s">
        <v>167</v>
      </c>
      <c r="B119" s="139" t="s">
        <v>747</v>
      </c>
      <c r="C119" s="140" t="s">
        <v>762</v>
      </c>
      <c r="D119" s="140" t="s">
        <v>757</v>
      </c>
      <c r="E119" s="145" t="s">
        <v>776</v>
      </c>
      <c r="F119" s="141" t="s">
        <v>759</v>
      </c>
      <c r="G119" s="141" t="s">
        <v>494</v>
      </c>
      <c r="H119" s="141" t="s">
        <v>753</v>
      </c>
      <c r="I119" s="153"/>
      <c r="J119" s="143" t="s">
        <v>760</v>
      </c>
      <c r="K119" s="13" t="s">
        <v>4</v>
      </c>
    </row>
    <row r="120" ht="15.0" hidden="1" customHeight="1">
      <c r="A120" s="33" t="s">
        <v>170</v>
      </c>
      <c r="B120" s="7" t="s">
        <v>747</v>
      </c>
      <c r="C120" s="13" t="s">
        <v>39</v>
      </c>
      <c r="D120" s="135" t="s">
        <v>751</v>
      </c>
      <c r="E120" s="135" t="s">
        <v>785</v>
      </c>
      <c r="F120" s="155" t="s">
        <v>854</v>
      </c>
      <c r="G120" s="13" t="s">
        <v>39</v>
      </c>
      <c r="H120" s="13" t="s">
        <v>753</v>
      </c>
      <c r="I120" s="16"/>
      <c r="J120" s="108" t="s">
        <v>837</v>
      </c>
      <c r="K120" s="13" t="s">
        <v>3</v>
      </c>
    </row>
    <row r="121" ht="15.0" customHeight="1">
      <c r="A121" s="152" t="s">
        <v>170</v>
      </c>
      <c r="B121" s="139" t="s">
        <v>755</v>
      </c>
      <c r="C121" s="140" t="s">
        <v>756</v>
      </c>
      <c r="D121" s="140" t="s">
        <v>757</v>
      </c>
      <c r="E121" s="145" t="s">
        <v>776</v>
      </c>
      <c r="F121" s="141" t="s">
        <v>759</v>
      </c>
      <c r="G121" s="141" t="s">
        <v>494</v>
      </c>
      <c r="H121" s="141" t="s">
        <v>753</v>
      </c>
      <c r="I121" s="153"/>
      <c r="J121" s="143" t="s">
        <v>760</v>
      </c>
      <c r="K121" s="13" t="s">
        <v>3</v>
      </c>
    </row>
    <row r="122" ht="15.0" customHeight="1">
      <c r="A122" s="152" t="s">
        <v>170</v>
      </c>
      <c r="B122" s="139" t="s">
        <v>755</v>
      </c>
      <c r="C122" s="140" t="s">
        <v>761</v>
      </c>
      <c r="D122" s="140" t="s">
        <v>757</v>
      </c>
      <c r="E122" s="145" t="s">
        <v>776</v>
      </c>
      <c r="F122" s="141" t="s">
        <v>759</v>
      </c>
      <c r="G122" s="141" t="s">
        <v>466</v>
      </c>
      <c r="H122" s="141" t="s">
        <v>753</v>
      </c>
      <c r="I122" s="153"/>
      <c r="J122" s="143" t="s">
        <v>760</v>
      </c>
      <c r="K122" s="13" t="s">
        <v>3</v>
      </c>
    </row>
    <row r="123" ht="15.0" customHeight="1">
      <c r="A123" s="152" t="s">
        <v>170</v>
      </c>
      <c r="B123" s="139" t="s">
        <v>747</v>
      </c>
      <c r="C123" s="140" t="s">
        <v>762</v>
      </c>
      <c r="D123" s="140" t="s">
        <v>757</v>
      </c>
      <c r="E123" s="145" t="s">
        <v>776</v>
      </c>
      <c r="F123" s="141" t="s">
        <v>759</v>
      </c>
      <c r="G123" s="141" t="s">
        <v>494</v>
      </c>
      <c r="H123" s="141" t="s">
        <v>753</v>
      </c>
      <c r="I123" s="153"/>
      <c r="J123" s="143" t="s">
        <v>760</v>
      </c>
      <c r="K123" s="13" t="s">
        <v>3</v>
      </c>
    </row>
    <row r="124" ht="15.0" customHeight="1">
      <c r="A124" s="33" t="s">
        <v>173</v>
      </c>
      <c r="B124" s="7" t="s">
        <v>755</v>
      </c>
      <c r="C124" s="13" t="s">
        <v>829</v>
      </c>
      <c r="D124" s="13" t="s">
        <v>757</v>
      </c>
      <c r="E124" s="13" t="s">
        <v>810</v>
      </c>
      <c r="F124" s="16" t="s">
        <v>855</v>
      </c>
      <c r="G124" s="13" t="s">
        <v>856</v>
      </c>
      <c r="H124" s="13" t="s">
        <v>750</v>
      </c>
      <c r="I124" s="16"/>
      <c r="J124" s="150" t="s">
        <v>857</v>
      </c>
      <c r="K124" s="13" t="s">
        <v>4</v>
      </c>
    </row>
    <row r="125" ht="15.0" customHeight="1">
      <c r="A125" s="33" t="s">
        <v>173</v>
      </c>
      <c r="B125" s="7" t="s">
        <v>755</v>
      </c>
      <c r="C125" s="13" t="s">
        <v>762</v>
      </c>
      <c r="D125" s="13" t="s">
        <v>805</v>
      </c>
      <c r="E125" s="13" t="s">
        <v>810</v>
      </c>
      <c r="F125" s="16" t="s">
        <v>855</v>
      </c>
      <c r="G125" s="13" t="s">
        <v>858</v>
      </c>
      <c r="H125" s="13" t="s">
        <v>750</v>
      </c>
      <c r="I125" s="16"/>
      <c r="J125" s="150" t="s">
        <v>857</v>
      </c>
      <c r="K125" s="13" t="s">
        <v>4</v>
      </c>
    </row>
    <row r="126" ht="15.0" hidden="1" customHeight="1">
      <c r="A126" s="33" t="s">
        <v>176</v>
      </c>
      <c r="B126" s="7" t="s">
        <v>747</v>
      </c>
      <c r="C126" s="13" t="s">
        <v>39</v>
      </c>
      <c r="D126" s="135" t="s">
        <v>751</v>
      </c>
      <c r="E126" s="13" t="s">
        <v>859</v>
      </c>
      <c r="F126" s="13" t="s">
        <v>860</v>
      </c>
      <c r="G126" s="13" t="s">
        <v>39</v>
      </c>
      <c r="H126" s="13" t="s">
        <v>753</v>
      </c>
      <c r="I126" s="108"/>
      <c r="J126" s="158" t="s">
        <v>837</v>
      </c>
      <c r="K126" s="13" t="s">
        <v>3</v>
      </c>
    </row>
    <row r="127" ht="15.0" hidden="1" customHeight="1">
      <c r="A127" s="33" t="s">
        <v>176</v>
      </c>
      <c r="B127" s="7" t="s">
        <v>747</v>
      </c>
      <c r="C127" s="13" t="s">
        <v>39</v>
      </c>
      <c r="D127" s="135" t="s">
        <v>751</v>
      </c>
      <c r="E127" s="13" t="s">
        <v>785</v>
      </c>
      <c r="F127" s="13" t="s">
        <v>861</v>
      </c>
      <c r="G127" s="13" t="s">
        <v>39</v>
      </c>
      <c r="H127" s="13" t="s">
        <v>753</v>
      </c>
      <c r="I127" s="108"/>
      <c r="J127" s="158" t="s">
        <v>837</v>
      </c>
      <c r="K127" s="13" t="s">
        <v>3</v>
      </c>
    </row>
    <row r="128" ht="15.0" customHeight="1">
      <c r="A128" s="152" t="s">
        <v>176</v>
      </c>
      <c r="B128" s="139" t="s">
        <v>747</v>
      </c>
      <c r="C128" s="140" t="s">
        <v>756</v>
      </c>
      <c r="D128" s="140" t="s">
        <v>757</v>
      </c>
      <c r="E128" s="145" t="s">
        <v>776</v>
      </c>
      <c r="F128" s="141" t="s">
        <v>765</v>
      </c>
      <c r="G128" s="141" t="s">
        <v>494</v>
      </c>
      <c r="H128" s="141" t="s">
        <v>753</v>
      </c>
      <c r="I128" s="153"/>
      <c r="J128" s="143" t="s">
        <v>766</v>
      </c>
      <c r="K128" s="13" t="s">
        <v>3</v>
      </c>
    </row>
    <row r="129" ht="15.0" customHeight="1">
      <c r="A129" s="152" t="s">
        <v>176</v>
      </c>
      <c r="B129" s="139" t="s">
        <v>755</v>
      </c>
      <c r="C129" s="140" t="s">
        <v>756</v>
      </c>
      <c r="D129" s="140" t="s">
        <v>757</v>
      </c>
      <c r="E129" s="145" t="s">
        <v>776</v>
      </c>
      <c r="F129" s="141" t="s">
        <v>765</v>
      </c>
      <c r="G129" s="141" t="s">
        <v>466</v>
      </c>
      <c r="H129" s="141" t="s">
        <v>753</v>
      </c>
      <c r="I129" s="153"/>
      <c r="J129" s="143" t="s">
        <v>766</v>
      </c>
      <c r="K129" s="13" t="s">
        <v>3</v>
      </c>
    </row>
    <row r="130" ht="15.0" customHeight="1">
      <c r="A130" s="152" t="s">
        <v>176</v>
      </c>
      <c r="B130" s="139" t="s">
        <v>747</v>
      </c>
      <c r="C130" s="140" t="s">
        <v>768</v>
      </c>
      <c r="D130" s="140" t="s">
        <v>757</v>
      </c>
      <c r="E130" s="145" t="s">
        <v>776</v>
      </c>
      <c r="F130" s="141" t="s">
        <v>765</v>
      </c>
      <c r="G130" s="141" t="s">
        <v>494</v>
      </c>
      <c r="H130" s="141" t="s">
        <v>753</v>
      </c>
      <c r="I130" s="153"/>
      <c r="J130" s="143" t="s">
        <v>766</v>
      </c>
      <c r="K130" s="13" t="s">
        <v>3</v>
      </c>
    </row>
    <row r="131" ht="15.0" customHeight="1">
      <c r="A131" s="152" t="s">
        <v>176</v>
      </c>
      <c r="B131" s="139" t="s">
        <v>755</v>
      </c>
      <c r="C131" s="140" t="s">
        <v>768</v>
      </c>
      <c r="D131" s="140" t="s">
        <v>757</v>
      </c>
      <c r="E131" s="145" t="s">
        <v>776</v>
      </c>
      <c r="F131" s="141" t="s">
        <v>765</v>
      </c>
      <c r="G131" s="141" t="s">
        <v>469</v>
      </c>
      <c r="H131" s="141" t="s">
        <v>753</v>
      </c>
      <c r="I131" s="153"/>
      <c r="J131" s="143" t="s">
        <v>766</v>
      </c>
      <c r="K131" s="13" t="s">
        <v>3</v>
      </c>
    </row>
    <row r="132" ht="15.0" customHeight="1">
      <c r="A132" s="152" t="s">
        <v>176</v>
      </c>
      <c r="B132" s="139" t="s">
        <v>747</v>
      </c>
      <c r="C132" s="140" t="s">
        <v>768</v>
      </c>
      <c r="D132" s="140" t="s">
        <v>757</v>
      </c>
      <c r="E132" s="145" t="s">
        <v>776</v>
      </c>
      <c r="F132" s="141" t="s">
        <v>765</v>
      </c>
      <c r="G132" s="141" t="s">
        <v>466</v>
      </c>
      <c r="H132" s="141" t="s">
        <v>753</v>
      </c>
      <c r="I132" s="153"/>
      <c r="J132" s="143" t="s">
        <v>766</v>
      </c>
      <c r="K132" s="13" t="s">
        <v>3</v>
      </c>
    </row>
    <row r="133" ht="15.0" customHeight="1">
      <c r="A133" s="152" t="s">
        <v>176</v>
      </c>
      <c r="B133" s="139" t="s">
        <v>747</v>
      </c>
      <c r="C133" s="140" t="s">
        <v>761</v>
      </c>
      <c r="D133" s="140" t="s">
        <v>757</v>
      </c>
      <c r="E133" s="145" t="s">
        <v>776</v>
      </c>
      <c r="F133" s="141" t="s">
        <v>765</v>
      </c>
      <c r="G133" s="141" t="s">
        <v>466</v>
      </c>
      <c r="H133" s="141" t="s">
        <v>753</v>
      </c>
      <c r="I133" s="153"/>
      <c r="J133" s="143" t="s">
        <v>766</v>
      </c>
      <c r="K133" s="13" t="s">
        <v>3</v>
      </c>
    </row>
    <row r="134" ht="15.0" customHeight="1">
      <c r="A134" s="152" t="s">
        <v>176</v>
      </c>
      <c r="B134" s="139" t="s">
        <v>755</v>
      </c>
      <c r="C134" s="140" t="s">
        <v>761</v>
      </c>
      <c r="D134" s="140" t="s">
        <v>757</v>
      </c>
      <c r="E134" s="145" t="s">
        <v>776</v>
      </c>
      <c r="F134" s="141" t="s">
        <v>765</v>
      </c>
      <c r="G134" s="141" t="s">
        <v>469</v>
      </c>
      <c r="H134" s="141" t="s">
        <v>753</v>
      </c>
      <c r="I134" s="153"/>
      <c r="J134" s="143" t="s">
        <v>766</v>
      </c>
      <c r="K134" s="13" t="s">
        <v>3</v>
      </c>
    </row>
    <row r="135" ht="15.0" customHeight="1">
      <c r="A135" s="152" t="s">
        <v>176</v>
      </c>
      <c r="B135" s="139" t="s">
        <v>747</v>
      </c>
      <c r="C135" s="142" t="s">
        <v>769</v>
      </c>
      <c r="D135" s="140" t="s">
        <v>757</v>
      </c>
      <c r="E135" s="145" t="s">
        <v>776</v>
      </c>
      <c r="F135" s="141" t="s">
        <v>765</v>
      </c>
      <c r="G135" s="141" t="s">
        <v>494</v>
      </c>
      <c r="H135" s="141" t="s">
        <v>753</v>
      </c>
      <c r="I135" s="153"/>
      <c r="J135" s="143" t="s">
        <v>766</v>
      </c>
      <c r="K135" s="13" t="s">
        <v>3</v>
      </c>
    </row>
    <row r="136" ht="15.0" customHeight="1">
      <c r="A136" s="152" t="s">
        <v>180</v>
      </c>
      <c r="B136" s="139" t="s">
        <v>755</v>
      </c>
      <c r="C136" s="140" t="s">
        <v>756</v>
      </c>
      <c r="D136" s="140" t="s">
        <v>757</v>
      </c>
      <c r="E136" s="140" t="s">
        <v>773</v>
      </c>
      <c r="F136" s="141" t="s">
        <v>759</v>
      </c>
      <c r="G136" s="141" t="s">
        <v>494</v>
      </c>
      <c r="H136" s="141" t="s">
        <v>753</v>
      </c>
      <c r="I136" s="153"/>
      <c r="J136" s="143" t="s">
        <v>760</v>
      </c>
      <c r="K136" s="13" t="s">
        <v>4</v>
      </c>
    </row>
    <row r="137" ht="15.0" customHeight="1">
      <c r="A137" s="152" t="s">
        <v>180</v>
      </c>
      <c r="B137" s="139" t="s">
        <v>755</v>
      </c>
      <c r="C137" s="140" t="s">
        <v>761</v>
      </c>
      <c r="D137" s="140" t="s">
        <v>757</v>
      </c>
      <c r="E137" s="140" t="s">
        <v>773</v>
      </c>
      <c r="F137" s="141" t="s">
        <v>759</v>
      </c>
      <c r="G137" s="141" t="s">
        <v>466</v>
      </c>
      <c r="H137" s="141" t="s">
        <v>753</v>
      </c>
      <c r="I137" s="156"/>
      <c r="J137" s="143" t="s">
        <v>760</v>
      </c>
      <c r="K137" s="13" t="s">
        <v>4</v>
      </c>
    </row>
    <row r="138" ht="15.0" customHeight="1">
      <c r="A138" s="152" t="s">
        <v>180</v>
      </c>
      <c r="B138" s="139" t="s">
        <v>747</v>
      </c>
      <c r="C138" s="140" t="s">
        <v>762</v>
      </c>
      <c r="D138" s="140" t="s">
        <v>757</v>
      </c>
      <c r="E138" s="140" t="s">
        <v>773</v>
      </c>
      <c r="F138" s="141" t="s">
        <v>759</v>
      </c>
      <c r="G138" s="141" t="s">
        <v>494</v>
      </c>
      <c r="H138" s="141" t="s">
        <v>753</v>
      </c>
      <c r="I138" s="153"/>
      <c r="J138" s="143" t="s">
        <v>760</v>
      </c>
      <c r="K138" s="13" t="s">
        <v>4</v>
      </c>
    </row>
    <row r="139" ht="15.0" customHeight="1">
      <c r="A139" s="152" t="s">
        <v>180</v>
      </c>
      <c r="B139" s="154" t="s">
        <v>747</v>
      </c>
      <c r="C139" s="145" t="s">
        <v>756</v>
      </c>
      <c r="D139" s="145" t="s">
        <v>757</v>
      </c>
      <c r="E139" s="145" t="s">
        <v>810</v>
      </c>
      <c r="F139" s="145" t="s">
        <v>827</v>
      </c>
      <c r="G139" s="145" t="s">
        <v>494</v>
      </c>
      <c r="H139" s="145" t="s">
        <v>753</v>
      </c>
      <c r="I139" s="153"/>
      <c r="J139" s="143" t="s">
        <v>828</v>
      </c>
      <c r="K139" s="145" t="s">
        <v>4</v>
      </c>
    </row>
    <row r="140" ht="15.0" customHeight="1">
      <c r="A140" s="152" t="s">
        <v>180</v>
      </c>
      <c r="B140" s="154" t="s">
        <v>770</v>
      </c>
      <c r="C140" s="145" t="s">
        <v>829</v>
      </c>
      <c r="D140" s="145" t="s">
        <v>805</v>
      </c>
      <c r="E140" s="145" t="s">
        <v>810</v>
      </c>
      <c r="F140" s="145" t="s">
        <v>827</v>
      </c>
      <c r="G140" s="145" t="s">
        <v>830</v>
      </c>
      <c r="H140" s="145" t="s">
        <v>753</v>
      </c>
      <c r="I140" s="153"/>
      <c r="J140" s="143" t="s">
        <v>828</v>
      </c>
      <c r="K140" s="145" t="s">
        <v>4</v>
      </c>
    </row>
    <row r="141" ht="15.0" hidden="1" customHeight="1">
      <c r="A141" s="33" t="s">
        <v>180</v>
      </c>
      <c r="B141" s="7" t="s">
        <v>747</v>
      </c>
      <c r="C141" s="13" t="s">
        <v>39</v>
      </c>
      <c r="D141" s="135" t="s">
        <v>751</v>
      </c>
      <c r="E141" s="13" t="s">
        <v>785</v>
      </c>
      <c r="F141" s="13" t="s">
        <v>862</v>
      </c>
      <c r="G141" s="13" t="s">
        <v>39</v>
      </c>
      <c r="H141" s="13" t="s">
        <v>753</v>
      </c>
      <c r="I141" s="16"/>
      <c r="J141" s="108" t="s">
        <v>792</v>
      </c>
      <c r="K141" s="13" t="s">
        <v>4</v>
      </c>
    </row>
    <row r="142" ht="15.0" customHeight="1">
      <c r="A142" s="152" t="s">
        <v>183</v>
      </c>
      <c r="B142" s="139" t="s">
        <v>755</v>
      </c>
      <c r="C142" s="140" t="s">
        <v>756</v>
      </c>
      <c r="D142" s="140" t="s">
        <v>757</v>
      </c>
      <c r="E142" s="140" t="s">
        <v>758</v>
      </c>
      <c r="F142" s="141" t="s">
        <v>759</v>
      </c>
      <c r="G142" s="141" t="s">
        <v>494</v>
      </c>
      <c r="H142" s="141" t="s">
        <v>753</v>
      </c>
      <c r="I142" s="153"/>
      <c r="J142" s="143" t="s">
        <v>760</v>
      </c>
      <c r="K142" s="13" t="s">
        <v>4</v>
      </c>
    </row>
    <row r="143" ht="15.0" customHeight="1">
      <c r="A143" s="152" t="s">
        <v>183</v>
      </c>
      <c r="B143" s="139" t="s">
        <v>755</v>
      </c>
      <c r="C143" s="140" t="s">
        <v>761</v>
      </c>
      <c r="D143" s="140" t="s">
        <v>757</v>
      </c>
      <c r="E143" s="140" t="s">
        <v>758</v>
      </c>
      <c r="F143" s="141" t="s">
        <v>759</v>
      </c>
      <c r="G143" s="141" t="s">
        <v>466</v>
      </c>
      <c r="H143" s="141" t="s">
        <v>753</v>
      </c>
      <c r="I143" s="156"/>
      <c r="J143" s="143" t="s">
        <v>760</v>
      </c>
      <c r="K143" s="13" t="s">
        <v>4</v>
      </c>
    </row>
    <row r="144" ht="15.0" customHeight="1">
      <c r="A144" s="152" t="s">
        <v>183</v>
      </c>
      <c r="B144" s="139" t="s">
        <v>747</v>
      </c>
      <c r="C144" s="140" t="s">
        <v>762</v>
      </c>
      <c r="D144" s="140" t="s">
        <v>757</v>
      </c>
      <c r="E144" s="140" t="s">
        <v>758</v>
      </c>
      <c r="F144" s="141" t="s">
        <v>759</v>
      </c>
      <c r="G144" s="141" t="s">
        <v>494</v>
      </c>
      <c r="H144" s="141" t="s">
        <v>753</v>
      </c>
      <c r="I144" s="153"/>
      <c r="J144" s="143" t="s">
        <v>760</v>
      </c>
      <c r="K144" s="13" t="s">
        <v>4</v>
      </c>
    </row>
    <row r="145" ht="15.0" customHeight="1">
      <c r="A145" s="152" t="s">
        <v>183</v>
      </c>
      <c r="B145" s="154" t="s">
        <v>747</v>
      </c>
      <c r="C145" s="145" t="s">
        <v>756</v>
      </c>
      <c r="D145" s="145" t="s">
        <v>757</v>
      </c>
      <c r="E145" s="145" t="s">
        <v>810</v>
      </c>
      <c r="F145" s="145" t="s">
        <v>827</v>
      </c>
      <c r="G145" s="145" t="s">
        <v>494</v>
      </c>
      <c r="H145" s="145" t="s">
        <v>753</v>
      </c>
      <c r="I145" s="153"/>
      <c r="J145" s="143" t="s">
        <v>828</v>
      </c>
      <c r="K145" s="145" t="s">
        <v>4</v>
      </c>
    </row>
    <row r="146" ht="15.0" customHeight="1">
      <c r="A146" s="152" t="s">
        <v>183</v>
      </c>
      <c r="B146" s="154" t="s">
        <v>770</v>
      </c>
      <c r="C146" s="145" t="s">
        <v>829</v>
      </c>
      <c r="D146" s="145" t="s">
        <v>805</v>
      </c>
      <c r="E146" s="145" t="s">
        <v>810</v>
      </c>
      <c r="F146" s="145" t="s">
        <v>827</v>
      </c>
      <c r="G146" s="145" t="s">
        <v>830</v>
      </c>
      <c r="H146" s="145" t="s">
        <v>753</v>
      </c>
      <c r="I146" s="153"/>
      <c r="J146" s="143" t="s">
        <v>828</v>
      </c>
      <c r="K146" s="145" t="s">
        <v>4</v>
      </c>
    </row>
    <row r="147" ht="15.0" hidden="1" customHeight="1">
      <c r="A147" s="33" t="s">
        <v>183</v>
      </c>
      <c r="B147" s="7" t="s">
        <v>747</v>
      </c>
      <c r="C147" s="13" t="s">
        <v>39</v>
      </c>
      <c r="D147" s="135" t="s">
        <v>751</v>
      </c>
      <c r="E147" s="13" t="s">
        <v>863</v>
      </c>
      <c r="F147" s="13" t="s">
        <v>864</v>
      </c>
      <c r="G147" s="13" t="s">
        <v>39</v>
      </c>
      <c r="H147" s="13" t="s">
        <v>753</v>
      </c>
      <c r="I147" s="16"/>
      <c r="J147" s="108" t="s">
        <v>792</v>
      </c>
      <c r="K147" s="13" t="s">
        <v>4</v>
      </c>
    </row>
    <row r="148" ht="15.0" hidden="1" customHeight="1">
      <c r="A148" s="33" t="s">
        <v>187</v>
      </c>
      <c r="B148" s="7" t="s">
        <v>747</v>
      </c>
      <c r="C148" s="13" t="s">
        <v>39</v>
      </c>
      <c r="D148" s="135" t="s">
        <v>751</v>
      </c>
      <c r="E148" s="13" t="s">
        <v>838</v>
      </c>
      <c r="F148" s="13" t="s">
        <v>865</v>
      </c>
      <c r="G148" s="13" t="s">
        <v>39</v>
      </c>
      <c r="H148" s="13" t="s">
        <v>753</v>
      </c>
      <c r="I148" s="16"/>
      <c r="J148" s="108" t="s">
        <v>840</v>
      </c>
      <c r="K148" s="13" t="s">
        <v>4</v>
      </c>
    </row>
    <row r="149" ht="15.0" hidden="1" customHeight="1">
      <c r="A149" s="69" t="s">
        <v>547</v>
      </c>
      <c r="B149" s="35" t="s">
        <v>747</v>
      </c>
      <c r="C149" s="112" t="s">
        <v>39</v>
      </c>
      <c r="D149" s="112" t="s">
        <v>751</v>
      </c>
      <c r="E149" s="112" t="s">
        <v>866</v>
      </c>
      <c r="F149" s="159" t="s">
        <v>867</v>
      </c>
      <c r="G149" s="112" t="s">
        <v>39</v>
      </c>
      <c r="H149" s="112" t="s">
        <v>753</v>
      </c>
      <c r="I149" s="113"/>
      <c r="J149" s="160" t="s">
        <v>868</v>
      </c>
      <c r="K149" s="112" t="s">
        <v>869</v>
      </c>
    </row>
    <row r="150" ht="15.0" customHeight="1">
      <c r="A150" s="152" t="s">
        <v>547</v>
      </c>
      <c r="B150" s="154" t="s">
        <v>747</v>
      </c>
      <c r="C150" s="145" t="s">
        <v>762</v>
      </c>
      <c r="D150" s="145" t="s">
        <v>757</v>
      </c>
      <c r="E150" s="145" t="s">
        <v>764</v>
      </c>
      <c r="F150" s="144" t="s">
        <v>867</v>
      </c>
      <c r="G150" s="145" t="s">
        <v>494</v>
      </c>
      <c r="H150" s="145" t="s">
        <v>753</v>
      </c>
      <c r="I150" s="153"/>
      <c r="J150" s="161" t="s">
        <v>870</v>
      </c>
      <c r="K150" s="145" t="s">
        <v>3</v>
      </c>
    </row>
    <row r="151" ht="15.0" hidden="1" customHeight="1">
      <c r="A151" s="152" t="s">
        <v>214</v>
      </c>
      <c r="B151" s="154" t="s">
        <v>770</v>
      </c>
      <c r="C151" s="145" t="s">
        <v>39</v>
      </c>
      <c r="D151" s="145" t="s">
        <v>871</v>
      </c>
      <c r="E151" s="145" t="s">
        <v>776</v>
      </c>
      <c r="F151" s="145" t="s">
        <v>872</v>
      </c>
      <c r="G151" s="145" t="s">
        <v>39</v>
      </c>
      <c r="H151" s="145" t="s">
        <v>753</v>
      </c>
      <c r="I151" s="153"/>
      <c r="J151" s="153" t="s">
        <v>873</v>
      </c>
      <c r="K151" s="145" t="s">
        <v>4</v>
      </c>
      <c r="L151" s="162"/>
      <c r="M151" s="162"/>
      <c r="N151" s="162"/>
      <c r="O151" s="162"/>
      <c r="P151" s="162"/>
      <c r="Q151" s="162"/>
      <c r="R151" s="162"/>
      <c r="S151" s="162"/>
      <c r="T151" s="162"/>
      <c r="U151" s="162"/>
      <c r="V151" s="162"/>
      <c r="W151" s="162"/>
      <c r="X151" s="162"/>
      <c r="Y151" s="162"/>
      <c r="Z151" s="162"/>
    </row>
    <row r="152" ht="15.0" customHeight="1">
      <c r="A152" s="152" t="s">
        <v>214</v>
      </c>
      <c r="B152" s="154" t="s">
        <v>770</v>
      </c>
      <c r="C152" s="145" t="s">
        <v>829</v>
      </c>
      <c r="D152" s="145" t="s">
        <v>805</v>
      </c>
      <c r="E152" s="145" t="s">
        <v>874</v>
      </c>
      <c r="F152" s="153" t="s">
        <v>875</v>
      </c>
      <c r="G152" s="145" t="s">
        <v>39</v>
      </c>
      <c r="H152" s="145" t="s">
        <v>753</v>
      </c>
      <c r="I152" s="153"/>
      <c r="J152" s="163" t="s">
        <v>876</v>
      </c>
      <c r="K152" s="145" t="s">
        <v>4</v>
      </c>
    </row>
    <row r="153" ht="15.0" hidden="1" customHeight="1">
      <c r="A153" s="33" t="s">
        <v>541</v>
      </c>
      <c r="B153" s="7" t="s">
        <v>747</v>
      </c>
      <c r="C153" s="13" t="s">
        <v>39</v>
      </c>
      <c r="D153" s="13" t="s">
        <v>751</v>
      </c>
      <c r="E153" s="13" t="s">
        <v>877</v>
      </c>
      <c r="F153" s="13" t="s">
        <v>878</v>
      </c>
      <c r="G153" s="13" t="s">
        <v>39</v>
      </c>
      <c r="H153" s="13" t="s">
        <v>753</v>
      </c>
      <c r="I153" s="16"/>
      <c r="J153" s="16" t="s">
        <v>879</v>
      </c>
      <c r="K153" s="13" t="s">
        <v>4</v>
      </c>
    </row>
    <row r="154" ht="15.0" customHeight="1">
      <c r="A154" s="152" t="s">
        <v>541</v>
      </c>
      <c r="B154" s="154" t="s">
        <v>747</v>
      </c>
      <c r="C154" s="145" t="s">
        <v>829</v>
      </c>
      <c r="D154" s="145" t="s">
        <v>805</v>
      </c>
      <c r="E154" s="145" t="s">
        <v>877</v>
      </c>
      <c r="F154" s="145" t="s">
        <v>878</v>
      </c>
      <c r="G154" s="145" t="s">
        <v>39</v>
      </c>
      <c r="H154" s="145" t="s">
        <v>753</v>
      </c>
      <c r="I154" s="153"/>
      <c r="J154" s="163" t="s">
        <v>880</v>
      </c>
      <c r="K154" s="145" t="s">
        <v>4</v>
      </c>
    </row>
    <row r="155" ht="15.0" customHeight="1">
      <c r="A155" s="152" t="s">
        <v>541</v>
      </c>
      <c r="B155" s="154" t="s">
        <v>747</v>
      </c>
      <c r="C155" s="145" t="s">
        <v>829</v>
      </c>
      <c r="D155" s="145" t="s">
        <v>805</v>
      </c>
      <c r="E155" s="145" t="s">
        <v>785</v>
      </c>
      <c r="F155" s="161" t="s">
        <v>881</v>
      </c>
      <c r="G155" s="145" t="s">
        <v>39</v>
      </c>
      <c r="H155" s="145" t="s">
        <v>753</v>
      </c>
      <c r="I155" s="153"/>
      <c r="J155" s="163" t="s">
        <v>882</v>
      </c>
      <c r="K155" s="145" t="s">
        <v>4</v>
      </c>
    </row>
    <row r="156" ht="15.0" customHeight="1">
      <c r="A156" s="152" t="s">
        <v>541</v>
      </c>
      <c r="B156" s="154" t="s">
        <v>747</v>
      </c>
      <c r="C156" s="145" t="s">
        <v>762</v>
      </c>
      <c r="D156" s="145" t="s">
        <v>757</v>
      </c>
      <c r="E156" s="145" t="s">
        <v>806</v>
      </c>
      <c r="F156" s="145" t="s">
        <v>765</v>
      </c>
      <c r="G156" s="145" t="s">
        <v>494</v>
      </c>
      <c r="H156" s="145" t="s">
        <v>753</v>
      </c>
      <c r="I156" s="153"/>
      <c r="J156" s="143" t="s">
        <v>766</v>
      </c>
      <c r="K156" s="145" t="s">
        <v>4</v>
      </c>
    </row>
    <row r="157" ht="15.0" customHeight="1">
      <c r="A157" s="74"/>
      <c r="B157" s="2"/>
      <c r="C157" s="88"/>
      <c r="D157" s="88"/>
      <c r="E157" s="88"/>
      <c r="F157" s="88"/>
      <c r="G157" s="88"/>
      <c r="H157" s="88"/>
      <c r="I157" s="89"/>
      <c r="J157" s="164"/>
      <c r="K157" s="88"/>
    </row>
    <row r="158" ht="15.0" customHeight="1">
      <c r="A158" s="74"/>
      <c r="B158" s="2"/>
      <c r="C158" s="88"/>
      <c r="D158" s="88"/>
      <c r="E158" s="88"/>
      <c r="F158" s="88"/>
      <c r="G158" s="88"/>
      <c r="H158" s="88"/>
      <c r="I158" s="89"/>
      <c r="J158" s="164"/>
      <c r="K158" s="88"/>
    </row>
    <row r="159" ht="15.0" customHeight="1">
      <c r="A159" s="74"/>
      <c r="B159" s="2"/>
      <c r="C159" s="88"/>
      <c r="D159" s="88"/>
      <c r="E159" s="88"/>
      <c r="F159" s="88"/>
      <c r="G159" s="88"/>
      <c r="H159" s="88"/>
      <c r="I159" s="89"/>
      <c r="J159" s="164"/>
      <c r="K159" s="88"/>
    </row>
    <row r="160" ht="15.0" customHeight="1">
      <c r="A160" s="74"/>
      <c r="B160" s="2"/>
      <c r="C160" s="88"/>
      <c r="D160" s="88"/>
      <c r="E160" s="88"/>
      <c r="F160" s="88"/>
      <c r="G160" s="88"/>
      <c r="H160" s="88"/>
      <c r="I160" s="89"/>
      <c r="J160" s="164"/>
      <c r="K160" s="88"/>
    </row>
    <row r="161" ht="15.0" customHeight="1">
      <c r="A161" s="74"/>
      <c r="B161" s="2"/>
      <c r="C161" s="88"/>
      <c r="D161" s="88"/>
      <c r="E161" s="88"/>
      <c r="F161" s="88"/>
      <c r="G161" s="88"/>
      <c r="H161" s="88"/>
      <c r="I161" s="89"/>
      <c r="J161" s="164"/>
      <c r="K161" s="88"/>
    </row>
    <row r="162" ht="15.0" customHeight="1">
      <c r="A162" s="74"/>
      <c r="B162" s="2"/>
      <c r="C162" s="88"/>
      <c r="D162" s="88"/>
      <c r="E162" s="88"/>
      <c r="F162" s="88"/>
      <c r="G162" s="88"/>
      <c r="H162" s="88"/>
      <c r="I162" s="89"/>
      <c r="J162" s="164"/>
      <c r="K162" s="88"/>
    </row>
    <row r="163" ht="15.0" customHeight="1">
      <c r="A163" s="74"/>
      <c r="B163" s="2"/>
      <c r="C163" s="88"/>
      <c r="D163" s="88"/>
      <c r="E163" s="88"/>
      <c r="F163" s="88"/>
      <c r="G163" s="88"/>
      <c r="H163" s="88"/>
      <c r="I163" s="89"/>
      <c r="J163" s="164"/>
      <c r="K163" s="88"/>
    </row>
    <row r="164" ht="15.0" customHeight="1">
      <c r="A164" s="74"/>
      <c r="B164" s="2"/>
      <c r="C164" s="88"/>
      <c r="D164" s="88"/>
      <c r="E164" s="88"/>
      <c r="F164" s="88"/>
      <c r="G164" s="88"/>
      <c r="H164" s="88"/>
      <c r="I164" s="89"/>
      <c r="J164" s="164"/>
      <c r="K164" s="88"/>
    </row>
    <row r="165" ht="15.0" customHeight="1">
      <c r="A165" s="74"/>
      <c r="B165" s="2"/>
      <c r="C165" s="88"/>
      <c r="D165" s="88"/>
      <c r="E165" s="88"/>
      <c r="F165" s="88"/>
      <c r="G165" s="88"/>
      <c r="H165" s="88"/>
      <c r="I165" s="89"/>
      <c r="J165" s="164"/>
      <c r="K165" s="88"/>
    </row>
    <row r="166" ht="15.0" customHeight="1">
      <c r="A166" s="74"/>
      <c r="B166" s="2"/>
      <c r="C166" s="88"/>
      <c r="D166" s="88"/>
      <c r="E166" s="88"/>
      <c r="F166" s="88"/>
      <c r="G166" s="88"/>
      <c r="H166" s="88"/>
      <c r="I166" s="89"/>
      <c r="J166" s="164"/>
      <c r="K166" s="88"/>
    </row>
    <row r="167" ht="15.0" customHeight="1">
      <c r="A167" s="74"/>
      <c r="B167" s="2"/>
      <c r="C167" s="88"/>
      <c r="D167" s="88"/>
      <c r="E167" s="88"/>
      <c r="F167" s="88"/>
      <c r="G167" s="88"/>
      <c r="H167" s="88"/>
      <c r="I167" s="89"/>
      <c r="J167" s="164"/>
      <c r="K167" s="88"/>
    </row>
    <row r="168" ht="15.0" customHeight="1">
      <c r="A168" s="74"/>
      <c r="B168" s="2"/>
      <c r="C168" s="88"/>
      <c r="D168" s="88"/>
      <c r="E168" s="88"/>
      <c r="F168" s="88"/>
      <c r="G168" s="88"/>
      <c r="H168" s="88"/>
      <c r="I168" s="89"/>
      <c r="J168" s="164"/>
      <c r="K168" s="88"/>
    </row>
    <row r="169" ht="15.0" customHeight="1">
      <c r="A169" s="74"/>
      <c r="B169" s="2"/>
      <c r="C169" s="88"/>
      <c r="D169" s="88"/>
      <c r="E169" s="88"/>
      <c r="F169" s="88"/>
      <c r="G169" s="88"/>
      <c r="H169" s="88"/>
      <c r="I169" s="89"/>
      <c r="J169" s="164"/>
      <c r="K169" s="88"/>
    </row>
    <row r="170" ht="15.0" customHeight="1">
      <c r="A170" s="74"/>
      <c r="B170" s="2"/>
      <c r="C170" s="88"/>
      <c r="D170" s="88"/>
      <c r="E170" s="88"/>
      <c r="F170" s="88"/>
      <c r="G170" s="88"/>
      <c r="H170" s="88"/>
      <c r="I170" s="89"/>
      <c r="J170" s="164"/>
      <c r="K170" s="88"/>
    </row>
    <row r="171" ht="15.0" customHeight="1">
      <c r="A171" s="74"/>
      <c r="B171" s="2"/>
      <c r="C171" s="88"/>
      <c r="D171" s="88"/>
      <c r="E171" s="88"/>
      <c r="F171" s="88"/>
      <c r="G171" s="88"/>
      <c r="H171" s="88"/>
      <c r="I171" s="89"/>
      <c r="J171" s="164"/>
      <c r="K171" s="88"/>
    </row>
    <row r="172" ht="15.0" customHeight="1">
      <c r="A172" s="74"/>
      <c r="B172" s="2"/>
      <c r="C172" s="88"/>
      <c r="D172" s="88"/>
      <c r="E172" s="88"/>
      <c r="F172" s="88"/>
      <c r="G172" s="88"/>
      <c r="H172" s="88"/>
      <c r="I172" s="89"/>
      <c r="J172" s="164"/>
      <c r="K172" s="88"/>
    </row>
    <row r="173" ht="15.0" customHeight="1">
      <c r="A173" s="74"/>
      <c r="B173" s="2"/>
      <c r="C173" s="88"/>
      <c r="D173" s="88"/>
      <c r="E173" s="88"/>
      <c r="F173" s="88"/>
      <c r="G173" s="88"/>
      <c r="H173" s="88"/>
      <c r="I173" s="89"/>
      <c r="J173" s="164"/>
      <c r="K173" s="88"/>
    </row>
    <row r="174" ht="15.0" customHeight="1">
      <c r="A174" s="74"/>
      <c r="B174" s="2"/>
      <c r="C174" s="88"/>
      <c r="D174" s="88"/>
      <c r="E174" s="88"/>
      <c r="F174" s="88"/>
      <c r="G174" s="88"/>
      <c r="H174" s="88"/>
      <c r="I174" s="89"/>
      <c r="J174" s="164"/>
      <c r="K174" s="88"/>
    </row>
    <row r="175" ht="15.0" customHeight="1">
      <c r="A175" s="74"/>
      <c r="B175" s="2"/>
      <c r="C175" s="88"/>
      <c r="D175" s="88"/>
      <c r="E175" s="88"/>
      <c r="F175" s="88"/>
      <c r="G175" s="88"/>
      <c r="H175" s="88"/>
      <c r="I175" s="89"/>
      <c r="J175" s="164"/>
      <c r="K175" s="88"/>
    </row>
    <row r="176" ht="15.0" customHeight="1">
      <c r="A176" s="74"/>
      <c r="B176" s="2"/>
      <c r="C176" s="88"/>
      <c r="D176" s="88"/>
      <c r="E176" s="88"/>
      <c r="F176" s="88"/>
      <c r="G176" s="88"/>
      <c r="H176" s="88"/>
      <c r="I176" s="89"/>
      <c r="J176" s="164"/>
      <c r="K176" s="88"/>
    </row>
    <row r="177" ht="15.0" customHeight="1">
      <c r="A177" s="74"/>
      <c r="B177" s="2"/>
      <c r="C177" s="88"/>
      <c r="D177" s="88"/>
      <c r="E177" s="88"/>
      <c r="F177" s="88"/>
      <c r="G177" s="88"/>
      <c r="H177" s="88"/>
      <c r="I177" s="89"/>
      <c r="J177" s="164"/>
      <c r="K177" s="88"/>
    </row>
    <row r="178" ht="15.0" customHeight="1">
      <c r="A178" s="74"/>
      <c r="B178" s="2"/>
      <c r="C178" s="88"/>
      <c r="D178" s="88"/>
      <c r="E178" s="88"/>
      <c r="F178" s="88"/>
      <c r="G178" s="88"/>
      <c r="H178" s="88"/>
      <c r="I178" s="89"/>
      <c r="J178" s="164"/>
      <c r="K178" s="88"/>
    </row>
    <row r="179" ht="15.0" customHeight="1">
      <c r="A179" s="74"/>
      <c r="B179" s="2"/>
      <c r="C179" s="88"/>
      <c r="D179" s="88"/>
      <c r="E179" s="88"/>
      <c r="F179" s="88"/>
      <c r="G179" s="88"/>
      <c r="H179" s="88"/>
      <c r="I179" s="89"/>
      <c r="J179" s="164"/>
      <c r="K179" s="88"/>
    </row>
    <row r="180" ht="15.0" customHeight="1">
      <c r="A180" s="74"/>
      <c r="B180" s="2"/>
      <c r="C180" s="88"/>
      <c r="D180" s="88"/>
      <c r="E180" s="88"/>
      <c r="F180" s="88"/>
      <c r="G180" s="88"/>
      <c r="H180" s="88"/>
      <c r="I180" s="89"/>
      <c r="J180" s="164"/>
      <c r="K180" s="88"/>
    </row>
    <row r="181" ht="15.0" customHeight="1">
      <c r="A181" s="74"/>
      <c r="B181" s="2"/>
      <c r="C181" s="88"/>
      <c r="D181" s="88"/>
      <c r="E181" s="88"/>
      <c r="F181" s="88"/>
      <c r="G181" s="88"/>
      <c r="H181" s="88"/>
      <c r="I181" s="89"/>
      <c r="J181" s="164"/>
      <c r="K181" s="88"/>
    </row>
    <row r="182" ht="15.0" customHeight="1">
      <c r="A182" s="74"/>
      <c r="B182" s="2"/>
      <c r="C182" s="88"/>
      <c r="D182" s="88"/>
      <c r="E182" s="88"/>
      <c r="F182" s="88"/>
      <c r="G182" s="88"/>
      <c r="H182" s="88"/>
      <c r="I182" s="89"/>
      <c r="J182" s="164"/>
      <c r="K182" s="88"/>
    </row>
    <row r="183" ht="15.0" customHeight="1">
      <c r="A183" s="74"/>
      <c r="B183" s="2"/>
      <c r="C183" s="88"/>
      <c r="D183" s="88"/>
      <c r="E183" s="88"/>
      <c r="F183" s="88"/>
      <c r="G183" s="88"/>
      <c r="H183" s="88"/>
      <c r="I183" s="89"/>
      <c r="J183" s="164"/>
      <c r="K183" s="88"/>
    </row>
    <row r="184" ht="15.75" customHeight="1">
      <c r="A184" s="74"/>
      <c r="B184" s="2"/>
      <c r="C184" s="88"/>
      <c r="D184" s="88"/>
      <c r="E184" s="88"/>
      <c r="F184" s="88"/>
      <c r="G184" s="88"/>
      <c r="H184" s="88"/>
      <c r="I184" s="89"/>
      <c r="J184" s="164"/>
      <c r="K184" s="88"/>
    </row>
    <row r="185" ht="15.75" customHeight="1">
      <c r="A185" s="74"/>
      <c r="B185" s="2"/>
      <c r="C185" s="88"/>
      <c r="D185" s="88"/>
      <c r="E185" s="88"/>
      <c r="F185" s="88"/>
      <c r="G185" s="88"/>
      <c r="H185" s="88"/>
      <c r="I185" s="89"/>
      <c r="J185" s="164"/>
      <c r="K185" s="88"/>
    </row>
    <row r="186" ht="15.75" customHeight="1">
      <c r="A186" s="74"/>
      <c r="B186" s="2"/>
      <c r="C186" s="88"/>
      <c r="D186" s="88"/>
      <c r="E186" s="88"/>
      <c r="F186" s="88"/>
      <c r="G186" s="88"/>
      <c r="H186" s="88"/>
      <c r="I186" s="89"/>
      <c r="J186" s="164"/>
      <c r="K186" s="88"/>
    </row>
    <row r="187" ht="15.75" customHeight="1">
      <c r="A187" s="74"/>
      <c r="B187" s="2"/>
      <c r="C187" s="88"/>
      <c r="D187" s="88"/>
      <c r="E187" s="88"/>
      <c r="F187" s="88"/>
      <c r="G187" s="88"/>
      <c r="H187" s="88"/>
      <c r="I187" s="89"/>
      <c r="J187" s="164"/>
      <c r="K187" s="88"/>
    </row>
    <row r="188" ht="15.75" customHeight="1">
      <c r="A188" s="74"/>
      <c r="B188" s="2"/>
      <c r="C188" s="88"/>
      <c r="D188" s="88"/>
      <c r="E188" s="88"/>
      <c r="F188" s="88"/>
      <c r="G188" s="88"/>
      <c r="H188" s="88"/>
      <c r="I188" s="89"/>
      <c r="J188" s="164"/>
      <c r="K188" s="88"/>
    </row>
    <row r="189" ht="15.75" customHeight="1">
      <c r="A189" s="74"/>
      <c r="B189" s="2"/>
      <c r="C189" s="88"/>
      <c r="D189" s="88"/>
      <c r="E189" s="88"/>
      <c r="F189" s="88"/>
      <c r="G189" s="88"/>
      <c r="H189" s="88"/>
      <c r="I189" s="89"/>
      <c r="J189" s="164"/>
      <c r="K189" s="88"/>
    </row>
    <row r="190" ht="15.75" customHeight="1">
      <c r="A190" s="74"/>
      <c r="B190" s="2"/>
      <c r="C190" s="88"/>
      <c r="D190" s="88"/>
      <c r="E190" s="88"/>
      <c r="F190" s="88"/>
      <c r="G190" s="88"/>
      <c r="H190" s="88"/>
      <c r="I190" s="89"/>
      <c r="J190" s="164"/>
      <c r="K190" s="88"/>
    </row>
    <row r="191" ht="15.75" customHeight="1">
      <c r="A191" s="74"/>
      <c r="B191" s="2"/>
      <c r="C191" s="88"/>
      <c r="D191" s="88"/>
      <c r="E191" s="88"/>
      <c r="F191" s="88"/>
      <c r="G191" s="88"/>
      <c r="H191" s="88"/>
      <c r="I191" s="89"/>
      <c r="J191" s="164"/>
      <c r="K191" s="88"/>
    </row>
    <row r="192" ht="15.75" customHeight="1">
      <c r="A192" s="74"/>
      <c r="B192" s="2"/>
      <c r="C192" s="88"/>
      <c r="D192" s="88"/>
      <c r="E192" s="88"/>
      <c r="F192" s="88"/>
      <c r="G192" s="88"/>
      <c r="H192" s="88"/>
      <c r="I192" s="89"/>
      <c r="J192" s="164"/>
      <c r="K192" s="88"/>
    </row>
    <row r="193" ht="15.75" customHeight="1">
      <c r="A193" s="74"/>
      <c r="B193" s="2"/>
      <c r="C193" s="88"/>
      <c r="D193" s="88"/>
      <c r="E193" s="88"/>
      <c r="F193" s="88"/>
      <c r="G193" s="88"/>
      <c r="H193" s="88"/>
      <c r="I193" s="89"/>
      <c r="J193" s="164"/>
      <c r="K193" s="88"/>
    </row>
    <row r="194" ht="15.75" customHeight="1">
      <c r="A194" s="74"/>
      <c r="B194" s="2"/>
      <c r="C194" s="88"/>
      <c r="D194" s="88"/>
      <c r="E194" s="88"/>
      <c r="F194" s="88"/>
      <c r="G194" s="88"/>
      <c r="H194" s="88"/>
      <c r="I194" s="89"/>
      <c r="J194" s="164"/>
      <c r="K194" s="88"/>
    </row>
    <row r="195" ht="15.75" customHeight="1">
      <c r="A195" s="74"/>
      <c r="B195" s="2"/>
      <c r="C195" s="88"/>
      <c r="D195" s="88"/>
      <c r="E195" s="88"/>
      <c r="F195" s="88"/>
      <c r="G195" s="88"/>
      <c r="H195" s="88"/>
      <c r="I195" s="89"/>
      <c r="J195" s="164"/>
      <c r="K195" s="88"/>
    </row>
    <row r="196" ht="15.75" customHeight="1">
      <c r="A196" s="74"/>
      <c r="B196" s="2"/>
      <c r="C196" s="88"/>
      <c r="D196" s="88"/>
      <c r="E196" s="88"/>
      <c r="F196" s="88"/>
      <c r="G196" s="88"/>
      <c r="H196" s="88"/>
      <c r="I196" s="89"/>
      <c r="J196" s="164"/>
      <c r="K196" s="88"/>
    </row>
    <row r="197" ht="15.75" customHeight="1">
      <c r="A197" s="74"/>
      <c r="B197" s="2"/>
      <c r="C197" s="88"/>
      <c r="D197" s="88"/>
      <c r="E197" s="88"/>
      <c r="F197" s="88"/>
      <c r="G197" s="88"/>
      <c r="H197" s="88"/>
      <c r="I197" s="89"/>
      <c r="J197" s="164"/>
      <c r="K197" s="88"/>
    </row>
    <row r="198" ht="15.75" customHeight="1">
      <c r="A198" s="74"/>
      <c r="B198" s="2"/>
      <c r="C198" s="88"/>
      <c r="D198" s="88"/>
      <c r="E198" s="88"/>
      <c r="F198" s="88"/>
      <c r="G198" s="88"/>
      <c r="H198" s="88"/>
      <c r="I198" s="89"/>
      <c r="J198" s="164"/>
      <c r="K198" s="88"/>
    </row>
    <row r="199" ht="15.75" customHeight="1">
      <c r="A199" s="74"/>
      <c r="B199" s="2"/>
      <c r="C199" s="88"/>
      <c r="D199" s="88"/>
      <c r="E199" s="88"/>
      <c r="F199" s="88"/>
      <c r="G199" s="88"/>
      <c r="H199" s="88"/>
      <c r="I199" s="89"/>
      <c r="J199" s="164"/>
      <c r="K199" s="88"/>
    </row>
    <row r="200" ht="15.75" customHeight="1">
      <c r="A200" s="74"/>
      <c r="B200" s="2"/>
      <c r="C200" s="88"/>
      <c r="D200" s="88"/>
      <c r="E200" s="88"/>
      <c r="F200" s="88"/>
      <c r="G200" s="88"/>
      <c r="H200" s="88"/>
      <c r="I200" s="89"/>
      <c r="J200" s="164"/>
      <c r="K200" s="88"/>
    </row>
    <row r="201" ht="15.75" customHeight="1">
      <c r="A201" s="74"/>
      <c r="B201" s="2"/>
      <c r="C201" s="88"/>
      <c r="D201" s="88"/>
      <c r="E201" s="88"/>
      <c r="F201" s="88"/>
      <c r="G201" s="88"/>
      <c r="H201" s="88"/>
      <c r="I201" s="89"/>
      <c r="J201" s="164"/>
      <c r="K201" s="88"/>
    </row>
    <row r="202" ht="15.75" customHeight="1">
      <c r="A202" s="74"/>
      <c r="B202" s="2"/>
      <c r="C202" s="88"/>
      <c r="D202" s="88"/>
      <c r="E202" s="88"/>
      <c r="F202" s="88"/>
      <c r="G202" s="88"/>
      <c r="H202" s="88"/>
      <c r="I202" s="89"/>
      <c r="J202" s="164"/>
      <c r="K202" s="88"/>
    </row>
    <row r="203" ht="15.75" customHeight="1">
      <c r="A203" s="74"/>
      <c r="B203" s="2"/>
      <c r="C203" s="88"/>
      <c r="D203" s="88"/>
      <c r="E203" s="88"/>
      <c r="F203" s="88"/>
      <c r="G203" s="88"/>
      <c r="H203" s="88"/>
      <c r="I203" s="89"/>
      <c r="J203" s="164"/>
      <c r="K203" s="88"/>
    </row>
    <row r="204" ht="15.75" customHeight="1">
      <c r="A204" s="74"/>
      <c r="B204" s="2"/>
      <c r="C204" s="88"/>
      <c r="D204" s="88"/>
      <c r="E204" s="88"/>
      <c r="F204" s="88"/>
      <c r="G204" s="88"/>
      <c r="H204" s="88"/>
      <c r="I204" s="89"/>
      <c r="J204" s="164"/>
      <c r="K204" s="88"/>
    </row>
    <row r="205" ht="15.75" customHeight="1">
      <c r="A205" s="74"/>
      <c r="B205" s="2"/>
      <c r="C205" s="88"/>
      <c r="D205" s="88"/>
      <c r="E205" s="88"/>
      <c r="F205" s="88"/>
      <c r="G205" s="88"/>
      <c r="H205" s="88"/>
      <c r="I205" s="89"/>
      <c r="J205" s="164"/>
      <c r="K205" s="88"/>
    </row>
    <row r="206" ht="15.75" customHeight="1">
      <c r="A206" s="74"/>
      <c r="B206" s="2"/>
      <c r="C206" s="88"/>
      <c r="D206" s="88"/>
      <c r="E206" s="88"/>
      <c r="F206" s="88"/>
      <c r="G206" s="88"/>
      <c r="H206" s="88"/>
      <c r="I206" s="89"/>
      <c r="J206" s="164"/>
      <c r="K206" s="88"/>
    </row>
    <row r="207" ht="15.75" customHeight="1">
      <c r="A207" s="74"/>
      <c r="B207" s="2"/>
      <c r="C207" s="88"/>
      <c r="D207" s="88"/>
      <c r="E207" s="88"/>
      <c r="F207" s="88"/>
      <c r="G207" s="88"/>
      <c r="H207" s="88"/>
      <c r="I207" s="89"/>
      <c r="J207" s="164"/>
      <c r="K207" s="88"/>
    </row>
    <row r="208" ht="15.75" customHeight="1">
      <c r="A208" s="74"/>
      <c r="B208" s="2"/>
      <c r="C208" s="88"/>
      <c r="D208" s="88"/>
      <c r="E208" s="88"/>
      <c r="F208" s="88"/>
      <c r="G208" s="88"/>
      <c r="H208" s="88"/>
      <c r="I208" s="89"/>
      <c r="J208" s="164"/>
      <c r="K208" s="88"/>
    </row>
    <row r="209" ht="15.75" customHeight="1">
      <c r="A209" s="74"/>
      <c r="B209" s="2"/>
      <c r="C209" s="88"/>
      <c r="D209" s="88"/>
      <c r="E209" s="88"/>
      <c r="F209" s="88"/>
      <c r="G209" s="88"/>
      <c r="H209" s="88"/>
      <c r="I209" s="89"/>
      <c r="J209" s="164"/>
      <c r="K209" s="88"/>
    </row>
    <row r="210" ht="15.75" customHeight="1">
      <c r="A210" s="74"/>
      <c r="B210" s="2"/>
      <c r="C210" s="88"/>
      <c r="D210" s="88"/>
      <c r="E210" s="88"/>
      <c r="F210" s="88"/>
      <c r="G210" s="88"/>
      <c r="H210" s="88"/>
      <c r="I210" s="89"/>
      <c r="J210" s="164"/>
      <c r="K210" s="88"/>
    </row>
    <row r="211" ht="15.75" customHeight="1">
      <c r="A211" s="74"/>
      <c r="B211" s="2"/>
      <c r="C211" s="88"/>
      <c r="D211" s="88"/>
      <c r="E211" s="88"/>
      <c r="F211" s="88"/>
      <c r="G211" s="88"/>
      <c r="H211" s="88"/>
      <c r="I211" s="89"/>
      <c r="J211" s="164"/>
      <c r="K211" s="88"/>
    </row>
    <row r="212" ht="15.75" customHeight="1">
      <c r="A212" s="74"/>
      <c r="B212" s="2"/>
      <c r="C212" s="88"/>
      <c r="D212" s="88"/>
      <c r="E212" s="88"/>
      <c r="F212" s="88"/>
      <c r="G212" s="88"/>
      <c r="H212" s="88"/>
      <c r="I212" s="89"/>
      <c r="J212" s="164"/>
      <c r="K212" s="88"/>
    </row>
    <row r="213" ht="15.75" customHeight="1">
      <c r="A213" s="74"/>
      <c r="B213" s="2"/>
      <c r="C213" s="88"/>
      <c r="D213" s="88"/>
      <c r="E213" s="88"/>
      <c r="F213" s="88"/>
      <c r="G213" s="88"/>
      <c r="H213" s="88"/>
      <c r="I213" s="89"/>
      <c r="J213" s="164"/>
      <c r="K213" s="88"/>
    </row>
    <row r="214" ht="15.75" customHeight="1">
      <c r="A214" s="74"/>
      <c r="B214" s="2"/>
      <c r="C214" s="88"/>
      <c r="D214" s="88"/>
      <c r="E214" s="88"/>
      <c r="F214" s="88"/>
      <c r="G214" s="88"/>
      <c r="H214" s="88"/>
      <c r="I214" s="89"/>
      <c r="J214" s="164"/>
      <c r="K214" s="88"/>
    </row>
    <row r="215" ht="15.75" customHeight="1">
      <c r="A215" s="74"/>
      <c r="B215" s="2"/>
      <c r="C215" s="88"/>
      <c r="D215" s="88"/>
      <c r="E215" s="88"/>
      <c r="F215" s="88"/>
      <c r="G215" s="88"/>
      <c r="H215" s="88"/>
      <c r="I215" s="89"/>
      <c r="J215" s="164"/>
      <c r="K215" s="88"/>
    </row>
    <row r="216" ht="15.75" customHeight="1">
      <c r="A216" s="74"/>
      <c r="B216" s="2"/>
      <c r="C216" s="88"/>
      <c r="D216" s="88"/>
      <c r="E216" s="88"/>
      <c r="F216" s="88"/>
      <c r="G216" s="88"/>
      <c r="H216" s="88"/>
      <c r="I216" s="89"/>
      <c r="J216" s="164"/>
      <c r="K216" s="88"/>
    </row>
    <row r="217" ht="15.75" customHeight="1">
      <c r="A217" s="74"/>
      <c r="B217" s="2"/>
      <c r="C217" s="88"/>
      <c r="D217" s="88"/>
      <c r="E217" s="88"/>
      <c r="F217" s="88"/>
      <c r="G217" s="88"/>
      <c r="H217" s="88"/>
      <c r="I217" s="89"/>
      <c r="J217" s="164"/>
      <c r="K217" s="88"/>
    </row>
    <row r="218" ht="15.75" customHeight="1">
      <c r="A218" s="74"/>
      <c r="B218" s="2"/>
      <c r="C218" s="88"/>
      <c r="D218" s="88"/>
      <c r="E218" s="88"/>
      <c r="F218" s="88"/>
      <c r="G218" s="88"/>
      <c r="H218" s="88"/>
      <c r="I218" s="89"/>
      <c r="J218" s="164"/>
      <c r="K218" s="88"/>
    </row>
    <row r="219" ht="15.75" customHeight="1">
      <c r="A219" s="74"/>
      <c r="B219" s="2"/>
      <c r="C219" s="88"/>
      <c r="D219" s="88"/>
      <c r="E219" s="88"/>
      <c r="F219" s="88"/>
      <c r="G219" s="88"/>
      <c r="H219" s="88"/>
      <c r="I219" s="89"/>
      <c r="J219" s="164"/>
      <c r="K219" s="88"/>
    </row>
    <row r="220" ht="15.75" customHeight="1">
      <c r="A220" s="74"/>
      <c r="B220" s="2"/>
      <c r="C220" s="88"/>
      <c r="D220" s="88"/>
      <c r="E220" s="88"/>
      <c r="F220" s="88"/>
      <c r="G220" s="88"/>
      <c r="H220" s="88"/>
      <c r="I220" s="89"/>
      <c r="J220" s="164"/>
      <c r="K220" s="88"/>
    </row>
    <row r="221" ht="15.75" customHeight="1">
      <c r="A221" s="74"/>
      <c r="B221" s="2"/>
      <c r="C221" s="88"/>
      <c r="D221" s="88"/>
      <c r="E221" s="88"/>
      <c r="F221" s="88"/>
      <c r="G221" s="88"/>
      <c r="H221" s="88"/>
      <c r="I221" s="89"/>
      <c r="J221" s="164"/>
      <c r="K221" s="88"/>
    </row>
    <row r="222" ht="15.75" customHeight="1">
      <c r="A222" s="74"/>
      <c r="B222" s="2"/>
      <c r="C222" s="88"/>
      <c r="D222" s="88"/>
      <c r="E222" s="88"/>
      <c r="F222" s="88"/>
      <c r="G222" s="88"/>
      <c r="H222" s="88"/>
      <c r="I222" s="89"/>
      <c r="J222" s="164"/>
      <c r="K222" s="88"/>
    </row>
    <row r="223" ht="15.75" customHeight="1">
      <c r="A223" s="74"/>
      <c r="B223" s="2"/>
      <c r="C223" s="88"/>
      <c r="D223" s="88"/>
      <c r="E223" s="88"/>
      <c r="F223" s="88"/>
      <c r="G223" s="88"/>
      <c r="H223" s="88"/>
      <c r="I223" s="89"/>
      <c r="J223" s="164"/>
      <c r="K223" s="88"/>
    </row>
    <row r="224" ht="15.75" customHeight="1">
      <c r="A224" s="74"/>
      <c r="B224" s="2"/>
      <c r="C224" s="88"/>
      <c r="D224" s="88"/>
      <c r="E224" s="88"/>
      <c r="F224" s="88"/>
      <c r="G224" s="88"/>
      <c r="H224" s="88"/>
      <c r="I224" s="89"/>
      <c r="J224" s="164"/>
      <c r="K224" s="88"/>
    </row>
    <row r="225" ht="15.75" customHeight="1">
      <c r="A225" s="74"/>
      <c r="B225" s="2"/>
      <c r="C225" s="88"/>
      <c r="D225" s="88"/>
      <c r="E225" s="88"/>
      <c r="F225" s="88"/>
      <c r="G225" s="88"/>
      <c r="H225" s="88"/>
      <c r="I225" s="89"/>
      <c r="J225" s="164"/>
      <c r="K225" s="88"/>
    </row>
    <row r="226" ht="15.75" customHeight="1">
      <c r="A226" s="74"/>
      <c r="B226" s="2"/>
      <c r="C226" s="88"/>
      <c r="D226" s="88"/>
      <c r="E226" s="88"/>
      <c r="F226" s="88"/>
      <c r="G226" s="88"/>
      <c r="H226" s="88"/>
      <c r="I226" s="89"/>
      <c r="J226" s="164"/>
      <c r="K226" s="88"/>
    </row>
    <row r="227" ht="15.75" customHeight="1">
      <c r="A227" s="74"/>
      <c r="B227" s="2"/>
      <c r="C227" s="88"/>
      <c r="D227" s="88"/>
      <c r="E227" s="88"/>
      <c r="F227" s="88"/>
      <c r="G227" s="88"/>
      <c r="H227" s="88"/>
      <c r="I227" s="89"/>
      <c r="J227" s="164"/>
      <c r="K227" s="88"/>
    </row>
    <row r="228" ht="15.75" customHeight="1">
      <c r="A228" s="74"/>
      <c r="B228" s="2"/>
      <c r="C228" s="88"/>
      <c r="D228" s="88"/>
      <c r="E228" s="88"/>
      <c r="F228" s="88"/>
      <c r="G228" s="88"/>
      <c r="H228" s="88"/>
      <c r="I228" s="89"/>
      <c r="J228" s="164"/>
      <c r="K228" s="88"/>
    </row>
    <row r="229" ht="15.75" customHeight="1">
      <c r="A229" s="74"/>
      <c r="B229" s="2"/>
      <c r="C229" s="88"/>
      <c r="D229" s="88"/>
      <c r="E229" s="88"/>
      <c r="F229" s="88"/>
      <c r="G229" s="88"/>
      <c r="H229" s="88"/>
      <c r="I229" s="89"/>
      <c r="J229" s="164"/>
      <c r="K229" s="88"/>
    </row>
    <row r="230" ht="15.75" customHeight="1">
      <c r="A230" s="74"/>
      <c r="B230" s="2"/>
      <c r="C230" s="88"/>
      <c r="D230" s="88"/>
      <c r="E230" s="88"/>
      <c r="F230" s="88"/>
      <c r="G230" s="88"/>
      <c r="H230" s="88"/>
      <c r="I230" s="89"/>
      <c r="J230" s="164"/>
      <c r="K230" s="88"/>
    </row>
    <row r="231" ht="15.75" customHeight="1">
      <c r="A231" s="74"/>
      <c r="B231" s="2"/>
      <c r="C231" s="88"/>
      <c r="D231" s="88"/>
      <c r="E231" s="88"/>
      <c r="F231" s="88"/>
      <c r="G231" s="88"/>
      <c r="H231" s="88"/>
      <c r="I231" s="89"/>
      <c r="J231" s="164"/>
      <c r="K231" s="88"/>
    </row>
    <row r="232" ht="15.75" customHeight="1">
      <c r="A232" s="74"/>
      <c r="B232" s="2"/>
      <c r="C232" s="88"/>
      <c r="D232" s="88"/>
      <c r="E232" s="88"/>
      <c r="F232" s="88"/>
      <c r="G232" s="88"/>
      <c r="H232" s="88"/>
      <c r="I232" s="89"/>
      <c r="J232" s="164"/>
      <c r="K232" s="88"/>
    </row>
    <row r="233" ht="15.75" customHeight="1">
      <c r="A233" s="74"/>
      <c r="B233" s="2"/>
      <c r="C233" s="88"/>
      <c r="D233" s="88"/>
      <c r="E233" s="88"/>
      <c r="F233" s="88"/>
      <c r="G233" s="88"/>
      <c r="H233" s="88"/>
      <c r="I233" s="89"/>
      <c r="J233" s="164"/>
      <c r="K233" s="88"/>
    </row>
    <row r="234" ht="15.75" customHeight="1">
      <c r="A234" s="74"/>
      <c r="B234" s="2"/>
      <c r="C234" s="88"/>
      <c r="D234" s="88"/>
      <c r="E234" s="88"/>
      <c r="F234" s="88"/>
      <c r="G234" s="88"/>
      <c r="H234" s="88"/>
      <c r="I234" s="89"/>
      <c r="J234" s="164"/>
      <c r="K234" s="88"/>
    </row>
    <row r="235" ht="15.75" customHeight="1">
      <c r="A235" s="74"/>
      <c r="B235" s="2"/>
      <c r="C235" s="88"/>
      <c r="D235" s="88"/>
      <c r="E235" s="88"/>
      <c r="F235" s="88"/>
      <c r="G235" s="88"/>
      <c r="H235" s="88"/>
      <c r="I235" s="89"/>
      <c r="J235" s="164"/>
      <c r="K235" s="88"/>
    </row>
    <row r="236" ht="15.75" customHeight="1">
      <c r="A236" s="74"/>
      <c r="B236" s="2"/>
      <c r="C236" s="88"/>
      <c r="D236" s="88"/>
      <c r="E236" s="88"/>
      <c r="F236" s="88"/>
      <c r="G236" s="88"/>
      <c r="H236" s="88"/>
      <c r="I236" s="89"/>
      <c r="J236" s="164"/>
      <c r="K236" s="88"/>
    </row>
    <row r="237" ht="15.75" customHeight="1">
      <c r="A237" s="74"/>
      <c r="B237" s="2"/>
      <c r="C237" s="88"/>
      <c r="D237" s="88"/>
      <c r="E237" s="88"/>
      <c r="F237" s="88"/>
      <c r="G237" s="88"/>
      <c r="H237" s="88"/>
      <c r="I237" s="89"/>
      <c r="J237" s="164"/>
      <c r="K237" s="88"/>
    </row>
    <row r="238" ht="15.75" customHeight="1">
      <c r="A238" s="74"/>
      <c r="B238" s="2"/>
      <c r="C238" s="88"/>
      <c r="D238" s="88"/>
      <c r="E238" s="88"/>
      <c r="F238" s="88"/>
      <c r="G238" s="88"/>
      <c r="H238" s="88"/>
      <c r="I238" s="89"/>
      <c r="J238" s="164"/>
      <c r="K238" s="88"/>
    </row>
    <row r="239" ht="15.75" customHeight="1">
      <c r="A239" s="74"/>
      <c r="B239" s="2"/>
      <c r="C239" s="88"/>
      <c r="D239" s="88"/>
      <c r="E239" s="88"/>
      <c r="F239" s="88"/>
      <c r="G239" s="88"/>
      <c r="H239" s="88"/>
      <c r="I239" s="89"/>
      <c r="J239" s="164"/>
      <c r="K239" s="88"/>
    </row>
    <row r="240" ht="15.75" customHeight="1">
      <c r="A240" s="74"/>
      <c r="B240" s="2"/>
      <c r="C240" s="88"/>
      <c r="D240" s="88"/>
      <c r="E240" s="88"/>
      <c r="F240" s="88"/>
      <c r="G240" s="88"/>
      <c r="H240" s="88"/>
      <c r="I240" s="89"/>
      <c r="J240" s="164"/>
      <c r="K240" s="88"/>
    </row>
    <row r="241" ht="15.75" customHeight="1">
      <c r="A241" s="74"/>
      <c r="B241" s="2"/>
      <c r="C241" s="88"/>
      <c r="D241" s="88"/>
      <c r="E241" s="88"/>
      <c r="F241" s="88"/>
      <c r="G241" s="88"/>
      <c r="H241" s="88"/>
      <c r="I241" s="89"/>
      <c r="J241" s="164"/>
      <c r="K241" s="88"/>
    </row>
    <row r="242" ht="15.75" customHeight="1">
      <c r="A242" s="74"/>
      <c r="B242" s="2"/>
      <c r="C242" s="88"/>
      <c r="D242" s="88"/>
      <c r="E242" s="88"/>
      <c r="F242" s="88"/>
      <c r="G242" s="88"/>
      <c r="H242" s="88"/>
      <c r="I242" s="89"/>
      <c r="J242" s="164"/>
      <c r="K242" s="88"/>
    </row>
    <row r="243" ht="15.75" customHeight="1">
      <c r="A243" s="74"/>
      <c r="B243" s="2"/>
      <c r="C243" s="88"/>
      <c r="D243" s="88"/>
      <c r="E243" s="88"/>
      <c r="F243" s="88"/>
      <c r="G243" s="88"/>
      <c r="H243" s="88"/>
      <c r="I243" s="89"/>
      <c r="J243" s="164"/>
      <c r="K243" s="88"/>
    </row>
    <row r="244" ht="15.75" customHeight="1">
      <c r="A244" s="74"/>
      <c r="B244" s="2"/>
      <c r="C244" s="88"/>
      <c r="D244" s="88"/>
      <c r="E244" s="88"/>
      <c r="F244" s="88"/>
      <c r="G244" s="88"/>
      <c r="H244" s="88"/>
      <c r="I244" s="89"/>
      <c r="J244" s="164"/>
      <c r="K244" s="88"/>
    </row>
    <row r="245" ht="15.75" customHeight="1">
      <c r="A245" s="74"/>
      <c r="B245" s="2"/>
      <c r="C245" s="88"/>
      <c r="D245" s="88"/>
      <c r="E245" s="88"/>
      <c r="F245" s="88"/>
      <c r="G245" s="88"/>
      <c r="H245" s="88"/>
      <c r="I245" s="89"/>
      <c r="J245" s="164"/>
      <c r="K245" s="88"/>
    </row>
    <row r="246" ht="15.75" customHeight="1">
      <c r="A246" s="74"/>
      <c r="B246" s="2"/>
      <c r="C246" s="88"/>
      <c r="D246" s="88"/>
      <c r="E246" s="88"/>
      <c r="F246" s="88"/>
      <c r="G246" s="88"/>
      <c r="H246" s="88"/>
      <c r="I246" s="89"/>
      <c r="J246" s="164"/>
      <c r="K246" s="88"/>
    </row>
    <row r="247" ht="15.75" customHeight="1">
      <c r="A247" s="74"/>
      <c r="B247" s="2"/>
      <c r="C247" s="88"/>
      <c r="D247" s="88"/>
      <c r="E247" s="88"/>
      <c r="F247" s="88"/>
      <c r="G247" s="88"/>
      <c r="H247" s="88"/>
      <c r="I247" s="89"/>
      <c r="J247" s="164"/>
      <c r="K247" s="88"/>
    </row>
    <row r="248" ht="15.75" customHeight="1">
      <c r="A248" s="74"/>
      <c r="B248" s="2"/>
      <c r="C248" s="88"/>
      <c r="D248" s="88"/>
      <c r="E248" s="88"/>
      <c r="F248" s="88"/>
      <c r="G248" s="88"/>
      <c r="H248" s="88"/>
      <c r="I248" s="89"/>
      <c r="J248" s="164"/>
      <c r="K248" s="88"/>
    </row>
    <row r="249" ht="15.75" customHeight="1">
      <c r="A249" s="74"/>
      <c r="B249" s="2"/>
      <c r="C249" s="88"/>
      <c r="D249" s="88"/>
      <c r="E249" s="88"/>
      <c r="F249" s="88"/>
      <c r="G249" s="88"/>
      <c r="H249" s="88"/>
      <c r="I249" s="89"/>
      <c r="J249" s="164"/>
      <c r="K249" s="88"/>
    </row>
    <row r="250" ht="15.75" customHeight="1">
      <c r="A250" s="74"/>
      <c r="B250" s="2"/>
      <c r="C250" s="88"/>
      <c r="D250" s="88"/>
      <c r="E250" s="88"/>
      <c r="F250" s="88"/>
      <c r="G250" s="88"/>
      <c r="H250" s="88"/>
      <c r="I250" s="89"/>
      <c r="J250" s="164"/>
      <c r="K250" s="88"/>
    </row>
    <row r="251" ht="15.75" customHeight="1">
      <c r="A251" s="74"/>
      <c r="B251" s="2"/>
      <c r="C251" s="88"/>
      <c r="D251" s="88"/>
      <c r="E251" s="88"/>
      <c r="F251" s="88"/>
      <c r="G251" s="88"/>
      <c r="H251" s="88"/>
      <c r="I251" s="89"/>
      <c r="J251" s="164"/>
      <c r="K251" s="88"/>
    </row>
    <row r="252" ht="15.75" customHeight="1">
      <c r="A252" s="74"/>
      <c r="B252" s="2"/>
      <c r="C252" s="88"/>
      <c r="D252" s="88"/>
      <c r="E252" s="88"/>
      <c r="F252" s="88"/>
      <c r="G252" s="88"/>
      <c r="H252" s="88"/>
      <c r="I252" s="89"/>
      <c r="J252" s="164"/>
      <c r="K252" s="88"/>
    </row>
    <row r="253" ht="15.75" customHeight="1">
      <c r="A253" s="74"/>
      <c r="B253" s="2"/>
      <c r="C253" s="88"/>
      <c r="D253" s="88"/>
      <c r="E253" s="88"/>
      <c r="F253" s="88"/>
      <c r="G253" s="88"/>
      <c r="H253" s="88"/>
      <c r="I253" s="89"/>
      <c r="J253" s="164"/>
      <c r="K253" s="88"/>
    </row>
    <row r="254" ht="15.75" customHeight="1">
      <c r="A254" s="74"/>
      <c r="B254" s="2"/>
      <c r="C254" s="88"/>
      <c r="D254" s="88"/>
      <c r="E254" s="88"/>
      <c r="F254" s="88"/>
      <c r="G254" s="88"/>
      <c r="H254" s="88"/>
      <c r="I254" s="89"/>
      <c r="J254" s="164"/>
      <c r="K254" s="88"/>
    </row>
    <row r="255" ht="15.75" customHeight="1">
      <c r="A255" s="74"/>
      <c r="B255" s="2"/>
      <c r="C255" s="88"/>
      <c r="D255" s="88"/>
      <c r="E255" s="88"/>
      <c r="F255" s="88"/>
      <c r="G255" s="88"/>
      <c r="H255" s="88"/>
      <c r="I255" s="89"/>
      <c r="J255" s="164"/>
      <c r="K255" s="88"/>
    </row>
    <row r="256" ht="15.75" customHeight="1">
      <c r="A256" s="74"/>
      <c r="B256" s="2"/>
      <c r="C256" s="88"/>
      <c r="D256" s="88"/>
      <c r="E256" s="88"/>
      <c r="F256" s="88"/>
      <c r="G256" s="88"/>
      <c r="H256" s="88"/>
      <c r="I256" s="89"/>
      <c r="J256" s="164"/>
      <c r="K256" s="88"/>
    </row>
    <row r="257" ht="15.75" customHeight="1">
      <c r="A257" s="74"/>
      <c r="B257" s="2"/>
      <c r="C257" s="88"/>
      <c r="D257" s="88"/>
      <c r="E257" s="88"/>
      <c r="F257" s="88"/>
      <c r="G257" s="88"/>
      <c r="H257" s="88"/>
      <c r="I257" s="89"/>
      <c r="J257" s="164"/>
      <c r="K257" s="88"/>
    </row>
    <row r="258" ht="15.75" customHeight="1">
      <c r="A258" s="74"/>
      <c r="B258" s="2"/>
      <c r="C258" s="88"/>
      <c r="D258" s="88"/>
      <c r="E258" s="88"/>
      <c r="F258" s="88"/>
      <c r="G258" s="88"/>
      <c r="H258" s="88"/>
      <c r="I258" s="89"/>
      <c r="J258" s="164"/>
      <c r="K258" s="88"/>
    </row>
    <row r="259" ht="15.75" customHeight="1">
      <c r="A259" s="74"/>
      <c r="B259" s="2"/>
      <c r="C259" s="88"/>
      <c r="D259" s="88"/>
      <c r="E259" s="88"/>
      <c r="F259" s="88"/>
      <c r="G259" s="88"/>
      <c r="H259" s="88"/>
      <c r="I259" s="89"/>
      <c r="J259" s="164"/>
      <c r="K259" s="88"/>
    </row>
    <row r="260" ht="15.75" customHeight="1">
      <c r="A260" s="74"/>
      <c r="B260" s="2"/>
      <c r="C260" s="88"/>
      <c r="D260" s="88"/>
      <c r="E260" s="88"/>
      <c r="F260" s="88"/>
      <c r="G260" s="88"/>
      <c r="H260" s="88"/>
      <c r="I260" s="89"/>
      <c r="J260" s="164"/>
      <c r="K260" s="88"/>
    </row>
    <row r="261" ht="15.75" customHeight="1">
      <c r="A261" s="74"/>
      <c r="B261" s="2"/>
      <c r="C261" s="88"/>
      <c r="D261" s="88"/>
      <c r="E261" s="88"/>
      <c r="F261" s="88"/>
      <c r="G261" s="88"/>
      <c r="H261" s="88"/>
      <c r="I261" s="89"/>
      <c r="J261" s="164"/>
      <c r="K261" s="88"/>
    </row>
    <row r="262" ht="15.75" customHeight="1">
      <c r="A262" s="74"/>
      <c r="B262" s="2"/>
      <c r="C262" s="88"/>
      <c r="D262" s="88"/>
      <c r="E262" s="88"/>
      <c r="F262" s="88"/>
      <c r="G262" s="88"/>
      <c r="H262" s="88"/>
      <c r="I262" s="89"/>
      <c r="J262" s="164"/>
      <c r="K262" s="88"/>
    </row>
    <row r="263" ht="15.75" customHeight="1">
      <c r="A263" s="74"/>
      <c r="B263" s="2"/>
      <c r="C263" s="88"/>
      <c r="D263" s="88"/>
      <c r="E263" s="88"/>
      <c r="F263" s="88"/>
      <c r="G263" s="88"/>
      <c r="H263" s="88"/>
      <c r="I263" s="89"/>
      <c r="J263" s="164"/>
      <c r="K263" s="88"/>
    </row>
    <row r="264" ht="15.75" customHeight="1">
      <c r="A264" s="74"/>
      <c r="B264" s="2"/>
      <c r="C264" s="88"/>
      <c r="D264" s="88"/>
      <c r="E264" s="88"/>
      <c r="F264" s="88"/>
      <c r="G264" s="88"/>
      <c r="H264" s="88"/>
      <c r="I264" s="89"/>
      <c r="J264" s="164"/>
      <c r="K264" s="88"/>
    </row>
    <row r="265" ht="15.75" customHeight="1">
      <c r="A265" s="74"/>
      <c r="B265" s="2"/>
      <c r="C265" s="88"/>
      <c r="D265" s="88"/>
      <c r="E265" s="88"/>
      <c r="F265" s="88"/>
      <c r="G265" s="88"/>
      <c r="H265" s="88"/>
      <c r="I265" s="89"/>
      <c r="J265" s="164"/>
      <c r="K265" s="88"/>
    </row>
    <row r="266" ht="15.75" customHeight="1">
      <c r="A266" s="74"/>
      <c r="B266" s="2"/>
      <c r="C266" s="88"/>
      <c r="D266" s="88"/>
      <c r="E266" s="88"/>
      <c r="F266" s="88"/>
      <c r="G266" s="88"/>
      <c r="H266" s="88"/>
      <c r="I266" s="89"/>
      <c r="J266" s="164"/>
      <c r="K266" s="88"/>
    </row>
    <row r="267" ht="15.75" customHeight="1">
      <c r="A267" s="74"/>
      <c r="B267" s="2"/>
      <c r="C267" s="88"/>
      <c r="D267" s="88"/>
      <c r="E267" s="88"/>
      <c r="F267" s="88"/>
      <c r="G267" s="88"/>
      <c r="H267" s="88"/>
      <c r="I267" s="89"/>
      <c r="J267" s="164"/>
      <c r="K267" s="88"/>
    </row>
    <row r="268" ht="15.75" customHeight="1">
      <c r="A268" s="74"/>
      <c r="B268" s="2"/>
      <c r="C268" s="88"/>
      <c r="D268" s="88"/>
      <c r="E268" s="88"/>
      <c r="F268" s="88"/>
      <c r="G268" s="88"/>
      <c r="H268" s="88"/>
      <c r="I268" s="89"/>
      <c r="J268" s="164"/>
      <c r="K268" s="88"/>
    </row>
    <row r="269" ht="15.75" customHeight="1">
      <c r="A269" s="74"/>
      <c r="B269" s="2"/>
      <c r="C269" s="88"/>
      <c r="D269" s="88"/>
      <c r="E269" s="88"/>
      <c r="F269" s="88"/>
      <c r="G269" s="88"/>
      <c r="H269" s="88"/>
      <c r="I269" s="89"/>
      <c r="J269" s="164"/>
      <c r="K269" s="88"/>
    </row>
    <row r="270" ht="15.75" customHeight="1">
      <c r="A270" s="74"/>
      <c r="B270" s="2"/>
      <c r="C270" s="88"/>
      <c r="D270" s="88"/>
      <c r="E270" s="88"/>
      <c r="F270" s="88"/>
      <c r="G270" s="88"/>
      <c r="H270" s="88"/>
      <c r="I270" s="89"/>
      <c r="J270" s="164"/>
      <c r="K270" s="88"/>
    </row>
    <row r="271" ht="15.75" customHeight="1">
      <c r="A271" s="74"/>
      <c r="B271" s="2"/>
      <c r="C271" s="88"/>
      <c r="D271" s="88"/>
      <c r="E271" s="88"/>
      <c r="F271" s="88"/>
      <c r="G271" s="88"/>
      <c r="H271" s="88"/>
      <c r="I271" s="89"/>
      <c r="J271" s="164"/>
      <c r="K271" s="88"/>
    </row>
    <row r="272" ht="15.75" customHeight="1">
      <c r="A272" s="74"/>
      <c r="B272" s="2"/>
      <c r="C272" s="88"/>
      <c r="D272" s="88"/>
      <c r="E272" s="88"/>
      <c r="F272" s="88"/>
      <c r="G272" s="88"/>
      <c r="H272" s="88"/>
      <c r="I272" s="89"/>
      <c r="J272" s="164"/>
      <c r="K272" s="88"/>
    </row>
    <row r="273" ht="15.75" customHeight="1">
      <c r="A273" s="74"/>
      <c r="B273" s="2"/>
      <c r="C273" s="88"/>
      <c r="D273" s="88"/>
      <c r="E273" s="88"/>
      <c r="F273" s="88"/>
      <c r="G273" s="88"/>
      <c r="H273" s="88"/>
      <c r="I273" s="89"/>
      <c r="J273" s="164"/>
      <c r="K273" s="88"/>
    </row>
    <row r="274" ht="15.75" customHeight="1">
      <c r="A274" s="74"/>
      <c r="B274" s="2"/>
      <c r="C274" s="88"/>
      <c r="D274" s="88"/>
      <c r="E274" s="88"/>
      <c r="F274" s="88"/>
      <c r="G274" s="88"/>
      <c r="H274" s="88"/>
      <c r="I274" s="89"/>
      <c r="J274" s="164"/>
      <c r="K274" s="88"/>
    </row>
    <row r="275" ht="15.75" customHeight="1">
      <c r="A275" s="74"/>
      <c r="B275" s="2"/>
      <c r="C275" s="88"/>
      <c r="D275" s="88"/>
      <c r="E275" s="88"/>
      <c r="F275" s="88"/>
      <c r="G275" s="88"/>
      <c r="H275" s="88"/>
      <c r="I275" s="89"/>
      <c r="J275" s="164"/>
      <c r="K275" s="88"/>
    </row>
    <row r="276" ht="15.75" customHeight="1">
      <c r="A276" s="74"/>
      <c r="B276" s="2"/>
      <c r="C276" s="88"/>
      <c r="D276" s="88"/>
      <c r="E276" s="88"/>
      <c r="F276" s="88"/>
      <c r="G276" s="88"/>
      <c r="H276" s="88"/>
      <c r="I276" s="89"/>
      <c r="J276" s="164"/>
      <c r="K276" s="88"/>
    </row>
    <row r="277" ht="15.75" customHeight="1">
      <c r="A277" s="74"/>
      <c r="B277" s="2"/>
      <c r="C277" s="88"/>
      <c r="D277" s="88"/>
      <c r="E277" s="88"/>
      <c r="F277" s="88"/>
      <c r="G277" s="88"/>
      <c r="H277" s="88"/>
      <c r="I277" s="89"/>
      <c r="J277" s="164"/>
      <c r="K277" s="88"/>
    </row>
    <row r="278" ht="15.75" customHeight="1">
      <c r="A278" s="74"/>
      <c r="B278" s="2"/>
      <c r="C278" s="88"/>
      <c r="D278" s="88"/>
      <c r="E278" s="88"/>
      <c r="F278" s="88"/>
      <c r="G278" s="88"/>
      <c r="H278" s="88"/>
      <c r="I278" s="89"/>
      <c r="J278" s="164"/>
      <c r="K278" s="88"/>
    </row>
    <row r="279" ht="15.75" customHeight="1">
      <c r="A279" s="74"/>
      <c r="B279" s="2"/>
      <c r="C279" s="88"/>
      <c r="D279" s="88"/>
      <c r="E279" s="88"/>
      <c r="F279" s="88"/>
      <c r="G279" s="88"/>
      <c r="H279" s="88"/>
      <c r="I279" s="89"/>
      <c r="J279" s="164"/>
      <c r="K279" s="88"/>
    </row>
    <row r="280" ht="15.75" customHeight="1">
      <c r="A280" s="74"/>
      <c r="B280" s="2"/>
      <c r="C280" s="88"/>
      <c r="D280" s="88"/>
      <c r="E280" s="88"/>
      <c r="F280" s="88"/>
      <c r="G280" s="88"/>
      <c r="H280" s="88"/>
      <c r="I280" s="89"/>
      <c r="J280" s="164"/>
      <c r="K280" s="88"/>
    </row>
    <row r="281" ht="15.75" customHeight="1">
      <c r="A281" s="74"/>
      <c r="B281" s="2"/>
      <c r="C281" s="88"/>
      <c r="D281" s="88"/>
      <c r="E281" s="88"/>
      <c r="F281" s="88"/>
      <c r="G281" s="88"/>
      <c r="H281" s="88"/>
      <c r="I281" s="89"/>
      <c r="J281" s="164"/>
      <c r="K281" s="88"/>
    </row>
    <row r="282" ht="15.75" customHeight="1">
      <c r="A282" s="74"/>
      <c r="B282" s="2"/>
      <c r="C282" s="88"/>
      <c r="D282" s="88"/>
      <c r="E282" s="88"/>
      <c r="F282" s="88"/>
      <c r="G282" s="88"/>
      <c r="H282" s="88"/>
      <c r="I282" s="89"/>
      <c r="J282" s="164"/>
      <c r="K282" s="88"/>
    </row>
    <row r="283" ht="15.75" customHeight="1">
      <c r="A283" s="74"/>
      <c r="B283" s="2"/>
      <c r="C283" s="88"/>
      <c r="D283" s="88"/>
      <c r="E283" s="88"/>
      <c r="F283" s="88"/>
      <c r="G283" s="88"/>
      <c r="H283" s="88"/>
      <c r="I283" s="89"/>
      <c r="J283" s="164"/>
      <c r="K283" s="88"/>
    </row>
    <row r="284" ht="15.75" customHeight="1">
      <c r="A284" s="74"/>
      <c r="B284" s="2"/>
      <c r="C284" s="88"/>
      <c r="D284" s="88"/>
      <c r="E284" s="88"/>
      <c r="F284" s="88"/>
      <c r="G284" s="88"/>
      <c r="H284" s="88"/>
      <c r="I284" s="89"/>
      <c r="J284" s="164"/>
      <c r="K284" s="88"/>
    </row>
    <row r="285" ht="15.75" customHeight="1">
      <c r="A285" s="74"/>
      <c r="B285" s="2"/>
      <c r="C285" s="88"/>
      <c r="D285" s="88"/>
      <c r="E285" s="88"/>
      <c r="F285" s="88"/>
      <c r="G285" s="88"/>
      <c r="H285" s="88"/>
      <c r="I285" s="89"/>
      <c r="J285" s="164"/>
      <c r="K285" s="88"/>
    </row>
    <row r="286" ht="15.75" customHeight="1">
      <c r="A286" s="74"/>
      <c r="B286" s="2"/>
      <c r="C286" s="88"/>
      <c r="D286" s="88"/>
      <c r="E286" s="88"/>
      <c r="F286" s="88"/>
      <c r="G286" s="88"/>
      <c r="H286" s="88"/>
      <c r="I286" s="89"/>
      <c r="J286" s="164"/>
      <c r="K286" s="88"/>
    </row>
    <row r="287" ht="15.75" customHeight="1">
      <c r="A287" s="74"/>
      <c r="B287" s="2"/>
      <c r="C287" s="88"/>
      <c r="D287" s="88"/>
      <c r="E287" s="88"/>
      <c r="F287" s="88"/>
      <c r="G287" s="88"/>
      <c r="H287" s="88"/>
      <c r="I287" s="89"/>
      <c r="J287" s="164"/>
      <c r="K287" s="88"/>
    </row>
    <row r="288" ht="15.75" customHeight="1">
      <c r="A288" s="74"/>
      <c r="B288" s="2"/>
      <c r="C288" s="88"/>
      <c r="D288" s="88"/>
      <c r="E288" s="88"/>
      <c r="F288" s="88"/>
      <c r="G288" s="88"/>
      <c r="H288" s="88"/>
      <c r="I288" s="89"/>
      <c r="J288" s="164"/>
      <c r="K288" s="88"/>
    </row>
    <row r="289" ht="15.75" customHeight="1">
      <c r="A289" s="74"/>
      <c r="B289" s="2"/>
      <c r="C289" s="88"/>
      <c r="D289" s="88"/>
      <c r="E289" s="88"/>
      <c r="F289" s="88"/>
      <c r="G289" s="88"/>
      <c r="H289" s="88"/>
      <c r="I289" s="89"/>
      <c r="J289" s="164"/>
      <c r="K289" s="88"/>
    </row>
    <row r="290" ht="15.75" customHeight="1">
      <c r="A290" s="74"/>
      <c r="B290" s="2"/>
      <c r="C290" s="88"/>
      <c r="D290" s="88"/>
      <c r="E290" s="88"/>
      <c r="F290" s="88"/>
      <c r="G290" s="88"/>
      <c r="H290" s="88"/>
      <c r="I290" s="89"/>
      <c r="J290" s="164"/>
      <c r="K290" s="88"/>
    </row>
    <row r="291" ht="15.75" customHeight="1">
      <c r="A291" s="74"/>
      <c r="B291" s="2"/>
      <c r="C291" s="88"/>
      <c r="D291" s="88"/>
      <c r="E291" s="88"/>
      <c r="F291" s="88"/>
      <c r="G291" s="88"/>
      <c r="H291" s="88"/>
      <c r="I291" s="89"/>
      <c r="J291" s="164"/>
      <c r="K291" s="88"/>
    </row>
    <row r="292" ht="15.75" customHeight="1">
      <c r="A292" s="74"/>
      <c r="B292" s="2"/>
      <c r="C292" s="88"/>
      <c r="D292" s="88"/>
      <c r="E292" s="88"/>
      <c r="F292" s="88"/>
      <c r="G292" s="88"/>
      <c r="H292" s="88"/>
      <c r="I292" s="89"/>
      <c r="J292" s="164"/>
      <c r="K292" s="88"/>
    </row>
    <row r="293" ht="15.75" customHeight="1">
      <c r="A293" s="74"/>
      <c r="B293" s="2"/>
      <c r="C293" s="88"/>
      <c r="D293" s="88"/>
      <c r="E293" s="88"/>
      <c r="F293" s="88"/>
      <c r="G293" s="88"/>
      <c r="H293" s="88"/>
      <c r="I293" s="89"/>
      <c r="J293" s="164"/>
      <c r="K293" s="88"/>
    </row>
    <row r="294" ht="15.75" customHeight="1">
      <c r="A294" s="74"/>
      <c r="B294" s="2"/>
      <c r="C294" s="88"/>
      <c r="D294" s="88"/>
      <c r="E294" s="88"/>
      <c r="F294" s="88"/>
      <c r="G294" s="88"/>
      <c r="H294" s="88"/>
      <c r="I294" s="89"/>
      <c r="J294" s="164"/>
      <c r="K294" s="88"/>
    </row>
    <row r="295" ht="15.75" customHeight="1">
      <c r="A295" s="74"/>
      <c r="B295" s="2"/>
      <c r="C295" s="88"/>
      <c r="D295" s="88"/>
      <c r="E295" s="88"/>
      <c r="F295" s="88"/>
      <c r="G295" s="88"/>
      <c r="H295" s="88"/>
      <c r="I295" s="89"/>
      <c r="J295" s="164"/>
      <c r="K295" s="88"/>
    </row>
    <row r="296" ht="15.75" customHeight="1">
      <c r="A296" s="74"/>
      <c r="B296" s="2"/>
      <c r="C296" s="88"/>
      <c r="D296" s="88"/>
      <c r="E296" s="88"/>
      <c r="F296" s="88"/>
      <c r="G296" s="88"/>
      <c r="H296" s="88"/>
      <c r="I296" s="89"/>
      <c r="J296" s="164"/>
      <c r="K296" s="88"/>
    </row>
    <row r="297" ht="15.75" customHeight="1">
      <c r="A297" s="74"/>
      <c r="B297" s="2"/>
      <c r="C297" s="88"/>
      <c r="D297" s="88"/>
      <c r="E297" s="88"/>
      <c r="F297" s="88"/>
      <c r="G297" s="88"/>
      <c r="H297" s="88"/>
      <c r="I297" s="89"/>
      <c r="J297" s="164"/>
      <c r="K297" s="88"/>
    </row>
    <row r="298" ht="15.75" customHeight="1">
      <c r="A298" s="74"/>
      <c r="B298" s="2"/>
      <c r="C298" s="88"/>
      <c r="D298" s="88"/>
      <c r="E298" s="88"/>
      <c r="F298" s="88"/>
      <c r="G298" s="88"/>
      <c r="H298" s="88"/>
      <c r="I298" s="89"/>
      <c r="J298" s="164"/>
      <c r="K298" s="88"/>
    </row>
    <row r="299" ht="15.75" customHeight="1">
      <c r="A299" s="74"/>
      <c r="B299" s="2"/>
      <c r="C299" s="88"/>
      <c r="D299" s="88"/>
      <c r="E299" s="88"/>
      <c r="F299" s="88"/>
      <c r="G299" s="88"/>
      <c r="H299" s="88"/>
      <c r="I299" s="89"/>
      <c r="J299" s="164"/>
      <c r="K299" s="88"/>
    </row>
    <row r="300" ht="15.75" customHeight="1">
      <c r="A300" s="74"/>
      <c r="B300" s="2"/>
      <c r="C300" s="88"/>
      <c r="D300" s="88"/>
      <c r="E300" s="88"/>
      <c r="F300" s="88"/>
      <c r="G300" s="88"/>
      <c r="H300" s="88"/>
      <c r="I300" s="89"/>
      <c r="J300" s="164"/>
      <c r="K300" s="88"/>
    </row>
    <row r="301" ht="15.75" customHeight="1">
      <c r="A301" s="74"/>
      <c r="B301" s="2"/>
      <c r="C301" s="88"/>
      <c r="D301" s="88"/>
      <c r="E301" s="88"/>
      <c r="F301" s="88"/>
      <c r="G301" s="88"/>
      <c r="H301" s="88"/>
      <c r="I301" s="89"/>
      <c r="J301" s="164"/>
      <c r="K301" s="88"/>
    </row>
    <row r="302" ht="15.75" customHeight="1">
      <c r="A302" s="74"/>
      <c r="B302" s="2"/>
      <c r="C302" s="88"/>
      <c r="D302" s="88"/>
      <c r="E302" s="88"/>
      <c r="F302" s="88"/>
      <c r="G302" s="88"/>
      <c r="H302" s="88"/>
      <c r="I302" s="89"/>
      <c r="J302" s="164"/>
      <c r="K302" s="88"/>
    </row>
    <row r="303" ht="15.75" customHeight="1">
      <c r="A303" s="74"/>
      <c r="B303" s="2"/>
      <c r="C303" s="88"/>
      <c r="D303" s="88"/>
      <c r="E303" s="88"/>
      <c r="F303" s="88"/>
      <c r="G303" s="88"/>
      <c r="H303" s="88"/>
      <c r="I303" s="89"/>
      <c r="J303" s="164"/>
      <c r="K303" s="88"/>
    </row>
    <row r="304" ht="15.75" customHeight="1">
      <c r="A304" s="74"/>
      <c r="B304" s="2"/>
      <c r="C304" s="88"/>
      <c r="D304" s="88"/>
      <c r="E304" s="88"/>
      <c r="F304" s="88"/>
      <c r="G304" s="88"/>
      <c r="H304" s="88"/>
      <c r="I304" s="89"/>
      <c r="J304" s="164"/>
      <c r="K304" s="88"/>
    </row>
    <row r="305" ht="15.75" customHeight="1">
      <c r="A305" s="74"/>
      <c r="B305" s="2"/>
      <c r="C305" s="88"/>
      <c r="D305" s="88"/>
      <c r="E305" s="88"/>
      <c r="F305" s="88"/>
      <c r="G305" s="88"/>
      <c r="H305" s="88"/>
      <c r="I305" s="89"/>
      <c r="J305" s="164"/>
      <c r="K305" s="88"/>
    </row>
    <row r="306" ht="15.75" customHeight="1">
      <c r="A306" s="74"/>
      <c r="B306" s="2"/>
      <c r="C306" s="88"/>
      <c r="D306" s="88"/>
      <c r="E306" s="88"/>
      <c r="F306" s="88"/>
      <c r="G306" s="88"/>
      <c r="H306" s="88"/>
      <c r="I306" s="89"/>
      <c r="J306" s="164"/>
      <c r="K306" s="88"/>
    </row>
    <row r="307" ht="15.75" customHeight="1">
      <c r="A307" s="74"/>
      <c r="B307" s="2"/>
      <c r="C307" s="88"/>
      <c r="D307" s="88"/>
      <c r="E307" s="88"/>
      <c r="F307" s="88"/>
      <c r="G307" s="88"/>
      <c r="H307" s="88"/>
      <c r="I307" s="89"/>
      <c r="J307" s="164"/>
      <c r="K307" s="88"/>
    </row>
    <row r="308" ht="15.75" customHeight="1">
      <c r="A308" s="74"/>
      <c r="B308" s="2"/>
      <c r="C308" s="88"/>
      <c r="D308" s="88"/>
      <c r="E308" s="88"/>
      <c r="F308" s="88"/>
      <c r="G308" s="88"/>
      <c r="H308" s="88"/>
      <c r="I308" s="89"/>
      <c r="J308" s="164"/>
      <c r="K308" s="88"/>
    </row>
    <row r="309" ht="15.75" customHeight="1">
      <c r="A309" s="74"/>
      <c r="B309" s="2"/>
      <c r="C309" s="88"/>
      <c r="D309" s="88"/>
      <c r="E309" s="88"/>
      <c r="F309" s="88"/>
      <c r="G309" s="88"/>
      <c r="H309" s="88"/>
      <c r="I309" s="89"/>
      <c r="J309" s="164"/>
      <c r="K309" s="88"/>
    </row>
    <row r="310" ht="15.75" customHeight="1">
      <c r="A310" s="74"/>
      <c r="B310" s="2"/>
      <c r="C310" s="88"/>
      <c r="D310" s="88"/>
      <c r="E310" s="88"/>
      <c r="F310" s="88"/>
      <c r="G310" s="88"/>
      <c r="H310" s="88"/>
      <c r="I310" s="89"/>
      <c r="J310" s="164"/>
      <c r="K310" s="88"/>
    </row>
    <row r="311" ht="15.75" customHeight="1">
      <c r="A311" s="74"/>
      <c r="B311" s="2"/>
      <c r="C311" s="88"/>
      <c r="D311" s="88"/>
      <c r="E311" s="88"/>
      <c r="F311" s="88"/>
      <c r="G311" s="88"/>
      <c r="H311" s="88"/>
      <c r="I311" s="89"/>
      <c r="J311" s="164"/>
      <c r="K311" s="88"/>
    </row>
    <row r="312" ht="15.75" customHeight="1">
      <c r="A312" s="74"/>
      <c r="B312" s="2"/>
      <c r="C312" s="88"/>
      <c r="D312" s="88"/>
      <c r="E312" s="88"/>
      <c r="F312" s="88"/>
      <c r="G312" s="88"/>
      <c r="H312" s="88"/>
      <c r="I312" s="89"/>
      <c r="J312" s="164"/>
      <c r="K312" s="88"/>
    </row>
    <row r="313" ht="15.75" customHeight="1">
      <c r="A313" s="74"/>
      <c r="B313" s="2"/>
      <c r="C313" s="88"/>
      <c r="D313" s="88"/>
      <c r="E313" s="88"/>
      <c r="F313" s="88"/>
      <c r="G313" s="88"/>
      <c r="H313" s="88"/>
      <c r="I313" s="89"/>
      <c r="J313" s="164"/>
      <c r="K313" s="88"/>
    </row>
    <row r="314" ht="15.75" customHeight="1">
      <c r="A314" s="74"/>
      <c r="B314" s="2"/>
      <c r="C314" s="88"/>
      <c r="D314" s="88"/>
      <c r="E314" s="88"/>
      <c r="F314" s="88"/>
      <c r="G314" s="88"/>
      <c r="H314" s="88"/>
      <c r="I314" s="89"/>
      <c r="J314" s="164"/>
      <c r="K314" s="88"/>
    </row>
    <row r="315" ht="15.75" customHeight="1">
      <c r="A315" s="74"/>
      <c r="B315" s="2"/>
      <c r="C315" s="88"/>
      <c r="D315" s="88"/>
      <c r="E315" s="88"/>
      <c r="F315" s="88"/>
      <c r="G315" s="88"/>
      <c r="H315" s="88"/>
      <c r="I315" s="89"/>
      <c r="J315" s="164"/>
      <c r="K315" s="88"/>
    </row>
    <row r="316" ht="15.75" customHeight="1">
      <c r="A316" s="74"/>
      <c r="B316" s="2"/>
      <c r="C316" s="88"/>
      <c r="D316" s="88"/>
      <c r="E316" s="88"/>
      <c r="F316" s="88"/>
      <c r="G316" s="88"/>
      <c r="H316" s="88"/>
      <c r="I316" s="89"/>
      <c r="J316" s="164"/>
      <c r="K316" s="88"/>
    </row>
    <row r="317" ht="15.75" customHeight="1">
      <c r="A317" s="74"/>
      <c r="B317" s="2"/>
      <c r="C317" s="88"/>
      <c r="D317" s="88"/>
      <c r="E317" s="88"/>
      <c r="F317" s="88"/>
      <c r="G317" s="88"/>
      <c r="H317" s="88"/>
      <c r="I317" s="89"/>
      <c r="J317" s="164"/>
      <c r="K317" s="88"/>
    </row>
    <row r="318" ht="15.75" customHeight="1">
      <c r="A318" s="74"/>
      <c r="B318" s="2"/>
      <c r="C318" s="88"/>
      <c r="D318" s="88"/>
      <c r="E318" s="88"/>
      <c r="F318" s="88"/>
      <c r="G318" s="88"/>
      <c r="H318" s="88"/>
      <c r="I318" s="89"/>
      <c r="J318" s="164"/>
      <c r="K318" s="88"/>
    </row>
    <row r="319" ht="15.75" customHeight="1">
      <c r="A319" s="74"/>
      <c r="B319" s="2"/>
      <c r="C319" s="88"/>
      <c r="D319" s="88"/>
      <c r="E319" s="88"/>
      <c r="F319" s="88"/>
      <c r="G319" s="88"/>
      <c r="H319" s="88"/>
      <c r="I319" s="89"/>
      <c r="J319" s="164"/>
      <c r="K319" s="88"/>
    </row>
    <row r="320" ht="15.75" customHeight="1">
      <c r="A320" s="74"/>
      <c r="B320" s="2"/>
      <c r="C320" s="88"/>
      <c r="D320" s="88"/>
      <c r="E320" s="88"/>
      <c r="F320" s="88"/>
      <c r="G320" s="88"/>
      <c r="H320" s="88"/>
      <c r="I320" s="89"/>
      <c r="J320" s="164"/>
      <c r="K320" s="88"/>
    </row>
    <row r="321" ht="15.75" customHeight="1">
      <c r="A321" s="74"/>
      <c r="B321" s="2"/>
      <c r="C321" s="88"/>
      <c r="D321" s="88"/>
      <c r="E321" s="88"/>
      <c r="F321" s="88"/>
      <c r="G321" s="88"/>
      <c r="H321" s="88"/>
      <c r="I321" s="89"/>
      <c r="J321" s="164"/>
      <c r="K321" s="88"/>
    </row>
    <row r="322" ht="15.75" customHeight="1">
      <c r="A322" s="74"/>
      <c r="B322" s="2"/>
      <c r="C322" s="88"/>
      <c r="D322" s="88"/>
      <c r="E322" s="88"/>
      <c r="F322" s="88"/>
      <c r="G322" s="88"/>
      <c r="H322" s="88"/>
      <c r="I322" s="89"/>
      <c r="J322" s="164"/>
      <c r="K322" s="88"/>
    </row>
    <row r="323" ht="15.75" customHeight="1">
      <c r="A323" s="74"/>
      <c r="B323" s="2"/>
      <c r="C323" s="88"/>
      <c r="D323" s="88"/>
      <c r="E323" s="88"/>
      <c r="F323" s="88"/>
      <c r="G323" s="88"/>
      <c r="H323" s="88"/>
      <c r="I323" s="89"/>
      <c r="J323" s="164"/>
      <c r="K323" s="88"/>
    </row>
    <row r="324" ht="15.75" customHeight="1">
      <c r="A324" s="74"/>
      <c r="B324" s="2"/>
      <c r="C324" s="88"/>
      <c r="D324" s="88"/>
      <c r="E324" s="88"/>
      <c r="F324" s="88"/>
      <c r="G324" s="88"/>
      <c r="H324" s="88"/>
      <c r="I324" s="89"/>
      <c r="J324" s="164"/>
      <c r="K324" s="88"/>
    </row>
    <row r="325" ht="15.75" customHeight="1">
      <c r="A325" s="74"/>
      <c r="B325" s="2"/>
      <c r="C325" s="88"/>
      <c r="D325" s="88"/>
      <c r="E325" s="88"/>
      <c r="F325" s="88"/>
      <c r="G325" s="88"/>
      <c r="H325" s="88"/>
      <c r="I325" s="89"/>
      <c r="J325" s="164"/>
      <c r="K325" s="88"/>
    </row>
    <row r="326" ht="15.75" customHeight="1">
      <c r="A326" s="74"/>
      <c r="B326" s="2"/>
      <c r="C326" s="88"/>
      <c r="D326" s="88"/>
      <c r="E326" s="88"/>
      <c r="F326" s="88"/>
      <c r="G326" s="88"/>
      <c r="H326" s="88"/>
      <c r="I326" s="89"/>
      <c r="J326" s="164"/>
      <c r="K326" s="88"/>
    </row>
    <row r="327" ht="15.75" customHeight="1">
      <c r="A327" s="74"/>
      <c r="B327" s="2"/>
      <c r="C327" s="88"/>
      <c r="D327" s="88"/>
      <c r="E327" s="88"/>
      <c r="F327" s="88"/>
      <c r="G327" s="88"/>
      <c r="H327" s="88"/>
      <c r="I327" s="89"/>
      <c r="J327" s="164"/>
      <c r="K327" s="88"/>
    </row>
    <row r="328" ht="15.75" customHeight="1">
      <c r="A328" s="74"/>
      <c r="B328" s="2"/>
      <c r="C328" s="88"/>
      <c r="D328" s="88"/>
      <c r="E328" s="88"/>
      <c r="F328" s="88"/>
      <c r="G328" s="88"/>
      <c r="H328" s="88"/>
      <c r="I328" s="89"/>
      <c r="J328" s="164"/>
      <c r="K328" s="88"/>
    </row>
    <row r="329" ht="15.75" customHeight="1">
      <c r="A329" s="74"/>
      <c r="B329" s="2"/>
      <c r="C329" s="88"/>
      <c r="D329" s="88"/>
      <c r="E329" s="88"/>
      <c r="F329" s="88"/>
      <c r="G329" s="88"/>
      <c r="H329" s="88"/>
      <c r="I329" s="89"/>
      <c r="J329" s="164"/>
      <c r="K329" s="88"/>
    </row>
    <row r="330" ht="15.75" customHeight="1">
      <c r="A330" s="74"/>
      <c r="B330" s="2"/>
      <c r="C330" s="88"/>
      <c r="D330" s="88"/>
      <c r="E330" s="88"/>
      <c r="F330" s="88"/>
      <c r="G330" s="88"/>
      <c r="H330" s="88"/>
      <c r="I330" s="89"/>
      <c r="J330" s="164"/>
      <c r="K330" s="88"/>
    </row>
    <row r="331" ht="15.75" customHeight="1">
      <c r="A331" s="74"/>
      <c r="B331" s="2"/>
      <c r="C331" s="88"/>
      <c r="D331" s="88"/>
      <c r="E331" s="88"/>
      <c r="F331" s="88"/>
      <c r="G331" s="88"/>
      <c r="H331" s="88"/>
      <c r="I331" s="89"/>
      <c r="J331" s="164"/>
      <c r="K331" s="88"/>
    </row>
    <row r="332" ht="15.75" customHeight="1">
      <c r="A332" s="74"/>
      <c r="B332" s="2"/>
      <c r="C332" s="88"/>
      <c r="D332" s="88"/>
      <c r="E332" s="88"/>
      <c r="F332" s="88"/>
      <c r="G332" s="88"/>
      <c r="H332" s="88"/>
      <c r="I332" s="89"/>
      <c r="J332" s="164"/>
      <c r="K332" s="88"/>
    </row>
    <row r="333" ht="15.75" customHeight="1">
      <c r="A333" s="74"/>
      <c r="B333" s="2"/>
      <c r="C333" s="88"/>
      <c r="D333" s="88"/>
      <c r="E333" s="88"/>
      <c r="F333" s="88"/>
      <c r="G333" s="88"/>
      <c r="H333" s="88"/>
      <c r="I333" s="89"/>
      <c r="J333" s="164"/>
      <c r="K333" s="88"/>
    </row>
    <row r="334" ht="15.75" customHeight="1">
      <c r="A334" s="74"/>
      <c r="B334" s="2"/>
      <c r="C334" s="88"/>
      <c r="D334" s="88"/>
      <c r="E334" s="88"/>
      <c r="F334" s="88"/>
      <c r="G334" s="88"/>
      <c r="H334" s="88"/>
      <c r="I334" s="89"/>
      <c r="J334" s="164"/>
      <c r="K334" s="88"/>
    </row>
    <row r="335" ht="15.75" customHeight="1">
      <c r="A335" s="74"/>
      <c r="B335" s="2"/>
      <c r="C335" s="88"/>
      <c r="D335" s="88"/>
      <c r="E335" s="88"/>
      <c r="F335" s="88"/>
      <c r="G335" s="88"/>
      <c r="H335" s="88"/>
      <c r="I335" s="89"/>
      <c r="J335" s="164"/>
      <c r="K335" s="88"/>
    </row>
    <row r="336" ht="15.75" customHeight="1">
      <c r="A336" s="74"/>
      <c r="B336" s="2"/>
      <c r="C336" s="88"/>
      <c r="D336" s="88"/>
      <c r="E336" s="88"/>
      <c r="F336" s="88"/>
      <c r="G336" s="88"/>
      <c r="H336" s="88"/>
      <c r="I336" s="89"/>
      <c r="J336" s="164"/>
      <c r="K336" s="88"/>
    </row>
    <row r="337" ht="15.75" customHeight="1">
      <c r="A337" s="74"/>
      <c r="B337" s="2"/>
      <c r="C337" s="88"/>
      <c r="D337" s="88"/>
      <c r="E337" s="88"/>
      <c r="F337" s="88"/>
      <c r="G337" s="88"/>
      <c r="H337" s="88"/>
      <c r="I337" s="89"/>
      <c r="J337" s="164"/>
      <c r="K337" s="88"/>
    </row>
    <row r="338" ht="15.75" customHeight="1">
      <c r="A338" s="74"/>
      <c r="B338" s="2"/>
      <c r="C338" s="88"/>
      <c r="D338" s="88"/>
      <c r="E338" s="88"/>
      <c r="F338" s="88"/>
      <c r="G338" s="88"/>
      <c r="H338" s="88"/>
      <c r="I338" s="89"/>
      <c r="J338" s="164"/>
      <c r="K338" s="88"/>
    </row>
    <row r="339" ht="15.75" customHeight="1">
      <c r="A339" s="74"/>
      <c r="B339" s="2"/>
      <c r="C339" s="88"/>
      <c r="D339" s="88"/>
      <c r="E339" s="88"/>
      <c r="F339" s="88"/>
      <c r="G339" s="88"/>
      <c r="H339" s="88"/>
      <c r="I339" s="89"/>
      <c r="J339" s="164"/>
      <c r="K339" s="88"/>
    </row>
    <row r="340" ht="15.75" customHeight="1">
      <c r="A340" s="74"/>
      <c r="B340" s="2"/>
      <c r="C340" s="88"/>
      <c r="D340" s="88"/>
      <c r="E340" s="88"/>
      <c r="F340" s="88"/>
      <c r="G340" s="88"/>
      <c r="H340" s="88"/>
      <c r="I340" s="89"/>
      <c r="J340" s="164"/>
      <c r="K340" s="88"/>
    </row>
    <row r="341" ht="15.75" customHeight="1">
      <c r="A341" s="74"/>
      <c r="B341" s="2"/>
      <c r="C341" s="88"/>
      <c r="D341" s="88"/>
      <c r="E341" s="88"/>
      <c r="F341" s="88"/>
      <c r="G341" s="88"/>
      <c r="H341" s="88"/>
      <c r="I341" s="89"/>
      <c r="J341" s="164"/>
      <c r="K341" s="88"/>
    </row>
    <row r="342" ht="15.75" customHeight="1">
      <c r="A342" s="74"/>
      <c r="B342" s="2"/>
      <c r="C342" s="88"/>
      <c r="D342" s="88"/>
      <c r="E342" s="88"/>
      <c r="F342" s="88"/>
      <c r="G342" s="88"/>
      <c r="H342" s="88"/>
      <c r="I342" s="89"/>
      <c r="J342" s="164"/>
      <c r="K342" s="88"/>
    </row>
    <row r="343" ht="15.75" customHeight="1">
      <c r="A343" s="74"/>
      <c r="B343" s="2"/>
      <c r="C343" s="88"/>
      <c r="D343" s="88"/>
      <c r="E343" s="88"/>
      <c r="F343" s="88"/>
      <c r="G343" s="88"/>
      <c r="H343" s="88"/>
      <c r="I343" s="89"/>
      <c r="J343" s="164"/>
      <c r="K343" s="88"/>
    </row>
    <row r="344" ht="15.75" customHeight="1">
      <c r="A344" s="74"/>
      <c r="B344" s="2"/>
      <c r="C344" s="88"/>
      <c r="D344" s="88"/>
      <c r="E344" s="88"/>
      <c r="F344" s="88"/>
      <c r="G344" s="88"/>
      <c r="H344" s="88"/>
      <c r="I344" s="89"/>
      <c r="J344" s="164"/>
      <c r="K344" s="88"/>
    </row>
    <row r="345" ht="15.75" customHeight="1">
      <c r="A345" s="74"/>
      <c r="B345" s="2"/>
      <c r="C345" s="88"/>
      <c r="D345" s="88"/>
      <c r="E345" s="88"/>
      <c r="F345" s="88"/>
      <c r="G345" s="88"/>
      <c r="H345" s="88"/>
      <c r="I345" s="89"/>
      <c r="J345" s="164"/>
      <c r="K345" s="88"/>
    </row>
    <row r="346" ht="15.75" customHeight="1">
      <c r="A346" s="74"/>
      <c r="B346" s="2"/>
      <c r="C346" s="88"/>
      <c r="D346" s="88"/>
      <c r="E346" s="88"/>
      <c r="F346" s="88"/>
      <c r="G346" s="88"/>
      <c r="H346" s="88"/>
      <c r="I346" s="89"/>
      <c r="J346" s="164"/>
      <c r="K346" s="88"/>
    </row>
    <row r="347" ht="15.75" customHeight="1">
      <c r="A347" s="74"/>
      <c r="B347" s="2"/>
      <c r="C347" s="88"/>
      <c r="D347" s="88"/>
      <c r="E347" s="88"/>
      <c r="F347" s="88"/>
      <c r="G347" s="88"/>
      <c r="H347" s="88"/>
      <c r="I347" s="89"/>
      <c r="J347" s="164"/>
      <c r="K347" s="88"/>
    </row>
    <row r="348" ht="15.75" customHeight="1">
      <c r="A348" s="74"/>
      <c r="B348" s="2"/>
      <c r="C348" s="88"/>
      <c r="D348" s="88"/>
      <c r="E348" s="88"/>
      <c r="F348" s="88"/>
      <c r="G348" s="88"/>
      <c r="H348" s="88"/>
      <c r="I348" s="89"/>
      <c r="J348" s="164"/>
      <c r="K348" s="88"/>
    </row>
    <row r="349" ht="15.75" customHeight="1">
      <c r="A349" s="74"/>
      <c r="B349" s="2"/>
      <c r="C349" s="88"/>
      <c r="D349" s="88"/>
      <c r="E349" s="88"/>
      <c r="F349" s="88"/>
      <c r="G349" s="88"/>
      <c r="H349" s="88"/>
      <c r="I349" s="89"/>
      <c r="J349" s="164"/>
      <c r="K349" s="88"/>
    </row>
    <row r="350" ht="15.75" customHeight="1">
      <c r="A350" s="74"/>
      <c r="B350" s="2"/>
      <c r="C350" s="88"/>
      <c r="D350" s="88"/>
      <c r="E350" s="88"/>
      <c r="F350" s="88"/>
      <c r="G350" s="88"/>
      <c r="H350" s="88"/>
      <c r="I350" s="89"/>
      <c r="J350" s="164"/>
      <c r="K350" s="88"/>
    </row>
    <row r="351" ht="15.75" customHeight="1">
      <c r="A351" s="74"/>
      <c r="B351" s="2"/>
      <c r="C351" s="88"/>
      <c r="D351" s="88"/>
      <c r="E351" s="88"/>
      <c r="F351" s="88"/>
      <c r="G351" s="88"/>
      <c r="H351" s="88"/>
      <c r="I351" s="89"/>
      <c r="J351" s="164"/>
      <c r="K351" s="88"/>
    </row>
    <row r="352" ht="15.75" customHeight="1">
      <c r="A352" s="74"/>
      <c r="B352" s="2"/>
      <c r="C352" s="88"/>
      <c r="D352" s="88"/>
      <c r="E352" s="88"/>
      <c r="F352" s="88"/>
      <c r="G352" s="88"/>
      <c r="H352" s="88"/>
      <c r="I352" s="89"/>
      <c r="J352" s="164"/>
      <c r="K352" s="88"/>
    </row>
    <row r="353" ht="15.75" customHeight="1">
      <c r="A353" s="74"/>
      <c r="B353" s="2"/>
      <c r="C353" s="88"/>
      <c r="D353" s="88"/>
      <c r="E353" s="88"/>
      <c r="F353" s="88"/>
      <c r="G353" s="88"/>
      <c r="H353" s="88"/>
      <c r="I353" s="89"/>
      <c r="J353" s="164"/>
      <c r="K353" s="88"/>
    </row>
    <row r="354" ht="15.75" customHeight="1">
      <c r="A354" s="74"/>
      <c r="B354" s="2"/>
      <c r="C354" s="88"/>
      <c r="D354" s="88"/>
      <c r="E354" s="88"/>
      <c r="F354" s="88"/>
      <c r="G354" s="88"/>
      <c r="H354" s="88"/>
      <c r="I354" s="89"/>
      <c r="J354" s="164"/>
      <c r="K354" s="88"/>
    </row>
    <row r="355" ht="15.75" customHeight="1">
      <c r="A355" s="74"/>
      <c r="B355" s="2"/>
      <c r="C355" s="88"/>
      <c r="D355" s="88"/>
      <c r="E355" s="88"/>
      <c r="F355" s="88"/>
      <c r="G355" s="88"/>
      <c r="H355" s="88"/>
      <c r="I355" s="89"/>
      <c r="J355" s="164"/>
      <c r="K355" s="88"/>
    </row>
    <row r="356" ht="15.75" customHeight="1">
      <c r="A356" s="74"/>
      <c r="B356" s="2"/>
      <c r="C356" s="88"/>
      <c r="D356" s="88"/>
      <c r="E356" s="88"/>
      <c r="F356" s="88"/>
      <c r="G356" s="88"/>
      <c r="H356" s="88"/>
      <c r="I356" s="89"/>
      <c r="J356" s="164"/>
      <c r="K356" s="88"/>
    </row>
    <row r="357" ht="15.75" customHeight="1">
      <c r="A357" s="74"/>
      <c r="B357" s="2"/>
      <c r="C357" s="88"/>
      <c r="D357" s="88"/>
      <c r="E357" s="88"/>
      <c r="F357" s="88"/>
      <c r="G357" s="88"/>
      <c r="H357" s="88"/>
      <c r="I357" s="89"/>
      <c r="J357" s="164"/>
      <c r="K357" s="88"/>
    </row>
    <row r="358" ht="15.75" customHeight="1">
      <c r="A358" s="74"/>
      <c r="B358" s="2"/>
      <c r="C358" s="88"/>
      <c r="D358" s="88"/>
      <c r="E358" s="88"/>
      <c r="F358" s="88"/>
      <c r="G358" s="88"/>
      <c r="H358" s="88"/>
      <c r="I358" s="89"/>
      <c r="J358" s="164"/>
      <c r="K358" s="88"/>
    </row>
    <row r="359" ht="15.75" customHeight="1">
      <c r="A359" s="74"/>
      <c r="B359" s="2"/>
      <c r="C359" s="88"/>
      <c r="D359" s="88"/>
      <c r="E359" s="88"/>
      <c r="F359" s="88"/>
      <c r="G359" s="88"/>
      <c r="H359" s="88"/>
      <c r="I359" s="89"/>
      <c r="J359" s="164"/>
      <c r="K359" s="88"/>
    </row>
    <row r="360" ht="15.75" customHeight="1">
      <c r="A360" s="74"/>
      <c r="B360" s="2"/>
      <c r="C360" s="88"/>
      <c r="D360" s="88"/>
      <c r="E360" s="88"/>
      <c r="F360" s="88"/>
      <c r="G360" s="88"/>
      <c r="H360" s="88"/>
      <c r="I360" s="89"/>
      <c r="J360" s="164"/>
      <c r="K360" s="88"/>
    </row>
    <row r="361" ht="15.75" customHeight="1">
      <c r="A361" s="74"/>
      <c r="B361" s="2"/>
      <c r="C361" s="88"/>
      <c r="D361" s="88"/>
      <c r="E361" s="88"/>
      <c r="F361" s="88"/>
      <c r="G361" s="88"/>
      <c r="H361" s="88"/>
      <c r="I361" s="89"/>
      <c r="J361" s="164"/>
      <c r="K361" s="88"/>
    </row>
    <row r="362" ht="15.75" customHeight="1">
      <c r="A362" s="74"/>
      <c r="B362" s="2"/>
      <c r="C362" s="88"/>
      <c r="D362" s="88"/>
      <c r="E362" s="88"/>
      <c r="F362" s="88"/>
      <c r="G362" s="88"/>
      <c r="H362" s="88"/>
      <c r="I362" s="89"/>
      <c r="J362" s="164"/>
      <c r="K362" s="88"/>
    </row>
    <row r="363" ht="15.75" customHeight="1">
      <c r="A363" s="74"/>
      <c r="B363" s="2"/>
      <c r="C363" s="88"/>
      <c r="D363" s="88"/>
      <c r="E363" s="88"/>
      <c r="F363" s="88"/>
      <c r="G363" s="88"/>
      <c r="H363" s="88"/>
      <c r="I363" s="89"/>
      <c r="J363" s="164"/>
      <c r="K363" s="88"/>
    </row>
    <row r="364" ht="15.75" customHeight="1">
      <c r="A364" s="74"/>
      <c r="B364" s="2"/>
      <c r="C364" s="88"/>
      <c r="D364" s="88"/>
      <c r="E364" s="88"/>
      <c r="F364" s="88"/>
      <c r="G364" s="88"/>
      <c r="H364" s="88"/>
      <c r="I364" s="89"/>
      <c r="J364" s="164"/>
      <c r="K364" s="88"/>
    </row>
    <row r="365" ht="15.75" customHeight="1">
      <c r="A365" s="74"/>
      <c r="B365" s="2"/>
      <c r="C365" s="88"/>
      <c r="D365" s="88"/>
      <c r="E365" s="88"/>
      <c r="F365" s="88"/>
      <c r="G365" s="88"/>
      <c r="H365" s="88"/>
      <c r="I365" s="89"/>
      <c r="J365" s="164"/>
      <c r="K365" s="88"/>
    </row>
    <row r="366" ht="15.75" customHeight="1">
      <c r="A366" s="74"/>
      <c r="B366" s="2"/>
      <c r="C366" s="88"/>
      <c r="D366" s="88"/>
      <c r="E366" s="88"/>
      <c r="F366" s="88"/>
      <c r="G366" s="88"/>
      <c r="H366" s="88"/>
      <c r="I366" s="89"/>
      <c r="J366" s="164"/>
      <c r="K366" s="88"/>
    </row>
    <row r="367" ht="15.75" customHeight="1">
      <c r="A367" s="74"/>
      <c r="B367" s="2"/>
      <c r="C367" s="88"/>
      <c r="D367" s="88"/>
      <c r="E367" s="88"/>
      <c r="F367" s="88"/>
      <c r="G367" s="88"/>
      <c r="H367" s="88"/>
      <c r="I367" s="89"/>
      <c r="J367" s="164"/>
      <c r="K367" s="88"/>
    </row>
    <row r="368" ht="15.75" customHeight="1">
      <c r="A368" s="74"/>
      <c r="B368" s="2"/>
      <c r="C368" s="88"/>
      <c r="D368" s="88"/>
      <c r="E368" s="88"/>
      <c r="F368" s="88"/>
      <c r="G368" s="88"/>
      <c r="H368" s="88"/>
      <c r="I368" s="89"/>
      <c r="J368" s="164"/>
      <c r="K368" s="88"/>
    </row>
    <row r="369" ht="15.75" customHeight="1">
      <c r="A369" s="74"/>
      <c r="B369" s="2"/>
      <c r="C369" s="88"/>
      <c r="D369" s="88"/>
      <c r="E369" s="88"/>
      <c r="F369" s="88"/>
      <c r="G369" s="88"/>
      <c r="H369" s="88"/>
      <c r="I369" s="89"/>
      <c r="J369" s="164"/>
      <c r="K369" s="88"/>
    </row>
    <row r="370" ht="15.75" customHeight="1">
      <c r="A370" s="74"/>
      <c r="B370" s="2"/>
      <c r="C370" s="88"/>
      <c r="D370" s="88"/>
      <c r="E370" s="88"/>
      <c r="F370" s="88"/>
      <c r="G370" s="88"/>
      <c r="H370" s="88"/>
      <c r="I370" s="89"/>
      <c r="J370" s="164"/>
      <c r="K370" s="88"/>
    </row>
    <row r="371" ht="15.75" customHeight="1">
      <c r="A371" s="74"/>
      <c r="B371" s="2"/>
      <c r="C371" s="88"/>
      <c r="D371" s="88"/>
      <c r="E371" s="88"/>
      <c r="F371" s="88"/>
      <c r="G371" s="88"/>
      <c r="H371" s="88"/>
      <c r="I371" s="89"/>
      <c r="J371" s="164"/>
      <c r="K371" s="88"/>
    </row>
    <row r="372" ht="15.75" customHeight="1">
      <c r="A372" s="74"/>
      <c r="B372" s="2"/>
      <c r="C372" s="88"/>
      <c r="D372" s="88"/>
      <c r="E372" s="88"/>
      <c r="F372" s="88"/>
      <c r="G372" s="88"/>
      <c r="H372" s="88"/>
      <c r="I372" s="89"/>
      <c r="J372" s="164"/>
      <c r="K372" s="88"/>
    </row>
    <row r="373" ht="15.75" customHeight="1">
      <c r="A373" s="74"/>
      <c r="B373" s="2"/>
      <c r="C373" s="88"/>
      <c r="D373" s="88"/>
      <c r="E373" s="88"/>
      <c r="F373" s="88"/>
      <c r="G373" s="88"/>
      <c r="H373" s="88"/>
      <c r="I373" s="89"/>
      <c r="J373" s="164"/>
      <c r="K373" s="88"/>
    </row>
    <row r="374" ht="15.75" customHeight="1">
      <c r="A374" s="74"/>
      <c r="B374" s="2"/>
      <c r="C374" s="88"/>
      <c r="D374" s="88"/>
      <c r="E374" s="88"/>
      <c r="F374" s="88"/>
      <c r="G374" s="88"/>
      <c r="H374" s="88"/>
      <c r="I374" s="89"/>
      <c r="J374" s="164"/>
      <c r="K374" s="88"/>
    </row>
    <row r="375" ht="15.75" customHeight="1">
      <c r="A375" s="74"/>
      <c r="B375" s="2"/>
      <c r="C375" s="88"/>
      <c r="D375" s="88"/>
      <c r="E375" s="88"/>
      <c r="F375" s="88"/>
      <c r="G375" s="88"/>
      <c r="H375" s="88"/>
      <c r="I375" s="89"/>
      <c r="J375" s="164"/>
      <c r="K375" s="88"/>
    </row>
    <row r="376" ht="15.75" customHeight="1">
      <c r="A376" s="74"/>
      <c r="B376" s="2"/>
      <c r="C376" s="88"/>
      <c r="D376" s="88"/>
      <c r="E376" s="88"/>
      <c r="F376" s="88"/>
      <c r="G376" s="88"/>
      <c r="H376" s="88"/>
      <c r="I376" s="89"/>
      <c r="J376" s="164"/>
      <c r="K376" s="88"/>
    </row>
    <row r="377" ht="15.75" customHeight="1">
      <c r="A377" s="74"/>
      <c r="B377" s="2"/>
      <c r="C377" s="88"/>
      <c r="D377" s="88"/>
      <c r="E377" s="88"/>
      <c r="F377" s="88"/>
      <c r="G377" s="88"/>
      <c r="H377" s="88"/>
      <c r="I377" s="89"/>
      <c r="J377" s="164"/>
      <c r="K377" s="88"/>
    </row>
    <row r="378" ht="15.75" customHeight="1">
      <c r="A378" s="74"/>
      <c r="B378" s="2"/>
      <c r="C378" s="88"/>
      <c r="D378" s="88"/>
      <c r="E378" s="88"/>
      <c r="F378" s="88"/>
      <c r="G378" s="88"/>
      <c r="H378" s="88"/>
      <c r="I378" s="89"/>
      <c r="J378" s="164"/>
      <c r="K378" s="88"/>
    </row>
    <row r="379" ht="15.75" customHeight="1">
      <c r="A379" s="74"/>
      <c r="B379" s="2"/>
      <c r="C379" s="88"/>
      <c r="D379" s="88"/>
      <c r="E379" s="88"/>
      <c r="F379" s="88"/>
      <c r="G379" s="88"/>
      <c r="H379" s="88"/>
      <c r="I379" s="89"/>
      <c r="J379" s="164"/>
      <c r="K379" s="88"/>
    </row>
    <row r="380" ht="15.75" customHeight="1">
      <c r="A380" s="74"/>
      <c r="B380" s="2"/>
      <c r="C380" s="88"/>
      <c r="D380" s="88"/>
      <c r="E380" s="88"/>
      <c r="F380" s="88"/>
      <c r="G380" s="88"/>
      <c r="H380" s="88"/>
      <c r="I380" s="89"/>
      <c r="J380" s="164"/>
      <c r="K380" s="88"/>
    </row>
    <row r="381" ht="15.75" customHeight="1">
      <c r="A381" s="74"/>
      <c r="B381" s="2"/>
      <c r="C381" s="88"/>
      <c r="D381" s="88"/>
      <c r="E381" s="88"/>
      <c r="F381" s="88"/>
      <c r="G381" s="88"/>
      <c r="H381" s="88"/>
      <c r="I381" s="89"/>
      <c r="J381" s="164"/>
      <c r="K381" s="88"/>
    </row>
    <row r="382" ht="15.75" customHeight="1">
      <c r="A382" s="74"/>
      <c r="B382" s="2"/>
      <c r="C382" s="88"/>
      <c r="D382" s="88"/>
      <c r="E382" s="88"/>
      <c r="F382" s="88"/>
      <c r="G382" s="88"/>
      <c r="H382" s="88"/>
      <c r="I382" s="89"/>
      <c r="J382" s="164"/>
      <c r="K382" s="88"/>
    </row>
    <row r="383" ht="15.75" customHeight="1">
      <c r="A383" s="74"/>
      <c r="B383" s="2"/>
      <c r="C383" s="88"/>
      <c r="D383" s="88"/>
      <c r="E383" s="88"/>
      <c r="F383" s="88"/>
      <c r="G383" s="88"/>
      <c r="H383" s="88"/>
      <c r="I383" s="89"/>
      <c r="J383" s="164"/>
      <c r="K383" s="88"/>
    </row>
    <row r="384" ht="15.75" customHeight="1">
      <c r="A384" s="74"/>
      <c r="B384" s="2"/>
      <c r="C384" s="88"/>
      <c r="D384" s="88"/>
      <c r="E384" s="88"/>
      <c r="F384" s="88"/>
      <c r="G384" s="88"/>
      <c r="H384" s="88"/>
      <c r="I384" s="89"/>
      <c r="J384" s="164"/>
      <c r="K384" s="88"/>
    </row>
    <row r="385" ht="15.75" customHeight="1">
      <c r="A385" s="74"/>
      <c r="B385" s="2"/>
      <c r="C385" s="88"/>
      <c r="D385" s="88"/>
      <c r="E385" s="88"/>
      <c r="F385" s="88"/>
      <c r="G385" s="88"/>
      <c r="H385" s="88"/>
      <c r="I385" s="89"/>
      <c r="J385" s="164"/>
      <c r="K385" s="88"/>
    </row>
    <row r="386" ht="15.75" customHeight="1">
      <c r="A386" s="74"/>
      <c r="B386" s="2"/>
      <c r="C386" s="88"/>
      <c r="D386" s="88"/>
      <c r="E386" s="88"/>
      <c r="F386" s="88"/>
      <c r="G386" s="88"/>
      <c r="H386" s="88"/>
      <c r="I386" s="89"/>
      <c r="J386" s="164"/>
      <c r="K386" s="88"/>
    </row>
    <row r="387" ht="15.75" customHeight="1">
      <c r="A387" s="74"/>
      <c r="B387" s="2"/>
      <c r="C387" s="88"/>
      <c r="D387" s="88"/>
      <c r="E387" s="88"/>
      <c r="F387" s="88"/>
      <c r="G387" s="88"/>
      <c r="H387" s="88"/>
      <c r="I387" s="89"/>
      <c r="J387" s="164"/>
      <c r="K387" s="88"/>
    </row>
    <row r="388" ht="15.75" customHeight="1">
      <c r="A388" s="74"/>
      <c r="B388" s="2"/>
      <c r="C388" s="88"/>
      <c r="D388" s="88"/>
      <c r="E388" s="88"/>
      <c r="F388" s="88"/>
      <c r="G388" s="88"/>
      <c r="H388" s="88"/>
      <c r="I388" s="89"/>
      <c r="J388" s="164"/>
      <c r="K388" s="88"/>
    </row>
    <row r="389" ht="15.75" customHeight="1">
      <c r="A389" s="74"/>
      <c r="B389" s="2"/>
      <c r="C389" s="88"/>
      <c r="D389" s="88"/>
      <c r="E389" s="88"/>
      <c r="F389" s="88"/>
      <c r="G389" s="88"/>
      <c r="H389" s="88"/>
      <c r="I389" s="89"/>
      <c r="J389" s="164"/>
      <c r="K389" s="88"/>
    </row>
    <row r="390" ht="15.75" customHeight="1">
      <c r="A390" s="74"/>
      <c r="B390" s="2"/>
      <c r="C390" s="88"/>
      <c r="D390" s="88"/>
      <c r="E390" s="88"/>
      <c r="F390" s="88"/>
      <c r="G390" s="88"/>
      <c r="H390" s="88"/>
      <c r="I390" s="89"/>
      <c r="J390" s="164"/>
      <c r="K390" s="88"/>
    </row>
    <row r="391" ht="15.75" customHeight="1">
      <c r="A391" s="74"/>
      <c r="B391" s="2"/>
      <c r="C391" s="88"/>
      <c r="D391" s="88"/>
      <c r="E391" s="88"/>
      <c r="F391" s="88"/>
      <c r="G391" s="88"/>
      <c r="H391" s="88"/>
      <c r="I391" s="89"/>
      <c r="J391" s="164"/>
      <c r="K391" s="88"/>
    </row>
    <row r="392" ht="15.75" customHeight="1">
      <c r="A392" s="74"/>
      <c r="B392" s="2"/>
      <c r="C392" s="88"/>
      <c r="D392" s="88"/>
      <c r="E392" s="88"/>
      <c r="F392" s="88"/>
      <c r="G392" s="88"/>
      <c r="H392" s="88"/>
      <c r="I392" s="89"/>
      <c r="J392" s="164"/>
      <c r="K392" s="88"/>
    </row>
    <row r="393" ht="15.75" customHeight="1">
      <c r="A393" s="74"/>
      <c r="B393" s="2"/>
      <c r="C393" s="88"/>
      <c r="D393" s="88"/>
      <c r="E393" s="88"/>
      <c r="F393" s="88"/>
      <c r="G393" s="88"/>
      <c r="H393" s="88"/>
      <c r="I393" s="89"/>
      <c r="J393" s="164"/>
      <c r="K393" s="88"/>
    </row>
    <row r="394" ht="15.75" customHeight="1">
      <c r="A394" s="74"/>
      <c r="B394" s="2"/>
      <c r="C394" s="88"/>
      <c r="D394" s="88"/>
      <c r="E394" s="88"/>
      <c r="F394" s="88"/>
      <c r="G394" s="88"/>
      <c r="H394" s="88"/>
      <c r="I394" s="89"/>
      <c r="J394" s="164"/>
      <c r="K394" s="88"/>
    </row>
    <row r="395" ht="15.75" customHeight="1">
      <c r="A395" s="74"/>
      <c r="B395" s="2"/>
      <c r="C395" s="88"/>
      <c r="D395" s="88"/>
      <c r="E395" s="88"/>
      <c r="F395" s="88"/>
      <c r="G395" s="88"/>
      <c r="H395" s="88"/>
      <c r="I395" s="89"/>
      <c r="J395" s="164"/>
      <c r="K395" s="88"/>
    </row>
    <row r="396" ht="15.75" customHeight="1">
      <c r="A396" s="74"/>
      <c r="B396" s="2"/>
      <c r="C396" s="88"/>
      <c r="D396" s="88"/>
      <c r="E396" s="88"/>
      <c r="F396" s="88"/>
      <c r="G396" s="88"/>
      <c r="H396" s="88"/>
      <c r="I396" s="89"/>
      <c r="J396" s="164"/>
      <c r="K396" s="88"/>
    </row>
    <row r="397" ht="15.75" customHeight="1">
      <c r="A397" s="74"/>
      <c r="B397" s="2"/>
      <c r="C397" s="88"/>
      <c r="D397" s="88"/>
      <c r="E397" s="88"/>
      <c r="F397" s="88"/>
      <c r="G397" s="88"/>
      <c r="H397" s="88"/>
      <c r="I397" s="89"/>
      <c r="J397" s="164"/>
      <c r="K397" s="88"/>
    </row>
    <row r="398" ht="15.75" customHeight="1">
      <c r="A398" s="74"/>
      <c r="B398" s="2"/>
      <c r="C398" s="88"/>
      <c r="D398" s="88"/>
      <c r="E398" s="88"/>
      <c r="F398" s="88"/>
      <c r="G398" s="88"/>
      <c r="H398" s="88"/>
      <c r="I398" s="89"/>
      <c r="J398" s="164"/>
      <c r="K398" s="88"/>
    </row>
    <row r="399" ht="15.75" customHeight="1">
      <c r="A399" s="74"/>
      <c r="B399" s="2"/>
      <c r="C399" s="88"/>
      <c r="D399" s="88"/>
      <c r="E399" s="88"/>
      <c r="F399" s="88"/>
      <c r="G399" s="88"/>
      <c r="H399" s="88"/>
      <c r="I399" s="89"/>
      <c r="J399" s="164"/>
      <c r="K399" s="88"/>
    </row>
    <row r="400" ht="15.75" customHeight="1">
      <c r="A400" s="74"/>
      <c r="B400" s="2"/>
      <c r="C400" s="88"/>
      <c r="D400" s="88"/>
      <c r="E400" s="88"/>
      <c r="F400" s="88"/>
      <c r="G400" s="88"/>
      <c r="H400" s="88"/>
      <c r="I400" s="89"/>
      <c r="J400" s="164"/>
      <c r="K400" s="88"/>
    </row>
    <row r="401" ht="15.75" customHeight="1">
      <c r="A401" s="74"/>
      <c r="B401" s="2"/>
      <c r="C401" s="88"/>
      <c r="D401" s="88"/>
      <c r="E401" s="88"/>
      <c r="F401" s="88"/>
      <c r="G401" s="88"/>
      <c r="H401" s="88"/>
      <c r="I401" s="89"/>
      <c r="J401" s="164"/>
      <c r="K401" s="88"/>
    </row>
    <row r="402" ht="15.75" customHeight="1">
      <c r="A402" s="74"/>
      <c r="B402" s="2"/>
      <c r="C402" s="88"/>
      <c r="D402" s="88"/>
      <c r="E402" s="88"/>
      <c r="F402" s="88"/>
      <c r="G402" s="88"/>
      <c r="H402" s="88"/>
      <c r="I402" s="89"/>
      <c r="J402" s="164"/>
      <c r="K402" s="88"/>
    </row>
    <row r="403" ht="15.75" customHeight="1">
      <c r="A403" s="74"/>
      <c r="B403" s="2"/>
      <c r="C403" s="88"/>
      <c r="D403" s="88"/>
      <c r="E403" s="88"/>
      <c r="F403" s="88"/>
      <c r="G403" s="88"/>
      <c r="H403" s="88"/>
      <c r="I403" s="89"/>
      <c r="J403" s="164"/>
      <c r="K403" s="88"/>
    </row>
    <row r="404" ht="15.75" customHeight="1">
      <c r="A404" s="74"/>
      <c r="B404" s="2"/>
      <c r="C404" s="88"/>
      <c r="D404" s="88"/>
      <c r="E404" s="88"/>
      <c r="F404" s="88"/>
      <c r="G404" s="88"/>
      <c r="H404" s="88"/>
      <c r="I404" s="89"/>
      <c r="J404" s="164"/>
      <c r="K404" s="88"/>
    </row>
    <row r="405" ht="15.75" customHeight="1">
      <c r="A405" s="74"/>
      <c r="B405" s="2"/>
      <c r="C405" s="88"/>
      <c r="D405" s="88"/>
      <c r="E405" s="88"/>
      <c r="F405" s="88"/>
      <c r="G405" s="88"/>
      <c r="H405" s="88"/>
      <c r="I405" s="89"/>
      <c r="J405" s="164"/>
      <c r="K405" s="88"/>
    </row>
    <row r="406" ht="15.75" customHeight="1">
      <c r="A406" s="74"/>
      <c r="B406" s="2"/>
      <c r="C406" s="88"/>
      <c r="D406" s="88"/>
      <c r="E406" s="88"/>
      <c r="F406" s="88"/>
      <c r="G406" s="88"/>
      <c r="H406" s="88"/>
      <c r="I406" s="89"/>
      <c r="J406" s="164"/>
      <c r="K406" s="88"/>
    </row>
    <row r="407" ht="15.75" customHeight="1">
      <c r="A407" s="74"/>
      <c r="B407" s="2"/>
      <c r="C407" s="88"/>
      <c r="D407" s="88"/>
      <c r="E407" s="88"/>
      <c r="F407" s="88"/>
      <c r="G407" s="88"/>
      <c r="H407" s="88"/>
      <c r="I407" s="89"/>
      <c r="J407" s="164"/>
      <c r="K407" s="88"/>
    </row>
    <row r="408" ht="15.75" customHeight="1">
      <c r="A408" s="74"/>
      <c r="B408" s="2"/>
      <c r="C408" s="88"/>
      <c r="D408" s="88"/>
      <c r="E408" s="88"/>
      <c r="F408" s="88"/>
      <c r="G408" s="88"/>
      <c r="H408" s="88"/>
      <c r="I408" s="89"/>
      <c r="J408" s="164"/>
      <c r="K408" s="88"/>
    </row>
    <row r="409" ht="15.75" customHeight="1">
      <c r="A409" s="74"/>
      <c r="B409" s="2"/>
      <c r="C409" s="88"/>
      <c r="D409" s="88"/>
      <c r="E409" s="88"/>
      <c r="F409" s="88"/>
      <c r="G409" s="88"/>
      <c r="H409" s="88"/>
      <c r="I409" s="89"/>
      <c r="J409" s="164"/>
      <c r="K409" s="88"/>
    </row>
    <row r="410" ht="15.75" customHeight="1">
      <c r="A410" s="74"/>
      <c r="B410" s="2"/>
      <c r="C410" s="88"/>
      <c r="D410" s="88"/>
      <c r="E410" s="88"/>
      <c r="F410" s="88"/>
      <c r="G410" s="88"/>
      <c r="H410" s="88"/>
      <c r="I410" s="89"/>
      <c r="J410" s="164"/>
      <c r="K410" s="88"/>
    </row>
    <row r="411" ht="15.75" customHeight="1">
      <c r="A411" s="74"/>
      <c r="B411" s="2"/>
      <c r="C411" s="88"/>
      <c r="D411" s="88"/>
      <c r="E411" s="88"/>
      <c r="F411" s="88"/>
      <c r="G411" s="88"/>
      <c r="H411" s="88"/>
      <c r="I411" s="89"/>
      <c r="J411" s="164"/>
      <c r="K411" s="88"/>
    </row>
    <row r="412" ht="15.75" customHeight="1">
      <c r="A412" s="74"/>
      <c r="B412" s="2"/>
      <c r="C412" s="88"/>
      <c r="D412" s="88"/>
      <c r="E412" s="88"/>
      <c r="F412" s="88"/>
      <c r="G412" s="88"/>
      <c r="H412" s="88"/>
      <c r="I412" s="89"/>
      <c r="J412" s="164"/>
      <c r="K412" s="88"/>
    </row>
    <row r="413" ht="15.75" customHeight="1">
      <c r="A413" s="74"/>
      <c r="B413" s="2"/>
      <c r="C413" s="88"/>
      <c r="D413" s="88"/>
      <c r="E413" s="88"/>
      <c r="F413" s="88"/>
      <c r="G413" s="88"/>
      <c r="H413" s="88"/>
      <c r="I413" s="89"/>
      <c r="J413" s="164"/>
      <c r="K413" s="88"/>
    </row>
    <row r="414" ht="15.75" customHeight="1">
      <c r="A414" s="74"/>
      <c r="B414" s="2"/>
      <c r="C414" s="88"/>
      <c r="D414" s="88"/>
      <c r="E414" s="88"/>
      <c r="F414" s="88"/>
      <c r="G414" s="88"/>
      <c r="H414" s="88"/>
      <c r="I414" s="89"/>
      <c r="J414" s="164"/>
      <c r="K414" s="88"/>
    </row>
    <row r="415" ht="15.75" customHeight="1">
      <c r="A415" s="74"/>
      <c r="B415" s="2"/>
      <c r="C415" s="88"/>
      <c r="D415" s="88"/>
      <c r="E415" s="88"/>
      <c r="F415" s="88"/>
      <c r="G415" s="88"/>
      <c r="H415" s="88"/>
      <c r="I415" s="89"/>
      <c r="J415" s="164"/>
      <c r="K415" s="88"/>
    </row>
    <row r="416" ht="15.75" customHeight="1">
      <c r="A416" s="74"/>
      <c r="B416" s="2"/>
      <c r="C416" s="88"/>
      <c r="D416" s="88"/>
      <c r="E416" s="88"/>
      <c r="F416" s="88"/>
      <c r="G416" s="88"/>
      <c r="H416" s="88"/>
      <c r="I416" s="89"/>
      <c r="J416" s="164"/>
      <c r="K416" s="88"/>
    </row>
    <row r="417" ht="15.75" customHeight="1">
      <c r="A417" s="74"/>
      <c r="B417" s="2"/>
      <c r="C417" s="88"/>
      <c r="D417" s="88"/>
      <c r="E417" s="88"/>
      <c r="F417" s="88"/>
      <c r="G417" s="88"/>
      <c r="H417" s="88"/>
      <c r="I417" s="89"/>
      <c r="J417" s="164"/>
      <c r="K417" s="88"/>
    </row>
    <row r="418" ht="15.75" customHeight="1">
      <c r="A418" s="74"/>
      <c r="B418" s="2"/>
      <c r="C418" s="88"/>
      <c r="D418" s="88"/>
      <c r="E418" s="88"/>
      <c r="F418" s="88"/>
      <c r="G418" s="88"/>
      <c r="H418" s="88"/>
      <c r="I418" s="89"/>
      <c r="J418" s="164"/>
      <c r="K418" s="88"/>
    </row>
    <row r="419" ht="15.75" customHeight="1">
      <c r="A419" s="74"/>
      <c r="B419" s="2"/>
      <c r="C419" s="88"/>
      <c r="D419" s="88"/>
      <c r="E419" s="88"/>
      <c r="F419" s="88"/>
      <c r="G419" s="88"/>
      <c r="H419" s="88"/>
      <c r="I419" s="89"/>
      <c r="J419" s="164"/>
      <c r="K419" s="88"/>
    </row>
    <row r="420" ht="15.75" customHeight="1">
      <c r="A420" s="74"/>
      <c r="B420" s="2"/>
      <c r="C420" s="88"/>
      <c r="D420" s="88"/>
      <c r="E420" s="88"/>
      <c r="F420" s="88"/>
      <c r="G420" s="88"/>
      <c r="H420" s="88"/>
      <c r="I420" s="89"/>
      <c r="J420" s="164"/>
      <c r="K420" s="88"/>
    </row>
    <row r="421" ht="15.75" customHeight="1">
      <c r="A421" s="74"/>
      <c r="B421" s="2"/>
      <c r="C421" s="88"/>
      <c r="D421" s="88"/>
      <c r="E421" s="88"/>
      <c r="F421" s="88"/>
      <c r="G421" s="88"/>
      <c r="H421" s="88"/>
      <c r="I421" s="89"/>
      <c r="J421" s="164"/>
      <c r="K421" s="88"/>
    </row>
    <row r="422" ht="15.75" customHeight="1">
      <c r="A422" s="74"/>
      <c r="B422" s="2"/>
      <c r="C422" s="88"/>
      <c r="D422" s="88"/>
      <c r="E422" s="88"/>
      <c r="F422" s="88"/>
      <c r="G422" s="88"/>
      <c r="H422" s="88"/>
      <c r="I422" s="89"/>
      <c r="J422" s="164"/>
      <c r="K422" s="88"/>
    </row>
    <row r="423" ht="15.75" customHeight="1">
      <c r="A423" s="74"/>
      <c r="B423" s="2"/>
      <c r="C423" s="88"/>
      <c r="D423" s="88"/>
      <c r="E423" s="88"/>
      <c r="F423" s="88"/>
      <c r="G423" s="88"/>
      <c r="H423" s="88"/>
      <c r="I423" s="89"/>
      <c r="J423" s="164"/>
      <c r="K423" s="88"/>
    </row>
    <row r="424" ht="15.75" customHeight="1">
      <c r="A424" s="74"/>
      <c r="B424" s="2"/>
      <c r="C424" s="88"/>
      <c r="D424" s="88"/>
      <c r="E424" s="88"/>
      <c r="F424" s="88"/>
      <c r="G424" s="88"/>
      <c r="H424" s="88"/>
      <c r="I424" s="89"/>
      <c r="J424" s="164"/>
      <c r="K424" s="88"/>
    </row>
    <row r="425" ht="15.75" customHeight="1">
      <c r="A425" s="74"/>
      <c r="B425" s="2"/>
      <c r="C425" s="88"/>
      <c r="D425" s="88"/>
      <c r="E425" s="88"/>
      <c r="F425" s="88"/>
      <c r="G425" s="88"/>
      <c r="H425" s="88"/>
      <c r="I425" s="89"/>
      <c r="J425" s="164"/>
      <c r="K425" s="88"/>
    </row>
    <row r="426" ht="15.75" customHeight="1">
      <c r="A426" s="74"/>
      <c r="B426" s="2"/>
      <c r="C426" s="88"/>
      <c r="D426" s="88"/>
      <c r="E426" s="88"/>
      <c r="F426" s="88"/>
      <c r="G426" s="88"/>
      <c r="H426" s="88"/>
      <c r="I426" s="89"/>
      <c r="J426" s="164"/>
      <c r="K426" s="88"/>
    </row>
    <row r="427" ht="15.75" customHeight="1">
      <c r="A427" s="74"/>
      <c r="B427" s="2"/>
      <c r="C427" s="88"/>
      <c r="D427" s="88"/>
      <c r="E427" s="88"/>
      <c r="F427" s="88"/>
      <c r="G427" s="88"/>
      <c r="H427" s="88"/>
      <c r="I427" s="89"/>
      <c r="J427" s="164"/>
      <c r="K427" s="88"/>
    </row>
    <row r="428" ht="15.75" customHeight="1">
      <c r="A428" s="74"/>
      <c r="B428" s="2"/>
      <c r="C428" s="88"/>
      <c r="D428" s="88"/>
      <c r="E428" s="88"/>
      <c r="F428" s="88"/>
      <c r="G428" s="88"/>
      <c r="H428" s="88"/>
      <c r="I428" s="89"/>
      <c r="J428" s="164"/>
      <c r="K428" s="88"/>
    </row>
    <row r="429" ht="15.75" customHeight="1">
      <c r="A429" s="74"/>
      <c r="B429" s="2"/>
      <c r="C429" s="88"/>
      <c r="D429" s="88"/>
      <c r="E429" s="88"/>
      <c r="F429" s="88"/>
      <c r="G429" s="88"/>
      <c r="H429" s="88"/>
      <c r="I429" s="89"/>
      <c r="J429" s="164"/>
      <c r="K429" s="88"/>
    </row>
    <row r="430" ht="15.75" customHeight="1">
      <c r="A430" s="74"/>
      <c r="B430" s="2"/>
      <c r="C430" s="88"/>
      <c r="D430" s="88"/>
      <c r="E430" s="88"/>
      <c r="F430" s="88"/>
      <c r="G430" s="88"/>
      <c r="H430" s="88"/>
      <c r="I430" s="89"/>
      <c r="J430" s="164"/>
      <c r="K430" s="88"/>
    </row>
    <row r="431" ht="15.75" customHeight="1">
      <c r="A431" s="74"/>
      <c r="B431" s="2"/>
      <c r="C431" s="88"/>
      <c r="D431" s="88"/>
      <c r="E431" s="88"/>
      <c r="F431" s="88"/>
      <c r="G431" s="88"/>
      <c r="H431" s="88"/>
      <c r="I431" s="89"/>
      <c r="J431" s="164"/>
      <c r="K431" s="88"/>
    </row>
    <row r="432" ht="15.75" customHeight="1">
      <c r="A432" s="74"/>
      <c r="B432" s="2"/>
      <c r="C432" s="88"/>
      <c r="D432" s="88"/>
      <c r="E432" s="88"/>
      <c r="F432" s="88"/>
      <c r="G432" s="88"/>
      <c r="H432" s="88"/>
      <c r="I432" s="89"/>
      <c r="J432" s="164"/>
      <c r="K432" s="88"/>
    </row>
    <row r="433" ht="15.75" customHeight="1">
      <c r="A433" s="74"/>
      <c r="B433" s="2"/>
      <c r="C433" s="88"/>
      <c r="D433" s="88"/>
      <c r="E433" s="88"/>
      <c r="F433" s="88"/>
      <c r="G433" s="88"/>
      <c r="H433" s="88"/>
      <c r="I433" s="89"/>
      <c r="J433" s="164"/>
      <c r="K433" s="88"/>
    </row>
    <row r="434" ht="15.75" customHeight="1">
      <c r="A434" s="74"/>
      <c r="B434" s="2"/>
      <c r="C434" s="88"/>
      <c r="D434" s="88"/>
      <c r="E434" s="88"/>
      <c r="F434" s="88"/>
      <c r="G434" s="88"/>
      <c r="H434" s="88"/>
      <c r="I434" s="89"/>
      <c r="J434" s="164"/>
      <c r="K434" s="88"/>
    </row>
    <row r="435" ht="15.75" customHeight="1">
      <c r="A435" s="74"/>
      <c r="B435" s="2"/>
      <c r="C435" s="88"/>
      <c r="D435" s="88"/>
      <c r="E435" s="88"/>
      <c r="F435" s="88"/>
      <c r="G435" s="88"/>
      <c r="H435" s="88"/>
      <c r="I435" s="89"/>
      <c r="J435" s="164"/>
      <c r="K435" s="88"/>
    </row>
    <row r="436" ht="15.75" customHeight="1">
      <c r="A436" s="74"/>
      <c r="B436" s="2"/>
      <c r="C436" s="88"/>
      <c r="D436" s="88"/>
      <c r="E436" s="88"/>
      <c r="F436" s="88"/>
      <c r="G436" s="88"/>
      <c r="H436" s="88"/>
      <c r="I436" s="89"/>
      <c r="J436" s="164"/>
      <c r="K436" s="88"/>
    </row>
    <row r="437" ht="15.75" customHeight="1">
      <c r="A437" s="74"/>
      <c r="B437" s="2"/>
      <c r="C437" s="88"/>
      <c r="D437" s="88"/>
      <c r="E437" s="88"/>
      <c r="F437" s="88"/>
      <c r="G437" s="88"/>
      <c r="H437" s="88"/>
      <c r="I437" s="89"/>
      <c r="J437" s="164"/>
      <c r="K437" s="88"/>
    </row>
    <row r="438" ht="15.75" customHeight="1">
      <c r="A438" s="74"/>
      <c r="B438" s="2"/>
      <c r="C438" s="88"/>
      <c r="D438" s="88"/>
      <c r="E438" s="88"/>
      <c r="F438" s="88"/>
      <c r="G438" s="88"/>
      <c r="H438" s="88"/>
      <c r="I438" s="89"/>
      <c r="J438" s="164"/>
      <c r="K438" s="88"/>
    </row>
    <row r="439" ht="15.75" customHeight="1">
      <c r="A439" s="74"/>
      <c r="B439" s="2"/>
      <c r="C439" s="88"/>
      <c r="D439" s="88"/>
      <c r="E439" s="88"/>
      <c r="F439" s="88"/>
      <c r="G439" s="88"/>
      <c r="H439" s="88"/>
      <c r="I439" s="89"/>
      <c r="J439" s="164"/>
      <c r="K439" s="88"/>
    </row>
    <row r="440" ht="15.75" customHeight="1">
      <c r="A440" s="74"/>
      <c r="B440" s="2"/>
      <c r="C440" s="88"/>
      <c r="D440" s="88"/>
      <c r="E440" s="88"/>
      <c r="F440" s="88"/>
      <c r="G440" s="88"/>
      <c r="H440" s="88"/>
      <c r="I440" s="89"/>
      <c r="J440" s="164"/>
      <c r="K440" s="88"/>
    </row>
    <row r="441" ht="15.75" customHeight="1">
      <c r="A441" s="74"/>
      <c r="B441" s="2"/>
      <c r="C441" s="88"/>
      <c r="D441" s="88"/>
      <c r="E441" s="88"/>
      <c r="F441" s="88"/>
      <c r="G441" s="88"/>
      <c r="H441" s="88"/>
      <c r="I441" s="89"/>
      <c r="J441" s="164"/>
      <c r="K441" s="88"/>
    </row>
    <row r="442" ht="15.75" customHeight="1">
      <c r="A442" s="74"/>
      <c r="B442" s="2"/>
      <c r="C442" s="88"/>
      <c r="D442" s="88"/>
      <c r="E442" s="88"/>
      <c r="F442" s="88"/>
      <c r="G442" s="88"/>
      <c r="H442" s="88"/>
      <c r="I442" s="89"/>
      <c r="J442" s="164"/>
      <c r="K442" s="88"/>
    </row>
    <row r="443" ht="15.75" customHeight="1">
      <c r="A443" s="74"/>
      <c r="B443" s="2"/>
      <c r="C443" s="88"/>
      <c r="D443" s="88"/>
      <c r="E443" s="88"/>
      <c r="F443" s="88"/>
      <c r="G443" s="88"/>
      <c r="H443" s="88"/>
      <c r="I443" s="89"/>
      <c r="J443" s="164"/>
      <c r="K443" s="88"/>
    </row>
    <row r="444" ht="15.75" customHeight="1">
      <c r="A444" s="74"/>
      <c r="B444" s="2"/>
      <c r="C444" s="88"/>
      <c r="D444" s="88"/>
      <c r="E444" s="88"/>
      <c r="F444" s="88"/>
      <c r="G444" s="88"/>
      <c r="H444" s="88"/>
      <c r="I444" s="89"/>
      <c r="J444" s="164"/>
      <c r="K444" s="88"/>
    </row>
    <row r="445" ht="15.75" customHeight="1">
      <c r="A445" s="74"/>
      <c r="B445" s="2"/>
      <c r="C445" s="88"/>
      <c r="D445" s="88"/>
      <c r="E445" s="88"/>
      <c r="F445" s="88"/>
      <c r="G445" s="88"/>
      <c r="H445" s="88"/>
      <c r="I445" s="89"/>
      <c r="J445" s="164"/>
      <c r="K445" s="88"/>
    </row>
    <row r="446" ht="15.75" customHeight="1">
      <c r="A446" s="74"/>
      <c r="B446" s="2"/>
      <c r="C446" s="88"/>
      <c r="D446" s="88"/>
      <c r="E446" s="88"/>
      <c r="F446" s="88"/>
      <c r="G446" s="88"/>
      <c r="H446" s="88"/>
      <c r="I446" s="89"/>
      <c r="J446" s="164"/>
      <c r="K446" s="88"/>
    </row>
    <row r="447" ht="15.75" customHeight="1">
      <c r="A447" s="74"/>
      <c r="B447" s="2"/>
      <c r="C447" s="88"/>
      <c r="D447" s="88"/>
      <c r="E447" s="88"/>
      <c r="F447" s="88"/>
      <c r="G447" s="88"/>
      <c r="H447" s="88"/>
      <c r="I447" s="89"/>
      <c r="J447" s="164"/>
      <c r="K447" s="88"/>
    </row>
    <row r="448" ht="15.75" customHeight="1">
      <c r="A448" s="74"/>
      <c r="B448" s="2"/>
      <c r="C448" s="88"/>
      <c r="D448" s="88"/>
      <c r="E448" s="88"/>
      <c r="F448" s="88"/>
      <c r="G448" s="88"/>
      <c r="H448" s="88"/>
      <c r="I448" s="89"/>
      <c r="J448" s="164"/>
      <c r="K448" s="88"/>
    </row>
    <row r="449" ht="15.75" customHeight="1">
      <c r="A449" s="74"/>
      <c r="B449" s="2"/>
      <c r="C449" s="88"/>
      <c r="D449" s="88"/>
      <c r="E449" s="88"/>
      <c r="F449" s="88"/>
      <c r="G449" s="88"/>
      <c r="H449" s="88"/>
      <c r="I449" s="89"/>
      <c r="J449" s="164"/>
      <c r="K449" s="88"/>
    </row>
    <row r="450" ht="15.75" customHeight="1">
      <c r="A450" s="74"/>
      <c r="B450" s="2"/>
      <c r="C450" s="88"/>
      <c r="D450" s="88"/>
      <c r="E450" s="88"/>
      <c r="F450" s="88"/>
      <c r="G450" s="88"/>
      <c r="H450" s="88"/>
      <c r="I450" s="89"/>
      <c r="J450" s="164"/>
      <c r="K450" s="88"/>
    </row>
    <row r="451" ht="15.75" customHeight="1">
      <c r="A451" s="74"/>
      <c r="B451" s="2"/>
      <c r="C451" s="88"/>
      <c r="D451" s="88"/>
      <c r="E451" s="88"/>
      <c r="F451" s="88"/>
      <c r="G451" s="88"/>
      <c r="H451" s="88"/>
      <c r="I451" s="89"/>
      <c r="J451" s="164"/>
      <c r="K451" s="88"/>
    </row>
    <row r="452" ht="15.75" customHeight="1">
      <c r="A452" s="74"/>
      <c r="B452" s="2"/>
      <c r="C452" s="88"/>
      <c r="D452" s="88"/>
      <c r="E452" s="88"/>
      <c r="F452" s="88"/>
      <c r="G452" s="88"/>
      <c r="H452" s="88"/>
      <c r="I452" s="89"/>
      <c r="J452" s="164"/>
      <c r="K452" s="88"/>
    </row>
    <row r="453" ht="15.75" customHeight="1">
      <c r="A453" s="74"/>
      <c r="B453" s="2"/>
      <c r="C453" s="88"/>
      <c r="D453" s="88"/>
      <c r="E453" s="88"/>
      <c r="F453" s="88"/>
      <c r="G453" s="88"/>
      <c r="H453" s="88"/>
      <c r="I453" s="89"/>
      <c r="J453" s="164"/>
      <c r="K453" s="88"/>
    </row>
    <row r="454" ht="15.75" customHeight="1">
      <c r="A454" s="74"/>
      <c r="B454" s="2"/>
      <c r="C454" s="88"/>
      <c r="D454" s="88"/>
      <c r="E454" s="88"/>
      <c r="F454" s="88"/>
      <c r="G454" s="88"/>
      <c r="H454" s="88"/>
      <c r="I454" s="89"/>
      <c r="J454" s="164"/>
      <c r="K454" s="88"/>
    </row>
    <row r="455" ht="15.75" customHeight="1">
      <c r="A455" s="74"/>
      <c r="B455" s="2"/>
      <c r="C455" s="88"/>
      <c r="D455" s="88"/>
      <c r="E455" s="88"/>
      <c r="F455" s="88"/>
      <c r="G455" s="88"/>
      <c r="H455" s="88"/>
      <c r="I455" s="89"/>
      <c r="J455" s="164"/>
      <c r="K455" s="88"/>
    </row>
    <row r="456" ht="15.75" customHeight="1">
      <c r="A456" s="74"/>
      <c r="B456" s="2"/>
      <c r="C456" s="88"/>
      <c r="D456" s="88"/>
      <c r="E456" s="88"/>
      <c r="F456" s="88"/>
      <c r="G456" s="88"/>
      <c r="H456" s="88"/>
      <c r="I456" s="89"/>
      <c r="J456" s="164"/>
      <c r="K456" s="88"/>
    </row>
    <row r="457" ht="15.75" customHeight="1">
      <c r="A457" s="74"/>
      <c r="B457" s="2"/>
      <c r="C457" s="88"/>
      <c r="D457" s="88"/>
      <c r="E457" s="88"/>
      <c r="F457" s="88"/>
      <c r="G457" s="88"/>
      <c r="H457" s="88"/>
      <c r="I457" s="89"/>
      <c r="J457" s="164"/>
      <c r="K457" s="88"/>
    </row>
    <row r="458" ht="15.75" customHeight="1">
      <c r="A458" s="74"/>
      <c r="B458" s="2"/>
      <c r="C458" s="88"/>
      <c r="D458" s="88"/>
      <c r="E458" s="88"/>
      <c r="F458" s="88"/>
      <c r="G458" s="88"/>
      <c r="H458" s="88"/>
      <c r="I458" s="89"/>
      <c r="J458" s="164"/>
      <c r="K458" s="88"/>
    </row>
    <row r="459" ht="15.75" customHeight="1">
      <c r="A459" s="74"/>
      <c r="B459" s="2"/>
      <c r="C459" s="88"/>
      <c r="D459" s="88"/>
      <c r="E459" s="88"/>
      <c r="F459" s="88"/>
      <c r="G459" s="88"/>
      <c r="H459" s="88"/>
      <c r="I459" s="89"/>
      <c r="J459" s="164"/>
      <c r="K459" s="88"/>
    </row>
    <row r="460" ht="15.75" customHeight="1">
      <c r="A460" s="74"/>
      <c r="B460" s="2"/>
      <c r="C460" s="88"/>
      <c r="D460" s="88"/>
      <c r="E460" s="88"/>
      <c r="F460" s="88"/>
      <c r="G460" s="88"/>
      <c r="H460" s="88"/>
      <c r="I460" s="89"/>
      <c r="J460" s="164"/>
      <c r="K460" s="88"/>
    </row>
    <row r="461" ht="15.75" customHeight="1">
      <c r="A461" s="74"/>
      <c r="B461" s="2"/>
      <c r="C461" s="88"/>
      <c r="D461" s="88"/>
      <c r="E461" s="88"/>
      <c r="F461" s="88"/>
      <c r="G461" s="88"/>
      <c r="H461" s="88"/>
      <c r="I461" s="89"/>
      <c r="J461" s="164"/>
      <c r="K461" s="88"/>
    </row>
    <row r="462" ht="15.75" customHeight="1">
      <c r="A462" s="74"/>
      <c r="B462" s="2"/>
      <c r="C462" s="88"/>
      <c r="D462" s="88"/>
      <c r="E462" s="88"/>
      <c r="F462" s="88"/>
      <c r="G462" s="88"/>
      <c r="H462" s="88"/>
      <c r="I462" s="89"/>
      <c r="J462" s="164"/>
      <c r="K462" s="88"/>
    </row>
    <row r="463" ht="15.75" customHeight="1">
      <c r="A463" s="74"/>
      <c r="B463" s="2"/>
      <c r="C463" s="88"/>
      <c r="D463" s="88"/>
      <c r="E463" s="88"/>
      <c r="F463" s="88"/>
      <c r="G463" s="88"/>
      <c r="H463" s="88"/>
      <c r="I463" s="89"/>
      <c r="J463" s="164"/>
      <c r="K463" s="88"/>
    </row>
    <row r="464" ht="15.75" customHeight="1">
      <c r="A464" s="74"/>
      <c r="B464" s="2"/>
      <c r="C464" s="88"/>
      <c r="D464" s="88"/>
      <c r="E464" s="88"/>
      <c r="F464" s="88"/>
      <c r="G464" s="88"/>
      <c r="H464" s="88"/>
      <c r="I464" s="89"/>
      <c r="J464" s="164"/>
      <c r="K464" s="88"/>
    </row>
    <row r="465" ht="15.75" customHeight="1">
      <c r="A465" s="74"/>
      <c r="B465" s="2"/>
      <c r="C465" s="88"/>
      <c r="D465" s="88"/>
      <c r="E465" s="88"/>
      <c r="F465" s="88"/>
      <c r="G465" s="88"/>
      <c r="H465" s="88"/>
      <c r="I465" s="89"/>
      <c r="J465" s="164"/>
      <c r="K465" s="88"/>
    </row>
    <row r="466" ht="15.75" customHeight="1">
      <c r="A466" s="74"/>
      <c r="B466" s="2"/>
      <c r="C466" s="88"/>
      <c r="D466" s="88"/>
      <c r="E466" s="88"/>
      <c r="F466" s="88"/>
      <c r="G466" s="88"/>
      <c r="H466" s="88"/>
      <c r="I466" s="89"/>
      <c r="J466" s="164"/>
      <c r="K466" s="88"/>
    </row>
    <row r="467" ht="15.75" customHeight="1">
      <c r="A467" s="74"/>
      <c r="B467" s="2"/>
      <c r="C467" s="88"/>
      <c r="D467" s="88"/>
      <c r="E467" s="88"/>
      <c r="F467" s="88"/>
      <c r="G467" s="88"/>
      <c r="H467" s="88"/>
      <c r="I467" s="89"/>
      <c r="J467" s="164"/>
      <c r="K467" s="88"/>
    </row>
    <row r="468" ht="15.75" customHeight="1">
      <c r="A468" s="74"/>
      <c r="B468" s="2"/>
      <c r="C468" s="88"/>
      <c r="D468" s="88"/>
      <c r="E468" s="88"/>
      <c r="F468" s="88"/>
      <c r="G468" s="88"/>
      <c r="H468" s="88"/>
      <c r="I468" s="89"/>
      <c r="J468" s="164"/>
      <c r="K468" s="88"/>
    </row>
    <row r="469" ht="15.75" customHeight="1">
      <c r="A469" s="74"/>
      <c r="B469" s="2"/>
      <c r="C469" s="88"/>
      <c r="D469" s="88"/>
      <c r="E469" s="88"/>
      <c r="F469" s="88"/>
      <c r="G469" s="88"/>
      <c r="H469" s="88"/>
      <c r="I469" s="89"/>
      <c r="J469" s="164"/>
      <c r="K469" s="88"/>
    </row>
    <row r="470" ht="15.75" customHeight="1">
      <c r="A470" s="74"/>
      <c r="B470" s="2"/>
      <c r="C470" s="88"/>
      <c r="D470" s="88"/>
      <c r="E470" s="88"/>
      <c r="F470" s="88"/>
      <c r="G470" s="88"/>
      <c r="H470" s="88"/>
      <c r="I470" s="89"/>
      <c r="J470" s="164"/>
      <c r="K470" s="88"/>
    </row>
    <row r="471" ht="15.75" customHeight="1">
      <c r="A471" s="74"/>
      <c r="B471" s="2"/>
      <c r="C471" s="88"/>
      <c r="D471" s="88"/>
      <c r="E471" s="88"/>
      <c r="F471" s="88"/>
      <c r="G471" s="88"/>
      <c r="H471" s="88"/>
      <c r="I471" s="89"/>
      <c r="J471" s="164"/>
      <c r="K471" s="88"/>
    </row>
    <row r="472" ht="15.75" customHeight="1">
      <c r="A472" s="74"/>
      <c r="B472" s="2"/>
      <c r="C472" s="88"/>
      <c r="D472" s="88"/>
      <c r="E472" s="88"/>
      <c r="F472" s="88"/>
      <c r="G472" s="88"/>
      <c r="H472" s="88"/>
      <c r="I472" s="89"/>
      <c r="J472" s="164"/>
      <c r="K472" s="88"/>
    </row>
    <row r="473" ht="15.75" customHeight="1">
      <c r="A473" s="74"/>
      <c r="B473" s="2"/>
      <c r="C473" s="88"/>
      <c r="D473" s="88"/>
      <c r="E473" s="88"/>
      <c r="F473" s="88"/>
      <c r="G473" s="88"/>
      <c r="H473" s="88"/>
      <c r="I473" s="89"/>
      <c r="J473" s="164"/>
      <c r="K473" s="88"/>
    </row>
    <row r="474" ht="15.75" customHeight="1">
      <c r="A474" s="74"/>
      <c r="B474" s="2"/>
      <c r="C474" s="88"/>
      <c r="D474" s="88"/>
      <c r="E474" s="88"/>
      <c r="F474" s="88"/>
      <c r="G474" s="88"/>
      <c r="H474" s="88"/>
      <c r="I474" s="89"/>
      <c r="J474" s="164"/>
      <c r="K474" s="88"/>
    </row>
    <row r="475" ht="15.75" customHeight="1">
      <c r="A475" s="74"/>
      <c r="B475" s="2"/>
      <c r="C475" s="88"/>
      <c r="D475" s="88"/>
      <c r="E475" s="88"/>
      <c r="F475" s="88"/>
      <c r="G475" s="88"/>
      <c r="H475" s="88"/>
      <c r="I475" s="89"/>
      <c r="J475" s="164"/>
      <c r="K475" s="88"/>
    </row>
    <row r="476" ht="15.75" customHeight="1">
      <c r="A476" s="74"/>
      <c r="B476" s="2"/>
      <c r="C476" s="88"/>
      <c r="D476" s="88"/>
      <c r="E476" s="88"/>
      <c r="F476" s="88"/>
      <c r="G476" s="88"/>
      <c r="H476" s="88"/>
      <c r="I476" s="89"/>
      <c r="J476" s="164"/>
      <c r="K476" s="88"/>
    </row>
    <row r="477" ht="15.75" customHeight="1">
      <c r="A477" s="74"/>
      <c r="B477" s="2"/>
      <c r="C477" s="88"/>
      <c r="D477" s="88"/>
      <c r="E477" s="88"/>
      <c r="F477" s="88"/>
      <c r="G477" s="88"/>
      <c r="H477" s="88"/>
      <c r="I477" s="89"/>
      <c r="J477" s="164"/>
      <c r="K477" s="88"/>
    </row>
    <row r="478" ht="15.75" customHeight="1">
      <c r="A478" s="74"/>
      <c r="B478" s="2"/>
      <c r="C478" s="88"/>
      <c r="D478" s="88"/>
      <c r="E478" s="88"/>
      <c r="F478" s="88"/>
      <c r="G478" s="88"/>
      <c r="H478" s="88"/>
      <c r="I478" s="89"/>
      <c r="J478" s="164"/>
      <c r="K478" s="88"/>
    </row>
    <row r="479" ht="15.75" customHeight="1">
      <c r="A479" s="74"/>
      <c r="B479" s="2"/>
      <c r="C479" s="88"/>
      <c r="D479" s="88"/>
      <c r="E479" s="88"/>
      <c r="F479" s="88"/>
      <c r="G479" s="88"/>
      <c r="H479" s="88"/>
      <c r="I479" s="89"/>
      <c r="J479" s="164"/>
      <c r="K479" s="88"/>
    </row>
    <row r="480" ht="15.75" customHeight="1">
      <c r="A480" s="74"/>
      <c r="B480" s="2"/>
      <c r="C480" s="88"/>
      <c r="D480" s="88"/>
      <c r="E480" s="88"/>
      <c r="F480" s="88"/>
      <c r="G480" s="88"/>
      <c r="H480" s="88"/>
      <c r="I480" s="89"/>
      <c r="J480" s="164"/>
      <c r="K480" s="88"/>
    </row>
    <row r="481" ht="15.75" customHeight="1">
      <c r="A481" s="74"/>
      <c r="B481" s="2"/>
      <c r="C481" s="88"/>
      <c r="D481" s="88"/>
      <c r="E481" s="88"/>
      <c r="F481" s="88"/>
      <c r="G481" s="88"/>
      <c r="H481" s="88"/>
      <c r="I481" s="89"/>
      <c r="J481" s="164"/>
      <c r="K481" s="88"/>
    </row>
    <row r="482" ht="15.75" customHeight="1">
      <c r="A482" s="74"/>
      <c r="B482" s="2"/>
      <c r="C482" s="88"/>
      <c r="D482" s="88"/>
      <c r="E482" s="88"/>
      <c r="F482" s="88"/>
      <c r="G482" s="88"/>
      <c r="H482" s="88"/>
      <c r="I482" s="89"/>
      <c r="J482" s="164"/>
      <c r="K482" s="88"/>
    </row>
    <row r="483" ht="15.75" customHeight="1">
      <c r="A483" s="74"/>
      <c r="B483" s="2"/>
      <c r="C483" s="88"/>
      <c r="D483" s="88"/>
      <c r="E483" s="88"/>
      <c r="F483" s="88"/>
      <c r="G483" s="88"/>
      <c r="H483" s="88"/>
      <c r="I483" s="89"/>
      <c r="J483" s="164"/>
      <c r="K483" s="88"/>
    </row>
    <row r="484" ht="15.75" customHeight="1">
      <c r="A484" s="74"/>
      <c r="B484" s="2"/>
      <c r="C484" s="88"/>
      <c r="D484" s="88"/>
      <c r="E484" s="88"/>
      <c r="F484" s="88"/>
      <c r="G484" s="88"/>
      <c r="H484" s="88"/>
      <c r="I484" s="89"/>
      <c r="J484" s="164"/>
      <c r="K484" s="88"/>
    </row>
    <row r="485" ht="15.75" customHeight="1">
      <c r="A485" s="74"/>
      <c r="B485" s="2"/>
      <c r="C485" s="88"/>
      <c r="D485" s="88"/>
      <c r="E485" s="88"/>
      <c r="F485" s="88"/>
      <c r="G485" s="88"/>
      <c r="H485" s="88"/>
      <c r="I485" s="89"/>
      <c r="J485" s="164"/>
      <c r="K485" s="88"/>
    </row>
    <row r="486" ht="15.75" customHeight="1">
      <c r="A486" s="74"/>
      <c r="B486" s="2"/>
      <c r="C486" s="88"/>
      <c r="D486" s="88"/>
      <c r="E486" s="88"/>
      <c r="F486" s="88"/>
      <c r="G486" s="88"/>
      <c r="H486" s="88"/>
      <c r="I486" s="89"/>
      <c r="J486" s="164"/>
      <c r="K486" s="88"/>
    </row>
    <row r="487" ht="15.75" customHeight="1">
      <c r="A487" s="74"/>
      <c r="B487" s="2"/>
      <c r="C487" s="88"/>
      <c r="D487" s="88"/>
      <c r="E487" s="88"/>
      <c r="F487" s="88"/>
      <c r="G487" s="88"/>
      <c r="H487" s="88"/>
      <c r="I487" s="89"/>
      <c r="J487" s="164"/>
      <c r="K487" s="88"/>
    </row>
    <row r="488" ht="15.75" customHeight="1">
      <c r="A488" s="74"/>
      <c r="B488" s="2"/>
      <c r="C488" s="88"/>
      <c r="D488" s="88"/>
      <c r="E488" s="88"/>
      <c r="F488" s="88"/>
      <c r="G488" s="88"/>
      <c r="H488" s="88"/>
      <c r="I488" s="89"/>
      <c r="J488" s="164"/>
      <c r="K488" s="88"/>
    </row>
    <row r="489" ht="15.75" customHeight="1">
      <c r="A489" s="74"/>
      <c r="B489" s="2"/>
      <c r="C489" s="88"/>
      <c r="D489" s="88"/>
      <c r="E489" s="88"/>
      <c r="F489" s="88"/>
      <c r="G489" s="88"/>
      <c r="H489" s="88"/>
      <c r="I489" s="89"/>
      <c r="J489" s="164"/>
      <c r="K489" s="88"/>
    </row>
    <row r="490" ht="15.75" customHeight="1">
      <c r="A490" s="74"/>
      <c r="B490" s="2"/>
      <c r="C490" s="88"/>
      <c r="D490" s="88"/>
      <c r="E490" s="88"/>
      <c r="F490" s="88"/>
      <c r="G490" s="88"/>
      <c r="H490" s="88"/>
      <c r="I490" s="89"/>
      <c r="J490" s="164"/>
      <c r="K490" s="88"/>
    </row>
    <row r="491" ht="15.75" customHeight="1">
      <c r="A491" s="74"/>
      <c r="B491" s="2"/>
      <c r="C491" s="88"/>
      <c r="D491" s="88"/>
      <c r="E491" s="88"/>
      <c r="F491" s="88"/>
      <c r="G491" s="88"/>
      <c r="H491" s="88"/>
      <c r="I491" s="89"/>
      <c r="J491" s="164"/>
      <c r="K491" s="88"/>
    </row>
    <row r="492" ht="15.75" customHeight="1">
      <c r="A492" s="74"/>
      <c r="B492" s="2"/>
      <c r="C492" s="88"/>
      <c r="D492" s="88"/>
      <c r="E492" s="88"/>
      <c r="F492" s="88"/>
      <c r="G492" s="88"/>
      <c r="H492" s="88"/>
      <c r="I492" s="89"/>
      <c r="J492" s="164"/>
      <c r="K492" s="88"/>
    </row>
    <row r="493" ht="15.75" customHeight="1">
      <c r="A493" s="74"/>
      <c r="B493" s="2"/>
      <c r="C493" s="88"/>
      <c r="D493" s="88"/>
      <c r="E493" s="88"/>
      <c r="F493" s="88"/>
      <c r="G493" s="88"/>
      <c r="H493" s="88"/>
      <c r="I493" s="89"/>
      <c r="J493" s="164"/>
      <c r="K493" s="88"/>
    </row>
    <row r="494" ht="15.75" customHeight="1">
      <c r="A494" s="74"/>
      <c r="B494" s="2"/>
      <c r="C494" s="88"/>
      <c r="D494" s="88"/>
      <c r="E494" s="88"/>
      <c r="F494" s="88"/>
      <c r="G494" s="88"/>
      <c r="H494" s="88"/>
      <c r="I494" s="89"/>
      <c r="J494" s="164"/>
      <c r="K494" s="88"/>
    </row>
    <row r="495" ht="15.75" customHeight="1">
      <c r="A495" s="74"/>
      <c r="B495" s="2"/>
      <c r="C495" s="88"/>
      <c r="D495" s="88"/>
      <c r="E495" s="88"/>
      <c r="F495" s="88"/>
      <c r="G495" s="88"/>
      <c r="H495" s="88"/>
      <c r="I495" s="89"/>
      <c r="J495" s="164"/>
      <c r="K495" s="88"/>
    </row>
    <row r="496" ht="15.75" customHeight="1">
      <c r="A496" s="74"/>
      <c r="B496" s="2"/>
      <c r="C496" s="88"/>
      <c r="D496" s="88"/>
      <c r="E496" s="88"/>
      <c r="F496" s="88"/>
      <c r="G496" s="88"/>
      <c r="H496" s="88"/>
      <c r="I496" s="89"/>
      <c r="J496" s="164"/>
      <c r="K496" s="88"/>
    </row>
    <row r="497" ht="15.75" customHeight="1">
      <c r="A497" s="74"/>
      <c r="B497" s="2"/>
      <c r="C497" s="88"/>
      <c r="D497" s="88"/>
      <c r="E497" s="88"/>
      <c r="F497" s="88"/>
      <c r="G497" s="88"/>
      <c r="H497" s="88"/>
      <c r="I497" s="89"/>
      <c r="J497" s="164"/>
      <c r="K497" s="88"/>
    </row>
    <row r="498" ht="15.75" customHeight="1">
      <c r="A498" s="74"/>
      <c r="B498" s="2"/>
      <c r="C498" s="88"/>
      <c r="D498" s="88"/>
      <c r="E498" s="88"/>
      <c r="F498" s="88"/>
      <c r="G498" s="88"/>
      <c r="H498" s="88"/>
      <c r="I498" s="89"/>
      <c r="J498" s="164"/>
      <c r="K498" s="88"/>
    </row>
    <row r="499" ht="15.75" customHeight="1">
      <c r="A499" s="74"/>
      <c r="B499" s="2"/>
      <c r="C499" s="88"/>
      <c r="D499" s="88"/>
      <c r="E499" s="88"/>
      <c r="F499" s="88"/>
      <c r="G499" s="88"/>
      <c r="H499" s="88"/>
      <c r="I499" s="89"/>
      <c r="J499" s="164"/>
      <c r="K499" s="88"/>
    </row>
    <row r="500" ht="15.75" customHeight="1">
      <c r="A500" s="74"/>
      <c r="B500" s="2"/>
      <c r="C500" s="88"/>
      <c r="D500" s="88"/>
      <c r="E500" s="88"/>
      <c r="F500" s="88"/>
      <c r="G500" s="88"/>
      <c r="H500" s="88"/>
      <c r="I500" s="89"/>
      <c r="J500" s="164"/>
      <c r="K500" s="88"/>
    </row>
    <row r="501" ht="15.75" customHeight="1">
      <c r="A501" s="74"/>
      <c r="B501" s="2"/>
      <c r="C501" s="88"/>
      <c r="D501" s="88"/>
      <c r="E501" s="88"/>
      <c r="F501" s="88"/>
      <c r="G501" s="88"/>
      <c r="H501" s="88"/>
      <c r="I501" s="89"/>
      <c r="J501" s="164"/>
      <c r="K501" s="88"/>
    </row>
    <row r="502" ht="15.75" customHeight="1">
      <c r="A502" s="74"/>
      <c r="B502" s="2"/>
      <c r="C502" s="88"/>
      <c r="D502" s="88"/>
      <c r="E502" s="88"/>
      <c r="F502" s="88"/>
      <c r="G502" s="88"/>
      <c r="H502" s="88"/>
      <c r="I502" s="89"/>
      <c r="J502" s="164"/>
      <c r="K502" s="88"/>
    </row>
    <row r="503" ht="15.75" customHeight="1">
      <c r="A503" s="74"/>
      <c r="B503" s="2"/>
      <c r="C503" s="88"/>
      <c r="D503" s="88"/>
      <c r="E503" s="88"/>
      <c r="F503" s="88"/>
      <c r="G503" s="88"/>
      <c r="H503" s="88"/>
      <c r="I503" s="89"/>
      <c r="J503" s="164"/>
      <c r="K503" s="88"/>
    </row>
    <row r="504" ht="15.75" customHeight="1">
      <c r="A504" s="74"/>
      <c r="B504" s="2"/>
      <c r="C504" s="88"/>
      <c r="D504" s="88"/>
      <c r="E504" s="88"/>
      <c r="F504" s="88"/>
      <c r="G504" s="88"/>
      <c r="H504" s="88"/>
      <c r="I504" s="89"/>
      <c r="J504" s="164"/>
      <c r="K504" s="88"/>
    </row>
    <row r="505" ht="15.75" customHeight="1">
      <c r="A505" s="74"/>
      <c r="B505" s="2"/>
      <c r="C505" s="88"/>
      <c r="D505" s="88"/>
      <c r="E505" s="88"/>
      <c r="F505" s="88"/>
      <c r="G505" s="88"/>
      <c r="H505" s="88"/>
      <c r="I505" s="89"/>
      <c r="J505" s="164"/>
      <c r="K505" s="88"/>
    </row>
    <row r="506" ht="15.75" customHeight="1">
      <c r="A506" s="74"/>
      <c r="B506" s="2"/>
      <c r="C506" s="88"/>
      <c r="D506" s="88"/>
      <c r="E506" s="88"/>
      <c r="F506" s="88"/>
      <c r="G506" s="88"/>
      <c r="H506" s="88"/>
      <c r="I506" s="89"/>
      <c r="J506" s="164"/>
      <c r="K506" s="88"/>
    </row>
    <row r="507" ht="15.75" customHeight="1">
      <c r="A507" s="74"/>
      <c r="B507" s="2"/>
      <c r="C507" s="88"/>
      <c r="D507" s="88"/>
      <c r="E507" s="88"/>
      <c r="F507" s="88"/>
      <c r="G507" s="88"/>
      <c r="H507" s="88"/>
      <c r="I507" s="89"/>
      <c r="J507" s="164"/>
      <c r="K507" s="88"/>
    </row>
    <row r="508" ht="15.75" customHeight="1">
      <c r="A508" s="74"/>
      <c r="B508" s="2"/>
      <c r="C508" s="88"/>
      <c r="D508" s="88"/>
      <c r="E508" s="88"/>
      <c r="F508" s="88"/>
      <c r="G508" s="88"/>
      <c r="H508" s="88"/>
      <c r="I508" s="89"/>
      <c r="J508" s="164"/>
      <c r="K508" s="88"/>
    </row>
    <row r="509" ht="15.75" customHeight="1">
      <c r="A509" s="74"/>
      <c r="B509" s="2"/>
      <c r="C509" s="88"/>
      <c r="D509" s="88"/>
      <c r="E509" s="88"/>
      <c r="F509" s="88"/>
      <c r="G509" s="88"/>
      <c r="H509" s="88"/>
      <c r="I509" s="89"/>
      <c r="J509" s="164"/>
      <c r="K509" s="88"/>
    </row>
    <row r="510" ht="15.75" customHeight="1">
      <c r="A510" s="74"/>
      <c r="B510" s="2"/>
      <c r="C510" s="88"/>
      <c r="D510" s="88"/>
      <c r="E510" s="88"/>
      <c r="F510" s="88"/>
      <c r="G510" s="88"/>
      <c r="H510" s="88"/>
      <c r="I510" s="89"/>
      <c r="J510" s="164"/>
      <c r="K510" s="88"/>
    </row>
    <row r="511" ht="15.75" customHeight="1">
      <c r="A511" s="74"/>
      <c r="B511" s="2"/>
      <c r="C511" s="88"/>
      <c r="D511" s="88"/>
      <c r="E511" s="88"/>
      <c r="F511" s="88"/>
      <c r="G511" s="88"/>
      <c r="H511" s="88"/>
      <c r="I511" s="89"/>
      <c r="J511" s="164"/>
      <c r="K511" s="88"/>
    </row>
    <row r="512" ht="15.75" customHeight="1">
      <c r="A512" s="74"/>
      <c r="B512" s="2"/>
      <c r="C512" s="88"/>
      <c r="D512" s="88"/>
      <c r="E512" s="88"/>
      <c r="F512" s="88"/>
      <c r="G512" s="88"/>
      <c r="H512" s="88"/>
      <c r="I512" s="89"/>
      <c r="J512" s="164"/>
      <c r="K512" s="88"/>
    </row>
    <row r="513" ht="15.75" customHeight="1">
      <c r="A513" s="74"/>
      <c r="B513" s="2"/>
      <c r="C513" s="88"/>
      <c r="D513" s="88"/>
      <c r="E513" s="88"/>
      <c r="F513" s="88"/>
      <c r="G513" s="88"/>
      <c r="H513" s="88"/>
      <c r="I513" s="89"/>
      <c r="J513" s="164"/>
      <c r="K513" s="88"/>
    </row>
    <row r="514" ht="15.75" customHeight="1">
      <c r="A514" s="74"/>
      <c r="B514" s="2"/>
      <c r="C514" s="88"/>
      <c r="D514" s="88"/>
      <c r="E514" s="88"/>
      <c r="F514" s="88"/>
      <c r="G514" s="88"/>
      <c r="H514" s="88"/>
      <c r="I514" s="89"/>
      <c r="J514" s="164"/>
      <c r="K514" s="88"/>
    </row>
    <row r="515" ht="15.75" customHeight="1">
      <c r="A515" s="74"/>
      <c r="B515" s="2"/>
      <c r="C515" s="88"/>
      <c r="D515" s="88"/>
      <c r="E515" s="88"/>
      <c r="F515" s="88"/>
      <c r="G515" s="88"/>
      <c r="H515" s="88"/>
      <c r="I515" s="89"/>
      <c r="J515" s="164"/>
      <c r="K515" s="88"/>
    </row>
    <row r="516" ht="15.75" customHeight="1">
      <c r="A516" s="74"/>
      <c r="B516" s="2"/>
      <c r="C516" s="88"/>
      <c r="D516" s="88"/>
      <c r="E516" s="88"/>
      <c r="F516" s="88"/>
      <c r="G516" s="88"/>
      <c r="H516" s="88"/>
      <c r="I516" s="89"/>
      <c r="J516" s="164"/>
      <c r="K516" s="88"/>
    </row>
    <row r="517" ht="15.75" customHeight="1">
      <c r="A517" s="74"/>
      <c r="B517" s="2"/>
      <c r="C517" s="88"/>
      <c r="D517" s="88"/>
      <c r="E517" s="88"/>
      <c r="F517" s="88"/>
      <c r="G517" s="88"/>
      <c r="H517" s="88"/>
      <c r="I517" s="89"/>
      <c r="J517" s="164"/>
      <c r="K517" s="88"/>
    </row>
    <row r="518" ht="15.75" customHeight="1">
      <c r="A518" s="74"/>
      <c r="B518" s="2"/>
      <c r="C518" s="88"/>
      <c r="D518" s="88"/>
      <c r="E518" s="88"/>
      <c r="F518" s="88"/>
      <c r="G518" s="88"/>
      <c r="H518" s="88"/>
      <c r="I518" s="89"/>
      <c r="J518" s="164"/>
      <c r="K518" s="88"/>
    </row>
    <row r="519" ht="15.75" customHeight="1">
      <c r="A519" s="74"/>
      <c r="B519" s="2"/>
      <c r="C519" s="88"/>
      <c r="D519" s="88"/>
      <c r="E519" s="88"/>
      <c r="F519" s="88"/>
      <c r="G519" s="88"/>
      <c r="H519" s="88"/>
      <c r="I519" s="89"/>
      <c r="J519" s="164"/>
      <c r="K519" s="88"/>
    </row>
    <row r="520" ht="15.75" customHeight="1">
      <c r="A520" s="74"/>
      <c r="B520" s="2"/>
      <c r="C520" s="88"/>
      <c r="D520" s="88"/>
      <c r="E520" s="88"/>
      <c r="F520" s="88"/>
      <c r="G520" s="88"/>
      <c r="H520" s="88"/>
      <c r="I520" s="89"/>
      <c r="J520" s="164"/>
      <c r="K520" s="88"/>
    </row>
    <row r="521" ht="15.75" customHeight="1">
      <c r="A521" s="74"/>
      <c r="B521" s="2"/>
      <c r="C521" s="88"/>
      <c r="D521" s="88"/>
      <c r="E521" s="88"/>
      <c r="F521" s="88"/>
      <c r="G521" s="88"/>
      <c r="H521" s="88"/>
      <c r="I521" s="89"/>
      <c r="J521" s="164"/>
      <c r="K521" s="88"/>
    </row>
    <row r="522" ht="15.75" customHeight="1">
      <c r="A522" s="74"/>
      <c r="B522" s="2"/>
      <c r="C522" s="88"/>
      <c r="D522" s="88"/>
      <c r="E522" s="88"/>
      <c r="F522" s="88"/>
      <c r="G522" s="88"/>
      <c r="H522" s="88"/>
      <c r="I522" s="89"/>
      <c r="J522" s="164"/>
      <c r="K522" s="88"/>
    </row>
    <row r="523" ht="15.75" customHeight="1">
      <c r="A523" s="74"/>
      <c r="B523" s="2"/>
      <c r="C523" s="88"/>
      <c r="D523" s="88"/>
      <c r="E523" s="88"/>
      <c r="F523" s="88"/>
      <c r="G523" s="88"/>
      <c r="H523" s="88"/>
      <c r="I523" s="89"/>
      <c r="J523" s="164"/>
      <c r="K523" s="88"/>
    </row>
    <row r="524" ht="15.75" customHeight="1">
      <c r="A524" s="74"/>
      <c r="B524" s="2"/>
      <c r="C524" s="88"/>
      <c r="D524" s="88"/>
      <c r="E524" s="88"/>
      <c r="F524" s="88"/>
      <c r="G524" s="88"/>
      <c r="H524" s="88"/>
      <c r="I524" s="89"/>
      <c r="J524" s="164"/>
      <c r="K524" s="88"/>
    </row>
    <row r="525" ht="15.75" customHeight="1">
      <c r="A525" s="74"/>
      <c r="B525" s="2"/>
      <c r="C525" s="88"/>
      <c r="D525" s="88"/>
      <c r="E525" s="88"/>
      <c r="F525" s="88"/>
      <c r="G525" s="88"/>
      <c r="H525" s="88"/>
      <c r="I525" s="89"/>
      <c r="J525" s="164"/>
      <c r="K525" s="88"/>
    </row>
    <row r="526" ht="15.75" customHeight="1">
      <c r="A526" s="74"/>
      <c r="B526" s="2"/>
      <c r="C526" s="88"/>
      <c r="D526" s="88"/>
      <c r="E526" s="88"/>
      <c r="F526" s="88"/>
      <c r="G526" s="88"/>
      <c r="H526" s="88"/>
      <c r="I526" s="89"/>
      <c r="J526" s="164"/>
      <c r="K526" s="88"/>
    </row>
    <row r="527" ht="15.75" customHeight="1">
      <c r="A527" s="74"/>
      <c r="B527" s="2"/>
      <c r="C527" s="88"/>
      <c r="D527" s="88"/>
      <c r="E527" s="88"/>
      <c r="F527" s="88"/>
      <c r="G527" s="88"/>
      <c r="H527" s="88"/>
      <c r="I527" s="89"/>
      <c r="J527" s="164"/>
      <c r="K527" s="88"/>
    </row>
    <row r="528" ht="15.75" customHeight="1">
      <c r="A528" s="74"/>
      <c r="B528" s="2"/>
      <c r="C528" s="88"/>
      <c r="D528" s="88"/>
      <c r="E528" s="88"/>
      <c r="F528" s="88"/>
      <c r="G528" s="88"/>
      <c r="H528" s="88"/>
      <c r="I528" s="89"/>
      <c r="J528" s="164"/>
      <c r="K528" s="88"/>
    </row>
    <row r="529" ht="15.75" customHeight="1">
      <c r="A529" s="74"/>
      <c r="B529" s="2"/>
      <c r="C529" s="88"/>
      <c r="D529" s="88"/>
      <c r="E529" s="88"/>
      <c r="F529" s="88"/>
      <c r="G529" s="88"/>
      <c r="H529" s="88"/>
      <c r="I529" s="89"/>
      <c r="J529" s="164"/>
      <c r="K529" s="88"/>
    </row>
    <row r="530" ht="15.75" customHeight="1">
      <c r="A530" s="74"/>
      <c r="B530" s="2"/>
      <c r="C530" s="88"/>
      <c r="D530" s="88"/>
      <c r="E530" s="88"/>
      <c r="F530" s="88"/>
      <c r="G530" s="88"/>
      <c r="H530" s="88"/>
      <c r="I530" s="89"/>
      <c r="J530" s="164"/>
      <c r="K530" s="88"/>
    </row>
    <row r="531" ht="15.75" customHeight="1">
      <c r="A531" s="74"/>
      <c r="B531" s="2"/>
      <c r="C531" s="88"/>
      <c r="D531" s="88"/>
      <c r="E531" s="88"/>
      <c r="F531" s="88"/>
      <c r="G531" s="88"/>
      <c r="H531" s="88"/>
      <c r="I531" s="89"/>
      <c r="J531" s="164"/>
      <c r="K531" s="88"/>
    </row>
    <row r="532" ht="15.75" customHeight="1">
      <c r="A532" s="74"/>
      <c r="B532" s="2"/>
      <c r="C532" s="88"/>
      <c r="D532" s="88"/>
      <c r="E532" s="88"/>
      <c r="F532" s="88"/>
      <c r="G532" s="88"/>
      <c r="H532" s="88"/>
      <c r="I532" s="89"/>
      <c r="J532" s="164"/>
      <c r="K532" s="88"/>
    </row>
    <row r="533" ht="15.75" customHeight="1">
      <c r="A533" s="74"/>
      <c r="B533" s="2"/>
      <c r="C533" s="88"/>
      <c r="D533" s="88"/>
      <c r="E533" s="88"/>
      <c r="F533" s="88"/>
      <c r="G533" s="88"/>
      <c r="H533" s="88"/>
      <c r="I533" s="89"/>
      <c r="J533" s="164"/>
      <c r="K533" s="88"/>
    </row>
    <row r="534" ht="15.75" customHeight="1">
      <c r="A534" s="74"/>
      <c r="B534" s="2"/>
      <c r="C534" s="88"/>
      <c r="D534" s="88"/>
      <c r="E534" s="88"/>
      <c r="F534" s="88"/>
      <c r="G534" s="88"/>
      <c r="H534" s="88"/>
      <c r="I534" s="89"/>
      <c r="J534" s="164"/>
      <c r="K534" s="88"/>
    </row>
    <row r="535" ht="15.75" customHeight="1">
      <c r="A535" s="74"/>
      <c r="B535" s="2"/>
      <c r="C535" s="88"/>
      <c r="D535" s="88"/>
      <c r="E535" s="88"/>
      <c r="F535" s="88"/>
      <c r="G535" s="88"/>
      <c r="H535" s="88"/>
      <c r="I535" s="89"/>
      <c r="J535" s="164"/>
      <c r="K535" s="88"/>
    </row>
    <row r="536" ht="15.75" customHeight="1">
      <c r="A536" s="74"/>
      <c r="B536" s="2"/>
      <c r="C536" s="88"/>
      <c r="D536" s="88"/>
      <c r="E536" s="88"/>
      <c r="F536" s="88"/>
      <c r="G536" s="88"/>
      <c r="H536" s="88"/>
      <c r="I536" s="89"/>
      <c r="J536" s="164"/>
      <c r="K536" s="88"/>
    </row>
    <row r="537" ht="15.75" customHeight="1">
      <c r="A537" s="74"/>
      <c r="B537" s="2"/>
      <c r="C537" s="88"/>
      <c r="D537" s="88"/>
      <c r="E537" s="88"/>
      <c r="F537" s="88"/>
      <c r="G537" s="88"/>
      <c r="H537" s="88"/>
      <c r="I537" s="89"/>
      <c r="J537" s="164"/>
      <c r="K537" s="88"/>
    </row>
    <row r="538" ht="15.75" customHeight="1">
      <c r="A538" s="74"/>
      <c r="B538" s="2"/>
      <c r="C538" s="88"/>
      <c r="D538" s="88"/>
      <c r="E538" s="88"/>
      <c r="F538" s="88"/>
      <c r="G538" s="88"/>
      <c r="H538" s="88"/>
      <c r="I538" s="89"/>
      <c r="J538" s="164"/>
      <c r="K538" s="88"/>
    </row>
    <row r="539" ht="15.75" customHeight="1">
      <c r="A539" s="74"/>
      <c r="B539" s="2"/>
      <c r="C539" s="88"/>
      <c r="D539" s="88"/>
      <c r="E539" s="88"/>
      <c r="F539" s="88"/>
      <c r="G539" s="88"/>
      <c r="H539" s="88"/>
      <c r="I539" s="89"/>
      <c r="J539" s="164"/>
      <c r="K539" s="88"/>
    </row>
    <row r="540" ht="15.75" customHeight="1">
      <c r="A540" s="74"/>
      <c r="B540" s="2"/>
      <c r="C540" s="88"/>
      <c r="D540" s="88"/>
      <c r="E540" s="88"/>
      <c r="F540" s="88"/>
      <c r="G540" s="88"/>
      <c r="H540" s="88"/>
      <c r="I540" s="89"/>
      <c r="J540" s="164"/>
      <c r="K540" s="88"/>
    </row>
    <row r="541" ht="15.75" customHeight="1">
      <c r="A541" s="74"/>
      <c r="B541" s="2"/>
      <c r="C541" s="88"/>
      <c r="D541" s="88"/>
      <c r="E541" s="88"/>
      <c r="F541" s="88"/>
      <c r="G541" s="88"/>
      <c r="H541" s="88"/>
      <c r="I541" s="89"/>
      <c r="J541" s="164"/>
      <c r="K541" s="88"/>
    </row>
    <row r="542" ht="15.75" customHeight="1">
      <c r="A542" s="74"/>
      <c r="B542" s="2"/>
      <c r="C542" s="88"/>
      <c r="D542" s="88"/>
      <c r="E542" s="88"/>
      <c r="F542" s="88"/>
      <c r="G542" s="88"/>
      <c r="H542" s="88"/>
      <c r="I542" s="89"/>
      <c r="J542" s="164"/>
      <c r="K542" s="88"/>
    </row>
    <row r="543" ht="15.75" customHeight="1">
      <c r="A543" s="74"/>
      <c r="B543" s="2"/>
      <c r="C543" s="88"/>
      <c r="D543" s="88"/>
      <c r="E543" s="88"/>
      <c r="F543" s="88"/>
      <c r="G543" s="88"/>
      <c r="H543" s="88"/>
      <c r="I543" s="89"/>
      <c r="J543" s="164"/>
      <c r="K543" s="88"/>
    </row>
    <row r="544" ht="15.75" customHeight="1">
      <c r="A544" s="74"/>
      <c r="B544" s="2"/>
      <c r="C544" s="88"/>
      <c r="D544" s="88"/>
      <c r="E544" s="88"/>
      <c r="F544" s="88"/>
      <c r="G544" s="88"/>
      <c r="H544" s="88"/>
      <c r="I544" s="89"/>
      <c r="J544" s="164"/>
      <c r="K544" s="88"/>
    </row>
    <row r="545" ht="15.75" customHeight="1">
      <c r="A545" s="74"/>
      <c r="B545" s="2"/>
      <c r="C545" s="88"/>
      <c r="D545" s="88"/>
      <c r="E545" s="88"/>
      <c r="F545" s="88"/>
      <c r="G545" s="88"/>
      <c r="H545" s="88"/>
      <c r="I545" s="89"/>
      <c r="J545" s="164"/>
      <c r="K545" s="88"/>
    </row>
    <row r="546" ht="15.75" customHeight="1">
      <c r="A546" s="74"/>
      <c r="B546" s="2"/>
      <c r="C546" s="88"/>
      <c r="D546" s="88"/>
      <c r="E546" s="88"/>
      <c r="F546" s="88"/>
      <c r="G546" s="88"/>
      <c r="H546" s="88"/>
      <c r="I546" s="89"/>
      <c r="J546" s="164"/>
      <c r="K546" s="88"/>
    </row>
    <row r="547" ht="15.75" customHeight="1">
      <c r="A547" s="74"/>
      <c r="B547" s="2"/>
      <c r="C547" s="88"/>
      <c r="D547" s="88"/>
      <c r="E547" s="88"/>
      <c r="F547" s="88"/>
      <c r="G547" s="88"/>
      <c r="H547" s="88"/>
      <c r="I547" s="89"/>
      <c r="J547" s="164"/>
      <c r="K547" s="88"/>
    </row>
    <row r="548" ht="15.75" customHeight="1">
      <c r="A548" s="74"/>
      <c r="B548" s="2"/>
      <c r="C548" s="88"/>
      <c r="D548" s="88"/>
      <c r="E548" s="88"/>
      <c r="F548" s="88"/>
      <c r="G548" s="88"/>
      <c r="H548" s="88"/>
      <c r="I548" s="89"/>
      <c r="J548" s="164"/>
      <c r="K548" s="88"/>
    </row>
    <row r="549" ht="15.75" customHeight="1">
      <c r="A549" s="74"/>
      <c r="B549" s="2"/>
      <c r="C549" s="88"/>
      <c r="D549" s="88"/>
      <c r="E549" s="88"/>
      <c r="F549" s="88"/>
      <c r="G549" s="88"/>
      <c r="H549" s="88"/>
      <c r="I549" s="89"/>
      <c r="J549" s="164"/>
      <c r="K549" s="88"/>
    </row>
    <row r="550" ht="15.75" customHeight="1">
      <c r="A550" s="74"/>
      <c r="B550" s="2"/>
      <c r="C550" s="88"/>
      <c r="D550" s="88"/>
      <c r="E550" s="88"/>
      <c r="F550" s="88"/>
      <c r="G550" s="88"/>
      <c r="H550" s="88"/>
      <c r="I550" s="89"/>
      <c r="J550" s="164"/>
      <c r="K550" s="88"/>
    </row>
    <row r="551" ht="15.75" customHeight="1">
      <c r="A551" s="74"/>
      <c r="B551" s="2"/>
      <c r="C551" s="88"/>
      <c r="D551" s="88"/>
      <c r="E551" s="88"/>
      <c r="F551" s="88"/>
      <c r="G551" s="88"/>
      <c r="H551" s="88"/>
      <c r="I551" s="89"/>
      <c r="J551" s="164"/>
      <c r="K551" s="88"/>
    </row>
    <row r="552" ht="15.75" customHeight="1">
      <c r="A552" s="74"/>
      <c r="B552" s="2"/>
      <c r="C552" s="88"/>
      <c r="D552" s="88"/>
      <c r="E552" s="88"/>
      <c r="F552" s="88"/>
      <c r="G552" s="88"/>
      <c r="H552" s="88"/>
      <c r="I552" s="89"/>
      <c r="J552" s="164"/>
      <c r="K552" s="88"/>
    </row>
    <row r="553" ht="15.75" customHeight="1">
      <c r="A553" s="74"/>
      <c r="B553" s="2"/>
      <c r="C553" s="88"/>
      <c r="D553" s="88"/>
      <c r="E553" s="88"/>
      <c r="F553" s="88"/>
      <c r="G553" s="88"/>
      <c r="H553" s="88"/>
      <c r="I553" s="89"/>
      <c r="J553" s="164"/>
      <c r="K553" s="88"/>
    </row>
    <row r="554" ht="15.75" customHeight="1">
      <c r="A554" s="74"/>
      <c r="B554" s="2"/>
      <c r="C554" s="88"/>
      <c r="D554" s="88"/>
      <c r="E554" s="88"/>
      <c r="F554" s="88"/>
      <c r="G554" s="88"/>
      <c r="H554" s="88"/>
      <c r="I554" s="89"/>
      <c r="J554" s="164"/>
      <c r="K554" s="88"/>
    </row>
    <row r="555" ht="15.75" customHeight="1">
      <c r="A555" s="74"/>
      <c r="B555" s="2"/>
      <c r="C555" s="88"/>
      <c r="D555" s="88"/>
      <c r="E555" s="88"/>
      <c r="F555" s="88"/>
      <c r="G555" s="88"/>
      <c r="H555" s="88"/>
      <c r="I555" s="89"/>
      <c r="J555" s="164"/>
      <c r="K555" s="88"/>
    </row>
    <row r="556" ht="15.75" customHeight="1">
      <c r="A556" s="74"/>
      <c r="B556" s="2"/>
      <c r="C556" s="88"/>
      <c r="D556" s="88"/>
      <c r="E556" s="88"/>
      <c r="F556" s="88"/>
      <c r="G556" s="88"/>
      <c r="H556" s="88"/>
      <c r="I556" s="89"/>
      <c r="J556" s="164"/>
      <c r="K556" s="88"/>
    </row>
    <row r="557" ht="15.75" customHeight="1">
      <c r="A557" s="74"/>
      <c r="B557" s="2"/>
      <c r="C557" s="88"/>
      <c r="D557" s="88"/>
      <c r="E557" s="88"/>
      <c r="F557" s="88"/>
      <c r="G557" s="88"/>
      <c r="H557" s="88"/>
      <c r="I557" s="89"/>
      <c r="J557" s="164"/>
      <c r="K557" s="88"/>
    </row>
    <row r="558" ht="15.75" customHeight="1">
      <c r="A558" s="74"/>
      <c r="B558" s="2"/>
      <c r="C558" s="88"/>
      <c r="D558" s="88"/>
      <c r="E558" s="88"/>
      <c r="F558" s="88"/>
      <c r="G558" s="88"/>
      <c r="H558" s="88"/>
      <c r="I558" s="89"/>
      <c r="J558" s="164"/>
      <c r="K558" s="88"/>
    </row>
    <row r="559" ht="15.75" customHeight="1">
      <c r="A559" s="74"/>
      <c r="B559" s="2"/>
      <c r="C559" s="88"/>
      <c r="D559" s="88"/>
      <c r="E559" s="88"/>
      <c r="F559" s="88"/>
      <c r="G559" s="88"/>
      <c r="H559" s="88"/>
      <c r="I559" s="89"/>
      <c r="J559" s="164"/>
      <c r="K559" s="88"/>
    </row>
    <row r="560" ht="15.75" customHeight="1">
      <c r="A560" s="74"/>
      <c r="B560" s="2"/>
      <c r="C560" s="88"/>
      <c r="D560" s="88"/>
      <c r="E560" s="88"/>
      <c r="F560" s="88"/>
      <c r="G560" s="88"/>
      <c r="H560" s="88"/>
      <c r="I560" s="89"/>
      <c r="J560" s="164"/>
      <c r="K560" s="88"/>
    </row>
    <row r="561" ht="15.75" customHeight="1">
      <c r="A561" s="74"/>
      <c r="B561" s="2"/>
      <c r="C561" s="88"/>
      <c r="D561" s="88"/>
      <c r="E561" s="88"/>
      <c r="F561" s="88"/>
      <c r="G561" s="88"/>
      <c r="H561" s="88"/>
      <c r="I561" s="89"/>
      <c r="J561" s="164"/>
      <c r="K561" s="88"/>
    </row>
    <row r="562" ht="15.75" customHeight="1">
      <c r="A562" s="74"/>
      <c r="B562" s="2"/>
      <c r="C562" s="88"/>
      <c r="D562" s="88"/>
      <c r="E562" s="88"/>
      <c r="F562" s="88"/>
      <c r="G562" s="88"/>
      <c r="H562" s="88"/>
      <c r="I562" s="89"/>
      <c r="J562" s="164"/>
      <c r="K562" s="88"/>
    </row>
    <row r="563" ht="15.75" customHeight="1">
      <c r="A563" s="74"/>
      <c r="B563" s="2"/>
      <c r="C563" s="88"/>
      <c r="D563" s="88"/>
      <c r="E563" s="88"/>
      <c r="F563" s="88"/>
      <c r="G563" s="88"/>
      <c r="H563" s="88"/>
      <c r="I563" s="89"/>
      <c r="J563" s="164"/>
      <c r="K563" s="88"/>
    </row>
    <row r="564" ht="15.75" customHeight="1">
      <c r="A564" s="74"/>
      <c r="B564" s="2"/>
      <c r="C564" s="88"/>
      <c r="D564" s="88"/>
      <c r="E564" s="88"/>
      <c r="F564" s="88"/>
      <c r="G564" s="88"/>
      <c r="H564" s="88"/>
      <c r="I564" s="89"/>
      <c r="J564" s="164"/>
      <c r="K564" s="88"/>
    </row>
    <row r="565" ht="15.75" customHeight="1">
      <c r="A565" s="74"/>
      <c r="B565" s="2"/>
      <c r="C565" s="88"/>
      <c r="D565" s="88"/>
      <c r="E565" s="88"/>
      <c r="F565" s="88"/>
      <c r="G565" s="88"/>
      <c r="H565" s="88"/>
      <c r="I565" s="89"/>
      <c r="J565" s="164"/>
      <c r="K565" s="88"/>
    </row>
    <row r="566" ht="15.75" customHeight="1">
      <c r="A566" s="74"/>
      <c r="B566" s="2"/>
      <c r="C566" s="88"/>
      <c r="D566" s="88"/>
      <c r="E566" s="88"/>
      <c r="F566" s="88"/>
      <c r="G566" s="88"/>
      <c r="H566" s="88"/>
      <c r="I566" s="89"/>
      <c r="J566" s="164"/>
      <c r="K566" s="88"/>
    </row>
    <row r="567" ht="15.75" customHeight="1">
      <c r="A567" s="74"/>
      <c r="B567" s="2"/>
      <c r="C567" s="88"/>
      <c r="D567" s="88"/>
      <c r="E567" s="88"/>
      <c r="F567" s="88"/>
      <c r="G567" s="88"/>
      <c r="H567" s="88"/>
      <c r="I567" s="89"/>
      <c r="J567" s="164"/>
      <c r="K567" s="88"/>
    </row>
    <row r="568" ht="15.75" customHeight="1">
      <c r="A568" s="74"/>
      <c r="B568" s="2"/>
      <c r="C568" s="88"/>
      <c r="D568" s="88"/>
      <c r="E568" s="88"/>
      <c r="F568" s="88"/>
      <c r="G568" s="88"/>
      <c r="H568" s="88"/>
      <c r="I568" s="89"/>
      <c r="J568" s="164"/>
      <c r="K568" s="88"/>
    </row>
    <row r="569" ht="15.75" customHeight="1">
      <c r="A569" s="74"/>
      <c r="B569" s="2"/>
      <c r="C569" s="88"/>
      <c r="D569" s="88"/>
      <c r="E569" s="88"/>
      <c r="F569" s="88"/>
      <c r="G569" s="88"/>
      <c r="H569" s="88"/>
      <c r="I569" s="89"/>
      <c r="J569" s="164"/>
      <c r="K569" s="88"/>
    </row>
    <row r="570" ht="15.75" customHeight="1">
      <c r="A570" s="74"/>
      <c r="B570" s="2"/>
      <c r="C570" s="88"/>
      <c r="D570" s="88"/>
      <c r="E570" s="88"/>
      <c r="F570" s="88"/>
      <c r="G570" s="88"/>
      <c r="H570" s="88"/>
      <c r="I570" s="89"/>
      <c r="J570" s="164"/>
      <c r="K570" s="88"/>
    </row>
    <row r="571" ht="15.75" customHeight="1">
      <c r="A571" s="74"/>
      <c r="B571" s="2"/>
      <c r="C571" s="88"/>
      <c r="D571" s="88"/>
      <c r="E571" s="88"/>
      <c r="F571" s="88"/>
      <c r="G571" s="88"/>
      <c r="H571" s="88"/>
      <c r="I571" s="89"/>
      <c r="J571" s="164"/>
      <c r="K571" s="88"/>
    </row>
    <row r="572" ht="15.75" customHeight="1">
      <c r="A572" s="74"/>
      <c r="B572" s="2"/>
      <c r="C572" s="88"/>
      <c r="D572" s="88"/>
      <c r="E572" s="88"/>
      <c r="F572" s="88"/>
      <c r="G572" s="88"/>
      <c r="H572" s="88"/>
      <c r="I572" s="89"/>
      <c r="J572" s="164"/>
      <c r="K572" s="88"/>
    </row>
    <row r="573" ht="15.75" customHeight="1">
      <c r="A573" s="74"/>
      <c r="B573" s="2"/>
      <c r="C573" s="88"/>
      <c r="D573" s="88"/>
      <c r="E573" s="88"/>
      <c r="F573" s="88"/>
      <c r="G573" s="88"/>
      <c r="H573" s="88"/>
      <c r="I573" s="89"/>
      <c r="J573" s="164"/>
      <c r="K573" s="88"/>
    </row>
    <row r="574" ht="15.75" customHeight="1">
      <c r="A574" s="74"/>
      <c r="B574" s="2"/>
      <c r="C574" s="88"/>
      <c r="D574" s="88"/>
      <c r="E574" s="88"/>
      <c r="F574" s="88"/>
      <c r="G574" s="88"/>
      <c r="H574" s="88"/>
      <c r="I574" s="89"/>
      <c r="J574" s="164"/>
      <c r="K574" s="88"/>
    </row>
    <row r="575" ht="15.75" customHeight="1">
      <c r="A575" s="74"/>
      <c r="B575" s="2"/>
      <c r="C575" s="88"/>
      <c r="D575" s="88"/>
      <c r="E575" s="88"/>
      <c r="F575" s="88"/>
      <c r="G575" s="88"/>
      <c r="H575" s="88"/>
      <c r="I575" s="89"/>
      <c r="J575" s="164"/>
      <c r="K575" s="88"/>
    </row>
    <row r="576" ht="15.75" customHeight="1">
      <c r="A576" s="74"/>
      <c r="B576" s="2"/>
      <c r="C576" s="88"/>
      <c r="D576" s="88"/>
      <c r="E576" s="88"/>
      <c r="F576" s="88"/>
      <c r="G576" s="88"/>
      <c r="H576" s="88"/>
      <c r="I576" s="89"/>
      <c r="J576" s="164"/>
      <c r="K576" s="88"/>
    </row>
    <row r="577" ht="15.75" customHeight="1">
      <c r="A577" s="74"/>
      <c r="B577" s="2"/>
      <c r="C577" s="88"/>
      <c r="D577" s="88"/>
      <c r="E577" s="88"/>
      <c r="F577" s="88"/>
      <c r="G577" s="88"/>
      <c r="H577" s="88"/>
      <c r="I577" s="89"/>
      <c r="J577" s="164"/>
      <c r="K577" s="88"/>
    </row>
    <row r="578" ht="15.75" customHeight="1">
      <c r="A578" s="74"/>
      <c r="B578" s="2"/>
      <c r="C578" s="88"/>
      <c r="D578" s="88"/>
      <c r="E578" s="88"/>
      <c r="F578" s="88"/>
      <c r="G578" s="88"/>
      <c r="H578" s="88"/>
      <c r="I578" s="89"/>
      <c r="J578" s="164"/>
      <c r="K578" s="88"/>
    </row>
    <row r="579" ht="15.75" customHeight="1">
      <c r="A579" s="74"/>
      <c r="B579" s="2"/>
      <c r="C579" s="88"/>
      <c r="D579" s="88"/>
      <c r="E579" s="88"/>
      <c r="F579" s="88"/>
      <c r="G579" s="88"/>
      <c r="H579" s="88"/>
      <c r="I579" s="89"/>
      <c r="J579" s="164"/>
      <c r="K579" s="88"/>
    </row>
    <row r="580" ht="15.75" customHeight="1">
      <c r="A580" s="74"/>
      <c r="B580" s="2"/>
      <c r="C580" s="88"/>
      <c r="D580" s="88"/>
      <c r="E580" s="88"/>
      <c r="F580" s="88"/>
      <c r="G580" s="88"/>
      <c r="H580" s="88"/>
      <c r="I580" s="89"/>
      <c r="J580" s="164"/>
      <c r="K580" s="88"/>
    </row>
    <row r="581" ht="15.75" customHeight="1">
      <c r="A581" s="74"/>
      <c r="B581" s="2"/>
      <c r="C581" s="88"/>
      <c r="D581" s="88"/>
      <c r="E581" s="88"/>
      <c r="F581" s="88"/>
      <c r="G581" s="88"/>
      <c r="H581" s="88"/>
      <c r="I581" s="89"/>
      <c r="J581" s="164"/>
      <c r="K581" s="88"/>
    </row>
    <row r="582" ht="15.75" customHeight="1">
      <c r="A582" s="74"/>
      <c r="B582" s="2"/>
      <c r="C582" s="88"/>
      <c r="D582" s="88"/>
      <c r="E582" s="88"/>
      <c r="F582" s="88"/>
      <c r="G582" s="88"/>
      <c r="H582" s="88"/>
      <c r="I582" s="89"/>
      <c r="J582" s="164"/>
      <c r="K582" s="88"/>
    </row>
    <row r="583" ht="15.75" customHeight="1">
      <c r="A583" s="74"/>
      <c r="B583" s="2"/>
      <c r="C583" s="88"/>
      <c r="D583" s="88"/>
      <c r="E583" s="88"/>
      <c r="F583" s="88"/>
      <c r="G583" s="88"/>
      <c r="H583" s="88"/>
      <c r="I583" s="89"/>
      <c r="J583" s="164"/>
      <c r="K583" s="88"/>
    </row>
    <row r="584" ht="15.75" customHeight="1">
      <c r="A584" s="74"/>
      <c r="B584" s="2"/>
      <c r="C584" s="88"/>
      <c r="D584" s="88"/>
      <c r="E584" s="88"/>
      <c r="F584" s="88"/>
      <c r="G584" s="88"/>
      <c r="H584" s="88"/>
      <c r="I584" s="89"/>
      <c r="J584" s="164"/>
      <c r="K584" s="88"/>
    </row>
    <row r="585" ht="15.75" customHeight="1">
      <c r="A585" s="74"/>
      <c r="B585" s="2"/>
      <c r="C585" s="88"/>
      <c r="D585" s="88"/>
      <c r="E585" s="88"/>
      <c r="F585" s="88"/>
      <c r="G585" s="88"/>
      <c r="H585" s="88"/>
      <c r="I585" s="89"/>
      <c r="J585" s="164"/>
      <c r="K585" s="88"/>
    </row>
    <row r="586" ht="15.75" customHeight="1">
      <c r="A586" s="74"/>
      <c r="B586" s="2"/>
      <c r="C586" s="88"/>
      <c r="D586" s="88"/>
      <c r="E586" s="88"/>
      <c r="F586" s="88"/>
      <c r="G586" s="88"/>
      <c r="H586" s="88"/>
      <c r="I586" s="89"/>
      <c r="J586" s="164"/>
      <c r="K586" s="88"/>
    </row>
    <row r="587" ht="15.75" customHeight="1">
      <c r="A587" s="74"/>
      <c r="B587" s="2"/>
      <c r="C587" s="88"/>
      <c r="D587" s="88"/>
      <c r="E587" s="88"/>
      <c r="F587" s="88"/>
      <c r="G587" s="88"/>
      <c r="H587" s="88"/>
      <c r="I587" s="89"/>
      <c r="J587" s="164"/>
      <c r="K587" s="88"/>
    </row>
    <row r="588" ht="15.75" customHeight="1">
      <c r="A588" s="74"/>
      <c r="B588" s="2"/>
      <c r="C588" s="88"/>
      <c r="D588" s="88"/>
      <c r="E588" s="88"/>
      <c r="F588" s="88"/>
      <c r="G588" s="88"/>
      <c r="H588" s="88"/>
      <c r="I588" s="89"/>
      <c r="J588" s="164"/>
      <c r="K588" s="88"/>
    </row>
    <row r="589" ht="15.75" customHeight="1">
      <c r="A589" s="74"/>
      <c r="B589" s="2"/>
      <c r="C589" s="88"/>
      <c r="D589" s="88"/>
      <c r="E589" s="88"/>
      <c r="F589" s="88"/>
      <c r="G589" s="88"/>
      <c r="H589" s="88"/>
      <c r="I589" s="89"/>
      <c r="J589" s="164"/>
      <c r="K589" s="88"/>
    </row>
    <row r="590" ht="15.75" customHeight="1">
      <c r="A590" s="74"/>
      <c r="B590" s="2"/>
      <c r="C590" s="88"/>
      <c r="D590" s="88"/>
      <c r="E590" s="88"/>
      <c r="F590" s="88"/>
      <c r="G590" s="88"/>
      <c r="H590" s="88"/>
      <c r="I590" s="89"/>
      <c r="J590" s="164"/>
      <c r="K590" s="88"/>
    </row>
    <row r="591" ht="15.75" customHeight="1">
      <c r="A591" s="74"/>
      <c r="B591" s="2"/>
      <c r="C591" s="88"/>
      <c r="D591" s="88"/>
      <c r="E591" s="88"/>
      <c r="F591" s="88"/>
      <c r="G591" s="88"/>
      <c r="H591" s="88"/>
      <c r="I591" s="89"/>
      <c r="J591" s="164"/>
      <c r="K591" s="88"/>
    </row>
    <row r="592" ht="15.75" customHeight="1">
      <c r="A592" s="74"/>
      <c r="B592" s="2"/>
      <c r="C592" s="88"/>
      <c r="D592" s="88"/>
      <c r="E592" s="88"/>
      <c r="F592" s="88"/>
      <c r="G592" s="88"/>
      <c r="H592" s="88"/>
      <c r="I592" s="89"/>
      <c r="J592" s="164"/>
      <c r="K592" s="88"/>
    </row>
    <row r="593" ht="15.75" customHeight="1">
      <c r="A593" s="74"/>
      <c r="B593" s="2"/>
      <c r="C593" s="88"/>
      <c r="D593" s="88"/>
      <c r="E593" s="88"/>
      <c r="F593" s="88"/>
      <c r="G593" s="88"/>
      <c r="H593" s="88"/>
      <c r="I593" s="89"/>
      <c r="J593" s="164"/>
      <c r="K593" s="88"/>
    </row>
    <row r="594" ht="15.75" customHeight="1">
      <c r="A594" s="74"/>
      <c r="B594" s="2"/>
      <c r="C594" s="88"/>
      <c r="D594" s="88"/>
      <c r="E594" s="88"/>
      <c r="F594" s="88"/>
      <c r="G594" s="88"/>
      <c r="H594" s="88"/>
      <c r="I594" s="89"/>
      <c r="J594" s="164"/>
      <c r="K594" s="88"/>
    </row>
    <row r="595" ht="15.75" customHeight="1">
      <c r="A595" s="74"/>
      <c r="B595" s="2"/>
      <c r="C595" s="88"/>
      <c r="D595" s="88"/>
      <c r="E595" s="88"/>
      <c r="F595" s="88"/>
      <c r="G595" s="88"/>
      <c r="H595" s="88"/>
      <c r="I595" s="89"/>
      <c r="J595" s="164"/>
      <c r="K595" s="88"/>
    </row>
    <row r="596" ht="15.75" customHeight="1">
      <c r="A596" s="74"/>
      <c r="B596" s="2"/>
      <c r="C596" s="88"/>
      <c r="D596" s="88"/>
      <c r="E596" s="88"/>
      <c r="F596" s="88"/>
      <c r="G596" s="88"/>
      <c r="H596" s="88"/>
      <c r="I596" s="89"/>
      <c r="J596" s="164"/>
      <c r="K596" s="88"/>
    </row>
    <row r="597" ht="15.75" customHeight="1">
      <c r="A597" s="74"/>
      <c r="B597" s="2"/>
      <c r="C597" s="88"/>
      <c r="D597" s="88"/>
      <c r="E597" s="88"/>
      <c r="F597" s="88"/>
      <c r="G597" s="88"/>
      <c r="H597" s="88"/>
      <c r="I597" s="89"/>
      <c r="J597" s="164"/>
      <c r="K597" s="88"/>
    </row>
    <row r="598" ht="15.75" customHeight="1">
      <c r="A598" s="74"/>
      <c r="B598" s="2"/>
      <c r="C598" s="88"/>
      <c r="D598" s="88"/>
      <c r="E598" s="88"/>
      <c r="F598" s="88"/>
      <c r="G598" s="88"/>
      <c r="H598" s="88"/>
      <c r="I598" s="89"/>
      <c r="J598" s="164"/>
      <c r="K598" s="88"/>
    </row>
    <row r="599" ht="15.75" customHeight="1">
      <c r="A599" s="74"/>
      <c r="B599" s="2"/>
      <c r="C599" s="88"/>
      <c r="D599" s="88"/>
      <c r="E599" s="88"/>
      <c r="F599" s="88"/>
      <c r="G599" s="88"/>
      <c r="H599" s="88"/>
      <c r="I599" s="89"/>
      <c r="J599" s="164"/>
      <c r="K599" s="88"/>
    </row>
    <row r="600" ht="15.75" customHeight="1">
      <c r="A600" s="74"/>
      <c r="B600" s="2"/>
      <c r="C600" s="88"/>
      <c r="D600" s="88"/>
      <c r="E600" s="88"/>
      <c r="F600" s="88"/>
      <c r="G600" s="88"/>
      <c r="H600" s="88"/>
      <c r="I600" s="89"/>
      <c r="J600" s="164"/>
      <c r="K600" s="88"/>
    </row>
    <row r="601" ht="15.75" customHeight="1">
      <c r="A601" s="74"/>
      <c r="B601" s="2"/>
      <c r="C601" s="88"/>
      <c r="D601" s="88"/>
      <c r="E601" s="88"/>
      <c r="F601" s="88"/>
      <c r="G601" s="88"/>
      <c r="H601" s="88"/>
      <c r="I601" s="89"/>
      <c r="J601" s="164"/>
      <c r="K601" s="88"/>
    </row>
    <row r="602" ht="15.75" customHeight="1">
      <c r="A602" s="74"/>
      <c r="B602" s="2"/>
      <c r="C602" s="88"/>
      <c r="D602" s="88"/>
      <c r="E602" s="88"/>
      <c r="F602" s="88"/>
      <c r="G602" s="88"/>
      <c r="H602" s="88"/>
      <c r="I602" s="89"/>
      <c r="J602" s="164"/>
      <c r="K602" s="88"/>
    </row>
    <row r="603" ht="15.75" customHeight="1">
      <c r="A603" s="74"/>
      <c r="B603" s="2"/>
      <c r="C603" s="88"/>
      <c r="D603" s="88"/>
      <c r="E603" s="88"/>
      <c r="F603" s="88"/>
      <c r="G603" s="88"/>
      <c r="H603" s="88"/>
      <c r="I603" s="89"/>
      <c r="J603" s="164"/>
      <c r="K603" s="88"/>
    </row>
    <row r="604" ht="15.75" customHeight="1">
      <c r="A604" s="74"/>
      <c r="B604" s="2"/>
      <c r="C604" s="88"/>
      <c r="D604" s="88"/>
      <c r="E604" s="88"/>
      <c r="F604" s="88"/>
      <c r="G604" s="88"/>
      <c r="H604" s="88"/>
      <c r="I604" s="89"/>
      <c r="J604" s="164"/>
      <c r="K604" s="88"/>
    </row>
    <row r="605" ht="15.75" customHeight="1">
      <c r="A605" s="74"/>
      <c r="B605" s="2"/>
      <c r="C605" s="88"/>
      <c r="D605" s="88"/>
      <c r="E605" s="88"/>
      <c r="F605" s="88"/>
      <c r="G605" s="88"/>
      <c r="H605" s="88"/>
      <c r="I605" s="89"/>
      <c r="J605" s="164"/>
      <c r="K605" s="88"/>
    </row>
    <row r="606" ht="15.75" customHeight="1">
      <c r="A606" s="74"/>
      <c r="B606" s="2"/>
      <c r="C606" s="88"/>
      <c r="D606" s="88"/>
      <c r="E606" s="88"/>
      <c r="F606" s="88"/>
      <c r="G606" s="88"/>
      <c r="H606" s="88"/>
      <c r="I606" s="89"/>
      <c r="J606" s="164"/>
      <c r="K606" s="88"/>
    </row>
    <row r="607" ht="15.75" customHeight="1">
      <c r="A607" s="74"/>
      <c r="B607" s="2"/>
      <c r="C607" s="88"/>
      <c r="D607" s="88"/>
      <c r="E607" s="88"/>
      <c r="F607" s="88"/>
      <c r="G607" s="88"/>
      <c r="H607" s="88"/>
      <c r="I607" s="89"/>
      <c r="J607" s="164"/>
      <c r="K607" s="88"/>
    </row>
    <row r="608" ht="15.75" customHeight="1">
      <c r="A608" s="74"/>
      <c r="B608" s="2"/>
      <c r="C608" s="88"/>
      <c r="D608" s="88"/>
      <c r="E608" s="88"/>
      <c r="F608" s="88"/>
      <c r="G608" s="88"/>
      <c r="H608" s="88"/>
      <c r="I608" s="89"/>
      <c r="J608" s="164"/>
      <c r="K608" s="88"/>
    </row>
    <row r="609" ht="15.75" customHeight="1">
      <c r="A609" s="74"/>
      <c r="B609" s="2"/>
      <c r="C609" s="88"/>
      <c r="D609" s="88"/>
      <c r="E609" s="88"/>
      <c r="F609" s="88"/>
      <c r="G609" s="88"/>
      <c r="H609" s="88"/>
      <c r="I609" s="89"/>
      <c r="J609" s="164"/>
      <c r="K609" s="88"/>
    </row>
    <row r="610" ht="15.75" customHeight="1">
      <c r="A610" s="74"/>
      <c r="B610" s="2"/>
      <c r="C610" s="88"/>
      <c r="D610" s="88"/>
      <c r="E610" s="88"/>
      <c r="F610" s="88"/>
      <c r="G610" s="88"/>
      <c r="H610" s="88"/>
      <c r="I610" s="89"/>
      <c r="J610" s="164"/>
      <c r="K610" s="88"/>
    </row>
    <row r="611" ht="15.75" customHeight="1">
      <c r="A611" s="74"/>
      <c r="B611" s="2"/>
      <c r="C611" s="88"/>
      <c r="D611" s="88"/>
      <c r="E611" s="88"/>
      <c r="F611" s="88"/>
      <c r="G611" s="88"/>
      <c r="H611" s="88"/>
      <c r="I611" s="89"/>
      <c r="J611" s="164"/>
      <c r="K611" s="88"/>
    </row>
    <row r="612" ht="15.75" customHeight="1">
      <c r="A612" s="74"/>
      <c r="B612" s="2"/>
      <c r="C612" s="88"/>
      <c r="D612" s="88"/>
      <c r="E612" s="88"/>
      <c r="F612" s="88"/>
      <c r="G612" s="88"/>
      <c r="H612" s="88"/>
      <c r="I612" s="89"/>
      <c r="J612" s="164"/>
      <c r="K612" s="88"/>
    </row>
    <row r="613" ht="15.75" customHeight="1">
      <c r="A613" s="74"/>
      <c r="B613" s="2"/>
      <c r="C613" s="88"/>
      <c r="D613" s="88"/>
      <c r="E613" s="88"/>
      <c r="F613" s="88"/>
      <c r="G613" s="88"/>
      <c r="H613" s="88"/>
      <c r="I613" s="89"/>
      <c r="J613" s="164"/>
      <c r="K613" s="88"/>
    </row>
    <row r="614" ht="15.75" customHeight="1">
      <c r="A614" s="74"/>
      <c r="B614" s="2"/>
      <c r="C614" s="88"/>
      <c r="D614" s="88"/>
      <c r="E614" s="88"/>
      <c r="F614" s="88"/>
      <c r="G614" s="88"/>
      <c r="H614" s="88"/>
      <c r="I614" s="89"/>
      <c r="J614" s="164"/>
      <c r="K614" s="88"/>
    </row>
    <row r="615" ht="15.75" customHeight="1">
      <c r="A615" s="74"/>
      <c r="B615" s="2"/>
      <c r="C615" s="88"/>
      <c r="D615" s="88"/>
      <c r="E615" s="88"/>
      <c r="F615" s="88"/>
      <c r="G615" s="88"/>
      <c r="H615" s="88"/>
      <c r="I615" s="89"/>
      <c r="J615" s="164"/>
      <c r="K615" s="88"/>
    </row>
    <row r="616" ht="15.75" customHeight="1">
      <c r="A616" s="74"/>
      <c r="B616" s="2"/>
      <c r="C616" s="88"/>
      <c r="D616" s="88"/>
      <c r="E616" s="88"/>
      <c r="F616" s="88"/>
      <c r="G616" s="88"/>
      <c r="H616" s="88"/>
      <c r="I616" s="89"/>
      <c r="J616" s="164"/>
      <c r="K616" s="88"/>
    </row>
    <row r="617" ht="15.75" customHeight="1">
      <c r="A617" s="74"/>
      <c r="B617" s="2"/>
      <c r="C617" s="88"/>
      <c r="D617" s="88"/>
      <c r="E617" s="88"/>
      <c r="F617" s="88"/>
      <c r="G617" s="88"/>
      <c r="H617" s="88"/>
      <c r="I617" s="89"/>
      <c r="J617" s="164"/>
      <c r="K617" s="88"/>
    </row>
    <row r="618" ht="15.75" customHeight="1">
      <c r="A618" s="74"/>
      <c r="B618" s="2"/>
      <c r="C618" s="88"/>
      <c r="D618" s="88"/>
      <c r="E618" s="88"/>
      <c r="F618" s="88"/>
      <c r="G618" s="88"/>
      <c r="H618" s="88"/>
      <c r="I618" s="89"/>
      <c r="J618" s="164"/>
      <c r="K618" s="88"/>
    </row>
    <row r="619" ht="15.75" customHeight="1">
      <c r="A619" s="74"/>
      <c r="B619" s="2"/>
      <c r="C619" s="88"/>
      <c r="D619" s="88"/>
      <c r="E619" s="88"/>
      <c r="F619" s="88"/>
      <c r="G619" s="88"/>
      <c r="H619" s="88"/>
      <c r="I619" s="89"/>
      <c r="J619" s="164"/>
      <c r="K619" s="88"/>
    </row>
    <row r="620" ht="15.75" customHeight="1">
      <c r="A620" s="74"/>
      <c r="B620" s="2"/>
      <c r="C620" s="88"/>
      <c r="D620" s="88"/>
      <c r="E620" s="88"/>
      <c r="F620" s="88"/>
      <c r="G620" s="88"/>
      <c r="H620" s="88"/>
      <c r="I620" s="89"/>
      <c r="J620" s="164"/>
      <c r="K620" s="88"/>
    </row>
    <row r="621" ht="15.75" customHeight="1">
      <c r="A621" s="74"/>
      <c r="B621" s="2"/>
      <c r="C621" s="88"/>
      <c r="D621" s="88"/>
      <c r="E621" s="88"/>
      <c r="F621" s="88"/>
      <c r="G621" s="88"/>
      <c r="H621" s="88"/>
      <c r="I621" s="89"/>
      <c r="J621" s="164"/>
      <c r="K621" s="88"/>
    </row>
    <row r="622" ht="15.75" customHeight="1">
      <c r="A622" s="74"/>
      <c r="B622" s="2"/>
      <c r="C622" s="88"/>
      <c r="D622" s="88"/>
      <c r="E622" s="88"/>
      <c r="F622" s="88"/>
      <c r="G622" s="88"/>
      <c r="H622" s="88"/>
      <c r="I622" s="89"/>
      <c r="J622" s="164"/>
      <c r="K622" s="88"/>
    </row>
    <row r="623" ht="15.75" customHeight="1">
      <c r="A623" s="74"/>
      <c r="B623" s="2"/>
      <c r="C623" s="88"/>
      <c r="D623" s="88"/>
      <c r="E623" s="88"/>
      <c r="F623" s="88"/>
      <c r="G623" s="88"/>
      <c r="H623" s="88"/>
      <c r="I623" s="89"/>
      <c r="J623" s="164"/>
      <c r="K623" s="88"/>
    </row>
    <row r="624" ht="15.75" customHeight="1">
      <c r="A624" s="74"/>
      <c r="B624" s="2"/>
      <c r="C624" s="88"/>
      <c r="D624" s="88"/>
      <c r="E624" s="88"/>
      <c r="F624" s="88"/>
      <c r="G624" s="88"/>
      <c r="H624" s="88"/>
      <c r="I624" s="89"/>
      <c r="J624" s="164"/>
      <c r="K624" s="88"/>
    </row>
    <row r="625" ht="15.75" customHeight="1">
      <c r="A625" s="74"/>
      <c r="B625" s="2"/>
      <c r="C625" s="88"/>
      <c r="D625" s="88"/>
      <c r="E625" s="88"/>
      <c r="F625" s="88"/>
      <c r="G625" s="88"/>
      <c r="H625" s="88"/>
      <c r="I625" s="89"/>
      <c r="J625" s="164"/>
      <c r="K625" s="88"/>
    </row>
    <row r="626" ht="15.75" customHeight="1">
      <c r="A626" s="74"/>
      <c r="B626" s="2"/>
      <c r="C626" s="88"/>
      <c r="D626" s="88"/>
      <c r="E626" s="88"/>
      <c r="F626" s="88"/>
      <c r="G626" s="88"/>
      <c r="H626" s="88"/>
      <c r="I626" s="89"/>
      <c r="J626" s="164"/>
      <c r="K626" s="88"/>
    </row>
    <row r="627" ht="15.75" customHeight="1">
      <c r="A627" s="74"/>
      <c r="B627" s="2"/>
      <c r="C627" s="88"/>
      <c r="D627" s="88"/>
      <c r="E627" s="88"/>
      <c r="F627" s="88"/>
      <c r="G627" s="88"/>
      <c r="H627" s="88"/>
      <c r="I627" s="89"/>
      <c r="J627" s="164"/>
      <c r="K627" s="88"/>
    </row>
    <row r="628" ht="15.75" customHeight="1">
      <c r="A628" s="74"/>
      <c r="B628" s="2"/>
      <c r="C628" s="88"/>
      <c r="D628" s="88"/>
      <c r="E628" s="88"/>
      <c r="F628" s="88"/>
      <c r="G628" s="88"/>
      <c r="H628" s="88"/>
      <c r="I628" s="89"/>
      <c r="J628" s="164"/>
      <c r="K628" s="88"/>
    </row>
    <row r="629" ht="15.75" customHeight="1">
      <c r="A629" s="74"/>
      <c r="B629" s="2"/>
      <c r="C629" s="88"/>
      <c r="D629" s="88"/>
      <c r="E629" s="88"/>
      <c r="F629" s="88"/>
      <c r="G629" s="88"/>
      <c r="H629" s="88"/>
      <c r="I629" s="89"/>
      <c r="J629" s="164"/>
      <c r="K629" s="88"/>
    </row>
    <row r="630" ht="15.75" customHeight="1">
      <c r="A630" s="74"/>
      <c r="B630" s="2"/>
      <c r="C630" s="88"/>
      <c r="D630" s="88"/>
      <c r="E630" s="88"/>
      <c r="F630" s="88"/>
      <c r="G630" s="88"/>
      <c r="H630" s="88"/>
      <c r="I630" s="89"/>
      <c r="J630" s="164"/>
      <c r="K630" s="88"/>
    </row>
    <row r="631" ht="15.75" customHeight="1">
      <c r="A631" s="74"/>
      <c r="B631" s="2"/>
      <c r="C631" s="88"/>
      <c r="D631" s="88"/>
      <c r="E631" s="88"/>
      <c r="F631" s="88"/>
      <c r="G631" s="88"/>
      <c r="H631" s="88"/>
      <c r="I631" s="89"/>
      <c r="J631" s="164"/>
      <c r="K631" s="88"/>
    </row>
    <row r="632" ht="15.75" customHeight="1">
      <c r="A632" s="74"/>
      <c r="B632" s="2"/>
      <c r="C632" s="88"/>
      <c r="D632" s="88"/>
      <c r="E632" s="88"/>
      <c r="F632" s="88"/>
      <c r="G632" s="88"/>
      <c r="H632" s="88"/>
      <c r="I632" s="89"/>
      <c r="J632" s="164"/>
      <c r="K632" s="88"/>
    </row>
    <row r="633" ht="15.75" customHeight="1">
      <c r="A633" s="74"/>
      <c r="B633" s="2"/>
      <c r="C633" s="88"/>
      <c r="D633" s="88"/>
      <c r="E633" s="88"/>
      <c r="F633" s="88"/>
      <c r="G633" s="88"/>
      <c r="H633" s="88"/>
      <c r="I633" s="89"/>
      <c r="J633" s="164"/>
      <c r="K633" s="88"/>
    </row>
    <row r="634" ht="15.75" customHeight="1">
      <c r="A634" s="74"/>
      <c r="B634" s="2"/>
      <c r="C634" s="88"/>
      <c r="D634" s="88"/>
      <c r="E634" s="88"/>
      <c r="F634" s="88"/>
      <c r="G634" s="88"/>
      <c r="H634" s="88"/>
      <c r="I634" s="89"/>
      <c r="J634" s="164"/>
      <c r="K634" s="88"/>
    </row>
    <row r="635" ht="15.75" customHeight="1">
      <c r="A635" s="74"/>
      <c r="B635" s="2"/>
      <c r="C635" s="88"/>
      <c r="D635" s="88"/>
      <c r="E635" s="88"/>
      <c r="F635" s="88"/>
      <c r="G635" s="88"/>
      <c r="H635" s="88"/>
      <c r="I635" s="89"/>
      <c r="J635" s="164"/>
      <c r="K635" s="88"/>
    </row>
    <row r="636" ht="15.75" customHeight="1">
      <c r="A636" s="74"/>
      <c r="B636" s="2"/>
      <c r="C636" s="88"/>
      <c r="D636" s="88"/>
      <c r="E636" s="88"/>
      <c r="F636" s="88"/>
      <c r="G636" s="88"/>
      <c r="H636" s="88"/>
      <c r="I636" s="89"/>
      <c r="J636" s="164"/>
      <c r="K636" s="88"/>
    </row>
    <row r="637" ht="15.75" customHeight="1">
      <c r="A637" s="74"/>
      <c r="B637" s="2"/>
      <c r="C637" s="88"/>
      <c r="D637" s="88"/>
      <c r="E637" s="88"/>
      <c r="F637" s="88"/>
      <c r="G637" s="88"/>
      <c r="H637" s="88"/>
      <c r="I637" s="89"/>
      <c r="J637" s="164"/>
      <c r="K637" s="88"/>
    </row>
    <row r="638" ht="15.75" customHeight="1">
      <c r="A638" s="74"/>
      <c r="B638" s="2"/>
      <c r="C638" s="88"/>
      <c r="D638" s="88"/>
      <c r="E638" s="88"/>
      <c r="F638" s="88"/>
      <c r="G638" s="88"/>
      <c r="H638" s="88"/>
      <c r="I638" s="89"/>
      <c r="J638" s="164"/>
      <c r="K638" s="88"/>
    </row>
    <row r="639" ht="15.75" customHeight="1">
      <c r="A639" s="74"/>
      <c r="B639" s="2"/>
      <c r="C639" s="88"/>
      <c r="D639" s="88"/>
      <c r="E639" s="88"/>
      <c r="F639" s="88"/>
      <c r="G639" s="88"/>
      <c r="H639" s="88"/>
      <c r="I639" s="89"/>
      <c r="J639" s="164"/>
      <c r="K639" s="88"/>
    </row>
    <row r="640" ht="15.75" customHeight="1">
      <c r="A640" s="74"/>
      <c r="B640" s="2"/>
      <c r="C640" s="88"/>
      <c r="D640" s="88"/>
      <c r="E640" s="88"/>
      <c r="F640" s="88"/>
      <c r="G640" s="88"/>
      <c r="H640" s="88"/>
      <c r="I640" s="89"/>
      <c r="J640" s="164"/>
      <c r="K640" s="88"/>
    </row>
    <row r="641" ht="15.75" customHeight="1">
      <c r="A641" s="74"/>
      <c r="B641" s="2"/>
      <c r="C641" s="88"/>
      <c r="D641" s="88"/>
      <c r="E641" s="88"/>
      <c r="F641" s="88"/>
      <c r="G641" s="88"/>
      <c r="H641" s="88"/>
      <c r="I641" s="89"/>
      <c r="J641" s="164"/>
      <c r="K641" s="88"/>
    </row>
    <row r="642" ht="15.75" customHeight="1">
      <c r="A642" s="74"/>
      <c r="B642" s="2"/>
      <c r="C642" s="88"/>
      <c r="D642" s="88"/>
      <c r="E642" s="88"/>
      <c r="F642" s="88"/>
      <c r="G642" s="88"/>
      <c r="H642" s="88"/>
      <c r="I642" s="89"/>
      <c r="J642" s="164"/>
      <c r="K642" s="88"/>
    </row>
    <row r="643" ht="15.75" customHeight="1">
      <c r="A643" s="74"/>
      <c r="B643" s="2"/>
      <c r="C643" s="88"/>
      <c r="D643" s="88"/>
      <c r="E643" s="88"/>
      <c r="F643" s="88"/>
      <c r="G643" s="88"/>
      <c r="H643" s="88"/>
      <c r="I643" s="89"/>
      <c r="J643" s="164"/>
      <c r="K643" s="88"/>
    </row>
    <row r="644" ht="15.75" customHeight="1">
      <c r="A644" s="74"/>
      <c r="B644" s="2"/>
      <c r="C644" s="88"/>
      <c r="D644" s="88"/>
      <c r="E644" s="88"/>
      <c r="F644" s="88"/>
      <c r="G644" s="88"/>
      <c r="H644" s="88"/>
      <c r="I644" s="89"/>
      <c r="J644" s="164"/>
      <c r="K644" s="88"/>
    </row>
    <row r="645" ht="15.75" customHeight="1">
      <c r="A645" s="74"/>
      <c r="B645" s="2"/>
      <c r="C645" s="88"/>
      <c r="D645" s="88"/>
      <c r="E645" s="88"/>
      <c r="F645" s="88"/>
      <c r="G645" s="88"/>
      <c r="H645" s="88"/>
      <c r="I645" s="89"/>
      <c r="J645" s="164"/>
      <c r="K645" s="88"/>
    </row>
    <row r="646" ht="15.75" customHeight="1">
      <c r="A646" s="74"/>
      <c r="B646" s="2"/>
      <c r="C646" s="88"/>
      <c r="D646" s="88"/>
      <c r="E646" s="88"/>
      <c r="F646" s="88"/>
      <c r="G646" s="88"/>
      <c r="H646" s="88"/>
      <c r="I646" s="89"/>
      <c r="J646" s="164"/>
      <c r="K646" s="88"/>
    </row>
    <row r="647" ht="15.75" customHeight="1">
      <c r="A647" s="74"/>
      <c r="B647" s="2"/>
      <c r="C647" s="88"/>
      <c r="D647" s="88"/>
      <c r="E647" s="88"/>
      <c r="F647" s="88"/>
      <c r="G647" s="88"/>
      <c r="H647" s="88"/>
      <c r="I647" s="89"/>
      <c r="J647" s="164"/>
      <c r="K647" s="88"/>
    </row>
    <row r="648" ht="15.75" customHeight="1">
      <c r="A648" s="74"/>
      <c r="B648" s="2"/>
      <c r="C648" s="88"/>
      <c r="D648" s="88"/>
      <c r="E648" s="88"/>
      <c r="F648" s="88"/>
      <c r="G648" s="88"/>
      <c r="H648" s="88"/>
      <c r="I648" s="89"/>
      <c r="J648" s="164"/>
      <c r="K648" s="88"/>
    </row>
    <row r="649" ht="15.75" customHeight="1">
      <c r="A649" s="74"/>
      <c r="B649" s="2"/>
      <c r="C649" s="88"/>
      <c r="D649" s="88"/>
      <c r="E649" s="88"/>
      <c r="F649" s="88"/>
      <c r="G649" s="88"/>
      <c r="H649" s="88"/>
      <c r="I649" s="89"/>
      <c r="J649" s="164"/>
      <c r="K649" s="88"/>
    </row>
    <row r="650" ht="15.75" customHeight="1">
      <c r="A650" s="74"/>
      <c r="B650" s="2"/>
      <c r="C650" s="88"/>
      <c r="D650" s="88"/>
      <c r="E650" s="88"/>
      <c r="F650" s="88"/>
      <c r="G650" s="88"/>
      <c r="H650" s="88"/>
      <c r="I650" s="89"/>
      <c r="J650" s="164"/>
      <c r="K650" s="88"/>
    </row>
    <row r="651" ht="15.75" customHeight="1">
      <c r="A651" s="74"/>
      <c r="B651" s="2"/>
      <c r="C651" s="88"/>
      <c r="D651" s="88"/>
      <c r="E651" s="88"/>
      <c r="F651" s="88"/>
      <c r="G651" s="88"/>
      <c r="H651" s="88"/>
      <c r="I651" s="89"/>
      <c r="J651" s="164"/>
      <c r="K651" s="88"/>
    </row>
    <row r="652" ht="15.75" customHeight="1">
      <c r="A652" s="74"/>
      <c r="B652" s="2"/>
      <c r="C652" s="88"/>
      <c r="D652" s="88"/>
      <c r="E652" s="88"/>
      <c r="F652" s="88"/>
      <c r="G652" s="88"/>
      <c r="H652" s="88"/>
      <c r="I652" s="89"/>
      <c r="J652" s="164"/>
      <c r="K652" s="88"/>
    </row>
    <row r="653" ht="15.75" customHeight="1">
      <c r="A653" s="74"/>
      <c r="B653" s="2"/>
      <c r="C653" s="88"/>
      <c r="D653" s="88"/>
      <c r="E653" s="88"/>
      <c r="F653" s="88"/>
      <c r="G653" s="88"/>
      <c r="H653" s="88"/>
      <c r="I653" s="89"/>
      <c r="J653" s="164"/>
      <c r="K653" s="88"/>
    </row>
    <row r="654" ht="15.75" customHeight="1">
      <c r="A654" s="74"/>
      <c r="B654" s="2"/>
      <c r="C654" s="88"/>
      <c r="D654" s="88"/>
      <c r="E654" s="88"/>
      <c r="F654" s="88"/>
      <c r="G654" s="88"/>
      <c r="H654" s="88"/>
      <c r="I654" s="89"/>
      <c r="J654" s="164"/>
      <c r="K654" s="88"/>
    </row>
    <row r="655" ht="15.75" customHeight="1">
      <c r="A655" s="74"/>
      <c r="B655" s="2"/>
      <c r="C655" s="88"/>
      <c r="D655" s="88"/>
      <c r="E655" s="88"/>
      <c r="F655" s="88"/>
      <c r="G655" s="88"/>
      <c r="H655" s="88"/>
      <c r="I655" s="89"/>
      <c r="J655" s="164"/>
      <c r="K655" s="88"/>
    </row>
    <row r="656" ht="15.75" customHeight="1">
      <c r="A656" s="74"/>
      <c r="B656" s="2"/>
      <c r="C656" s="88"/>
      <c r="D656" s="88"/>
      <c r="E656" s="88"/>
      <c r="F656" s="88"/>
      <c r="G656" s="88"/>
      <c r="H656" s="88"/>
      <c r="I656" s="89"/>
      <c r="J656" s="164"/>
      <c r="K656" s="88"/>
    </row>
    <row r="657" ht="15.75" customHeight="1">
      <c r="A657" s="74"/>
      <c r="B657" s="2"/>
      <c r="C657" s="88"/>
      <c r="D657" s="88"/>
      <c r="E657" s="88"/>
      <c r="F657" s="88"/>
      <c r="G657" s="88"/>
      <c r="H657" s="88"/>
      <c r="I657" s="89"/>
      <c r="J657" s="164"/>
      <c r="K657" s="88"/>
    </row>
    <row r="658" ht="15.75" customHeight="1">
      <c r="A658" s="74"/>
      <c r="B658" s="2"/>
      <c r="C658" s="88"/>
      <c r="D658" s="88"/>
      <c r="E658" s="88"/>
      <c r="F658" s="88"/>
      <c r="G658" s="88"/>
      <c r="H658" s="88"/>
      <c r="I658" s="89"/>
      <c r="J658" s="164"/>
      <c r="K658" s="88"/>
    </row>
    <row r="659" ht="15.75" customHeight="1">
      <c r="A659" s="74"/>
      <c r="B659" s="2"/>
      <c r="C659" s="88"/>
      <c r="D659" s="88"/>
      <c r="E659" s="88"/>
      <c r="F659" s="88"/>
      <c r="G659" s="88"/>
      <c r="H659" s="88"/>
      <c r="I659" s="89"/>
      <c r="J659" s="164"/>
      <c r="K659" s="88"/>
    </row>
    <row r="660" ht="15.75" customHeight="1">
      <c r="A660" s="74"/>
      <c r="B660" s="2"/>
      <c r="C660" s="88"/>
      <c r="D660" s="88"/>
      <c r="E660" s="88"/>
      <c r="F660" s="88"/>
      <c r="G660" s="88"/>
      <c r="H660" s="88"/>
      <c r="I660" s="89"/>
      <c r="J660" s="164"/>
      <c r="K660" s="88"/>
    </row>
    <row r="661" ht="15.75" customHeight="1">
      <c r="A661" s="74"/>
      <c r="B661" s="2"/>
      <c r="C661" s="88"/>
      <c r="D661" s="88"/>
      <c r="E661" s="88"/>
      <c r="F661" s="88"/>
      <c r="G661" s="88"/>
      <c r="H661" s="88"/>
      <c r="I661" s="89"/>
      <c r="J661" s="164"/>
      <c r="K661" s="88"/>
    </row>
    <row r="662" ht="15.75" customHeight="1">
      <c r="A662" s="74"/>
      <c r="B662" s="2"/>
      <c r="C662" s="88"/>
      <c r="D662" s="88"/>
      <c r="E662" s="88"/>
      <c r="F662" s="88"/>
      <c r="G662" s="88"/>
      <c r="H662" s="88"/>
      <c r="I662" s="89"/>
      <c r="J662" s="164"/>
      <c r="K662" s="88"/>
    </row>
    <row r="663" ht="15.75" customHeight="1">
      <c r="A663" s="74"/>
      <c r="B663" s="2"/>
      <c r="C663" s="88"/>
      <c r="D663" s="88"/>
      <c r="E663" s="88"/>
      <c r="F663" s="88"/>
      <c r="G663" s="88"/>
      <c r="H663" s="88"/>
      <c r="I663" s="89"/>
      <c r="J663" s="164"/>
      <c r="K663" s="88"/>
    </row>
    <row r="664" ht="15.75" customHeight="1">
      <c r="A664" s="74"/>
      <c r="B664" s="2"/>
      <c r="C664" s="88"/>
      <c r="D664" s="88"/>
      <c r="E664" s="88"/>
      <c r="F664" s="88"/>
      <c r="G664" s="88"/>
      <c r="H664" s="88"/>
      <c r="I664" s="89"/>
      <c r="J664" s="164"/>
      <c r="K664" s="88"/>
    </row>
    <row r="665" ht="15.75" customHeight="1">
      <c r="A665" s="74"/>
      <c r="B665" s="2"/>
      <c r="C665" s="88"/>
      <c r="D665" s="88"/>
      <c r="E665" s="88"/>
      <c r="F665" s="88"/>
      <c r="G665" s="88"/>
      <c r="H665" s="88"/>
      <c r="I665" s="89"/>
      <c r="J665" s="164"/>
      <c r="K665" s="88"/>
    </row>
    <row r="666" ht="15.75" customHeight="1">
      <c r="A666" s="74"/>
      <c r="B666" s="2"/>
      <c r="C666" s="88"/>
      <c r="D666" s="88"/>
      <c r="E666" s="88"/>
      <c r="F666" s="88"/>
      <c r="G666" s="88"/>
      <c r="H666" s="88"/>
      <c r="I666" s="89"/>
      <c r="J666" s="164"/>
      <c r="K666" s="88"/>
    </row>
    <row r="667" ht="15.75" customHeight="1">
      <c r="A667" s="74"/>
      <c r="B667" s="2"/>
      <c r="C667" s="88"/>
      <c r="D667" s="88"/>
      <c r="E667" s="88"/>
      <c r="F667" s="88"/>
      <c r="G667" s="88"/>
      <c r="H667" s="88"/>
      <c r="I667" s="89"/>
      <c r="J667" s="164"/>
      <c r="K667" s="88"/>
    </row>
    <row r="668" ht="15.75" customHeight="1">
      <c r="A668" s="74"/>
      <c r="B668" s="2"/>
      <c r="C668" s="88"/>
      <c r="D668" s="88"/>
      <c r="E668" s="88"/>
      <c r="F668" s="88"/>
      <c r="G668" s="88"/>
      <c r="H668" s="88"/>
      <c r="I668" s="89"/>
      <c r="J668" s="164"/>
      <c r="K668" s="88"/>
    </row>
    <row r="669" ht="15.75" customHeight="1">
      <c r="A669" s="74"/>
      <c r="B669" s="2"/>
      <c r="C669" s="88"/>
      <c r="D669" s="88"/>
      <c r="E669" s="88"/>
      <c r="F669" s="88"/>
      <c r="G669" s="88"/>
      <c r="H669" s="88"/>
      <c r="I669" s="89"/>
      <c r="J669" s="164"/>
      <c r="K669" s="88"/>
    </row>
    <row r="670" ht="15.75" customHeight="1">
      <c r="A670" s="74"/>
      <c r="B670" s="2"/>
      <c r="C670" s="88"/>
      <c r="D670" s="88"/>
      <c r="E670" s="88"/>
      <c r="F670" s="88"/>
      <c r="G670" s="88"/>
      <c r="H670" s="88"/>
      <c r="I670" s="89"/>
      <c r="J670" s="164"/>
      <c r="K670" s="88"/>
    </row>
    <row r="671" ht="15.75" customHeight="1">
      <c r="A671" s="74"/>
      <c r="B671" s="2"/>
      <c r="C671" s="88"/>
      <c r="D671" s="88"/>
      <c r="E671" s="88"/>
      <c r="F671" s="88"/>
      <c r="G671" s="88"/>
      <c r="H671" s="88"/>
      <c r="I671" s="89"/>
      <c r="J671" s="164"/>
      <c r="K671" s="88"/>
    </row>
    <row r="672" ht="15.75" customHeight="1">
      <c r="A672" s="74"/>
      <c r="B672" s="2"/>
      <c r="C672" s="88"/>
      <c r="D672" s="88"/>
      <c r="E672" s="88"/>
      <c r="F672" s="88"/>
      <c r="G672" s="88"/>
      <c r="H672" s="88"/>
      <c r="I672" s="89"/>
      <c r="J672" s="164"/>
      <c r="K672" s="88"/>
    </row>
    <row r="673" ht="15.75" customHeight="1">
      <c r="A673" s="74"/>
      <c r="B673" s="2"/>
      <c r="C673" s="88"/>
      <c r="D673" s="88"/>
      <c r="E673" s="88"/>
      <c r="F673" s="88"/>
      <c r="G673" s="88"/>
      <c r="H673" s="88"/>
      <c r="I673" s="89"/>
      <c r="J673" s="164"/>
      <c r="K673" s="88"/>
    </row>
    <row r="674" ht="15.75" customHeight="1">
      <c r="A674" s="74"/>
      <c r="B674" s="2"/>
      <c r="C674" s="88"/>
      <c r="D674" s="88"/>
      <c r="E674" s="88"/>
      <c r="F674" s="88"/>
      <c r="G674" s="88"/>
      <c r="H674" s="88"/>
      <c r="I674" s="89"/>
      <c r="J674" s="164"/>
      <c r="K674" s="88"/>
    </row>
    <row r="675" ht="15.75" customHeight="1">
      <c r="A675" s="74"/>
      <c r="B675" s="2"/>
      <c r="C675" s="88"/>
      <c r="D675" s="88"/>
      <c r="E675" s="88"/>
      <c r="F675" s="88"/>
      <c r="G675" s="88"/>
      <c r="H675" s="88"/>
      <c r="I675" s="89"/>
      <c r="J675" s="164"/>
      <c r="K675" s="88"/>
    </row>
    <row r="676" ht="15.75" customHeight="1">
      <c r="A676" s="74"/>
      <c r="B676" s="2"/>
      <c r="C676" s="88"/>
      <c r="D676" s="88"/>
      <c r="E676" s="88"/>
      <c r="F676" s="88"/>
      <c r="G676" s="88"/>
      <c r="H676" s="88"/>
      <c r="I676" s="89"/>
      <c r="J676" s="164"/>
      <c r="K676" s="88"/>
    </row>
    <row r="677" ht="15.75" customHeight="1">
      <c r="A677" s="74"/>
      <c r="B677" s="2"/>
      <c r="C677" s="88"/>
      <c r="D677" s="88"/>
      <c r="E677" s="88"/>
      <c r="F677" s="88"/>
      <c r="G677" s="88"/>
      <c r="H677" s="88"/>
      <c r="I677" s="89"/>
      <c r="J677" s="164"/>
      <c r="K677" s="88"/>
    </row>
    <row r="678" ht="15.75" customHeight="1">
      <c r="A678" s="74"/>
      <c r="B678" s="2"/>
      <c r="C678" s="88"/>
      <c r="D678" s="88"/>
      <c r="E678" s="88"/>
      <c r="F678" s="88"/>
      <c r="G678" s="88"/>
      <c r="H678" s="88"/>
      <c r="I678" s="89"/>
      <c r="J678" s="164"/>
      <c r="K678" s="88"/>
    </row>
    <row r="679" ht="15.75" customHeight="1">
      <c r="A679" s="74"/>
      <c r="B679" s="2"/>
      <c r="C679" s="88"/>
      <c r="D679" s="88"/>
      <c r="E679" s="88"/>
      <c r="F679" s="88"/>
      <c r="G679" s="88"/>
      <c r="H679" s="88"/>
      <c r="I679" s="89"/>
      <c r="J679" s="164"/>
      <c r="K679" s="88"/>
    </row>
    <row r="680" ht="15.75" customHeight="1">
      <c r="A680" s="74"/>
      <c r="B680" s="2"/>
      <c r="C680" s="88"/>
      <c r="D680" s="88"/>
      <c r="E680" s="88"/>
      <c r="F680" s="88"/>
      <c r="G680" s="88"/>
      <c r="H680" s="88"/>
      <c r="I680" s="89"/>
      <c r="J680" s="164"/>
      <c r="K680" s="88"/>
    </row>
    <row r="681" ht="15.75" customHeight="1">
      <c r="A681" s="74"/>
      <c r="B681" s="2"/>
      <c r="C681" s="88"/>
      <c r="D681" s="88"/>
      <c r="E681" s="88"/>
      <c r="F681" s="88"/>
      <c r="G681" s="88"/>
      <c r="H681" s="88"/>
      <c r="I681" s="89"/>
      <c r="J681" s="164"/>
      <c r="K681" s="88"/>
    </row>
    <row r="682" ht="15.75" customHeight="1">
      <c r="A682" s="74"/>
      <c r="B682" s="2"/>
      <c r="C682" s="88"/>
      <c r="D682" s="88"/>
      <c r="E682" s="88"/>
      <c r="F682" s="88"/>
      <c r="G682" s="88"/>
      <c r="H682" s="88"/>
      <c r="I682" s="89"/>
      <c r="J682" s="164"/>
      <c r="K682" s="88"/>
    </row>
    <row r="683" ht="15.75" customHeight="1">
      <c r="A683" s="74"/>
      <c r="B683" s="2"/>
      <c r="C683" s="88"/>
      <c r="D683" s="88"/>
      <c r="E683" s="88"/>
      <c r="F683" s="88"/>
      <c r="G683" s="88"/>
      <c r="H683" s="88"/>
      <c r="I683" s="89"/>
      <c r="J683" s="164"/>
      <c r="K683" s="88"/>
    </row>
    <row r="684" ht="15.75" customHeight="1">
      <c r="A684" s="74"/>
      <c r="B684" s="2"/>
      <c r="C684" s="88"/>
      <c r="D684" s="88"/>
      <c r="E684" s="88"/>
      <c r="F684" s="88"/>
      <c r="G684" s="88"/>
      <c r="H684" s="88"/>
      <c r="I684" s="89"/>
      <c r="J684" s="164"/>
      <c r="K684" s="88"/>
    </row>
    <row r="685" ht="15.75" customHeight="1">
      <c r="A685" s="74"/>
      <c r="B685" s="2"/>
      <c r="C685" s="88"/>
      <c r="D685" s="88"/>
      <c r="E685" s="88"/>
      <c r="F685" s="88"/>
      <c r="G685" s="88"/>
      <c r="H685" s="88"/>
      <c r="I685" s="89"/>
      <c r="J685" s="164"/>
      <c r="K685" s="88"/>
    </row>
    <row r="686" ht="15.75" customHeight="1">
      <c r="A686" s="74"/>
      <c r="B686" s="2"/>
      <c r="C686" s="88"/>
      <c r="D686" s="88"/>
      <c r="E686" s="88"/>
      <c r="F686" s="88"/>
      <c r="G686" s="88"/>
      <c r="H686" s="88"/>
      <c r="I686" s="89"/>
      <c r="J686" s="164"/>
      <c r="K686" s="88"/>
    </row>
    <row r="687" ht="15.75" customHeight="1">
      <c r="A687" s="74"/>
      <c r="B687" s="2"/>
      <c r="C687" s="88"/>
      <c r="D687" s="88"/>
      <c r="E687" s="88"/>
      <c r="F687" s="88"/>
      <c r="G687" s="88"/>
      <c r="H687" s="88"/>
      <c r="I687" s="89"/>
      <c r="J687" s="164"/>
      <c r="K687" s="88"/>
    </row>
    <row r="688" ht="15.75" customHeight="1">
      <c r="A688" s="74"/>
      <c r="B688" s="2"/>
      <c r="C688" s="88"/>
      <c r="D688" s="88"/>
      <c r="E688" s="88"/>
      <c r="F688" s="88"/>
      <c r="G688" s="88"/>
      <c r="H688" s="88"/>
      <c r="I688" s="89"/>
      <c r="J688" s="164"/>
      <c r="K688" s="88"/>
    </row>
    <row r="689" ht="15.75" customHeight="1">
      <c r="A689" s="74"/>
      <c r="B689" s="2"/>
      <c r="C689" s="88"/>
      <c r="D689" s="88"/>
      <c r="E689" s="88"/>
      <c r="F689" s="88"/>
      <c r="G689" s="88"/>
      <c r="H689" s="88"/>
      <c r="I689" s="89"/>
      <c r="J689" s="164"/>
      <c r="K689" s="88"/>
    </row>
    <row r="690" ht="15.75" customHeight="1">
      <c r="A690" s="74"/>
      <c r="B690" s="2"/>
      <c r="C690" s="88"/>
      <c r="D690" s="88"/>
      <c r="E690" s="88"/>
      <c r="F690" s="88"/>
      <c r="G690" s="88"/>
      <c r="H690" s="88"/>
      <c r="I690" s="89"/>
      <c r="J690" s="164"/>
      <c r="K690" s="88"/>
    </row>
    <row r="691" ht="15.75" customHeight="1">
      <c r="A691" s="74"/>
      <c r="B691" s="2"/>
      <c r="C691" s="88"/>
      <c r="D691" s="88"/>
      <c r="E691" s="88"/>
      <c r="F691" s="88"/>
      <c r="G691" s="88"/>
      <c r="H691" s="88"/>
      <c r="I691" s="89"/>
      <c r="J691" s="164"/>
      <c r="K691" s="88"/>
    </row>
    <row r="692" ht="15.75" customHeight="1">
      <c r="A692" s="74"/>
      <c r="B692" s="2"/>
      <c r="C692" s="88"/>
      <c r="D692" s="88"/>
      <c r="E692" s="88"/>
      <c r="F692" s="88"/>
      <c r="G692" s="88"/>
      <c r="H692" s="88"/>
      <c r="I692" s="89"/>
      <c r="J692" s="164"/>
      <c r="K692" s="88"/>
    </row>
    <row r="693" ht="15.75" customHeight="1">
      <c r="A693" s="74"/>
      <c r="B693" s="2"/>
      <c r="C693" s="88"/>
      <c r="D693" s="88"/>
      <c r="E693" s="88"/>
      <c r="F693" s="88"/>
      <c r="G693" s="88"/>
      <c r="H693" s="88"/>
      <c r="I693" s="89"/>
      <c r="J693" s="164"/>
      <c r="K693" s="88"/>
    </row>
    <row r="694" ht="15.75" customHeight="1">
      <c r="A694" s="74"/>
      <c r="B694" s="2"/>
      <c r="C694" s="88"/>
      <c r="D694" s="88"/>
      <c r="E694" s="88"/>
      <c r="F694" s="88"/>
      <c r="G694" s="88"/>
      <c r="H694" s="88"/>
      <c r="I694" s="89"/>
      <c r="J694" s="164"/>
      <c r="K694" s="88"/>
    </row>
    <row r="695" ht="15.75" customHeight="1">
      <c r="A695" s="74"/>
      <c r="B695" s="2"/>
      <c r="C695" s="88"/>
      <c r="D695" s="88"/>
      <c r="E695" s="88"/>
      <c r="F695" s="88"/>
      <c r="G695" s="88"/>
      <c r="H695" s="88"/>
      <c r="I695" s="89"/>
      <c r="J695" s="164"/>
      <c r="K695" s="88"/>
    </row>
    <row r="696" ht="15.75" customHeight="1">
      <c r="A696" s="74"/>
      <c r="B696" s="2"/>
      <c r="C696" s="88"/>
      <c r="D696" s="88"/>
      <c r="E696" s="88"/>
      <c r="F696" s="88"/>
      <c r="G696" s="88"/>
      <c r="H696" s="88"/>
      <c r="I696" s="89"/>
      <c r="J696" s="164"/>
      <c r="K696" s="88"/>
    </row>
    <row r="697" ht="15.75" customHeight="1">
      <c r="A697" s="74"/>
      <c r="B697" s="2"/>
      <c r="C697" s="88"/>
      <c r="D697" s="88"/>
      <c r="E697" s="88"/>
      <c r="F697" s="88"/>
      <c r="G697" s="88"/>
      <c r="H697" s="88"/>
      <c r="I697" s="89"/>
      <c r="J697" s="164"/>
      <c r="K697" s="88"/>
    </row>
    <row r="698" ht="15.75" customHeight="1">
      <c r="A698" s="74"/>
      <c r="B698" s="2"/>
      <c r="C698" s="88"/>
      <c r="D698" s="88"/>
      <c r="E698" s="88"/>
      <c r="F698" s="88"/>
      <c r="G698" s="88"/>
      <c r="H698" s="88"/>
      <c r="I698" s="89"/>
      <c r="J698" s="164"/>
      <c r="K698" s="88"/>
    </row>
    <row r="699" ht="15.75" customHeight="1">
      <c r="A699" s="74"/>
      <c r="B699" s="2"/>
      <c r="C699" s="88"/>
      <c r="D699" s="88"/>
      <c r="E699" s="88"/>
      <c r="F699" s="88"/>
      <c r="G699" s="88"/>
      <c r="H699" s="88"/>
      <c r="I699" s="89"/>
      <c r="J699" s="164"/>
      <c r="K699" s="88"/>
    </row>
    <row r="700" ht="15.75" customHeight="1">
      <c r="A700" s="74"/>
      <c r="B700" s="2"/>
      <c r="C700" s="88"/>
      <c r="D700" s="88"/>
      <c r="E700" s="88"/>
      <c r="F700" s="88"/>
      <c r="G700" s="88"/>
      <c r="H700" s="88"/>
      <c r="I700" s="89"/>
      <c r="J700" s="164"/>
      <c r="K700" s="88"/>
    </row>
    <row r="701" ht="15.75" customHeight="1">
      <c r="A701" s="74"/>
      <c r="B701" s="2"/>
      <c r="C701" s="88"/>
      <c r="D701" s="88"/>
      <c r="E701" s="88"/>
      <c r="F701" s="88"/>
      <c r="G701" s="88"/>
      <c r="H701" s="88"/>
      <c r="I701" s="89"/>
      <c r="J701" s="164"/>
      <c r="K701" s="88"/>
    </row>
    <row r="702" ht="15.75" customHeight="1">
      <c r="A702" s="74"/>
      <c r="B702" s="2"/>
      <c r="C702" s="88"/>
      <c r="D702" s="88"/>
      <c r="E702" s="88"/>
      <c r="F702" s="88"/>
      <c r="G702" s="88"/>
      <c r="H702" s="88"/>
      <c r="I702" s="89"/>
      <c r="J702" s="164"/>
      <c r="K702" s="88"/>
    </row>
    <row r="703" ht="15.75" customHeight="1">
      <c r="A703" s="74"/>
      <c r="B703" s="2"/>
      <c r="C703" s="88"/>
      <c r="D703" s="88"/>
      <c r="E703" s="88"/>
      <c r="F703" s="88"/>
      <c r="G703" s="88"/>
      <c r="H703" s="88"/>
      <c r="I703" s="89"/>
      <c r="J703" s="164"/>
      <c r="K703" s="88"/>
    </row>
    <row r="704" ht="15.75" customHeight="1">
      <c r="A704" s="74"/>
      <c r="B704" s="2"/>
      <c r="C704" s="88"/>
      <c r="D704" s="88"/>
      <c r="E704" s="88"/>
      <c r="F704" s="88"/>
      <c r="G704" s="88"/>
      <c r="H704" s="88"/>
      <c r="I704" s="89"/>
      <c r="J704" s="164"/>
      <c r="K704" s="88"/>
    </row>
    <row r="705" ht="15.75" customHeight="1">
      <c r="A705" s="74"/>
      <c r="B705" s="2"/>
      <c r="C705" s="88"/>
      <c r="D705" s="88"/>
      <c r="E705" s="88"/>
      <c r="F705" s="88"/>
      <c r="G705" s="88"/>
      <c r="H705" s="88"/>
      <c r="I705" s="89"/>
      <c r="J705" s="164"/>
      <c r="K705" s="88"/>
    </row>
    <row r="706" ht="15.75" customHeight="1">
      <c r="A706" s="74"/>
      <c r="B706" s="2"/>
      <c r="C706" s="88"/>
      <c r="D706" s="88"/>
      <c r="E706" s="88"/>
      <c r="F706" s="88"/>
      <c r="G706" s="88"/>
      <c r="H706" s="88"/>
      <c r="I706" s="89"/>
      <c r="J706" s="164"/>
      <c r="K706" s="88"/>
    </row>
    <row r="707" ht="15.75" customHeight="1">
      <c r="A707" s="74"/>
      <c r="B707" s="2"/>
      <c r="C707" s="88"/>
      <c r="D707" s="88"/>
      <c r="E707" s="88"/>
      <c r="F707" s="88"/>
      <c r="G707" s="88"/>
      <c r="H707" s="88"/>
      <c r="I707" s="89"/>
      <c r="J707" s="164"/>
      <c r="K707" s="88"/>
    </row>
    <row r="708" ht="15.75" customHeight="1">
      <c r="A708" s="74"/>
      <c r="B708" s="2"/>
      <c r="C708" s="88"/>
      <c r="D708" s="88"/>
      <c r="E708" s="88"/>
      <c r="F708" s="88"/>
      <c r="G708" s="88"/>
      <c r="H708" s="88"/>
      <c r="I708" s="89"/>
      <c r="J708" s="164"/>
      <c r="K708" s="88"/>
    </row>
    <row r="709" ht="15.75" customHeight="1">
      <c r="A709" s="74"/>
      <c r="B709" s="2"/>
      <c r="C709" s="88"/>
      <c r="D709" s="88"/>
      <c r="E709" s="88"/>
      <c r="F709" s="88"/>
      <c r="G709" s="88"/>
      <c r="H709" s="88"/>
      <c r="I709" s="89"/>
      <c r="J709" s="164"/>
      <c r="K709" s="88"/>
    </row>
    <row r="710" ht="15.75" customHeight="1">
      <c r="A710" s="74"/>
      <c r="B710" s="2"/>
      <c r="C710" s="88"/>
      <c r="D710" s="88"/>
      <c r="E710" s="88"/>
      <c r="F710" s="88"/>
      <c r="G710" s="88"/>
      <c r="H710" s="88"/>
      <c r="I710" s="89"/>
      <c r="J710" s="164"/>
      <c r="K710" s="88"/>
    </row>
    <row r="711" ht="15.75" customHeight="1">
      <c r="A711" s="74"/>
      <c r="B711" s="2"/>
      <c r="C711" s="88"/>
      <c r="D711" s="88"/>
      <c r="E711" s="88"/>
      <c r="F711" s="88"/>
      <c r="G711" s="88"/>
      <c r="H711" s="88"/>
      <c r="I711" s="89"/>
      <c r="J711" s="164"/>
      <c r="K711" s="88"/>
    </row>
    <row r="712" ht="15.75" customHeight="1">
      <c r="A712" s="74"/>
      <c r="B712" s="2"/>
      <c r="C712" s="88"/>
      <c r="D712" s="88"/>
      <c r="E712" s="88"/>
      <c r="F712" s="88"/>
      <c r="G712" s="88"/>
      <c r="H712" s="88"/>
      <c r="I712" s="89"/>
      <c r="J712" s="164"/>
      <c r="K712" s="88"/>
    </row>
    <row r="713" ht="15.75" customHeight="1">
      <c r="A713" s="74"/>
      <c r="B713" s="2"/>
      <c r="C713" s="88"/>
      <c r="D713" s="88"/>
      <c r="E713" s="88"/>
      <c r="F713" s="88"/>
      <c r="G713" s="88"/>
      <c r="H713" s="88"/>
      <c r="I713" s="89"/>
      <c r="J713" s="164"/>
      <c r="K713" s="88"/>
    </row>
    <row r="714" ht="15.75" customHeight="1">
      <c r="A714" s="74"/>
      <c r="B714" s="2"/>
      <c r="C714" s="88"/>
      <c r="D714" s="88"/>
      <c r="E714" s="88"/>
      <c r="F714" s="88"/>
      <c r="G714" s="88"/>
      <c r="H714" s="88"/>
      <c r="I714" s="89"/>
      <c r="J714" s="164"/>
      <c r="K714" s="88"/>
    </row>
    <row r="715" ht="15.75" customHeight="1">
      <c r="A715" s="74"/>
      <c r="B715" s="2"/>
      <c r="C715" s="88"/>
      <c r="D715" s="88"/>
      <c r="E715" s="88"/>
      <c r="F715" s="88"/>
      <c r="G715" s="88"/>
      <c r="H715" s="88"/>
      <c r="I715" s="89"/>
      <c r="J715" s="164"/>
      <c r="K715" s="88"/>
    </row>
    <row r="716" ht="15.75" customHeight="1">
      <c r="A716" s="74"/>
      <c r="B716" s="2"/>
      <c r="C716" s="88"/>
      <c r="D716" s="88"/>
      <c r="E716" s="88"/>
      <c r="F716" s="88"/>
      <c r="G716" s="88"/>
      <c r="H716" s="88"/>
      <c r="I716" s="89"/>
      <c r="J716" s="164"/>
      <c r="K716" s="88"/>
    </row>
    <row r="717" ht="15.75" customHeight="1">
      <c r="A717" s="74"/>
      <c r="B717" s="2"/>
      <c r="C717" s="88"/>
      <c r="D717" s="88"/>
      <c r="E717" s="88"/>
      <c r="F717" s="88"/>
      <c r="G717" s="88"/>
      <c r="H717" s="88"/>
      <c r="I717" s="89"/>
      <c r="J717" s="164"/>
      <c r="K717" s="88"/>
    </row>
    <row r="718" ht="15.75" customHeight="1">
      <c r="A718" s="74"/>
      <c r="B718" s="2"/>
      <c r="C718" s="88"/>
      <c r="D718" s="88"/>
      <c r="E718" s="88"/>
      <c r="F718" s="88"/>
      <c r="G718" s="88"/>
      <c r="H718" s="88"/>
      <c r="I718" s="89"/>
      <c r="J718" s="164"/>
      <c r="K718" s="88"/>
    </row>
    <row r="719" ht="15.75" customHeight="1">
      <c r="A719" s="74"/>
      <c r="B719" s="2"/>
      <c r="C719" s="88"/>
      <c r="D719" s="88"/>
      <c r="E719" s="88"/>
      <c r="F719" s="88"/>
      <c r="G719" s="88"/>
      <c r="H719" s="88"/>
      <c r="I719" s="89"/>
      <c r="J719" s="164"/>
      <c r="K719" s="88"/>
    </row>
    <row r="720" ht="15.75" customHeight="1">
      <c r="A720" s="74"/>
      <c r="B720" s="2"/>
      <c r="C720" s="88"/>
      <c r="D720" s="88"/>
      <c r="E720" s="88"/>
      <c r="F720" s="88"/>
      <c r="G720" s="88"/>
      <c r="H720" s="88"/>
      <c r="I720" s="89"/>
      <c r="J720" s="164"/>
      <c r="K720" s="88"/>
    </row>
    <row r="721" ht="15.75" customHeight="1">
      <c r="A721" s="74"/>
      <c r="B721" s="2"/>
      <c r="C721" s="88"/>
      <c r="D721" s="88"/>
      <c r="E721" s="88"/>
      <c r="F721" s="88"/>
      <c r="G721" s="88"/>
      <c r="H721" s="88"/>
      <c r="I721" s="89"/>
      <c r="J721" s="164"/>
      <c r="K721" s="88"/>
    </row>
    <row r="722" ht="15.75" customHeight="1">
      <c r="A722" s="74"/>
      <c r="B722" s="2"/>
      <c r="C722" s="88"/>
      <c r="D722" s="88"/>
      <c r="E722" s="88"/>
      <c r="F722" s="88"/>
      <c r="G722" s="88"/>
      <c r="H722" s="88"/>
      <c r="I722" s="89"/>
      <c r="J722" s="164"/>
      <c r="K722" s="88"/>
    </row>
    <row r="723" ht="15.75" customHeight="1">
      <c r="A723" s="74"/>
      <c r="B723" s="2"/>
      <c r="C723" s="88"/>
      <c r="D723" s="88"/>
      <c r="E723" s="88"/>
      <c r="F723" s="88"/>
      <c r="G723" s="88"/>
      <c r="H723" s="88"/>
      <c r="I723" s="89"/>
      <c r="J723" s="164"/>
      <c r="K723" s="88"/>
    </row>
    <row r="724" ht="15.75" customHeight="1">
      <c r="A724" s="74"/>
      <c r="B724" s="2"/>
      <c r="C724" s="88"/>
      <c r="D724" s="88"/>
      <c r="E724" s="88"/>
      <c r="F724" s="88"/>
      <c r="G724" s="88"/>
      <c r="H724" s="88"/>
      <c r="I724" s="89"/>
      <c r="J724" s="164"/>
      <c r="K724" s="88"/>
    </row>
    <row r="725" ht="15.75" customHeight="1">
      <c r="A725" s="74"/>
      <c r="B725" s="2"/>
      <c r="C725" s="88"/>
      <c r="D725" s="88"/>
      <c r="E725" s="88"/>
      <c r="F725" s="88"/>
      <c r="G725" s="88"/>
      <c r="H725" s="88"/>
      <c r="I725" s="89"/>
      <c r="J725" s="164"/>
      <c r="K725" s="88"/>
    </row>
    <row r="726" ht="15.75" customHeight="1">
      <c r="A726" s="74"/>
      <c r="B726" s="2"/>
      <c r="C726" s="88"/>
      <c r="D726" s="88"/>
      <c r="E726" s="88"/>
      <c r="F726" s="88"/>
      <c r="G726" s="88"/>
      <c r="H726" s="88"/>
      <c r="I726" s="89"/>
      <c r="J726" s="164"/>
      <c r="K726" s="88"/>
    </row>
    <row r="727" ht="15.75" customHeight="1">
      <c r="A727" s="74"/>
      <c r="B727" s="2"/>
      <c r="C727" s="88"/>
      <c r="D727" s="88"/>
      <c r="E727" s="88"/>
      <c r="F727" s="88"/>
      <c r="G727" s="88"/>
      <c r="H727" s="88"/>
      <c r="I727" s="89"/>
      <c r="J727" s="164"/>
      <c r="K727" s="88"/>
    </row>
    <row r="728" ht="15.75" customHeight="1">
      <c r="A728" s="74"/>
      <c r="B728" s="2"/>
      <c r="C728" s="88"/>
      <c r="D728" s="88"/>
      <c r="E728" s="88"/>
      <c r="F728" s="88"/>
      <c r="G728" s="88"/>
      <c r="H728" s="88"/>
      <c r="I728" s="89"/>
      <c r="J728" s="164"/>
      <c r="K728" s="88"/>
    </row>
    <row r="729" ht="15.75" customHeight="1">
      <c r="A729" s="74"/>
      <c r="B729" s="2"/>
      <c r="C729" s="88"/>
      <c r="D729" s="88"/>
      <c r="E729" s="88"/>
      <c r="F729" s="88"/>
      <c r="G729" s="88"/>
      <c r="H729" s="88"/>
      <c r="I729" s="89"/>
      <c r="J729" s="164"/>
      <c r="K729" s="88"/>
    </row>
    <row r="730" ht="15.75" customHeight="1">
      <c r="A730" s="74"/>
      <c r="B730" s="2"/>
      <c r="C730" s="88"/>
      <c r="D730" s="88"/>
      <c r="E730" s="88"/>
      <c r="F730" s="88"/>
      <c r="G730" s="88"/>
      <c r="H730" s="88"/>
      <c r="I730" s="89"/>
      <c r="J730" s="164"/>
      <c r="K730" s="88"/>
    </row>
    <row r="731" ht="15.75" customHeight="1">
      <c r="A731" s="74"/>
      <c r="B731" s="2"/>
      <c r="C731" s="88"/>
      <c r="D731" s="88"/>
      <c r="E731" s="88"/>
      <c r="F731" s="88"/>
      <c r="G731" s="88"/>
      <c r="H731" s="88"/>
      <c r="I731" s="89"/>
      <c r="J731" s="164"/>
      <c r="K731" s="88"/>
    </row>
    <row r="732" ht="15.75" customHeight="1">
      <c r="A732" s="74"/>
      <c r="B732" s="2"/>
      <c r="C732" s="88"/>
      <c r="D732" s="88"/>
      <c r="E732" s="88"/>
      <c r="F732" s="88"/>
      <c r="G732" s="88"/>
      <c r="H732" s="88"/>
      <c r="I732" s="89"/>
      <c r="J732" s="164"/>
      <c r="K732" s="88"/>
    </row>
    <row r="733" ht="15.75" customHeight="1">
      <c r="A733" s="74"/>
      <c r="B733" s="2"/>
      <c r="C733" s="88"/>
      <c r="D733" s="88"/>
      <c r="E733" s="88"/>
      <c r="F733" s="88"/>
      <c r="G733" s="88"/>
      <c r="H733" s="88"/>
      <c r="I733" s="89"/>
      <c r="J733" s="164"/>
      <c r="K733" s="88"/>
    </row>
    <row r="734" ht="15.75" customHeight="1">
      <c r="A734" s="74"/>
      <c r="B734" s="2"/>
      <c r="C734" s="88"/>
      <c r="D734" s="88"/>
      <c r="E734" s="88"/>
      <c r="F734" s="88"/>
      <c r="G734" s="88"/>
      <c r="H734" s="88"/>
      <c r="I734" s="89"/>
      <c r="J734" s="164"/>
      <c r="K734" s="88"/>
    </row>
    <row r="735" ht="15.75" customHeight="1">
      <c r="A735" s="74"/>
      <c r="B735" s="2"/>
      <c r="C735" s="88"/>
      <c r="D735" s="88"/>
      <c r="E735" s="88"/>
      <c r="F735" s="88"/>
      <c r="G735" s="88"/>
      <c r="H735" s="88"/>
      <c r="I735" s="89"/>
      <c r="J735" s="164"/>
      <c r="K735" s="88"/>
    </row>
    <row r="736" ht="15.75" customHeight="1">
      <c r="A736" s="74"/>
      <c r="B736" s="2"/>
      <c r="C736" s="88"/>
      <c r="D736" s="88"/>
      <c r="E736" s="88"/>
      <c r="F736" s="88"/>
      <c r="G736" s="88"/>
      <c r="H736" s="88"/>
      <c r="I736" s="89"/>
      <c r="J736" s="164"/>
      <c r="K736" s="88"/>
    </row>
    <row r="737" ht="15.75" customHeight="1">
      <c r="A737" s="74"/>
      <c r="B737" s="2"/>
      <c r="C737" s="88"/>
      <c r="D737" s="88"/>
      <c r="E737" s="88"/>
      <c r="F737" s="88"/>
      <c r="G737" s="88"/>
      <c r="H737" s="88"/>
      <c r="I737" s="89"/>
      <c r="J737" s="164"/>
      <c r="K737" s="88"/>
    </row>
    <row r="738" ht="15.75" customHeight="1">
      <c r="A738" s="74"/>
      <c r="B738" s="2"/>
      <c r="C738" s="88"/>
      <c r="D738" s="88"/>
      <c r="E738" s="88"/>
      <c r="F738" s="88"/>
      <c r="G738" s="88"/>
      <c r="H738" s="88"/>
      <c r="I738" s="89"/>
      <c r="J738" s="164"/>
      <c r="K738" s="88"/>
    </row>
    <row r="739" ht="15.75" customHeight="1">
      <c r="A739" s="74"/>
      <c r="B739" s="2"/>
      <c r="C739" s="88"/>
      <c r="D739" s="88"/>
      <c r="E739" s="88"/>
      <c r="F739" s="88"/>
      <c r="G739" s="88"/>
      <c r="H739" s="88"/>
      <c r="I739" s="89"/>
      <c r="J739" s="164"/>
      <c r="K739" s="88"/>
    </row>
    <row r="740" ht="15.75" customHeight="1">
      <c r="A740" s="74"/>
      <c r="B740" s="2"/>
      <c r="C740" s="88"/>
      <c r="D740" s="88"/>
      <c r="E740" s="88"/>
      <c r="F740" s="88"/>
      <c r="G740" s="88"/>
      <c r="H740" s="88"/>
      <c r="I740" s="89"/>
      <c r="J740" s="164"/>
      <c r="K740" s="88"/>
    </row>
    <row r="741" ht="15.75" customHeight="1">
      <c r="A741" s="74"/>
      <c r="B741" s="2"/>
      <c r="C741" s="88"/>
      <c r="D741" s="88"/>
      <c r="E741" s="88"/>
      <c r="F741" s="88"/>
      <c r="G741" s="88"/>
      <c r="H741" s="88"/>
      <c r="I741" s="89"/>
      <c r="J741" s="164"/>
      <c r="K741" s="88"/>
    </row>
    <row r="742" ht="15.75" customHeight="1">
      <c r="A742" s="74"/>
      <c r="B742" s="2"/>
      <c r="C742" s="88"/>
      <c r="D742" s="88"/>
      <c r="E742" s="88"/>
      <c r="F742" s="88"/>
      <c r="G742" s="88"/>
      <c r="H742" s="88"/>
      <c r="I742" s="89"/>
      <c r="J742" s="164"/>
      <c r="K742" s="88"/>
    </row>
    <row r="743" ht="15.75" customHeight="1">
      <c r="A743" s="74"/>
      <c r="B743" s="2"/>
      <c r="C743" s="88"/>
      <c r="D743" s="88"/>
      <c r="E743" s="88"/>
      <c r="F743" s="88"/>
      <c r="G743" s="88"/>
      <c r="H743" s="88"/>
      <c r="I743" s="89"/>
      <c r="J743" s="164"/>
      <c r="K743" s="88"/>
    </row>
    <row r="744" ht="15.75" customHeight="1">
      <c r="A744" s="74"/>
      <c r="B744" s="2"/>
      <c r="C744" s="88"/>
      <c r="D744" s="88"/>
      <c r="E744" s="88"/>
      <c r="F744" s="88"/>
      <c r="G744" s="88"/>
      <c r="H744" s="88"/>
      <c r="I744" s="89"/>
      <c r="J744" s="164"/>
      <c r="K744" s="88"/>
    </row>
    <row r="745" ht="15.75" customHeight="1">
      <c r="A745" s="74"/>
      <c r="B745" s="2"/>
      <c r="C745" s="88"/>
      <c r="D745" s="88"/>
      <c r="E745" s="88"/>
      <c r="F745" s="88"/>
      <c r="G745" s="88"/>
      <c r="H745" s="88"/>
      <c r="I745" s="89"/>
      <c r="J745" s="164"/>
      <c r="K745" s="88"/>
    </row>
    <row r="746" ht="15.75" customHeight="1">
      <c r="A746" s="74"/>
      <c r="B746" s="2"/>
      <c r="C746" s="88"/>
      <c r="D746" s="88"/>
      <c r="E746" s="88"/>
      <c r="F746" s="88"/>
      <c r="G746" s="88"/>
      <c r="H746" s="88"/>
      <c r="I746" s="89"/>
      <c r="J746" s="164"/>
      <c r="K746" s="88"/>
    </row>
    <row r="747" ht="15.75" customHeight="1">
      <c r="A747" s="74"/>
      <c r="B747" s="2"/>
      <c r="C747" s="88"/>
      <c r="D747" s="88"/>
      <c r="E747" s="88"/>
      <c r="F747" s="88"/>
      <c r="G747" s="88"/>
      <c r="H747" s="88"/>
      <c r="I747" s="89"/>
      <c r="J747" s="164"/>
      <c r="K747" s="88"/>
    </row>
    <row r="748" ht="15.75" customHeight="1">
      <c r="A748" s="74"/>
      <c r="B748" s="2"/>
      <c r="C748" s="88"/>
      <c r="D748" s="88"/>
      <c r="E748" s="88"/>
      <c r="F748" s="88"/>
      <c r="G748" s="88"/>
      <c r="H748" s="88"/>
      <c r="I748" s="89"/>
      <c r="J748" s="164"/>
      <c r="K748" s="88"/>
    </row>
    <row r="749" ht="15.75" customHeight="1">
      <c r="A749" s="74"/>
      <c r="B749" s="2"/>
      <c r="C749" s="88"/>
      <c r="D749" s="88"/>
      <c r="E749" s="88"/>
      <c r="F749" s="88"/>
      <c r="G749" s="88"/>
      <c r="H749" s="88"/>
      <c r="I749" s="89"/>
      <c r="J749" s="164"/>
      <c r="K749" s="88"/>
    </row>
    <row r="750" ht="15.75" customHeight="1">
      <c r="A750" s="74"/>
      <c r="B750" s="2"/>
      <c r="C750" s="88"/>
      <c r="D750" s="88"/>
      <c r="E750" s="88"/>
      <c r="F750" s="88"/>
      <c r="G750" s="88"/>
      <c r="H750" s="88"/>
      <c r="I750" s="89"/>
      <c r="J750" s="164"/>
      <c r="K750" s="88"/>
    </row>
    <row r="751" ht="15.75" customHeight="1">
      <c r="A751" s="74"/>
      <c r="B751" s="2"/>
      <c r="C751" s="88"/>
      <c r="D751" s="88"/>
      <c r="E751" s="88"/>
      <c r="F751" s="88"/>
      <c r="G751" s="88"/>
      <c r="H751" s="88"/>
      <c r="I751" s="89"/>
      <c r="J751" s="164"/>
      <c r="K751" s="88"/>
    </row>
    <row r="752" ht="15.75" customHeight="1">
      <c r="A752" s="74"/>
      <c r="B752" s="2"/>
      <c r="C752" s="88"/>
      <c r="D752" s="88"/>
      <c r="E752" s="88"/>
      <c r="F752" s="88"/>
      <c r="G752" s="88"/>
      <c r="H752" s="88"/>
      <c r="I752" s="89"/>
      <c r="J752" s="164"/>
      <c r="K752" s="88"/>
    </row>
    <row r="753" ht="15.75" customHeight="1">
      <c r="A753" s="74"/>
      <c r="B753" s="2"/>
      <c r="C753" s="88"/>
      <c r="D753" s="88"/>
      <c r="E753" s="88"/>
      <c r="F753" s="88"/>
      <c r="G753" s="88"/>
      <c r="H753" s="88"/>
      <c r="I753" s="89"/>
      <c r="J753" s="164"/>
      <c r="K753" s="88"/>
    </row>
    <row r="754" ht="15.75" customHeight="1">
      <c r="A754" s="74"/>
      <c r="B754" s="2"/>
      <c r="C754" s="88"/>
      <c r="D754" s="88"/>
      <c r="E754" s="88"/>
      <c r="F754" s="88"/>
      <c r="G754" s="88"/>
      <c r="H754" s="88"/>
      <c r="I754" s="89"/>
      <c r="J754" s="164"/>
      <c r="K754" s="88"/>
    </row>
    <row r="755" ht="15.75" customHeight="1">
      <c r="A755" s="74"/>
      <c r="B755" s="2"/>
      <c r="C755" s="88"/>
      <c r="D755" s="88"/>
      <c r="E755" s="88"/>
      <c r="F755" s="88"/>
      <c r="G755" s="88"/>
      <c r="H755" s="88"/>
      <c r="I755" s="89"/>
      <c r="J755" s="164"/>
      <c r="K755" s="88"/>
    </row>
    <row r="756" ht="15.75" customHeight="1">
      <c r="A756" s="74"/>
      <c r="B756" s="2"/>
      <c r="C756" s="88"/>
      <c r="D756" s="88"/>
      <c r="E756" s="88"/>
      <c r="F756" s="88"/>
      <c r="G756" s="88"/>
      <c r="H756" s="88"/>
      <c r="I756" s="89"/>
      <c r="J756" s="164"/>
      <c r="K756" s="88"/>
    </row>
    <row r="757" ht="15.75" customHeight="1">
      <c r="A757" s="74"/>
      <c r="B757" s="2"/>
      <c r="C757" s="88"/>
      <c r="D757" s="88"/>
      <c r="E757" s="88"/>
      <c r="F757" s="88"/>
      <c r="G757" s="88"/>
      <c r="H757" s="88"/>
      <c r="I757" s="89"/>
      <c r="J757" s="164"/>
      <c r="K757" s="88"/>
    </row>
    <row r="758" ht="15.75" customHeight="1">
      <c r="A758" s="74"/>
      <c r="B758" s="2"/>
      <c r="C758" s="88"/>
      <c r="D758" s="88"/>
      <c r="E758" s="88"/>
      <c r="F758" s="88"/>
      <c r="G758" s="88"/>
      <c r="H758" s="88"/>
      <c r="I758" s="89"/>
      <c r="J758" s="164"/>
      <c r="K758" s="88"/>
    </row>
    <row r="759" ht="15.75" customHeight="1">
      <c r="A759" s="74"/>
      <c r="B759" s="2"/>
      <c r="C759" s="88"/>
      <c r="D759" s="88"/>
      <c r="E759" s="88"/>
      <c r="F759" s="88"/>
      <c r="G759" s="88"/>
      <c r="H759" s="88"/>
      <c r="I759" s="89"/>
      <c r="J759" s="164"/>
      <c r="K759" s="88"/>
    </row>
    <row r="760" ht="15.75" customHeight="1">
      <c r="A760" s="74"/>
      <c r="B760" s="2"/>
      <c r="C760" s="88"/>
      <c r="D760" s="88"/>
      <c r="E760" s="88"/>
      <c r="F760" s="88"/>
      <c r="G760" s="88"/>
      <c r="H760" s="88"/>
      <c r="I760" s="89"/>
      <c r="J760" s="164"/>
      <c r="K760" s="88"/>
    </row>
    <row r="761" ht="15.75" customHeight="1">
      <c r="A761" s="74"/>
      <c r="B761" s="2"/>
      <c r="C761" s="88"/>
      <c r="D761" s="88"/>
      <c r="E761" s="88"/>
      <c r="F761" s="88"/>
      <c r="G761" s="88"/>
      <c r="H761" s="88"/>
      <c r="I761" s="89"/>
      <c r="J761" s="164"/>
      <c r="K761" s="88"/>
    </row>
    <row r="762" ht="15.75" customHeight="1">
      <c r="A762" s="74"/>
      <c r="B762" s="2"/>
      <c r="C762" s="88"/>
      <c r="D762" s="88"/>
      <c r="E762" s="88"/>
      <c r="F762" s="88"/>
      <c r="G762" s="88"/>
      <c r="H762" s="88"/>
      <c r="I762" s="89"/>
      <c r="J762" s="164"/>
      <c r="K762" s="88"/>
    </row>
    <row r="763" ht="15.75" customHeight="1">
      <c r="A763" s="74"/>
      <c r="B763" s="2"/>
      <c r="C763" s="88"/>
      <c r="D763" s="88"/>
      <c r="E763" s="88"/>
      <c r="F763" s="88"/>
      <c r="G763" s="88"/>
      <c r="H763" s="88"/>
      <c r="I763" s="89"/>
      <c r="J763" s="164"/>
      <c r="K763" s="88"/>
    </row>
    <row r="764" ht="15.75" customHeight="1">
      <c r="A764" s="74"/>
      <c r="B764" s="2"/>
      <c r="C764" s="88"/>
      <c r="D764" s="88"/>
      <c r="E764" s="88"/>
      <c r="F764" s="88"/>
      <c r="G764" s="88"/>
      <c r="H764" s="88"/>
      <c r="I764" s="89"/>
      <c r="J764" s="164"/>
      <c r="K764" s="88"/>
    </row>
    <row r="765" ht="15.75" customHeight="1">
      <c r="A765" s="74"/>
      <c r="B765" s="2"/>
      <c r="C765" s="88"/>
      <c r="D765" s="88"/>
      <c r="E765" s="88"/>
      <c r="F765" s="88"/>
      <c r="G765" s="88"/>
      <c r="H765" s="88"/>
      <c r="I765" s="89"/>
      <c r="J765" s="164"/>
      <c r="K765" s="88"/>
    </row>
    <row r="766" ht="15.75" customHeight="1">
      <c r="A766" s="74"/>
      <c r="B766" s="2"/>
      <c r="C766" s="88"/>
      <c r="D766" s="88"/>
      <c r="E766" s="88"/>
      <c r="F766" s="88"/>
      <c r="G766" s="88"/>
      <c r="H766" s="88"/>
      <c r="I766" s="89"/>
      <c r="J766" s="164"/>
      <c r="K766" s="88"/>
    </row>
    <row r="767" ht="15.75" customHeight="1">
      <c r="A767" s="74"/>
      <c r="B767" s="2"/>
      <c r="C767" s="88"/>
      <c r="D767" s="88"/>
      <c r="E767" s="88"/>
      <c r="F767" s="88"/>
      <c r="G767" s="88"/>
      <c r="H767" s="88"/>
      <c r="I767" s="89"/>
      <c r="J767" s="164"/>
      <c r="K767" s="88"/>
    </row>
    <row r="768" ht="15.75" customHeight="1">
      <c r="A768" s="74"/>
      <c r="B768" s="2"/>
      <c r="C768" s="88"/>
      <c r="D768" s="88"/>
      <c r="E768" s="88"/>
      <c r="F768" s="88"/>
      <c r="G768" s="88"/>
      <c r="H768" s="88"/>
      <c r="I768" s="89"/>
      <c r="J768" s="164"/>
      <c r="K768" s="88"/>
    </row>
    <row r="769" ht="15.75" customHeight="1">
      <c r="A769" s="74"/>
      <c r="B769" s="2"/>
      <c r="C769" s="88"/>
      <c r="D769" s="88"/>
      <c r="E769" s="88"/>
      <c r="F769" s="88"/>
      <c r="G769" s="88"/>
      <c r="H769" s="88"/>
      <c r="I769" s="89"/>
      <c r="J769" s="164"/>
      <c r="K769" s="88"/>
    </row>
    <row r="770" ht="15.75" customHeight="1">
      <c r="A770" s="74"/>
      <c r="B770" s="2"/>
      <c r="C770" s="88"/>
      <c r="D770" s="88"/>
      <c r="E770" s="88"/>
      <c r="F770" s="88"/>
      <c r="G770" s="88"/>
      <c r="H770" s="88"/>
      <c r="I770" s="89"/>
      <c r="J770" s="164"/>
      <c r="K770" s="88"/>
    </row>
    <row r="771" ht="15.75" customHeight="1">
      <c r="A771" s="74"/>
      <c r="B771" s="2"/>
      <c r="C771" s="88"/>
      <c r="D771" s="88"/>
      <c r="E771" s="88"/>
      <c r="F771" s="88"/>
      <c r="G771" s="88"/>
      <c r="H771" s="88"/>
      <c r="I771" s="89"/>
      <c r="J771" s="164"/>
      <c r="K771" s="88"/>
    </row>
    <row r="772" ht="15.75" customHeight="1">
      <c r="A772" s="74"/>
      <c r="B772" s="2"/>
      <c r="C772" s="88"/>
      <c r="D772" s="88"/>
      <c r="E772" s="88"/>
      <c r="F772" s="88"/>
      <c r="G772" s="88"/>
      <c r="H772" s="88"/>
      <c r="I772" s="89"/>
      <c r="J772" s="164"/>
      <c r="K772" s="88"/>
    </row>
    <row r="773" ht="15.75" customHeight="1">
      <c r="A773" s="74"/>
      <c r="B773" s="2"/>
      <c r="C773" s="88"/>
      <c r="D773" s="88"/>
      <c r="E773" s="88"/>
      <c r="F773" s="88"/>
      <c r="G773" s="88"/>
      <c r="H773" s="88"/>
      <c r="I773" s="89"/>
      <c r="J773" s="164"/>
      <c r="K773" s="88"/>
    </row>
    <row r="774" ht="15.75" customHeight="1">
      <c r="A774" s="74"/>
      <c r="B774" s="2"/>
      <c r="C774" s="88"/>
      <c r="D774" s="88"/>
      <c r="E774" s="88"/>
      <c r="F774" s="88"/>
      <c r="G774" s="88"/>
      <c r="H774" s="88"/>
      <c r="I774" s="89"/>
      <c r="J774" s="164"/>
      <c r="K774" s="88"/>
    </row>
    <row r="775" ht="15.75" customHeight="1">
      <c r="A775" s="74"/>
      <c r="B775" s="2"/>
      <c r="C775" s="88"/>
      <c r="D775" s="88"/>
      <c r="E775" s="88"/>
      <c r="F775" s="88"/>
      <c r="G775" s="88"/>
      <c r="H775" s="88"/>
      <c r="I775" s="89"/>
      <c r="J775" s="164"/>
      <c r="K775" s="88"/>
    </row>
    <row r="776" ht="15.75" customHeight="1">
      <c r="A776" s="74"/>
      <c r="B776" s="2"/>
      <c r="C776" s="88"/>
      <c r="D776" s="88"/>
      <c r="E776" s="88"/>
      <c r="F776" s="88"/>
      <c r="G776" s="88"/>
      <c r="H776" s="88"/>
      <c r="I776" s="89"/>
      <c r="J776" s="164"/>
      <c r="K776" s="88"/>
    </row>
    <row r="777" ht="15.75" customHeight="1">
      <c r="A777" s="74"/>
      <c r="B777" s="2"/>
      <c r="C777" s="88"/>
      <c r="D777" s="88"/>
      <c r="E777" s="88"/>
      <c r="F777" s="88"/>
      <c r="G777" s="88"/>
      <c r="H777" s="88"/>
      <c r="I777" s="89"/>
      <c r="J777" s="164"/>
      <c r="K777" s="88"/>
    </row>
    <row r="778" ht="15.75" customHeight="1">
      <c r="A778" s="74"/>
      <c r="B778" s="2"/>
      <c r="C778" s="88"/>
      <c r="D778" s="88"/>
      <c r="E778" s="88"/>
      <c r="F778" s="88"/>
      <c r="G778" s="88"/>
      <c r="H778" s="88"/>
      <c r="I778" s="89"/>
      <c r="J778" s="164"/>
      <c r="K778" s="88"/>
    </row>
    <row r="779" ht="15.75" customHeight="1">
      <c r="A779" s="74"/>
      <c r="B779" s="2"/>
      <c r="C779" s="88"/>
      <c r="D779" s="88"/>
      <c r="E779" s="88"/>
      <c r="F779" s="88"/>
      <c r="G779" s="88"/>
      <c r="H779" s="88"/>
      <c r="I779" s="89"/>
      <c r="J779" s="164"/>
      <c r="K779" s="88"/>
    </row>
    <row r="780" ht="15.75" customHeight="1">
      <c r="A780" s="74"/>
      <c r="B780" s="2"/>
      <c r="C780" s="88"/>
      <c r="D780" s="88"/>
      <c r="E780" s="88"/>
      <c r="F780" s="88"/>
      <c r="G780" s="88"/>
      <c r="H780" s="88"/>
      <c r="I780" s="89"/>
      <c r="J780" s="164"/>
      <c r="K780" s="88"/>
    </row>
    <row r="781" ht="15.75" customHeight="1">
      <c r="A781" s="74"/>
      <c r="B781" s="2"/>
      <c r="C781" s="88"/>
      <c r="D781" s="88"/>
      <c r="E781" s="88"/>
      <c r="F781" s="88"/>
      <c r="G781" s="88"/>
      <c r="H781" s="88"/>
      <c r="I781" s="89"/>
      <c r="J781" s="164"/>
      <c r="K781" s="88"/>
    </row>
    <row r="782" ht="15.75" customHeight="1">
      <c r="A782" s="74"/>
      <c r="B782" s="2"/>
      <c r="C782" s="88"/>
      <c r="D782" s="88"/>
      <c r="E782" s="88"/>
      <c r="F782" s="88"/>
      <c r="G782" s="88"/>
      <c r="H782" s="88"/>
      <c r="I782" s="89"/>
      <c r="J782" s="164"/>
      <c r="K782" s="88"/>
    </row>
    <row r="783" ht="15.75" customHeight="1">
      <c r="A783" s="74"/>
      <c r="B783" s="2"/>
      <c r="C783" s="88"/>
      <c r="D783" s="88"/>
      <c r="E783" s="88"/>
      <c r="F783" s="88"/>
      <c r="G783" s="88"/>
      <c r="H783" s="88"/>
      <c r="I783" s="89"/>
      <c r="J783" s="164"/>
      <c r="K783" s="88"/>
    </row>
    <row r="784" ht="15.75" customHeight="1">
      <c r="A784" s="74"/>
      <c r="B784" s="2"/>
      <c r="C784" s="88"/>
      <c r="D784" s="88"/>
      <c r="E784" s="88"/>
      <c r="F784" s="88"/>
      <c r="G784" s="88"/>
      <c r="H784" s="88"/>
      <c r="I784" s="89"/>
      <c r="J784" s="164"/>
      <c r="K784" s="88"/>
    </row>
    <row r="785" ht="15.75" customHeight="1">
      <c r="A785" s="74"/>
      <c r="B785" s="2"/>
      <c r="C785" s="88"/>
      <c r="D785" s="88"/>
      <c r="E785" s="88"/>
      <c r="F785" s="88"/>
      <c r="G785" s="88"/>
      <c r="H785" s="88"/>
      <c r="I785" s="89"/>
      <c r="J785" s="164"/>
      <c r="K785" s="88"/>
    </row>
    <row r="786" ht="15.75" customHeight="1">
      <c r="A786" s="74"/>
      <c r="B786" s="2"/>
      <c r="C786" s="88"/>
      <c r="D786" s="88"/>
      <c r="E786" s="88"/>
      <c r="F786" s="88"/>
      <c r="G786" s="88"/>
      <c r="H786" s="88"/>
      <c r="I786" s="89"/>
      <c r="J786" s="164"/>
      <c r="K786" s="88"/>
    </row>
    <row r="787" ht="15.75" customHeight="1">
      <c r="A787" s="74"/>
      <c r="B787" s="2"/>
      <c r="C787" s="88"/>
      <c r="D787" s="88"/>
      <c r="E787" s="88"/>
      <c r="F787" s="88"/>
      <c r="G787" s="88"/>
      <c r="H787" s="88"/>
      <c r="I787" s="89"/>
      <c r="J787" s="164"/>
      <c r="K787" s="88"/>
    </row>
    <row r="788" ht="15.75" customHeight="1">
      <c r="A788" s="74"/>
      <c r="B788" s="2"/>
      <c r="C788" s="88"/>
      <c r="D788" s="88"/>
      <c r="E788" s="88"/>
      <c r="F788" s="88"/>
      <c r="G788" s="88"/>
      <c r="H788" s="88"/>
      <c r="I788" s="89"/>
      <c r="J788" s="164"/>
      <c r="K788" s="88"/>
    </row>
    <row r="789" ht="15.75" customHeight="1">
      <c r="A789" s="74"/>
      <c r="B789" s="2"/>
      <c r="C789" s="88"/>
      <c r="D789" s="88"/>
      <c r="E789" s="88"/>
      <c r="F789" s="88"/>
      <c r="G789" s="88"/>
      <c r="H789" s="88"/>
      <c r="I789" s="89"/>
      <c r="J789" s="164"/>
      <c r="K789" s="88"/>
    </row>
    <row r="790" ht="15.75" customHeight="1">
      <c r="A790" s="74"/>
      <c r="B790" s="2"/>
      <c r="C790" s="88"/>
      <c r="D790" s="88"/>
      <c r="E790" s="88"/>
      <c r="F790" s="88"/>
      <c r="G790" s="88"/>
      <c r="H790" s="88"/>
      <c r="I790" s="89"/>
      <c r="J790" s="164"/>
      <c r="K790" s="88"/>
    </row>
    <row r="791" ht="15.75" customHeight="1">
      <c r="A791" s="74"/>
      <c r="B791" s="2"/>
      <c r="C791" s="88"/>
      <c r="D791" s="88"/>
      <c r="E791" s="88"/>
      <c r="F791" s="88"/>
      <c r="G791" s="88"/>
      <c r="H791" s="88"/>
      <c r="I791" s="89"/>
      <c r="J791" s="164"/>
      <c r="K791" s="88"/>
    </row>
    <row r="792" ht="15.75" customHeight="1">
      <c r="A792" s="74"/>
      <c r="B792" s="2"/>
      <c r="C792" s="88"/>
      <c r="D792" s="88"/>
      <c r="E792" s="88"/>
      <c r="F792" s="88"/>
      <c r="G792" s="88"/>
      <c r="H792" s="88"/>
      <c r="I792" s="89"/>
      <c r="J792" s="164"/>
      <c r="K792" s="88"/>
    </row>
    <row r="793" ht="15.75" customHeight="1">
      <c r="A793" s="74"/>
      <c r="B793" s="2"/>
      <c r="C793" s="88"/>
      <c r="D793" s="88"/>
      <c r="E793" s="88"/>
      <c r="F793" s="88"/>
      <c r="G793" s="88"/>
      <c r="H793" s="88"/>
      <c r="I793" s="89"/>
      <c r="J793" s="164"/>
      <c r="K793" s="88"/>
    </row>
    <row r="794" ht="15.75" customHeight="1">
      <c r="A794" s="74"/>
      <c r="B794" s="2"/>
      <c r="C794" s="88"/>
      <c r="D794" s="88"/>
      <c r="E794" s="88"/>
      <c r="F794" s="88"/>
      <c r="G794" s="88"/>
      <c r="H794" s="88"/>
      <c r="I794" s="89"/>
      <c r="J794" s="164"/>
      <c r="K794" s="88"/>
    </row>
    <row r="795" ht="15.75" customHeight="1">
      <c r="A795" s="74"/>
      <c r="B795" s="2"/>
      <c r="C795" s="88"/>
      <c r="D795" s="88"/>
      <c r="E795" s="88"/>
      <c r="F795" s="88"/>
      <c r="G795" s="88"/>
      <c r="H795" s="88"/>
      <c r="I795" s="89"/>
      <c r="J795" s="164"/>
      <c r="K795" s="88"/>
    </row>
    <row r="796" ht="15.75" customHeight="1">
      <c r="A796" s="74"/>
      <c r="B796" s="2"/>
      <c r="C796" s="88"/>
      <c r="D796" s="88"/>
      <c r="E796" s="88"/>
      <c r="F796" s="88"/>
      <c r="G796" s="88"/>
      <c r="H796" s="88"/>
      <c r="I796" s="89"/>
      <c r="J796" s="164"/>
      <c r="K796" s="88"/>
    </row>
    <row r="797" ht="15.75" customHeight="1">
      <c r="A797" s="74"/>
      <c r="B797" s="2"/>
      <c r="C797" s="88"/>
      <c r="D797" s="88"/>
      <c r="E797" s="88"/>
      <c r="F797" s="88"/>
      <c r="G797" s="88"/>
      <c r="H797" s="88"/>
      <c r="I797" s="89"/>
      <c r="J797" s="164"/>
      <c r="K797" s="88"/>
    </row>
    <row r="798" ht="15.75" customHeight="1">
      <c r="A798" s="74"/>
      <c r="B798" s="2"/>
      <c r="C798" s="88"/>
      <c r="D798" s="88"/>
      <c r="E798" s="88"/>
      <c r="F798" s="88"/>
      <c r="G798" s="88"/>
      <c r="H798" s="88"/>
      <c r="I798" s="89"/>
      <c r="J798" s="164"/>
      <c r="K798" s="88"/>
    </row>
    <row r="799" ht="15.75" customHeight="1">
      <c r="A799" s="74"/>
      <c r="B799" s="2"/>
      <c r="C799" s="88"/>
      <c r="D799" s="88"/>
      <c r="E799" s="88"/>
      <c r="F799" s="88"/>
      <c r="G799" s="88"/>
      <c r="H799" s="88"/>
      <c r="I799" s="89"/>
      <c r="J799" s="164"/>
      <c r="K799" s="88"/>
    </row>
    <row r="800" ht="15.75" customHeight="1">
      <c r="A800" s="74"/>
      <c r="B800" s="2"/>
      <c r="C800" s="88"/>
      <c r="D800" s="88"/>
      <c r="E800" s="88"/>
      <c r="F800" s="88"/>
      <c r="G800" s="88"/>
      <c r="H800" s="88"/>
      <c r="I800" s="89"/>
      <c r="J800" s="164"/>
      <c r="K800" s="88"/>
    </row>
    <row r="801" ht="15.75" customHeight="1">
      <c r="A801" s="74"/>
      <c r="B801" s="2"/>
      <c r="C801" s="88"/>
      <c r="D801" s="88"/>
      <c r="E801" s="88"/>
      <c r="F801" s="88"/>
      <c r="G801" s="88"/>
      <c r="H801" s="88"/>
      <c r="I801" s="89"/>
      <c r="J801" s="164"/>
      <c r="K801" s="88"/>
    </row>
    <row r="802" ht="15.75" customHeight="1">
      <c r="A802" s="74"/>
      <c r="B802" s="2"/>
      <c r="C802" s="88"/>
      <c r="D802" s="88"/>
      <c r="E802" s="88"/>
      <c r="F802" s="88"/>
      <c r="G802" s="88"/>
      <c r="H802" s="88"/>
      <c r="I802" s="89"/>
      <c r="J802" s="164"/>
      <c r="K802" s="88"/>
    </row>
    <row r="803" ht="15.75" customHeight="1">
      <c r="A803" s="74"/>
      <c r="B803" s="2"/>
      <c r="C803" s="88"/>
      <c r="D803" s="88"/>
      <c r="E803" s="88"/>
      <c r="F803" s="88"/>
      <c r="G803" s="88"/>
      <c r="H803" s="88"/>
      <c r="I803" s="89"/>
      <c r="J803" s="164"/>
      <c r="K803" s="88"/>
    </row>
    <row r="804" ht="15.75" customHeight="1">
      <c r="A804" s="74"/>
      <c r="B804" s="2"/>
      <c r="C804" s="88"/>
      <c r="D804" s="88"/>
      <c r="E804" s="88"/>
      <c r="F804" s="88"/>
      <c r="G804" s="88"/>
      <c r="H804" s="88"/>
      <c r="I804" s="89"/>
      <c r="J804" s="164"/>
      <c r="K804" s="88"/>
    </row>
    <row r="805" ht="15.75" customHeight="1">
      <c r="A805" s="74"/>
      <c r="B805" s="2"/>
      <c r="C805" s="88"/>
      <c r="D805" s="88"/>
      <c r="E805" s="88"/>
      <c r="F805" s="88"/>
      <c r="G805" s="88"/>
      <c r="H805" s="88"/>
      <c r="I805" s="89"/>
      <c r="J805" s="164"/>
      <c r="K805" s="88"/>
    </row>
    <row r="806" ht="15.75" customHeight="1">
      <c r="A806" s="74"/>
      <c r="B806" s="2"/>
      <c r="C806" s="88"/>
      <c r="D806" s="88"/>
      <c r="E806" s="88"/>
      <c r="F806" s="88"/>
      <c r="G806" s="88"/>
      <c r="H806" s="88"/>
      <c r="I806" s="89"/>
      <c r="J806" s="164"/>
      <c r="K806" s="88"/>
    </row>
    <row r="807" ht="15.75" customHeight="1">
      <c r="A807" s="74"/>
      <c r="B807" s="2"/>
      <c r="C807" s="88"/>
      <c r="D807" s="88"/>
      <c r="E807" s="88"/>
      <c r="F807" s="88"/>
      <c r="G807" s="88"/>
      <c r="H807" s="88"/>
      <c r="I807" s="89"/>
      <c r="J807" s="164"/>
      <c r="K807" s="88"/>
    </row>
    <row r="808" ht="15.75" customHeight="1">
      <c r="A808" s="74"/>
      <c r="B808" s="2"/>
      <c r="C808" s="88"/>
      <c r="D808" s="88"/>
      <c r="E808" s="88"/>
      <c r="F808" s="88"/>
      <c r="G808" s="88"/>
      <c r="H808" s="88"/>
      <c r="I808" s="89"/>
      <c r="J808" s="164"/>
      <c r="K808" s="88"/>
    </row>
    <row r="809" ht="15.75" customHeight="1">
      <c r="A809" s="74"/>
      <c r="B809" s="2"/>
      <c r="C809" s="88"/>
      <c r="D809" s="88"/>
      <c r="E809" s="88"/>
      <c r="F809" s="88"/>
      <c r="G809" s="88"/>
      <c r="H809" s="88"/>
      <c r="I809" s="89"/>
      <c r="J809" s="164"/>
      <c r="K809" s="88"/>
    </row>
    <row r="810" ht="15.75" customHeight="1">
      <c r="A810" s="74"/>
      <c r="B810" s="2"/>
      <c r="C810" s="88"/>
      <c r="D810" s="88"/>
      <c r="E810" s="88"/>
      <c r="F810" s="88"/>
      <c r="G810" s="88"/>
      <c r="H810" s="88"/>
      <c r="I810" s="89"/>
      <c r="J810" s="164"/>
      <c r="K810" s="88"/>
    </row>
    <row r="811" ht="15.75" customHeight="1">
      <c r="A811" s="74"/>
      <c r="B811" s="2"/>
      <c r="C811" s="88"/>
      <c r="D811" s="88"/>
      <c r="E811" s="88"/>
      <c r="F811" s="88"/>
      <c r="G811" s="88"/>
      <c r="H811" s="88"/>
      <c r="I811" s="89"/>
      <c r="J811" s="164"/>
      <c r="K811" s="88"/>
    </row>
    <row r="812" ht="15.75" customHeight="1">
      <c r="A812" s="74"/>
      <c r="B812" s="2"/>
      <c r="C812" s="88"/>
      <c r="D812" s="88"/>
      <c r="E812" s="88"/>
      <c r="F812" s="88"/>
      <c r="G812" s="88"/>
      <c r="H812" s="88"/>
      <c r="I812" s="89"/>
      <c r="J812" s="164"/>
      <c r="K812" s="88"/>
    </row>
    <row r="813" ht="15.75" customHeight="1">
      <c r="A813" s="74"/>
      <c r="B813" s="2"/>
      <c r="C813" s="88"/>
      <c r="D813" s="88"/>
      <c r="E813" s="88"/>
      <c r="F813" s="88"/>
      <c r="G813" s="88"/>
      <c r="H813" s="88"/>
      <c r="I813" s="89"/>
      <c r="J813" s="164"/>
      <c r="K813" s="88"/>
    </row>
    <row r="814" ht="15.75" customHeight="1">
      <c r="A814" s="74"/>
      <c r="B814" s="2"/>
      <c r="C814" s="88"/>
      <c r="D814" s="88"/>
      <c r="E814" s="88"/>
      <c r="F814" s="88"/>
      <c r="G814" s="88"/>
      <c r="H814" s="88"/>
      <c r="I814" s="89"/>
      <c r="J814" s="164"/>
      <c r="K814" s="88"/>
    </row>
    <row r="815" ht="15.75" customHeight="1">
      <c r="A815" s="74"/>
      <c r="B815" s="2"/>
      <c r="C815" s="88"/>
      <c r="D815" s="88"/>
      <c r="E815" s="88"/>
      <c r="F815" s="88"/>
      <c r="G815" s="88"/>
      <c r="H815" s="88"/>
      <c r="I815" s="89"/>
      <c r="J815" s="164"/>
      <c r="K815" s="88"/>
    </row>
    <row r="816" ht="15.75" customHeight="1">
      <c r="A816" s="74"/>
      <c r="B816" s="2"/>
      <c r="C816" s="88"/>
      <c r="D816" s="88"/>
      <c r="E816" s="88"/>
      <c r="F816" s="88"/>
      <c r="G816" s="88"/>
      <c r="H816" s="88"/>
      <c r="I816" s="89"/>
      <c r="J816" s="164"/>
      <c r="K816" s="88"/>
    </row>
    <row r="817" ht="15.75" customHeight="1">
      <c r="A817" s="74"/>
      <c r="B817" s="2"/>
      <c r="C817" s="88"/>
      <c r="D817" s="88"/>
      <c r="E817" s="88"/>
      <c r="F817" s="88"/>
      <c r="G817" s="88"/>
      <c r="H817" s="88"/>
      <c r="I817" s="89"/>
      <c r="J817" s="164"/>
      <c r="K817" s="88"/>
    </row>
    <row r="818" ht="15.75" customHeight="1">
      <c r="A818" s="74"/>
      <c r="B818" s="2"/>
      <c r="C818" s="88"/>
      <c r="D818" s="88"/>
      <c r="E818" s="88"/>
      <c r="F818" s="88"/>
      <c r="G818" s="88"/>
      <c r="H818" s="88"/>
      <c r="I818" s="89"/>
      <c r="J818" s="164"/>
      <c r="K818" s="88"/>
    </row>
    <row r="819" ht="15.75" customHeight="1">
      <c r="A819" s="74"/>
      <c r="B819" s="2"/>
      <c r="C819" s="88"/>
      <c r="D819" s="88"/>
      <c r="E819" s="88"/>
      <c r="F819" s="88"/>
      <c r="G819" s="88"/>
      <c r="H819" s="88"/>
      <c r="I819" s="89"/>
      <c r="J819" s="164"/>
      <c r="K819" s="88"/>
    </row>
    <row r="820" ht="15.75" customHeight="1">
      <c r="A820" s="74"/>
      <c r="B820" s="2"/>
      <c r="C820" s="88"/>
      <c r="D820" s="88"/>
      <c r="E820" s="88"/>
      <c r="F820" s="88"/>
      <c r="G820" s="88"/>
      <c r="H820" s="88"/>
      <c r="I820" s="89"/>
      <c r="J820" s="164"/>
      <c r="K820" s="88"/>
    </row>
    <row r="821" ht="15.75" customHeight="1">
      <c r="A821" s="74"/>
      <c r="B821" s="2"/>
      <c r="C821" s="88"/>
      <c r="D821" s="88"/>
      <c r="E821" s="88"/>
      <c r="F821" s="88"/>
      <c r="G821" s="88"/>
      <c r="H821" s="88"/>
      <c r="I821" s="89"/>
      <c r="J821" s="164"/>
      <c r="K821" s="88"/>
    </row>
    <row r="822" ht="15.75" customHeight="1">
      <c r="A822" s="74"/>
      <c r="B822" s="2"/>
      <c r="C822" s="88"/>
      <c r="D822" s="88"/>
      <c r="E822" s="88"/>
      <c r="F822" s="88"/>
      <c r="G822" s="88"/>
      <c r="H822" s="88"/>
      <c r="I822" s="89"/>
      <c r="J822" s="164"/>
      <c r="K822" s="88"/>
    </row>
    <row r="823" ht="15.75" customHeight="1">
      <c r="A823" s="74"/>
      <c r="B823" s="2"/>
      <c r="C823" s="88"/>
      <c r="D823" s="88"/>
      <c r="E823" s="88"/>
      <c r="F823" s="88"/>
      <c r="G823" s="88"/>
      <c r="H823" s="88"/>
      <c r="I823" s="89"/>
      <c r="J823" s="164"/>
      <c r="K823" s="88"/>
    </row>
    <row r="824" ht="15.75" customHeight="1">
      <c r="A824" s="74"/>
      <c r="B824" s="2"/>
      <c r="C824" s="88"/>
      <c r="D824" s="88"/>
      <c r="E824" s="88"/>
      <c r="F824" s="88"/>
      <c r="G824" s="88"/>
      <c r="H824" s="88"/>
      <c r="I824" s="89"/>
      <c r="J824" s="164"/>
      <c r="K824" s="88"/>
    </row>
    <row r="825" ht="15.75" customHeight="1">
      <c r="A825" s="74"/>
      <c r="B825" s="2"/>
      <c r="C825" s="88"/>
      <c r="D825" s="88"/>
      <c r="E825" s="88"/>
      <c r="F825" s="88"/>
      <c r="G825" s="88"/>
      <c r="H825" s="88"/>
      <c r="I825" s="89"/>
      <c r="J825" s="164"/>
      <c r="K825" s="88"/>
    </row>
    <row r="826" ht="15.75" customHeight="1">
      <c r="A826" s="74"/>
      <c r="B826" s="2"/>
      <c r="C826" s="88"/>
      <c r="D826" s="88"/>
      <c r="E826" s="88"/>
      <c r="F826" s="88"/>
      <c r="G826" s="88"/>
      <c r="H826" s="88"/>
      <c r="I826" s="89"/>
      <c r="J826" s="164"/>
      <c r="K826" s="88"/>
    </row>
    <row r="827" ht="15.75" customHeight="1">
      <c r="A827" s="74"/>
      <c r="B827" s="2"/>
      <c r="C827" s="88"/>
      <c r="D827" s="88"/>
      <c r="E827" s="88"/>
      <c r="F827" s="88"/>
      <c r="G827" s="88"/>
      <c r="H827" s="88"/>
      <c r="I827" s="89"/>
      <c r="J827" s="164"/>
      <c r="K827" s="88"/>
    </row>
    <row r="828" ht="15.75" customHeight="1">
      <c r="A828" s="74"/>
      <c r="B828" s="2"/>
      <c r="C828" s="88"/>
      <c r="D828" s="88"/>
      <c r="E828" s="88"/>
      <c r="F828" s="88"/>
      <c r="G828" s="88"/>
      <c r="H828" s="88"/>
      <c r="I828" s="89"/>
      <c r="J828" s="164"/>
      <c r="K828" s="88"/>
    </row>
    <row r="829" ht="15.75" customHeight="1">
      <c r="A829" s="74"/>
      <c r="B829" s="2"/>
      <c r="C829" s="88"/>
      <c r="D829" s="88"/>
      <c r="E829" s="88"/>
      <c r="F829" s="88"/>
      <c r="G829" s="88"/>
      <c r="H829" s="88"/>
      <c r="I829" s="89"/>
      <c r="J829" s="164"/>
      <c r="K829" s="88"/>
    </row>
    <row r="830" ht="15.75" customHeight="1">
      <c r="A830" s="74"/>
      <c r="B830" s="2"/>
      <c r="C830" s="88"/>
      <c r="D830" s="88"/>
      <c r="E830" s="88"/>
      <c r="F830" s="88"/>
      <c r="G830" s="88"/>
      <c r="H830" s="88"/>
      <c r="I830" s="89"/>
      <c r="J830" s="164"/>
      <c r="K830" s="88"/>
    </row>
    <row r="831" ht="15.75" customHeight="1">
      <c r="A831" s="74"/>
      <c r="B831" s="2"/>
      <c r="C831" s="88"/>
      <c r="D831" s="88"/>
      <c r="E831" s="88"/>
      <c r="F831" s="88"/>
      <c r="G831" s="88"/>
      <c r="H831" s="88"/>
      <c r="I831" s="89"/>
      <c r="J831" s="164"/>
      <c r="K831" s="88"/>
    </row>
    <row r="832" ht="15.75" customHeight="1">
      <c r="A832" s="74"/>
      <c r="B832" s="2"/>
      <c r="C832" s="88"/>
      <c r="D832" s="88"/>
      <c r="E832" s="88"/>
      <c r="F832" s="88"/>
      <c r="G832" s="88"/>
      <c r="H832" s="88"/>
      <c r="I832" s="89"/>
      <c r="J832" s="164"/>
      <c r="K832" s="88"/>
    </row>
    <row r="833" ht="15.75" customHeight="1">
      <c r="A833" s="74"/>
      <c r="B833" s="2"/>
      <c r="C833" s="88"/>
      <c r="D833" s="88"/>
      <c r="E833" s="88"/>
      <c r="F833" s="88"/>
      <c r="G833" s="88"/>
      <c r="H833" s="88"/>
      <c r="I833" s="89"/>
      <c r="J833" s="164"/>
      <c r="K833" s="88"/>
    </row>
    <row r="834" ht="15.75" customHeight="1">
      <c r="A834" s="74"/>
      <c r="B834" s="2"/>
      <c r="C834" s="88"/>
      <c r="D834" s="88"/>
      <c r="E834" s="88"/>
      <c r="F834" s="88"/>
      <c r="G834" s="88"/>
      <c r="H834" s="88"/>
      <c r="I834" s="89"/>
      <c r="J834" s="164"/>
      <c r="K834" s="88"/>
    </row>
    <row r="835" ht="15.75" customHeight="1">
      <c r="A835" s="74"/>
      <c r="B835" s="2"/>
      <c r="C835" s="88"/>
      <c r="D835" s="88"/>
      <c r="E835" s="88"/>
      <c r="F835" s="88"/>
      <c r="G835" s="88"/>
      <c r="H835" s="88"/>
      <c r="I835" s="89"/>
      <c r="J835" s="164"/>
      <c r="K835" s="88"/>
    </row>
    <row r="836" ht="15.75" customHeight="1">
      <c r="A836" s="74"/>
      <c r="B836" s="2"/>
      <c r="C836" s="88"/>
      <c r="D836" s="88"/>
      <c r="E836" s="88"/>
      <c r="F836" s="88"/>
      <c r="G836" s="88"/>
      <c r="H836" s="88"/>
      <c r="I836" s="89"/>
      <c r="J836" s="164"/>
      <c r="K836" s="88"/>
    </row>
    <row r="837" ht="15.75" customHeight="1">
      <c r="A837" s="74"/>
      <c r="B837" s="2"/>
      <c r="C837" s="88"/>
      <c r="D837" s="88"/>
      <c r="E837" s="88"/>
      <c r="F837" s="88"/>
      <c r="G837" s="88"/>
      <c r="H837" s="88"/>
      <c r="I837" s="89"/>
      <c r="J837" s="164"/>
      <c r="K837" s="88"/>
    </row>
    <row r="838" ht="15.75" customHeight="1">
      <c r="A838" s="74"/>
      <c r="B838" s="2"/>
      <c r="C838" s="88"/>
      <c r="D838" s="88"/>
      <c r="E838" s="88"/>
      <c r="F838" s="88"/>
      <c r="G838" s="88"/>
      <c r="H838" s="88"/>
      <c r="I838" s="89"/>
      <c r="J838" s="164"/>
      <c r="K838" s="88"/>
    </row>
    <row r="839" ht="15.75" customHeight="1">
      <c r="A839" s="74"/>
      <c r="B839" s="2"/>
      <c r="C839" s="88"/>
      <c r="D839" s="88"/>
      <c r="E839" s="88"/>
      <c r="F839" s="88"/>
      <c r="G839" s="88"/>
      <c r="H839" s="88"/>
      <c r="I839" s="89"/>
      <c r="J839" s="164"/>
      <c r="K839" s="88"/>
    </row>
    <row r="840" ht="15.75" customHeight="1">
      <c r="A840" s="74"/>
      <c r="B840" s="2"/>
      <c r="C840" s="88"/>
      <c r="D840" s="88"/>
      <c r="E840" s="88"/>
      <c r="F840" s="88"/>
      <c r="G840" s="88"/>
      <c r="H840" s="88"/>
      <c r="I840" s="89"/>
      <c r="J840" s="164"/>
      <c r="K840" s="88"/>
    </row>
    <row r="841" ht="15.75" customHeight="1">
      <c r="A841" s="74"/>
      <c r="B841" s="2"/>
      <c r="C841" s="88"/>
      <c r="D841" s="88"/>
      <c r="E841" s="88"/>
      <c r="F841" s="88"/>
      <c r="G841" s="88"/>
      <c r="H841" s="88"/>
      <c r="I841" s="89"/>
      <c r="J841" s="164"/>
      <c r="K841" s="88"/>
    </row>
    <row r="842" ht="15.75" customHeight="1">
      <c r="A842" s="74"/>
      <c r="B842" s="2"/>
      <c r="C842" s="88"/>
      <c r="D842" s="88"/>
      <c r="E842" s="88"/>
      <c r="F842" s="88"/>
      <c r="G842" s="88"/>
      <c r="H842" s="88"/>
      <c r="I842" s="89"/>
      <c r="J842" s="164"/>
      <c r="K842" s="88"/>
    </row>
    <row r="843" ht="15.75" customHeight="1">
      <c r="A843" s="74"/>
      <c r="B843" s="2"/>
      <c r="C843" s="88"/>
      <c r="D843" s="88"/>
      <c r="E843" s="88"/>
      <c r="F843" s="88"/>
      <c r="G843" s="88"/>
      <c r="H843" s="88"/>
      <c r="I843" s="89"/>
      <c r="J843" s="164"/>
      <c r="K843" s="88"/>
    </row>
    <row r="844" ht="15.75" customHeight="1">
      <c r="A844" s="74"/>
      <c r="B844" s="2"/>
      <c r="C844" s="88"/>
      <c r="D844" s="88"/>
      <c r="E844" s="88"/>
      <c r="F844" s="88"/>
      <c r="G844" s="88"/>
      <c r="H844" s="88"/>
      <c r="I844" s="89"/>
      <c r="J844" s="164"/>
      <c r="K844" s="88"/>
    </row>
    <row r="845" ht="15.75" customHeight="1">
      <c r="A845" s="74"/>
      <c r="B845" s="2"/>
      <c r="C845" s="88"/>
      <c r="D845" s="88"/>
      <c r="E845" s="88"/>
      <c r="F845" s="88"/>
      <c r="G845" s="88"/>
      <c r="H845" s="88"/>
      <c r="I845" s="89"/>
      <c r="J845" s="164"/>
      <c r="K845" s="88"/>
    </row>
    <row r="846" ht="15.75" customHeight="1">
      <c r="A846" s="74"/>
      <c r="B846" s="2"/>
      <c r="C846" s="88"/>
      <c r="D846" s="88"/>
      <c r="E846" s="88"/>
      <c r="F846" s="88"/>
      <c r="G846" s="88"/>
      <c r="H846" s="88"/>
      <c r="I846" s="89"/>
      <c r="J846" s="164"/>
      <c r="K846" s="88"/>
    </row>
    <row r="847" ht="15.75" customHeight="1">
      <c r="A847" s="74"/>
      <c r="B847" s="2"/>
      <c r="C847" s="88"/>
      <c r="D847" s="88"/>
      <c r="E847" s="88"/>
      <c r="F847" s="88"/>
      <c r="G847" s="88"/>
      <c r="H847" s="88"/>
      <c r="I847" s="89"/>
      <c r="J847" s="164"/>
      <c r="K847" s="88"/>
    </row>
    <row r="848" ht="15.75" customHeight="1">
      <c r="A848" s="74"/>
      <c r="B848" s="2"/>
      <c r="C848" s="88"/>
      <c r="D848" s="88"/>
      <c r="E848" s="88"/>
      <c r="F848" s="88"/>
      <c r="G848" s="88"/>
      <c r="H848" s="88"/>
      <c r="I848" s="89"/>
      <c r="J848" s="164"/>
      <c r="K848" s="88"/>
    </row>
    <row r="849" ht="15.75" customHeight="1">
      <c r="A849" s="74"/>
      <c r="B849" s="2"/>
      <c r="C849" s="88"/>
      <c r="D849" s="88"/>
      <c r="E849" s="88"/>
      <c r="F849" s="88"/>
      <c r="G849" s="88"/>
      <c r="H849" s="88"/>
      <c r="I849" s="89"/>
      <c r="J849" s="164"/>
      <c r="K849" s="88"/>
    </row>
    <row r="850" ht="15.75" customHeight="1">
      <c r="A850" s="74"/>
      <c r="B850" s="2"/>
      <c r="C850" s="88"/>
      <c r="D850" s="88"/>
      <c r="E850" s="88"/>
      <c r="F850" s="88"/>
      <c r="G850" s="88"/>
      <c r="H850" s="88"/>
      <c r="I850" s="89"/>
      <c r="J850" s="164"/>
      <c r="K850" s="88"/>
    </row>
    <row r="851" ht="15.75" customHeight="1">
      <c r="A851" s="74"/>
      <c r="B851" s="2"/>
      <c r="C851" s="88"/>
      <c r="D851" s="88"/>
      <c r="E851" s="88"/>
      <c r="F851" s="88"/>
      <c r="G851" s="88"/>
      <c r="H851" s="88"/>
      <c r="I851" s="89"/>
      <c r="J851" s="164"/>
      <c r="K851" s="88"/>
    </row>
    <row r="852" ht="15.75" customHeight="1">
      <c r="A852" s="74"/>
      <c r="B852" s="2"/>
      <c r="C852" s="88"/>
      <c r="D852" s="88"/>
      <c r="E852" s="88"/>
      <c r="F852" s="88"/>
      <c r="G852" s="88"/>
      <c r="H852" s="88"/>
      <c r="I852" s="89"/>
      <c r="J852" s="164"/>
      <c r="K852" s="88"/>
    </row>
    <row r="853" ht="15.75" customHeight="1">
      <c r="A853" s="74"/>
      <c r="B853" s="2"/>
      <c r="C853" s="88"/>
      <c r="D853" s="88"/>
      <c r="E853" s="88"/>
      <c r="F853" s="88"/>
      <c r="G853" s="88"/>
      <c r="H853" s="88"/>
      <c r="I853" s="89"/>
      <c r="J853" s="164"/>
      <c r="K853" s="88"/>
    </row>
    <row r="854" ht="15.75" customHeight="1">
      <c r="A854" s="74"/>
      <c r="B854" s="2"/>
      <c r="C854" s="88"/>
      <c r="D854" s="88"/>
      <c r="E854" s="88"/>
      <c r="F854" s="88"/>
      <c r="G854" s="88"/>
      <c r="H854" s="88"/>
      <c r="I854" s="89"/>
      <c r="J854" s="164"/>
      <c r="K854" s="88"/>
    </row>
    <row r="855" ht="15.75" customHeight="1">
      <c r="A855" s="74"/>
      <c r="B855" s="2"/>
      <c r="C855" s="88"/>
      <c r="D855" s="88"/>
      <c r="E855" s="88"/>
      <c r="F855" s="88"/>
      <c r="G855" s="88"/>
      <c r="H855" s="88"/>
      <c r="I855" s="89"/>
      <c r="J855" s="164"/>
      <c r="K855" s="88"/>
    </row>
    <row r="856" ht="15.75" customHeight="1">
      <c r="A856" s="74"/>
      <c r="B856" s="2"/>
      <c r="C856" s="88"/>
      <c r="D856" s="88"/>
      <c r="E856" s="88"/>
      <c r="F856" s="88"/>
      <c r="G856" s="88"/>
      <c r="H856" s="88"/>
      <c r="I856" s="89"/>
      <c r="J856" s="164"/>
      <c r="K856" s="88"/>
    </row>
    <row r="857" ht="15.75" customHeight="1">
      <c r="A857" s="74"/>
      <c r="B857" s="2"/>
      <c r="C857" s="88"/>
      <c r="D857" s="88"/>
      <c r="E857" s="88"/>
      <c r="F857" s="88"/>
      <c r="G857" s="88"/>
      <c r="H857" s="88"/>
      <c r="I857" s="89"/>
      <c r="J857" s="164"/>
      <c r="K857" s="88"/>
    </row>
    <row r="858" ht="15.75" customHeight="1">
      <c r="A858" s="74"/>
      <c r="B858" s="2"/>
      <c r="C858" s="88"/>
      <c r="D858" s="88"/>
      <c r="E858" s="88"/>
      <c r="F858" s="88"/>
      <c r="G858" s="88"/>
      <c r="H858" s="88"/>
      <c r="I858" s="89"/>
      <c r="J858" s="164"/>
      <c r="K858" s="88"/>
    </row>
    <row r="859" ht="15.75" customHeight="1">
      <c r="A859" s="74"/>
      <c r="B859" s="2"/>
      <c r="C859" s="88"/>
      <c r="D859" s="88"/>
      <c r="E859" s="88"/>
      <c r="F859" s="88"/>
      <c r="G859" s="88"/>
      <c r="H859" s="88"/>
      <c r="I859" s="89"/>
      <c r="J859" s="164"/>
      <c r="K859" s="88"/>
    </row>
    <row r="860" ht="15.75" customHeight="1">
      <c r="A860" s="74"/>
      <c r="B860" s="2"/>
      <c r="C860" s="88"/>
      <c r="D860" s="88"/>
      <c r="E860" s="88"/>
      <c r="F860" s="88"/>
      <c r="G860" s="88"/>
      <c r="H860" s="88"/>
      <c r="I860" s="89"/>
      <c r="J860" s="164"/>
      <c r="K860" s="88"/>
    </row>
    <row r="861" ht="15.75" customHeight="1">
      <c r="A861" s="74"/>
      <c r="B861" s="2"/>
      <c r="C861" s="88"/>
      <c r="D861" s="88"/>
      <c r="E861" s="88"/>
      <c r="F861" s="88"/>
      <c r="G861" s="88"/>
      <c r="H861" s="88"/>
      <c r="I861" s="89"/>
      <c r="J861" s="164"/>
      <c r="K861" s="88"/>
    </row>
    <row r="862" ht="15.75" customHeight="1">
      <c r="A862" s="74"/>
      <c r="B862" s="2"/>
      <c r="C862" s="88"/>
      <c r="D862" s="88"/>
      <c r="E862" s="88"/>
      <c r="F862" s="88"/>
      <c r="G862" s="88"/>
      <c r="H862" s="88"/>
      <c r="I862" s="89"/>
      <c r="J862" s="164"/>
      <c r="K862" s="88"/>
    </row>
    <row r="863" ht="15.75" customHeight="1">
      <c r="A863" s="74"/>
      <c r="B863" s="2"/>
      <c r="C863" s="88"/>
      <c r="D863" s="88"/>
      <c r="E863" s="88"/>
      <c r="F863" s="88"/>
      <c r="G863" s="88"/>
      <c r="H863" s="88"/>
      <c r="I863" s="89"/>
      <c r="J863" s="164"/>
      <c r="K863" s="88"/>
    </row>
    <row r="864" ht="15.75" customHeight="1">
      <c r="A864" s="74"/>
      <c r="B864" s="2"/>
      <c r="C864" s="88"/>
      <c r="D864" s="88"/>
      <c r="E864" s="88"/>
      <c r="F864" s="88"/>
      <c r="G864" s="88"/>
      <c r="H864" s="88"/>
      <c r="I864" s="89"/>
      <c r="J864" s="164"/>
      <c r="K864" s="88"/>
    </row>
    <row r="865" ht="15.75" customHeight="1">
      <c r="A865" s="74"/>
      <c r="B865" s="2"/>
      <c r="C865" s="88"/>
      <c r="D865" s="88"/>
      <c r="E865" s="88"/>
      <c r="F865" s="88"/>
      <c r="G865" s="88"/>
      <c r="H865" s="88"/>
      <c r="I865" s="89"/>
      <c r="J865" s="164"/>
      <c r="K865" s="88"/>
    </row>
    <row r="866" ht="15.75" customHeight="1">
      <c r="A866" s="74"/>
      <c r="B866" s="2"/>
      <c r="C866" s="88"/>
      <c r="D866" s="88"/>
      <c r="E866" s="88"/>
      <c r="F866" s="88"/>
      <c r="G866" s="88"/>
      <c r="H866" s="88"/>
      <c r="I866" s="89"/>
      <c r="J866" s="164"/>
      <c r="K866" s="88"/>
    </row>
    <row r="867" ht="15.75" customHeight="1">
      <c r="A867" s="74"/>
      <c r="B867" s="2"/>
      <c r="C867" s="88"/>
      <c r="D867" s="88"/>
      <c r="E867" s="88"/>
      <c r="F867" s="88"/>
      <c r="G867" s="88"/>
      <c r="H867" s="88"/>
      <c r="I867" s="89"/>
      <c r="J867" s="164"/>
      <c r="K867" s="88"/>
    </row>
    <row r="868" ht="15.75" customHeight="1">
      <c r="A868" s="74"/>
      <c r="B868" s="2"/>
      <c r="C868" s="88"/>
      <c r="D868" s="88"/>
      <c r="E868" s="88"/>
      <c r="F868" s="88"/>
      <c r="G868" s="88"/>
      <c r="H868" s="88"/>
      <c r="I868" s="89"/>
      <c r="J868" s="164"/>
      <c r="K868" s="88"/>
    </row>
    <row r="869" ht="15.75" customHeight="1">
      <c r="A869" s="74"/>
      <c r="B869" s="2"/>
      <c r="C869" s="88"/>
      <c r="D869" s="88"/>
      <c r="E869" s="88"/>
      <c r="F869" s="88"/>
      <c r="G869" s="88"/>
      <c r="H869" s="88"/>
      <c r="I869" s="89"/>
      <c r="J869" s="164"/>
      <c r="K869" s="88"/>
    </row>
    <row r="870" ht="15.75" customHeight="1">
      <c r="A870" s="74"/>
      <c r="B870" s="2"/>
      <c r="C870" s="88"/>
      <c r="D870" s="88"/>
      <c r="E870" s="88"/>
      <c r="F870" s="88"/>
      <c r="G870" s="88"/>
      <c r="H870" s="88"/>
      <c r="I870" s="89"/>
      <c r="J870" s="164"/>
      <c r="K870" s="88"/>
    </row>
    <row r="871" ht="15.75" customHeight="1">
      <c r="A871" s="74"/>
      <c r="B871" s="2"/>
      <c r="C871" s="88"/>
      <c r="D871" s="88"/>
      <c r="E871" s="88"/>
      <c r="F871" s="88"/>
      <c r="G871" s="88"/>
      <c r="H871" s="88"/>
      <c r="I871" s="89"/>
      <c r="J871" s="164"/>
      <c r="K871" s="88"/>
    </row>
    <row r="872" ht="15.75" customHeight="1">
      <c r="A872" s="74"/>
      <c r="B872" s="2"/>
      <c r="C872" s="88"/>
      <c r="D872" s="88"/>
      <c r="E872" s="88"/>
      <c r="F872" s="88"/>
      <c r="G872" s="88"/>
      <c r="H872" s="88"/>
      <c r="I872" s="89"/>
      <c r="J872" s="164"/>
      <c r="K872" s="88"/>
    </row>
    <row r="873" ht="15.75" customHeight="1">
      <c r="A873" s="74"/>
      <c r="B873" s="2"/>
      <c r="C873" s="88"/>
      <c r="D873" s="88"/>
      <c r="E873" s="88"/>
      <c r="F873" s="88"/>
      <c r="G873" s="88"/>
      <c r="H873" s="88"/>
      <c r="I873" s="89"/>
      <c r="J873" s="164"/>
      <c r="K873" s="88"/>
    </row>
    <row r="874" ht="15.75" customHeight="1">
      <c r="A874" s="74"/>
      <c r="B874" s="2"/>
      <c r="C874" s="88"/>
      <c r="D874" s="88"/>
      <c r="E874" s="88"/>
      <c r="F874" s="88"/>
      <c r="G874" s="88"/>
      <c r="H874" s="88"/>
      <c r="I874" s="89"/>
      <c r="J874" s="164"/>
      <c r="K874" s="88"/>
    </row>
    <row r="875" ht="15.75" customHeight="1">
      <c r="A875" s="74"/>
      <c r="B875" s="2"/>
      <c r="C875" s="88"/>
      <c r="D875" s="88"/>
      <c r="E875" s="88"/>
      <c r="F875" s="88"/>
      <c r="G875" s="88"/>
      <c r="H875" s="88"/>
      <c r="I875" s="89"/>
      <c r="J875" s="164"/>
      <c r="K875" s="88"/>
    </row>
    <row r="876" ht="15.75" customHeight="1">
      <c r="A876" s="74"/>
      <c r="B876" s="2"/>
      <c r="C876" s="88"/>
      <c r="D876" s="88"/>
      <c r="E876" s="88"/>
      <c r="F876" s="88"/>
      <c r="G876" s="88"/>
      <c r="H876" s="88"/>
      <c r="I876" s="89"/>
      <c r="J876" s="164"/>
      <c r="K876" s="88"/>
    </row>
    <row r="877" ht="15.75" customHeight="1">
      <c r="A877" s="74"/>
      <c r="B877" s="2"/>
      <c r="C877" s="88"/>
      <c r="D877" s="88"/>
      <c r="E877" s="88"/>
      <c r="F877" s="88"/>
      <c r="G877" s="88"/>
      <c r="H877" s="88"/>
      <c r="I877" s="89"/>
      <c r="J877" s="164"/>
      <c r="K877" s="88"/>
    </row>
    <row r="878" ht="15.75" customHeight="1">
      <c r="A878" s="74"/>
      <c r="B878" s="2"/>
      <c r="C878" s="88"/>
      <c r="D878" s="88"/>
      <c r="E878" s="88"/>
      <c r="F878" s="88"/>
      <c r="G878" s="88"/>
      <c r="H878" s="88"/>
      <c r="I878" s="89"/>
      <c r="J878" s="164"/>
      <c r="K878" s="88"/>
    </row>
    <row r="879" ht="15.75" customHeight="1">
      <c r="A879" s="74"/>
      <c r="B879" s="2"/>
      <c r="C879" s="88"/>
      <c r="D879" s="88"/>
      <c r="E879" s="88"/>
      <c r="F879" s="88"/>
      <c r="G879" s="88"/>
      <c r="H879" s="88"/>
      <c r="I879" s="89"/>
      <c r="J879" s="164"/>
      <c r="K879" s="88"/>
    </row>
    <row r="880" ht="15.75" customHeight="1">
      <c r="A880" s="74"/>
      <c r="B880" s="2"/>
      <c r="C880" s="88"/>
      <c r="D880" s="88"/>
      <c r="E880" s="88"/>
      <c r="F880" s="88"/>
      <c r="G880" s="88"/>
      <c r="H880" s="88"/>
      <c r="I880" s="89"/>
      <c r="J880" s="164"/>
      <c r="K880" s="88"/>
    </row>
    <row r="881" ht="15.75" customHeight="1">
      <c r="A881" s="74"/>
      <c r="B881" s="2"/>
      <c r="C881" s="88"/>
      <c r="D881" s="88"/>
      <c r="E881" s="88"/>
      <c r="F881" s="88"/>
      <c r="G881" s="88"/>
      <c r="H881" s="88"/>
      <c r="I881" s="89"/>
      <c r="J881" s="164"/>
      <c r="K881" s="88"/>
    </row>
    <row r="882" ht="15.75" customHeight="1">
      <c r="A882" s="74"/>
      <c r="B882" s="2"/>
      <c r="C882" s="88"/>
      <c r="D882" s="88"/>
      <c r="E882" s="88"/>
      <c r="F882" s="88"/>
      <c r="G882" s="88"/>
      <c r="H882" s="88"/>
      <c r="I882" s="89"/>
      <c r="J882" s="164"/>
      <c r="K882" s="88"/>
    </row>
    <row r="883" ht="15.75" customHeight="1">
      <c r="A883" s="74"/>
      <c r="B883" s="2"/>
      <c r="C883" s="88"/>
      <c r="D883" s="88"/>
      <c r="E883" s="88"/>
      <c r="F883" s="88"/>
      <c r="G883" s="88"/>
      <c r="H883" s="88"/>
      <c r="I883" s="89"/>
      <c r="J883" s="164"/>
      <c r="K883" s="88"/>
    </row>
    <row r="884" ht="15.75" customHeight="1">
      <c r="A884" s="74"/>
      <c r="B884" s="2"/>
      <c r="C884" s="88"/>
      <c r="D884" s="88"/>
      <c r="E884" s="88"/>
      <c r="F884" s="88"/>
      <c r="G884" s="88"/>
      <c r="H884" s="88"/>
      <c r="I884" s="89"/>
      <c r="J884" s="164"/>
      <c r="K884" s="88"/>
    </row>
    <row r="885" ht="15.75" customHeight="1">
      <c r="A885" s="74"/>
      <c r="B885" s="2"/>
      <c r="C885" s="88"/>
      <c r="D885" s="88"/>
      <c r="E885" s="88"/>
      <c r="F885" s="88"/>
      <c r="G885" s="88"/>
      <c r="H885" s="88"/>
      <c r="I885" s="89"/>
      <c r="J885" s="164"/>
      <c r="K885" s="88"/>
    </row>
    <row r="886" ht="15.75" customHeight="1">
      <c r="A886" s="74"/>
      <c r="B886" s="2"/>
      <c r="C886" s="88"/>
      <c r="D886" s="88"/>
      <c r="E886" s="88"/>
      <c r="F886" s="88"/>
      <c r="G886" s="88"/>
      <c r="H886" s="88"/>
      <c r="I886" s="89"/>
      <c r="J886" s="164"/>
      <c r="K886" s="88"/>
    </row>
    <row r="887" ht="15.75" customHeight="1">
      <c r="A887" s="74"/>
      <c r="B887" s="2"/>
      <c r="C887" s="88"/>
      <c r="D887" s="88"/>
      <c r="E887" s="88"/>
      <c r="F887" s="88"/>
      <c r="G887" s="88"/>
      <c r="H887" s="88"/>
      <c r="I887" s="89"/>
      <c r="J887" s="164"/>
      <c r="K887" s="88"/>
    </row>
    <row r="888" ht="15.75" customHeight="1">
      <c r="A888" s="74"/>
      <c r="B888" s="2"/>
      <c r="C888" s="88"/>
      <c r="D888" s="88"/>
      <c r="E888" s="88"/>
      <c r="F888" s="88"/>
      <c r="G888" s="88"/>
      <c r="H888" s="88"/>
      <c r="I888" s="89"/>
      <c r="J888" s="164"/>
      <c r="K888" s="88"/>
    </row>
    <row r="889" ht="15.75" customHeight="1">
      <c r="A889" s="74"/>
      <c r="B889" s="2"/>
      <c r="C889" s="88"/>
      <c r="D889" s="88"/>
      <c r="E889" s="88"/>
      <c r="F889" s="88"/>
      <c r="G889" s="88"/>
      <c r="H889" s="88"/>
      <c r="I889" s="89"/>
      <c r="J889" s="164"/>
      <c r="K889" s="88"/>
    </row>
    <row r="890" ht="15.75" customHeight="1">
      <c r="A890" s="74"/>
      <c r="B890" s="2"/>
      <c r="C890" s="88"/>
      <c r="D890" s="88"/>
      <c r="E890" s="88"/>
      <c r="F890" s="88"/>
      <c r="G890" s="88"/>
      <c r="H890" s="88"/>
      <c r="I890" s="89"/>
      <c r="J890" s="164"/>
      <c r="K890" s="88"/>
    </row>
    <row r="891" ht="15.75" customHeight="1">
      <c r="A891" s="74"/>
      <c r="B891" s="2"/>
      <c r="C891" s="88"/>
      <c r="D891" s="88"/>
      <c r="E891" s="88"/>
      <c r="F891" s="88"/>
      <c r="G891" s="88"/>
      <c r="H891" s="88"/>
      <c r="I891" s="89"/>
      <c r="J891" s="164"/>
      <c r="K891" s="88"/>
    </row>
    <row r="892" ht="15.75" customHeight="1">
      <c r="A892" s="74"/>
      <c r="B892" s="2"/>
      <c r="C892" s="88"/>
      <c r="D892" s="88"/>
      <c r="E892" s="88"/>
      <c r="F892" s="88"/>
      <c r="G892" s="88"/>
      <c r="H892" s="88"/>
      <c r="I892" s="89"/>
      <c r="J892" s="164"/>
      <c r="K892" s="88"/>
    </row>
    <row r="893" ht="15.75" customHeight="1">
      <c r="A893" s="74"/>
      <c r="B893" s="2"/>
      <c r="C893" s="88"/>
      <c r="D893" s="88"/>
      <c r="E893" s="88"/>
      <c r="F893" s="88"/>
      <c r="G893" s="88"/>
      <c r="H893" s="88"/>
      <c r="I893" s="89"/>
      <c r="J893" s="164"/>
      <c r="K893" s="88"/>
    </row>
    <row r="894" ht="15.75" customHeight="1">
      <c r="A894" s="74"/>
      <c r="B894" s="2"/>
      <c r="C894" s="88"/>
      <c r="D894" s="88"/>
      <c r="E894" s="88"/>
      <c r="F894" s="88"/>
      <c r="G894" s="88"/>
      <c r="H894" s="88"/>
      <c r="I894" s="89"/>
      <c r="J894" s="164"/>
      <c r="K894" s="88"/>
    </row>
    <row r="895" ht="15.75" customHeight="1">
      <c r="A895" s="74"/>
      <c r="B895" s="2"/>
      <c r="C895" s="88"/>
      <c r="D895" s="88"/>
      <c r="E895" s="88"/>
      <c r="F895" s="88"/>
      <c r="G895" s="88"/>
      <c r="H895" s="88"/>
      <c r="I895" s="89"/>
      <c r="J895" s="164"/>
      <c r="K895" s="88"/>
    </row>
    <row r="896" ht="15.75" customHeight="1">
      <c r="A896" s="74"/>
      <c r="B896" s="2"/>
      <c r="C896" s="88"/>
      <c r="D896" s="88"/>
      <c r="E896" s="88"/>
      <c r="F896" s="88"/>
      <c r="G896" s="88"/>
      <c r="H896" s="88"/>
      <c r="I896" s="89"/>
      <c r="J896" s="164"/>
      <c r="K896" s="88"/>
    </row>
    <row r="897" ht="15.75" customHeight="1">
      <c r="A897" s="74"/>
      <c r="B897" s="2"/>
      <c r="C897" s="88"/>
      <c r="D897" s="88"/>
      <c r="E897" s="88"/>
      <c r="F897" s="88"/>
      <c r="G897" s="88"/>
      <c r="H897" s="88"/>
      <c r="I897" s="89"/>
      <c r="J897" s="164"/>
      <c r="K897" s="88"/>
    </row>
    <row r="898" ht="15.75" customHeight="1">
      <c r="A898" s="74"/>
      <c r="B898" s="2"/>
      <c r="C898" s="88"/>
      <c r="D898" s="88"/>
      <c r="E898" s="88"/>
      <c r="F898" s="88"/>
      <c r="G898" s="88"/>
      <c r="H898" s="88"/>
      <c r="I898" s="89"/>
      <c r="J898" s="164"/>
      <c r="K898" s="88"/>
    </row>
    <row r="899" ht="15.75" customHeight="1">
      <c r="A899" s="74"/>
      <c r="B899" s="2"/>
      <c r="C899" s="88"/>
      <c r="D899" s="88"/>
      <c r="E899" s="88"/>
      <c r="F899" s="88"/>
      <c r="G899" s="88"/>
      <c r="H899" s="88"/>
      <c r="I899" s="89"/>
      <c r="J899" s="164"/>
      <c r="K899" s="88"/>
    </row>
    <row r="900" ht="15.75" customHeight="1">
      <c r="A900" s="74"/>
      <c r="B900" s="2"/>
      <c r="C900" s="88"/>
      <c r="D900" s="88"/>
      <c r="E900" s="88"/>
      <c r="F900" s="88"/>
      <c r="G900" s="88"/>
      <c r="H900" s="88"/>
      <c r="I900" s="89"/>
      <c r="J900" s="164"/>
      <c r="K900" s="88"/>
    </row>
    <row r="901" ht="15.75" customHeight="1">
      <c r="A901" s="74"/>
      <c r="B901" s="2"/>
      <c r="C901" s="88"/>
      <c r="D901" s="88"/>
      <c r="E901" s="88"/>
      <c r="F901" s="88"/>
      <c r="G901" s="88"/>
      <c r="H901" s="88"/>
      <c r="I901" s="89"/>
      <c r="J901" s="164"/>
      <c r="K901" s="88"/>
    </row>
    <row r="902" ht="15.75" customHeight="1">
      <c r="A902" s="74"/>
      <c r="B902" s="2"/>
      <c r="C902" s="88"/>
      <c r="D902" s="88"/>
      <c r="E902" s="88"/>
      <c r="F902" s="88"/>
      <c r="G902" s="88"/>
      <c r="H902" s="88"/>
      <c r="I902" s="89"/>
      <c r="J902" s="164"/>
      <c r="K902" s="88"/>
    </row>
    <row r="903" ht="15.75" customHeight="1">
      <c r="A903" s="74"/>
      <c r="B903" s="2"/>
      <c r="C903" s="88"/>
      <c r="D903" s="88"/>
      <c r="E903" s="88"/>
      <c r="F903" s="88"/>
      <c r="G903" s="88"/>
      <c r="H903" s="88"/>
      <c r="I903" s="89"/>
      <c r="J903" s="164"/>
      <c r="K903" s="88"/>
    </row>
    <row r="904" ht="15.75" customHeight="1">
      <c r="A904" s="74"/>
      <c r="B904" s="2"/>
      <c r="C904" s="88"/>
      <c r="D904" s="88"/>
      <c r="E904" s="88"/>
      <c r="F904" s="88"/>
      <c r="G904" s="88"/>
      <c r="H904" s="88"/>
      <c r="I904" s="89"/>
      <c r="J904" s="164"/>
      <c r="K904" s="88"/>
    </row>
    <row r="905" ht="15.75" customHeight="1">
      <c r="A905" s="74"/>
      <c r="B905" s="2"/>
      <c r="C905" s="88"/>
      <c r="D905" s="88"/>
      <c r="E905" s="88"/>
      <c r="F905" s="88"/>
      <c r="G905" s="88"/>
      <c r="H905" s="88"/>
      <c r="I905" s="89"/>
      <c r="J905" s="164"/>
      <c r="K905" s="88"/>
    </row>
    <row r="906" ht="15.75" customHeight="1">
      <c r="A906" s="74"/>
      <c r="B906" s="2"/>
      <c r="C906" s="88"/>
      <c r="D906" s="88"/>
      <c r="E906" s="88"/>
      <c r="F906" s="88"/>
      <c r="G906" s="88"/>
      <c r="H906" s="88"/>
      <c r="I906" s="89"/>
      <c r="J906" s="164"/>
      <c r="K906" s="88"/>
    </row>
    <row r="907" ht="15.75" customHeight="1">
      <c r="A907" s="74"/>
      <c r="B907" s="2"/>
      <c r="C907" s="88"/>
      <c r="D907" s="88"/>
      <c r="E907" s="88"/>
      <c r="F907" s="88"/>
      <c r="G907" s="88"/>
      <c r="H907" s="88"/>
      <c r="I907" s="89"/>
      <c r="J907" s="164"/>
      <c r="K907" s="88"/>
    </row>
    <row r="908" ht="15.75" customHeight="1">
      <c r="A908" s="74"/>
      <c r="B908" s="2"/>
      <c r="C908" s="88"/>
      <c r="D908" s="88"/>
      <c r="E908" s="88"/>
      <c r="F908" s="88"/>
      <c r="G908" s="88"/>
      <c r="H908" s="88"/>
      <c r="I908" s="89"/>
      <c r="J908" s="164"/>
      <c r="K908" s="88"/>
    </row>
    <row r="909" ht="15.75" customHeight="1">
      <c r="A909" s="74"/>
      <c r="B909" s="2"/>
      <c r="C909" s="88"/>
      <c r="D909" s="88"/>
      <c r="E909" s="88"/>
      <c r="F909" s="88"/>
      <c r="G909" s="88"/>
      <c r="H909" s="88"/>
      <c r="I909" s="89"/>
      <c r="J909" s="164"/>
      <c r="K909" s="88"/>
    </row>
    <row r="910" ht="15.75" customHeight="1">
      <c r="A910" s="74"/>
      <c r="B910" s="2"/>
      <c r="C910" s="88"/>
      <c r="D910" s="88"/>
      <c r="E910" s="88"/>
      <c r="F910" s="88"/>
      <c r="G910" s="88"/>
      <c r="H910" s="88"/>
      <c r="I910" s="89"/>
      <c r="J910" s="164"/>
      <c r="K910" s="88"/>
    </row>
    <row r="911" ht="15.75" customHeight="1">
      <c r="A911" s="74"/>
      <c r="B911" s="2"/>
      <c r="C911" s="88"/>
      <c r="D911" s="88"/>
      <c r="E911" s="88"/>
      <c r="F911" s="88"/>
      <c r="G911" s="88"/>
      <c r="H911" s="88"/>
      <c r="I911" s="89"/>
      <c r="J911" s="164"/>
      <c r="K911" s="88"/>
    </row>
    <row r="912" ht="15.75" customHeight="1">
      <c r="A912" s="74"/>
      <c r="B912" s="2"/>
      <c r="C912" s="88"/>
      <c r="D912" s="88"/>
      <c r="E912" s="88"/>
      <c r="F912" s="88"/>
      <c r="G912" s="88"/>
      <c r="H912" s="88"/>
      <c r="I912" s="89"/>
      <c r="J912" s="164"/>
      <c r="K912" s="88"/>
    </row>
    <row r="913" ht="15.75" customHeight="1">
      <c r="A913" s="74"/>
      <c r="B913" s="2"/>
      <c r="C913" s="88"/>
      <c r="D913" s="88"/>
      <c r="E913" s="88"/>
      <c r="F913" s="88"/>
      <c r="G913" s="88"/>
      <c r="H913" s="88"/>
      <c r="I913" s="89"/>
      <c r="J913" s="164"/>
      <c r="K913" s="88"/>
    </row>
    <row r="914" ht="15.75" customHeight="1">
      <c r="A914" s="74"/>
      <c r="B914" s="2"/>
      <c r="C914" s="88"/>
      <c r="D914" s="88"/>
      <c r="E914" s="88"/>
      <c r="F914" s="88"/>
      <c r="G914" s="88"/>
      <c r="H914" s="88"/>
      <c r="I914" s="89"/>
      <c r="J914" s="164"/>
      <c r="K914" s="88"/>
    </row>
    <row r="915" ht="15.75" customHeight="1">
      <c r="A915" s="74"/>
      <c r="B915" s="2"/>
      <c r="C915" s="88"/>
      <c r="D915" s="88"/>
      <c r="E915" s="88"/>
      <c r="F915" s="88"/>
      <c r="G915" s="88"/>
      <c r="H915" s="88"/>
      <c r="I915" s="89"/>
      <c r="J915" s="164"/>
      <c r="K915" s="88"/>
    </row>
    <row r="916" ht="15.75" customHeight="1">
      <c r="A916" s="74"/>
      <c r="B916" s="2"/>
      <c r="C916" s="88"/>
      <c r="D916" s="88"/>
      <c r="E916" s="88"/>
      <c r="F916" s="88"/>
      <c r="G916" s="88"/>
      <c r="H916" s="88"/>
      <c r="I916" s="89"/>
      <c r="J916" s="164"/>
      <c r="K916" s="88"/>
    </row>
    <row r="917" ht="15.75" customHeight="1">
      <c r="A917" s="74"/>
      <c r="B917" s="2"/>
      <c r="C917" s="88"/>
      <c r="D917" s="88"/>
      <c r="E917" s="88"/>
      <c r="F917" s="88"/>
      <c r="G917" s="88"/>
      <c r="H917" s="88"/>
      <c r="I917" s="89"/>
      <c r="J917" s="164"/>
      <c r="K917" s="88"/>
    </row>
    <row r="918" ht="15.75" customHeight="1">
      <c r="A918" s="74"/>
      <c r="B918" s="2"/>
      <c r="C918" s="88"/>
      <c r="D918" s="88"/>
      <c r="E918" s="88"/>
      <c r="F918" s="88"/>
      <c r="G918" s="88"/>
      <c r="H918" s="88"/>
      <c r="I918" s="89"/>
      <c r="J918" s="164"/>
      <c r="K918" s="88"/>
    </row>
    <row r="919" ht="15.75" customHeight="1">
      <c r="A919" s="74"/>
      <c r="B919" s="2"/>
      <c r="C919" s="88"/>
      <c r="D919" s="88"/>
      <c r="E919" s="88"/>
      <c r="F919" s="88"/>
      <c r="G919" s="88"/>
      <c r="H919" s="88"/>
      <c r="I919" s="89"/>
      <c r="J919" s="164"/>
      <c r="K919" s="88"/>
    </row>
    <row r="920" ht="15.75" customHeight="1">
      <c r="A920" s="74"/>
      <c r="B920" s="2"/>
      <c r="C920" s="88"/>
      <c r="D920" s="88"/>
      <c r="E920" s="88"/>
      <c r="F920" s="88"/>
      <c r="G920" s="88"/>
      <c r="H920" s="88"/>
      <c r="I920" s="89"/>
      <c r="J920" s="164"/>
      <c r="K920" s="88"/>
    </row>
    <row r="921" ht="15.75" customHeight="1">
      <c r="A921" s="74"/>
      <c r="B921" s="2"/>
      <c r="C921" s="88"/>
      <c r="D921" s="88"/>
      <c r="E921" s="88"/>
      <c r="F921" s="88"/>
      <c r="G921" s="88"/>
      <c r="H921" s="88"/>
      <c r="I921" s="89"/>
      <c r="J921" s="164"/>
      <c r="K921" s="88"/>
    </row>
    <row r="922" ht="15.75" customHeight="1">
      <c r="A922" s="74"/>
      <c r="B922" s="2"/>
      <c r="C922" s="88"/>
      <c r="D922" s="88"/>
      <c r="E922" s="88"/>
      <c r="F922" s="88"/>
      <c r="G922" s="88"/>
      <c r="H922" s="88"/>
      <c r="I922" s="89"/>
      <c r="J922" s="164"/>
      <c r="K922" s="88"/>
    </row>
    <row r="923" ht="15.75" customHeight="1">
      <c r="A923" s="74"/>
      <c r="B923" s="2"/>
      <c r="C923" s="88"/>
      <c r="D923" s="88"/>
      <c r="E923" s="88"/>
      <c r="F923" s="88"/>
      <c r="G923" s="88"/>
      <c r="H923" s="88"/>
      <c r="I923" s="89"/>
      <c r="J923" s="164"/>
      <c r="K923" s="88"/>
    </row>
    <row r="924" ht="15.75" customHeight="1">
      <c r="A924" s="74"/>
      <c r="B924" s="2"/>
      <c r="C924" s="88"/>
      <c r="D924" s="88"/>
      <c r="E924" s="88"/>
      <c r="F924" s="88"/>
      <c r="G924" s="88"/>
      <c r="H924" s="88"/>
      <c r="I924" s="89"/>
      <c r="J924" s="164"/>
      <c r="K924" s="88"/>
    </row>
    <row r="925" ht="15.75" customHeight="1">
      <c r="A925" s="74"/>
      <c r="B925" s="2"/>
      <c r="C925" s="88"/>
      <c r="D925" s="88"/>
      <c r="E925" s="88"/>
      <c r="F925" s="88"/>
      <c r="G925" s="88"/>
      <c r="H925" s="88"/>
      <c r="I925" s="89"/>
      <c r="J925" s="164"/>
      <c r="K925" s="88"/>
    </row>
    <row r="926" ht="15.75" customHeight="1">
      <c r="A926" s="74"/>
      <c r="B926" s="2"/>
      <c r="C926" s="88"/>
      <c r="D926" s="88"/>
      <c r="E926" s="88"/>
      <c r="F926" s="88"/>
      <c r="G926" s="88"/>
      <c r="H926" s="88"/>
      <c r="I926" s="89"/>
      <c r="J926" s="164"/>
      <c r="K926" s="88"/>
    </row>
    <row r="927" ht="15.75" customHeight="1">
      <c r="A927" s="74"/>
      <c r="B927" s="2"/>
      <c r="C927" s="88"/>
      <c r="D927" s="88"/>
      <c r="E927" s="88"/>
      <c r="F927" s="88"/>
      <c r="G927" s="88"/>
      <c r="H927" s="88"/>
      <c r="I927" s="89"/>
      <c r="J927" s="164"/>
      <c r="K927" s="88"/>
    </row>
    <row r="928" ht="15.75" customHeight="1">
      <c r="A928" s="74"/>
      <c r="B928" s="2"/>
      <c r="C928" s="88"/>
      <c r="D928" s="88"/>
      <c r="E928" s="88"/>
      <c r="F928" s="88"/>
      <c r="G928" s="88"/>
      <c r="H928" s="88"/>
      <c r="I928" s="89"/>
      <c r="J928" s="164"/>
      <c r="K928" s="88"/>
    </row>
    <row r="929" ht="15.75" customHeight="1">
      <c r="A929" s="74"/>
      <c r="B929" s="2"/>
      <c r="C929" s="88"/>
      <c r="D929" s="88"/>
      <c r="E929" s="88"/>
      <c r="F929" s="88"/>
      <c r="G929" s="88"/>
      <c r="H929" s="88"/>
      <c r="I929" s="89"/>
      <c r="J929" s="164"/>
      <c r="K929" s="88"/>
    </row>
    <row r="930" ht="15.75" customHeight="1">
      <c r="A930" s="74"/>
      <c r="B930" s="2"/>
      <c r="C930" s="88"/>
      <c r="D930" s="88"/>
      <c r="E930" s="88"/>
      <c r="F930" s="88"/>
      <c r="G930" s="88"/>
      <c r="H930" s="88"/>
      <c r="I930" s="89"/>
      <c r="J930" s="164"/>
      <c r="K930" s="88"/>
    </row>
    <row r="931" ht="15.75" customHeight="1">
      <c r="A931" s="74"/>
      <c r="B931" s="2"/>
      <c r="C931" s="88"/>
      <c r="D931" s="88"/>
      <c r="E931" s="88"/>
      <c r="F931" s="88"/>
      <c r="G931" s="88"/>
      <c r="H931" s="88"/>
      <c r="I931" s="89"/>
      <c r="J931" s="164"/>
      <c r="K931" s="88"/>
    </row>
    <row r="932" ht="15.75" customHeight="1">
      <c r="A932" s="74"/>
      <c r="B932" s="2"/>
      <c r="C932" s="88"/>
      <c r="D932" s="88"/>
      <c r="E932" s="88"/>
      <c r="F932" s="88"/>
      <c r="G932" s="88"/>
      <c r="H932" s="88"/>
      <c r="I932" s="89"/>
      <c r="J932" s="164"/>
      <c r="K932" s="88"/>
    </row>
    <row r="933" ht="15.75" customHeight="1">
      <c r="A933" s="74"/>
      <c r="B933" s="2"/>
      <c r="C933" s="88"/>
      <c r="D933" s="88"/>
      <c r="E933" s="88"/>
      <c r="F933" s="88"/>
      <c r="G933" s="88"/>
      <c r="H933" s="88"/>
      <c r="I933" s="89"/>
      <c r="J933" s="164"/>
      <c r="K933" s="88"/>
    </row>
    <row r="934" ht="15.75" customHeight="1">
      <c r="A934" s="74"/>
      <c r="B934" s="2"/>
      <c r="C934" s="88"/>
      <c r="D934" s="88"/>
      <c r="E934" s="88"/>
      <c r="F934" s="88"/>
      <c r="G934" s="88"/>
      <c r="H934" s="88"/>
      <c r="I934" s="89"/>
      <c r="J934" s="164"/>
      <c r="K934" s="88"/>
    </row>
    <row r="935" ht="15.75" customHeight="1">
      <c r="A935" s="74"/>
      <c r="B935" s="2"/>
      <c r="C935" s="88"/>
      <c r="D935" s="88"/>
      <c r="E935" s="88"/>
      <c r="F935" s="88"/>
      <c r="G935" s="88"/>
      <c r="H935" s="88"/>
      <c r="I935" s="89"/>
      <c r="J935" s="164"/>
      <c r="K935" s="88"/>
    </row>
    <row r="936" ht="15.75" customHeight="1">
      <c r="A936" s="74"/>
      <c r="B936" s="2"/>
      <c r="C936" s="88"/>
      <c r="D936" s="88"/>
      <c r="E936" s="88"/>
      <c r="F936" s="88"/>
      <c r="G936" s="88"/>
      <c r="H936" s="88"/>
      <c r="I936" s="89"/>
      <c r="J936" s="164"/>
      <c r="K936" s="88"/>
    </row>
    <row r="937" ht="15.75" customHeight="1">
      <c r="A937" s="74"/>
      <c r="B937" s="2"/>
      <c r="C937" s="88"/>
      <c r="D937" s="88"/>
      <c r="E937" s="88"/>
      <c r="F937" s="88"/>
      <c r="G937" s="88"/>
      <c r="H937" s="88"/>
      <c r="I937" s="89"/>
      <c r="J937" s="164"/>
      <c r="K937" s="88"/>
    </row>
    <row r="938" ht="15.75" customHeight="1">
      <c r="A938" s="74"/>
      <c r="B938" s="2"/>
      <c r="C938" s="88"/>
      <c r="D938" s="88"/>
      <c r="E938" s="88"/>
      <c r="F938" s="88"/>
      <c r="G938" s="88"/>
      <c r="H938" s="88"/>
      <c r="I938" s="89"/>
      <c r="J938" s="164"/>
      <c r="K938" s="88"/>
    </row>
    <row r="939" ht="15.75" customHeight="1">
      <c r="A939" s="74"/>
      <c r="B939" s="2"/>
      <c r="C939" s="88"/>
      <c r="D939" s="88"/>
      <c r="E939" s="88"/>
      <c r="F939" s="88"/>
      <c r="G939" s="88"/>
      <c r="H939" s="88"/>
      <c r="I939" s="89"/>
      <c r="J939" s="164"/>
      <c r="K939" s="88"/>
    </row>
    <row r="940" ht="15.75" customHeight="1">
      <c r="A940" s="74"/>
      <c r="B940" s="2"/>
      <c r="C940" s="88"/>
      <c r="D940" s="88"/>
      <c r="E940" s="88"/>
      <c r="F940" s="88"/>
      <c r="G940" s="88"/>
      <c r="H940" s="88"/>
      <c r="I940" s="89"/>
      <c r="J940" s="164"/>
      <c r="K940" s="88"/>
    </row>
    <row r="941" ht="15.75" customHeight="1">
      <c r="A941" s="74"/>
      <c r="B941" s="2"/>
      <c r="C941" s="88"/>
      <c r="D941" s="88"/>
      <c r="E941" s="88"/>
      <c r="F941" s="88"/>
      <c r="G941" s="88"/>
      <c r="H941" s="88"/>
      <c r="I941" s="89"/>
      <c r="J941" s="164"/>
      <c r="K941" s="88"/>
    </row>
    <row r="942" ht="15.75" customHeight="1">
      <c r="A942" s="74"/>
      <c r="B942" s="2"/>
      <c r="C942" s="88"/>
      <c r="D942" s="88"/>
      <c r="E942" s="88"/>
      <c r="F942" s="88"/>
      <c r="G942" s="88"/>
      <c r="H942" s="88"/>
      <c r="I942" s="89"/>
      <c r="J942" s="164"/>
      <c r="K942" s="88"/>
    </row>
    <row r="943" ht="15.75" customHeight="1">
      <c r="A943" s="74"/>
      <c r="B943" s="2"/>
      <c r="C943" s="88"/>
      <c r="D943" s="88"/>
      <c r="E943" s="88"/>
      <c r="F943" s="88"/>
      <c r="G943" s="88"/>
      <c r="H943" s="88"/>
      <c r="I943" s="89"/>
      <c r="J943" s="164"/>
      <c r="K943" s="88"/>
    </row>
    <row r="944" ht="15.75" customHeight="1">
      <c r="A944" s="74"/>
      <c r="B944" s="2"/>
      <c r="C944" s="88"/>
      <c r="D944" s="88"/>
      <c r="E944" s="88"/>
      <c r="F944" s="88"/>
      <c r="G944" s="88"/>
      <c r="H944" s="88"/>
      <c r="I944" s="89"/>
      <c r="J944" s="164"/>
      <c r="K944" s="88"/>
    </row>
    <row r="945" ht="15.75" customHeight="1">
      <c r="A945" s="74"/>
      <c r="B945" s="2"/>
      <c r="C945" s="88"/>
      <c r="D945" s="88"/>
      <c r="E945" s="88"/>
      <c r="F945" s="88"/>
      <c r="G945" s="88"/>
      <c r="H945" s="88"/>
      <c r="I945" s="89"/>
      <c r="J945" s="164"/>
      <c r="K945" s="88"/>
    </row>
    <row r="946" ht="15.75" customHeight="1">
      <c r="A946" s="74"/>
      <c r="B946" s="2"/>
      <c r="C946" s="88"/>
      <c r="D946" s="88"/>
      <c r="E946" s="88"/>
      <c r="F946" s="88"/>
      <c r="G946" s="88"/>
      <c r="H946" s="88"/>
      <c r="I946" s="89"/>
      <c r="J946" s="164"/>
      <c r="K946" s="88"/>
    </row>
    <row r="947" ht="15.75" customHeight="1">
      <c r="A947" s="74"/>
      <c r="B947" s="2"/>
      <c r="C947" s="88"/>
      <c r="D947" s="88"/>
      <c r="E947" s="88"/>
      <c r="F947" s="88"/>
      <c r="G947" s="88"/>
      <c r="H947" s="88"/>
      <c r="I947" s="89"/>
      <c r="J947" s="164"/>
      <c r="K947" s="88"/>
    </row>
    <row r="948" ht="15.75" customHeight="1">
      <c r="A948" s="74"/>
      <c r="B948" s="2"/>
      <c r="C948" s="88"/>
      <c r="D948" s="88"/>
      <c r="E948" s="88"/>
      <c r="F948" s="88"/>
      <c r="G948" s="88"/>
      <c r="H948" s="88"/>
      <c r="I948" s="89"/>
      <c r="J948" s="164"/>
      <c r="K948" s="88"/>
    </row>
    <row r="949" ht="15.75" customHeight="1">
      <c r="A949" s="74"/>
      <c r="B949" s="2"/>
      <c r="C949" s="88"/>
      <c r="D949" s="88"/>
      <c r="E949" s="88"/>
      <c r="F949" s="88"/>
      <c r="G949" s="88"/>
      <c r="H949" s="88"/>
      <c r="I949" s="89"/>
      <c r="J949" s="164"/>
      <c r="K949" s="88"/>
    </row>
    <row r="950" ht="15.75" customHeight="1">
      <c r="A950" s="74"/>
      <c r="B950" s="2"/>
      <c r="C950" s="88"/>
      <c r="D950" s="88"/>
      <c r="E950" s="88"/>
      <c r="F950" s="88"/>
      <c r="G950" s="88"/>
      <c r="H950" s="88"/>
      <c r="I950" s="89"/>
      <c r="J950" s="164"/>
      <c r="K950" s="88"/>
    </row>
    <row r="951" ht="15.75" customHeight="1">
      <c r="A951" s="74"/>
      <c r="B951" s="2"/>
      <c r="C951" s="88"/>
      <c r="D951" s="88"/>
      <c r="E951" s="88"/>
      <c r="F951" s="88"/>
      <c r="G951" s="88"/>
      <c r="H951" s="88"/>
      <c r="I951" s="89"/>
      <c r="J951" s="164"/>
      <c r="K951" s="88"/>
    </row>
    <row r="952" ht="15.75" customHeight="1">
      <c r="A952" s="74"/>
      <c r="B952" s="2"/>
      <c r="C952" s="88"/>
      <c r="D952" s="88"/>
      <c r="E952" s="88"/>
      <c r="F952" s="88"/>
      <c r="G952" s="88"/>
      <c r="H952" s="88"/>
      <c r="I952" s="89"/>
      <c r="J952" s="164"/>
      <c r="K952" s="88"/>
    </row>
    <row r="953" ht="15.75" customHeight="1">
      <c r="A953" s="74"/>
      <c r="B953" s="2"/>
      <c r="C953" s="88"/>
      <c r="D953" s="88"/>
      <c r="E953" s="88"/>
      <c r="F953" s="88"/>
      <c r="G953" s="88"/>
      <c r="H953" s="88"/>
      <c r="I953" s="89"/>
      <c r="J953" s="164"/>
      <c r="K953" s="88"/>
    </row>
    <row r="954" ht="15.75" customHeight="1">
      <c r="A954" s="74"/>
      <c r="B954" s="2"/>
      <c r="C954" s="88"/>
      <c r="D954" s="88"/>
      <c r="E954" s="88"/>
      <c r="F954" s="88"/>
      <c r="G954" s="88"/>
      <c r="H954" s="88"/>
      <c r="I954" s="89"/>
      <c r="J954" s="164"/>
      <c r="K954" s="88"/>
    </row>
    <row r="955" ht="15.75" customHeight="1">
      <c r="A955" s="74"/>
      <c r="B955" s="2"/>
      <c r="C955" s="88"/>
      <c r="D955" s="88"/>
      <c r="E955" s="88"/>
      <c r="F955" s="88"/>
      <c r="G955" s="88"/>
      <c r="H955" s="88"/>
      <c r="I955" s="89"/>
      <c r="J955" s="164"/>
      <c r="K955" s="88"/>
    </row>
    <row r="956" ht="15.75" customHeight="1">
      <c r="A956" s="74"/>
      <c r="B956" s="2"/>
      <c r="C956" s="88"/>
      <c r="D956" s="88"/>
      <c r="E956" s="88"/>
      <c r="F956" s="88"/>
      <c r="G956" s="88"/>
      <c r="H956" s="88"/>
      <c r="I956" s="89"/>
      <c r="J956" s="164"/>
      <c r="K956" s="88"/>
    </row>
    <row r="957" ht="15.75" customHeight="1">
      <c r="A957" s="74"/>
      <c r="B957" s="2"/>
      <c r="C957" s="88"/>
      <c r="D957" s="88"/>
      <c r="E957" s="88"/>
      <c r="F957" s="88"/>
      <c r="G957" s="88"/>
      <c r="H957" s="88"/>
      <c r="I957" s="89"/>
      <c r="J957" s="164"/>
      <c r="K957" s="88"/>
    </row>
    <row r="958" ht="15.75" customHeight="1">
      <c r="A958" s="74"/>
      <c r="B958" s="2"/>
      <c r="C958" s="88"/>
      <c r="D958" s="88"/>
      <c r="E958" s="88"/>
      <c r="F958" s="88"/>
      <c r="G958" s="88"/>
      <c r="H958" s="88"/>
      <c r="I958" s="89"/>
      <c r="J958" s="164"/>
      <c r="K958" s="88"/>
    </row>
    <row r="959" ht="15.75" customHeight="1">
      <c r="A959" s="74"/>
      <c r="B959" s="2"/>
      <c r="C959" s="88"/>
      <c r="D959" s="88"/>
      <c r="E959" s="88"/>
      <c r="F959" s="88"/>
      <c r="G959" s="88"/>
      <c r="H959" s="88"/>
      <c r="I959" s="89"/>
      <c r="J959" s="164"/>
      <c r="K959" s="88"/>
    </row>
    <row r="960" ht="15.75" customHeight="1">
      <c r="A960" s="74"/>
      <c r="B960" s="2"/>
      <c r="C960" s="88"/>
      <c r="D960" s="88"/>
      <c r="E960" s="88"/>
      <c r="F960" s="88"/>
      <c r="G960" s="88"/>
      <c r="H960" s="88"/>
      <c r="I960" s="89"/>
      <c r="J960" s="164"/>
      <c r="K960" s="88"/>
    </row>
    <row r="961" ht="15.75" customHeight="1">
      <c r="A961" s="74"/>
      <c r="B961" s="2"/>
      <c r="C961" s="88"/>
      <c r="D961" s="88"/>
      <c r="E961" s="88"/>
      <c r="F961" s="88"/>
      <c r="G961" s="88"/>
      <c r="H961" s="88"/>
      <c r="I961" s="89"/>
      <c r="J961" s="164"/>
      <c r="K961" s="88"/>
    </row>
    <row r="962" ht="15.75" customHeight="1">
      <c r="A962" s="74"/>
      <c r="B962" s="2"/>
      <c r="C962" s="88"/>
      <c r="D962" s="88"/>
      <c r="E962" s="88"/>
      <c r="F962" s="88"/>
      <c r="G962" s="88"/>
      <c r="H962" s="88"/>
      <c r="I962" s="89"/>
      <c r="J962" s="164"/>
      <c r="K962" s="88"/>
    </row>
    <row r="963" ht="15.75" customHeight="1">
      <c r="A963" s="74"/>
      <c r="B963" s="2"/>
      <c r="C963" s="88"/>
      <c r="D963" s="88"/>
      <c r="E963" s="88"/>
      <c r="F963" s="88"/>
      <c r="G963" s="88"/>
      <c r="H963" s="88"/>
      <c r="I963" s="89"/>
      <c r="J963" s="164"/>
      <c r="K963" s="88"/>
    </row>
    <row r="964" ht="15.75" customHeight="1">
      <c r="A964" s="74"/>
      <c r="B964" s="2"/>
      <c r="C964" s="88"/>
      <c r="D964" s="88"/>
      <c r="E964" s="88"/>
      <c r="F964" s="88"/>
      <c r="G964" s="88"/>
      <c r="H964" s="88"/>
      <c r="I964" s="89"/>
      <c r="J964" s="164"/>
      <c r="K964" s="88"/>
    </row>
    <row r="965" ht="15.75" customHeight="1">
      <c r="A965" s="74"/>
      <c r="B965" s="2"/>
      <c r="C965" s="88"/>
      <c r="D965" s="88"/>
      <c r="E965" s="88"/>
      <c r="F965" s="88"/>
      <c r="G965" s="88"/>
      <c r="H965" s="88"/>
      <c r="I965" s="89"/>
      <c r="J965" s="164"/>
      <c r="K965" s="88"/>
    </row>
    <row r="966" ht="15.75" customHeight="1">
      <c r="A966" s="74"/>
      <c r="B966" s="2"/>
      <c r="C966" s="88"/>
      <c r="D966" s="88"/>
      <c r="E966" s="88"/>
      <c r="F966" s="88"/>
      <c r="G966" s="88"/>
      <c r="H966" s="88"/>
      <c r="I966" s="89"/>
      <c r="J966" s="164"/>
      <c r="K966" s="88"/>
    </row>
    <row r="967" ht="15.75" customHeight="1">
      <c r="A967" s="74"/>
      <c r="B967" s="2"/>
      <c r="C967" s="88"/>
      <c r="D967" s="88"/>
      <c r="E967" s="88"/>
      <c r="F967" s="88"/>
      <c r="G967" s="88"/>
      <c r="H967" s="88"/>
      <c r="I967" s="89"/>
      <c r="J967" s="164"/>
      <c r="K967" s="88"/>
    </row>
    <row r="968" ht="15.75" customHeight="1">
      <c r="A968" s="74"/>
      <c r="B968" s="2"/>
      <c r="C968" s="88"/>
      <c r="D968" s="88"/>
      <c r="E968" s="88"/>
      <c r="F968" s="88"/>
      <c r="G968" s="88"/>
      <c r="H968" s="88"/>
      <c r="I968" s="89"/>
      <c r="J968" s="164"/>
      <c r="K968" s="88"/>
    </row>
    <row r="969" ht="15.75" customHeight="1">
      <c r="A969" s="74"/>
      <c r="B969" s="2"/>
      <c r="C969" s="88"/>
      <c r="D969" s="88"/>
      <c r="E969" s="88"/>
      <c r="F969" s="88"/>
      <c r="G969" s="88"/>
      <c r="H969" s="88"/>
      <c r="I969" s="89"/>
      <c r="J969" s="164"/>
      <c r="K969" s="88"/>
    </row>
    <row r="970" ht="15.75" customHeight="1">
      <c r="A970" s="74"/>
      <c r="B970" s="2"/>
      <c r="C970" s="88"/>
      <c r="D970" s="88"/>
      <c r="E970" s="88"/>
      <c r="F970" s="88"/>
      <c r="G970" s="88"/>
      <c r="H970" s="88"/>
      <c r="I970" s="89"/>
      <c r="J970" s="164"/>
      <c r="K970" s="88"/>
    </row>
    <row r="971" ht="15.75" customHeight="1">
      <c r="A971" s="74"/>
      <c r="B971" s="2"/>
      <c r="C971" s="88"/>
      <c r="D971" s="88"/>
      <c r="E971" s="88"/>
      <c r="F971" s="88"/>
      <c r="G971" s="88"/>
      <c r="H971" s="88"/>
      <c r="I971" s="89"/>
      <c r="J971" s="164"/>
      <c r="K971" s="88"/>
    </row>
    <row r="972" ht="15.75" customHeight="1">
      <c r="A972" s="74"/>
      <c r="B972" s="2"/>
      <c r="C972" s="88"/>
      <c r="D972" s="88"/>
      <c r="E972" s="88"/>
      <c r="F972" s="88"/>
      <c r="G972" s="88"/>
      <c r="H972" s="88"/>
      <c r="I972" s="89"/>
      <c r="J972" s="164"/>
      <c r="K972" s="88"/>
    </row>
    <row r="973" ht="15.75" customHeight="1">
      <c r="A973" s="74"/>
      <c r="B973" s="2"/>
      <c r="C973" s="88"/>
      <c r="D973" s="88"/>
      <c r="E973" s="88"/>
      <c r="F973" s="88"/>
      <c r="G973" s="88"/>
      <c r="H973" s="88"/>
      <c r="I973" s="89"/>
      <c r="J973" s="164"/>
      <c r="K973" s="88"/>
    </row>
    <row r="974" ht="15.75" customHeight="1">
      <c r="A974" s="74"/>
      <c r="B974" s="2"/>
      <c r="C974" s="88"/>
      <c r="D974" s="88"/>
      <c r="E974" s="88"/>
      <c r="F974" s="88"/>
      <c r="G974" s="88"/>
      <c r="H974" s="88"/>
      <c r="I974" s="89"/>
      <c r="J974" s="164"/>
      <c r="K974" s="88"/>
    </row>
    <row r="975" ht="15.75" customHeight="1">
      <c r="A975" s="74"/>
      <c r="B975" s="2"/>
      <c r="C975" s="88"/>
      <c r="D975" s="88"/>
      <c r="E975" s="88"/>
      <c r="F975" s="88"/>
      <c r="G975" s="88"/>
      <c r="H975" s="88"/>
      <c r="I975" s="89"/>
      <c r="J975" s="164"/>
      <c r="K975" s="88"/>
    </row>
    <row r="976" ht="15.75" customHeight="1">
      <c r="A976" s="74"/>
      <c r="B976" s="2"/>
      <c r="C976" s="88"/>
      <c r="D976" s="88"/>
      <c r="E976" s="88"/>
      <c r="F976" s="88"/>
      <c r="G976" s="88"/>
      <c r="H976" s="88"/>
      <c r="I976" s="89"/>
      <c r="J976" s="164"/>
      <c r="K976" s="88"/>
    </row>
    <row r="977" ht="15.75" customHeight="1">
      <c r="A977" s="74"/>
      <c r="B977" s="2"/>
      <c r="C977" s="88"/>
      <c r="D977" s="88"/>
      <c r="E977" s="88"/>
      <c r="F977" s="88"/>
      <c r="G977" s="88"/>
      <c r="H977" s="88"/>
      <c r="I977" s="89"/>
      <c r="J977" s="164"/>
      <c r="K977" s="88"/>
    </row>
    <row r="978" ht="15.75" customHeight="1">
      <c r="A978" s="74"/>
      <c r="B978" s="2"/>
      <c r="C978" s="88"/>
      <c r="D978" s="88"/>
      <c r="E978" s="88"/>
      <c r="F978" s="88"/>
      <c r="G978" s="88"/>
      <c r="H978" s="88"/>
      <c r="I978" s="89"/>
      <c r="J978" s="164"/>
      <c r="K978" s="88"/>
    </row>
    <row r="979" ht="15.75" customHeight="1">
      <c r="A979" s="74"/>
      <c r="B979" s="2"/>
      <c r="C979" s="88"/>
      <c r="D979" s="88"/>
      <c r="E979" s="88"/>
      <c r="F979" s="88"/>
      <c r="G979" s="88"/>
      <c r="H979" s="88"/>
      <c r="I979" s="89"/>
      <c r="J979" s="164"/>
      <c r="K979" s="88"/>
    </row>
    <row r="980" ht="15.75" customHeight="1">
      <c r="A980" s="74"/>
      <c r="B980" s="2"/>
      <c r="C980" s="88"/>
      <c r="D980" s="88"/>
      <c r="E980" s="88"/>
      <c r="F980" s="88"/>
      <c r="G980" s="88"/>
      <c r="H980" s="88"/>
      <c r="I980" s="89"/>
      <c r="J980" s="164"/>
      <c r="K980" s="88"/>
    </row>
    <row r="981" ht="15.75" customHeight="1">
      <c r="A981" s="74"/>
      <c r="B981" s="2"/>
      <c r="C981" s="88"/>
      <c r="D981" s="88"/>
      <c r="E981" s="88"/>
      <c r="F981" s="88"/>
      <c r="G981" s="88"/>
      <c r="H981" s="88"/>
      <c r="I981" s="89"/>
      <c r="J981" s="164"/>
      <c r="K981" s="88"/>
    </row>
    <row r="982" ht="15.75" customHeight="1">
      <c r="A982" s="74"/>
      <c r="B982" s="2"/>
      <c r="C982" s="88"/>
      <c r="D982" s="88"/>
      <c r="E982" s="88"/>
      <c r="F982" s="88"/>
      <c r="G982" s="88"/>
      <c r="H982" s="88"/>
      <c r="I982" s="89"/>
      <c r="J982" s="164"/>
      <c r="K982" s="88"/>
    </row>
    <row r="983" ht="15.75" customHeight="1">
      <c r="A983" s="74"/>
      <c r="B983" s="2"/>
      <c r="C983" s="88"/>
      <c r="D983" s="88"/>
      <c r="E983" s="88"/>
      <c r="F983" s="88"/>
      <c r="G983" s="88"/>
      <c r="H983" s="88"/>
      <c r="I983" s="89"/>
      <c r="J983" s="164"/>
      <c r="K983" s="88"/>
    </row>
    <row r="984" ht="15.75" customHeight="1">
      <c r="A984" s="74"/>
      <c r="B984" s="2"/>
      <c r="C984" s="88"/>
      <c r="D984" s="88"/>
      <c r="E984" s="88"/>
      <c r="F984" s="88"/>
      <c r="G984" s="88"/>
      <c r="H984" s="88"/>
      <c r="I984" s="89"/>
      <c r="J984" s="164"/>
      <c r="K984" s="88"/>
    </row>
    <row r="985" ht="15.75" customHeight="1">
      <c r="A985" s="74"/>
      <c r="B985" s="2"/>
      <c r="C985" s="88"/>
      <c r="D985" s="88"/>
      <c r="E985" s="88"/>
      <c r="F985" s="88"/>
      <c r="G985" s="88"/>
      <c r="H985" s="88"/>
      <c r="I985" s="89"/>
      <c r="J985" s="164"/>
      <c r="K985" s="88"/>
    </row>
    <row r="986" ht="15.75" customHeight="1">
      <c r="A986" s="74"/>
      <c r="B986" s="2"/>
      <c r="C986" s="88"/>
      <c r="D986" s="88"/>
      <c r="E986" s="88"/>
      <c r="F986" s="88"/>
      <c r="G986" s="88"/>
      <c r="H986" s="88"/>
      <c r="I986" s="89"/>
      <c r="J986" s="164"/>
      <c r="K986" s="88"/>
    </row>
    <row r="987" ht="15.75" customHeight="1">
      <c r="A987" s="74"/>
      <c r="B987" s="2"/>
      <c r="C987" s="88"/>
      <c r="D987" s="88"/>
      <c r="E987" s="88"/>
      <c r="F987" s="88"/>
      <c r="G987" s="88"/>
      <c r="H987" s="88"/>
      <c r="I987" s="89"/>
      <c r="J987" s="164"/>
      <c r="K987" s="88"/>
    </row>
    <row r="988" ht="15.75" customHeight="1">
      <c r="A988" s="74"/>
      <c r="B988" s="2"/>
      <c r="C988" s="88"/>
      <c r="D988" s="88"/>
      <c r="E988" s="88"/>
      <c r="F988" s="88"/>
      <c r="G988" s="88"/>
      <c r="H988" s="88"/>
      <c r="I988" s="89"/>
      <c r="J988" s="164"/>
      <c r="K988" s="88"/>
    </row>
    <row r="989" ht="15.75" customHeight="1">
      <c r="A989" s="74"/>
      <c r="B989" s="2"/>
      <c r="C989" s="88"/>
      <c r="D989" s="88"/>
      <c r="E989" s="88"/>
      <c r="F989" s="88"/>
      <c r="G989" s="88"/>
      <c r="H989" s="88"/>
      <c r="I989" s="89"/>
      <c r="J989" s="164"/>
      <c r="K989" s="88"/>
    </row>
    <row r="990" ht="15.75" customHeight="1">
      <c r="A990" s="74"/>
      <c r="B990" s="2"/>
      <c r="C990" s="88"/>
      <c r="D990" s="88"/>
      <c r="E990" s="88"/>
      <c r="F990" s="88"/>
      <c r="G990" s="88"/>
      <c r="H990" s="88"/>
      <c r="I990" s="89"/>
      <c r="J990" s="164"/>
      <c r="K990" s="88"/>
    </row>
    <row r="991" ht="15.75" customHeight="1">
      <c r="A991" s="74"/>
      <c r="B991" s="2"/>
      <c r="C991" s="88"/>
      <c r="D991" s="88"/>
      <c r="E991" s="88"/>
      <c r="F991" s="88"/>
      <c r="G991" s="88"/>
      <c r="H991" s="88"/>
      <c r="I991" s="89"/>
      <c r="J991" s="164"/>
      <c r="K991" s="88"/>
    </row>
    <row r="992" ht="15.75" customHeight="1">
      <c r="A992" s="74"/>
      <c r="B992" s="2"/>
      <c r="C992" s="88"/>
      <c r="D992" s="88"/>
      <c r="E992" s="88"/>
      <c r="F992" s="88"/>
      <c r="G992" s="88"/>
      <c r="H992" s="88"/>
      <c r="I992" s="89"/>
      <c r="J992" s="164"/>
      <c r="K992" s="88"/>
    </row>
    <row r="993" ht="15.75" customHeight="1">
      <c r="A993" s="74"/>
      <c r="B993" s="2"/>
      <c r="C993" s="88"/>
      <c r="D993" s="88"/>
      <c r="E993" s="88"/>
      <c r="F993" s="88"/>
      <c r="G993" s="88"/>
      <c r="H993" s="88"/>
      <c r="I993" s="89"/>
      <c r="J993" s="164"/>
      <c r="K993" s="88"/>
    </row>
    <row r="994" ht="15.75" customHeight="1">
      <c r="A994" s="74"/>
      <c r="B994" s="2"/>
      <c r="C994" s="88"/>
      <c r="D994" s="88"/>
      <c r="E994" s="88"/>
      <c r="F994" s="88"/>
      <c r="G994" s="88"/>
      <c r="H994" s="88"/>
      <c r="I994" s="89"/>
      <c r="J994" s="164"/>
      <c r="K994" s="88"/>
    </row>
    <row r="995" ht="15.75" customHeight="1">
      <c r="A995" s="74"/>
      <c r="B995" s="2"/>
      <c r="C995" s="88"/>
      <c r="D995" s="88"/>
      <c r="E995" s="88"/>
      <c r="F995" s="88"/>
      <c r="G995" s="88"/>
      <c r="H995" s="88"/>
      <c r="I995" s="89"/>
      <c r="J995" s="164"/>
      <c r="K995" s="88"/>
    </row>
    <row r="996" ht="15.75" customHeight="1">
      <c r="A996" s="74"/>
      <c r="B996" s="2"/>
      <c r="C996" s="88"/>
      <c r="D996" s="88"/>
      <c r="E996" s="88"/>
      <c r="F996" s="88"/>
      <c r="G996" s="88"/>
      <c r="H996" s="88"/>
      <c r="I996" s="89"/>
      <c r="J996" s="164"/>
      <c r="K996" s="88"/>
    </row>
    <row r="997" ht="15.75" customHeight="1">
      <c r="A997" s="74"/>
      <c r="B997" s="2"/>
      <c r="C997" s="88"/>
      <c r="D997" s="88"/>
      <c r="E997" s="88"/>
      <c r="F997" s="88"/>
      <c r="G997" s="88"/>
      <c r="H997" s="88"/>
      <c r="I997" s="89"/>
      <c r="J997" s="164"/>
      <c r="K997" s="88"/>
    </row>
    <row r="998" ht="15.75" customHeight="1">
      <c r="A998" s="74"/>
      <c r="B998" s="2"/>
      <c r="C998" s="88"/>
      <c r="D998" s="88"/>
      <c r="E998" s="88"/>
      <c r="F998" s="88"/>
      <c r="G998" s="88"/>
      <c r="H998" s="88"/>
      <c r="I998" s="89"/>
      <c r="J998" s="164"/>
      <c r="K998" s="88"/>
    </row>
    <row r="999" ht="15.75" customHeight="1">
      <c r="A999" s="74"/>
      <c r="B999" s="2"/>
      <c r="C999" s="88"/>
      <c r="D999" s="88"/>
      <c r="E999" s="88"/>
      <c r="F999" s="88"/>
      <c r="G999" s="88"/>
      <c r="H999" s="88"/>
      <c r="I999" s="89"/>
      <c r="J999" s="164"/>
      <c r="K999" s="88"/>
    </row>
    <row r="1000" ht="15.75" customHeight="1">
      <c r="A1000" s="74"/>
      <c r="B1000" s="2"/>
      <c r="C1000" s="88"/>
      <c r="D1000" s="88"/>
      <c r="E1000" s="88"/>
      <c r="F1000" s="88"/>
      <c r="G1000" s="88"/>
      <c r="H1000" s="88"/>
      <c r="I1000" s="89"/>
      <c r="J1000" s="164"/>
      <c r="K1000" s="88"/>
    </row>
  </sheetData>
  <autoFilter ref="$A$1:$K$156">
    <filterColumn colId="3">
      <filters>
        <filter val="Overlap"/>
        <filter val="Truncated Content"/>
      </filters>
    </filterColumn>
  </autoFilter>
  <printOptions/>
  <pageMargins bottom="0.75" footer="0.0" header="0.0" left="0.7" right="0.7" top="0.75"/>
  <pageSetup orientation="landscape"/>
  <headerFooter>
    <oddFooter>&amp;C_x000D_#000000 SBI Card Restricted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8"/>
    <col customWidth="1" min="2" max="2" width="36.25"/>
    <col customWidth="1" min="3" max="3" width="32.75"/>
    <col customWidth="1" min="4" max="4" width="35.38"/>
    <col customWidth="1" min="5" max="5" width="35.25"/>
    <col customWidth="1" min="6" max="6" width="39.75"/>
    <col customWidth="1" min="7" max="26" width="8.63"/>
  </cols>
  <sheetData>
    <row r="1" ht="45.75" customHeight="1">
      <c r="A1" s="5" t="s">
        <v>192</v>
      </c>
      <c r="B1" s="165" t="s">
        <v>883</v>
      </c>
      <c r="C1" s="165" t="s">
        <v>884</v>
      </c>
      <c r="D1" s="165" t="s">
        <v>885</v>
      </c>
      <c r="E1" s="166" t="s">
        <v>886</v>
      </c>
      <c r="F1" s="165" t="s">
        <v>887</v>
      </c>
    </row>
    <row r="2">
      <c r="A2" s="16" t="s">
        <v>79</v>
      </c>
      <c r="B2" s="13" t="s">
        <v>54</v>
      </c>
      <c r="C2" s="13" t="s">
        <v>54</v>
      </c>
      <c r="D2" s="13"/>
      <c r="E2" s="12"/>
      <c r="F2" s="13" t="s">
        <v>54</v>
      </c>
    </row>
    <row r="3">
      <c r="A3" s="16" t="s">
        <v>74</v>
      </c>
      <c r="B3" s="13"/>
      <c r="C3" s="13" t="s">
        <v>54</v>
      </c>
      <c r="D3" s="13"/>
      <c r="E3" s="12"/>
      <c r="F3" s="13" t="s">
        <v>54</v>
      </c>
    </row>
    <row r="4">
      <c r="A4" s="16" t="s">
        <v>123</v>
      </c>
      <c r="B4" s="13" t="s">
        <v>54</v>
      </c>
      <c r="C4" s="13" t="s">
        <v>54</v>
      </c>
      <c r="D4" s="13"/>
      <c r="E4" s="12"/>
      <c r="F4" s="13" t="s">
        <v>54</v>
      </c>
    </row>
    <row r="5">
      <c r="A5" s="16" t="s">
        <v>82</v>
      </c>
      <c r="B5" s="13" t="s">
        <v>54</v>
      </c>
      <c r="C5" s="13" t="s">
        <v>54</v>
      </c>
      <c r="D5" s="13"/>
      <c r="E5" s="12"/>
      <c r="F5" s="13" t="s">
        <v>54</v>
      </c>
    </row>
    <row r="6">
      <c r="A6" s="16" t="s">
        <v>106</v>
      </c>
      <c r="B6" s="13" t="s">
        <v>54</v>
      </c>
      <c r="C6" s="13"/>
      <c r="D6" s="13"/>
      <c r="E6" s="12"/>
      <c r="F6" s="13" t="s">
        <v>54</v>
      </c>
    </row>
    <row r="7">
      <c r="A7" s="16" t="s">
        <v>120</v>
      </c>
      <c r="B7" s="13" t="s">
        <v>54</v>
      </c>
      <c r="C7" s="13"/>
      <c r="D7" s="13"/>
      <c r="E7" s="12"/>
      <c r="F7" s="13" t="s">
        <v>54</v>
      </c>
    </row>
    <row r="8">
      <c r="A8" s="16" t="s">
        <v>126</v>
      </c>
      <c r="B8" s="13" t="s">
        <v>54</v>
      </c>
      <c r="C8" s="13" t="s">
        <v>54</v>
      </c>
      <c r="D8" s="13"/>
      <c r="E8" s="12"/>
      <c r="F8" s="13" t="s">
        <v>54</v>
      </c>
    </row>
    <row r="9">
      <c r="A9" s="16" t="s">
        <v>100</v>
      </c>
      <c r="B9" s="13" t="s">
        <v>54</v>
      </c>
      <c r="C9" s="13" t="s">
        <v>54</v>
      </c>
      <c r="D9" s="13"/>
      <c r="E9" s="12" t="s">
        <v>54</v>
      </c>
      <c r="F9" s="13" t="s">
        <v>54</v>
      </c>
    </row>
    <row r="10">
      <c r="A10" s="16" t="s">
        <v>110</v>
      </c>
      <c r="B10" s="13" t="s">
        <v>54</v>
      </c>
      <c r="C10" s="13" t="s">
        <v>54</v>
      </c>
      <c r="D10" s="13"/>
      <c r="E10" s="12" t="s">
        <v>54</v>
      </c>
      <c r="F10" s="13" t="s">
        <v>54</v>
      </c>
    </row>
    <row r="11">
      <c r="A11" s="16" t="s">
        <v>85</v>
      </c>
      <c r="B11" s="13" t="s">
        <v>54</v>
      </c>
      <c r="C11" s="13" t="s">
        <v>54</v>
      </c>
      <c r="D11" s="13"/>
      <c r="E11" s="12" t="s">
        <v>54</v>
      </c>
      <c r="F11" s="13" t="s">
        <v>54</v>
      </c>
    </row>
    <row r="12">
      <c r="A12" s="16" t="s">
        <v>132</v>
      </c>
      <c r="B12" s="13"/>
      <c r="C12" s="13" t="s">
        <v>54</v>
      </c>
      <c r="D12" s="13" t="s">
        <v>54</v>
      </c>
      <c r="E12" s="12"/>
      <c r="F12" s="13" t="s">
        <v>54</v>
      </c>
    </row>
    <row r="13">
      <c r="A13" s="16" t="s">
        <v>129</v>
      </c>
      <c r="B13" s="13"/>
      <c r="C13" s="13" t="s">
        <v>54</v>
      </c>
      <c r="D13" s="13" t="s">
        <v>54</v>
      </c>
      <c r="E13" s="12"/>
      <c r="F13" s="13" t="s">
        <v>54</v>
      </c>
    </row>
    <row r="14">
      <c r="A14" s="16" t="s">
        <v>164</v>
      </c>
      <c r="B14" s="13"/>
      <c r="C14" s="13"/>
      <c r="D14" s="13" t="s">
        <v>54</v>
      </c>
      <c r="E14" s="12"/>
      <c r="F14" s="13" t="s">
        <v>54</v>
      </c>
    </row>
    <row r="15">
      <c r="A15" s="16" t="s">
        <v>158</v>
      </c>
      <c r="B15" s="13"/>
      <c r="C15" s="13"/>
      <c r="D15" s="13" t="s">
        <v>54</v>
      </c>
      <c r="E15" s="12"/>
      <c r="F15" s="13" t="s">
        <v>54</v>
      </c>
    </row>
    <row r="16">
      <c r="A16" s="16" t="s">
        <v>97</v>
      </c>
      <c r="B16" s="13" t="s">
        <v>54</v>
      </c>
      <c r="C16" s="13" t="s">
        <v>54</v>
      </c>
      <c r="D16" s="13"/>
      <c r="E16" s="12"/>
      <c r="F16" s="13" t="s">
        <v>54</v>
      </c>
    </row>
    <row r="17">
      <c r="A17" s="16" t="s">
        <v>888</v>
      </c>
      <c r="B17" s="13"/>
      <c r="C17" s="13" t="s">
        <v>54</v>
      </c>
      <c r="D17" s="13"/>
      <c r="E17" s="12" t="s">
        <v>54</v>
      </c>
      <c r="F17" s="13" t="s">
        <v>54</v>
      </c>
    </row>
    <row r="18">
      <c r="A18" s="16" t="s">
        <v>889</v>
      </c>
      <c r="B18" s="13" t="s">
        <v>54</v>
      </c>
      <c r="C18" s="13" t="s">
        <v>54</v>
      </c>
      <c r="D18" s="13"/>
      <c r="E18" s="12"/>
      <c r="F18" s="13" t="s">
        <v>54</v>
      </c>
    </row>
    <row r="19">
      <c r="A19" s="16" t="s">
        <v>509</v>
      </c>
      <c r="B19" s="13" t="s">
        <v>54</v>
      </c>
      <c r="C19" s="13" t="s">
        <v>54</v>
      </c>
      <c r="D19" s="13"/>
      <c r="E19" s="12"/>
      <c r="F19" s="13" t="s">
        <v>54</v>
      </c>
    </row>
    <row r="20">
      <c r="A20" s="16" t="s">
        <v>151</v>
      </c>
      <c r="B20" s="13" t="s">
        <v>54</v>
      </c>
      <c r="C20" s="13" t="s">
        <v>54</v>
      </c>
      <c r="D20" s="13"/>
      <c r="E20" s="12"/>
      <c r="F20" s="13" t="s">
        <v>54</v>
      </c>
    </row>
    <row r="21" ht="15.75" customHeight="1">
      <c r="A21" s="16" t="s">
        <v>148</v>
      </c>
      <c r="B21" s="13" t="s">
        <v>54</v>
      </c>
      <c r="C21" s="13"/>
      <c r="D21" s="13" t="s">
        <v>54</v>
      </c>
      <c r="E21" s="12"/>
      <c r="F21" s="13" t="s">
        <v>54</v>
      </c>
    </row>
    <row r="22" ht="15.75" customHeight="1">
      <c r="A22" s="16" t="s">
        <v>170</v>
      </c>
      <c r="B22" s="13"/>
      <c r="C22" s="13"/>
      <c r="D22" s="13" t="s">
        <v>54</v>
      </c>
      <c r="E22" s="12"/>
      <c r="F22" s="13" t="s">
        <v>54</v>
      </c>
    </row>
    <row r="23" ht="15.75" customHeight="1">
      <c r="A23" s="16" t="s">
        <v>161</v>
      </c>
      <c r="B23" s="13" t="s">
        <v>54</v>
      </c>
      <c r="C23" s="13" t="s">
        <v>54</v>
      </c>
      <c r="D23" s="13"/>
      <c r="E23" s="12"/>
      <c r="F23" s="13" t="s">
        <v>54</v>
      </c>
    </row>
    <row r="24" ht="15.75" customHeight="1">
      <c r="A24" s="16" t="s">
        <v>167</v>
      </c>
      <c r="B24" s="13"/>
      <c r="C24" s="13" t="s">
        <v>54</v>
      </c>
      <c r="D24" s="13"/>
      <c r="E24" s="12"/>
      <c r="F24" s="13" t="s">
        <v>54</v>
      </c>
    </row>
    <row r="25" ht="15.75" customHeight="1">
      <c r="A25" s="16" t="s">
        <v>180</v>
      </c>
      <c r="B25" s="13" t="s">
        <v>54</v>
      </c>
      <c r="C25" s="13"/>
      <c r="D25" s="13"/>
      <c r="E25" s="12"/>
      <c r="F25" s="13" t="s">
        <v>54</v>
      </c>
    </row>
    <row r="26" ht="15.75" customHeight="1">
      <c r="A26" s="16" t="s">
        <v>154</v>
      </c>
      <c r="B26" s="13" t="s">
        <v>54</v>
      </c>
      <c r="C26" s="13" t="s">
        <v>54</v>
      </c>
      <c r="D26" s="13"/>
      <c r="E26" s="12"/>
      <c r="F26" s="13" t="s">
        <v>54</v>
      </c>
    </row>
    <row r="27" ht="15.75" customHeight="1">
      <c r="A27" s="16" t="s">
        <v>183</v>
      </c>
      <c r="B27" s="13"/>
      <c r="C27" s="13" t="s">
        <v>54</v>
      </c>
      <c r="D27" s="13"/>
      <c r="E27" s="12"/>
      <c r="F27" s="13" t="s">
        <v>54</v>
      </c>
    </row>
    <row r="28" ht="15.75" customHeight="1">
      <c r="A28" s="16" t="s">
        <v>176</v>
      </c>
      <c r="B28" s="13" t="s">
        <v>54</v>
      </c>
      <c r="C28" s="13"/>
      <c r="D28" s="13"/>
      <c r="E28" s="12"/>
      <c r="F28" s="13" t="s">
        <v>54</v>
      </c>
    </row>
    <row r="29" ht="15.75" customHeight="1">
      <c r="A29" s="16" t="s">
        <v>70</v>
      </c>
      <c r="B29" s="13" t="s">
        <v>54</v>
      </c>
      <c r="C29" s="13"/>
      <c r="D29" s="13" t="s">
        <v>54</v>
      </c>
      <c r="E29" s="12"/>
      <c r="F29" s="13" t="s">
        <v>54</v>
      </c>
    </row>
    <row r="30" ht="15.75" customHeight="1">
      <c r="A30" s="16" t="s">
        <v>187</v>
      </c>
      <c r="B30" s="13"/>
      <c r="C30" s="13"/>
      <c r="D30" s="13" t="s">
        <v>54</v>
      </c>
      <c r="E30" s="12"/>
      <c r="F30" s="13" t="s">
        <v>54</v>
      </c>
    </row>
    <row r="31" ht="15.75" customHeight="1">
      <c r="A31" s="16" t="s">
        <v>216</v>
      </c>
      <c r="B31" s="13" t="s">
        <v>54</v>
      </c>
      <c r="C31" s="13" t="s">
        <v>54</v>
      </c>
      <c r="D31" s="13"/>
      <c r="E31" s="12"/>
      <c r="F31" s="13" t="s">
        <v>54</v>
      </c>
    </row>
    <row r="32" ht="15.75" customHeight="1">
      <c r="A32" s="16" t="s">
        <v>218</v>
      </c>
      <c r="B32" s="13" t="s">
        <v>54</v>
      </c>
      <c r="C32" s="13" t="s">
        <v>54</v>
      </c>
      <c r="D32" s="13"/>
      <c r="E32" s="12"/>
      <c r="F32" s="13" t="s">
        <v>54</v>
      </c>
    </row>
    <row r="33" ht="15.75" customHeight="1">
      <c r="A33" s="16" t="s">
        <v>208</v>
      </c>
      <c r="B33" s="13"/>
      <c r="C33" s="13" t="s">
        <v>54</v>
      </c>
      <c r="D33" s="13"/>
      <c r="E33" s="12"/>
      <c r="F33" s="13" t="s">
        <v>54</v>
      </c>
    </row>
    <row r="34" ht="15.75" customHeight="1">
      <c r="A34" s="16" t="s">
        <v>212</v>
      </c>
      <c r="B34" s="13"/>
      <c r="C34" s="13" t="s">
        <v>54</v>
      </c>
      <c r="D34" s="13"/>
      <c r="E34" s="12"/>
      <c r="F34" s="13" t="s">
        <v>54</v>
      </c>
    </row>
    <row r="35" ht="15.75" customHeight="1">
      <c r="A35" s="16" t="s">
        <v>214</v>
      </c>
      <c r="B35" s="13" t="s">
        <v>54</v>
      </c>
      <c r="C35" s="13"/>
      <c r="D35" s="13" t="s">
        <v>54</v>
      </c>
      <c r="E35" s="12"/>
      <c r="F35" s="13" t="s">
        <v>54</v>
      </c>
    </row>
    <row r="36" ht="15.75" customHeight="1">
      <c r="A36" s="89"/>
      <c r="B36" s="88"/>
      <c r="C36" s="88"/>
      <c r="D36" s="88"/>
      <c r="E36" s="88"/>
      <c r="F36" s="88"/>
    </row>
    <row r="37" ht="15.75" customHeight="1">
      <c r="A37" s="89"/>
      <c r="B37" s="88"/>
      <c r="C37" s="88"/>
      <c r="D37" s="88"/>
      <c r="E37" s="88"/>
      <c r="F37" s="88"/>
    </row>
    <row r="38" ht="15.75" customHeight="1">
      <c r="A38" s="89"/>
      <c r="B38" s="88"/>
      <c r="C38" s="88"/>
      <c r="D38" s="88"/>
      <c r="E38" s="88"/>
      <c r="F38" s="88"/>
    </row>
    <row r="39" ht="15.75" customHeight="1">
      <c r="A39" s="89"/>
      <c r="B39" s="88"/>
      <c r="C39" s="88"/>
      <c r="D39" s="88"/>
      <c r="E39" s="88"/>
      <c r="F39" s="88"/>
    </row>
    <row r="40" ht="15.75" customHeight="1">
      <c r="A40" s="89"/>
      <c r="B40" s="88"/>
      <c r="C40" s="88"/>
      <c r="D40" s="88"/>
      <c r="E40" s="88"/>
      <c r="F40" s="88"/>
    </row>
    <row r="41" ht="15.75" customHeight="1">
      <c r="A41" s="89"/>
      <c r="B41" s="88"/>
      <c r="C41" s="88"/>
      <c r="D41" s="88"/>
      <c r="E41" s="88"/>
      <c r="F41" s="88"/>
    </row>
    <row r="42" ht="15.75" customHeight="1">
      <c r="A42" s="89"/>
      <c r="B42" s="88"/>
      <c r="C42" s="88"/>
      <c r="D42" s="88"/>
      <c r="E42" s="88"/>
      <c r="F42" s="88"/>
    </row>
    <row r="43" ht="15.75" customHeight="1">
      <c r="A43" s="89"/>
      <c r="B43" s="88"/>
      <c r="C43" s="88"/>
      <c r="D43" s="88"/>
      <c r="E43" s="88"/>
      <c r="F43" s="88"/>
    </row>
    <row r="44" ht="15.75" customHeight="1">
      <c r="A44" s="89"/>
      <c r="B44" s="88"/>
      <c r="C44" s="88"/>
      <c r="D44" s="88"/>
      <c r="E44" s="88"/>
      <c r="F44" s="88"/>
    </row>
    <row r="45" ht="15.75" customHeight="1">
      <c r="A45" s="89"/>
      <c r="B45" s="88"/>
      <c r="C45" s="88"/>
      <c r="D45" s="88"/>
      <c r="E45" s="88"/>
      <c r="F45" s="88"/>
    </row>
    <row r="46" ht="15.75" customHeight="1">
      <c r="A46" s="89"/>
      <c r="B46" s="88"/>
      <c r="C46" s="88"/>
      <c r="D46" s="88"/>
      <c r="E46" s="88"/>
      <c r="F46" s="88"/>
    </row>
    <row r="47" ht="15.75" customHeight="1">
      <c r="A47" s="89"/>
      <c r="B47" s="88"/>
      <c r="C47" s="88"/>
      <c r="D47" s="88"/>
      <c r="E47" s="88"/>
      <c r="F47" s="88"/>
    </row>
    <row r="48" ht="15.75" customHeight="1">
      <c r="A48" s="89"/>
      <c r="B48" s="88"/>
      <c r="C48" s="88"/>
      <c r="D48" s="88"/>
      <c r="E48" s="88"/>
      <c r="F48" s="88"/>
    </row>
    <row r="49" ht="15.75" customHeight="1">
      <c r="A49" s="89"/>
      <c r="B49" s="88"/>
      <c r="C49" s="88"/>
      <c r="D49" s="88"/>
      <c r="E49" s="88"/>
      <c r="F49" s="88"/>
    </row>
    <row r="50" ht="15.75" customHeight="1">
      <c r="A50" s="89"/>
      <c r="B50" s="88"/>
      <c r="C50" s="88"/>
      <c r="D50" s="88"/>
      <c r="E50" s="88"/>
      <c r="F50" s="88"/>
    </row>
    <row r="51" ht="15.75" customHeight="1">
      <c r="A51" s="89"/>
      <c r="B51" s="88"/>
      <c r="C51" s="88"/>
      <c r="D51" s="88"/>
      <c r="E51" s="88"/>
      <c r="F51" s="88"/>
    </row>
    <row r="52" ht="15.75" customHeight="1">
      <c r="A52" s="89"/>
      <c r="B52" s="88"/>
      <c r="C52" s="88"/>
      <c r="D52" s="88"/>
      <c r="E52" s="88"/>
      <c r="F52" s="88"/>
    </row>
    <row r="53" ht="15.75" customHeight="1">
      <c r="A53" s="89"/>
      <c r="B53" s="88"/>
      <c r="C53" s="88"/>
      <c r="D53" s="88"/>
      <c r="E53" s="88"/>
      <c r="F53" s="88"/>
    </row>
    <row r="54" ht="15.75" customHeight="1">
      <c r="A54" s="89"/>
      <c r="B54" s="88"/>
      <c r="C54" s="88"/>
      <c r="D54" s="88"/>
      <c r="E54" s="88"/>
      <c r="F54" s="88"/>
    </row>
    <row r="55" ht="15.75" customHeight="1">
      <c r="A55" s="89"/>
      <c r="B55" s="88"/>
      <c r="C55" s="88"/>
      <c r="D55" s="88"/>
      <c r="E55" s="88"/>
      <c r="F55" s="88"/>
    </row>
    <row r="56" ht="15.75" customHeight="1">
      <c r="A56" s="89"/>
      <c r="B56" s="88"/>
      <c r="C56" s="88"/>
      <c r="D56" s="88"/>
      <c r="E56" s="88"/>
      <c r="F56" s="88"/>
    </row>
    <row r="57" ht="15.75" customHeight="1">
      <c r="A57" s="89"/>
      <c r="B57" s="88"/>
      <c r="C57" s="88"/>
      <c r="D57" s="88"/>
      <c r="E57" s="88"/>
      <c r="F57" s="88"/>
    </row>
    <row r="58" ht="15.75" customHeight="1">
      <c r="A58" s="89"/>
      <c r="B58" s="88"/>
      <c r="C58" s="88"/>
      <c r="D58" s="88"/>
      <c r="E58" s="88"/>
      <c r="F58" s="88"/>
    </row>
    <row r="59" ht="15.75" customHeight="1">
      <c r="A59" s="89"/>
      <c r="B59" s="88"/>
      <c r="C59" s="88"/>
      <c r="D59" s="88"/>
      <c r="E59" s="88"/>
      <c r="F59" s="88"/>
    </row>
    <row r="60" ht="15.75" customHeight="1">
      <c r="A60" s="89"/>
      <c r="B60" s="88"/>
      <c r="C60" s="88"/>
      <c r="D60" s="88"/>
      <c r="E60" s="88"/>
      <c r="F60" s="88"/>
    </row>
    <row r="61" ht="15.75" customHeight="1">
      <c r="A61" s="89"/>
      <c r="B61" s="88"/>
      <c r="C61" s="88"/>
      <c r="D61" s="88"/>
      <c r="E61" s="88"/>
      <c r="F61" s="88"/>
    </row>
    <row r="62" ht="15.75" customHeight="1">
      <c r="A62" s="89"/>
      <c r="B62" s="88"/>
      <c r="C62" s="88"/>
      <c r="D62" s="88"/>
      <c r="E62" s="88"/>
      <c r="F62" s="88"/>
    </row>
    <row r="63" ht="15.75" customHeight="1">
      <c r="A63" s="89"/>
      <c r="B63" s="88"/>
      <c r="C63" s="88"/>
      <c r="D63" s="88"/>
      <c r="E63" s="88"/>
      <c r="F63" s="88"/>
    </row>
    <row r="64" ht="15.75" customHeight="1">
      <c r="A64" s="89"/>
      <c r="B64" s="88"/>
      <c r="C64" s="88"/>
      <c r="D64" s="88"/>
      <c r="E64" s="88"/>
      <c r="F64" s="88"/>
    </row>
    <row r="65" ht="15.75" customHeight="1">
      <c r="A65" s="89"/>
      <c r="B65" s="88"/>
      <c r="C65" s="88"/>
      <c r="D65" s="88"/>
      <c r="E65" s="88"/>
      <c r="F65" s="88"/>
    </row>
    <row r="66" ht="15.75" customHeight="1">
      <c r="A66" s="89"/>
      <c r="B66" s="88"/>
      <c r="C66" s="88"/>
      <c r="D66" s="88"/>
      <c r="E66" s="88"/>
      <c r="F66" s="88"/>
    </row>
    <row r="67" ht="15.75" customHeight="1">
      <c r="A67" s="89"/>
      <c r="B67" s="88"/>
      <c r="C67" s="88"/>
      <c r="D67" s="88"/>
      <c r="E67" s="88"/>
      <c r="F67" s="88"/>
    </row>
    <row r="68" ht="15.75" customHeight="1">
      <c r="A68" s="89"/>
      <c r="B68" s="88"/>
      <c r="C68" s="88"/>
      <c r="D68" s="88"/>
      <c r="E68" s="88"/>
      <c r="F68" s="88"/>
    </row>
    <row r="69" ht="15.75" customHeight="1">
      <c r="A69" s="89"/>
      <c r="B69" s="88"/>
      <c r="C69" s="88"/>
      <c r="D69" s="88"/>
      <c r="E69" s="88"/>
      <c r="F69" s="88"/>
    </row>
    <row r="70" ht="15.75" customHeight="1">
      <c r="A70" s="89"/>
      <c r="B70" s="88"/>
      <c r="C70" s="88"/>
      <c r="D70" s="88"/>
      <c r="E70" s="88"/>
      <c r="F70" s="88"/>
    </row>
    <row r="71" ht="15.75" customHeight="1">
      <c r="A71" s="89"/>
      <c r="B71" s="88"/>
      <c r="C71" s="88"/>
      <c r="D71" s="88"/>
      <c r="E71" s="88"/>
      <c r="F71" s="88"/>
    </row>
    <row r="72" ht="15.75" customHeight="1">
      <c r="A72" s="89"/>
      <c r="B72" s="88"/>
      <c r="C72" s="88"/>
      <c r="D72" s="88"/>
      <c r="E72" s="88"/>
      <c r="F72" s="88"/>
    </row>
    <row r="73" ht="15.75" customHeight="1">
      <c r="A73" s="89"/>
      <c r="B73" s="88"/>
      <c r="C73" s="88"/>
      <c r="D73" s="88"/>
      <c r="E73" s="88"/>
      <c r="F73" s="88"/>
    </row>
    <row r="74" ht="15.75" customHeight="1">
      <c r="A74" s="89"/>
      <c r="B74" s="88"/>
      <c r="C74" s="88"/>
      <c r="D74" s="88"/>
      <c r="E74" s="88"/>
      <c r="F74" s="88"/>
    </row>
    <row r="75" ht="15.75" customHeight="1">
      <c r="A75" s="89"/>
      <c r="B75" s="88"/>
      <c r="C75" s="88"/>
      <c r="D75" s="88"/>
      <c r="E75" s="88"/>
      <c r="F75" s="88"/>
    </row>
    <row r="76" ht="15.75" customHeight="1">
      <c r="A76" s="89"/>
      <c r="B76" s="88"/>
      <c r="C76" s="88"/>
      <c r="D76" s="88"/>
      <c r="E76" s="88"/>
      <c r="F76" s="88"/>
    </row>
    <row r="77" ht="15.75" customHeight="1">
      <c r="A77" s="89"/>
      <c r="B77" s="88"/>
      <c r="C77" s="88"/>
      <c r="D77" s="88"/>
      <c r="E77" s="88"/>
      <c r="F77" s="88"/>
    </row>
    <row r="78" ht="15.75" customHeight="1">
      <c r="A78" s="89"/>
      <c r="B78" s="88"/>
      <c r="C78" s="88"/>
      <c r="D78" s="88"/>
      <c r="E78" s="88"/>
      <c r="F78" s="88"/>
    </row>
    <row r="79" ht="15.75" customHeight="1">
      <c r="A79" s="89"/>
      <c r="B79" s="88"/>
      <c r="C79" s="88"/>
      <c r="D79" s="88"/>
      <c r="E79" s="88"/>
      <c r="F79" s="88"/>
    </row>
    <row r="80" ht="15.75" customHeight="1">
      <c r="A80" s="89"/>
      <c r="B80" s="88"/>
      <c r="C80" s="88"/>
      <c r="D80" s="88"/>
      <c r="E80" s="88"/>
      <c r="F80" s="88"/>
    </row>
    <row r="81" ht="15.75" customHeight="1">
      <c r="A81" s="89"/>
      <c r="B81" s="88"/>
      <c r="C81" s="88"/>
      <c r="D81" s="88"/>
      <c r="E81" s="88"/>
      <c r="F81" s="88"/>
    </row>
    <row r="82" ht="15.75" customHeight="1">
      <c r="A82" s="89"/>
      <c r="B82" s="88"/>
      <c r="C82" s="88"/>
      <c r="D82" s="88"/>
      <c r="E82" s="88"/>
      <c r="F82" s="88"/>
    </row>
    <row r="83" ht="15.75" customHeight="1">
      <c r="A83" s="89"/>
      <c r="B83" s="88"/>
      <c r="C83" s="88"/>
      <c r="D83" s="88"/>
      <c r="E83" s="88"/>
      <c r="F83" s="88"/>
    </row>
    <row r="84" ht="15.75" customHeight="1">
      <c r="A84" s="89"/>
      <c r="B84" s="88"/>
      <c r="C84" s="88"/>
      <c r="D84" s="88"/>
      <c r="E84" s="88"/>
      <c r="F84" s="88"/>
    </row>
    <row r="85" ht="15.75" customHeight="1">
      <c r="A85" s="89"/>
      <c r="B85" s="88"/>
      <c r="C85" s="88"/>
      <c r="D85" s="88"/>
      <c r="E85" s="88"/>
      <c r="F85" s="88"/>
    </row>
    <row r="86" ht="15.75" customHeight="1">
      <c r="A86" s="89"/>
      <c r="B86" s="88"/>
      <c r="C86" s="88"/>
      <c r="D86" s="88"/>
      <c r="E86" s="88"/>
      <c r="F86" s="88"/>
    </row>
    <row r="87" ht="15.75" customHeight="1">
      <c r="A87" s="89"/>
      <c r="B87" s="88"/>
      <c r="C87" s="88"/>
      <c r="D87" s="88"/>
      <c r="E87" s="88"/>
      <c r="F87" s="88"/>
    </row>
    <row r="88" ht="15.75" customHeight="1">
      <c r="A88" s="89"/>
      <c r="B88" s="88"/>
      <c r="C88" s="88"/>
      <c r="D88" s="88"/>
      <c r="E88" s="88"/>
      <c r="F88" s="88"/>
    </row>
    <row r="89" ht="15.75" customHeight="1">
      <c r="A89" s="89"/>
      <c r="B89" s="88"/>
      <c r="C89" s="88"/>
      <c r="D89" s="88"/>
      <c r="E89" s="88"/>
      <c r="F89" s="88"/>
    </row>
    <row r="90" ht="15.75" customHeight="1">
      <c r="A90" s="89"/>
      <c r="B90" s="88"/>
      <c r="C90" s="88"/>
      <c r="D90" s="88"/>
      <c r="E90" s="88"/>
      <c r="F90" s="88"/>
    </row>
    <row r="91" ht="15.75" customHeight="1">
      <c r="A91" s="89"/>
      <c r="B91" s="88"/>
      <c r="C91" s="88"/>
      <c r="D91" s="88"/>
      <c r="E91" s="88"/>
      <c r="F91" s="88"/>
    </row>
    <row r="92" ht="15.75" customHeight="1">
      <c r="A92" s="89"/>
      <c r="B92" s="88"/>
      <c r="C92" s="88"/>
      <c r="D92" s="88"/>
      <c r="E92" s="88"/>
      <c r="F92" s="88"/>
    </row>
    <row r="93" ht="15.75" customHeight="1">
      <c r="A93" s="89"/>
      <c r="B93" s="88"/>
      <c r="C93" s="88"/>
      <c r="D93" s="88"/>
      <c r="E93" s="88"/>
      <c r="F93" s="88"/>
    </row>
    <row r="94" ht="15.75" customHeight="1">
      <c r="A94" s="89"/>
      <c r="B94" s="88"/>
      <c r="C94" s="88"/>
      <c r="D94" s="88"/>
      <c r="E94" s="88"/>
      <c r="F94" s="88"/>
    </row>
    <row r="95" ht="15.75" customHeight="1">
      <c r="A95" s="89"/>
      <c r="B95" s="88"/>
      <c r="C95" s="88"/>
      <c r="D95" s="88"/>
      <c r="E95" s="88"/>
      <c r="F95" s="88"/>
    </row>
    <row r="96" ht="15.75" customHeight="1">
      <c r="A96" s="89"/>
      <c r="B96" s="88"/>
      <c r="C96" s="88"/>
      <c r="D96" s="88"/>
      <c r="E96" s="88"/>
      <c r="F96" s="88"/>
    </row>
    <row r="97" ht="15.75" customHeight="1">
      <c r="A97" s="89"/>
      <c r="B97" s="88"/>
      <c r="C97" s="88"/>
      <c r="D97" s="88"/>
      <c r="E97" s="88"/>
      <c r="F97" s="88"/>
    </row>
    <row r="98" ht="15.75" customHeight="1">
      <c r="A98" s="89"/>
      <c r="B98" s="88"/>
      <c r="C98" s="88"/>
      <c r="D98" s="88"/>
      <c r="E98" s="88"/>
      <c r="F98" s="88"/>
    </row>
    <row r="99" ht="15.75" customHeight="1">
      <c r="A99" s="89"/>
      <c r="B99" s="88"/>
      <c r="C99" s="88"/>
      <c r="D99" s="88"/>
      <c r="E99" s="88"/>
      <c r="F99" s="88"/>
    </row>
    <row r="100" ht="15.75" customHeight="1">
      <c r="A100" s="89"/>
      <c r="B100" s="88"/>
      <c r="C100" s="88"/>
      <c r="D100" s="88"/>
      <c r="E100" s="88"/>
      <c r="F100" s="88"/>
    </row>
    <row r="101" ht="15.75" customHeight="1">
      <c r="A101" s="89"/>
      <c r="B101" s="88"/>
      <c r="C101" s="88"/>
      <c r="D101" s="88"/>
      <c r="E101" s="88"/>
      <c r="F101" s="88"/>
    </row>
    <row r="102" ht="15.75" customHeight="1">
      <c r="A102" s="89"/>
      <c r="B102" s="88"/>
      <c r="C102" s="88"/>
      <c r="D102" s="88"/>
      <c r="E102" s="88"/>
      <c r="F102" s="88"/>
    </row>
    <row r="103" ht="15.75" customHeight="1">
      <c r="A103" s="89"/>
      <c r="B103" s="88"/>
      <c r="C103" s="88"/>
      <c r="D103" s="88"/>
      <c r="E103" s="88"/>
      <c r="F103" s="88"/>
    </row>
    <row r="104" ht="15.75" customHeight="1">
      <c r="A104" s="89"/>
      <c r="B104" s="88"/>
      <c r="C104" s="88"/>
      <c r="D104" s="88"/>
      <c r="E104" s="88"/>
      <c r="F104" s="88"/>
    </row>
    <row r="105" ht="15.75" customHeight="1">
      <c r="A105" s="89"/>
      <c r="B105" s="88"/>
      <c r="C105" s="88"/>
      <c r="D105" s="88"/>
      <c r="E105" s="88"/>
      <c r="F105" s="88"/>
    </row>
    <row r="106" ht="15.75" customHeight="1">
      <c r="A106" s="89"/>
      <c r="B106" s="88"/>
      <c r="C106" s="88"/>
      <c r="D106" s="88"/>
      <c r="E106" s="88"/>
      <c r="F106" s="88"/>
    </row>
    <row r="107" ht="15.75" customHeight="1">
      <c r="A107" s="89"/>
      <c r="B107" s="88"/>
      <c r="C107" s="88"/>
      <c r="D107" s="88"/>
      <c r="E107" s="88"/>
      <c r="F107" s="88"/>
    </row>
    <row r="108" ht="15.75" customHeight="1">
      <c r="A108" s="89"/>
      <c r="B108" s="88"/>
      <c r="C108" s="88"/>
      <c r="D108" s="88"/>
      <c r="E108" s="88"/>
      <c r="F108" s="88"/>
    </row>
    <row r="109" ht="15.75" customHeight="1">
      <c r="A109" s="89"/>
      <c r="B109" s="88"/>
      <c r="C109" s="88"/>
      <c r="D109" s="88"/>
      <c r="E109" s="88"/>
      <c r="F109" s="88"/>
    </row>
    <row r="110" ht="15.75" customHeight="1">
      <c r="A110" s="89"/>
      <c r="B110" s="88"/>
      <c r="C110" s="88"/>
      <c r="D110" s="88"/>
      <c r="E110" s="88"/>
      <c r="F110" s="88"/>
    </row>
    <row r="111" ht="15.75" customHeight="1">
      <c r="A111" s="89"/>
      <c r="B111" s="88"/>
      <c r="C111" s="88"/>
      <c r="D111" s="88"/>
      <c r="E111" s="88"/>
      <c r="F111" s="88"/>
    </row>
    <row r="112" ht="15.75" customHeight="1">
      <c r="A112" s="89"/>
      <c r="B112" s="88"/>
      <c r="C112" s="88"/>
      <c r="D112" s="88"/>
      <c r="E112" s="88"/>
      <c r="F112" s="88"/>
    </row>
    <row r="113" ht="15.75" customHeight="1">
      <c r="A113" s="89"/>
      <c r="B113" s="88"/>
      <c r="C113" s="88"/>
      <c r="D113" s="88"/>
      <c r="E113" s="88"/>
      <c r="F113" s="88"/>
    </row>
    <row r="114" ht="15.75" customHeight="1">
      <c r="A114" s="89"/>
      <c r="B114" s="88"/>
      <c r="C114" s="88"/>
      <c r="D114" s="88"/>
      <c r="E114" s="88"/>
      <c r="F114" s="88"/>
    </row>
    <row r="115" ht="15.75" customHeight="1">
      <c r="A115" s="89"/>
      <c r="B115" s="88"/>
      <c r="C115" s="88"/>
      <c r="D115" s="88"/>
      <c r="E115" s="88"/>
      <c r="F115" s="88"/>
    </row>
    <row r="116" ht="15.75" customHeight="1">
      <c r="A116" s="89"/>
      <c r="B116" s="88"/>
      <c r="C116" s="88"/>
      <c r="D116" s="88"/>
      <c r="E116" s="88"/>
      <c r="F116" s="88"/>
    </row>
    <row r="117" ht="15.75" customHeight="1">
      <c r="A117" s="89"/>
      <c r="B117" s="88"/>
      <c r="C117" s="88"/>
      <c r="D117" s="88"/>
      <c r="E117" s="88"/>
      <c r="F117" s="88"/>
    </row>
    <row r="118" ht="15.75" customHeight="1">
      <c r="A118" s="89"/>
      <c r="B118" s="88"/>
      <c r="C118" s="88"/>
      <c r="D118" s="88"/>
      <c r="E118" s="88"/>
      <c r="F118" s="88"/>
    </row>
    <row r="119" ht="15.75" customHeight="1">
      <c r="A119" s="89"/>
      <c r="B119" s="88"/>
      <c r="C119" s="88"/>
      <c r="D119" s="88"/>
      <c r="E119" s="88"/>
      <c r="F119" s="88"/>
    </row>
    <row r="120" ht="15.75" customHeight="1">
      <c r="A120" s="89"/>
      <c r="B120" s="88"/>
      <c r="C120" s="88"/>
      <c r="D120" s="88"/>
      <c r="E120" s="88"/>
      <c r="F120" s="88"/>
    </row>
    <row r="121" ht="15.75" customHeight="1">
      <c r="A121" s="89"/>
      <c r="B121" s="88"/>
      <c r="C121" s="88"/>
      <c r="D121" s="88"/>
      <c r="E121" s="88"/>
      <c r="F121" s="88"/>
    </row>
    <row r="122" ht="15.75" customHeight="1">
      <c r="A122" s="89"/>
      <c r="B122" s="88"/>
      <c r="C122" s="88"/>
      <c r="D122" s="88"/>
      <c r="E122" s="88"/>
      <c r="F122" s="88"/>
    </row>
    <row r="123" ht="15.75" customHeight="1">
      <c r="A123" s="89"/>
      <c r="B123" s="88"/>
      <c r="C123" s="88"/>
      <c r="D123" s="88"/>
      <c r="E123" s="88"/>
      <c r="F123" s="88"/>
    </row>
    <row r="124" ht="15.75" customHeight="1">
      <c r="A124" s="89"/>
      <c r="B124" s="88"/>
      <c r="C124" s="88"/>
      <c r="D124" s="88"/>
      <c r="E124" s="88"/>
      <c r="F124" s="88"/>
    </row>
    <row r="125" ht="15.75" customHeight="1">
      <c r="A125" s="89"/>
      <c r="B125" s="88"/>
      <c r="C125" s="88"/>
      <c r="D125" s="88"/>
      <c r="E125" s="88"/>
      <c r="F125" s="88"/>
    </row>
    <row r="126" ht="15.75" customHeight="1">
      <c r="A126" s="89"/>
      <c r="B126" s="88"/>
      <c r="C126" s="88"/>
      <c r="D126" s="88"/>
      <c r="E126" s="88"/>
      <c r="F126" s="88"/>
    </row>
    <row r="127" ht="15.75" customHeight="1">
      <c r="A127" s="89"/>
      <c r="B127" s="88"/>
      <c r="C127" s="88"/>
      <c r="D127" s="88"/>
      <c r="E127" s="88"/>
      <c r="F127" s="88"/>
    </row>
    <row r="128" ht="15.75" customHeight="1">
      <c r="A128" s="89"/>
      <c r="B128" s="88"/>
      <c r="C128" s="88"/>
      <c r="D128" s="88"/>
      <c r="E128" s="88"/>
      <c r="F128" s="88"/>
    </row>
    <row r="129" ht="15.75" customHeight="1">
      <c r="A129" s="89"/>
      <c r="B129" s="88"/>
      <c r="C129" s="88"/>
      <c r="D129" s="88"/>
      <c r="E129" s="88"/>
      <c r="F129" s="88"/>
    </row>
    <row r="130" ht="15.75" customHeight="1">
      <c r="A130" s="89"/>
      <c r="B130" s="88"/>
      <c r="C130" s="88"/>
      <c r="D130" s="88"/>
      <c r="E130" s="88"/>
      <c r="F130" s="88"/>
    </row>
    <row r="131" ht="15.75" customHeight="1">
      <c r="A131" s="89"/>
      <c r="B131" s="88"/>
      <c r="C131" s="88"/>
      <c r="D131" s="88"/>
      <c r="E131" s="88"/>
      <c r="F131" s="88"/>
    </row>
    <row r="132" ht="15.75" customHeight="1">
      <c r="A132" s="89"/>
      <c r="B132" s="88"/>
      <c r="C132" s="88"/>
      <c r="D132" s="88"/>
      <c r="E132" s="88"/>
      <c r="F132" s="88"/>
    </row>
    <row r="133" ht="15.75" customHeight="1">
      <c r="A133" s="89"/>
      <c r="B133" s="88"/>
      <c r="C133" s="88"/>
      <c r="D133" s="88"/>
      <c r="E133" s="88"/>
      <c r="F133" s="88"/>
    </row>
    <row r="134" ht="15.75" customHeight="1">
      <c r="A134" s="89"/>
      <c r="B134" s="88"/>
      <c r="C134" s="88"/>
      <c r="D134" s="88"/>
      <c r="E134" s="88"/>
      <c r="F134" s="88"/>
    </row>
    <row r="135" ht="15.75" customHeight="1">
      <c r="A135" s="89"/>
      <c r="B135" s="88"/>
      <c r="C135" s="88"/>
      <c r="D135" s="88"/>
      <c r="E135" s="88"/>
      <c r="F135" s="88"/>
    </row>
    <row r="136" ht="15.75" customHeight="1">
      <c r="A136" s="89"/>
      <c r="B136" s="88"/>
      <c r="C136" s="88"/>
      <c r="D136" s="88"/>
      <c r="E136" s="88"/>
      <c r="F136" s="88"/>
    </row>
    <row r="137" ht="15.75" customHeight="1">
      <c r="A137" s="89"/>
      <c r="B137" s="88"/>
      <c r="C137" s="88"/>
      <c r="D137" s="88"/>
      <c r="E137" s="88"/>
      <c r="F137" s="88"/>
    </row>
    <row r="138" ht="15.75" customHeight="1">
      <c r="A138" s="89"/>
      <c r="B138" s="88"/>
      <c r="C138" s="88"/>
      <c r="D138" s="88"/>
      <c r="E138" s="88"/>
      <c r="F138" s="88"/>
    </row>
    <row r="139" ht="15.75" customHeight="1">
      <c r="A139" s="89"/>
      <c r="B139" s="88"/>
      <c r="C139" s="88"/>
      <c r="D139" s="88"/>
      <c r="E139" s="88"/>
      <c r="F139" s="88"/>
    </row>
    <row r="140" ht="15.75" customHeight="1">
      <c r="A140" s="89"/>
      <c r="B140" s="88"/>
      <c r="C140" s="88"/>
      <c r="D140" s="88"/>
      <c r="E140" s="88"/>
      <c r="F140" s="88"/>
    </row>
    <row r="141" ht="15.75" customHeight="1">
      <c r="A141" s="89"/>
      <c r="B141" s="88"/>
      <c r="C141" s="88"/>
      <c r="D141" s="88"/>
      <c r="E141" s="88"/>
      <c r="F141" s="88"/>
    </row>
    <row r="142" ht="15.75" customHeight="1">
      <c r="A142" s="89"/>
      <c r="B142" s="88"/>
      <c r="C142" s="88"/>
      <c r="D142" s="88"/>
      <c r="E142" s="88"/>
      <c r="F142" s="88"/>
    </row>
    <row r="143" ht="15.75" customHeight="1">
      <c r="A143" s="89"/>
      <c r="B143" s="88"/>
      <c r="C143" s="88"/>
      <c r="D143" s="88"/>
      <c r="E143" s="88"/>
      <c r="F143" s="88"/>
    </row>
    <row r="144" ht="15.75" customHeight="1">
      <c r="A144" s="89"/>
      <c r="B144" s="88"/>
      <c r="C144" s="88"/>
      <c r="D144" s="88"/>
      <c r="E144" s="88"/>
      <c r="F144" s="88"/>
    </row>
    <row r="145" ht="15.75" customHeight="1">
      <c r="A145" s="89"/>
      <c r="B145" s="88"/>
      <c r="C145" s="88"/>
      <c r="D145" s="88"/>
      <c r="E145" s="88"/>
      <c r="F145" s="88"/>
    </row>
    <row r="146" ht="15.75" customHeight="1">
      <c r="A146" s="89"/>
      <c r="B146" s="88"/>
      <c r="C146" s="88"/>
      <c r="D146" s="88"/>
      <c r="E146" s="88"/>
      <c r="F146" s="88"/>
    </row>
    <row r="147" ht="15.75" customHeight="1">
      <c r="A147" s="89"/>
      <c r="B147" s="88"/>
      <c r="C147" s="88"/>
      <c r="D147" s="88"/>
      <c r="E147" s="88"/>
      <c r="F147" s="88"/>
    </row>
    <row r="148" ht="15.75" customHeight="1">
      <c r="A148" s="89"/>
      <c r="B148" s="88"/>
      <c r="C148" s="88"/>
      <c r="D148" s="88"/>
      <c r="E148" s="88"/>
      <c r="F148" s="88"/>
    </row>
    <row r="149" ht="15.75" customHeight="1">
      <c r="A149" s="89"/>
      <c r="B149" s="88"/>
      <c r="C149" s="88"/>
      <c r="D149" s="88"/>
      <c r="E149" s="88"/>
      <c r="F149" s="88"/>
    </row>
    <row r="150" ht="15.75" customHeight="1">
      <c r="A150" s="89"/>
      <c r="B150" s="88"/>
      <c r="C150" s="88"/>
      <c r="D150" s="88"/>
      <c r="E150" s="88"/>
      <c r="F150" s="88"/>
    </row>
    <row r="151" ht="15.75" customHeight="1">
      <c r="A151" s="89"/>
      <c r="B151" s="88"/>
      <c r="C151" s="88"/>
      <c r="D151" s="88"/>
      <c r="E151" s="88"/>
      <c r="F151" s="88"/>
    </row>
    <row r="152" ht="15.75" customHeight="1">
      <c r="A152" s="89"/>
      <c r="B152" s="88"/>
      <c r="C152" s="88"/>
      <c r="D152" s="88"/>
      <c r="E152" s="88"/>
      <c r="F152" s="88"/>
    </row>
    <row r="153" ht="15.75" customHeight="1">
      <c r="A153" s="89"/>
      <c r="B153" s="88"/>
      <c r="C153" s="88"/>
      <c r="D153" s="88"/>
      <c r="E153" s="88"/>
      <c r="F153" s="88"/>
    </row>
    <row r="154" ht="15.75" customHeight="1">
      <c r="A154" s="89"/>
      <c r="B154" s="88"/>
      <c r="C154" s="88"/>
      <c r="D154" s="88"/>
      <c r="E154" s="88"/>
      <c r="F154" s="88"/>
    </row>
    <row r="155" ht="15.75" customHeight="1">
      <c r="A155" s="89"/>
      <c r="B155" s="88"/>
      <c r="C155" s="88"/>
      <c r="D155" s="88"/>
      <c r="E155" s="88"/>
      <c r="F155" s="88"/>
    </row>
    <row r="156" ht="15.75" customHeight="1">
      <c r="A156" s="89"/>
      <c r="B156" s="88"/>
      <c r="C156" s="88"/>
      <c r="D156" s="88"/>
      <c r="E156" s="88"/>
      <c r="F156" s="88"/>
    </row>
    <row r="157" ht="15.75" customHeight="1">
      <c r="A157" s="89"/>
      <c r="B157" s="88"/>
      <c r="C157" s="88"/>
      <c r="D157" s="88"/>
      <c r="E157" s="88"/>
      <c r="F157" s="88"/>
    </row>
    <row r="158" ht="15.75" customHeight="1">
      <c r="A158" s="89"/>
      <c r="B158" s="88"/>
      <c r="C158" s="88"/>
      <c r="D158" s="88"/>
      <c r="E158" s="88"/>
      <c r="F158" s="88"/>
    </row>
    <row r="159" ht="15.75" customHeight="1">
      <c r="A159" s="89"/>
      <c r="B159" s="88"/>
      <c r="C159" s="88"/>
      <c r="D159" s="88"/>
      <c r="E159" s="88"/>
      <c r="F159" s="88"/>
    </row>
    <row r="160" ht="15.75" customHeight="1">
      <c r="A160" s="89"/>
      <c r="B160" s="88"/>
      <c r="C160" s="88"/>
      <c r="D160" s="88"/>
      <c r="E160" s="88"/>
      <c r="F160" s="88"/>
    </row>
    <row r="161" ht="15.75" customHeight="1">
      <c r="A161" s="89"/>
      <c r="B161" s="88"/>
      <c r="C161" s="88"/>
      <c r="D161" s="88"/>
      <c r="E161" s="88"/>
      <c r="F161" s="88"/>
    </row>
    <row r="162" ht="15.75" customHeight="1">
      <c r="A162" s="89"/>
      <c r="B162" s="88"/>
      <c r="C162" s="88"/>
      <c r="D162" s="88"/>
      <c r="E162" s="88"/>
      <c r="F162" s="88"/>
    </row>
    <row r="163" ht="15.75" customHeight="1">
      <c r="A163" s="89"/>
      <c r="B163" s="88"/>
      <c r="C163" s="88"/>
      <c r="D163" s="88"/>
      <c r="E163" s="88"/>
      <c r="F163" s="88"/>
    </row>
    <row r="164" ht="15.75" customHeight="1">
      <c r="A164" s="89"/>
      <c r="B164" s="88"/>
      <c r="C164" s="88"/>
      <c r="D164" s="88"/>
      <c r="E164" s="88"/>
      <c r="F164" s="88"/>
    </row>
    <row r="165" ht="15.75" customHeight="1">
      <c r="A165" s="89"/>
      <c r="B165" s="88"/>
      <c r="C165" s="88"/>
      <c r="D165" s="88"/>
      <c r="E165" s="88"/>
      <c r="F165" s="88"/>
    </row>
    <row r="166" ht="15.75" customHeight="1">
      <c r="A166" s="89"/>
      <c r="B166" s="88"/>
      <c r="C166" s="88"/>
      <c r="D166" s="88"/>
      <c r="E166" s="88"/>
      <c r="F166" s="88"/>
    </row>
    <row r="167" ht="15.75" customHeight="1">
      <c r="A167" s="89"/>
      <c r="B167" s="88"/>
      <c r="C167" s="88"/>
      <c r="D167" s="88"/>
      <c r="E167" s="88"/>
      <c r="F167" s="88"/>
    </row>
    <row r="168" ht="15.75" customHeight="1">
      <c r="A168" s="89"/>
      <c r="B168" s="88"/>
      <c r="C168" s="88"/>
      <c r="D168" s="88"/>
      <c r="E168" s="88"/>
      <c r="F168" s="88"/>
    </row>
    <row r="169" ht="15.75" customHeight="1">
      <c r="A169" s="89"/>
      <c r="B169" s="88"/>
      <c r="C169" s="88"/>
      <c r="D169" s="88"/>
      <c r="E169" s="88"/>
      <c r="F169" s="88"/>
    </row>
    <row r="170" ht="15.75" customHeight="1">
      <c r="A170" s="89"/>
      <c r="B170" s="88"/>
      <c r="C170" s="88"/>
      <c r="D170" s="88"/>
      <c r="E170" s="88"/>
      <c r="F170" s="88"/>
    </row>
    <row r="171" ht="15.75" customHeight="1">
      <c r="A171" s="89"/>
      <c r="B171" s="88"/>
      <c r="C171" s="88"/>
      <c r="D171" s="88"/>
      <c r="E171" s="88"/>
      <c r="F171" s="88"/>
    </row>
    <row r="172" ht="15.75" customHeight="1">
      <c r="A172" s="89"/>
      <c r="B172" s="88"/>
      <c r="C172" s="88"/>
      <c r="D172" s="88"/>
      <c r="E172" s="88"/>
      <c r="F172" s="88"/>
    </row>
    <row r="173" ht="15.75" customHeight="1">
      <c r="A173" s="89"/>
      <c r="B173" s="88"/>
      <c r="C173" s="88"/>
      <c r="D173" s="88"/>
      <c r="E173" s="88"/>
      <c r="F173" s="88"/>
    </row>
    <row r="174" ht="15.75" customHeight="1">
      <c r="A174" s="89"/>
      <c r="B174" s="88"/>
      <c r="C174" s="88"/>
      <c r="D174" s="88"/>
      <c r="E174" s="88"/>
      <c r="F174" s="88"/>
    </row>
    <row r="175" ht="15.75" customHeight="1">
      <c r="A175" s="89"/>
      <c r="B175" s="88"/>
      <c r="C175" s="88"/>
      <c r="D175" s="88"/>
      <c r="E175" s="88"/>
      <c r="F175" s="88"/>
    </row>
    <row r="176" ht="15.75" customHeight="1">
      <c r="A176" s="89"/>
      <c r="B176" s="88"/>
      <c r="C176" s="88"/>
      <c r="D176" s="88"/>
      <c r="E176" s="88"/>
      <c r="F176" s="88"/>
    </row>
    <row r="177" ht="15.75" customHeight="1">
      <c r="A177" s="89"/>
      <c r="B177" s="88"/>
      <c r="C177" s="88"/>
      <c r="D177" s="88"/>
      <c r="E177" s="88"/>
      <c r="F177" s="88"/>
    </row>
    <row r="178" ht="15.75" customHeight="1">
      <c r="A178" s="89"/>
      <c r="B178" s="88"/>
      <c r="C178" s="88"/>
      <c r="D178" s="88"/>
      <c r="E178" s="88"/>
      <c r="F178" s="88"/>
    </row>
    <row r="179" ht="15.75" customHeight="1">
      <c r="A179" s="89"/>
      <c r="B179" s="88"/>
      <c r="C179" s="88"/>
      <c r="D179" s="88"/>
      <c r="E179" s="88"/>
      <c r="F179" s="88"/>
    </row>
    <row r="180" ht="15.75" customHeight="1">
      <c r="A180" s="89"/>
      <c r="B180" s="88"/>
      <c r="C180" s="88"/>
      <c r="D180" s="88"/>
      <c r="E180" s="88"/>
      <c r="F180" s="88"/>
    </row>
    <row r="181" ht="15.75" customHeight="1">
      <c r="A181" s="89"/>
      <c r="B181" s="88"/>
      <c r="C181" s="88"/>
      <c r="D181" s="88"/>
      <c r="E181" s="88"/>
      <c r="F181" s="88"/>
    </row>
    <row r="182" ht="15.75" customHeight="1">
      <c r="A182" s="89"/>
      <c r="B182" s="88"/>
      <c r="C182" s="88"/>
      <c r="D182" s="88"/>
      <c r="E182" s="88"/>
      <c r="F182" s="88"/>
    </row>
    <row r="183" ht="15.75" customHeight="1">
      <c r="A183" s="89"/>
      <c r="B183" s="88"/>
      <c r="C183" s="88"/>
      <c r="D183" s="88"/>
      <c r="E183" s="88"/>
      <c r="F183" s="88"/>
    </row>
    <row r="184" ht="15.75" customHeight="1">
      <c r="A184" s="89"/>
      <c r="B184" s="88"/>
      <c r="C184" s="88"/>
      <c r="D184" s="88"/>
      <c r="E184" s="88"/>
      <c r="F184" s="88"/>
    </row>
    <row r="185" ht="15.75" customHeight="1">
      <c r="A185" s="89"/>
      <c r="B185" s="88"/>
      <c r="C185" s="88"/>
      <c r="D185" s="88"/>
      <c r="E185" s="88"/>
      <c r="F185" s="88"/>
    </row>
    <row r="186" ht="15.75" customHeight="1">
      <c r="A186" s="89"/>
      <c r="B186" s="88"/>
      <c r="C186" s="88"/>
      <c r="D186" s="88"/>
      <c r="E186" s="88"/>
      <c r="F186" s="88"/>
    </row>
    <row r="187" ht="15.75" customHeight="1">
      <c r="A187" s="89"/>
      <c r="B187" s="88"/>
      <c r="C187" s="88"/>
      <c r="D187" s="88"/>
      <c r="E187" s="88"/>
      <c r="F187" s="88"/>
    </row>
    <row r="188" ht="15.75" customHeight="1">
      <c r="A188" s="89"/>
      <c r="B188" s="88"/>
      <c r="C188" s="88"/>
      <c r="D188" s="88"/>
      <c r="E188" s="88"/>
      <c r="F188" s="88"/>
    </row>
    <row r="189" ht="15.75" customHeight="1">
      <c r="A189" s="89"/>
      <c r="B189" s="88"/>
      <c r="C189" s="88"/>
      <c r="D189" s="88"/>
      <c r="E189" s="88"/>
      <c r="F189" s="88"/>
    </row>
    <row r="190" ht="15.75" customHeight="1">
      <c r="A190" s="89"/>
      <c r="B190" s="88"/>
      <c r="C190" s="88"/>
      <c r="D190" s="88"/>
      <c r="E190" s="88"/>
      <c r="F190" s="88"/>
    </row>
    <row r="191" ht="15.75" customHeight="1">
      <c r="A191" s="89"/>
      <c r="B191" s="88"/>
      <c r="C191" s="88"/>
      <c r="D191" s="88"/>
      <c r="E191" s="88"/>
      <c r="F191" s="88"/>
    </row>
    <row r="192" ht="15.75" customHeight="1">
      <c r="A192" s="89"/>
      <c r="B192" s="88"/>
      <c r="C192" s="88"/>
      <c r="D192" s="88"/>
      <c r="E192" s="88"/>
      <c r="F192" s="88"/>
    </row>
    <row r="193" ht="15.75" customHeight="1">
      <c r="A193" s="89"/>
      <c r="B193" s="88"/>
      <c r="C193" s="88"/>
      <c r="D193" s="88"/>
      <c r="E193" s="88"/>
      <c r="F193" s="88"/>
    </row>
    <row r="194" ht="15.75" customHeight="1">
      <c r="A194" s="89"/>
      <c r="B194" s="88"/>
      <c r="C194" s="88"/>
      <c r="D194" s="88"/>
      <c r="E194" s="88"/>
      <c r="F194" s="88"/>
    </row>
    <row r="195" ht="15.75" customHeight="1">
      <c r="A195" s="89"/>
      <c r="B195" s="88"/>
      <c r="C195" s="88"/>
      <c r="D195" s="88"/>
      <c r="E195" s="88"/>
      <c r="F195" s="88"/>
    </row>
    <row r="196" ht="15.75" customHeight="1">
      <c r="A196" s="89"/>
      <c r="B196" s="88"/>
      <c r="C196" s="88"/>
      <c r="D196" s="88"/>
      <c r="E196" s="88"/>
      <c r="F196" s="88"/>
    </row>
    <row r="197" ht="15.75" customHeight="1">
      <c r="A197" s="89"/>
      <c r="B197" s="88"/>
      <c r="C197" s="88"/>
      <c r="D197" s="88"/>
      <c r="E197" s="88"/>
      <c r="F197" s="88"/>
    </row>
    <row r="198" ht="15.75" customHeight="1">
      <c r="A198" s="89"/>
      <c r="B198" s="88"/>
      <c r="C198" s="88"/>
      <c r="D198" s="88"/>
      <c r="E198" s="88"/>
      <c r="F198" s="88"/>
    </row>
    <row r="199" ht="15.75" customHeight="1">
      <c r="A199" s="89"/>
      <c r="B199" s="88"/>
      <c r="C199" s="88"/>
      <c r="D199" s="88"/>
      <c r="E199" s="88"/>
      <c r="F199" s="88"/>
    </row>
    <row r="200" ht="15.75" customHeight="1">
      <c r="A200" s="89"/>
      <c r="B200" s="88"/>
      <c r="C200" s="88"/>
      <c r="D200" s="88"/>
      <c r="E200" s="88"/>
      <c r="F200" s="88"/>
    </row>
    <row r="201" ht="15.75" customHeight="1">
      <c r="A201" s="89"/>
      <c r="B201" s="88"/>
      <c r="C201" s="88"/>
      <c r="D201" s="88"/>
      <c r="E201" s="88"/>
      <c r="F201" s="88"/>
    </row>
    <row r="202" ht="15.75" customHeight="1">
      <c r="A202" s="89"/>
      <c r="B202" s="88"/>
      <c r="C202" s="88"/>
      <c r="D202" s="88"/>
      <c r="E202" s="88"/>
      <c r="F202" s="88"/>
    </row>
    <row r="203" ht="15.75" customHeight="1">
      <c r="A203" s="89"/>
      <c r="B203" s="88"/>
      <c r="C203" s="88"/>
      <c r="D203" s="88"/>
      <c r="E203" s="88"/>
      <c r="F203" s="88"/>
    </row>
    <row r="204" ht="15.75" customHeight="1">
      <c r="A204" s="89"/>
      <c r="B204" s="88"/>
      <c r="C204" s="88"/>
      <c r="D204" s="88"/>
      <c r="E204" s="88"/>
      <c r="F204" s="88"/>
    </row>
    <row r="205" ht="15.75" customHeight="1">
      <c r="A205" s="89"/>
      <c r="B205" s="88"/>
      <c r="C205" s="88"/>
      <c r="D205" s="88"/>
      <c r="E205" s="88"/>
      <c r="F205" s="88"/>
    </row>
    <row r="206" ht="15.75" customHeight="1">
      <c r="A206" s="89"/>
      <c r="B206" s="88"/>
      <c r="C206" s="88"/>
      <c r="D206" s="88"/>
      <c r="E206" s="88"/>
      <c r="F206" s="88"/>
    </row>
    <row r="207" ht="15.75" customHeight="1">
      <c r="A207" s="89"/>
      <c r="B207" s="88"/>
      <c r="C207" s="88"/>
      <c r="D207" s="88"/>
      <c r="E207" s="88"/>
      <c r="F207" s="88"/>
    </row>
    <row r="208" ht="15.75" customHeight="1">
      <c r="A208" s="89"/>
      <c r="B208" s="88"/>
      <c r="C208" s="88"/>
      <c r="D208" s="88"/>
      <c r="E208" s="88"/>
      <c r="F208" s="88"/>
    </row>
    <row r="209" ht="15.75" customHeight="1">
      <c r="A209" s="89"/>
      <c r="B209" s="88"/>
      <c r="C209" s="88"/>
      <c r="D209" s="88"/>
      <c r="E209" s="88"/>
      <c r="F209" s="88"/>
    </row>
    <row r="210" ht="15.75" customHeight="1">
      <c r="A210" s="89"/>
      <c r="B210" s="88"/>
      <c r="C210" s="88"/>
      <c r="D210" s="88"/>
      <c r="E210" s="88"/>
      <c r="F210" s="88"/>
    </row>
    <row r="211" ht="15.75" customHeight="1">
      <c r="A211" s="89"/>
      <c r="B211" s="88"/>
      <c r="C211" s="88"/>
      <c r="D211" s="88"/>
      <c r="E211" s="88"/>
      <c r="F211" s="88"/>
    </row>
    <row r="212" ht="15.75" customHeight="1">
      <c r="A212" s="89"/>
      <c r="B212" s="88"/>
      <c r="C212" s="88"/>
      <c r="D212" s="88"/>
      <c r="E212" s="88"/>
      <c r="F212" s="88"/>
    </row>
    <row r="213" ht="15.75" customHeight="1">
      <c r="A213" s="89"/>
      <c r="B213" s="88"/>
      <c r="C213" s="88"/>
      <c r="D213" s="88"/>
      <c r="E213" s="88"/>
      <c r="F213" s="88"/>
    </row>
    <row r="214" ht="15.75" customHeight="1">
      <c r="A214" s="89"/>
      <c r="B214" s="88"/>
      <c r="C214" s="88"/>
      <c r="D214" s="88"/>
      <c r="E214" s="88"/>
      <c r="F214" s="88"/>
    </row>
    <row r="215" ht="15.75" customHeight="1">
      <c r="A215" s="89"/>
      <c r="B215" s="88"/>
      <c r="C215" s="88"/>
      <c r="D215" s="88"/>
      <c r="E215" s="88"/>
      <c r="F215" s="88"/>
    </row>
    <row r="216" ht="15.75" customHeight="1">
      <c r="A216" s="89"/>
      <c r="B216" s="88"/>
      <c r="C216" s="88"/>
      <c r="D216" s="88"/>
      <c r="E216" s="88"/>
      <c r="F216" s="88"/>
    </row>
    <row r="217" ht="15.75" customHeight="1">
      <c r="A217" s="89"/>
      <c r="B217" s="88"/>
      <c r="C217" s="88"/>
      <c r="D217" s="88"/>
      <c r="E217" s="88"/>
      <c r="F217" s="88"/>
    </row>
    <row r="218" ht="15.75" customHeight="1">
      <c r="A218" s="89"/>
      <c r="B218" s="88"/>
      <c r="C218" s="88"/>
      <c r="D218" s="88"/>
      <c r="E218" s="88"/>
      <c r="F218" s="88"/>
    </row>
    <row r="219" ht="15.75" customHeight="1">
      <c r="A219" s="89"/>
      <c r="B219" s="88"/>
      <c r="C219" s="88"/>
      <c r="D219" s="88"/>
      <c r="E219" s="88"/>
      <c r="F219" s="88"/>
    </row>
    <row r="220" ht="15.75" customHeight="1">
      <c r="A220" s="89"/>
      <c r="B220" s="88"/>
      <c r="C220" s="88"/>
      <c r="D220" s="88"/>
      <c r="E220" s="88"/>
      <c r="F220" s="88"/>
    </row>
    <row r="221" ht="15.75" customHeight="1">
      <c r="A221" s="89"/>
      <c r="B221" s="88"/>
      <c r="C221" s="88"/>
      <c r="D221" s="88"/>
      <c r="E221" s="88"/>
      <c r="F221" s="88"/>
    </row>
    <row r="222" ht="15.75" customHeight="1">
      <c r="A222" s="89"/>
      <c r="B222" s="88"/>
      <c r="C222" s="88"/>
      <c r="D222" s="88"/>
      <c r="E222" s="88"/>
      <c r="F222" s="88"/>
    </row>
    <row r="223" ht="15.75" customHeight="1">
      <c r="A223" s="89"/>
      <c r="B223" s="88"/>
      <c r="C223" s="88"/>
      <c r="D223" s="88"/>
      <c r="E223" s="88"/>
      <c r="F223" s="88"/>
    </row>
    <row r="224" ht="15.75" customHeight="1">
      <c r="A224" s="89"/>
      <c r="B224" s="88"/>
      <c r="C224" s="88"/>
      <c r="D224" s="88"/>
      <c r="E224" s="88"/>
      <c r="F224" s="88"/>
    </row>
    <row r="225" ht="15.75" customHeight="1">
      <c r="A225" s="89"/>
      <c r="B225" s="88"/>
      <c r="C225" s="88"/>
      <c r="D225" s="88"/>
      <c r="E225" s="88"/>
      <c r="F225" s="88"/>
    </row>
    <row r="226" ht="15.75" customHeight="1">
      <c r="A226" s="89"/>
      <c r="B226" s="88"/>
      <c r="C226" s="88"/>
      <c r="D226" s="88"/>
      <c r="E226" s="88"/>
      <c r="F226" s="88"/>
    </row>
    <row r="227" ht="15.75" customHeight="1">
      <c r="A227" s="89"/>
      <c r="B227" s="88"/>
      <c r="C227" s="88"/>
      <c r="D227" s="88"/>
      <c r="E227" s="88"/>
      <c r="F227" s="88"/>
    </row>
    <row r="228" ht="15.75" customHeight="1">
      <c r="A228" s="89"/>
      <c r="B228" s="88"/>
      <c r="C228" s="88"/>
      <c r="D228" s="88"/>
      <c r="E228" s="88"/>
      <c r="F228" s="88"/>
    </row>
    <row r="229" ht="15.75" customHeight="1">
      <c r="A229" s="89"/>
      <c r="B229" s="88"/>
      <c r="C229" s="88"/>
      <c r="D229" s="88"/>
      <c r="E229" s="88"/>
      <c r="F229" s="88"/>
    </row>
    <row r="230" ht="15.75" customHeight="1">
      <c r="A230" s="89"/>
      <c r="B230" s="88"/>
      <c r="C230" s="88"/>
      <c r="D230" s="88"/>
      <c r="E230" s="88"/>
      <c r="F230" s="88"/>
    </row>
    <row r="231" ht="15.75" customHeight="1">
      <c r="A231" s="89"/>
      <c r="B231" s="88"/>
      <c r="C231" s="88"/>
      <c r="D231" s="88"/>
      <c r="E231" s="88"/>
      <c r="F231" s="88"/>
    </row>
    <row r="232" ht="15.75" customHeight="1">
      <c r="A232" s="89"/>
      <c r="B232" s="88"/>
      <c r="C232" s="88"/>
      <c r="D232" s="88"/>
      <c r="E232" s="88"/>
      <c r="F232" s="88"/>
    </row>
    <row r="233" ht="15.75" customHeight="1">
      <c r="A233" s="89"/>
      <c r="B233" s="88"/>
      <c r="C233" s="88"/>
      <c r="D233" s="88"/>
      <c r="E233" s="88"/>
      <c r="F233" s="88"/>
    </row>
    <row r="234" ht="15.75" customHeight="1">
      <c r="A234" s="89"/>
      <c r="B234" s="88"/>
      <c r="C234" s="88"/>
      <c r="D234" s="88"/>
      <c r="E234" s="88"/>
      <c r="F234" s="88"/>
    </row>
    <row r="235" ht="15.75" customHeight="1">
      <c r="A235" s="89"/>
      <c r="B235" s="88"/>
      <c r="C235" s="88"/>
      <c r="D235" s="88"/>
      <c r="E235" s="88"/>
      <c r="F235" s="88"/>
    </row>
    <row r="236" ht="15.75" customHeight="1">
      <c r="A236" s="89"/>
      <c r="B236" s="88"/>
      <c r="C236" s="88"/>
      <c r="D236" s="88"/>
      <c r="E236" s="88"/>
      <c r="F236" s="88"/>
    </row>
    <row r="237" ht="15.75" customHeight="1">
      <c r="A237" s="89"/>
      <c r="B237" s="88"/>
      <c r="C237" s="88"/>
      <c r="D237" s="88"/>
      <c r="E237" s="88"/>
      <c r="F237" s="88"/>
    </row>
    <row r="238" ht="15.75" customHeight="1">
      <c r="A238" s="89"/>
      <c r="B238" s="88"/>
      <c r="C238" s="88"/>
      <c r="D238" s="88"/>
      <c r="E238" s="88"/>
      <c r="F238" s="88"/>
    </row>
    <row r="239" ht="15.75" customHeight="1">
      <c r="A239" s="89"/>
      <c r="B239" s="88"/>
      <c r="C239" s="88"/>
      <c r="D239" s="88"/>
      <c r="E239" s="88"/>
      <c r="F239" s="88"/>
    </row>
    <row r="240" ht="15.75" customHeight="1">
      <c r="A240" s="89"/>
      <c r="B240" s="88"/>
      <c r="C240" s="88"/>
      <c r="D240" s="88"/>
      <c r="E240" s="88"/>
      <c r="F240" s="88"/>
    </row>
    <row r="241" ht="15.75" customHeight="1">
      <c r="A241" s="89"/>
      <c r="B241" s="88"/>
      <c r="C241" s="88"/>
      <c r="D241" s="88"/>
      <c r="E241" s="88"/>
      <c r="F241" s="88"/>
    </row>
    <row r="242" ht="15.75" customHeight="1">
      <c r="A242" s="89"/>
      <c r="B242" s="88"/>
      <c r="C242" s="88"/>
      <c r="D242" s="88"/>
      <c r="E242" s="88"/>
      <c r="F242" s="88"/>
    </row>
    <row r="243" ht="15.75" customHeight="1">
      <c r="A243" s="89"/>
      <c r="B243" s="88"/>
      <c r="C243" s="88"/>
      <c r="D243" s="88"/>
      <c r="E243" s="88"/>
      <c r="F243" s="88"/>
    </row>
    <row r="244" ht="15.75" customHeight="1">
      <c r="A244" s="89"/>
      <c r="B244" s="88"/>
      <c r="C244" s="88"/>
      <c r="D244" s="88"/>
      <c r="E244" s="88"/>
      <c r="F244" s="88"/>
    </row>
    <row r="245" ht="15.75" customHeight="1">
      <c r="A245" s="89"/>
      <c r="B245" s="88"/>
      <c r="C245" s="88"/>
      <c r="D245" s="88"/>
      <c r="E245" s="88"/>
      <c r="F245" s="88"/>
    </row>
    <row r="246" ht="15.75" customHeight="1">
      <c r="A246" s="89"/>
      <c r="B246" s="88"/>
      <c r="C246" s="88"/>
      <c r="D246" s="88"/>
      <c r="E246" s="88"/>
      <c r="F246" s="88"/>
    </row>
    <row r="247" ht="15.75" customHeight="1">
      <c r="A247" s="89"/>
      <c r="B247" s="88"/>
      <c r="C247" s="88"/>
      <c r="D247" s="88"/>
      <c r="E247" s="88"/>
      <c r="F247" s="88"/>
    </row>
    <row r="248" ht="15.75" customHeight="1">
      <c r="A248" s="89"/>
      <c r="B248" s="88"/>
      <c r="C248" s="88"/>
      <c r="D248" s="88"/>
      <c r="E248" s="88"/>
      <c r="F248" s="88"/>
    </row>
    <row r="249" ht="15.75" customHeight="1">
      <c r="A249" s="89"/>
      <c r="B249" s="88"/>
      <c r="C249" s="88"/>
      <c r="D249" s="88"/>
      <c r="E249" s="88"/>
      <c r="F249" s="88"/>
    </row>
    <row r="250" ht="15.75" customHeight="1">
      <c r="A250" s="89"/>
      <c r="B250" s="88"/>
      <c r="C250" s="88"/>
      <c r="D250" s="88"/>
      <c r="E250" s="88"/>
      <c r="F250" s="88"/>
    </row>
    <row r="251" ht="15.75" customHeight="1">
      <c r="A251" s="89"/>
      <c r="B251" s="88"/>
      <c r="C251" s="88"/>
      <c r="D251" s="88"/>
      <c r="E251" s="88"/>
      <c r="F251" s="88"/>
    </row>
    <row r="252" ht="15.75" customHeight="1">
      <c r="A252" s="89"/>
      <c r="B252" s="88"/>
      <c r="C252" s="88"/>
      <c r="D252" s="88"/>
      <c r="E252" s="88"/>
      <c r="F252" s="88"/>
    </row>
    <row r="253" ht="15.75" customHeight="1">
      <c r="A253" s="89"/>
      <c r="B253" s="88"/>
      <c r="C253" s="88"/>
      <c r="D253" s="88"/>
      <c r="E253" s="88"/>
      <c r="F253" s="88"/>
    </row>
    <row r="254" ht="15.75" customHeight="1">
      <c r="A254" s="89"/>
      <c r="B254" s="88"/>
      <c r="C254" s="88"/>
      <c r="D254" s="88"/>
      <c r="E254" s="88"/>
      <c r="F254" s="88"/>
    </row>
    <row r="255" ht="15.75" customHeight="1">
      <c r="A255" s="89"/>
      <c r="B255" s="88"/>
      <c r="C255" s="88"/>
      <c r="D255" s="88"/>
      <c r="E255" s="88"/>
      <c r="F255" s="88"/>
    </row>
    <row r="256" ht="15.75" customHeight="1">
      <c r="A256" s="89"/>
      <c r="B256" s="88"/>
      <c r="C256" s="88"/>
      <c r="D256" s="88"/>
      <c r="E256" s="88"/>
      <c r="F256" s="88"/>
    </row>
    <row r="257" ht="15.75" customHeight="1">
      <c r="A257" s="89"/>
      <c r="B257" s="88"/>
      <c r="C257" s="88"/>
      <c r="D257" s="88"/>
      <c r="E257" s="88"/>
      <c r="F257" s="88"/>
    </row>
    <row r="258" ht="15.75" customHeight="1">
      <c r="A258" s="89"/>
      <c r="B258" s="88"/>
      <c r="C258" s="88"/>
      <c r="D258" s="88"/>
      <c r="E258" s="88"/>
      <c r="F258" s="88"/>
    </row>
    <row r="259" ht="15.75" customHeight="1">
      <c r="A259" s="89"/>
      <c r="B259" s="88"/>
      <c r="C259" s="88"/>
      <c r="D259" s="88"/>
      <c r="E259" s="88"/>
      <c r="F259" s="88"/>
    </row>
    <row r="260" ht="15.75" customHeight="1">
      <c r="A260" s="89"/>
      <c r="B260" s="88"/>
      <c r="C260" s="88"/>
      <c r="D260" s="88"/>
      <c r="E260" s="88"/>
      <c r="F260" s="88"/>
    </row>
    <row r="261" ht="15.75" customHeight="1">
      <c r="A261" s="89"/>
      <c r="B261" s="88"/>
      <c r="C261" s="88"/>
      <c r="D261" s="88"/>
      <c r="E261" s="88"/>
      <c r="F261" s="88"/>
    </row>
    <row r="262" ht="15.75" customHeight="1">
      <c r="A262" s="89"/>
      <c r="B262" s="88"/>
      <c r="C262" s="88"/>
      <c r="D262" s="88"/>
      <c r="E262" s="88"/>
      <c r="F262" s="88"/>
    </row>
    <row r="263" ht="15.75" customHeight="1">
      <c r="A263" s="89"/>
      <c r="B263" s="88"/>
      <c r="C263" s="88"/>
      <c r="D263" s="88"/>
      <c r="E263" s="88"/>
      <c r="F263" s="88"/>
    </row>
    <row r="264" ht="15.75" customHeight="1">
      <c r="A264" s="89"/>
      <c r="B264" s="88"/>
      <c r="C264" s="88"/>
      <c r="D264" s="88"/>
      <c r="E264" s="88"/>
      <c r="F264" s="88"/>
    </row>
    <row r="265" ht="15.75" customHeight="1">
      <c r="A265" s="89"/>
      <c r="B265" s="88"/>
      <c r="C265" s="88"/>
      <c r="D265" s="88"/>
      <c r="E265" s="88"/>
      <c r="F265" s="88"/>
    </row>
    <row r="266" ht="15.75" customHeight="1">
      <c r="A266" s="89"/>
      <c r="B266" s="88"/>
      <c r="C266" s="88"/>
      <c r="D266" s="88"/>
      <c r="E266" s="88"/>
      <c r="F266" s="88"/>
    </row>
    <row r="267" ht="15.75" customHeight="1">
      <c r="A267" s="89"/>
      <c r="B267" s="88"/>
      <c r="C267" s="88"/>
      <c r="D267" s="88"/>
      <c r="E267" s="88"/>
      <c r="F267" s="88"/>
    </row>
    <row r="268" ht="15.75" customHeight="1">
      <c r="A268" s="89"/>
      <c r="B268" s="88"/>
      <c r="C268" s="88"/>
      <c r="D268" s="88"/>
      <c r="E268" s="88"/>
      <c r="F268" s="88"/>
    </row>
    <row r="269" ht="15.75" customHeight="1">
      <c r="A269" s="89"/>
      <c r="B269" s="88"/>
      <c r="C269" s="88"/>
      <c r="D269" s="88"/>
      <c r="E269" s="88"/>
      <c r="F269" s="88"/>
    </row>
    <row r="270" ht="15.75" customHeight="1">
      <c r="A270" s="89"/>
      <c r="B270" s="88"/>
      <c r="C270" s="88"/>
      <c r="D270" s="88"/>
      <c r="E270" s="88"/>
      <c r="F270" s="88"/>
    </row>
    <row r="271" ht="15.75" customHeight="1">
      <c r="A271" s="89"/>
      <c r="B271" s="88"/>
      <c r="C271" s="88"/>
      <c r="D271" s="88"/>
      <c r="E271" s="88"/>
      <c r="F271" s="88"/>
    </row>
    <row r="272" ht="15.75" customHeight="1">
      <c r="A272" s="89"/>
      <c r="B272" s="88"/>
      <c r="C272" s="88"/>
      <c r="D272" s="88"/>
      <c r="E272" s="88"/>
      <c r="F272" s="88"/>
    </row>
    <row r="273" ht="15.75" customHeight="1">
      <c r="A273" s="89"/>
      <c r="B273" s="88"/>
      <c r="C273" s="88"/>
      <c r="D273" s="88"/>
      <c r="E273" s="88"/>
      <c r="F273" s="88"/>
    </row>
    <row r="274" ht="15.75" customHeight="1">
      <c r="A274" s="89"/>
      <c r="B274" s="88"/>
      <c r="C274" s="88"/>
      <c r="D274" s="88"/>
      <c r="E274" s="88"/>
      <c r="F274" s="88"/>
    </row>
    <row r="275" ht="15.75" customHeight="1">
      <c r="A275" s="89"/>
      <c r="B275" s="88"/>
      <c r="C275" s="88"/>
      <c r="D275" s="88"/>
      <c r="E275" s="88"/>
      <c r="F275" s="88"/>
    </row>
    <row r="276" ht="15.75" customHeight="1">
      <c r="A276" s="89"/>
      <c r="B276" s="88"/>
      <c r="C276" s="88"/>
      <c r="D276" s="88"/>
      <c r="E276" s="88"/>
      <c r="F276" s="88"/>
    </row>
    <row r="277" ht="15.75" customHeight="1">
      <c r="A277" s="89"/>
      <c r="B277" s="88"/>
      <c r="C277" s="88"/>
      <c r="D277" s="88"/>
      <c r="E277" s="88"/>
      <c r="F277" s="88"/>
    </row>
    <row r="278" ht="15.75" customHeight="1">
      <c r="A278" s="89"/>
      <c r="B278" s="88"/>
      <c r="C278" s="88"/>
      <c r="D278" s="88"/>
      <c r="E278" s="88"/>
      <c r="F278" s="88"/>
    </row>
    <row r="279" ht="15.75" customHeight="1">
      <c r="A279" s="89"/>
      <c r="B279" s="88"/>
      <c r="C279" s="88"/>
      <c r="D279" s="88"/>
      <c r="E279" s="88"/>
      <c r="F279" s="88"/>
    </row>
    <row r="280" ht="15.75" customHeight="1">
      <c r="A280" s="89"/>
      <c r="B280" s="88"/>
      <c r="C280" s="88"/>
      <c r="D280" s="88"/>
      <c r="E280" s="88"/>
      <c r="F280" s="88"/>
    </row>
    <row r="281" ht="15.75" customHeight="1">
      <c r="A281" s="89"/>
      <c r="B281" s="88"/>
      <c r="C281" s="88"/>
      <c r="D281" s="88"/>
      <c r="E281" s="88"/>
      <c r="F281" s="88"/>
    </row>
    <row r="282" ht="15.75" customHeight="1">
      <c r="A282" s="89"/>
      <c r="B282" s="88"/>
      <c r="C282" s="88"/>
      <c r="D282" s="88"/>
      <c r="E282" s="88"/>
      <c r="F282" s="88"/>
    </row>
    <row r="283" ht="15.75" customHeight="1">
      <c r="A283" s="89"/>
      <c r="B283" s="88"/>
      <c r="C283" s="88"/>
      <c r="D283" s="88"/>
      <c r="E283" s="88"/>
      <c r="F283" s="88"/>
    </row>
    <row r="284" ht="15.75" customHeight="1">
      <c r="A284" s="89"/>
      <c r="B284" s="88"/>
      <c r="C284" s="88"/>
      <c r="D284" s="88"/>
      <c r="E284" s="88"/>
      <c r="F284" s="88"/>
    </row>
    <row r="285" ht="15.75" customHeight="1">
      <c r="A285" s="89"/>
      <c r="B285" s="88"/>
      <c r="C285" s="88"/>
      <c r="D285" s="88"/>
      <c r="E285" s="88"/>
      <c r="F285" s="88"/>
    </row>
    <row r="286" ht="15.75" customHeight="1">
      <c r="A286" s="89"/>
      <c r="B286" s="88"/>
      <c r="C286" s="88"/>
      <c r="D286" s="88"/>
      <c r="E286" s="88"/>
      <c r="F286" s="88"/>
    </row>
    <row r="287" ht="15.75" customHeight="1">
      <c r="A287" s="89"/>
      <c r="B287" s="88"/>
      <c r="C287" s="88"/>
      <c r="D287" s="88"/>
      <c r="E287" s="88"/>
      <c r="F287" s="88"/>
    </row>
    <row r="288" ht="15.75" customHeight="1">
      <c r="A288" s="89"/>
      <c r="B288" s="88"/>
      <c r="C288" s="88"/>
      <c r="D288" s="88"/>
      <c r="E288" s="88"/>
      <c r="F288" s="88"/>
    </row>
    <row r="289" ht="15.75" customHeight="1">
      <c r="A289" s="89"/>
      <c r="B289" s="88"/>
      <c r="C289" s="88"/>
      <c r="D289" s="88"/>
      <c r="E289" s="88"/>
      <c r="F289" s="88"/>
    </row>
    <row r="290" ht="15.75" customHeight="1">
      <c r="A290" s="89"/>
      <c r="B290" s="88"/>
      <c r="C290" s="88"/>
      <c r="D290" s="88"/>
      <c r="E290" s="88"/>
      <c r="F290" s="88"/>
    </row>
    <row r="291" ht="15.75" customHeight="1">
      <c r="A291" s="89"/>
      <c r="B291" s="88"/>
      <c r="C291" s="88"/>
      <c r="D291" s="88"/>
      <c r="E291" s="88"/>
      <c r="F291" s="88"/>
    </row>
    <row r="292" ht="15.75" customHeight="1">
      <c r="A292" s="89"/>
      <c r="B292" s="88"/>
      <c r="C292" s="88"/>
      <c r="D292" s="88"/>
      <c r="E292" s="88"/>
      <c r="F292" s="88"/>
    </row>
    <row r="293" ht="15.75" customHeight="1">
      <c r="A293" s="89"/>
      <c r="B293" s="88"/>
      <c r="C293" s="88"/>
      <c r="D293" s="88"/>
      <c r="E293" s="88"/>
      <c r="F293" s="88"/>
    </row>
    <row r="294" ht="15.75" customHeight="1">
      <c r="A294" s="89"/>
      <c r="B294" s="88"/>
      <c r="C294" s="88"/>
      <c r="D294" s="88"/>
      <c r="E294" s="88"/>
      <c r="F294" s="88"/>
    </row>
    <row r="295" ht="15.75" customHeight="1">
      <c r="A295" s="89"/>
      <c r="B295" s="88"/>
      <c r="C295" s="88"/>
      <c r="D295" s="88"/>
      <c r="E295" s="88"/>
      <c r="F295" s="88"/>
    </row>
    <row r="296" ht="15.75" customHeight="1">
      <c r="A296" s="89"/>
      <c r="B296" s="88"/>
      <c r="C296" s="88"/>
      <c r="D296" s="88"/>
      <c r="E296" s="88"/>
      <c r="F296" s="88"/>
    </row>
    <row r="297" ht="15.75" customHeight="1">
      <c r="A297" s="89"/>
      <c r="B297" s="88"/>
      <c r="C297" s="88"/>
      <c r="D297" s="88"/>
      <c r="E297" s="88"/>
      <c r="F297" s="88"/>
    </row>
    <row r="298" ht="15.75" customHeight="1">
      <c r="A298" s="89"/>
      <c r="B298" s="88"/>
      <c r="C298" s="88"/>
      <c r="D298" s="88"/>
      <c r="E298" s="88"/>
      <c r="F298" s="88"/>
    </row>
    <row r="299" ht="15.75" customHeight="1">
      <c r="A299" s="89"/>
      <c r="B299" s="88"/>
      <c r="C299" s="88"/>
      <c r="D299" s="88"/>
      <c r="E299" s="88"/>
      <c r="F299" s="88"/>
    </row>
    <row r="300" ht="15.75" customHeight="1">
      <c r="A300" s="89"/>
      <c r="B300" s="88"/>
      <c r="C300" s="88"/>
      <c r="D300" s="88"/>
      <c r="E300" s="88"/>
      <c r="F300" s="88"/>
    </row>
    <row r="301" ht="15.75" customHeight="1">
      <c r="A301" s="89"/>
      <c r="B301" s="88"/>
      <c r="C301" s="88"/>
      <c r="D301" s="88"/>
      <c r="E301" s="88"/>
      <c r="F301" s="88"/>
    </row>
    <row r="302" ht="15.75" customHeight="1">
      <c r="A302" s="89"/>
      <c r="B302" s="88"/>
      <c r="C302" s="88"/>
      <c r="D302" s="88"/>
      <c r="E302" s="88"/>
      <c r="F302" s="88"/>
    </row>
    <row r="303" ht="15.75" customHeight="1">
      <c r="A303" s="89"/>
      <c r="B303" s="88"/>
      <c r="C303" s="88"/>
      <c r="D303" s="88"/>
      <c r="E303" s="88"/>
      <c r="F303" s="88"/>
    </row>
    <row r="304" ht="15.75" customHeight="1">
      <c r="A304" s="89"/>
      <c r="B304" s="88"/>
      <c r="C304" s="88"/>
      <c r="D304" s="88"/>
      <c r="E304" s="88"/>
      <c r="F304" s="88"/>
    </row>
    <row r="305" ht="15.75" customHeight="1">
      <c r="A305" s="89"/>
      <c r="B305" s="88"/>
      <c r="C305" s="88"/>
      <c r="D305" s="88"/>
      <c r="E305" s="88"/>
      <c r="F305" s="88"/>
    </row>
    <row r="306" ht="15.75" customHeight="1">
      <c r="A306" s="89"/>
      <c r="B306" s="88"/>
      <c r="C306" s="88"/>
      <c r="D306" s="88"/>
      <c r="E306" s="88"/>
      <c r="F306" s="88"/>
    </row>
    <row r="307" ht="15.75" customHeight="1">
      <c r="A307" s="89"/>
      <c r="B307" s="88"/>
      <c r="C307" s="88"/>
      <c r="D307" s="88"/>
      <c r="E307" s="88"/>
      <c r="F307" s="88"/>
    </row>
    <row r="308" ht="15.75" customHeight="1">
      <c r="A308" s="89"/>
      <c r="B308" s="88"/>
      <c r="C308" s="88"/>
      <c r="D308" s="88"/>
      <c r="E308" s="88"/>
      <c r="F308" s="88"/>
    </row>
    <row r="309" ht="15.75" customHeight="1">
      <c r="A309" s="89"/>
      <c r="B309" s="88"/>
      <c r="C309" s="88"/>
      <c r="D309" s="88"/>
      <c r="E309" s="88"/>
      <c r="F309" s="88"/>
    </row>
    <row r="310" ht="15.75" customHeight="1">
      <c r="A310" s="89"/>
      <c r="B310" s="88"/>
      <c r="C310" s="88"/>
      <c r="D310" s="88"/>
      <c r="E310" s="88"/>
      <c r="F310" s="88"/>
    </row>
    <row r="311" ht="15.75" customHeight="1">
      <c r="A311" s="89"/>
      <c r="B311" s="88"/>
      <c r="C311" s="88"/>
      <c r="D311" s="88"/>
      <c r="E311" s="88"/>
      <c r="F311" s="88"/>
    </row>
    <row r="312" ht="15.75" customHeight="1">
      <c r="A312" s="89"/>
      <c r="B312" s="88"/>
      <c r="C312" s="88"/>
      <c r="D312" s="88"/>
      <c r="E312" s="88"/>
      <c r="F312" s="88"/>
    </row>
    <row r="313" ht="15.75" customHeight="1">
      <c r="A313" s="89"/>
      <c r="B313" s="88"/>
      <c r="C313" s="88"/>
      <c r="D313" s="88"/>
      <c r="E313" s="88"/>
      <c r="F313" s="88"/>
    </row>
    <row r="314" ht="15.75" customHeight="1">
      <c r="A314" s="89"/>
      <c r="B314" s="88"/>
      <c r="C314" s="88"/>
      <c r="D314" s="88"/>
      <c r="E314" s="88"/>
      <c r="F314" s="88"/>
    </row>
    <row r="315" ht="15.75" customHeight="1">
      <c r="A315" s="89"/>
      <c r="B315" s="88"/>
      <c r="C315" s="88"/>
      <c r="D315" s="88"/>
      <c r="E315" s="88"/>
      <c r="F315" s="88"/>
    </row>
    <row r="316" ht="15.75" customHeight="1">
      <c r="A316" s="89"/>
      <c r="B316" s="88"/>
      <c r="C316" s="88"/>
      <c r="D316" s="88"/>
      <c r="E316" s="88"/>
      <c r="F316" s="88"/>
    </row>
    <row r="317" ht="15.75" customHeight="1">
      <c r="A317" s="89"/>
      <c r="B317" s="88"/>
      <c r="C317" s="88"/>
      <c r="D317" s="88"/>
      <c r="E317" s="88"/>
      <c r="F317" s="88"/>
    </row>
    <row r="318" ht="15.75" customHeight="1">
      <c r="A318" s="89"/>
      <c r="B318" s="88"/>
      <c r="C318" s="88"/>
      <c r="D318" s="88"/>
      <c r="E318" s="88"/>
      <c r="F318" s="88"/>
    </row>
    <row r="319" ht="15.75" customHeight="1">
      <c r="A319" s="89"/>
      <c r="B319" s="88"/>
      <c r="C319" s="88"/>
      <c r="D319" s="88"/>
      <c r="E319" s="88"/>
      <c r="F319" s="88"/>
    </row>
    <row r="320" ht="15.75" customHeight="1">
      <c r="A320" s="89"/>
      <c r="B320" s="88"/>
      <c r="C320" s="88"/>
      <c r="D320" s="88"/>
      <c r="E320" s="88"/>
      <c r="F320" s="88"/>
    </row>
    <row r="321" ht="15.75" customHeight="1">
      <c r="A321" s="89"/>
      <c r="B321" s="88"/>
      <c r="C321" s="88"/>
      <c r="D321" s="88"/>
      <c r="E321" s="88"/>
      <c r="F321" s="88"/>
    </row>
    <row r="322" ht="15.75" customHeight="1">
      <c r="A322" s="89"/>
      <c r="B322" s="88"/>
      <c r="C322" s="88"/>
      <c r="D322" s="88"/>
      <c r="E322" s="88"/>
      <c r="F322" s="88"/>
    </row>
    <row r="323" ht="15.75" customHeight="1">
      <c r="A323" s="89"/>
      <c r="B323" s="88"/>
      <c r="C323" s="88"/>
      <c r="D323" s="88"/>
      <c r="E323" s="88"/>
      <c r="F323" s="88"/>
    </row>
    <row r="324" ht="15.75" customHeight="1">
      <c r="A324" s="89"/>
      <c r="B324" s="88"/>
      <c r="C324" s="88"/>
      <c r="D324" s="88"/>
      <c r="E324" s="88"/>
      <c r="F324" s="88"/>
    </row>
    <row r="325" ht="15.75" customHeight="1">
      <c r="A325" s="89"/>
      <c r="B325" s="88"/>
      <c r="C325" s="88"/>
      <c r="D325" s="88"/>
      <c r="E325" s="88"/>
      <c r="F325" s="88"/>
    </row>
    <row r="326" ht="15.75" customHeight="1">
      <c r="A326" s="89"/>
      <c r="B326" s="88"/>
      <c r="C326" s="88"/>
      <c r="D326" s="88"/>
      <c r="E326" s="88"/>
      <c r="F326" s="88"/>
    </row>
    <row r="327" ht="15.75" customHeight="1">
      <c r="A327" s="89"/>
      <c r="B327" s="88"/>
      <c r="C327" s="88"/>
      <c r="D327" s="88"/>
      <c r="E327" s="88"/>
      <c r="F327" s="88"/>
    </row>
    <row r="328" ht="15.75" customHeight="1">
      <c r="A328" s="89"/>
      <c r="B328" s="88"/>
      <c r="C328" s="88"/>
      <c r="D328" s="88"/>
      <c r="E328" s="88"/>
      <c r="F328" s="88"/>
    </row>
    <row r="329" ht="15.75" customHeight="1">
      <c r="A329" s="89"/>
      <c r="B329" s="88"/>
      <c r="C329" s="88"/>
      <c r="D329" s="88"/>
      <c r="E329" s="88"/>
      <c r="F329" s="88"/>
    </row>
    <row r="330" ht="15.75" customHeight="1">
      <c r="A330" s="89"/>
      <c r="B330" s="88"/>
      <c r="C330" s="88"/>
      <c r="D330" s="88"/>
      <c r="E330" s="88"/>
      <c r="F330" s="88"/>
    </row>
    <row r="331" ht="15.75" customHeight="1">
      <c r="A331" s="89"/>
      <c r="B331" s="88"/>
      <c r="C331" s="88"/>
      <c r="D331" s="88"/>
      <c r="E331" s="88"/>
      <c r="F331" s="88"/>
    </row>
    <row r="332" ht="15.75" customHeight="1">
      <c r="A332" s="89"/>
      <c r="B332" s="88"/>
      <c r="C332" s="88"/>
      <c r="D332" s="88"/>
      <c r="E332" s="88"/>
      <c r="F332" s="88"/>
    </row>
    <row r="333" ht="15.75" customHeight="1">
      <c r="A333" s="89"/>
      <c r="B333" s="88"/>
      <c r="C333" s="88"/>
      <c r="D333" s="88"/>
      <c r="E333" s="88"/>
      <c r="F333" s="88"/>
    </row>
    <row r="334" ht="15.75" customHeight="1">
      <c r="A334" s="89"/>
      <c r="B334" s="88"/>
      <c r="C334" s="88"/>
      <c r="D334" s="88"/>
      <c r="E334" s="88"/>
      <c r="F334" s="88"/>
    </row>
    <row r="335" ht="15.75" customHeight="1">
      <c r="A335" s="89"/>
      <c r="B335" s="88"/>
      <c r="C335" s="88"/>
      <c r="D335" s="88"/>
      <c r="E335" s="88"/>
      <c r="F335" s="88"/>
    </row>
    <row r="336" ht="15.75" customHeight="1">
      <c r="A336" s="89"/>
      <c r="B336" s="88"/>
      <c r="C336" s="88"/>
      <c r="D336" s="88"/>
      <c r="E336" s="88"/>
      <c r="F336" s="88"/>
    </row>
    <row r="337" ht="15.75" customHeight="1">
      <c r="A337" s="89"/>
      <c r="B337" s="88"/>
      <c r="C337" s="88"/>
      <c r="D337" s="88"/>
      <c r="E337" s="88"/>
      <c r="F337" s="88"/>
    </row>
    <row r="338" ht="15.75" customHeight="1">
      <c r="A338" s="89"/>
      <c r="B338" s="88"/>
      <c r="C338" s="88"/>
      <c r="D338" s="88"/>
      <c r="E338" s="88"/>
      <c r="F338" s="88"/>
    </row>
    <row r="339" ht="15.75" customHeight="1">
      <c r="A339" s="89"/>
      <c r="B339" s="88"/>
      <c r="C339" s="88"/>
      <c r="D339" s="88"/>
      <c r="E339" s="88"/>
      <c r="F339" s="88"/>
    </row>
    <row r="340" ht="15.75" customHeight="1">
      <c r="A340" s="89"/>
      <c r="B340" s="88"/>
      <c r="C340" s="88"/>
      <c r="D340" s="88"/>
      <c r="E340" s="88"/>
      <c r="F340" s="88"/>
    </row>
    <row r="341" ht="15.75" customHeight="1">
      <c r="A341" s="89"/>
      <c r="B341" s="88"/>
      <c r="C341" s="88"/>
      <c r="D341" s="88"/>
      <c r="E341" s="88"/>
      <c r="F341" s="88"/>
    </row>
    <row r="342" ht="15.75" customHeight="1">
      <c r="A342" s="89"/>
      <c r="B342" s="88"/>
      <c r="C342" s="88"/>
      <c r="D342" s="88"/>
      <c r="E342" s="88"/>
      <c r="F342" s="88"/>
    </row>
    <row r="343" ht="15.75" customHeight="1">
      <c r="A343" s="89"/>
      <c r="B343" s="88"/>
      <c r="C343" s="88"/>
      <c r="D343" s="88"/>
      <c r="E343" s="88"/>
      <c r="F343" s="88"/>
    </row>
    <row r="344" ht="15.75" customHeight="1">
      <c r="A344" s="89"/>
      <c r="B344" s="88"/>
      <c r="C344" s="88"/>
      <c r="D344" s="88"/>
      <c r="E344" s="88"/>
      <c r="F344" s="88"/>
    </row>
    <row r="345" ht="15.75" customHeight="1">
      <c r="A345" s="89"/>
      <c r="B345" s="88"/>
      <c r="C345" s="88"/>
      <c r="D345" s="88"/>
      <c r="E345" s="88"/>
      <c r="F345" s="88"/>
    </row>
    <row r="346" ht="15.75" customHeight="1">
      <c r="A346" s="89"/>
      <c r="B346" s="88"/>
      <c r="C346" s="88"/>
      <c r="D346" s="88"/>
      <c r="E346" s="88"/>
      <c r="F346" s="88"/>
    </row>
    <row r="347" ht="15.75" customHeight="1">
      <c r="A347" s="89"/>
      <c r="B347" s="88"/>
      <c r="C347" s="88"/>
      <c r="D347" s="88"/>
      <c r="E347" s="88"/>
      <c r="F347" s="88"/>
    </row>
    <row r="348" ht="15.75" customHeight="1">
      <c r="A348" s="89"/>
      <c r="B348" s="88"/>
      <c r="C348" s="88"/>
      <c r="D348" s="88"/>
      <c r="E348" s="88"/>
      <c r="F348" s="88"/>
    </row>
    <row r="349" ht="15.75" customHeight="1">
      <c r="A349" s="89"/>
      <c r="B349" s="88"/>
      <c r="C349" s="88"/>
      <c r="D349" s="88"/>
      <c r="E349" s="88"/>
      <c r="F349" s="88"/>
    </row>
    <row r="350" ht="15.75" customHeight="1">
      <c r="A350" s="89"/>
      <c r="B350" s="88"/>
      <c r="C350" s="88"/>
      <c r="D350" s="88"/>
      <c r="E350" s="88"/>
      <c r="F350" s="88"/>
    </row>
    <row r="351" ht="15.75" customHeight="1">
      <c r="A351" s="89"/>
      <c r="B351" s="88"/>
      <c r="C351" s="88"/>
      <c r="D351" s="88"/>
      <c r="E351" s="88"/>
      <c r="F351" s="88"/>
    </row>
    <row r="352" ht="15.75" customHeight="1">
      <c r="A352" s="89"/>
      <c r="B352" s="88"/>
      <c r="C352" s="88"/>
      <c r="D352" s="88"/>
      <c r="E352" s="88"/>
      <c r="F352" s="88"/>
    </row>
    <row r="353" ht="15.75" customHeight="1">
      <c r="A353" s="89"/>
      <c r="B353" s="88"/>
      <c r="C353" s="88"/>
      <c r="D353" s="88"/>
      <c r="E353" s="88"/>
      <c r="F353" s="88"/>
    </row>
    <row r="354" ht="15.75" customHeight="1">
      <c r="A354" s="89"/>
      <c r="B354" s="88"/>
      <c r="C354" s="88"/>
      <c r="D354" s="88"/>
      <c r="E354" s="88"/>
      <c r="F354" s="88"/>
    </row>
    <row r="355" ht="15.75" customHeight="1">
      <c r="A355" s="89"/>
      <c r="B355" s="88"/>
      <c r="C355" s="88"/>
      <c r="D355" s="88"/>
      <c r="E355" s="88"/>
      <c r="F355" s="88"/>
    </row>
    <row r="356" ht="15.75" customHeight="1">
      <c r="A356" s="89"/>
      <c r="B356" s="88"/>
      <c r="C356" s="88"/>
      <c r="D356" s="88"/>
      <c r="E356" s="88"/>
      <c r="F356" s="88"/>
    </row>
    <row r="357" ht="15.75" customHeight="1">
      <c r="A357" s="89"/>
      <c r="B357" s="88"/>
      <c r="C357" s="88"/>
      <c r="D357" s="88"/>
      <c r="E357" s="88"/>
      <c r="F357" s="88"/>
    </row>
    <row r="358" ht="15.75" customHeight="1">
      <c r="A358" s="89"/>
      <c r="B358" s="88"/>
      <c r="C358" s="88"/>
      <c r="D358" s="88"/>
      <c r="E358" s="88"/>
      <c r="F358" s="88"/>
    </row>
    <row r="359" ht="15.75" customHeight="1">
      <c r="A359" s="89"/>
      <c r="B359" s="88"/>
      <c r="C359" s="88"/>
      <c r="D359" s="88"/>
      <c r="E359" s="88"/>
      <c r="F359" s="88"/>
    </row>
    <row r="360" ht="15.75" customHeight="1">
      <c r="A360" s="89"/>
      <c r="B360" s="88"/>
      <c r="C360" s="88"/>
      <c r="D360" s="88"/>
      <c r="E360" s="88"/>
      <c r="F360" s="88"/>
    </row>
    <row r="361" ht="15.75" customHeight="1">
      <c r="A361" s="89"/>
      <c r="B361" s="88"/>
      <c r="C361" s="88"/>
      <c r="D361" s="88"/>
      <c r="E361" s="88"/>
      <c r="F361" s="88"/>
    </row>
    <row r="362" ht="15.75" customHeight="1">
      <c r="A362" s="89"/>
      <c r="B362" s="88"/>
      <c r="C362" s="88"/>
      <c r="D362" s="88"/>
      <c r="E362" s="88"/>
      <c r="F362" s="88"/>
    </row>
    <row r="363" ht="15.75" customHeight="1">
      <c r="A363" s="89"/>
      <c r="B363" s="88"/>
      <c r="C363" s="88"/>
      <c r="D363" s="88"/>
      <c r="E363" s="88"/>
      <c r="F363" s="88"/>
    </row>
    <row r="364" ht="15.75" customHeight="1">
      <c r="A364" s="89"/>
      <c r="B364" s="88"/>
      <c r="C364" s="88"/>
      <c r="D364" s="88"/>
      <c r="E364" s="88"/>
      <c r="F364" s="88"/>
    </row>
    <row r="365" ht="15.75" customHeight="1">
      <c r="A365" s="89"/>
      <c r="B365" s="88"/>
      <c r="C365" s="88"/>
      <c r="D365" s="88"/>
      <c r="E365" s="88"/>
      <c r="F365" s="88"/>
    </row>
    <row r="366" ht="15.75" customHeight="1">
      <c r="A366" s="89"/>
      <c r="B366" s="88"/>
      <c r="C366" s="88"/>
      <c r="D366" s="88"/>
      <c r="E366" s="88"/>
      <c r="F366" s="88"/>
    </row>
    <row r="367" ht="15.75" customHeight="1">
      <c r="A367" s="89"/>
      <c r="B367" s="88"/>
      <c r="C367" s="88"/>
      <c r="D367" s="88"/>
      <c r="E367" s="88"/>
      <c r="F367" s="88"/>
    </row>
    <row r="368" ht="15.75" customHeight="1">
      <c r="A368" s="89"/>
      <c r="B368" s="88"/>
      <c r="C368" s="88"/>
      <c r="D368" s="88"/>
      <c r="E368" s="88"/>
      <c r="F368" s="88"/>
    </row>
    <row r="369" ht="15.75" customHeight="1">
      <c r="A369" s="89"/>
      <c r="B369" s="88"/>
      <c r="C369" s="88"/>
      <c r="D369" s="88"/>
      <c r="E369" s="88"/>
      <c r="F369" s="88"/>
    </row>
    <row r="370" ht="15.75" customHeight="1">
      <c r="A370" s="89"/>
      <c r="B370" s="88"/>
      <c r="C370" s="88"/>
      <c r="D370" s="88"/>
      <c r="E370" s="88"/>
      <c r="F370" s="88"/>
    </row>
    <row r="371" ht="15.75" customHeight="1">
      <c r="A371" s="89"/>
      <c r="B371" s="88"/>
      <c r="C371" s="88"/>
      <c r="D371" s="88"/>
      <c r="E371" s="88"/>
      <c r="F371" s="88"/>
    </row>
    <row r="372" ht="15.75" customHeight="1">
      <c r="A372" s="89"/>
      <c r="B372" s="88"/>
      <c r="C372" s="88"/>
      <c r="D372" s="88"/>
      <c r="E372" s="88"/>
      <c r="F372" s="88"/>
    </row>
    <row r="373" ht="15.75" customHeight="1">
      <c r="A373" s="89"/>
      <c r="B373" s="88"/>
      <c r="C373" s="88"/>
      <c r="D373" s="88"/>
      <c r="E373" s="88"/>
      <c r="F373" s="88"/>
    </row>
    <row r="374" ht="15.75" customHeight="1">
      <c r="A374" s="89"/>
      <c r="B374" s="88"/>
      <c r="C374" s="88"/>
      <c r="D374" s="88"/>
      <c r="E374" s="88"/>
      <c r="F374" s="88"/>
    </row>
    <row r="375" ht="15.75" customHeight="1">
      <c r="A375" s="89"/>
      <c r="B375" s="88"/>
      <c r="C375" s="88"/>
      <c r="D375" s="88"/>
      <c r="E375" s="88"/>
      <c r="F375" s="88"/>
    </row>
    <row r="376" ht="15.75" customHeight="1">
      <c r="A376" s="89"/>
      <c r="B376" s="88"/>
      <c r="C376" s="88"/>
      <c r="D376" s="88"/>
      <c r="E376" s="88"/>
      <c r="F376" s="88"/>
    </row>
    <row r="377" ht="15.75" customHeight="1">
      <c r="A377" s="89"/>
      <c r="B377" s="88"/>
      <c r="C377" s="88"/>
      <c r="D377" s="88"/>
      <c r="E377" s="88"/>
      <c r="F377" s="88"/>
    </row>
    <row r="378" ht="15.75" customHeight="1">
      <c r="A378" s="89"/>
      <c r="B378" s="88"/>
      <c r="C378" s="88"/>
      <c r="D378" s="88"/>
      <c r="E378" s="88"/>
      <c r="F378" s="88"/>
    </row>
    <row r="379" ht="15.75" customHeight="1">
      <c r="A379" s="89"/>
      <c r="B379" s="88"/>
      <c r="C379" s="88"/>
      <c r="D379" s="88"/>
      <c r="E379" s="88"/>
      <c r="F379" s="88"/>
    </row>
    <row r="380" ht="15.75" customHeight="1">
      <c r="A380" s="89"/>
      <c r="B380" s="88"/>
      <c r="C380" s="88"/>
      <c r="D380" s="88"/>
      <c r="E380" s="88"/>
      <c r="F380" s="88"/>
    </row>
    <row r="381" ht="15.75" customHeight="1">
      <c r="A381" s="89"/>
      <c r="B381" s="88"/>
      <c r="C381" s="88"/>
      <c r="D381" s="88"/>
      <c r="E381" s="88"/>
      <c r="F381" s="88"/>
    </row>
    <row r="382" ht="15.75" customHeight="1">
      <c r="A382" s="89"/>
      <c r="B382" s="88"/>
      <c r="C382" s="88"/>
      <c r="D382" s="88"/>
      <c r="E382" s="88"/>
      <c r="F382" s="88"/>
    </row>
    <row r="383" ht="15.75" customHeight="1">
      <c r="A383" s="89"/>
      <c r="B383" s="88"/>
      <c r="C383" s="88"/>
      <c r="D383" s="88"/>
      <c r="E383" s="88"/>
      <c r="F383" s="88"/>
    </row>
    <row r="384" ht="15.75" customHeight="1">
      <c r="A384" s="89"/>
      <c r="B384" s="88"/>
      <c r="C384" s="88"/>
      <c r="D384" s="88"/>
      <c r="E384" s="88"/>
      <c r="F384" s="88"/>
    </row>
    <row r="385" ht="15.75" customHeight="1">
      <c r="A385" s="89"/>
      <c r="B385" s="88"/>
      <c r="C385" s="88"/>
      <c r="D385" s="88"/>
      <c r="E385" s="88"/>
      <c r="F385" s="88"/>
    </row>
    <row r="386" ht="15.75" customHeight="1">
      <c r="A386" s="89"/>
      <c r="B386" s="88"/>
      <c r="C386" s="88"/>
      <c r="D386" s="88"/>
      <c r="E386" s="88"/>
      <c r="F386" s="88"/>
    </row>
    <row r="387" ht="15.75" customHeight="1">
      <c r="A387" s="89"/>
      <c r="B387" s="88"/>
      <c r="C387" s="88"/>
      <c r="D387" s="88"/>
      <c r="E387" s="88"/>
      <c r="F387" s="88"/>
    </row>
    <row r="388" ht="15.75" customHeight="1">
      <c r="A388" s="89"/>
      <c r="B388" s="88"/>
      <c r="C388" s="88"/>
      <c r="D388" s="88"/>
      <c r="E388" s="88"/>
      <c r="F388" s="88"/>
    </row>
    <row r="389" ht="15.75" customHeight="1">
      <c r="A389" s="89"/>
      <c r="B389" s="88"/>
      <c r="C389" s="88"/>
      <c r="D389" s="88"/>
      <c r="E389" s="88"/>
      <c r="F389" s="88"/>
    </row>
    <row r="390" ht="15.75" customHeight="1">
      <c r="A390" s="89"/>
      <c r="B390" s="88"/>
      <c r="C390" s="88"/>
      <c r="D390" s="88"/>
      <c r="E390" s="88"/>
      <c r="F390" s="88"/>
    </row>
    <row r="391" ht="15.75" customHeight="1">
      <c r="A391" s="89"/>
      <c r="B391" s="88"/>
      <c r="C391" s="88"/>
      <c r="D391" s="88"/>
      <c r="E391" s="88"/>
      <c r="F391" s="88"/>
    </row>
    <row r="392" ht="15.75" customHeight="1">
      <c r="A392" s="89"/>
      <c r="B392" s="88"/>
      <c r="C392" s="88"/>
      <c r="D392" s="88"/>
      <c r="E392" s="88"/>
      <c r="F392" s="88"/>
    </row>
    <row r="393" ht="15.75" customHeight="1">
      <c r="A393" s="89"/>
      <c r="B393" s="88"/>
      <c r="C393" s="88"/>
      <c r="D393" s="88"/>
      <c r="E393" s="88"/>
      <c r="F393" s="88"/>
    </row>
    <row r="394" ht="15.75" customHeight="1">
      <c r="A394" s="89"/>
      <c r="B394" s="88"/>
      <c r="C394" s="88"/>
      <c r="D394" s="88"/>
      <c r="E394" s="88"/>
      <c r="F394" s="88"/>
    </row>
    <row r="395" ht="15.75" customHeight="1">
      <c r="A395" s="89"/>
      <c r="B395" s="88"/>
      <c r="C395" s="88"/>
      <c r="D395" s="88"/>
      <c r="E395" s="88"/>
      <c r="F395" s="88"/>
    </row>
    <row r="396" ht="15.75" customHeight="1">
      <c r="A396" s="89"/>
      <c r="B396" s="88"/>
      <c r="C396" s="88"/>
      <c r="D396" s="88"/>
      <c r="E396" s="88"/>
      <c r="F396" s="88"/>
    </row>
    <row r="397" ht="15.75" customHeight="1">
      <c r="A397" s="89"/>
      <c r="B397" s="88"/>
      <c r="C397" s="88"/>
      <c r="D397" s="88"/>
      <c r="E397" s="88"/>
      <c r="F397" s="88"/>
    </row>
    <row r="398" ht="15.75" customHeight="1">
      <c r="A398" s="89"/>
      <c r="B398" s="88"/>
      <c r="C398" s="88"/>
      <c r="D398" s="88"/>
      <c r="E398" s="88"/>
      <c r="F398" s="88"/>
    </row>
    <row r="399" ht="15.75" customHeight="1">
      <c r="A399" s="89"/>
      <c r="B399" s="88"/>
      <c r="C399" s="88"/>
      <c r="D399" s="88"/>
      <c r="E399" s="88"/>
      <c r="F399" s="88"/>
    </row>
    <row r="400" ht="15.75" customHeight="1">
      <c r="A400" s="89"/>
      <c r="B400" s="88"/>
      <c r="C400" s="88"/>
      <c r="D400" s="88"/>
      <c r="E400" s="88"/>
      <c r="F400" s="88"/>
    </row>
    <row r="401" ht="15.75" customHeight="1">
      <c r="A401" s="89"/>
      <c r="B401" s="88"/>
      <c r="C401" s="88"/>
      <c r="D401" s="88"/>
      <c r="E401" s="88"/>
      <c r="F401" s="88"/>
    </row>
    <row r="402" ht="15.75" customHeight="1">
      <c r="A402" s="89"/>
      <c r="B402" s="88"/>
      <c r="C402" s="88"/>
      <c r="D402" s="88"/>
      <c r="E402" s="88"/>
      <c r="F402" s="88"/>
    </row>
    <row r="403" ht="15.75" customHeight="1">
      <c r="A403" s="89"/>
      <c r="B403" s="88"/>
      <c r="C403" s="88"/>
      <c r="D403" s="88"/>
      <c r="E403" s="88"/>
      <c r="F403" s="88"/>
    </row>
    <row r="404" ht="15.75" customHeight="1">
      <c r="A404" s="89"/>
      <c r="B404" s="88"/>
      <c r="C404" s="88"/>
      <c r="D404" s="88"/>
      <c r="E404" s="88"/>
      <c r="F404" s="88"/>
    </row>
    <row r="405" ht="15.75" customHeight="1">
      <c r="A405" s="89"/>
      <c r="B405" s="88"/>
      <c r="C405" s="88"/>
      <c r="D405" s="88"/>
      <c r="E405" s="88"/>
      <c r="F405" s="88"/>
    </row>
    <row r="406" ht="15.75" customHeight="1">
      <c r="A406" s="89"/>
      <c r="B406" s="88"/>
      <c r="C406" s="88"/>
      <c r="D406" s="88"/>
      <c r="E406" s="88"/>
      <c r="F406" s="88"/>
    </row>
    <row r="407" ht="15.75" customHeight="1">
      <c r="A407" s="89"/>
      <c r="B407" s="88"/>
      <c r="C407" s="88"/>
      <c r="D407" s="88"/>
      <c r="E407" s="88"/>
      <c r="F407" s="88"/>
    </row>
    <row r="408" ht="15.75" customHeight="1">
      <c r="A408" s="89"/>
      <c r="B408" s="88"/>
      <c r="C408" s="88"/>
      <c r="D408" s="88"/>
      <c r="E408" s="88"/>
      <c r="F408" s="88"/>
    </row>
    <row r="409" ht="15.75" customHeight="1">
      <c r="A409" s="89"/>
      <c r="B409" s="88"/>
      <c r="C409" s="88"/>
      <c r="D409" s="88"/>
      <c r="E409" s="88"/>
      <c r="F409" s="88"/>
    </row>
    <row r="410" ht="15.75" customHeight="1">
      <c r="A410" s="89"/>
      <c r="B410" s="88"/>
      <c r="C410" s="88"/>
      <c r="D410" s="88"/>
      <c r="E410" s="88"/>
      <c r="F410" s="88"/>
    </row>
    <row r="411" ht="15.75" customHeight="1">
      <c r="A411" s="89"/>
      <c r="B411" s="88"/>
      <c r="C411" s="88"/>
      <c r="D411" s="88"/>
      <c r="E411" s="88"/>
      <c r="F411" s="88"/>
    </row>
    <row r="412" ht="15.75" customHeight="1">
      <c r="A412" s="89"/>
      <c r="B412" s="88"/>
      <c r="C412" s="88"/>
      <c r="D412" s="88"/>
      <c r="E412" s="88"/>
      <c r="F412" s="88"/>
    </row>
    <row r="413" ht="15.75" customHeight="1">
      <c r="A413" s="89"/>
      <c r="B413" s="88"/>
      <c r="C413" s="88"/>
      <c r="D413" s="88"/>
      <c r="E413" s="88"/>
      <c r="F413" s="88"/>
    </row>
    <row r="414" ht="15.75" customHeight="1">
      <c r="A414" s="89"/>
      <c r="B414" s="88"/>
      <c r="C414" s="88"/>
      <c r="D414" s="88"/>
      <c r="E414" s="88"/>
      <c r="F414" s="88"/>
    </row>
    <row r="415" ht="15.75" customHeight="1">
      <c r="A415" s="89"/>
      <c r="B415" s="88"/>
      <c r="C415" s="88"/>
      <c r="D415" s="88"/>
      <c r="E415" s="88"/>
      <c r="F415" s="88"/>
    </row>
    <row r="416" ht="15.75" customHeight="1">
      <c r="A416" s="89"/>
      <c r="B416" s="88"/>
      <c r="C416" s="88"/>
      <c r="D416" s="88"/>
      <c r="E416" s="88"/>
      <c r="F416" s="88"/>
    </row>
    <row r="417" ht="15.75" customHeight="1">
      <c r="A417" s="89"/>
      <c r="B417" s="88"/>
      <c r="C417" s="88"/>
      <c r="D417" s="88"/>
      <c r="E417" s="88"/>
      <c r="F417" s="88"/>
    </row>
    <row r="418" ht="15.75" customHeight="1">
      <c r="A418" s="89"/>
      <c r="B418" s="88"/>
      <c r="C418" s="88"/>
      <c r="D418" s="88"/>
      <c r="E418" s="88"/>
      <c r="F418" s="88"/>
    </row>
    <row r="419" ht="15.75" customHeight="1">
      <c r="A419" s="89"/>
      <c r="B419" s="88"/>
      <c r="C419" s="88"/>
      <c r="D419" s="88"/>
      <c r="E419" s="88"/>
      <c r="F419" s="88"/>
    </row>
    <row r="420" ht="15.75" customHeight="1">
      <c r="A420" s="89"/>
      <c r="B420" s="88"/>
      <c r="C420" s="88"/>
      <c r="D420" s="88"/>
      <c r="E420" s="88"/>
      <c r="F420" s="88"/>
    </row>
    <row r="421" ht="15.75" customHeight="1">
      <c r="A421" s="89"/>
      <c r="B421" s="88"/>
      <c r="C421" s="88"/>
      <c r="D421" s="88"/>
      <c r="E421" s="88"/>
      <c r="F421" s="88"/>
    </row>
    <row r="422" ht="15.75" customHeight="1">
      <c r="A422" s="89"/>
      <c r="B422" s="88"/>
      <c r="C422" s="88"/>
      <c r="D422" s="88"/>
      <c r="E422" s="88"/>
      <c r="F422" s="88"/>
    </row>
    <row r="423" ht="15.75" customHeight="1">
      <c r="A423" s="89"/>
      <c r="B423" s="88"/>
      <c r="C423" s="88"/>
      <c r="D423" s="88"/>
      <c r="E423" s="88"/>
      <c r="F423" s="88"/>
    </row>
    <row r="424" ht="15.75" customHeight="1">
      <c r="A424" s="89"/>
      <c r="B424" s="88"/>
      <c r="C424" s="88"/>
      <c r="D424" s="88"/>
      <c r="E424" s="88"/>
      <c r="F424" s="88"/>
    </row>
    <row r="425" ht="15.75" customHeight="1">
      <c r="A425" s="89"/>
      <c r="B425" s="88"/>
      <c r="C425" s="88"/>
      <c r="D425" s="88"/>
      <c r="E425" s="88"/>
      <c r="F425" s="88"/>
    </row>
    <row r="426" ht="15.75" customHeight="1">
      <c r="A426" s="89"/>
      <c r="B426" s="88"/>
      <c r="C426" s="88"/>
      <c r="D426" s="88"/>
      <c r="E426" s="88"/>
      <c r="F426" s="88"/>
    </row>
    <row r="427" ht="15.75" customHeight="1">
      <c r="A427" s="89"/>
      <c r="B427" s="88"/>
      <c r="C427" s="88"/>
      <c r="D427" s="88"/>
      <c r="E427" s="88"/>
      <c r="F427" s="88"/>
    </row>
    <row r="428" ht="15.75" customHeight="1">
      <c r="A428" s="89"/>
      <c r="B428" s="88"/>
      <c r="C428" s="88"/>
      <c r="D428" s="88"/>
      <c r="E428" s="88"/>
      <c r="F428" s="88"/>
    </row>
    <row r="429" ht="15.75" customHeight="1">
      <c r="A429" s="89"/>
      <c r="B429" s="88"/>
      <c r="C429" s="88"/>
      <c r="D429" s="88"/>
      <c r="E429" s="88"/>
      <c r="F429" s="88"/>
    </row>
    <row r="430" ht="15.75" customHeight="1">
      <c r="A430" s="89"/>
      <c r="B430" s="88"/>
      <c r="C430" s="88"/>
      <c r="D430" s="88"/>
      <c r="E430" s="88"/>
      <c r="F430" s="88"/>
    </row>
    <row r="431" ht="15.75" customHeight="1">
      <c r="A431" s="89"/>
      <c r="B431" s="88"/>
      <c r="C431" s="88"/>
      <c r="D431" s="88"/>
      <c r="E431" s="88"/>
      <c r="F431" s="88"/>
    </row>
    <row r="432" ht="15.75" customHeight="1">
      <c r="A432" s="89"/>
      <c r="B432" s="88"/>
      <c r="C432" s="88"/>
      <c r="D432" s="88"/>
      <c r="E432" s="88"/>
      <c r="F432" s="88"/>
    </row>
    <row r="433" ht="15.75" customHeight="1">
      <c r="A433" s="89"/>
      <c r="B433" s="88"/>
      <c r="C433" s="88"/>
      <c r="D433" s="88"/>
      <c r="E433" s="88"/>
      <c r="F433" s="88"/>
    </row>
    <row r="434" ht="15.75" customHeight="1">
      <c r="A434" s="89"/>
      <c r="B434" s="88"/>
      <c r="C434" s="88"/>
      <c r="D434" s="88"/>
      <c r="E434" s="88"/>
      <c r="F434" s="88"/>
    </row>
    <row r="435" ht="15.75" customHeight="1">
      <c r="A435" s="89"/>
      <c r="B435" s="88"/>
      <c r="C435" s="88"/>
      <c r="D435" s="88"/>
      <c r="E435" s="88"/>
      <c r="F435" s="88"/>
    </row>
    <row r="436" ht="15.75" customHeight="1">
      <c r="A436" s="89"/>
      <c r="B436" s="88"/>
      <c r="C436" s="88"/>
      <c r="D436" s="88"/>
      <c r="E436" s="88"/>
      <c r="F436" s="88"/>
    </row>
    <row r="437" ht="15.75" customHeight="1">
      <c r="A437" s="89"/>
      <c r="B437" s="88"/>
      <c r="C437" s="88"/>
      <c r="D437" s="88"/>
      <c r="E437" s="88"/>
      <c r="F437" s="88"/>
    </row>
    <row r="438" ht="15.75" customHeight="1">
      <c r="A438" s="89"/>
      <c r="B438" s="88"/>
      <c r="C438" s="88"/>
      <c r="D438" s="88"/>
      <c r="E438" s="88"/>
      <c r="F438" s="88"/>
    </row>
    <row r="439" ht="15.75" customHeight="1">
      <c r="A439" s="89"/>
      <c r="B439" s="88"/>
      <c r="C439" s="88"/>
      <c r="D439" s="88"/>
      <c r="E439" s="88"/>
      <c r="F439" s="88"/>
    </row>
    <row r="440" ht="15.75" customHeight="1">
      <c r="A440" s="89"/>
      <c r="B440" s="88"/>
      <c r="C440" s="88"/>
      <c r="D440" s="88"/>
      <c r="E440" s="88"/>
      <c r="F440" s="88"/>
    </row>
    <row r="441" ht="15.75" customHeight="1">
      <c r="A441" s="89"/>
      <c r="B441" s="88"/>
      <c r="C441" s="88"/>
      <c r="D441" s="88"/>
      <c r="E441" s="88"/>
      <c r="F441" s="88"/>
    </row>
    <row r="442" ht="15.75" customHeight="1">
      <c r="A442" s="89"/>
      <c r="B442" s="88"/>
      <c r="C442" s="88"/>
      <c r="D442" s="88"/>
      <c r="E442" s="88"/>
      <c r="F442" s="88"/>
    </row>
    <row r="443" ht="15.75" customHeight="1">
      <c r="A443" s="89"/>
      <c r="B443" s="88"/>
      <c r="C443" s="88"/>
      <c r="D443" s="88"/>
      <c r="E443" s="88"/>
      <c r="F443" s="88"/>
    </row>
    <row r="444" ht="15.75" customHeight="1">
      <c r="A444" s="89"/>
      <c r="B444" s="88"/>
      <c r="C444" s="88"/>
      <c r="D444" s="88"/>
      <c r="E444" s="88"/>
      <c r="F444" s="88"/>
    </row>
    <row r="445" ht="15.75" customHeight="1">
      <c r="A445" s="89"/>
      <c r="B445" s="88"/>
      <c r="C445" s="88"/>
      <c r="D445" s="88"/>
      <c r="E445" s="88"/>
      <c r="F445" s="88"/>
    </row>
    <row r="446" ht="15.75" customHeight="1">
      <c r="A446" s="89"/>
      <c r="B446" s="88"/>
      <c r="C446" s="88"/>
      <c r="D446" s="88"/>
      <c r="E446" s="88"/>
      <c r="F446" s="88"/>
    </row>
    <row r="447" ht="15.75" customHeight="1">
      <c r="A447" s="89"/>
      <c r="B447" s="88"/>
      <c r="C447" s="88"/>
      <c r="D447" s="88"/>
      <c r="E447" s="88"/>
      <c r="F447" s="88"/>
    </row>
    <row r="448" ht="15.75" customHeight="1">
      <c r="A448" s="89"/>
      <c r="B448" s="88"/>
      <c r="C448" s="88"/>
      <c r="D448" s="88"/>
      <c r="E448" s="88"/>
      <c r="F448" s="88"/>
    </row>
    <row r="449" ht="15.75" customHeight="1">
      <c r="A449" s="89"/>
      <c r="B449" s="88"/>
      <c r="C449" s="88"/>
      <c r="D449" s="88"/>
      <c r="E449" s="88"/>
      <c r="F449" s="88"/>
    </row>
    <row r="450" ht="15.75" customHeight="1">
      <c r="A450" s="89"/>
      <c r="B450" s="88"/>
      <c r="C450" s="88"/>
      <c r="D450" s="88"/>
      <c r="E450" s="88"/>
      <c r="F450" s="88"/>
    </row>
    <row r="451" ht="15.75" customHeight="1">
      <c r="A451" s="89"/>
      <c r="B451" s="88"/>
      <c r="C451" s="88"/>
      <c r="D451" s="88"/>
      <c r="E451" s="88"/>
      <c r="F451" s="88"/>
    </row>
    <row r="452" ht="15.75" customHeight="1">
      <c r="A452" s="89"/>
      <c r="B452" s="88"/>
      <c r="C452" s="88"/>
      <c r="D452" s="88"/>
      <c r="E452" s="88"/>
      <c r="F452" s="88"/>
    </row>
    <row r="453" ht="15.75" customHeight="1">
      <c r="A453" s="89"/>
      <c r="B453" s="88"/>
      <c r="C453" s="88"/>
      <c r="D453" s="88"/>
      <c r="E453" s="88"/>
      <c r="F453" s="88"/>
    </row>
    <row r="454" ht="15.75" customHeight="1">
      <c r="A454" s="89"/>
      <c r="B454" s="88"/>
      <c r="C454" s="88"/>
      <c r="D454" s="88"/>
      <c r="E454" s="88"/>
      <c r="F454" s="88"/>
    </row>
    <row r="455" ht="15.75" customHeight="1">
      <c r="A455" s="89"/>
      <c r="B455" s="88"/>
      <c r="C455" s="88"/>
      <c r="D455" s="88"/>
      <c r="E455" s="88"/>
      <c r="F455" s="88"/>
    </row>
    <row r="456" ht="15.75" customHeight="1">
      <c r="A456" s="89"/>
      <c r="B456" s="88"/>
      <c r="C456" s="88"/>
      <c r="D456" s="88"/>
      <c r="E456" s="88"/>
      <c r="F456" s="88"/>
    </row>
    <row r="457" ht="15.75" customHeight="1">
      <c r="A457" s="89"/>
      <c r="B457" s="88"/>
      <c r="C457" s="88"/>
      <c r="D457" s="88"/>
      <c r="E457" s="88"/>
      <c r="F457" s="88"/>
    </row>
    <row r="458" ht="15.75" customHeight="1">
      <c r="A458" s="89"/>
      <c r="B458" s="88"/>
      <c r="C458" s="88"/>
      <c r="D458" s="88"/>
      <c r="E458" s="88"/>
      <c r="F458" s="88"/>
    </row>
    <row r="459" ht="15.75" customHeight="1">
      <c r="A459" s="89"/>
      <c r="B459" s="88"/>
      <c r="C459" s="88"/>
      <c r="D459" s="88"/>
      <c r="E459" s="88"/>
      <c r="F459" s="88"/>
    </row>
    <row r="460" ht="15.75" customHeight="1">
      <c r="A460" s="89"/>
      <c r="B460" s="88"/>
      <c r="C460" s="88"/>
      <c r="D460" s="88"/>
      <c r="E460" s="88"/>
      <c r="F460" s="88"/>
    </row>
    <row r="461" ht="15.75" customHeight="1">
      <c r="A461" s="89"/>
      <c r="B461" s="88"/>
      <c r="C461" s="88"/>
      <c r="D461" s="88"/>
      <c r="E461" s="88"/>
      <c r="F461" s="88"/>
    </row>
    <row r="462" ht="15.75" customHeight="1">
      <c r="A462" s="89"/>
      <c r="B462" s="88"/>
      <c r="C462" s="88"/>
      <c r="D462" s="88"/>
      <c r="E462" s="88"/>
      <c r="F462" s="88"/>
    </row>
    <row r="463" ht="15.75" customHeight="1">
      <c r="A463" s="89"/>
      <c r="B463" s="88"/>
      <c r="C463" s="88"/>
      <c r="D463" s="88"/>
      <c r="E463" s="88"/>
      <c r="F463" s="88"/>
    </row>
    <row r="464" ht="15.75" customHeight="1">
      <c r="A464" s="89"/>
      <c r="B464" s="88"/>
      <c r="C464" s="88"/>
      <c r="D464" s="88"/>
      <c r="E464" s="88"/>
      <c r="F464" s="88"/>
    </row>
    <row r="465" ht="15.75" customHeight="1">
      <c r="A465" s="89"/>
      <c r="B465" s="88"/>
      <c r="C465" s="88"/>
      <c r="D465" s="88"/>
      <c r="E465" s="88"/>
      <c r="F465" s="88"/>
    </row>
    <row r="466" ht="15.75" customHeight="1">
      <c r="A466" s="89"/>
      <c r="B466" s="88"/>
      <c r="C466" s="88"/>
      <c r="D466" s="88"/>
      <c r="E466" s="88"/>
      <c r="F466" s="88"/>
    </row>
    <row r="467" ht="15.75" customHeight="1">
      <c r="A467" s="89"/>
      <c r="B467" s="88"/>
      <c r="C467" s="88"/>
      <c r="D467" s="88"/>
      <c r="E467" s="88"/>
      <c r="F467" s="88"/>
    </row>
    <row r="468" ht="15.75" customHeight="1">
      <c r="A468" s="89"/>
      <c r="B468" s="88"/>
      <c r="C468" s="88"/>
      <c r="D468" s="88"/>
      <c r="E468" s="88"/>
      <c r="F468" s="88"/>
    </row>
    <row r="469" ht="15.75" customHeight="1">
      <c r="A469" s="89"/>
      <c r="B469" s="88"/>
      <c r="C469" s="88"/>
      <c r="D469" s="88"/>
      <c r="E469" s="88"/>
      <c r="F469" s="88"/>
    </row>
    <row r="470" ht="15.75" customHeight="1">
      <c r="A470" s="89"/>
      <c r="B470" s="88"/>
      <c r="C470" s="88"/>
      <c r="D470" s="88"/>
      <c r="E470" s="88"/>
      <c r="F470" s="88"/>
    </row>
    <row r="471" ht="15.75" customHeight="1">
      <c r="A471" s="89"/>
      <c r="B471" s="88"/>
      <c r="C471" s="88"/>
      <c r="D471" s="88"/>
      <c r="E471" s="88"/>
      <c r="F471" s="88"/>
    </row>
    <row r="472" ht="15.75" customHeight="1">
      <c r="A472" s="89"/>
      <c r="B472" s="88"/>
      <c r="C472" s="88"/>
      <c r="D472" s="88"/>
      <c r="E472" s="88"/>
      <c r="F472" s="88"/>
    </row>
    <row r="473" ht="15.75" customHeight="1">
      <c r="A473" s="89"/>
      <c r="B473" s="88"/>
      <c r="C473" s="88"/>
      <c r="D473" s="88"/>
      <c r="E473" s="88"/>
      <c r="F473" s="88"/>
    </row>
    <row r="474" ht="15.75" customHeight="1">
      <c r="A474" s="89"/>
      <c r="B474" s="88"/>
      <c r="C474" s="88"/>
      <c r="D474" s="88"/>
      <c r="E474" s="88"/>
      <c r="F474" s="88"/>
    </row>
    <row r="475" ht="15.75" customHeight="1">
      <c r="A475" s="89"/>
      <c r="B475" s="88"/>
      <c r="C475" s="88"/>
      <c r="D475" s="88"/>
      <c r="E475" s="88"/>
      <c r="F475" s="88"/>
    </row>
    <row r="476" ht="15.75" customHeight="1">
      <c r="A476" s="89"/>
      <c r="B476" s="88"/>
      <c r="C476" s="88"/>
      <c r="D476" s="88"/>
      <c r="E476" s="88"/>
      <c r="F476" s="88"/>
    </row>
    <row r="477" ht="15.75" customHeight="1">
      <c r="A477" s="89"/>
      <c r="B477" s="88"/>
      <c r="C477" s="88"/>
      <c r="D477" s="88"/>
      <c r="E477" s="88"/>
      <c r="F477" s="88"/>
    </row>
    <row r="478" ht="15.75" customHeight="1">
      <c r="A478" s="89"/>
      <c r="B478" s="88"/>
      <c r="C478" s="88"/>
      <c r="D478" s="88"/>
      <c r="E478" s="88"/>
      <c r="F478" s="88"/>
    </row>
    <row r="479" ht="15.75" customHeight="1">
      <c r="A479" s="89"/>
      <c r="B479" s="88"/>
      <c r="C479" s="88"/>
      <c r="D479" s="88"/>
      <c r="E479" s="88"/>
      <c r="F479" s="88"/>
    </row>
    <row r="480" ht="15.75" customHeight="1">
      <c r="A480" s="89"/>
      <c r="B480" s="88"/>
      <c r="C480" s="88"/>
      <c r="D480" s="88"/>
      <c r="E480" s="88"/>
      <c r="F480" s="88"/>
    </row>
    <row r="481" ht="15.75" customHeight="1">
      <c r="A481" s="89"/>
      <c r="B481" s="88"/>
      <c r="C481" s="88"/>
      <c r="D481" s="88"/>
      <c r="E481" s="88"/>
      <c r="F481" s="88"/>
    </row>
    <row r="482" ht="15.75" customHeight="1">
      <c r="A482" s="89"/>
      <c r="B482" s="88"/>
      <c r="C482" s="88"/>
      <c r="D482" s="88"/>
      <c r="E482" s="88"/>
      <c r="F482" s="88"/>
    </row>
    <row r="483" ht="15.75" customHeight="1">
      <c r="A483" s="89"/>
      <c r="B483" s="88"/>
      <c r="C483" s="88"/>
      <c r="D483" s="88"/>
      <c r="E483" s="88"/>
      <c r="F483" s="88"/>
    </row>
    <row r="484" ht="15.75" customHeight="1">
      <c r="A484" s="89"/>
      <c r="B484" s="88"/>
      <c r="C484" s="88"/>
      <c r="D484" s="88"/>
      <c r="E484" s="88"/>
      <c r="F484" s="88"/>
    </row>
    <row r="485" ht="15.75" customHeight="1">
      <c r="A485" s="89"/>
      <c r="B485" s="88"/>
      <c r="C485" s="88"/>
      <c r="D485" s="88"/>
      <c r="E485" s="88"/>
      <c r="F485" s="88"/>
    </row>
    <row r="486" ht="15.75" customHeight="1">
      <c r="A486" s="89"/>
      <c r="B486" s="88"/>
      <c r="C486" s="88"/>
      <c r="D486" s="88"/>
      <c r="E486" s="88"/>
      <c r="F486" s="88"/>
    </row>
    <row r="487" ht="15.75" customHeight="1">
      <c r="A487" s="89"/>
      <c r="B487" s="88"/>
      <c r="C487" s="88"/>
      <c r="D487" s="88"/>
      <c r="E487" s="88"/>
      <c r="F487" s="88"/>
    </row>
    <row r="488" ht="15.75" customHeight="1">
      <c r="A488" s="89"/>
      <c r="B488" s="88"/>
      <c r="C488" s="88"/>
      <c r="D488" s="88"/>
      <c r="E488" s="88"/>
      <c r="F488" s="88"/>
    </row>
    <row r="489" ht="15.75" customHeight="1">
      <c r="A489" s="89"/>
      <c r="B489" s="88"/>
      <c r="C489" s="88"/>
      <c r="D489" s="88"/>
      <c r="E489" s="88"/>
      <c r="F489" s="88"/>
    </row>
    <row r="490" ht="15.75" customHeight="1">
      <c r="A490" s="89"/>
      <c r="B490" s="88"/>
      <c r="C490" s="88"/>
      <c r="D490" s="88"/>
      <c r="E490" s="88"/>
      <c r="F490" s="88"/>
    </row>
    <row r="491" ht="15.75" customHeight="1">
      <c r="A491" s="89"/>
      <c r="B491" s="88"/>
      <c r="C491" s="88"/>
      <c r="D491" s="88"/>
      <c r="E491" s="88"/>
      <c r="F491" s="88"/>
    </row>
    <row r="492" ht="15.75" customHeight="1">
      <c r="A492" s="89"/>
      <c r="B492" s="88"/>
      <c r="C492" s="88"/>
      <c r="D492" s="88"/>
      <c r="E492" s="88"/>
      <c r="F492" s="88"/>
    </row>
    <row r="493" ht="15.75" customHeight="1">
      <c r="A493" s="89"/>
      <c r="B493" s="88"/>
      <c r="C493" s="88"/>
      <c r="D493" s="88"/>
      <c r="E493" s="88"/>
      <c r="F493" s="88"/>
    </row>
    <row r="494" ht="15.75" customHeight="1">
      <c r="A494" s="89"/>
      <c r="B494" s="88"/>
      <c r="C494" s="88"/>
      <c r="D494" s="88"/>
      <c r="E494" s="88"/>
      <c r="F494" s="88"/>
    </row>
    <row r="495" ht="15.75" customHeight="1">
      <c r="A495" s="89"/>
      <c r="B495" s="88"/>
      <c r="C495" s="88"/>
      <c r="D495" s="88"/>
      <c r="E495" s="88"/>
      <c r="F495" s="88"/>
    </row>
    <row r="496" ht="15.75" customHeight="1">
      <c r="A496" s="89"/>
      <c r="B496" s="88"/>
      <c r="C496" s="88"/>
      <c r="D496" s="88"/>
      <c r="E496" s="88"/>
      <c r="F496" s="88"/>
    </row>
    <row r="497" ht="15.75" customHeight="1">
      <c r="A497" s="89"/>
      <c r="B497" s="88"/>
      <c r="C497" s="88"/>
      <c r="D497" s="88"/>
      <c r="E497" s="88"/>
      <c r="F497" s="88"/>
    </row>
    <row r="498" ht="15.75" customHeight="1">
      <c r="A498" s="89"/>
      <c r="B498" s="88"/>
      <c r="C498" s="88"/>
      <c r="D498" s="88"/>
      <c r="E498" s="88"/>
      <c r="F498" s="88"/>
    </row>
    <row r="499" ht="15.75" customHeight="1">
      <c r="A499" s="89"/>
      <c r="B499" s="88"/>
      <c r="C499" s="88"/>
      <c r="D499" s="88"/>
      <c r="E499" s="88"/>
      <c r="F499" s="88"/>
    </row>
    <row r="500" ht="15.75" customHeight="1">
      <c r="A500" s="89"/>
      <c r="B500" s="88"/>
      <c r="C500" s="88"/>
      <c r="D500" s="88"/>
      <c r="E500" s="88"/>
      <c r="F500" s="88"/>
    </row>
    <row r="501" ht="15.75" customHeight="1">
      <c r="A501" s="89"/>
      <c r="B501" s="88"/>
      <c r="C501" s="88"/>
      <c r="D501" s="88"/>
      <c r="E501" s="88"/>
      <c r="F501" s="88"/>
    </row>
    <row r="502" ht="15.75" customHeight="1">
      <c r="A502" s="89"/>
      <c r="B502" s="88"/>
      <c r="C502" s="88"/>
      <c r="D502" s="88"/>
      <c r="E502" s="88"/>
      <c r="F502" s="88"/>
    </row>
    <row r="503" ht="15.75" customHeight="1">
      <c r="A503" s="89"/>
      <c r="B503" s="88"/>
      <c r="C503" s="88"/>
      <c r="D503" s="88"/>
      <c r="E503" s="88"/>
      <c r="F503" s="88"/>
    </row>
    <row r="504" ht="15.75" customHeight="1">
      <c r="A504" s="89"/>
      <c r="B504" s="88"/>
      <c r="C504" s="88"/>
      <c r="D504" s="88"/>
      <c r="E504" s="88"/>
      <c r="F504" s="88"/>
    </row>
    <row r="505" ht="15.75" customHeight="1">
      <c r="A505" s="89"/>
      <c r="B505" s="88"/>
      <c r="C505" s="88"/>
      <c r="D505" s="88"/>
      <c r="E505" s="88"/>
      <c r="F505" s="88"/>
    </row>
    <row r="506" ht="15.75" customHeight="1">
      <c r="A506" s="89"/>
      <c r="B506" s="88"/>
      <c r="C506" s="88"/>
      <c r="D506" s="88"/>
      <c r="E506" s="88"/>
      <c r="F506" s="88"/>
    </row>
    <row r="507" ht="15.75" customHeight="1">
      <c r="A507" s="89"/>
      <c r="B507" s="88"/>
      <c r="C507" s="88"/>
      <c r="D507" s="88"/>
      <c r="E507" s="88"/>
      <c r="F507" s="88"/>
    </row>
    <row r="508" ht="15.75" customHeight="1">
      <c r="A508" s="89"/>
      <c r="B508" s="88"/>
      <c r="C508" s="88"/>
      <c r="D508" s="88"/>
      <c r="E508" s="88"/>
      <c r="F508" s="88"/>
    </row>
    <row r="509" ht="15.75" customHeight="1">
      <c r="A509" s="89"/>
      <c r="B509" s="88"/>
      <c r="C509" s="88"/>
      <c r="D509" s="88"/>
      <c r="E509" s="88"/>
      <c r="F509" s="88"/>
    </row>
    <row r="510" ht="15.75" customHeight="1">
      <c r="A510" s="89"/>
      <c r="B510" s="88"/>
      <c r="C510" s="88"/>
      <c r="D510" s="88"/>
      <c r="E510" s="88"/>
      <c r="F510" s="88"/>
    </row>
    <row r="511" ht="15.75" customHeight="1">
      <c r="A511" s="89"/>
      <c r="B511" s="88"/>
      <c r="C511" s="88"/>
      <c r="D511" s="88"/>
      <c r="E511" s="88"/>
      <c r="F511" s="88"/>
    </row>
    <row r="512" ht="15.75" customHeight="1">
      <c r="A512" s="89"/>
      <c r="B512" s="88"/>
      <c r="C512" s="88"/>
      <c r="D512" s="88"/>
      <c r="E512" s="88"/>
      <c r="F512" s="88"/>
    </row>
    <row r="513" ht="15.75" customHeight="1">
      <c r="A513" s="89"/>
      <c r="B513" s="88"/>
      <c r="C513" s="88"/>
      <c r="D513" s="88"/>
      <c r="E513" s="88"/>
      <c r="F513" s="88"/>
    </row>
    <row r="514" ht="15.75" customHeight="1">
      <c r="A514" s="89"/>
      <c r="B514" s="88"/>
      <c r="C514" s="88"/>
      <c r="D514" s="88"/>
      <c r="E514" s="88"/>
      <c r="F514" s="88"/>
    </row>
    <row r="515" ht="15.75" customHeight="1">
      <c r="A515" s="89"/>
      <c r="B515" s="88"/>
      <c r="C515" s="88"/>
      <c r="D515" s="88"/>
      <c r="E515" s="88"/>
      <c r="F515" s="88"/>
    </row>
    <row r="516" ht="15.75" customHeight="1">
      <c r="A516" s="89"/>
      <c r="B516" s="88"/>
      <c r="C516" s="88"/>
      <c r="D516" s="88"/>
      <c r="E516" s="88"/>
      <c r="F516" s="88"/>
    </row>
    <row r="517" ht="15.75" customHeight="1">
      <c r="A517" s="89"/>
      <c r="B517" s="88"/>
      <c r="C517" s="88"/>
      <c r="D517" s="88"/>
      <c r="E517" s="88"/>
      <c r="F517" s="88"/>
    </row>
    <row r="518" ht="15.75" customHeight="1">
      <c r="A518" s="89"/>
      <c r="B518" s="88"/>
      <c r="C518" s="88"/>
      <c r="D518" s="88"/>
      <c r="E518" s="88"/>
      <c r="F518" s="88"/>
    </row>
    <row r="519" ht="15.75" customHeight="1">
      <c r="A519" s="89"/>
      <c r="B519" s="88"/>
      <c r="C519" s="88"/>
      <c r="D519" s="88"/>
      <c r="E519" s="88"/>
      <c r="F519" s="88"/>
    </row>
    <row r="520" ht="15.75" customHeight="1">
      <c r="A520" s="89"/>
      <c r="B520" s="88"/>
      <c r="C520" s="88"/>
      <c r="D520" s="88"/>
      <c r="E520" s="88"/>
      <c r="F520" s="88"/>
    </row>
    <row r="521" ht="15.75" customHeight="1">
      <c r="A521" s="89"/>
      <c r="B521" s="88"/>
      <c r="C521" s="88"/>
      <c r="D521" s="88"/>
      <c r="E521" s="88"/>
      <c r="F521" s="88"/>
    </row>
    <row r="522" ht="15.75" customHeight="1">
      <c r="A522" s="89"/>
      <c r="B522" s="88"/>
      <c r="C522" s="88"/>
      <c r="D522" s="88"/>
      <c r="E522" s="88"/>
      <c r="F522" s="88"/>
    </row>
    <row r="523" ht="15.75" customHeight="1">
      <c r="A523" s="89"/>
      <c r="B523" s="88"/>
      <c r="C523" s="88"/>
      <c r="D523" s="88"/>
      <c r="E523" s="88"/>
      <c r="F523" s="88"/>
    </row>
    <row r="524" ht="15.75" customHeight="1">
      <c r="A524" s="89"/>
      <c r="B524" s="88"/>
      <c r="C524" s="88"/>
      <c r="D524" s="88"/>
      <c r="E524" s="88"/>
      <c r="F524" s="88"/>
    </row>
    <row r="525" ht="15.75" customHeight="1">
      <c r="A525" s="89"/>
      <c r="B525" s="88"/>
      <c r="C525" s="88"/>
      <c r="D525" s="88"/>
      <c r="E525" s="88"/>
      <c r="F525" s="88"/>
    </row>
    <row r="526" ht="15.75" customHeight="1">
      <c r="A526" s="89"/>
      <c r="B526" s="88"/>
      <c r="C526" s="88"/>
      <c r="D526" s="88"/>
      <c r="E526" s="88"/>
      <c r="F526" s="88"/>
    </row>
    <row r="527" ht="15.75" customHeight="1">
      <c r="A527" s="89"/>
      <c r="B527" s="88"/>
      <c r="C527" s="88"/>
      <c r="D527" s="88"/>
      <c r="E527" s="88"/>
      <c r="F527" s="88"/>
    </row>
    <row r="528" ht="15.75" customHeight="1">
      <c r="A528" s="89"/>
      <c r="B528" s="88"/>
      <c r="C528" s="88"/>
      <c r="D528" s="88"/>
      <c r="E528" s="88"/>
      <c r="F528" s="88"/>
    </row>
    <row r="529" ht="15.75" customHeight="1">
      <c r="A529" s="89"/>
      <c r="B529" s="88"/>
      <c r="C529" s="88"/>
      <c r="D529" s="88"/>
      <c r="E529" s="88"/>
      <c r="F529" s="88"/>
    </row>
    <row r="530" ht="15.75" customHeight="1">
      <c r="A530" s="89"/>
      <c r="B530" s="88"/>
      <c r="C530" s="88"/>
      <c r="D530" s="88"/>
      <c r="E530" s="88"/>
      <c r="F530" s="88"/>
    </row>
    <row r="531" ht="15.75" customHeight="1">
      <c r="A531" s="89"/>
      <c r="B531" s="88"/>
      <c r="C531" s="88"/>
      <c r="D531" s="88"/>
      <c r="E531" s="88"/>
      <c r="F531" s="88"/>
    </row>
    <row r="532" ht="15.75" customHeight="1">
      <c r="A532" s="89"/>
      <c r="B532" s="88"/>
      <c r="C532" s="88"/>
      <c r="D532" s="88"/>
      <c r="E532" s="88"/>
      <c r="F532" s="88"/>
    </row>
    <row r="533" ht="15.75" customHeight="1">
      <c r="A533" s="89"/>
      <c r="B533" s="88"/>
      <c r="C533" s="88"/>
      <c r="D533" s="88"/>
      <c r="E533" s="88"/>
      <c r="F533" s="88"/>
    </row>
    <row r="534" ht="15.75" customHeight="1">
      <c r="A534" s="89"/>
      <c r="B534" s="88"/>
      <c r="C534" s="88"/>
      <c r="D534" s="88"/>
      <c r="E534" s="88"/>
      <c r="F534" s="88"/>
    </row>
    <row r="535" ht="15.75" customHeight="1">
      <c r="A535" s="89"/>
      <c r="B535" s="88"/>
      <c r="C535" s="88"/>
      <c r="D535" s="88"/>
      <c r="E535" s="88"/>
      <c r="F535" s="88"/>
    </row>
    <row r="536" ht="15.75" customHeight="1">
      <c r="A536" s="89"/>
      <c r="B536" s="88"/>
      <c r="C536" s="88"/>
      <c r="D536" s="88"/>
      <c r="E536" s="88"/>
      <c r="F536" s="88"/>
    </row>
    <row r="537" ht="15.75" customHeight="1">
      <c r="A537" s="89"/>
      <c r="B537" s="88"/>
      <c r="C537" s="88"/>
      <c r="D537" s="88"/>
      <c r="E537" s="88"/>
      <c r="F537" s="88"/>
    </row>
    <row r="538" ht="15.75" customHeight="1">
      <c r="A538" s="89"/>
      <c r="B538" s="88"/>
      <c r="C538" s="88"/>
      <c r="D538" s="88"/>
      <c r="E538" s="88"/>
      <c r="F538" s="88"/>
    </row>
    <row r="539" ht="15.75" customHeight="1">
      <c r="A539" s="89"/>
      <c r="B539" s="88"/>
      <c r="C539" s="88"/>
      <c r="D539" s="88"/>
      <c r="E539" s="88"/>
      <c r="F539" s="88"/>
    </row>
    <row r="540" ht="15.75" customHeight="1">
      <c r="A540" s="89"/>
      <c r="B540" s="88"/>
      <c r="C540" s="88"/>
      <c r="D540" s="88"/>
      <c r="E540" s="88"/>
      <c r="F540" s="88"/>
    </row>
    <row r="541" ht="15.75" customHeight="1">
      <c r="A541" s="89"/>
      <c r="B541" s="88"/>
      <c r="C541" s="88"/>
      <c r="D541" s="88"/>
      <c r="E541" s="88"/>
      <c r="F541" s="88"/>
    </row>
    <row r="542" ht="15.75" customHeight="1">
      <c r="A542" s="89"/>
      <c r="B542" s="88"/>
      <c r="C542" s="88"/>
      <c r="D542" s="88"/>
      <c r="E542" s="88"/>
      <c r="F542" s="88"/>
    </row>
    <row r="543" ht="15.75" customHeight="1">
      <c r="A543" s="89"/>
      <c r="B543" s="88"/>
      <c r="C543" s="88"/>
      <c r="D543" s="88"/>
      <c r="E543" s="88"/>
      <c r="F543" s="88"/>
    </row>
    <row r="544" ht="15.75" customHeight="1">
      <c r="A544" s="89"/>
      <c r="B544" s="88"/>
      <c r="C544" s="88"/>
      <c r="D544" s="88"/>
      <c r="E544" s="88"/>
      <c r="F544" s="88"/>
    </row>
    <row r="545" ht="15.75" customHeight="1">
      <c r="A545" s="89"/>
      <c r="B545" s="88"/>
      <c r="C545" s="88"/>
      <c r="D545" s="88"/>
      <c r="E545" s="88"/>
      <c r="F545" s="88"/>
    </row>
    <row r="546" ht="15.75" customHeight="1">
      <c r="A546" s="89"/>
      <c r="B546" s="88"/>
      <c r="C546" s="88"/>
      <c r="D546" s="88"/>
      <c r="E546" s="88"/>
      <c r="F546" s="88"/>
    </row>
    <row r="547" ht="15.75" customHeight="1">
      <c r="A547" s="89"/>
      <c r="B547" s="88"/>
      <c r="C547" s="88"/>
      <c r="D547" s="88"/>
      <c r="E547" s="88"/>
      <c r="F547" s="88"/>
    </row>
    <row r="548" ht="15.75" customHeight="1">
      <c r="A548" s="89"/>
      <c r="B548" s="88"/>
      <c r="C548" s="88"/>
      <c r="D548" s="88"/>
      <c r="E548" s="88"/>
      <c r="F548" s="88"/>
    </row>
    <row r="549" ht="15.75" customHeight="1">
      <c r="A549" s="89"/>
      <c r="B549" s="88"/>
      <c r="C549" s="88"/>
      <c r="D549" s="88"/>
      <c r="E549" s="88"/>
      <c r="F549" s="88"/>
    </row>
    <row r="550" ht="15.75" customHeight="1">
      <c r="A550" s="89"/>
      <c r="B550" s="88"/>
      <c r="C550" s="88"/>
      <c r="D550" s="88"/>
      <c r="E550" s="88"/>
      <c r="F550" s="88"/>
    </row>
    <row r="551" ht="15.75" customHeight="1">
      <c r="A551" s="89"/>
      <c r="B551" s="88"/>
      <c r="C551" s="88"/>
      <c r="D551" s="88"/>
      <c r="E551" s="88"/>
      <c r="F551" s="88"/>
    </row>
    <row r="552" ht="15.75" customHeight="1">
      <c r="A552" s="89"/>
      <c r="B552" s="88"/>
      <c r="C552" s="88"/>
      <c r="D552" s="88"/>
      <c r="E552" s="88"/>
      <c r="F552" s="88"/>
    </row>
    <row r="553" ht="15.75" customHeight="1">
      <c r="A553" s="89"/>
      <c r="B553" s="88"/>
      <c r="C553" s="88"/>
      <c r="D553" s="88"/>
      <c r="E553" s="88"/>
      <c r="F553" s="88"/>
    </row>
    <row r="554" ht="15.75" customHeight="1">
      <c r="A554" s="89"/>
      <c r="B554" s="88"/>
      <c r="C554" s="88"/>
      <c r="D554" s="88"/>
      <c r="E554" s="88"/>
      <c r="F554" s="88"/>
    </row>
    <row r="555" ht="15.75" customHeight="1">
      <c r="A555" s="89"/>
      <c r="B555" s="88"/>
      <c r="C555" s="88"/>
      <c r="D555" s="88"/>
      <c r="E555" s="88"/>
      <c r="F555" s="88"/>
    </row>
    <row r="556" ht="15.75" customHeight="1">
      <c r="A556" s="89"/>
      <c r="B556" s="88"/>
      <c r="C556" s="88"/>
      <c r="D556" s="88"/>
      <c r="E556" s="88"/>
      <c r="F556" s="88"/>
    </row>
    <row r="557" ht="15.75" customHeight="1">
      <c r="A557" s="89"/>
      <c r="B557" s="88"/>
      <c r="C557" s="88"/>
      <c r="D557" s="88"/>
      <c r="E557" s="88"/>
      <c r="F557" s="88"/>
    </row>
    <row r="558" ht="15.75" customHeight="1">
      <c r="A558" s="89"/>
      <c r="B558" s="88"/>
      <c r="C558" s="88"/>
      <c r="D558" s="88"/>
      <c r="E558" s="88"/>
      <c r="F558" s="88"/>
    </row>
    <row r="559" ht="15.75" customHeight="1">
      <c r="A559" s="89"/>
      <c r="B559" s="88"/>
      <c r="C559" s="88"/>
      <c r="D559" s="88"/>
      <c r="E559" s="88"/>
      <c r="F559" s="88"/>
    </row>
    <row r="560" ht="15.75" customHeight="1">
      <c r="A560" s="89"/>
      <c r="B560" s="88"/>
      <c r="C560" s="88"/>
      <c r="D560" s="88"/>
      <c r="E560" s="88"/>
      <c r="F560" s="88"/>
    </row>
    <row r="561" ht="15.75" customHeight="1">
      <c r="A561" s="89"/>
      <c r="B561" s="88"/>
      <c r="C561" s="88"/>
      <c r="D561" s="88"/>
      <c r="E561" s="88"/>
      <c r="F561" s="88"/>
    </row>
    <row r="562" ht="15.75" customHeight="1">
      <c r="A562" s="89"/>
      <c r="B562" s="88"/>
      <c r="C562" s="88"/>
      <c r="D562" s="88"/>
      <c r="E562" s="88"/>
      <c r="F562" s="88"/>
    </row>
    <row r="563" ht="15.75" customHeight="1">
      <c r="A563" s="89"/>
      <c r="B563" s="88"/>
      <c r="C563" s="88"/>
      <c r="D563" s="88"/>
      <c r="E563" s="88"/>
      <c r="F563" s="88"/>
    </row>
    <row r="564" ht="15.75" customHeight="1">
      <c r="A564" s="89"/>
      <c r="B564" s="88"/>
      <c r="C564" s="88"/>
      <c r="D564" s="88"/>
      <c r="E564" s="88"/>
      <c r="F564" s="88"/>
    </row>
    <row r="565" ht="15.75" customHeight="1">
      <c r="A565" s="89"/>
      <c r="B565" s="88"/>
      <c r="C565" s="88"/>
      <c r="D565" s="88"/>
      <c r="E565" s="88"/>
      <c r="F565" s="88"/>
    </row>
    <row r="566" ht="15.75" customHeight="1">
      <c r="A566" s="89"/>
      <c r="B566" s="88"/>
      <c r="C566" s="88"/>
      <c r="D566" s="88"/>
      <c r="E566" s="88"/>
      <c r="F566" s="88"/>
    </row>
    <row r="567" ht="15.75" customHeight="1">
      <c r="A567" s="89"/>
      <c r="B567" s="88"/>
      <c r="C567" s="88"/>
      <c r="D567" s="88"/>
      <c r="E567" s="88"/>
      <c r="F567" s="88"/>
    </row>
    <row r="568" ht="15.75" customHeight="1">
      <c r="A568" s="89"/>
      <c r="B568" s="88"/>
      <c r="C568" s="88"/>
      <c r="D568" s="88"/>
      <c r="E568" s="88"/>
      <c r="F568" s="88"/>
    </row>
    <row r="569" ht="15.75" customHeight="1">
      <c r="A569" s="89"/>
      <c r="B569" s="88"/>
      <c r="C569" s="88"/>
      <c r="D569" s="88"/>
      <c r="E569" s="88"/>
      <c r="F569" s="88"/>
    </row>
    <row r="570" ht="15.75" customHeight="1">
      <c r="A570" s="89"/>
      <c r="B570" s="88"/>
      <c r="C570" s="88"/>
      <c r="D570" s="88"/>
      <c r="E570" s="88"/>
      <c r="F570" s="88"/>
    </row>
    <row r="571" ht="15.75" customHeight="1">
      <c r="A571" s="89"/>
      <c r="B571" s="88"/>
      <c r="C571" s="88"/>
      <c r="D571" s="88"/>
      <c r="E571" s="88"/>
      <c r="F571" s="88"/>
    </row>
    <row r="572" ht="15.75" customHeight="1">
      <c r="A572" s="89"/>
      <c r="B572" s="88"/>
      <c r="C572" s="88"/>
      <c r="D572" s="88"/>
      <c r="E572" s="88"/>
      <c r="F572" s="88"/>
    </row>
    <row r="573" ht="15.75" customHeight="1">
      <c r="A573" s="89"/>
      <c r="B573" s="88"/>
      <c r="C573" s="88"/>
      <c r="D573" s="88"/>
      <c r="E573" s="88"/>
      <c r="F573" s="88"/>
    </row>
    <row r="574" ht="15.75" customHeight="1">
      <c r="A574" s="89"/>
      <c r="B574" s="88"/>
      <c r="C574" s="88"/>
      <c r="D574" s="88"/>
      <c r="E574" s="88"/>
      <c r="F574" s="88"/>
    </row>
    <row r="575" ht="15.75" customHeight="1">
      <c r="A575" s="89"/>
      <c r="B575" s="88"/>
      <c r="C575" s="88"/>
      <c r="D575" s="88"/>
      <c r="E575" s="88"/>
      <c r="F575" s="88"/>
    </row>
    <row r="576" ht="15.75" customHeight="1">
      <c r="A576" s="89"/>
      <c r="B576" s="88"/>
      <c r="C576" s="88"/>
      <c r="D576" s="88"/>
      <c r="E576" s="88"/>
      <c r="F576" s="88"/>
    </row>
    <row r="577" ht="15.75" customHeight="1">
      <c r="A577" s="89"/>
      <c r="B577" s="88"/>
      <c r="C577" s="88"/>
      <c r="D577" s="88"/>
      <c r="E577" s="88"/>
      <c r="F577" s="88"/>
    </row>
    <row r="578" ht="15.75" customHeight="1">
      <c r="A578" s="89"/>
      <c r="B578" s="88"/>
      <c r="C578" s="88"/>
      <c r="D578" s="88"/>
      <c r="E578" s="88"/>
      <c r="F578" s="88"/>
    </row>
    <row r="579" ht="15.75" customHeight="1">
      <c r="A579" s="89"/>
      <c r="B579" s="88"/>
      <c r="C579" s="88"/>
      <c r="D579" s="88"/>
      <c r="E579" s="88"/>
      <c r="F579" s="88"/>
    </row>
    <row r="580" ht="15.75" customHeight="1">
      <c r="A580" s="89"/>
      <c r="B580" s="88"/>
      <c r="C580" s="88"/>
      <c r="D580" s="88"/>
      <c r="E580" s="88"/>
      <c r="F580" s="88"/>
    </row>
    <row r="581" ht="15.75" customHeight="1">
      <c r="A581" s="89"/>
      <c r="B581" s="88"/>
      <c r="C581" s="88"/>
      <c r="D581" s="88"/>
      <c r="E581" s="88"/>
      <c r="F581" s="88"/>
    </row>
    <row r="582" ht="15.75" customHeight="1">
      <c r="A582" s="89"/>
      <c r="B582" s="88"/>
      <c r="C582" s="88"/>
      <c r="D582" s="88"/>
      <c r="E582" s="88"/>
      <c r="F582" s="88"/>
    </row>
    <row r="583" ht="15.75" customHeight="1">
      <c r="A583" s="89"/>
      <c r="B583" s="88"/>
      <c r="C583" s="88"/>
      <c r="D583" s="88"/>
      <c r="E583" s="88"/>
      <c r="F583" s="88"/>
    </row>
    <row r="584" ht="15.75" customHeight="1">
      <c r="A584" s="89"/>
      <c r="B584" s="88"/>
      <c r="C584" s="88"/>
      <c r="D584" s="88"/>
      <c r="E584" s="88"/>
      <c r="F584" s="88"/>
    </row>
    <row r="585" ht="15.75" customHeight="1">
      <c r="A585" s="89"/>
      <c r="B585" s="88"/>
      <c r="C585" s="88"/>
      <c r="D585" s="88"/>
      <c r="E585" s="88"/>
      <c r="F585" s="88"/>
    </row>
    <row r="586" ht="15.75" customHeight="1">
      <c r="A586" s="89"/>
      <c r="B586" s="88"/>
      <c r="C586" s="88"/>
      <c r="D586" s="88"/>
      <c r="E586" s="88"/>
      <c r="F586" s="88"/>
    </row>
    <row r="587" ht="15.75" customHeight="1">
      <c r="A587" s="89"/>
      <c r="B587" s="88"/>
      <c r="C587" s="88"/>
      <c r="D587" s="88"/>
      <c r="E587" s="88"/>
      <c r="F587" s="88"/>
    </row>
    <row r="588" ht="15.75" customHeight="1">
      <c r="A588" s="89"/>
      <c r="B588" s="88"/>
      <c r="C588" s="88"/>
      <c r="D588" s="88"/>
      <c r="E588" s="88"/>
      <c r="F588" s="88"/>
    </row>
    <row r="589" ht="15.75" customHeight="1">
      <c r="A589" s="89"/>
      <c r="B589" s="88"/>
      <c r="C589" s="88"/>
      <c r="D589" s="88"/>
      <c r="E589" s="88"/>
      <c r="F589" s="88"/>
    </row>
    <row r="590" ht="15.75" customHeight="1">
      <c r="A590" s="89"/>
      <c r="B590" s="88"/>
      <c r="C590" s="88"/>
      <c r="D590" s="88"/>
      <c r="E590" s="88"/>
      <c r="F590" s="88"/>
    </row>
    <row r="591" ht="15.75" customHeight="1">
      <c r="A591" s="89"/>
      <c r="B591" s="88"/>
      <c r="C591" s="88"/>
      <c r="D591" s="88"/>
      <c r="E591" s="88"/>
      <c r="F591" s="88"/>
    </row>
    <row r="592" ht="15.75" customHeight="1">
      <c r="A592" s="89"/>
      <c r="B592" s="88"/>
      <c r="C592" s="88"/>
      <c r="D592" s="88"/>
      <c r="E592" s="88"/>
      <c r="F592" s="88"/>
    </row>
    <row r="593" ht="15.75" customHeight="1">
      <c r="A593" s="89"/>
      <c r="B593" s="88"/>
      <c r="C593" s="88"/>
      <c r="D593" s="88"/>
      <c r="E593" s="88"/>
      <c r="F593" s="88"/>
    </row>
    <row r="594" ht="15.75" customHeight="1">
      <c r="A594" s="89"/>
      <c r="B594" s="88"/>
      <c r="C594" s="88"/>
      <c r="D594" s="88"/>
      <c r="E594" s="88"/>
      <c r="F594" s="88"/>
    </row>
    <row r="595" ht="15.75" customHeight="1">
      <c r="A595" s="89"/>
      <c r="B595" s="88"/>
      <c r="C595" s="88"/>
      <c r="D595" s="88"/>
      <c r="E595" s="88"/>
      <c r="F595" s="88"/>
    </row>
    <row r="596" ht="15.75" customHeight="1">
      <c r="A596" s="89"/>
      <c r="B596" s="88"/>
      <c r="C596" s="88"/>
      <c r="D596" s="88"/>
      <c r="E596" s="88"/>
      <c r="F596" s="88"/>
    </row>
    <row r="597" ht="15.75" customHeight="1">
      <c r="A597" s="89"/>
      <c r="B597" s="88"/>
      <c r="C597" s="88"/>
      <c r="D597" s="88"/>
      <c r="E597" s="88"/>
      <c r="F597" s="88"/>
    </row>
    <row r="598" ht="15.75" customHeight="1">
      <c r="A598" s="89"/>
      <c r="B598" s="88"/>
      <c r="C598" s="88"/>
      <c r="D598" s="88"/>
      <c r="E598" s="88"/>
      <c r="F598" s="88"/>
    </row>
    <row r="599" ht="15.75" customHeight="1">
      <c r="A599" s="89"/>
      <c r="B599" s="88"/>
      <c r="C599" s="88"/>
      <c r="D599" s="88"/>
      <c r="E599" s="88"/>
      <c r="F599" s="88"/>
    </row>
    <row r="600" ht="15.75" customHeight="1">
      <c r="A600" s="89"/>
      <c r="B600" s="88"/>
      <c r="C600" s="88"/>
      <c r="D600" s="88"/>
      <c r="E600" s="88"/>
      <c r="F600" s="88"/>
    </row>
    <row r="601" ht="15.75" customHeight="1">
      <c r="A601" s="89"/>
      <c r="B601" s="88"/>
      <c r="C601" s="88"/>
      <c r="D601" s="88"/>
      <c r="E601" s="88"/>
      <c r="F601" s="88"/>
    </row>
    <row r="602" ht="15.75" customHeight="1">
      <c r="A602" s="89"/>
      <c r="B602" s="88"/>
      <c r="C602" s="88"/>
      <c r="D602" s="88"/>
      <c r="E602" s="88"/>
      <c r="F602" s="88"/>
    </row>
    <row r="603" ht="15.75" customHeight="1">
      <c r="A603" s="89"/>
      <c r="B603" s="88"/>
      <c r="C603" s="88"/>
      <c r="D603" s="88"/>
      <c r="E603" s="88"/>
      <c r="F603" s="88"/>
    </row>
    <row r="604" ht="15.75" customHeight="1">
      <c r="A604" s="89"/>
      <c r="B604" s="88"/>
      <c r="C604" s="88"/>
      <c r="D604" s="88"/>
      <c r="E604" s="88"/>
      <c r="F604" s="88"/>
    </row>
    <row r="605" ht="15.75" customHeight="1">
      <c r="A605" s="89"/>
      <c r="B605" s="88"/>
      <c r="C605" s="88"/>
      <c r="D605" s="88"/>
      <c r="E605" s="88"/>
      <c r="F605" s="88"/>
    </row>
    <row r="606" ht="15.75" customHeight="1">
      <c r="A606" s="89"/>
      <c r="B606" s="88"/>
      <c r="C606" s="88"/>
      <c r="D606" s="88"/>
      <c r="E606" s="88"/>
      <c r="F606" s="88"/>
    </row>
    <row r="607" ht="15.75" customHeight="1">
      <c r="A607" s="89"/>
      <c r="B607" s="88"/>
      <c r="C607" s="88"/>
      <c r="D607" s="88"/>
      <c r="E607" s="88"/>
      <c r="F607" s="88"/>
    </row>
    <row r="608" ht="15.75" customHeight="1">
      <c r="A608" s="89"/>
      <c r="B608" s="88"/>
      <c r="C608" s="88"/>
      <c r="D608" s="88"/>
      <c r="E608" s="88"/>
      <c r="F608" s="88"/>
    </row>
    <row r="609" ht="15.75" customHeight="1">
      <c r="A609" s="89"/>
      <c r="B609" s="88"/>
      <c r="C609" s="88"/>
      <c r="D609" s="88"/>
      <c r="E609" s="88"/>
      <c r="F609" s="88"/>
    </row>
    <row r="610" ht="15.75" customHeight="1">
      <c r="A610" s="89"/>
      <c r="B610" s="88"/>
      <c r="C610" s="88"/>
      <c r="D610" s="88"/>
      <c r="E610" s="88"/>
      <c r="F610" s="88"/>
    </row>
    <row r="611" ht="15.75" customHeight="1">
      <c r="A611" s="89"/>
      <c r="B611" s="88"/>
      <c r="C611" s="88"/>
      <c r="D611" s="88"/>
      <c r="E611" s="88"/>
      <c r="F611" s="88"/>
    </row>
    <row r="612" ht="15.75" customHeight="1">
      <c r="A612" s="89"/>
      <c r="B612" s="88"/>
      <c r="C612" s="88"/>
      <c r="D612" s="88"/>
      <c r="E612" s="88"/>
      <c r="F612" s="88"/>
    </row>
    <row r="613" ht="15.75" customHeight="1">
      <c r="A613" s="89"/>
      <c r="B613" s="88"/>
      <c r="C613" s="88"/>
      <c r="D613" s="88"/>
      <c r="E613" s="88"/>
      <c r="F613" s="88"/>
    </row>
    <row r="614" ht="15.75" customHeight="1">
      <c r="A614" s="89"/>
      <c r="B614" s="88"/>
      <c r="C614" s="88"/>
      <c r="D614" s="88"/>
      <c r="E614" s="88"/>
      <c r="F614" s="88"/>
    </row>
    <row r="615" ht="15.75" customHeight="1">
      <c r="A615" s="89"/>
      <c r="B615" s="88"/>
      <c r="C615" s="88"/>
      <c r="D615" s="88"/>
      <c r="E615" s="88"/>
      <c r="F615" s="88"/>
    </row>
    <row r="616" ht="15.75" customHeight="1">
      <c r="A616" s="89"/>
      <c r="B616" s="88"/>
      <c r="C616" s="88"/>
      <c r="D616" s="88"/>
      <c r="E616" s="88"/>
      <c r="F616" s="88"/>
    </row>
    <row r="617" ht="15.75" customHeight="1">
      <c r="A617" s="89"/>
      <c r="B617" s="88"/>
      <c r="C617" s="88"/>
      <c r="D617" s="88"/>
      <c r="E617" s="88"/>
      <c r="F617" s="88"/>
    </row>
    <row r="618" ht="15.75" customHeight="1">
      <c r="A618" s="89"/>
      <c r="B618" s="88"/>
      <c r="C618" s="88"/>
      <c r="D618" s="88"/>
      <c r="E618" s="88"/>
      <c r="F618" s="88"/>
    </row>
    <row r="619" ht="15.75" customHeight="1">
      <c r="A619" s="89"/>
      <c r="B619" s="88"/>
      <c r="C619" s="88"/>
      <c r="D619" s="88"/>
      <c r="E619" s="88"/>
      <c r="F619" s="88"/>
    </row>
    <row r="620" ht="15.75" customHeight="1">
      <c r="A620" s="89"/>
      <c r="B620" s="88"/>
      <c r="C620" s="88"/>
      <c r="D620" s="88"/>
      <c r="E620" s="88"/>
      <c r="F620" s="88"/>
    </row>
    <row r="621" ht="15.75" customHeight="1">
      <c r="A621" s="89"/>
      <c r="B621" s="88"/>
      <c r="C621" s="88"/>
      <c r="D621" s="88"/>
      <c r="E621" s="88"/>
      <c r="F621" s="88"/>
    </row>
    <row r="622" ht="15.75" customHeight="1">
      <c r="A622" s="89"/>
      <c r="B622" s="88"/>
      <c r="C622" s="88"/>
      <c r="D622" s="88"/>
      <c r="E622" s="88"/>
      <c r="F622" s="88"/>
    </row>
    <row r="623" ht="15.75" customHeight="1">
      <c r="A623" s="89"/>
      <c r="B623" s="88"/>
      <c r="C623" s="88"/>
      <c r="D623" s="88"/>
      <c r="E623" s="88"/>
      <c r="F623" s="88"/>
    </row>
    <row r="624" ht="15.75" customHeight="1">
      <c r="A624" s="89"/>
      <c r="B624" s="88"/>
      <c r="C624" s="88"/>
      <c r="D624" s="88"/>
      <c r="E624" s="88"/>
      <c r="F624" s="88"/>
    </row>
    <row r="625" ht="15.75" customHeight="1">
      <c r="A625" s="89"/>
      <c r="B625" s="88"/>
      <c r="C625" s="88"/>
      <c r="D625" s="88"/>
      <c r="E625" s="88"/>
      <c r="F625" s="88"/>
    </row>
    <row r="626" ht="15.75" customHeight="1">
      <c r="A626" s="89"/>
      <c r="B626" s="88"/>
      <c r="C626" s="88"/>
      <c r="D626" s="88"/>
      <c r="E626" s="88"/>
      <c r="F626" s="88"/>
    </row>
    <row r="627" ht="15.75" customHeight="1">
      <c r="A627" s="89"/>
      <c r="B627" s="88"/>
      <c r="C627" s="88"/>
      <c r="D627" s="88"/>
      <c r="E627" s="88"/>
      <c r="F627" s="88"/>
    </row>
    <row r="628" ht="15.75" customHeight="1">
      <c r="A628" s="89"/>
      <c r="B628" s="88"/>
      <c r="C628" s="88"/>
      <c r="D628" s="88"/>
      <c r="E628" s="88"/>
      <c r="F628" s="88"/>
    </row>
    <row r="629" ht="15.75" customHeight="1">
      <c r="A629" s="89"/>
      <c r="B629" s="88"/>
      <c r="C629" s="88"/>
      <c r="D629" s="88"/>
      <c r="E629" s="88"/>
      <c r="F629" s="88"/>
    </row>
    <row r="630" ht="15.75" customHeight="1">
      <c r="A630" s="89"/>
      <c r="B630" s="88"/>
      <c r="C630" s="88"/>
      <c r="D630" s="88"/>
      <c r="E630" s="88"/>
      <c r="F630" s="88"/>
    </row>
    <row r="631" ht="15.75" customHeight="1">
      <c r="A631" s="89"/>
      <c r="B631" s="88"/>
      <c r="C631" s="88"/>
      <c r="D631" s="88"/>
      <c r="E631" s="88"/>
      <c r="F631" s="88"/>
    </row>
    <row r="632" ht="15.75" customHeight="1">
      <c r="A632" s="89"/>
      <c r="B632" s="88"/>
      <c r="C632" s="88"/>
      <c r="D632" s="88"/>
      <c r="E632" s="88"/>
      <c r="F632" s="88"/>
    </row>
    <row r="633" ht="15.75" customHeight="1">
      <c r="A633" s="89"/>
      <c r="B633" s="88"/>
      <c r="C633" s="88"/>
      <c r="D633" s="88"/>
      <c r="E633" s="88"/>
      <c r="F633" s="88"/>
    </row>
    <row r="634" ht="15.75" customHeight="1">
      <c r="A634" s="89"/>
      <c r="B634" s="88"/>
      <c r="C634" s="88"/>
      <c r="D634" s="88"/>
      <c r="E634" s="88"/>
      <c r="F634" s="88"/>
    </row>
    <row r="635" ht="15.75" customHeight="1">
      <c r="A635" s="89"/>
      <c r="B635" s="88"/>
      <c r="C635" s="88"/>
      <c r="D635" s="88"/>
      <c r="E635" s="88"/>
      <c r="F635" s="88"/>
    </row>
    <row r="636" ht="15.75" customHeight="1">
      <c r="A636" s="89"/>
      <c r="B636" s="88"/>
      <c r="C636" s="88"/>
      <c r="D636" s="88"/>
      <c r="E636" s="88"/>
      <c r="F636" s="88"/>
    </row>
    <row r="637" ht="15.75" customHeight="1">
      <c r="A637" s="89"/>
      <c r="B637" s="88"/>
      <c r="C637" s="88"/>
      <c r="D637" s="88"/>
      <c r="E637" s="88"/>
      <c r="F637" s="88"/>
    </row>
    <row r="638" ht="15.75" customHeight="1">
      <c r="A638" s="89"/>
      <c r="B638" s="88"/>
      <c r="C638" s="88"/>
      <c r="D638" s="88"/>
      <c r="E638" s="88"/>
      <c r="F638" s="88"/>
    </row>
    <row r="639" ht="15.75" customHeight="1">
      <c r="A639" s="89"/>
      <c r="B639" s="88"/>
      <c r="C639" s="88"/>
      <c r="D639" s="88"/>
      <c r="E639" s="88"/>
      <c r="F639" s="88"/>
    </row>
    <row r="640" ht="15.75" customHeight="1">
      <c r="A640" s="89"/>
      <c r="B640" s="88"/>
      <c r="C640" s="88"/>
      <c r="D640" s="88"/>
      <c r="E640" s="88"/>
      <c r="F640" s="88"/>
    </row>
    <row r="641" ht="15.75" customHeight="1">
      <c r="A641" s="89"/>
      <c r="B641" s="88"/>
      <c r="C641" s="88"/>
      <c r="D641" s="88"/>
      <c r="E641" s="88"/>
      <c r="F641" s="88"/>
    </row>
    <row r="642" ht="15.75" customHeight="1">
      <c r="A642" s="89"/>
      <c r="B642" s="88"/>
      <c r="C642" s="88"/>
      <c r="D642" s="88"/>
      <c r="E642" s="88"/>
      <c r="F642" s="88"/>
    </row>
    <row r="643" ht="15.75" customHeight="1">
      <c r="A643" s="89"/>
      <c r="B643" s="88"/>
      <c r="C643" s="88"/>
      <c r="D643" s="88"/>
      <c r="E643" s="88"/>
      <c r="F643" s="88"/>
    </row>
    <row r="644" ht="15.75" customHeight="1">
      <c r="A644" s="89"/>
      <c r="B644" s="88"/>
      <c r="C644" s="88"/>
      <c r="D644" s="88"/>
      <c r="E644" s="88"/>
      <c r="F644" s="88"/>
    </row>
    <row r="645" ht="15.75" customHeight="1">
      <c r="A645" s="89"/>
      <c r="B645" s="88"/>
      <c r="C645" s="88"/>
      <c r="D645" s="88"/>
      <c r="E645" s="88"/>
      <c r="F645" s="88"/>
    </row>
    <row r="646" ht="15.75" customHeight="1">
      <c r="A646" s="89"/>
      <c r="B646" s="88"/>
      <c r="C646" s="88"/>
      <c r="D646" s="88"/>
      <c r="E646" s="88"/>
      <c r="F646" s="88"/>
    </row>
    <row r="647" ht="15.75" customHeight="1">
      <c r="A647" s="89"/>
      <c r="B647" s="88"/>
      <c r="C647" s="88"/>
      <c r="D647" s="88"/>
      <c r="E647" s="88"/>
      <c r="F647" s="88"/>
    </row>
    <row r="648" ht="15.75" customHeight="1">
      <c r="A648" s="89"/>
      <c r="B648" s="88"/>
      <c r="C648" s="88"/>
      <c r="D648" s="88"/>
      <c r="E648" s="88"/>
      <c r="F648" s="88"/>
    </row>
    <row r="649" ht="15.75" customHeight="1">
      <c r="A649" s="89"/>
      <c r="B649" s="88"/>
      <c r="C649" s="88"/>
      <c r="D649" s="88"/>
      <c r="E649" s="88"/>
      <c r="F649" s="88"/>
    </row>
    <row r="650" ht="15.75" customHeight="1">
      <c r="A650" s="89"/>
      <c r="B650" s="88"/>
      <c r="C650" s="88"/>
      <c r="D650" s="88"/>
      <c r="E650" s="88"/>
      <c r="F650" s="88"/>
    </row>
    <row r="651" ht="15.75" customHeight="1">
      <c r="A651" s="89"/>
      <c r="B651" s="88"/>
      <c r="C651" s="88"/>
      <c r="D651" s="88"/>
      <c r="E651" s="88"/>
      <c r="F651" s="88"/>
    </row>
    <row r="652" ht="15.75" customHeight="1">
      <c r="A652" s="89"/>
      <c r="B652" s="88"/>
      <c r="C652" s="88"/>
      <c r="D652" s="88"/>
      <c r="E652" s="88"/>
      <c r="F652" s="88"/>
    </row>
    <row r="653" ht="15.75" customHeight="1">
      <c r="A653" s="89"/>
      <c r="B653" s="88"/>
      <c r="C653" s="88"/>
      <c r="D653" s="88"/>
      <c r="E653" s="88"/>
      <c r="F653" s="88"/>
    </row>
    <row r="654" ht="15.75" customHeight="1">
      <c r="A654" s="89"/>
      <c r="B654" s="88"/>
      <c r="C654" s="88"/>
      <c r="D654" s="88"/>
      <c r="E654" s="88"/>
      <c r="F654" s="88"/>
    </row>
    <row r="655" ht="15.75" customHeight="1">
      <c r="A655" s="89"/>
      <c r="B655" s="88"/>
      <c r="C655" s="88"/>
      <c r="D655" s="88"/>
      <c r="E655" s="88"/>
      <c r="F655" s="88"/>
    </row>
    <row r="656" ht="15.75" customHeight="1">
      <c r="A656" s="89"/>
      <c r="B656" s="88"/>
      <c r="C656" s="88"/>
      <c r="D656" s="88"/>
      <c r="E656" s="88"/>
      <c r="F656" s="88"/>
    </row>
    <row r="657" ht="15.75" customHeight="1">
      <c r="A657" s="89"/>
      <c r="B657" s="88"/>
      <c r="C657" s="88"/>
      <c r="D657" s="88"/>
      <c r="E657" s="88"/>
      <c r="F657" s="88"/>
    </row>
    <row r="658" ht="15.75" customHeight="1">
      <c r="A658" s="89"/>
      <c r="B658" s="88"/>
      <c r="C658" s="88"/>
      <c r="D658" s="88"/>
      <c r="E658" s="88"/>
      <c r="F658" s="88"/>
    </row>
    <row r="659" ht="15.75" customHeight="1">
      <c r="A659" s="89"/>
      <c r="B659" s="88"/>
      <c r="C659" s="88"/>
      <c r="D659" s="88"/>
      <c r="E659" s="88"/>
      <c r="F659" s="88"/>
    </row>
    <row r="660" ht="15.75" customHeight="1">
      <c r="A660" s="89"/>
      <c r="B660" s="88"/>
      <c r="C660" s="88"/>
      <c r="D660" s="88"/>
      <c r="E660" s="88"/>
      <c r="F660" s="88"/>
    </row>
    <row r="661" ht="15.75" customHeight="1">
      <c r="A661" s="89"/>
      <c r="B661" s="88"/>
      <c r="C661" s="88"/>
      <c r="D661" s="88"/>
      <c r="E661" s="88"/>
      <c r="F661" s="88"/>
    </row>
    <row r="662" ht="15.75" customHeight="1">
      <c r="A662" s="89"/>
      <c r="B662" s="88"/>
      <c r="C662" s="88"/>
      <c r="D662" s="88"/>
      <c r="E662" s="88"/>
      <c r="F662" s="88"/>
    </row>
    <row r="663" ht="15.75" customHeight="1">
      <c r="A663" s="89"/>
      <c r="B663" s="88"/>
      <c r="C663" s="88"/>
      <c r="D663" s="88"/>
      <c r="E663" s="88"/>
      <c r="F663" s="88"/>
    </row>
    <row r="664" ht="15.75" customHeight="1">
      <c r="A664" s="89"/>
      <c r="B664" s="88"/>
      <c r="C664" s="88"/>
      <c r="D664" s="88"/>
      <c r="E664" s="88"/>
      <c r="F664" s="88"/>
    </row>
    <row r="665" ht="15.75" customHeight="1">
      <c r="A665" s="89"/>
      <c r="B665" s="88"/>
      <c r="C665" s="88"/>
      <c r="D665" s="88"/>
      <c r="E665" s="88"/>
      <c r="F665" s="88"/>
    </row>
    <row r="666" ht="15.75" customHeight="1">
      <c r="A666" s="89"/>
      <c r="B666" s="88"/>
      <c r="C666" s="88"/>
      <c r="D666" s="88"/>
      <c r="E666" s="88"/>
      <c r="F666" s="88"/>
    </row>
    <row r="667" ht="15.75" customHeight="1">
      <c r="A667" s="89"/>
      <c r="B667" s="88"/>
      <c r="C667" s="88"/>
      <c r="D667" s="88"/>
      <c r="E667" s="88"/>
      <c r="F667" s="88"/>
    </row>
    <row r="668" ht="15.75" customHeight="1">
      <c r="A668" s="89"/>
      <c r="B668" s="88"/>
      <c r="C668" s="88"/>
      <c r="D668" s="88"/>
      <c r="E668" s="88"/>
      <c r="F668" s="88"/>
    </row>
    <row r="669" ht="15.75" customHeight="1">
      <c r="A669" s="89"/>
      <c r="B669" s="88"/>
      <c r="C669" s="88"/>
      <c r="D669" s="88"/>
      <c r="E669" s="88"/>
      <c r="F669" s="88"/>
    </row>
    <row r="670" ht="15.75" customHeight="1">
      <c r="A670" s="89"/>
      <c r="B670" s="88"/>
      <c r="C670" s="88"/>
      <c r="D670" s="88"/>
      <c r="E670" s="88"/>
      <c r="F670" s="88"/>
    </row>
    <row r="671" ht="15.75" customHeight="1">
      <c r="A671" s="89"/>
      <c r="B671" s="88"/>
      <c r="C671" s="88"/>
      <c r="D671" s="88"/>
      <c r="E671" s="88"/>
      <c r="F671" s="88"/>
    </row>
    <row r="672" ht="15.75" customHeight="1">
      <c r="A672" s="89"/>
      <c r="B672" s="88"/>
      <c r="C672" s="88"/>
      <c r="D672" s="88"/>
      <c r="E672" s="88"/>
      <c r="F672" s="88"/>
    </row>
    <row r="673" ht="15.75" customHeight="1">
      <c r="A673" s="89"/>
      <c r="B673" s="88"/>
      <c r="C673" s="88"/>
      <c r="D673" s="88"/>
      <c r="E673" s="88"/>
      <c r="F673" s="88"/>
    </row>
    <row r="674" ht="15.75" customHeight="1">
      <c r="A674" s="89"/>
      <c r="B674" s="88"/>
      <c r="C674" s="88"/>
      <c r="D674" s="88"/>
      <c r="E674" s="88"/>
      <c r="F674" s="88"/>
    </row>
    <row r="675" ht="15.75" customHeight="1">
      <c r="A675" s="89"/>
      <c r="B675" s="88"/>
      <c r="C675" s="88"/>
      <c r="D675" s="88"/>
      <c r="E675" s="88"/>
      <c r="F675" s="88"/>
    </row>
    <row r="676" ht="15.75" customHeight="1">
      <c r="A676" s="89"/>
      <c r="B676" s="88"/>
      <c r="C676" s="88"/>
      <c r="D676" s="88"/>
      <c r="E676" s="88"/>
      <c r="F676" s="88"/>
    </row>
    <row r="677" ht="15.75" customHeight="1">
      <c r="A677" s="89"/>
      <c r="B677" s="88"/>
      <c r="C677" s="88"/>
      <c r="D677" s="88"/>
      <c r="E677" s="88"/>
      <c r="F677" s="88"/>
    </row>
    <row r="678" ht="15.75" customHeight="1">
      <c r="A678" s="89"/>
      <c r="B678" s="88"/>
      <c r="C678" s="88"/>
      <c r="D678" s="88"/>
      <c r="E678" s="88"/>
      <c r="F678" s="88"/>
    </row>
    <row r="679" ht="15.75" customHeight="1">
      <c r="A679" s="89"/>
      <c r="B679" s="88"/>
      <c r="C679" s="88"/>
      <c r="D679" s="88"/>
      <c r="E679" s="88"/>
      <c r="F679" s="88"/>
    </row>
    <row r="680" ht="15.75" customHeight="1">
      <c r="A680" s="89"/>
      <c r="B680" s="88"/>
      <c r="C680" s="88"/>
      <c r="D680" s="88"/>
      <c r="E680" s="88"/>
      <c r="F680" s="88"/>
    </row>
    <row r="681" ht="15.75" customHeight="1">
      <c r="A681" s="89"/>
      <c r="B681" s="88"/>
      <c r="C681" s="88"/>
      <c r="D681" s="88"/>
      <c r="E681" s="88"/>
      <c r="F681" s="88"/>
    </row>
    <row r="682" ht="15.75" customHeight="1">
      <c r="A682" s="89"/>
      <c r="B682" s="88"/>
      <c r="C682" s="88"/>
      <c r="D682" s="88"/>
      <c r="E682" s="88"/>
      <c r="F682" s="88"/>
    </row>
    <row r="683" ht="15.75" customHeight="1">
      <c r="A683" s="89"/>
      <c r="B683" s="88"/>
      <c r="C683" s="88"/>
      <c r="D683" s="88"/>
      <c r="E683" s="88"/>
      <c r="F683" s="88"/>
    </row>
    <row r="684" ht="15.75" customHeight="1">
      <c r="A684" s="89"/>
      <c r="B684" s="88"/>
      <c r="C684" s="88"/>
      <c r="D684" s="88"/>
      <c r="E684" s="88"/>
      <c r="F684" s="88"/>
    </row>
    <row r="685" ht="15.75" customHeight="1">
      <c r="A685" s="89"/>
      <c r="B685" s="88"/>
      <c r="C685" s="88"/>
      <c r="D685" s="88"/>
      <c r="E685" s="88"/>
      <c r="F685" s="88"/>
    </row>
    <row r="686" ht="15.75" customHeight="1">
      <c r="A686" s="89"/>
      <c r="B686" s="88"/>
      <c r="C686" s="88"/>
      <c r="D686" s="88"/>
      <c r="E686" s="88"/>
      <c r="F686" s="88"/>
    </row>
    <row r="687" ht="15.75" customHeight="1">
      <c r="A687" s="89"/>
      <c r="B687" s="88"/>
      <c r="C687" s="88"/>
      <c r="D687" s="88"/>
      <c r="E687" s="88"/>
      <c r="F687" s="88"/>
    </row>
    <row r="688" ht="15.75" customHeight="1">
      <c r="A688" s="89"/>
      <c r="B688" s="88"/>
      <c r="C688" s="88"/>
      <c r="D688" s="88"/>
      <c r="E688" s="88"/>
      <c r="F688" s="88"/>
    </row>
    <row r="689" ht="15.75" customHeight="1">
      <c r="A689" s="89"/>
      <c r="B689" s="88"/>
      <c r="C689" s="88"/>
      <c r="D689" s="88"/>
      <c r="E689" s="88"/>
      <c r="F689" s="88"/>
    </row>
    <row r="690" ht="15.75" customHeight="1">
      <c r="A690" s="89"/>
      <c r="B690" s="88"/>
      <c r="C690" s="88"/>
      <c r="D690" s="88"/>
      <c r="E690" s="88"/>
      <c r="F690" s="88"/>
    </row>
    <row r="691" ht="15.75" customHeight="1">
      <c r="A691" s="89"/>
      <c r="B691" s="88"/>
      <c r="C691" s="88"/>
      <c r="D691" s="88"/>
      <c r="E691" s="88"/>
      <c r="F691" s="88"/>
    </row>
    <row r="692" ht="15.75" customHeight="1">
      <c r="A692" s="89"/>
      <c r="B692" s="88"/>
      <c r="C692" s="88"/>
      <c r="D692" s="88"/>
      <c r="E692" s="88"/>
      <c r="F692" s="88"/>
    </row>
    <row r="693" ht="15.75" customHeight="1">
      <c r="A693" s="89"/>
      <c r="B693" s="88"/>
      <c r="C693" s="88"/>
      <c r="D693" s="88"/>
      <c r="E693" s="88"/>
      <c r="F693" s="88"/>
    </row>
    <row r="694" ht="15.75" customHeight="1">
      <c r="A694" s="89"/>
      <c r="B694" s="88"/>
      <c r="C694" s="88"/>
      <c r="D694" s="88"/>
      <c r="E694" s="88"/>
      <c r="F694" s="88"/>
    </row>
    <row r="695" ht="15.75" customHeight="1">
      <c r="A695" s="89"/>
      <c r="B695" s="88"/>
      <c r="C695" s="88"/>
      <c r="D695" s="88"/>
      <c r="E695" s="88"/>
      <c r="F695" s="88"/>
    </row>
    <row r="696" ht="15.75" customHeight="1">
      <c r="A696" s="89"/>
      <c r="B696" s="88"/>
      <c r="C696" s="88"/>
      <c r="D696" s="88"/>
      <c r="E696" s="88"/>
      <c r="F696" s="88"/>
    </row>
    <row r="697" ht="15.75" customHeight="1">
      <c r="A697" s="89"/>
      <c r="B697" s="88"/>
      <c r="C697" s="88"/>
      <c r="D697" s="88"/>
      <c r="E697" s="88"/>
      <c r="F697" s="88"/>
    </row>
    <row r="698" ht="15.75" customHeight="1">
      <c r="A698" s="89"/>
      <c r="B698" s="88"/>
      <c r="C698" s="88"/>
      <c r="D698" s="88"/>
      <c r="E698" s="88"/>
      <c r="F698" s="88"/>
    </row>
    <row r="699" ht="15.75" customHeight="1">
      <c r="A699" s="89"/>
      <c r="B699" s="88"/>
      <c r="C699" s="88"/>
      <c r="D699" s="88"/>
      <c r="E699" s="88"/>
      <c r="F699" s="88"/>
    </row>
    <row r="700" ht="15.75" customHeight="1">
      <c r="A700" s="89"/>
      <c r="B700" s="88"/>
      <c r="C700" s="88"/>
      <c r="D700" s="88"/>
      <c r="E700" s="88"/>
      <c r="F700" s="88"/>
    </row>
    <row r="701" ht="15.75" customHeight="1">
      <c r="A701" s="89"/>
      <c r="B701" s="88"/>
      <c r="C701" s="88"/>
      <c r="D701" s="88"/>
      <c r="E701" s="88"/>
      <c r="F701" s="88"/>
    </row>
    <row r="702" ht="15.75" customHeight="1">
      <c r="A702" s="89"/>
      <c r="B702" s="88"/>
      <c r="C702" s="88"/>
      <c r="D702" s="88"/>
      <c r="E702" s="88"/>
      <c r="F702" s="88"/>
    </row>
    <row r="703" ht="15.75" customHeight="1">
      <c r="A703" s="89"/>
      <c r="B703" s="88"/>
      <c r="C703" s="88"/>
      <c r="D703" s="88"/>
      <c r="E703" s="88"/>
      <c r="F703" s="88"/>
    </row>
    <row r="704" ht="15.75" customHeight="1">
      <c r="A704" s="89"/>
      <c r="B704" s="88"/>
      <c r="C704" s="88"/>
      <c r="D704" s="88"/>
      <c r="E704" s="88"/>
      <c r="F704" s="88"/>
    </row>
    <row r="705" ht="15.75" customHeight="1">
      <c r="A705" s="89"/>
      <c r="B705" s="88"/>
      <c r="C705" s="88"/>
      <c r="D705" s="88"/>
      <c r="E705" s="88"/>
      <c r="F705" s="88"/>
    </row>
    <row r="706" ht="15.75" customHeight="1">
      <c r="A706" s="89"/>
      <c r="B706" s="88"/>
      <c r="C706" s="88"/>
      <c r="D706" s="88"/>
      <c r="E706" s="88"/>
      <c r="F706" s="88"/>
    </row>
    <row r="707" ht="15.75" customHeight="1">
      <c r="A707" s="89"/>
      <c r="B707" s="88"/>
      <c r="C707" s="88"/>
      <c r="D707" s="88"/>
      <c r="E707" s="88"/>
      <c r="F707" s="88"/>
    </row>
    <row r="708" ht="15.75" customHeight="1">
      <c r="A708" s="89"/>
      <c r="B708" s="88"/>
      <c r="C708" s="88"/>
      <c r="D708" s="88"/>
      <c r="E708" s="88"/>
      <c r="F708" s="88"/>
    </row>
    <row r="709" ht="15.75" customHeight="1">
      <c r="A709" s="89"/>
      <c r="B709" s="88"/>
      <c r="C709" s="88"/>
      <c r="D709" s="88"/>
      <c r="E709" s="88"/>
      <c r="F709" s="88"/>
    </row>
    <row r="710" ht="15.75" customHeight="1">
      <c r="A710" s="89"/>
      <c r="B710" s="88"/>
      <c r="C710" s="88"/>
      <c r="D710" s="88"/>
      <c r="E710" s="88"/>
      <c r="F710" s="88"/>
    </row>
    <row r="711" ht="15.75" customHeight="1">
      <c r="A711" s="89"/>
      <c r="B711" s="88"/>
      <c r="C711" s="88"/>
      <c r="D711" s="88"/>
      <c r="E711" s="88"/>
      <c r="F711" s="88"/>
    </row>
    <row r="712" ht="15.75" customHeight="1">
      <c r="A712" s="89"/>
      <c r="B712" s="88"/>
      <c r="C712" s="88"/>
      <c r="D712" s="88"/>
      <c r="E712" s="88"/>
      <c r="F712" s="88"/>
    </row>
    <row r="713" ht="15.75" customHeight="1">
      <c r="A713" s="89"/>
      <c r="B713" s="88"/>
      <c r="C713" s="88"/>
      <c r="D713" s="88"/>
      <c r="E713" s="88"/>
      <c r="F713" s="88"/>
    </row>
    <row r="714" ht="15.75" customHeight="1">
      <c r="A714" s="89"/>
      <c r="B714" s="88"/>
      <c r="C714" s="88"/>
      <c r="D714" s="88"/>
      <c r="E714" s="88"/>
      <c r="F714" s="88"/>
    </row>
    <row r="715" ht="15.75" customHeight="1">
      <c r="A715" s="89"/>
      <c r="B715" s="88"/>
      <c r="C715" s="88"/>
      <c r="D715" s="88"/>
      <c r="E715" s="88"/>
      <c r="F715" s="88"/>
    </row>
    <row r="716" ht="15.75" customHeight="1">
      <c r="A716" s="89"/>
      <c r="B716" s="88"/>
      <c r="C716" s="88"/>
      <c r="D716" s="88"/>
      <c r="E716" s="88"/>
      <c r="F716" s="88"/>
    </row>
    <row r="717" ht="15.75" customHeight="1">
      <c r="A717" s="89"/>
      <c r="B717" s="88"/>
      <c r="C717" s="88"/>
      <c r="D717" s="88"/>
      <c r="E717" s="88"/>
      <c r="F717" s="88"/>
    </row>
    <row r="718" ht="15.75" customHeight="1">
      <c r="A718" s="89"/>
      <c r="B718" s="88"/>
      <c r="C718" s="88"/>
      <c r="D718" s="88"/>
      <c r="E718" s="88"/>
      <c r="F718" s="88"/>
    </row>
    <row r="719" ht="15.75" customHeight="1">
      <c r="A719" s="89"/>
      <c r="B719" s="88"/>
      <c r="C719" s="88"/>
      <c r="D719" s="88"/>
      <c r="E719" s="88"/>
      <c r="F719" s="88"/>
    </row>
    <row r="720" ht="15.75" customHeight="1">
      <c r="A720" s="89"/>
      <c r="B720" s="88"/>
      <c r="C720" s="88"/>
      <c r="D720" s="88"/>
      <c r="E720" s="88"/>
      <c r="F720" s="88"/>
    </row>
    <row r="721" ht="15.75" customHeight="1">
      <c r="A721" s="89"/>
      <c r="B721" s="88"/>
      <c r="C721" s="88"/>
      <c r="D721" s="88"/>
      <c r="E721" s="88"/>
      <c r="F721" s="88"/>
    </row>
    <row r="722" ht="15.75" customHeight="1">
      <c r="A722" s="89"/>
      <c r="B722" s="88"/>
      <c r="C722" s="88"/>
      <c r="D722" s="88"/>
      <c r="E722" s="88"/>
      <c r="F722" s="88"/>
    </row>
    <row r="723" ht="15.75" customHeight="1">
      <c r="A723" s="89"/>
      <c r="B723" s="88"/>
      <c r="C723" s="88"/>
      <c r="D723" s="88"/>
      <c r="E723" s="88"/>
      <c r="F723" s="88"/>
    </row>
    <row r="724" ht="15.75" customHeight="1">
      <c r="A724" s="89"/>
      <c r="B724" s="88"/>
      <c r="C724" s="88"/>
      <c r="D724" s="88"/>
      <c r="E724" s="88"/>
      <c r="F724" s="88"/>
    </row>
    <row r="725" ht="15.75" customHeight="1">
      <c r="A725" s="89"/>
      <c r="B725" s="88"/>
      <c r="C725" s="88"/>
      <c r="D725" s="88"/>
      <c r="E725" s="88"/>
      <c r="F725" s="88"/>
    </row>
    <row r="726" ht="15.75" customHeight="1">
      <c r="A726" s="89"/>
      <c r="B726" s="88"/>
      <c r="C726" s="88"/>
      <c r="D726" s="88"/>
      <c r="E726" s="88"/>
      <c r="F726" s="88"/>
    </row>
    <row r="727" ht="15.75" customHeight="1">
      <c r="A727" s="89"/>
      <c r="B727" s="88"/>
      <c r="C727" s="88"/>
      <c r="D727" s="88"/>
      <c r="E727" s="88"/>
      <c r="F727" s="88"/>
    </row>
    <row r="728" ht="15.75" customHeight="1">
      <c r="A728" s="89"/>
      <c r="B728" s="88"/>
      <c r="C728" s="88"/>
      <c r="D728" s="88"/>
      <c r="E728" s="88"/>
      <c r="F728" s="88"/>
    </row>
    <row r="729" ht="15.75" customHeight="1">
      <c r="A729" s="89"/>
      <c r="B729" s="88"/>
      <c r="C729" s="88"/>
      <c r="D729" s="88"/>
      <c r="E729" s="88"/>
      <c r="F729" s="88"/>
    </row>
    <row r="730" ht="15.75" customHeight="1">
      <c r="A730" s="89"/>
      <c r="B730" s="88"/>
      <c r="C730" s="88"/>
      <c r="D730" s="88"/>
      <c r="E730" s="88"/>
      <c r="F730" s="88"/>
    </row>
    <row r="731" ht="15.75" customHeight="1">
      <c r="A731" s="89"/>
      <c r="B731" s="88"/>
      <c r="C731" s="88"/>
      <c r="D731" s="88"/>
      <c r="E731" s="88"/>
      <c r="F731" s="88"/>
    </row>
    <row r="732" ht="15.75" customHeight="1">
      <c r="A732" s="89"/>
      <c r="B732" s="88"/>
      <c r="C732" s="88"/>
      <c r="D732" s="88"/>
      <c r="E732" s="88"/>
      <c r="F732" s="88"/>
    </row>
    <row r="733" ht="15.75" customHeight="1">
      <c r="A733" s="89"/>
      <c r="B733" s="88"/>
      <c r="C733" s="88"/>
      <c r="D733" s="88"/>
      <c r="E733" s="88"/>
      <c r="F733" s="88"/>
    </row>
    <row r="734" ht="15.75" customHeight="1">
      <c r="A734" s="89"/>
      <c r="B734" s="88"/>
      <c r="C734" s="88"/>
      <c r="D734" s="88"/>
      <c r="E734" s="88"/>
      <c r="F734" s="88"/>
    </row>
    <row r="735" ht="15.75" customHeight="1">
      <c r="A735" s="89"/>
      <c r="B735" s="88"/>
      <c r="C735" s="88"/>
      <c r="D735" s="88"/>
      <c r="E735" s="88"/>
      <c r="F735" s="88"/>
    </row>
    <row r="736" ht="15.75" customHeight="1">
      <c r="A736" s="89"/>
      <c r="B736" s="88"/>
      <c r="C736" s="88"/>
      <c r="D736" s="88"/>
      <c r="E736" s="88"/>
      <c r="F736" s="88"/>
    </row>
    <row r="737" ht="15.75" customHeight="1">
      <c r="A737" s="89"/>
      <c r="B737" s="88"/>
      <c r="C737" s="88"/>
      <c r="D737" s="88"/>
      <c r="E737" s="88"/>
      <c r="F737" s="88"/>
    </row>
    <row r="738" ht="15.75" customHeight="1">
      <c r="A738" s="89"/>
      <c r="B738" s="88"/>
      <c r="C738" s="88"/>
      <c r="D738" s="88"/>
      <c r="E738" s="88"/>
      <c r="F738" s="88"/>
    </row>
    <row r="739" ht="15.75" customHeight="1">
      <c r="A739" s="89"/>
      <c r="B739" s="88"/>
      <c r="C739" s="88"/>
      <c r="D739" s="88"/>
      <c r="E739" s="88"/>
      <c r="F739" s="88"/>
    </row>
    <row r="740" ht="15.75" customHeight="1">
      <c r="A740" s="89"/>
      <c r="B740" s="88"/>
      <c r="C740" s="88"/>
      <c r="D740" s="88"/>
      <c r="E740" s="88"/>
      <c r="F740" s="88"/>
    </row>
    <row r="741" ht="15.75" customHeight="1">
      <c r="A741" s="89"/>
      <c r="B741" s="88"/>
      <c r="C741" s="88"/>
      <c r="D741" s="88"/>
      <c r="E741" s="88"/>
      <c r="F741" s="88"/>
    </row>
    <row r="742" ht="15.75" customHeight="1">
      <c r="A742" s="89"/>
      <c r="B742" s="88"/>
      <c r="C742" s="88"/>
      <c r="D742" s="88"/>
      <c r="E742" s="88"/>
      <c r="F742" s="88"/>
    </row>
    <row r="743" ht="15.75" customHeight="1">
      <c r="A743" s="89"/>
      <c r="B743" s="88"/>
      <c r="C743" s="88"/>
      <c r="D743" s="88"/>
      <c r="E743" s="88"/>
      <c r="F743" s="88"/>
    </row>
    <row r="744" ht="15.75" customHeight="1">
      <c r="A744" s="89"/>
      <c r="B744" s="88"/>
      <c r="C744" s="88"/>
      <c r="D744" s="88"/>
      <c r="E744" s="88"/>
      <c r="F744" s="88"/>
    </row>
    <row r="745" ht="15.75" customHeight="1">
      <c r="A745" s="89"/>
      <c r="B745" s="88"/>
      <c r="C745" s="88"/>
      <c r="D745" s="88"/>
      <c r="E745" s="88"/>
      <c r="F745" s="88"/>
    </row>
    <row r="746" ht="15.75" customHeight="1">
      <c r="A746" s="89"/>
      <c r="B746" s="88"/>
      <c r="C746" s="88"/>
      <c r="D746" s="88"/>
      <c r="E746" s="88"/>
      <c r="F746" s="88"/>
    </row>
    <row r="747" ht="15.75" customHeight="1">
      <c r="A747" s="89"/>
      <c r="B747" s="88"/>
      <c r="C747" s="88"/>
      <c r="D747" s="88"/>
      <c r="E747" s="88"/>
      <c r="F747" s="88"/>
    </row>
    <row r="748" ht="15.75" customHeight="1">
      <c r="A748" s="89"/>
      <c r="B748" s="88"/>
      <c r="C748" s="88"/>
      <c r="D748" s="88"/>
      <c r="E748" s="88"/>
      <c r="F748" s="88"/>
    </row>
    <row r="749" ht="15.75" customHeight="1">
      <c r="A749" s="89"/>
      <c r="B749" s="88"/>
      <c r="C749" s="88"/>
      <c r="D749" s="88"/>
      <c r="E749" s="88"/>
      <c r="F749" s="88"/>
    </row>
    <row r="750" ht="15.75" customHeight="1">
      <c r="A750" s="89"/>
      <c r="B750" s="88"/>
      <c r="C750" s="88"/>
      <c r="D750" s="88"/>
      <c r="E750" s="88"/>
      <c r="F750" s="88"/>
    </row>
    <row r="751" ht="15.75" customHeight="1">
      <c r="A751" s="89"/>
      <c r="B751" s="88"/>
      <c r="C751" s="88"/>
      <c r="D751" s="88"/>
      <c r="E751" s="88"/>
      <c r="F751" s="88"/>
    </row>
    <row r="752" ht="15.75" customHeight="1">
      <c r="A752" s="89"/>
      <c r="B752" s="88"/>
      <c r="C752" s="88"/>
      <c r="D752" s="88"/>
      <c r="E752" s="88"/>
      <c r="F752" s="88"/>
    </row>
    <row r="753" ht="15.75" customHeight="1">
      <c r="A753" s="89"/>
      <c r="B753" s="88"/>
      <c r="C753" s="88"/>
      <c r="D753" s="88"/>
      <c r="E753" s="88"/>
      <c r="F753" s="88"/>
    </row>
    <row r="754" ht="15.75" customHeight="1">
      <c r="A754" s="89"/>
      <c r="B754" s="88"/>
      <c r="C754" s="88"/>
      <c r="D754" s="88"/>
      <c r="E754" s="88"/>
      <c r="F754" s="88"/>
    </row>
    <row r="755" ht="15.75" customHeight="1">
      <c r="A755" s="89"/>
      <c r="B755" s="88"/>
      <c r="C755" s="88"/>
      <c r="D755" s="88"/>
      <c r="E755" s="88"/>
      <c r="F755" s="88"/>
    </row>
    <row r="756" ht="15.75" customHeight="1">
      <c r="A756" s="89"/>
      <c r="B756" s="88"/>
      <c r="C756" s="88"/>
      <c r="D756" s="88"/>
      <c r="E756" s="88"/>
      <c r="F756" s="88"/>
    </row>
    <row r="757" ht="15.75" customHeight="1">
      <c r="A757" s="89"/>
      <c r="B757" s="88"/>
      <c r="C757" s="88"/>
      <c r="D757" s="88"/>
      <c r="E757" s="88"/>
      <c r="F757" s="88"/>
    </row>
    <row r="758" ht="15.75" customHeight="1">
      <c r="A758" s="89"/>
      <c r="B758" s="88"/>
      <c r="C758" s="88"/>
      <c r="D758" s="88"/>
      <c r="E758" s="88"/>
      <c r="F758" s="88"/>
    </row>
    <row r="759" ht="15.75" customHeight="1">
      <c r="A759" s="89"/>
      <c r="B759" s="88"/>
      <c r="C759" s="88"/>
      <c r="D759" s="88"/>
      <c r="E759" s="88"/>
      <c r="F759" s="88"/>
    </row>
    <row r="760" ht="15.75" customHeight="1">
      <c r="A760" s="89"/>
      <c r="B760" s="88"/>
      <c r="C760" s="88"/>
      <c r="D760" s="88"/>
      <c r="E760" s="88"/>
      <c r="F760" s="88"/>
    </row>
    <row r="761" ht="15.75" customHeight="1">
      <c r="A761" s="89"/>
      <c r="B761" s="88"/>
      <c r="C761" s="88"/>
      <c r="D761" s="88"/>
      <c r="E761" s="88"/>
      <c r="F761" s="88"/>
    </row>
    <row r="762" ht="15.75" customHeight="1">
      <c r="A762" s="89"/>
      <c r="B762" s="88"/>
      <c r="C762" s="88"/>
      <c r="D762" s="88"/>
      <c r="E762" s="88"/>
      <c r="F762" s="88"/>
    </row>
    <row r="763" ht="15.75" customHeight="1">
      <c r="A763" s="89"/>
      <c r="B763" s="88"/>
      <c r="C763" s="88"/>
      <c r="D763" s="88"/>
      <c r="E763" s="88"/>
      <c r="F763" s="88"/>
    </row>
    <row r="764" ht="15.75" customHeight="1">
      <c r="A764" s="89"/>
      <c r="B764" s="88"/>
      <c r="C764" s="88"/>
      <c r="D764" s="88"/>
      <c r="E764" s="88"/>
      <c r="F764" s="88"/>
    </row>
    <row r="765" ht="15.75" customHeight="1">
      <c r="A765" s="89"/>
      <c r="B765" s="88"/>
      <c r="C765" s="88"/>
      <c r="D765" s="88"/>
      <c r="E765" s="88"/>
      <c r="F765" s="88"/>
    </row>
    <row r="766" ht="15.75" customHeight="1">
      <c r="A766" s="89"/>
      <c r="B766" s="88"/>
      <c r="C766" s="88"/>
      <c r="D766" s="88"/>
      <c r="E766" s="88"/>
      <c r="F766" s="88"/>
    </row>
    <row r="767" ht="15.75" customHeight="1">
      <c r="A767" s="89"/>
      <c r="B767" s="88"/>
      <c r="C767" s="88"/>
      <c r="D767" s="88"/>
      <c r="E767" s="88"/>
      <c r="F767" s="88"/>
    </row>
    <row r="768" ht="15.75" customHeight="1">
      <c r="A768" s="89"/>
      <c r="B768" s="88"/>
      <c r="C768" s="88"/>
      <c r="D768" s="88"/>
      <c r="E768" s="88"/>
      <c r="F768" s="88"/>
    </row>
    <row r="769" ht="15.75" customHeight="1">
      <c r="A769" s="89"/>
      <c r="B769" s="88"/>
      <c r="C769" s="88"/>
      <c r="D769" s="88"/>
      <c r="E769" s="88"/>
      <c r="F769" s="88"/>
    </row>
    <row r="770" ht="15.75" customHeight="1">
      <c r="A770" s="89"/>
      <c r="B770" s="88"/>
      <c r="C770" s="88"/>
      <c r="D770" s="88"/>
      <c r="E770" s="88"/>
      <c r="F770" s="88"/>
    </row>
    <row r="771" ht="15.75" customHeight="1">
      <c r="A771" s="89"/>
      <c r="B771" s="88"/>
      <c r="C771" s="88"/>
      <c r="D771" s="88"/>
      <c r="E771" s="88"/>
      <c r="F771" s="88"/>
    </row>
    <row r="772" ht="15.75" customHeight="1">
      <c r="A772" s="89"/>
      <c r="B772" s="88"/>
      <c r="C772" s="88"/>
      <c r="D772" s="88"/>
      <c r="E772" s="88"/>
      <c r="F772" s="88"/>
    </row>
    <row r="773" ht="15.75" customHeight="1">
      <c r="A773" s="89"/>
      <c r="B773" s="88"/>
      <c r="C773" s="88"/>
      <c r="D773" s="88"/>
      <c r="E773" s="88"/>
      <c r="F773" s="88"/>
    </row>
    <row r="774" ht="15.75" customHeight="1">
      <c r="A774" s="89"/>
      <c r="B774" s="88"/>
      <c r="C774" s="88"/>
      <c r="D774" s="88"/>
      <c r="E774" s="88"/>
      <c r="F774" s="88"/>
    </row>
    <row r="775" ht="15.75" customHeight="1">
      <c r="A775" s="89"/>
      <c r="B775" s="88"/>
      <c r="C775" s="88"/>
      <c r="D775" s="88"/>
      <c r="E775" s="88"/>
      <c r="F775" s="88"/>
    </row>
    <row r="776" ht="15.75" customHeight="1">
      <c r="A776" s="89"/>
      <c r="B776" s="88"/>
      <c r="C776" s="88"/>
      <c r="D776" s="88"/>
      <c r="E776" s="88"/>
      <c r="F776" s="88"/>
    </row>
    <row r="777" ht="15.75" customHeight="1">
      <c r="A777" s="89"/>
      <c r="B777" s="88"/>
      <c r="C777" s="88"/>
      <c r="D777" s="88"/>
      <c r="E777" s="88"/>
      <c r="F777" s="88"/>
    </row>
    <row r="778" ht="15.75" customHeight="1">
      <c r="A778" s="89"/>
      <c r="B778" s="88"/>
      <c r="C778" s="88"/>
      <c r="D778" s="88"/>
      <c r="E778" s="88"/>
      <c r="F778" s="88"/>
    </row>
    <row r="779" ht="15.75" customHeight="1">
      <c r="A779" s="89"/>
      <c r="B779" s="88"/>
      <c r="C779" s="88"/>
      <c r="D779" s="88"/>
      <c r="E779" s="88"/>
      <c r="F779" s="88"/>
    </row>
    <row r="780" ht="15.75" customHeight="1">
      <c r="A780" s="89"/>
      <c r="B780" s="88"/>
      <c r="C780" s="88"/>
      <c r="D780" s="88"/>
      <c r="E780" s="88"/>
      <c r="F780" s="88"/>
    </row>
    <row r="781" ht="15.75" customHeight="1">
      <c r="A781" s="89"/>
      <c r="B781" s="88"/>
      <c r="C781" s="88"/>
      <c r="D781" s="88"/>
      <c r="E781" s="88"/>
      <c r="F781" s="88"/>
    </row>
    <row r="782" ht="15.75" customHeight="1">
      <c r="A782" s="89"/>
      <c r="B782" s="88"/>
      <c r="C782" s="88"/>
      <c r="D782" s="88"/>
      <c r="E782" s="88"/>
      <c r="F782" s="88"/>
    </row>
    <row r="783" ht="15.75" customHeight="1">
      <c r="A783" s="89"/>
      <c r="B783" s="88"/>
      <c r="C783" s="88"/>
      <c r="D783" s="88"/>
      <c r="E783" s="88"/>
      <c r="F783" s="88"/>
    </row>
    <row r="784" ht="15.75" customHeight="1">
      <c r="A784" s="89"/>
      <c r="B784" s="88"/>
      <c r="C784" s="88"/>
      <c r="D784" s="88"/>
      <c r="E784" s="88"/>
      <c r="F784" s="88"/>
    </row>
    <row r="785" ht="15.75" customHeight="1">
      <c r="A785" s="89"/>
      <c r="B785" s="88"/>
      <c r="C785" s="88"/>
      <c r="D785" s="88"/>
      <c r="E785" s="88"/>
      <c r="F785" s="88"/>
    </row>
    <row r="786" ht="15.75" customHeight="1">
      <c r="A786" s="89"/>
      <c r="B786" s="88"/>
      <c r="C786" s="88"/>
      <c r="D786" s="88"/>
      <c r="E786" s="88"/>
      <c r="F786" s="88"/>
    </row>
    <row r="787" ht="15.75" customHeight="1">
      <c r="A787" s="89"/>
      <c r="B787" s="88"/>
      <c r="C787" s="88"/>
      <c r="D787" s="88"/>
      <c r="E787" s="88"/>
      <c r="F787" s="88"/>
    </row>
    <row r="788" ht="15.75" customHeight="1">
      <c r="A788" s="89"/>
      <c r="B788" s="88"/>
      <c r="C788" s="88"/>
      <c r="D788" s="88"/>
      <c r="E788" s="88"/>
      <c r="F788" s="88"/>
    </row>
    <row r="789" ht="15.75" customHeight="1">
      <c r="A789" s="89"/>
      <c r="B789" s="88"/>
      <c r="C789" s="88"/>
      <c r="D789" s="88"/>
      <c r="E789" s="88"/>
      <c r="F789" s="88"/>
    </row>
    <row r="790" ht="15.75" customHeight="1">
      <c r="A790" s="89"/>
      <c r="B790" s="88"/>
      <c r="C790" s="88"/>
      <c r="D790" s="88"/>
      <c r="E790" s="88"/>
      <c r="F790" s="88"/>
    </row>
    <row r="791" ht="15.75" customHeight="1">
      <c r="A791" s="89"/>
      <c r="B791" s="88"/>
      <c r="C791" s="88"/>
      <c r="D791" s="88"/>
      <c r="E791" s="88"/>
      <c r="F791" s="88"/>
    </row>
    <row r="792" ht="15.75" customHeight="1">
      <c r="A792" s="89"/>
      <c r="B792" s="88"/>
      <c r="C792" s="88"/>
      <c r="D792" s="88"/>
      <c r="E792" s="88"/>
      <c r="F792" s="88"/>
    </row>
    <row r="793" ht="15.75" customHeight="1">
      <c r="A793" s="89"/>
      <c r="B793" s="88"/>
      <c r="C793" s="88"/>
      <c r="D793" s="88"/>
      <c r="E793" s="88"/>
      <c r="F793" s="88"/>
    </row>
    <row r="794" ht="15.75" customHeight="1">
      <c r="A794" s="89"/>
      <c r="B794" s="88"/>
      <c r="C794" s="88"/>
      <c r="D794" s="88"/>
      <c r="E794" s="88"/>
      <c r="F794" s="88"/>
    </row>
    <row r="795" ht="15.75" customHeight="1">
      <c r="A795" s="89"/>
      <c r="B795" s="88"/>
      <c r="C795" s="88"/>
      <c r="D795" s="88"/>
      <c r="E795" s="88"/>
      <c r="F795" s="88"/>
    </row>
    <row r="796" ht="15.75" customHeight="1">
      <c r="A796" s="89"/>
      <c r="B796" s="88"/>
      <c r="C796" s="88"/>
      <c r="D796" s="88"/>
      <c r="E796" s="88"/>
      <c r="F796" s="88"/>
    </row>
    <row r="797" ht="15.75" customHeight="1">
      <c r="A797" s="89"/>
      <c r="B797" s="88"/>
      <c r="C797" s="88"/>
      <c r="D797" s="88"/>
      <c r="E797" s="88"/>
      <c r="F797" s="88"/>
    </row>
    <row r="798" ht="15.75" customHeight="1">
      <c r="A798" s="89"/>
      <c r="B798" s="88"/>
      <c r="C798" s="88"/>
      <c r="D798" s="88"/>
      <c r="E798" s="88"/>
      <c r="F798" s="88"/>
    </row>
    <row r="799" ht="15.75" customHeight="1">
      <c r="A799" s="89"/>
      <c r="B799" s="88"/>
      <c r="C799" s="88"/>
      <c r="D799" s="88"/>
      <c r="E799" s="88"/>
      <c r="F799" s="88"/>
    </row>
    <row r="800" ht="15.75" customHeight="1">
      <c r="A800" s="89"/>
      <c r="B800" s="88"/>
      <c r="C800" s="88"/>
      <c r="D800" s="88"/>
      <c r="E800" s="88"/>
      <c r="F800" s="88"/>
    </row>
    <row r="801" ht="15.75" customHeight="1">
      <c r="A801" s="89"/>
      <c r="B801" s="88"/>
      <c r="C801" s="88"/>
      <c r="D801" s="88"/>
      <c r="E801" s="88"/>
      <c r="F801" s="88"/>
    </row>
    <row r="802" ht="15.75" customHeight="1">
      <c r="A802" s="89"/>
      <c r="B802" s="88"/>
      <c r="C802" s="88"/>
      <c r="D802" s="88"/>
      <c r="E802" s="88"/>
      <c r="F802" s="88"/>
    </row>
    <row r="803" ht="15.75" customHeight="1">
      <c r="A803" s="89"/>
      <c r="B803" s="88"/>
      <c r="C803" s="88"/>
      <c r="D803" s="88"/>
      <c r="E803" s="88"/>
      <c r="F803" s="88"/>
    </row>
    <row r="804" ht="15.75" customHeight="1">
      <c r="A804" s="89"/>
      <c r="B804" s="88"/>
      <c r="C804" s="88"/>
      <c r="D804" s="88"/>
      <c r="E804" s="88"/>
      <c r="F804" s="88"/>
    </row>
    <row r="805" ht="15.75" customHeight="1">
      <c r="A805" s="89"/>
      <c r="B805" s="88"/>
      <c r="C805" s="88"/>
      <c r="D805" s="88"/>
      <c r="E805" s="88"/>
      <c r="F805" s="88"/>
    </row>
    <row r="806" ht="15.75" customHeight="1">
      <c r="A806" s="89"/>
      <c r="B806" s="88"/>
      <c r="C806" s="88"/>
      <c r="D806" s="88"/>
      <c r="E806" s="88"/>
      <c r="F806" s="88"/>
    </row>
    <row r="807" ht="15.75" customHeight="1">
      <c r="A807" s="89"/>
      <c r="B807" s="88"/>
      <c r="C807" s="88"/>
      <c r="D807" s="88"/>
      <c r="E807" s="88"/>
      <c r="F807" s="88"/>
    </row>
    <row r="808" ht="15.75" customHeight="1">
      <c r="A808" s="89"/>
      <c r="B808" s="88"/>
      <c r="C808" s="88"/>
      <c r="D808" s="88"/>
      <c r="E808" s="88"/>
      <c r="F808" s="88"/>
    </row>
    <row r="809" ht="15.75" customHeight="1">
      <c r="A809" s="89"/>
      <c r="B809" s="88"/>
      <c r="C809" s="88"/>
      <c r="D809" s="88"/>
      <c r="E809" s="88"/>
      <c r="F809" s="88"/>
    </row>
    <row r="810" ht="15.75" customHeight="1">
      <c r="A810" s="89"/>
      <c r="B810" s="88"/>
      <c r="C810" s="88"/>
      <c r="D810" s="88"/>
      <c r="E810" s="88"/>
      <c r="F810" s="88"/>
    </row>
    <row r="811" ht="15.75" customHeight="1">
      <c r="A811" s="89"/>
      <c r="B811" s="88"/>
      <c r="C811" s="88"/>
      <c r="D811" s="88"/>
      <c r="E811" s="88"/>
      <c r="F811" s="88"/>
    </row>
    <row r="812" ht="15.75" customHeight="1">
      <c r="A812" s="89"/>
      <c r="B812" s="88"/>
      <c r="C812" s="88"/>
      <c r="D812" s="88"/>
      <c r="E812" s="88"/>
      <c r="F812" s="88"/>
    </row>
    <row r="813" ht="15.75" customHeight="1">
      <c r="A813" s="89"/>
      <c r="B813" s="88"/>
      <c r="C813" s="88"/>
      <c r="D813" s="88"/>
      <c r="E813" s="88"/>
      <c r="F813" s="88"/>
    </row>
    <row r="814" ht="15.75" customHeight="1">
      <c r="A814" s="89"/>
      <c r="B814" s="88"/>
      <c r="C814" s="88"/>
      <c r="D814" s="88"/>
      <c r="E814" s="88"/>
      <c r="F814" s="88"/>
    </row>
    <row r="815" ht="15.75" customHeight="1">
      <c r="A815" s="89"/>
      <c r="B815" s="88"/>
      <c r="C815" s="88"/>
      <c r="D815" s="88"/>
      <c r="E815" s="88"/>
      <c r="F815" s="88"/>
    </row>
    <row r="816" ht="15.75" customHeight="1">
      <c r="A816" s="89"/>
      <c r="B816" s="88"/>
      <c r="C816" s="88"/>
      <c r="D816" s="88"/>
      <c r="E816" s="88"/>
      <c r="F816" s="88"/>
    </row>
    <row r="817" ht="15.75" customHeight="1">
      <c r="A817" s="89"/>
      <c r="B817" s="88"/>
      <c r="C817" s="88"/>
      <c r="D817" s="88"/>
      <c r="E817" s="88"/>
      <c r="F817" s="88"/>
    </row>
    <row r="818" ht="15.75" customHeight="1">
      <c r="A818" s="89"/>
      <c r="B818" s="88"/>
      <c r="C818" s="88"/>
      <c r="D818" s="88"/>
      <c r="E818" s="88"/>
      <c r="F818" s="88"/>
    </row>
    <row r="819" ht="15.75" customHeight="1">
      <c r="A819" s="89"/>
      <c r="B819" s="88"/>
      <c r="C819" s="88"/>
      <c r="D819" s="88"/>
      <c r="E819" s="88"/>
      <c r="F819" s="88"/>
    </row>
    <row r="820" ht="15.75" customHeight="1">
      <c r="A820" s="89"/>
      <c r="B820" s="88"/>
      <c r="C820" s="88"/>
      <c r="D820" s="88"/>
      <c r="E820" s="88"/>
      <c r="F820" s="88"/>
    </row>
    <row r="821" ht="15.75" customHeight="1">
      <c r="A821" s="89"/>
      <c r="B821" s="88"/>
      <c r="C821" s="88"/>
      <c r="D821" s="88"/>
      <c r="E821" s="88"/>
      <c r="F821" s="88"/>
    </row>
    <row r="822" ht="15.75" customHeight="1">
      <c r="A822" s="89"/>
      <c r="B822" s="88"/>
      <c r="C822" s="88"/>
      <c r="D822" s="88"/>
      <c r="E822" s="88"/>
      <c r="F822" s="88"/>
    </row>
    <row r="823" ht="15.75" customHeight="1">
      <c r="A823" s="89"/>
      <c r="B823" s="88"/>
      <c r="C823" s="88"/>
      <c r="D823" s="88"/>
      <c r="E823" s="88"/>
      <c r="F823" s="88"/>
    </row>
    <row r="824" ht="15.75" customHeight="1">
      <c r="A824" s="89"/>
      <c r="B824" s="88"/>
      <c r="C824" s="88"/>
      <c r="D824" s="88"/>
      <c r="E824" s="88"/>
      <c r="F824" s="88"/>
    </row>
    <row r="825" ht="15.75" customHeight="1">
      <c r="A825" s="89"/>
      <c r="B825" s="88"/>
      <c r="C825" s="88"/>
      <c r="D825" s="88"/>
      <c r="E825" s="88"/>
      <c r="F825" s="88"/>
    </row>
    <row r="826" ht="15.75" customHeight="1">
      <c r="A826" s="89"/>
      <c r="B826" s="88"/>
      <c r="C826" s="88"/>
      <c r="D826" s="88"/>
      <c r="E826" s="88"/>
      <c r="F826" s="88"/>
    </row>
    <row r="827" ht="15.75" customHeight="1">
      <c r="A827" s="89"/>
      <c r="B827" s="88"/>
      <c r="C827" s="88"/>
      <c r="D827" s="88"/>
      <c r="E827" s="88"/>
      <c r="F827" s="88"/>
    </row>
    <row r="828" ht="15.75" customHeight="1">
      <c r="A828" s="89"/>
      <c r="B828" s="88"/>
      <c r="C828" s="88"/>
      <c r="D828" s="88"/>
      <c r="E828" s="88"/>
      <c r="F828" s="88"/>
    </row>
    <row r="829" ht="15.75" customHeight="1">
      <c r="A829" s="89"/>
      <c r="B829" s="88"/>
      <c r="C829" s="88"/>
      <c r="D829" s="88"/>
      <c r="E829" s="88"/>
      <c r="F829" s="88"/>
    </row>
    <row r="830" ht="15.75" customHeight="1">
      <c r="A830" s="89"/>
      <c r="B830" s="88"/>
      <c r="C830" s="88"/>
      <c r="D830" s="88"/>
      <c r="E830" s="88"/>
      <c r="F830" s="88"/>
    </row>
    <row r="831" ht="15.75" customHeight="1">
      <c r="A831" s="89"/>
      <c r="B831" s="88"/>
      <c r="C831" s="88"/>
      <c r="D831" s="88"/>
      <c r="E831" s="88"/>
      <c r="F831" s="88"/>
    </row>
    <row r="832" ht="15.75" customHeight="1">
      <c r="A832" s="89"/>
      <c r="B832" s="88"/>
      <c r="C832" s="88"/>
      <c r="D832" s="88"/>
      <c r="E832" s="88"/>
      <c r="F832" s="88"/>
    </row>
    <row r="833" ht="15.75" customHeight="1">
      <c r="A833" s="89"/>
      <c r="B833" s="88"/>
      <c r="C833" s="88"/>
      <c r="D833" s="88"/>
      <c r="E833" s="88"/>
      <c r="F833" s="88"/>
    </row>
    <row r="834" ht="15.75" customHeight="1">
      <c r="A834" s="89"/>
      <c r="B834" s="88"/>
      <c r="C834" s="88"/>
      <c r="D834" s="88"/>
      <c r="E834" s="88"/>
      <c r="F834" s="88"/>
    </row>
    <row r="835" ht="15.75" customHeight="1">
      <c r="A835" s="89"/>
      <c r="B835" s="88"/>
      <c r="C835" s="88"/>
      <c r="D835" s="88"/>
      <c r="E835" s="88"/>
      <c r="F835" s="88"/>
    </row>
    <row r="836" ht="15.75" customHeight="1">
      <c r="A836" s="89"/>
      <c r="B836" s="88"/>
      <c r="C836" s="88"/>
      <c r="D836" s="88"/>
      <c r="E836" s="88"/>
      <c r="F836" s="88"/>
    </row>
    <row r="837" ht="15.75" customHeight="1">
      <c r="A837" s="89"/>
      <c r="B837" s="88"/>
      <c r="C837" s="88"/>
      <c r="D837" s="88"/>
      <c r="E837" s="88"/>
      <c r="F837" s="88"/>
    </row>
    <row r="838" ht="15.75" customHeight="1">
      <c r="A838" s="89"/>
      <c r="B838" s="88"/>
      <c r="C838" s="88"/>
      <c r="D838" s="88"/>
      <c r="E838" s="88"/>
      <c r="F838" s="88"/>
    </row>
    <row r="839" ht="15.75" customHeight="1">
      <c r="A839" s="89"/>
      <c r="B839" s="88"/>
      <c r="C839" s="88"/>
      <c r="D839" s="88"/>
      <c r="E839" s="88"/>
      <c r="F839" s="88"/>
    </row>
    <row r="840" ht="15.75" customHeight="1">
      <c r="A840" s="89"/>
      <c r="B840" s="88"/>
      <c r="C840" s="88"/>
      <c r="D840" s="88"/>
      <c r="E840" s="88"/>
      <c r="F840" s="88"/>
    </row>
    <row r="841" ht="15.75" customHeight="1">
      <c r="A841" s="89"/>
      <c r="B841" s="88"/>
      <c r="C841" s="88"/>
      <c r="D841" s="88"/>
      <c r="E841" s="88"/>
      <c r="F841" s="88"/>
    </row>
    <row r="842" ht="15.75" customHeight="1">
      <c r="A842" s="89"/>
      <c r="B842" s="88"/>
      <c r="C842" s="88"/>
      <c r="D842" s="88"/>
      <c r="E842" s="88"/>
      <c r="F842" s="88"/>
    </row>
    <row r="843" ht="15.75" customHeight="1">
      <c r="A843" s="89"/>
      <c r="B843" s="88"/>
      <c r="C843" s="88"/>
      <c r="D843" s="88"/>
      <c r="E843" s="88"/>
      <c r="F843" s="88"/>
    </row>
    <row r="844" ht="15.75" customHeight="1">
      <c r="A844" s="89"/>
      <c r="B844" s="88"/>
      <c r="C844" s="88"/>
      <c r="D844" s="88"/>
      <c r="E844" s="88"/>
      <c r="F844" s="88"/>
    </row>
    <row r="845" ht="15.75" customHeight="1">
      <c r="A845" s="89"/>
      <c r="B845" s="88"/>
      <c r="C845" s="88"/>
      <c r="D845" s="88"/>
      <c r="E845" s="88"/>
      <c r="F845" s="88"/>
    </row>
    <row r="846" ht="15.75" customHeight="1">
      <c r="A846" s="89"/>
      <c r="B846" s="88"/>
      <c r="C846" s="88"/>
      <c r="D846" s="88"/>
      <c r="E846" s="88"/>
      <c r="F846" s="88"/>
    </row>
    <row r="847" ht="15.75" customHeight="1">
      <c r="A847" s="89"/>
      <c r="B847" s="88"/>
      <c r="C847" s="88"/>
      <c r="D847" s="88"/>
      <c r="E847" s="88"/>
      <c r="F847" s="88"/>
    </row>
    <row r="848" ht="15.75" customHeight="1">
      <c r="A848" s="89"/>
      <c r="B848" s="88"/>
      <c r="C848" s="88"/>
      <c r="D848" s="88"/>
      <c r="E848" s="88"/>
      <c r="F848" s="88"/>
    </row>
    <row r="849" ht="15.75" customHeight="1">
      <c r="A849" s="89"/>
      <c r="B849" s="88"/>
      <c r="C849" s="88"/>
      <c r="D849" s="88"/>
      <c r="E849" s="88"/>
      <c r="F849" s="88"/>
    </row>
    <row r="850" ht="15.75" customHeight="1">
      <c r="A850" s="89"/>
      <c r="B850" s="88"/>
      <c r="C850" s="88"/>
      <c r="D850" s="88"/>
      <c r="E850" s="88"/>
      <c r="F850" s="88"/>
    </row>
    <row r="851" ht="15.75" customHeight="1">
      <c r="A851" s="89"/>
      <c r="B851" s="88"/>
      <c r="C851" s="88"/>
      <c r="D851" s="88"/>
      <c r="E851" s="88"/>
      <c r="F851" s="88"/>
    </row>
    <row r="852" ht="15.75" customHeight="1">
      <c r="A852" s="89"/>
      <c r="B852" s="88"/>
      <c r="C852" s="88"/>
      <c r="D852" s="88"/>
      <c r="E852" s="88"/>
      <c r="F852" s="88"/>
    </row>
    <row r="853" ht="15.75" customHeight="1">
      <c r="A853" s="89"/>
      <c r="B853" s="88"/>
      <c r="C853" s="88"/>
      <c r="D853" s="88"/>
      <c r="E853" s="88"/>
      <c r="F853" s="88"/>
    </row>
    <row r="854" ht="15.75" customHeight="1">
      <c r="A854" s="89"/>
      <c r="B854" s="88"/>
      <c r="C854" s="88"/>
      <c r="D854" s="88"/>
      <c r="E854" s="88"/>
      <c r="F854" s="88"/>
    </row>
    <row r="855" ht="15.75" customHeight="1">
      <c r="A855" s="89"/>
      <c r="B855" s="88"/>
      <c r="C855" s="88"/>
      <c r="D855" s="88"/>
      <c r="E855" s="88"/>
      <c r="F855" s="88"/>
    </row>
    <row r="856" ht="15.75" customHeight="1">
      <c r="A856" s="89"/>
      <c r="B856" s="88"/>
      <c r="C856" s="88"/>
      <c r="D856" s="88"/>
      <c r="E856" s="88"/>
      <c r="F856" s="88"/>
    </row>
    <row r="857" ht="15.75" customHeight="1">
      <c r="A857" s="89"/>
      <c r="B857" s="88"/>
      <c r="C857" s="88"/>
      <c r="D857" s="88"/>
      <c r="E857" s="88"/>
      <c r="F857" s="88"/>
    </row>
    <row r="858" ht="15.75" customHeight="1">
      <c r="A858" s="89"/>
      <c r="B858" s="88"/>
      <c r="C858" s="88"/>
      <c r="D858" s="88"/>
      <c r="E858" s="88"/>
      <c r="F858" s="88"/>
    </row>
    <row r="859" ht="15.75" customHeight="1">
      <c r="A859" s="89"/>
      <c r="B859" s="88"/>
      <c r="C859" s="88"/>
      <c r="D859" s="88"/>
      <c r="E859" s="88"/>
      <c r="F859" s="88"/>
    </row>
    <row r="860" ht="15.75" customHeight="1">
      <c r="A860" s="89"/>
      <c r="B860" s="88"/>
      <c r="C860" s="88"/>
      <c r="D860" s="88"/>
      <c r="E860" s="88"/>
      <c r="F860" s="88"/>
    </row>
    <row r="861" ht="15.75" customHeight="1">
      <c r="A861" s="89"/>
      <c r="B861" s="88"/>
      <c r="C861" s="88"/>
      <c r="D861" s="88"/>
      <c r="E861" s="88"/>
      <c r="F861" s="88"/>
    </row>
    <row r="862" ht="15.75" customHeight="1">
      <c r="A862" s="89"/>
      <c r="B862" s="88"/>
      <c r="C862" s="88"/>
      <c r="D862" s="88"/>
      <c r="E862" s="88"/>
      <c r="F862" s="88"/>
    </row>
    <row r="863" ht="15.75" customHeight="1">
      <c r="A863" s="89"/>
      <c r="B863" s="88"/>
      <c r="C863" s="88"/>
      <c r="D863" s="88"/>
      <c r="E863" s="88"/>
      <c r="F863" s="88"/>
    </row>
    <row r="864" ht="15.75" customHeight="1">
      <c r="A864" s="89"/>
      <c r="B864" s="88"/>
      <c r="C864" s="88"/>
      <c r="D864" s="88"/>
      <c r="E864" s="88"/>
      <c r="F864" s="88"/>
    </row>
    <row r="865" ht="15.75" customHeight="1">
      <c r="A865" s="89"/>
      <c r="B865" s="88"/>
      <c r="C865" s="88"/>
      <c r="D865" s="88"/>
      <c r="E865" s="88"/>
      <c r="F865" s="88"/>
    </row>
    <row r="866" ht="15.75" customHeight="1">
      <c r="A866" s="89"/>
      <c r="B866" s="88"/>
      <c r="C866" s="88"/>
      <c r="D866" s="88"/>
      <c r="E866" s="88"/>
      <c r="F866" s="88"/>
    </row>
    <row r="867" ht="15.75" customHeight="1">
      <c r="A867" s="89"/>
      <c r="B867" s="88"/>
      <c r="C867" s="88"/>
      <c r="D867" s="88"/>
      <c r="E867" s="88"/>
      <c r="F867" s="88"/>
    </row>
    <row r="868" ht="15.75" customHeight="1">
      <c r="A868" s="89"/>
      <c r="B868" s="88"/>
      <c r="C868" s="88"/>
      <c r="D868" s="88"/>
      <c r="E868" s="88"/>
      <c r="F868" s="88"/>
    </row>
    <row r="869" ht="15.75" customHeight="1">
      <c r="A869" s="89"/>
      <c r="B869" s="88"/>
      <c r="C869" s="88"/>
      <c r="D869" s="88"/>
      <c r="E869" s="88"/>
      <c r="F869" s="88"/>
    </row>
    <row r="870" ht="15.75" customHeight="1">
      <c r="A870" s="89"/>
      <c r="B870" s="88"/>
      <c r="C870" s="88"/>
      <c r="D870" s="88"/>
      <c r="E870" s="88"/>
      <c r="F870" s="88"/>
    </row>
    <row r="871" ht="15.75" customHeight="1">
      <c r="A871" s="89"/>
      <c r="B871" s="88"/>
      <c r="C871" s="88"/>
      <c r="D871" s="88"/>
      <c r="E871" s="88"/>
      <c r="F871" s="88"/>
    </row>
    <row r="872" ht="15.75" customHeight="1">
      <c r="A872" s="89"/>
      <c r="B872" s="88"/>
      <c r="C872" s="88"/>
      <c r="D872" s="88"/>
      <c r="E872" s="88"/>
      <c r="F872" s="88"/>
    </row>
    <row r="873" ht="15.75" customHeight="1">
      <c r="A873" s="89"/>
      <c r="B873" s="88"/>
      <c r="C873" s="88"/>
      <c r="D873" s="88"/>
      <c r="E873" s="88"/>
      <c r="F873" s="88"/>
    </row>
    <row r="874" ht="15.75" customHeight="1">
      <c r="A874" s="89"/>
      <c r="B874" s="88"/>
      <c r="C874" s="88"/>
      <c r="D874" s="88"/>
      <c r="E874" s="88"/>
      <c r="F874" s="88"/>
    </row>
    <row r="875" ht="15.75" customHeight="1">
      <c r="A875" s="89"/>
      <c r="B875" s="88"/>
      <c r="C875" s="88"/>
      <c r="D875" s="88"/>
      <c r="E875" s="88"/>
      <c r="F875" s="88"/>
    </row>
    <row r="876" ht="15.75" customHeight="1">
      <c r="A876" s="89"/>
      <c r="B876" s="88"/>
      <c r="C876" s="88"/>
      <c r="D876" s="88"/>
      <c r="E876" s="88"/>
      <c r="F876" s="88"/>
    </row>
    <row r="877" ht="15.75" customHeight="1">
      <c r="A877" s="89"/>
      <c r="B877" s="88"/>
      <c r="C877" s="88"/>
      <c r="D877" s="88"/>
      <c r="E877" s="88"/>
      <c r="F877" s="88"/>
    </row>
    <row r="878" ht="15.75" customHeight="1">
      <c r="A878" s="89"/>
      <c r="B878" s="88"/>
      <c r="C878" s="88"/>
      <c r="D878" s="88"/>
      <c r="E878" s="88"/>
      <c r="F878" s="88"/>
    </row>
    <row r="879" ht="15.75" customHeight="1">
      <c r="A879" s="89"/>
      <c r="B879" s="88"/>
      <c r="C879" s="88"/>
      <c r="D879" s="88"/>
      <c r="E879" s="88"/>
      <c r="F879" s="88"/>
    </row>
    <row r="880" ht="15.75" customHeight="1">
      <c r="A880" s="89"/>
      <c r="B880" s="88"/>
      <c r="C880" s="88"/>
      <c r="D880" s="88"/>
      <c r="E880" s="88"/>
      <c r="F880" s="88"/>
    </row>
    <row r="881" ht="15.75" customHeight="1">
      <c r="A881" s="89"/>
      <c r="B881" s="88"/>
      <c r="C881" s="88"/>
      <c r="D881" s="88"/>
      <c r="E881" s="88"/>
      <c r="F881" s="88"/>
    </row>
    <row r="882" ht="15.75" customHeight="1">
      <c r="A882" s="89"/>
      <c r="B882" s="88"/>
      <c r="C882" s="88"/>
      <c r="D882" s="88"/>
      <c r="E882" s="88"/>
      <c r="F882" s="88"/>
    </row>
    <row r="883" ht="15.75" customHeight="1">
      <c r="A883" s="89"/>
      <c r="B883" s="88"/>
      <c r="C883" s="88"/>
      <c r="D883" s="88"/>
      <c r="E883" s="88"/>
      <c r="F883" s="88"/>
    </row>
    <row r="884" ht="15.75" customHeight="1">
      <c r="A884" s="89"/>
      <c r="B884" s="88"/>
      <c r="C884" s="88"/>
      <c r="D884" s="88"/>
      <c r="E884" s="88"/>
      <c r="F884" s="88"/>
    </row>
    <row r="885" ht="15.75" customHeight="1">
      <c r="A885" s="89"/>
      <c r="B885" s="88"/>
      <c r="C885" s="88"/>
      <c r="D885" s="88"/>
      <c r="E885" s="88"/>
      <c r="F885" s="88"/>
    </row>
    <row r="886" ht="15.75" customHeight="1">
      <c r="A886" s="89"/>
      <c r="B886" s="88"/>
      <c r="C886" s="88"/>
      <c r="D886" s="88"/>
      <c r="E886" s="88"/>
      <c r="F886" s="88"/>
    </row>
    <row r="887" ht="15.75" customHeight="1">
      <c r="A887" s="89"/>
      <c r="B887" s="88"/>
      <c r="C887" s="88"/>
      <c r="D887" s="88"/>
      <c r="E887" s="88"/>
      <c r="F887" s="88"/>
    </row>
    <row r="888" ht="15.75" customHeight="1">
      <c r="A888" s="89"/>
      <c r="B888" s="88"/>
      <c r="C888" s="88"/>
      <c r="D888" s="88"/>
      <c r="E888" s="88"/>
      <c r="F888" s="88"/>
    </row>
    <row r="889" ht="15.75" customHeight="1">
      <c r="A889" s="89"/>
      <c r="B889" s="88"/>
      <c r="C889" s="88"/>
      <c r="D889" s="88"/>
      <c r="E889" s="88"/>
      <c r="F889" s="88"/>
    </row>
    <row r="890" ht="15.75" customHeight="1">
      <c r="A890" s="89"/>
      <c r="B890" s="88"/>
      <c r="C890" s="88"/>
      <c r="D890" s="88"/>
      <c r="E890" s="88"/>
      <c r="F890" s="88"/>
    </row>
    <row r="891" ht="15.75" customHeight="1">
      <c r="A891" s="89"/>
      <c r="B891" s="88"/>
      <c r="C891" s="88"/>
      <c r="D891" s="88"/>
      <c r="E891" s="88"/>
      <c r="F891" s="88"/>
    </row>
    <row r="892" ht="15.75" customHeight="1">
      <c r="A892" s="89"/>
      <c r="B892" s="88"/>
      <c r="C892" s="88"/>
      <c r="D892" s="88"/>
      <c r="E892" s="88"/>
      <c r="F892" s="88"/>
    </row>
    <row r="893" ht="15.75" customHeight="1">
      <c r="A893" s="89"/>
      <c r="B893" s="88"/>
      <c r="C893" s="88"/>
      <c r="D893" s="88"/>
      <c r="E893" s="88"/>
      <c r="F893" s="88"/>
    </row>
    <row r="894" ht="15.75" customHeight="1">
      <c r="A894" s="89"/>
      <c r="B894" s="88"/>
      <c r="C894" s="88"/>
      <c r="D894" s="88"/>
      <c r="E894" s="88"/>
      <c r="F894" s="88"/>
    </row>
    <row r="895" ht="15.75" customHeight="1">
      <c r="A895" s="89"/>
      <c r="B895" s="88"/>
      <c r="C895" s="88"/>
      <c r="D895" s="88"/>
      <c r="E895" s="88"/>
      <c r="F895" s="88"/>
    </row>
    <row r="896" ht="15.75" customHeight="1">
      <c r="A896" s="89"/>
      <c r="B896" s="88"/>
      <c r="C896" s="88"/>
      <c r="D896" s="88"/>
      <c r="E896" s="88"/>
      <c r="F896" s="88"/>
    </row>
    <row r="897" ht="15.75" customHeight="1">
      <c r="A897" s="89"/>
      <c r="B897" s="88"/>
      <c r="C897" s="88"/>
      <c r="D897" s="88"/>
      <c r="E897" s="88"/>
      <c r="F897" s="88"/>
    </row>
    <row r="898" ht="15.75" customHeight="1">
      <c r="A898" s="89"/>
      <c r="B898" s="88"/>
      <c r="C898" s="88"/>
      <c r="D898" s="88"/>
      <c r="E898" s="88"/>
      <c r="F898" s="88"/>
    </row>
    <row r="899" ht="15.75" customHeight="1">
      <c r="A899" s="89"/>
      <c r="B899" s="88"/>
      <c r="C899" s="88"/>
      <c r="D899" s="88"/>
      <c r="E899" s="88"/>
      <c r="F899" s="88"/>
    </row>
    <row r="900" ht="15.75" customHeight="1">
      <c r="A900" s="89"/>
      <c r="B900" s="88"/>
      <c r="C900" s="88"/>
      <c r="D900" s="88"/>
      <c r="E900" s="88"/>
      <c r="F900" s="88"/>
    </row>
    <row r="901" ht="15.75" customHeight="1">
      <c r="A901" s="89"/>
      <c r="B901" s="88"/>
      <c r="C901" s="88"/>
      <c r="D901" s="88"/>
      <c r="E901" s="88"/>
      <c r="F901" s="88"/>
    </row>
    <row r="902" ht="15.75" customHeight="1">
      <c r="A902" s="89"/>
      <c r="B902" s="88"/>
      <c r="C902" s="88"/>
      <c r="D902" s="88"/>
      <c r="E902" s="88"/>
      <c r="F902" s="88"/>
    </row>
    <row r="903" ht="15.75" customHeight="1">
      <c r="A903" s="89"/>
      <c r="B903" s="88"/>
      <c r="C903" s="88"/>
      <c r="D903" s="88"/>
      <c r="E903" s="88"/>
      <c r="F903" s="88"/>
    </row>
    <row r="904" ht="15.75" customHeight="1">
      <c r="A904" s="89"/>
      <c r="B904" s="88"/>
      <c r="C904" s="88"/>
      <c r="D904" s="88"/>
      <c r="E904" s="88"/>
      <c r="F904" s="88"/>
    </row>
    <row r="905" ht="15.75" customHeight="1">
      <c r="A905" s="89"/>
      <c r="B905" s="88"/>
      <c r="C905" s="88"/>
      <c r="D905" s="88"/>
      <c r="E905" s="88"/>
      <c r="F905" s="88"/>
    </row>
    <row r="906" ht="15.75" customHeight="1">
      <c r="A906" s="89"/>
      <c r="B906" s="88"/>
      <c r="C906" s="88"/>
      <c r="D906" s="88"/>
      <c r="E906" s="88"/>
      <c r="F906" s="88"/>
    </row>
    <row r="907" ht="15.75" customHeight="1">
      <c r="A907" s="89"/>
      <c r="B907" s="88"/>
      <c r="C907" s="88"/>
      <c r="D907" s="88"/>
      <c r="E907" s="88"/>
      <c r="F907" s="88"/>
    </row>
    <row r="908" ht="15.75" customHeight="1">
      <c r="A908" s="89"/>
      <c r="B908" s="88"/>
      <c r="C908" s="88"/>
      <c r="D908" s="88"/>
      <c r="E908" s="88"/>
      <c r="F908" s="88"/>
    </row>
    <row r="909" ht="15.75" customHeight="1">
      <c r="A909" s="89"/>
      <c r="B909" s="88"/>
      <c r="C909" s="88"/>
      <c r="D909" s="88"/>
      <c r="E909" s="88"/>
      <c r="F909" s="88"/>
    </row>
    <row r="910" ht="15.75" customHeight="1">
      <c r="A910" s="89"/>
      <c r="B910" s="88"/>
      <c r="C910" s="88"/>
      <c r="D910" s="88"/>
      <c r="E910" s="88"/>
      <c r="F910" s="88"/>
    </row>
    <row r="911" ht="15.75" customHeight="1">
      <c r="A911" s="89"/>
      <c r="B911" s="88"/>
      <c r="C911" s="88"/>
      <c r="D911" s="88"/>
      <c r="E911" s="88"/>
      <c r="F911" s="88"/>
    </row>
    <row r="912" ht="15.75" customHeight="1">
      <c r="A912" s="89"/>
      <c r="B912" s="88"/>
      <c r="C912" s="88"/>
      <c r="D912" s="88"/>
      <c r="E912" s="88"/>
      <c r="F912" s="88"/>
    </row>
    <row r="913" ht="15.75" customHeight="1">
      <c r="A913" s="89"/>
      <c r="B913" s="88"/>
      <c r="C913" s="88"/>
      <c r="D913" s="88"/>
      <c r="E913" s="88"/>
      <c r="F913" s="88"/>
    </row>
    <row r="914" ht="15.75" customHeight="1">
      <c r="A914" s="89"/>
      <c r="B914" s="88"/>
      <c r="C914" s="88"/>
      <c r="D914" s="88"/>
      <c r="E914" s="88"/>
      <c r="F914" s="88"/>
    </row>
    <row r="915" ht="15.75" customHeight="1">
      <c r="A915" s="89"/>
      <c r="B915" s="88"/>
      <c r="C915" s="88"/>
      <c r="D915" s="88"/>
      <c r="E915" s="88"/>
      <c r="F915" s="88"/>
    </row>
    <row r="916" ht="15.75" customHeight="1">
      <c r="A916" s="89"/>
      <c r="B916" s="88"/>
      <c r="C916" s="88"/>
      <c r="D916" s="88"/>
      <c r="E916" s="88"/>
      <c r="F916" s="88"/>
    </row>
    <row r="917" ht="15.75" customHeight="1">
      <c r="A917" s="89"/>
      <c r="B917" s="88"/>
      <c r="C917" s="88"/>
      <c r="D917" s="88"/>
      <c r="E917" s="88"/>
      <c r="F917" s="88"/>
    </row>
    <row r="918" ht="15.75" customHeight="1">
      <c r="A918" s="89"/>
      <c r="B918" s="88"/>
      <c r="C918" s="88"/>
      <c r="D918" s="88"/>
      <c r="E918" s="88"/>
      <c r="F918" s="88"/>
    </row>
    <row r="919" ht="15.75" customHeight="1">
      <c r="A919" s="89"/>
      <c r="B919" s="88"/>
      <c r="C919" s="88"/>
      <c r="D919" s="88"/>
      <c r="E919" s="88"/>
      <c r="F919" s="88"/>
    </row>
    <row r="920" ht="15.75" customHeight="1">
      <c r="A920" s="89"/>
      <c r="B920" s="88"/>
      <c r="C920" s="88"/>
      <c r="D920" s="88"/>
      <c r="E920" s="88"/>
      <c r="F920" s="88"/>
    </row>
    <row r="921" ht="15.75" customHeight="1">
      <c r="A921" s="89"/>
      <c r="B921" s="88"/>
      <c r="C921" s="88"/>
      <c r="D921" s="88"/>
      <c r="E921" s="88"/>
      <c r="F921" s="88"/>
    </row>
    <row r="922" ht="15.75" customHeight="1">
      <c r="A922" s="89"/>
      <c r="B922" s="88"/>
      <c r="C922" s="88"/>
      <c r="D922" s="88"/>
      <c r="E922" s="88"/>
      <c r="F922" s="88"/>
    </row>
    <row r="923" ht="15.75" customHeight="1">
      <c r="A923" s="89"/>
      <c r="B923" s="88"/>
      <c r="C923" s="88"/>
      <c r="D923" s="88"/>
      <c r="E923" s="88"/>
      <c r="F923" s="88"/>
    </row>
    <row r="924" ht="15.75" customHeight="1">
      <c r="A924" s="89"/>
      <c r="B924" s="88"/>
      <c r="C924" s="88"/>
      <c r="D924" s="88"/>
      <c r="E924" s="88"/>
      <c r="F924" s="88"/>
    </row>
    <row r="925" ht="15.75" customHeight="1">
      <c r="A925" s="89"/>
      <c r="B925" s="88"/>
      <c r="C925" s="88"/>
      <c r="D925" s="88"/>
      <c r="E925" s="88"/>
      <c r="F925" s="88"/>
    </row>
    <row r="926" ht="15.75" customHeight="1">
      <c r="A926" s="89"/>
      <c r="B926" s="88"/>
      <c r="C926" s="88"/>
      <c r="D926" s="88"/>
      <c r="E926" s="88"/>
      <c r="F926" s="88"/>
    </row>
    <row r="927" ht="15.75" customHeight="1">
      <c r="A927" s="89"/>
      <c r="B927" s="88"/>
      <c r="C927" s="88"/>
      <c r="D927" s="88"/>
      <c r="E927" s="88"/>
      <c r="F927" s="88"/>
    </row>
    <row r="928" ht="15.75" customHeight="1">
      <c r="A928" s="89"/>
      <c r="B928" s="88"/>
      <c r="C928" s="88"/>
      <c r="D928" s="88"/>
      <c r="E928" s="88"/>
      <c r="F928" s="88"/>
    </row>
    <row r="929" ht="15.75" customHeight="1">
      <c r="A929" s="89"/>
      <c r="B929" s="88"/>
      <c r="C929" s="88"/>
      <c r="D929" s="88"/>
      <c r="E929" s="88"/>
      <c r="F929" s="88"/>
    </row>
    <row r="930" ht="15.75" customHeight="1">
      <c r="A930" s="89"/>
      <c r="B930" s="88"/>
      <c r="C930" s="88"/>
      <c r="D930" s="88"/>
      <c r="E930" s="88"/>
      <c r="F930" s="88"/>
    </row>
    <row r="931" ht="15.75" customHeight="1">
      <c r="A931" s="89"/>
      <c r="B931" s="88"/>
      <c r="C931" s="88"/>
      <c r="D931" s="88"/>
      <c r="E931" s="88"/>
      <c r="F931" s="88"/>
    </row>
    <row r="932" ht="15.75" customHeight="1">
      <c r="A932" s="89"/>
      <c r="B932" s="88"/>
      <c r="C932" s="88"/>
      <c r="D932" s="88"/>
      <c r="E932" s="88"/>
      <c r="F932" s="88"/>
    </row>
    <row r="933" ht="15.75" customHeight="1">
      <c r="A933" s="89"/>
      <c r="B933" s="88"/>
      <c r="C933" s="88"/>
      <c r="D933" s="88"/>
      <c r="E933" s="88"/>
      <c r="F933" s="88"/>
    </row>
    <row r="934" ht="15.75" customHeight="1">
      <c r="A934" s="89"/>
      <c r="B934" s="88"/>
      <c r="C934" s="88"/>
      <c r="D934" s="88"/>
      <c r="E934" s="88"/>
      <c r="F934" s="88"/>
    </row>
    <row r="935" ht="15.75" customHeight="1">
      <c r="A935" s="89"/>
      <c r="B935" s="88"/>
      <c r="C935" s="88"/>
      <c r="D935" s="88"/>
      <c r="E935" s="88"/>
      <c r="F935" s="88"/>
    </row>
    <row r="936" ht="15.75" customHeight="1">
      <c r="A936" s="89"/>
      <c r="B936" s="88"/>
      <c r="C936" s="88"/>
      <c r="D936" s="88"/>
      <c r="E936" s="88"/>
      <c r="F936" s="88"/>
    </row>
    <row r="937" ht="15.75" customHeight="1">
      <c r="A937" s="89"/>
      <c r="B937" s="88"/>
      <c r="C937" s="88"/>
      <c r="D937" s="88"/>
      <c r="E937" s="88"/>
      <c r="F937" s="88"/>
    </row>
    <row r="938" ht="15.75" customHeight="1">
      <c r="A938" s="89"/>
      <c r="B938" s="88"/>
      <c r="C938" s="88"/>
      <c r="D938" s="88"/>
      <c r="E938" s="88"/>
      <c r="F938" s="88"/>
    </row>
    <row r="939" ht="15.75" customHeight="1">
      <c r="A939" s="89"/>
      <c r="B939" s="88"/>
      <c r="C939" s="88"/>
      <c r="D939" s="88"/>
      <c r="E939" s="88"/>
      <c r="F939" s="88"/>
    </row>
    <row r="940" ht="15.75" customHeight="1">
      <c r="A940" s="89"/>
      <c r="B940" s="88"/>
      <c r="C940" s="88"/>
      <c r="D940" s="88"/>
      <c r="E940" s="88"/>
      <c r="F940" s="88"/>
    </row>
    <row r="941" ht="15.75" customHeight="1">
      <c r="A941" s="89"/>
      <c r="B941" s="88"/>
      <c r="C941" s="88"/>
      <c r="D941" s="88"/>
      <c r="E941" s="88"/>
      <c r="F941" s="88"/>
    </row>
    <row r="942" ht="15.75" customHeight="1">
      <c r="A942" s="89"/>
      <c r="B942" s="88"/>
      <c r="C942" s="88"/>
      <c r="D942" s="88"/>
      <c r="E942" s="88"/>
      <c r="F942" s="88"/>
    </row>
    <row r="943" ht="15.75" customHeight="1">
      <c r="A943" s="89"/>
      <c r="B943" s="88"/>
      <c r="C943" s="88"/>
      <c r="D943" s="88"/>
      <c r="E943" s="88"/>
      <c r="F943" s="88"/>
    </row>
    <row r="944" ht="15.75" customHeight="1">
      <c r="A944" s="89"/>
      <c r="B944" s="88"/>
      <c r="C944" s="88"/>
      <c r="D944" s="88"/>
      <c r="E944" s="88"/>
      <c r="F944" s="88"/>
    </row>
    <row r="945" ht="15.75" customHeight="1">
      <c r="A945" s="89"/>
      <c r="B945" s="88"/>
      <c r="C945" s="88"/>
      <c r="D945" s="88"/>
      <c r="E945" s="88"/>
      <c r="F945" s="88"/>
    </row>
    <row r="946" ht="15.75" customHeight="1">
      <c r="A946" s="89"/>
      <c r="B946" s="88"/>
      <c r="C946" s="88"/>
      <c r="D946" s="88"/>
      <c r="E946" s="88"/>
      <c r="F946" s="88"/>
    </row>
    <row r="947" ht="15.75" customHeight="1">
      <c r="A947" s="89"/>
      <c r="B947" s="88"/>
      <c r="C947" s="88"/>
      <c r="D947" s="88"/>
      <c r="E947" s="88"/>
      <c r="F947" s="88"/>
    </row>
    <row r="948" ht="15.75" customHeight="1">
      <c r="A948" s="89"/>
      <c r="B948" s="88"/>
      <c r="C948" s="88"/>
      <c r="D948" s="88"/>
      <c r="E948" s="88"/>
      <c r="F948" s="88"/>
    </row>
    <row r="949" ht="15.75" customHeight="1">
      <c r="A949" s="89"/>
      <c r="B949" s="88"/>
      <c r="C949" s="88"/>
      <c r="D949" s="88"/>
      <c r="E949" s="88"/>
      <c r="F949" s="88"/>
    </row>
    <row r="950" ht="15.75" customHeight="1">
      <c r="A950" s="89"/>
      <c r="B950" s="88"/>
      <c r="C950" s="88"/>
      <c r="D950" s="88"/>
      <c r="E950" s="88"/>
      <c r="F950" s="88"/>
    </row>
    <row r="951" ht="15.75" customHeight="1">
      <c r="A951" s="89"/>
      <c r="B951" s="88"/>
      <c r="C951" s="88"/>
      <c r="D951" s="88"/>
      <c r="E951" s="88"/>
      <c r="F951" s="88"/>
    </row>
    <row r="952" ht="15.75" customHeight="1">
      <c r="A952" s="89"/>
      <c r="B952" s="88"/>
      <c r="C952" s="88"/>
      <c r="D952" s="88"/>
      <c r="E952" s="88"/>
      <c r="F952" s="88"/>
    </row>
    <row r="953" ht="15.75" customHeight="1">
      <c r="A953" s="89"/>
      <c r="B953" s="88"/>
      <c r="C953" s="88"/>
      <c r="D953" s="88"/>
      <c r="E953" s="88"/>
      <c r="F953" s="88"/>
    </row>
    <row r="954" ht="15.75" customHeight="1">
      <c r="A954" s="89"/>
      <c r="B954" s="88"/>
      <c r="C954" s="88"/>
      <c r="D954" s="88"/>
      <c r="E954" s="88"/>
      <c r="F954" s="88"/>
    </row>
    <row r="955" ht="15.75" customHeight="1">
      <c r="A955" s="89"/>
      <c r="B955" s="88"/>
      <c r="C955" s="88"/>
      <c r="D955" s="88"/>
      <c r="E955" s="88"/>
      <c r="F955" s="88"/>
    </row>
    <row r="956" ht="15.75" customHeight="1">
      <c r="A956" s="89"/>
      <c r="B956" s="88"/>
      <c r="C956" s="88"/>
      <c r="D956" s="88"/>
      <c r="E956" s="88"/>
      <c r="F956" s="88"/>
    </row>
    <row r="957" ht="15.75" customHeight="1">
      <c r="A957" s="89"/>
      <c r="B957" s="88"/>
      <c r="C957" s="88"/>
      <c r="D957" s="88"/>
      <c r="E957" s="88"/>
      <c r="F957" s="88"/>
    </row>
    <row r="958" ht="15.75" customHeight="1">
      <c r="A958" s="89"/>
      <c r="B958" s="88"/>
      <c r="C958" s="88"/>
      <c r="D958" s="88"/>
      <c r="E958" s="88"/>
      <c r="F958" s="88"/>
    </row>
    <row r="959" ht="15.75" customHeight="1">
      <c r="A959" s="89"/>
      <c r="B959" s="88"/>
      <c r="C959" s="88"/>
      <c r="D959" s="88"/>
      <c r="E959" s="88"/>
      <c r="F959" s="88"/>
    </row>
    <row r="960" ht="15.75" customHeight="1">
      <c r="A960" s="89"/>
      <c r="B960" s="88"/>
      <c r="C960" s="88"/>
      <c r="D960" s="88"/>
      <c r="E960" s="88"/>
      <c r="F960" s="88"/>
    </row>
    <row r="961" ht="15.75" customHeight="1">
      <c r="A961" s="89"/>
      <c r="B961" s="88"/>
      <c r="C961" s="88"/>
      <c r="D961" s="88"/>
      <c r="E961" s="88"/>
      <c r="F961" s="88"/>
    </row>
    <row r="962" ht="15.75" customHeight="1">
      <c r="A962" s="89"/>
      <c r="B962" s="88"/>
      <c r="C962" s="88"/>
      <c r="D962" s="88"/>
      <c r="E962" s="88"/>
      <c r="F962" s="88"/>
    </row>
    <row r="963" ht="15.75" customHeight="1">
      <c r="A963" s="89"/>
      <c r="B963" s="88"/>
      <c r="C963" s="88"/>
      <c r="D963" s="88"/>
      <c r="E963" s="88"/>
      <c r="F963" s="88"/>
    </row>
    <row r="964" ht="15.75" customHeight="1">
      <c r="A964" s="89"/>
      <c r="B964" s="88"/>
      <c r="C964" s="88"/>
      <c r="D964" s="88"/>
      <c r="E964" s="88"/>
      <c r="F964" s="88"/>
    </row>
    <row r="965" ht="15.75" customHeight="1">
      <c r="A965" s="89"/>
      <c r="B965" s="88"/>
      <c r="C965" s="88"/>
      <c r="D965" s="88"/>
      <c r="E965" s="88"/>
      <c r="F965" s="88"/>
    </row>
    <row r="966" ht="15.75" customHeight="1">
      <c r="A966" s="89"/>
      <c r="B966" s="88"/>
      <c r="C966" s="88"/>
      <c r="D966" s="88"/>
      <c r="E966" s="88"/>
      <c r="F966" s="88"/>
    </row>
    <row r="967" ht="15.75" customHeight="1">
      <c r="A967" s="89"/>
      <c r="B967" s="88"/>
      <c r="C967" s="88"/>
      <c r="D967" s="88"/>
      <c r="E967" s="88"/>
      <c r="F967" s="88"/>
    </row>
    <row r="968" ht="15.75" customHeight="1">
      <c r="A968" s="89"/>
      <c r="B968" s="88"/>
      <c r="C968" s="88"/>
      <c r="D968" s="88"/>
      <c r="E968" s="88"/>
      <c r="F968" s="88"/>
    </row>
    <row r="969" ht="15.75" customHeight="1">
      <c r="A969" s="89"/>
      <c r="B969" s="88"/>
      <c r="C969" s="88"/>
      <c r="D969" s="88"/>
      <c r="E969" s="88"/>
      <c r="F969" s="88"/>
    </row>
    <row r="970" ht="15.75" customHeight="1">
      <c r="A970" s="89"/>
      <c r="B970" s="88"/>
      <c r="C970" s="88"/>
      <c r="D970" s="88"/>
      <c r="E970" s="88"/>
      <c r="F970" s="88"/>
    </row>
    <row r="971" ht="15.75" customHeight="1">
      <c r="A971" s="89"/>
      <c r="B971" s="88"/>
      <c r="C971" s="88"/>
      <c r="D971" s="88"/>
      <c r="E971" s="88"/>
      <c r="F971" s="88"/>
    </row>
    <row r="972" ht="15.75" customHeight="1">
      <c r="A972" s="89"/>
      <c r="B972" s="88"/>
      <c r="C972" s="88"/>
      <c r="D972" s="88"/>
      <c r="E972" s="88"/>
      <c r="F972" s="88"/>
    </row>
    <row r="973" ht="15.75" customHeight="1">
      <c r="A973" s="89"/>
      <c r="B973" s="88"/>
      <c r="C973" s="88"/>
      <c r="D973" s="88"/>
      <c r="E973" s="88"/>
      <c r="F973" s="88"/>
    </row>
    <row r="974" ht="15.75" customHeight="1">
      <c r="A974" s="89"/>
      <c r="B974" s="88"/>
      <c r="C974" s="88"/>
      <c r="D974" s="88"/>
      <c r="E974" s="88"/>
      <c r="F974" s="88"/>
    </row>
    <row r="975" ht="15.75" customHeight="1">
      <c r="A975" s="89"/>
      <c r="B975" s="88"/>
      <c r="C975" s="88"/>
      <c r="D975" s="88"/>
      <c r="E975" s="88"/>
      <c r="F975" s="88"/>
    </row>
    <row r="976" ht="15.75" customHeight="1">
      <c r="A976" s="89"/>
      <c r="B976" s="88"/>
      <c r="C976" s="88"/>
      <c r="D976" s="88"/>
      <c r="E976" s="88"/>
      <c r="F976" s="88"/>
    </row>
    <row r="977" ht="15.75" customHeight="1">
      <c r="A977" s="89"/>
      <c r="B977" s="88"/>
      <c r="C977" s="88"/>
      <c r="D977" s="88"/>
      <c r="E977" s="88"/>
      <c r="F977" s="88"/>
    </row>
    <row r="978" ht="15.75" customHeight="1">
      <c r="A978" s="89"/>
      <c r="B978" s="88"/>
      <c r="C978" s="88"/>
      <c r="D978" s="88"/>
      <c r="E978" s="88"/>
      <c r="F978" s="88"/>
    </row>
    <row r="979" ht="15.75" customHeight="1">
      <c r="A979" s="89"/>
      <c r="B979" s="88"/>
      <c r="C979" s="88"/>
      <c r="D979" s="88"/>
      <c r="E979" s="88"/>
      <c r="F979" s="88"/>
    </row>
    <row r="980" ht="15.75" customHeight="1">
      <c r="A980" s="89"/>
      <c r="B980" s="88"/>
      <c r="C980" s="88"/>
      <c r="D980" s="88"/>
      <c r="E980" s="88"/>
      <c r="F980" s="88"/>
    </row>
    <row r="981" ht="15.75" customHeight="1">
      <c r="A981" s="89"/>
      <c r="B981" s="88"/>
      <c r="C981" s="88"/>
      <c r="D981" s="88"/>
      <c r="E981" s="88"/>
      <c r="F981" s="88"/>
    </row>
    <row r="982" ht="15.75" customHeight="1">
      <c r="A982" s="89"/>
      <c r="B982" s="88"/>
      <c r="C982" s="88"/>
      <c r="D982" s="88"/>
      <c r="E982" s="88"/>
      <c r="F982" s="88"/>
    </row>
    <row r="983" ht="15.75" customHeight="1">
      <c r="A983" s="89"/>
      <c r="B983" s="88"/>
      <c r="C983" s="88"/>
      <c r="D983" s="88"/>
      <c r="E983" s="88"/>
      <c r="F983" s="88"/>
    </row>
    <row r="984" ht="15.75" customHeight="1">
      <c r="A984" s="89"/>
      <c r="B984" s="88"/>
      <c r="C984" s="88"/>
      <c r="D984" s="88"/>
      <c r="E984" s="88"/>
      <c r="F984" s="88"/>
    </row>
    <row r="985" ht="15.75" customHeight="1">
      <c r="A985" s="89"/>
      <c r="B985" s="88"/>
      <c r="C985" s="88"/>
      <c r="D985" s="88"/>
      <c r="E985" s="88"/>
      <c r="F985" s="88"/>
    </row>
    <row r="986" ht="15.75" customHeight="1">
      <c r="A986" s="89"/>
      <c r="B986" s="88"/>
      <c r="C986" s="88"/>
      <c r="D986" s="88"/>
      <c r="E986" s="88"/>
      <c r="F986" s="88"/>
    </row>
    <row r="987" ht="15.75" customHeight="1">
      <c r="A987" s="89"/>
      <c r="B987" s="88"/>
      <c r="C987" s="88"/>
      <c r="D987" s="88"/>
      <c r="E987" s="88"/>
      <c r="F987" s="88"/>
    </row>
    <row r="988" ht="15.75" customHeight="1">
      <c r="A988" s="89"/>
      <c r="B988" s="88"/>
      <c r="C988" s="88"/>
      <c r="D988" s="88"/>
      <c r="E988" s="88"/>
      <c r="F988" s="88"/>
    </row>
    <row r="989" ht="15.75" customHeight="1">
      <c r="A989" s="89"/>
      <c r="B989" s="88"/>
      <c r="C989" s="88"/>
      <c r="D989" s="88"/>
      <c r="E989" s="88"/>
      <c r="F989" s="88"/>
    </row>
    <row r="990" ht="15.75" customHeight="1">
      <c r="A990" s="89"/>
      <c r="B990" s="88"/>
      <c r="C990" s="88"/>
      <c r="D990" s="88"/>
      <c r="E990" s="88"/>
      <c r="F990" s="88"/>
    </row>
    <row r="991" ht="15.75" customHeight="1">
      <c r="A991" s="89"/>
      <c r="B991" s="88"/>
      <c r="C991" s="88"/>
      <c r="D991" s="88"/>
      <c r="E991" s="88"/>
      <c r="F991" s="88"/>
    </row>
    <row r="992" ht="15.75" customHeight="1">
      <c r="A992" s="89"/>
      <c r="B992" s="88"/>
      <c r="C992" s="88"/>
      <c r="D992" s="88"/>
      <c r="E992" s="88"/>
      <c r="F992" s="88"/>
    </row>
    <row r="993" ht="15.75" customHeight="1">
      <c r="A993" s="89"/>
      <c r="B993" s="88"/>
      <c r="C993" s="88"/>
      <c r="D993" s="88"/>
      <c r="E993" s="88"/>
      <c r="F993" s="88"/>
    </row>
    <row r="994" ht="15.75" customHeight="1">
      <c r="A994" s="89"/>
      <c r="B994" s="88"/>
      <c r="C994" s="88"/>
      <c r="D994" s="88"/>
      <c r="E994" s="88"/>
      <c r="F994" s="88"/>
    </row>
    <row r="995" ht="15.75" customHeight="1">
      <c r="A995" s="89"/>
      <c r="B995" s="88"/>
      <c r="C995" s="88"/>
      <c r="D995" s="88"/>
      <c r="E995" s="88"/>
      <c r="F995" s="88"/>
    </row>
    <row r="996" ht="15.75" customHeight="1">
      <c r="A996" s="89"/>
      <c r="B996" s="88"/>
      <c r="C996" s="88"/>
      <c r="D996" s="88"/>
      <c r="E996" s="88"/>
      <c r="F996" s="88"/>
    </row>
    <row r="997" ht="15.75" customHeight="1">
      <c r="A997" s="89"/>
      <c r="B997" s="88"/>
      <c r="C997" s="88"/>
      <c r="D997" s="88"/>
      <c r="E997" s="88"/>
      <c r="F997" s="88"/>
    </row>
    <row r="998" ht="15.75" customHeight="1">
      <c r="A998" s="89"/>
      <c r="B998" s="88"/>
      <c r="C998" s="88"/>
      <c r="D998" s="88"/>
      <c r="E998" s="88"/>
      <c r="F998" s="88"/>
    </row>
    <row r="999" ht="15.75" customHeight="1">
      <c r="A999" s="89"/>
      <c r="B999" s="88"/>
      <c r="C999" s="88"/>
      <c r="D999" s="88"/>
      <c r="E999" s="88"/>
      <c r="F999" s="88"/>
    </row>
    <row r="1000" ht="15.75" customHeight="1">
      <c r="A1000" s="89"/>
      <c r="B1000" s="88"/>
      <c r="C1000" s="88"/>
      <c r="D1000" s="88"/>
      <c r="E1000" s="88"/>
      <c r="F1000" s="88"/>
    </row>
  </sheetData>
  <autoFilter ref="$A$1:$E$35"/>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38"/>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71" t="s">
        <v>904</v>
      </c>
      <c r="U1" s="62"/>
      <c r="V1" s="62"/>
      <c r="W1" s="62"/>
      <c r="X1" s="62"/>
      <c r="Y1" s="62"/>
      <c r="Z1" s="62"/>
    </row>
    <row r="2">
      <c r="A2" s="7" t="s">
        <v>905</v>
      </c>
      <c r="B2" s="7" t="s">
        <v>906</v>
      </c>
      <c r="C2" s="7" t="s">
        <v>747</v>
      </c>
      <c r="D2" s="7" t="s">
        <v>907</v>
      </c>
      <c r="E2" s="7" t="s">
        <v>829</v>
      </c>
      <c r="F2" s="7" t="s">
        <v>39</v>
      </c>
      <c r="G2" s="7" t="s">
        <v>12</v>
      </c>
      <c r="H2" s="7" t="s">
        <v>908</v>
      </c>
      <c r="I2" s="33" t="s">
        <v>909</v>
      </c>
      <c r="J2" s="33" t="s">
        <v>910</v>
      </c>
      <c r="K2" s="58" t="s">
        <v>911</v>
      </c>
      <c r="L2" s="58" t="s">
        <v>912</v>
      </c>
      <c r="M2" s="7" t="s">
        <v>913</v>
      </c>
      <c r="N2" s="7"/>
      <c r="O2" s="7"/>
      <c r="P2" s="33"/>
      <c r="Q2" s="15" t="s">
        <v>3</v>
      </c>
      <c r="R2" s="172">
        <v>46143.0</v>
      </c>
      <c r="S2" s="150" t="s">
        <v>914</v>
      </c>
      <c r="T2" s="15"/>
      <c r="U2" s="62"/>
      <c r="V2" s="62"/>
      <c r="W2" s="62"/>
      <c r="X2" s="62"/>
      <c r="Y2" s="62"/>
      <c r="Z2" s="62"/>
    </row>
    <row r="3">
      <c r="A3" s="7" t="s">
        <v>915</v>
      </c>
      <c r="B3" s="7" t="s">
        <v>906</v>
      </c>
      <c r="C3" s="7" t="s">
        <v>747</v>
      </c>
      <c r="D3" s="7" t="s">
        <v>907</v>
      </c>
      <c r="E3" s="7" t="s">
        <v>829</v>
      </c>
      <c r="F3" s="7" t="s">
        <v>39</v>
      </c>
      <c r="G3" s="7" t="s">
        <v>12</v>
      </c>
      <c r="H3" s="7" t="s">
        <v>908</v>
      </c>
      <c r="I3" s="33" t="s">
        <v>916</v>
      </c>
      <c r="J3" s="33" t="s">
        <v>917</v>
      </c>
      <c r="K3" s="58" t="s">
        <v>918</v>
      </c>
      <c r="L3" s="58" t="s">
        <v>919</v>
      </c>
      <c r="M3" s="7" t="s">
        <v>913</v>
      </c>
      <c r="N3" s="7"/>
      <c r="O3" s="7"/>
      <c r="P3" s="33"/>
      <c r="Q3" s="15" t="s">
        <v>5</v>
      </c>
      <c r="R3" s="172">
        <v>46143.0</v>
      </c>
      <c r="S3" s="150" t="s">
        <v>920</v>
      </c>
      <c r="T3" s="15"/>
      <c r="U3" s="62"/>
      <c r="V3" s="62"/>
      <c r="W3" s="62"/>
      <c r="X3" s="62"/>
      <c r="Y3" s="62"/>
      <c r="Z3" s="62"/>
    </row>
    <row r="4">
      <c r="A4" s="7" t="s">
        <v>921</v>
      </c>
      <c r="B4" s="7" t="s">
        <v>906</v>
      </c>
      <c r="C4" s="7" t="s">
        <v>770</v>
      </c>
      <c r="D4" s="7" t="s">
        <v>907</v>
      </c>
      <c r="E4" s="7" t="s">
        <v>829</v>
      </c>
      <c r="F4" s="7" t="s">
        <v>39</v>
      </c>
      <c r="G4" s="7" t="s">
        <v>12</v>
      </c>
      <c r="H4" s="7" t="s">
        <v>908</v>
      </c>
      <c r="I4" s="33" t="s">
        <v>922</v>
      </c>
      <c r="J4" s="33" t="s">
        <v>923</v>
      </c>
      <c r="K4" s="58" t="s">
        <v>924</v>
      </c>
      <c r="L4" s="58" t="s">
        <v>925</v>
      </c>
      <c r="M4" s="7" t="s">
        <v>913</v>
      </c>
      <c r="N4" s="7"/>
      <c r="O4" s="7"/>
      <c r="P4" s="33"/>
      <c r="Q4" s="15" t="s">
        <v>5</v>
      </c>
      <c r="R4" s="172">
        <v>46143.0</v>
      </c>
      <c r="S4" s="150" t="s">
        <v>920</v>
      </c>
      <c r="T4" s="15"/>
      <c r="U4" s="62"/>
      <c r="V4" s="62"/>
      <c r="W4" s="62"/>
      <c r="X4" s="62"/>
      <c r="Y4" s="62"/>
      <c r="Z4" s="62"/>
    </row>
    <row r="5">
      <c r="A5" s="7" t="s">
        <v>926</v>
      </c>
      <c r="B5" s="7" t="s">
        <v>906</v>
      </c>
      <c r="C5" s="7" t="s">
        <v>747</v>
      </c>
      <c r="D5" s="7" t="s">
        <v>907</v>
      </c>
      <c r="E5" s="7" t="s">
        <v>829</v>
      </c>
      <c r="F5" s="7" t="s">
        <v>39</v>
      </c>
      <c r="G5" s="7" t="s">
        <v>12</v>
      </c>
      <c r="H5" s="7" t="s">
        <v>908</v>
      </c>
      <c r="I5" s="33" t="s">
        <v>927</v>
      </c>
      <c r="J5" s="33" t="s">
        <v>928</v>
      </c>
      <c r="K5" s="58" t="s">
        <v>929</v>
      </c>
      <c r="L5" s="58" t="s">
        <v>930</v>
      </c>
      <c r="M5" s="7" t="s">
        <v>913</v>
      </c>
      <c r="N5" s="7"/>
      <c r="O5" s="7"/>
      <c r="P5" s="33"/>
      <c r="Q5" s="15" t="s">
        <v>5</v>
      </c>
      <c r="R5" s="172">
        <v>46143.0</v>
      </c>
      <c r="S5" s="150" t="s">
        <v>920</v>
      </c>
      <c r="T5" s="15"/>
      <c r="U5" s="62"/>
      <c r="V5" s="62"/>
      <c r="W5" s="62"/>
      <c r="X5" s="62"/>
      <c r="Y5" s="62"/>
      <c r="Z5" s="62"/>
    </row>
    <row r="6">
      <c r="A6" s="7" t="s">
        <v>931</v>
      </c>
      <c r="B6" s="7" t="s">
        <v>906</v>
      </c>
      <c r="C6" s="7" t="s">
        <v>747</v>
      </c>
      <c r="D6" s="7" t="s">
        <v>907</v>
      </c>
      <c r="E6" s="7" t="s">
        <v>829</v>
      </c>
      <c r="F6" s="7" t="s">
        <v>39</v>
      </c>
      <c r="G6" s="7" t="s">
        <v>12</v>
      </c>
      <c r="H6" s="7" t="s">
        <v>908</v>
      </c>
      <c r="I6" s="33" t="s">
        <v>932</v>
      </c>
      <c r="J6" s="33" t="s">
        <v>933</v>
      </c>
      <c r="K6" s="58" t="s">
        <v>934</v>
      </c>
      <c r="L6" s="33" t="s">
        <v>39</v>
      </c>
      <c r="M6" s="7" t="s">
        <v>913</v>
      </c>
      <c r="N6" s="7"/>
      <c r="O6" s="7"/>
      <c r="P6" s="33"/>
      <c r="Q6" s="15" t="s">
        <v>5</v>
      </c>
      <c r="R6" s="172">
        <v>46143.0</v>
      </c>
      <c r="S6" s="150" t="s">
        <v>920</v>
      </c>
      <c r="T6" s="15"/>
      <c r="U6" s="62"/>
      <c r="V6" s="62"/>
      <c r="W6" s="62"/>
      <c r="X6" s="62"/>
      <c r="Y6" s="62"/>
      <c r="Z6" s="62"/>
    </row>
    <row r="7">
      <c r="A7" s="7" t="s">
        <v>935</v>
      </c>
      <c r="B7" s="7" t="s">
        <v>906</v>
      </c>
      <c r="C7" s="7" t="s">
        <v>747</v>
      </c>
      <c r="D7" s="7" t="s">
        <v>907</v>
      </c>
      <c r="E7" s="7" t="s">
        <v>829</v>
      </c>
      <c r="F7" s="7" t="s">
        <v>39</v>
      </c>
      <c r="G7" s="7" t="s">
        <v>12</v>
      </c>
      <c r="H7" s="7" t="s">
        <v>908</v>
      </c>
      <c r="I7" s="33" t="s">
        <v>936</v>
      </c>
      <c r="J7" s="33" t="s">
        <v>937</v>
      </c>
      <c r="K7" s="58" t="s">
        <v>938</v>
      </c>
      <c r="L7" s="33" t="s">
        <v>39</v>
      </c>
      <c r="M7" s="7" t="s">
        <v>913</v>
      </c>
      <c r="N7" s="7"/>
      <c r="O7" s="7"/>
      <c r="P7" s="33"/>
      <c r="Q7" s="15" t="s">
        <v>5</v>
      </c>
      <c r="R7" s="172">
        <v>46143.0</v>
      </c>
      <c r="S7" s="150" t="s">
        <v>920</v>
      </c>
      <c r="T7" s="15"/>
      <c r="U7" s="62"/>
      <c r="V7" s="62"/>
      <c r="W7" s="62"/>
      <c r="X7" s="62"/>
      <c r="Y7" s="62"/>
      <c r="Z7" s="62"/>
    </row>
    <row r="8">
      <c r="A8" s="7" t="s">
        <v>939</v>
      </c>
      <c r="B8" s="7" t="s">
        <v>906</v>
      </c>
      <c r="C8" s="7" t="s">
        <v>747</v>
      </c>
      <c r="D8" s="7" t="s">
        <v>907</v>
      </c>
      <c r="E8" s="7" t="s">
        <v>829</v>
      </c>
      <c r="F8" s="7" t="s">
        <v>39</v>
      </c>
      <c r="G8" s="7" t="s">
        <v>12</v>
      </c>
      <c r="H8" s="7" t="s">
        <v>908</v>
      </c>
      <c r="I8" s="33" t="s">
        <v>940</v>
      </c>
      <c r="J8" s="33" t="s">
        <v>941</v>
      </c>
      <c r="K8" s="58" t="s">
        <v>942</v>
      </c>
      <c r="L8" s="33" t="s">
        <v>39</v>
      </c>
      <c r="M8" s="7" t="s">
        <v>913</v>
      </c>
      <c r="N8" s="7"/>
      <c r="O8" s="7"/>
      <c r="P8" s="33"/>
      <c r="Q8" s="15" t="s">
        <v>5</v>
      </c>
      <c r="R8" s="172">
        <v>46143.0</v>
      </c>
      <c r="S8" s="150" t="s">
        <v>920</v>
      </c>
      <c r="T8" s="15"/>
      <c r="U8" s="62"/>
      <c r="V8" s="62"/>
      <c r="W8" s="62"/>
      <c r="X8" s="62"/>
      <c r="Y8" s="62"/>
      <c r="Z8" s="62"/>
    </row>
    <row r="9">
      <c r="A9" s="7" t="s">
        <v>943</v>
      </c>
      <c r="B9" s="7" t="s">
        <v>906</v>
      </c>
      <c r="C9" s="7" t="s">
        <v>770</v>
      </c>
      <c r="D9" s="7" t="s">
        <v>907</v>
      </c>
      <c r="E9" s="7" t="s">
        <v>829</v>
      </c>
      <c r="F9" s="7" t="s">
        <v>39</v>
      </c>
      <c r="G9" s="7" t="s">
        <v>12</v>
      </c>
      <c r="H9" s="7" t="s">
        <v>944</v>
      </c>
      <c r="I9" s="33" t="s">
        <v>945</v>
      </c>
      <c r="J9" s="33" t="s">
        <v>946</v>
      </c>
      <c r="K9" s="58" t="s">
        <v>947</v>
      </c>
      <c r="L9" s="33" t="s">
        <v>39</v>
      </c>
      <c r="M9" s="7" t="s">
        <v>913</v>
      </c>
      <c r="N9" s="7"/>
      <c r="O9" s="7"/>
      <c r="P9" s="33"/>
      <c r="Q9" s="15" t="s">
        <v>3</v>
      </c>
      <c r="R9" s="172" t="s">
        <v>948</v>
      </c>
      <c r="S9" s="150" t="s">
        <v>949</v>
      </c>
      <c r="T9" s="15"/>
      <c r="U9" s="62"/>
      <c r="V9" s="62"/>
      <c r="W9" s="62"/>
      <c r="X9" s="62"/>
      <c r="Y9" s="62"/>
      <c r="Z9" s="62"/>
    </row>
    <row r="10">
      <c r="A10" s="7" t="s">
        <v>950</v>
      </c>
      <c r="B10" s="7" t="s">
        <v>906</v>
      </c>
      <c r="C10" s="7" t="s">
        <v>770</v>
      </c>
      <c r="D10" s="7" t="s">
        <v>907</v>
      </c>
      <c r="E10" s="7" t="s">
        <v>829</v>
      </c>
      <c r="F10" s="7" t="s">
        <v>39</v>
      </c>
      <c r="G10" s="7" t="s">
        <v>12</v>
      </c>
      <c r="H10" s="7" t="s">
        <v>908</v>
      </c>
      <c r="I10" s="33" t="s">
        <v>951</v>
      </c>
      <c r="J10" s="33" t="s">
        <v>952</v>
      </c>
      <c r="K10" s="58" t="s">
        <v>953</v>
      </c>
      <c r="L10" s="58" t="s">
        <v>954</v>
      </c>
      <c r="M10" s="7" t="s">
        <v>913</v>
      </c>
      <c r="N10" s="7"/>
      <c r="O10" s="7"/>
      <c r="P10" s="33"/>
      <c r="Q10" s="15" t="s">
        <v>5</v>
      </c>
      <c r="R10" s="172">
        <v>46143.0</v>
      </c>
      <c r="S10" s="150" t="s">
        <v>920</v>
      </c>
      <c r="T10" s="15"/>
      <c r="U10" s="62"/>
      <c r="V10" s="62"/>
      <c r="W10" s="62"/>
      <c r="X10" s="62"/>
      <c r="Y10" s="62"/>
      <c r="Z10" s="62"/>
    </row>
    <row r="11">
      <c r="A11" s="7" t="s">
        <v>955</v>
      </c>
      <c r="B11" s="7" t="s">
        <v>906</v>
      </c>
      <c r="C11" s="7" t="s">
        <v>770</v>
      </c>
      <c r="D11" s="7" t="s">
        <v>907</v>
      </c>
      <c r="E11" s="7" t="s">
        <v>829</v>
      </c>
      <c r="F11" s="7" t="s">
        <v>39</v>
      </c>
      <c r="G11" s="7" t="s">
        <v>12</v>
      </c>
      <c r="H11" s="7" t="s">
        <v>908</v>
      </c>
      <c r="I11" s="33" t="s">
        <v>956</v>
      </c>
      <c r="J11" s="33" t="s">
        <v>957</v>
      </c>
      <c r="K11" s="58" t="s">
        <v>958</v>
      </c>
      <c r="L11" s="58" t="s">
        <v>959</v>
      </c>
      <c r="M11" s="7" t="s">
        <v>913</v>
      </c>
      <c r="N11" s="7"/>
      <c r="O11" s="173"/>
      <c r="P11" s="33"/>
      <c r="Q11" s="15" t="s">
        <v>5</v>
      </c>
      <c r="R11" s="172">
        <v>46143.0</v>
      </c>
      <c r="S11" s="150" t="s">
        <v>920</v>
      </c>
      <c r="T11" s="15"/>
      <c r="U11" s="62"/>
      <c r="V11" s="62"/>
      <c r="W11" s="62"/>
      <c r="X11" s="62"/>
      <c r="Y11" s="62"/>
      <c r="Z11" s="62"/>
    </row>
    <row r="12">
      <c r="A12" s="7" t="s">
        <v>960</v>
      </c>
      <c r="B12" s="7" t="s">
        <v>906</v>
      </c>
      <c r="C12" s="7" t="s">
        <v>747</v>
      </c>
      <c r="D12" s="7" t="s">
        <v>907</v>
      </c>
      <c r="E12" s="7" t="s">
        <v>829</v>
      </c>
      <c r="F12" s="7" t="s">
        <v>39</v>
      </c>
      <c r="G12" s="7" t="s">
        <v>12</v>
      </c>
      <c r="H12" s="7" t="s">
        <v>908</v>
      </c>
      <c r="I12" s="33" t="s">
        <v>961</v>
      </c>
      <c r="J12" s="33" t="s">
        <v>962</v>
      </c>
      <c r="K12" s="58" t="s">
        <v>963</v>
      </c>
      <c r="L12" s="58" t="s">
        <v>964</v>
      </c>
      <c r="M12" s="7" t="s">
        <v>913</v>
      </c>
      <c r="N12" s="7"/>
      <c r="O12" s="7"/>
      <c r="P12" s="33"/>
      <c r="Q12" s="15" t="s">
        <v>5</v>
      </c>
      <c r="R12" s="172">
        <v>46143.0</v>
      </c>
      <c r="S12" s="150" t="s">
        <v>920</v>
      </c>
      <c r="T12" s="15"/>
      <c r="U12" s="62"/>
      <c r="V12" s="62"/>
      <c r="W12" s="62"/>
      <c r="X12" s="62"/>
      <c r="Y12" s="62"/>
      <c r="Z12" s="62"/>
    </row>
    <row r="13">
      <c r="A13" s="7" t="s">
        <v>965</v>
      </c>
      <c r="B13" s="7" t="s">
        <v>906</v>
      </c>
      <c r="C13" s="7" t="s">
        <v>770</v>
      </c>
      <c r="D13" s="7" t="s">
        <v>907</v>
      </c>
      <c r="E13" s="7" t="s">
        <v>829</v>
      </c>
      <c r="F13" s="7" t="s">
        <v>39</v>
      </c>
      <c r="G13" s="7" t="s">
        <v>12</v>
      </c>
      <c r="H13" s="7" t="s">
        <v>908</v>
      </c>
      <c r="I13" s="33" t="s">
        <v>966</v>
      </c>
      <c r="J13" s="33" t="s">
        <v>967</v>
      </c>
      <c r="K13" s="58" t="s">
        <v>968</v>
      </c>
      <c r="L13" s="33" t="s">
        <v>39</v>
      </c>
      <c r="M13" s="7" t="s">
        <v>913</v>
      </c>
      <c r="N13" s="7"/>
      <c r="O13" s="7"/>
      <c r="P13" s="33"/>
      <c r="Q13" s="15" t="s">
        <v>5</v>
      </c>
      <c r="R13" s="172">
        <v>46143.0</v>
      </c>
      <c r="S13" s="150" t="s">
        <v>920</v>
      </c>
      <c r="T13" s="15"/>
      <c r="U13" s="62"/>
      <c r="V13" s="62"/>
      <c r="W13" s="62"/>
      <c r="X13" s="62"/>
      <c r="Y13" s="62"/>
      <c r="Z13" s="62"/>
    </row>
    <row r="14">
      <c r="A14" s="7" t="s">
        <v>969</v>
      </c>
      <c r="B14" s="7" t="s">
        <v>906</v>
      </c>
      <c r="C14" s="7" t="s">
        <v>747</v>
      </c>
      <c r="D14" s="7" t="s">
        <v>907</v>
      </c>
      <c r="E14" s="7" t="s">
        <v>829</v>
      </c>
      <c r="F14" s="7" t="s">
        <v>39</v>
      </c>
      <c r="G14" s="7" t="s">
        <v>16</v>
      </c>
      <c r="H14" s="7" t="s">
        <v>970</v>
      </c>
      <c r="I14" s="33" t="s">
        <v>971</v>
      </c>
      <c r="J14" s="33" t="s">
        <v>972</v>
      </c>
      <c r="K14" s="58" t="s">
        <v>973</v>
      </c>
      <c r="L14" s="33" t="s">
        <v>39</v>
      </c>
      <c r="M14" s="7" t="s">
        <v>913</v>
      </c>
      <c r="N14" s="7" t="s">
        <v>974</v>
      </c>
      <c r="O14" s="7"/>
      <c r="P14" s="33"/>
      <c r="Q14" s="15" t="s">
        <v>5</v>
      </c>
      <c r="R14" s="172">
        <v>46143.0</v>
      </c>
      <c r="S14" s="150" t="s">
        <v>975</v>
      </c>
      <c r="T14" s="15" t="s">
        <v>976</v>
      </c>
      <c r="U14" s="62"/>
      <c r="V14" s="62"/>
      <c r="W14" s="62"/>
      <c r="X14" s="62"/>
      <c r="Y14" s="62"/>
      <c r="Z14" s="62"/>
    </row>
    <row r="15">
      <c r="A15" s="7" t="s">
        <v>977</v>
      </c>
      <c r="B15" s="7" t="s">
        <v>906</v>
      </c>
      <c r="C15" s="7" t="s">
        <v>770</v>
      </c>
      <c r="D15" s="7" t="s">
        <v>907</v>
      </c>
      <c r="E15" s="7" t="s">
        <v>829</v>
      </c>
      <c r="F15" s="7" t="s">
        <v>39</v>
      </c>
      <c r="G15" s="7" t="s">
        <v>12</v>
      </c>
      <c r="H15" s="7" t="s">
        <v>908</v>
      </c>
      <c r="I15" s="33" t="s">
        <v>978</v>
      </c>
      <c r="J15" s="33" t="s">
        <v>979</v>
      </c>
      <c r="K15" s="58" t="s">
        <v>980</v>
      </c>
      <c r="L15" s="33" t="s">
        <v>39</v>
      </c>
      <c r="M15" s="7" t="s">
        <v>913</v>
      </c>
      <c r="N15" s="7"/>
      <c r="O15" s="7"/>
      <c r="P15" s="33"/>
      <c r="Q15" s="15" t="s">
        <v>5</v>
      </c>
      <c r="R15" s="172">
        <v>46143.0</v>
      </c>
      <c r="S15" s="150" t="s">
        <v>920</v>
      </c>
      <c r="T15" s="15"/>
      <c r="U15" s="62"/>
      <c r="V15" s="62"/>
      <c r="W15" s="62"/>
      <c r="X15" s="62"/>
      <c r="Y15" s="62"/>
      <c r="Z15" s="62"/>
    </row>
    <row r="16">
      <c r="A16" s="7" t="s">
        <v>981</v>
      </c>
      <c r="B16" s="7" t="s">
        <v>906</v>
      </c>
      <c r="C16" s="7" t="s">
        <v>747</v>
      </c>
      <c r="D16" s="7" t="s">
        <v>907</v>
      </c>
      <c r="E16" s="7" t="s">
        <v>829</v>
      </c>
      <c r="F16" s="7" t="s">
        <v>39</v>
      </c>
      <c r="G16" s="7" t="s">
        <v>12</v>
      </c>
      <c r="H16" s="7" t="s">
        <v>908</v>
      </c>
      <c r="I16" s="33" t="s">
        <v>982</v>
      </c>
      <c r="J16" s="33" t="s">
        <v>983</v>
      </c>
      <c r="K16" s="58" t="s">
        <v>984</v>
      </c>
      <c r="L16" s="33" t="s">
        <v>39</v>
      </c>
      <c r="M16" s="7" t="s">
        <v>913</v>
      </c>
      <c r="N16" s="7"/>
      <c r="O16" s="7"/>
      <c r="P16" s="33"/>
      <c r="Q16" s="15" t="s">
        <v>5</v>
      </c>
      <c r="R16" s="172">
        <v>46143.0</v>
      </c>
      <c r="S16" s="150" t="s">
        <v>920</v>
      </c>
      <c r="T16" s="15"/>
      <c r="U16" s="62"/>
      <c r="V16" s="62"/>
      <c r="W16" s="62"/>
      <c r="X16" s="62"/>
      <c r="Y16" s="62"/>
      <c r="Z16" s="62"/>
    </row>
    <row r="17">
      <c r="A17" s="7" t="s">
        <v>985</v>
      </c>
      <c r="B17" s="7" t="s">
        <v>906</v>
      </c>
      <c r="C17" s="7" t="s">
        <v>747</v>
      </c>
      <c r="D17" s="7" t="s">
        <v>907</v>
      </c>
      <c r="E17" s="7" t="s">
        <v>829</v>
      </c>
      <c r="F17" s="7" t="s">
        <v>39</v>
      </c>
      <c r="G17" s="7" t="s">
        <v>12</v>
      </c>
      <c r="H17" s="7" t="s">
        <v>908</v>
      </c>
      <c r="I17" s="33" t="s">
        <v>986</v>
      </c>
      <c r="J17" s="33" t="s">
        <v>987</v>
      </c>
      <c r="K17" s="58" t="s">
        <v>988</v>
      </c>
      <c r="L17" s="58" t="s">
        <v>989</v>
      </c>
      <c r="M17" s="7" t="s">
        <v>913</v>
      </c>
      <c r="N17" s="7"/>
      <c r="O17" s="7"/>
      <c r="P17" s="33"/>
      <c r="Q17" s="15" t="s">
        <v>5</v>
      </c>
      <c r="R17" s="172">
        <v>46143.0</v>
      </c>
      <c r="S17" s="150" t="s">
        <v>920</v>
      </c>
      <c r="T17" s="15"/>
      <c r="U17" s="62"/>
      <c r="V17" s="62"/>
      <c r="W17" s="62"/>
      <c r="X17" s="62"/>
      <c r="Y17" s="62"/>
      <c r="Z17" s="62"/>
    </row>
    <row r="18">
      <c r="A18" s="7" t="s">
        <v>990</v>
      </c>
      <c r="B18" s="7" t="s">
        <v>906</v>
      </c>
      <c r="C18" s="7" t="s">
        <v>747</v>
      </c>
      <c r="D18" s="7" t="s">
        <v>907</v>
      </c>
      <c r="E18" s="7" t="s">
        <v>829</v>
      </c>
      <c r="F18" s="7" t="s">
        <v>39</v>
      </c>
      <c r="G18" s="7" t="s">
        <v>12</v>
      </c>
      <c r="H18" s="7" t="s">
        <v>908</v>
      </c>
      <c r="I18" s="33" t="s">
        <v>991</v>
      </c>
      <c r="J18" s="33" t="s">
        <v>992</v>
      </c>
      <c r="K18" s="58" t="s">
        <v>993</v>
      </c>
      <c r="L18" s="33" t="s">
        <v>39</v>
      </c>
      <c r="M18" s="7" t="s">
        <v>913</v>
      </c>
      <c r="N18" s="7"/>
      <c r="O18" s="7"/>
      <c r="P18" s="33"/>
      <c r="Q18" s="15" t="s">
        <v>5</v>
      </c>
      <c r="R18" s="172">
        <v>46143.0</v>
      </c>
      <c r="S18" s="150" t="s">
        <v>920</v>
      </c>
      <c r="T18" s="15"/>
      <c r="U18" s="62"/>
      <c r="V18" s="62"/>
      <c r="W18" s="62"/>
      <c r="X18" s="62"/>
      <c r="Y18" s="62"/>
      <c r="Z18" s="62"/>
    </row>
    <row r="19">
      <c r="A19" s="7" t="s">
        <v>994</v>
      </c>
      <c r="B19" s="7" t="s">
        <v>906</v>
      </c>
      <c r="C19" s="7" t="s">
        <v>747</v>
      </c>
      <c r="D19" s="7" t="s">
        <v>907</v>
      </c>
      <c r="E19" s="7" t="s">
        <v>829</v>
      </c>
      <c r="F19" s="7" t="s">
        <v>39</v>
      </c>
      <c r="G19" s="7" t="s">
        <v>12</v>
      </c>
      <c r="H19" s="7" t="s">
        <v>908</v>
      </c>
      <c r="I19" s="33" t="s">
        <v>995</v>
      </c>
      <c r="J19" s="33" t="s">
        <v>996</v>
      </c>
      <c r="K19" s="58" t="s">
        <v>997</v>
      </c>
      <c r="L19" s="58" t="s">
        <v>998</v>
      </c>
      <c r="M19" s="7" t="s">
        <v>913</v>
      </c>
      <c r="N19" s="7"/>
      <c r="O19" s="7"/>
      <c r="P19" s="33"/>
      <c r="Q19" s="15" t="s">
        <v>5</v>
      </c>
      <c r="R19" s="172">
        <v>46143.0</v>
      </c>
      <c r="S19" s="150" t="s">
        <v>920</v>
      </c>
      <c r="T19" s="15"/>
      <c r="U19" s="62"/>
      <c r="V19" s="62"/>
      <c r="W19" s="62"/>
      <c r="X19" s="62"/>
      <c r="Y19" s="62"/>
      <c r="Z19" s="62"/>
    </row>
    <row r="20">
      <c r="A20" s="7" t="s">
        <v>999</v>
      </c>
      <c r="B20" s="7" t="s">
        <v>906</v>
      </c>
      <c r="C20" s="7" t="s">
        <v>747</v>
      </c>
      <c r="D20" s="7" t="s">
        <v>907</v>
      </c>
      <c r="E20" s="7" t="s">
        <v>756</v>
      </c>
      <c r="F20" s="7" t="s">
        <v>39</v>
      </c>
      <c r="G20" s="7" t="s">
        <v>12</v>
      </c>
      <c r="H20" s="7" t="s">
        <v>908</v>
      </c>
      <c r="I20" s="33" t="s">
        <v>1000</v>
      </c>
      <c r="J20" s="33" t="s">
        <v>1001</v>
      </c>
      <c r="K20" s="58" t="s">
        <v>1002</v>
      </c>
      <c r="L20" s="33" t="s">
        <v>39</v>
      </c>
      <c r="M20" s="7" t="s">
        <v>913</v>
      </c>
      <c r="N20" s="7"/>
      <c r="O20" s="7"/>
      <c r="P20" s="33"/>
      <c r="Q20" s="15" t="s">
        <v>5</v>
      </c>
      <c r="R20" s="172">
        <v>46143.0</v>
      </c>
      <c r="S20" s="150" t="s">
        <v>920</v>
      </c>
      <c r="T20" s="15"/>
      <c r="U20" s="62"/>
      <c r="V20" s="62"/>
      <c r="W20" s="62"/>
      <c r="X20" s="62"/>
      <c r="Y20" s="62"/>
      <c r="Z20" s="62"/>
    </row>
    <row r="21" ht="15.75" customHeight="1">
      <c r="A21" s="7" t="s">
        <v>1003</v>
      </c>
      <c r="B21" s="7" t="s">
        <v>906</v>
      </c>
      <c r="C21" s="7" t="s">
        <v>770</v>
      </c>
      <c r="D21" s="7" t="s">
        <v>907</v>
      </c>
      <c r="E21" s="7" t="s">
        <v>1004</v>
      </c>
      <c r="F21" s="7" t="s">
        <v>39</v>
      </c>
      <c r="G21" s="7" t="s">
        <v>16</v>
      </c>
      <c r="H21" s="7" t="s">
        <v>1005</v>
      </c>
      <c r="I21" s="33" t="s">
        <v>1006</v>
      </c>
      <c r="J21" s="33" t="s">
        <v>1007</v>
      </c>
      <c r="K21" s="58" t="s">
        <v>1008</v>
      </c>
      <c r="L21" s="58" t="s">
        <v>1009</v>
      </c>
      <c r="M21" s="7" t="s">
        <v>913</v>
      </c>
      <c r="N21" s="7" t="s">
        <v>1010</v>
      </c>
      <c r="O21" s="7"/>
      <c r="P21" s="33"/>
      <c r="Q21" s="15" t="s">
        <v>3</v>
      </c>
      <c r="R21" s="172" t="s">
        <v>1011</v>
      </c>
      <c r="S21" s="150" t="s">
        <v>1012</v>
      </c>
      <c r="T21" s="15"/>
      <c r="U21" s="62"/>
      <c r="V21" s="62"/>
      <c r="W21" s="62"/>
      <c r="X21" s="62"/>
      <c r="Y21" s="62"/>
      <c r="Z21" s="62"/>
    </row>
    <row r="22" ht="15.75" customHeight="1">
      <c r="A22" s="7" t="s">
        <v>1013</v>
      </c>
      <c r="B22" s="7" t="s">
        <v>906</v>
      </c>
      <c r="C22" s="7" t="s">
        <v>770</v>
      </c>
      <c r="D22" s="7" t="s">
        <v>907</v>
      </c>
      <c r="E22" s="7" t="s">
        <v>1004</v>
      </c>
      <c r="F22" s="7" t="s">
        <v>39</v>
      </c>
      <c r="G22" s="7" t="s">
        <v>12</v>
      </c>
      <c r="H22" s="7" t="s">
        <v>1014</v>
      </c>
      <c r="I22" s="33" t="s">
        <v>1015</v>
      </c>
      <c r="J22" s="33" t="s">
        <v>1016</v>
      </c>
      <c r="K22" s="58" t="s">
        <v>1017</v>
      </c>
      <c r="L22" s="33" t="s">
        <v>39</v>
      </c>
      <c r="M22" s="7" t="s">
        <v>913</v>
      </c>
      <c r="N22" s="7" t="s">
        <v>913</v>
      </c>
      <c r="O22" s="7" t="s">
        <v>1018</v>
      </c>
      <c r="P22" s="33" t="s">
        <v>1019</v>
      </c>
      <c r="Q22" s="15" t="s">
        <v>3</v>
      </c>
      <c r="R22" s="172">
        <v>46144.0</v>
      </c>
      <c r="S22" s="150" t="s">
        <v>1020</v>
      </c>
      <c r="T22" s="15"/>
      <c r="U22" s="62"/>
      <c r="V22" s="62"/>
      <c r="W22" s="62"/>
      <c r="X22" s="62"/>
      <c r="Y22" s="62"/>
      <c r="Z22" s="62"/>
    </row>
    <row r="23" ht="15.75" customHeight="1">
      <c r="A23" s="7" t="s">
        <v>1021</v>
      </c>
      <c r="B23" s="7" t="s">
        <v>906</v>
      </c>
      <c r="C23" s="7" t="s">
        <v>747</v>
      </c>
      <c r="D23" s="7" t="s">
        <v>907</v>
      </c>
      <c r="E23" s="7" t="s">
        <v>829</v>
      </c>
      <c r="F23" s="7" t="s">
        <v>39</v>
      </c>
      <c r="G23" s="50" t="s">
        <v>12</v>
      </c>
      <c r="H23" s="50" t="s">
        <v>1022</v>
      </c>
      <c r="I23" s="174" t="s">
        <v>1023</v>
      </c>
      <c r="J23" s="33" t="s">
        <v>1024</v>
      </c>
      <c r="K23" s="58" t="s">
        <v>1025</v>
      </c>
      <c r="L23" s="33" t="s">
        <v>39</v>
      </c>
      <c r="M23" s="7" t="s">
        <v>913</v>
      </c>
      <c r="N23" s="7" t="s">
        <v>753</v>
      </c>
      <c r="O23" s="7"/>
      <c r="P23" s="33" t="s">
        <v>1026</v>
      </c>
      <c r="Q23" s="15" t="s">
        <v>4</v>
      </c>
      <c r="R23" s="172" t="s">
        <v>1027</v>
      </c>
      <c r="S23" s="150" t="s">
        <v>1028</v>
      </c>
      <c r="T23" s="15" t="s">
        <v>1029</v>
      </c>
      <c r="U23" s="62"/>
      <c r="V23" s="62"/>
      <c r="W23" s="62"/>
      <c r="X23" s="62"/>
      <c r="Y23" s="62"/>
      <c r="Z23" s="62"/>
    </row>
    <row r="24" ht="15.75" customHeight="1">
      <c r="A24" s="7" t="s">
        <v>1030</v>
      </c>
      <c r="B24" s="7" t="s">
        <v>906</v>
      </c>
      <c r="C24" s="7" t="s">
        <v>747</v>
      </c>
      <c r="D24" s="7" t="s">
        <v>907</v>
      </c>
      <c r="E24" s="7" t="s">
        <v>829</v>
      </c>
      <c r="F24" s="7" t="s">
        <v>39</v>
      </c>
      <c r="G24" s="7" t="s">
        <v>12</v>
      </c>
      <c r="H24" s="7" t="s">
        <v>1031</v>
      </c>
      <c r="I24" s="33" t="s">
        <v>1023</v>
      </c>
      <c r="J24" s="33" t="s">
        <v>1032</v>
      </c>
      <c r="K24" s="58" t="s">
        <v>1033</v>
      </c>
      <c r="L24" s="33" t="s">
        <v>39</v>
      </c>
      <c r="M24" s="7" t="s">
        <v>913</v>
      </c>
      <c r="N24" s="7"/>
      <c r="O24" s="7"/>
      <c r="P24" s="33"/>
      <c r="Q24" s="15" t="s">
        <v>5</v>
      </c>
      <c r="R24" s="172" t="s">
        <v>1034</v>
      </c>
      <c r="S24" s="150" t="s">
        <v>1035</v>
      </c>
      <c r="T24" s="15"/>
      <c r="U24" s="62"/>
      <c r="V24" s="62"/>
      <c r="W24" s="62"/>
      <c r="X24" s="62"/>
      <c r="Y24" s="62"/>
      <c r="Z24" s="62"/>
    </row>
    <row r="25" ht="15.75" customHeight="1">
      <c r="A25" s="7" t="s">
        <v>1036</v>
      </c>
      <c r="B25" s="7" t="s">
        <v>906</v>
      </c>
      <c r="C25" s="7" t="s">
        <v>747</v>
      </c>
      <c r="D25" s="7" t="s">
        <v>907</v>
      </c>
      <c r="E25" s="7" t="s">
        <v>756</v>
      </c>
      <c r="F25" s="7" t="s">
        <v>39</v>
      </c>
      <c r="G25" s="7" t="s">
        <v>12</v>
      </c>
      <c r="H25" s="7" t="s">
        <v>1031</v>
      </c>
      <c r="I25" s="33" t="s">
        <v>1037</v>
      </c>
      <c r="J25" s="33" t="s">
        <v>1038</v>
      </c>
      <c r="K25" s="58" t="s">
        <v>1039</v>
      </c>
      <c r="L25" s="58" t="s">
        <v>1040</v>
      </c>
      <c r="M25" s="7" t="s">
        <v>913</v>
      </c>
      <c r="N25" s="7"/>
      <c r="O25" s="7"/>
      <c r="P25" s="33"/>
      <c r="Q25" s="15" t="s">
        <v>5</v>
      </c>
      <c r="R25" s="172" t="s">
        <v>1034</v>
      </c>
      <c r="S25" s="150" t="s">
        <v>1041</v>
      </c>
      <c r="T25" s="15"/>
      <c r="U25" s="62"/>
      <c r="V25" s="62"/>
      <c r="W25" s="62"/>
      <c r="X25" s="62"/>
      <c r="Y25" s="62"/>
      <c r="Z25" s="62"/>
    </row>
    <row r="26" ht="15.75" customHeight="1">
      <c r="A26" s="7" t="s">
        <v>1042</v>
      </c>
      <c r="B26" s="7" t="s">
        <v>906</v>
      </c>
      <c r="C26" s="7" t="s">
        <v>747</v>
      </c>
      <c r="D26" s="7" t="s">
        <v>907</v>
      </c>
      <c r="E26" s="7" t="s">
        <v>756</v>
      </c>
      <c r="F26" s="7" t="s">
        <v>39</v>
      </c>
      <c r="G26" s="7" t="s">
        <v>16</v>
      </c>
      <c r="H26" s="2" t="s">
        <v>1031</v>
      </c>
      <c r="I26" s="33" t="s">
        <v>1043</v>
      </c>
      <c r="J26" s="33" t="s">
        <v>1044</v>
      </c>
      <c r="K26" s="58" t="s">
        <v>1045</v>
      </c>
      <c r="L26" s="58" t="s">
        <v>1046</v>
      </c>
      <c r="M26" s="7" t="s">
        <v>913</v>
      </c>
      <c r="N26" s="7" t="s">
        <v>974</v>
      </c>
      <c r="O26" s="7"/>
      <c r="P26" s="33"/>
      <c r="Q26" s="15" t="s">
        <v>3</v>
      </c>
      <c r="R26" s="172" t="s">
        <v>1047</v>
      </c>
      <c r="S26" s="150" t="s">
        <v>1048</v>
      </c>
      <c r="T26" s="15"/>
      <c r="U26" s="62"/>
      <c r="V26" s="62"/>
      <c r="W26" s="62"/>
      <c r="X26" s="62"/>
      <c r="Y26" s="62"/>
      <c r="Z26" s="62"/>
    </row>
    <row r="27" ht="15.75" customHeight="1">
      <c r="A27" s="7" t="s">
        <v>1049</v>
      </c>
      <c r="B27" s="130">
        <v>46143.0</v>
      </c>
      <c r="C27" s="7" t="s">
        <v>770</v>
      </c>
      <c r="D27" s="7" t="s">
        <v>907</v>
      </c>
      <c r="E27" s="7" t="s">
        <v>1050</v>
      </c>
      <c r="F27" s="7" t="s">
        <v>39</v>
      </c>
      <c r="G27" s="7" t="s">
        <v>12</v>
      </c>
      <c r="H27" s="7" t="s">
        <v>1051</v>
      </c>
      <c r="I27" s="33" t="s">
        <v>1052</v>
      </c>
      <c r="J27" s="33" t="s">
        <v>1053</v>
      </c>
      <c r="K27" s="58" t="s">
        <v>1054</v>
      </c>
      <c r="L27" s="58" t="s">
        <v>39</v>
      </c>
      <c r="M27" s="7" t="s">
        <v>913</v>
      </c>
      <c r="N27" s="7" t="s">
        <v>753</v>
      </c>
      <c r="O27" s="7" t="s">
        <v>1029</v>
      </c>
      <c r="P27" s="33" t="s">
        <v>1055</v>
      </c>
      <c r="Q27" s="15" t="s">
        <v>3</v>
      </c>
      <c r="R27" s="172">
        <v>46267.0</v>
      </c>
      <c r="S27" s="150" t="s">
        <v>1056</v>
      </c>
      <c r="T27" s="15"/>
      <c r="U27" s="62"/>
      <c r="V27" s="62"/>
      <c r="W27" s="62"/>
      <c r="X27" s="62"/>
      <c r="Y27" s="62"/>
      <c r="Z27" s="62"/>
    </row>
    <row r="28" ht="15.75" customHeight="1">
      <c r="A28" s="7" t="s">
        <v>1057</v>
      </c>
      <c r="B28" s="130">
        <v>46174.0</v>
      </c>
      <c r="C28" s="7" t="s">
        <v>770</v>
      </c>
      <c r="D28" s="7" t="s">
        <v>907</v>
      </c>
      <c r="E28" s="7" t="s">
        <v>1058</v>
      </c>
      <c r="F28" s="7" t="s">
        <v>39</v>
      </c>
      <c r="G28" s="7" t="s">
        <v>12</v>
      </c>
      <c r="H28" s="7" t="s">
        <v>1051</v>
      </c>
      <c r="I28" s="33" t="s">
        <v>1059</v>
      </c>
      <c r="J28" s="33" t="s">
        <v>1060</v>
      </c>
      <c r="K28" s="58" t="s">
        <v>1061</v>
      </c>
      <c r="L28" s="33" t="s">
        <v>39</v>
      </c>
      <c r="M28" s="7" t="s">
        <v>913</v>
      </c>
      <c r="N28" s="7"/>
      <c r="O28" s="7"/>
      <c r="P28" s="33"/>
      <c r="Q28" s="15" t="s">
        <v>3</v>
      </c>
      <c r="R28" s="15" t="s">
        <v>1062</v>
      </c>
      <c r="S28" s="150" t="s">
        <v>1063</v>
      </c>
      <c r="T28" s="15"/>
      <c r="U28" s="62"/>
      <c r="V28" s="62"/>
      <c r="W28" s="62"/>
      <c r="X28" s="62"/>
      <c r="Y28" s="62"/>
      <c r="Z28" s="62"/>
    </row>
    <row r="29" ht="15.75" customHeight="1">
      <c r="A29" s="7" t="s">
        <v>1064</v>
      </c>
      <c r="B29" s="130">
        <v>46174.0</v>
      </c>
      <c r="C29" s="7" t="s">
        <v>747</v>
      </c>
      <c r="D29" s="7" t="s">
        <v>907</v>
      </c>
      <c r="E29" s="7" t="s">
        <v>756</v>
      </c>
      <c r="F29" s="7" t="s">
        <v>39</v>
      </c>
      <c r="G29" s="7" t="s">
        <v>12</v>
      </c>
      <c r="H29" s="7" t="s">
        <v>1031</v>
      </c>
      <c r="I29" s="33" t="s">
        <v>1065</v>
      </c>
      <c r="J29" s="33" t="s">
        <v>1066</v>
      </c>
      <c r="K29" s="58" t="s">
        <v>1067</v>
      </c>
      <c r="L29" s="33" t="s">
        <v>39</v>
      </c>
      <c r="M29" s="7" t="s">
        <v>913</v>
      </c>
      <c r="N29" s="7"/>
      <c r="O29" s="7"/>
      <c r="P29" s="69"/>
      <c r="Q29" s="15" t="s">
        <v>5</v>
      </c>
      <c r="R29" s="15" t="s">
        <v>1034</v>
      </c>
      <c r="S29" s="150" t="s">
        <v>1068</v>
      </c>
      <c r="T29" s="15"/>
      <c r="U29" s="62"/>
      <c r="V29" s="62"/>
      <c r="W29" s="62"/>
      <c r="X29" s="62"/>
      <c r="Y29" s="62"/>
      <c r="Z29" s="62"/>
    </row>
    <row r="30" ht="15.75" customHeight="1">
      <c r="A30" s="7" t="s">
        <v>1069</v>
      </c>
      <c r="B30" s="130">
        <v>46174.0</v>
      </c>
      <c r="C30" s="7" t="s">
        <v>747</v>
      </c>
      <c r="D30" s="7" t="s">
        <v>907</v>
      </c>
      <c r="E30" s="7" t="s">
        <v>1050</v>
      </c>
      <c r="F30" s="7" t="s">
        <v>39</v>
      </c>
      <c r="G30" s="7" t="s">
        <v>12</v>
      </c>
      <c r="H30" s="7" t="s">
        <v>1051</v>
      </c>
      <c r="I30" s="33" t="s">
        <v>1070</v>
      </c>
      <c r="J30" s="33" t="s">
        <v>1071</v>
      </c>
      <c r="K30" s="58" t="s">
        <v>1072</v>
      </c>
      <c r="L30" s="33" t="s">
        <v>39</v>
      </c>
      <c r="M30" s="7" t="s">
        <v>913</v>
      </c>
      <c r="N30" s="7" t="s">
        <v>753</v>
      </c>
      <c r="O30" s="7" t="s">
        <v>1018</v>
      </c>
      <c r="P30" s="111" t="s">
        <v>1073</v>
      </c>
      <c r="Q30" s="30" t="s">
        <v>3</v>
      </c>
      <c r="R30" s="172" t="s">
        <v>1074</v>
      </c>
      <c r="S30" s="150" t="s">
        <v>1075</v>
      </c>
      <c r="T30" s="15"/>
      <c r="U30" s="62"/>
      <c r="V30" s="62"/>
      <c r="W30" s="62"/>
      <c r="X30" s="62"/>
      <c r="Y30" s="62"/>
      <c r="Z30" s="62"/>
    </row>
    <row r="31" ht="15.75" customHeight="1">
      <c r="A31" s="7" t="s">
        <v>1076</v>
      </c>
      <c r="B31" s="130">
        <v>46174.0</v>
      </c>
      <c r="C31" s="7" t="s">
        <v>747</v>
      </c>
      <c r="D31" s="7" t="s">
        <v>907</v>
      </c>
      <c r="E31" s="7" t="s">
        <v>829</v>
      </c>
      <c r="F31" s="7" t="s">
        <v>39</v>
      </c>
      <c r="G31" s="7" t="s">
        <v>12</v>
      </c>
      <c r="H31" s="7" t="s">
        <v>1077</v>
      </c>
      <c r="I31" s="33" t="s">
        <v>1078</v>
      </c>
      <c r="J31" s="33" t="s">
        <v>1079</v>
      </c>
      <c r="K31" s="58" t="s">
        <v>1080</v>
      </c>
      <c r="L31" s="58" t="s">
        <v>1081</v>
      </c>
      <c r="M31" s="7" t="s">
        <v>913</v>
      </c>
      <c r="N31" s="7" t="s">
        <v>753</v>
      </c>
      <c r="O31" s="7" t="s">
        <v>1029</v>
      </c>
      <c r="P31" s="37" t="s">
        <v>1082</v>
      </c>
      <c r="Q31" s="15" t="s">
        <v>3</v>
      </c>
      <c r="R31" s="172">
        <v>46267.0</v>
      </c>
      <c r="S31" s="150" t="s">
        <v>1083</v>
      </c>
      <c r="T31" s="15"/>
      <c r="U31" s="62"/>
      <c r="V31" s="62"/>
      <c r="W31" s="62"/>
      <c r="X31" s="62"/>
      <c r="Y31" s="62"/>
      <c r="Z31" s="62"/>
    </row>
    <row r="32" ht="15.75" customHeight="1">
      <c r="A32" s="7" t="s">
        <v>1084</v>
      </c>
      <c r="B32" s="130">
        <v>46235.0</v>
      </c>
      <c r="C32" s="7" t="s">
        <v>755</v>
      </c>
      <c r="D32" s="7" t="s">
        <v>1085</v>
      </c>
      <c r="E32" s="7" t="s">
        <v>829</v>
      </c>
      <c r="F32" s="7" t="s">
        <v>39</v>
      </c>
      <c r="G32" s="7" t="s">
        <v>12</v>
      </c>
      <c r="H32" s="7" t="s">
        <v>1086</v>
      </c>
      <c r="I32" s="33" t="s">
        <v>1087</v>
      </c>
      <c r="J32" s="33" t="s">
        <v>1088</v>
      </c>
      <c r="K32" s="58" t="s">
        <v>1089</v>
      </c>
      <c r="L32" s="33" t="s">
        <v>39</v>
      </c>
      <c r="M32" s="7" t="s">
        <v>913</v>
      </c>
      <c r="N32" s="7"/>
      <c r="O32" s="7"/>
      <c r="P32" s="33"/>
      <c r="Q32" s="15" t="s">
        <v>3</v>
      </c>
      <c r="R32" s="15" t="s">
        <v>1090</v>
      </c>
      <c r="S32" s="150" t="s">
        <v>1091</v>
      </c>
      <c r="T32" s="15"/>
      <c r="U32" s="62"/>
      <c r="V32" s="62"/>
      <c r="W32" s="62"/>
      <c r="X32" s="62"/>
      <c r="Y32" s="62"/>
      <c r="Z32" s="62"/>
    </row>
    <row r="33" ht="15.75" customHeight="1">
      <c r="A33" s="7" t="s">
        <v>1092</v>
      </c>
      <c r="B33" s="130">
        <v>46357.0</v>
      </c>
      <c r="C33" s="7" t="s">
        <v>770</v>
      </c>
      <c r="D33" s="7" t="s">
        <v>907</v>
      </c>
      <c r="E33" s="7" t="s">
        <v>829</v>
      </c>
      <c r="F33" s="7" t="s">
        <v>39</v>
      </c>
      <c r="G33" s="7" t="s">
        <v>12</v>
      </c>
      <c r="H33" s="7" t="s">
        <v>944</v>
      </c>
      <c r="I33" s="33" t="s">
        <v>1093</v>
      </c>
      <c r="J33" s="33" t="s">
        <v>1094</v>
      </c>
      <c r="K33" s="58" t="s">
        <v>1095</v>
      </c>
      <c r="L33" s="58" t="s">
        <v>1096</v>
      </c>
      <c r="M33" s="7" t="s">
        <v>913</v>
      </c>
      <c r="N33" s="7"/>
      <c r="O33" s="7"/>
      <c r="P33" s="33"/>
      <c r="Q33" s="15" t="s">
        <v>3</v>
      </c>
      <c r="R33" s="15" t="s">
        <v>1097</v>
      </c>
      <c r="S33" s="150" t="s">
        <v>1098</v>
      </c>
      <c r="T33" s="15"/>
      <c r="U33" s="62"/>
      <c r="V33" s="62"/>
      <c r="W33" s="62"/>
      <c r="X33" s="62"/>
      <c r="Y33" s="62"/>
      <c r="Z33" s="62"/>
    </row>
    <row r="34" ht="15.75" customHeight="1">
      <c r="A34" s="7" t="s">
        <v>1099</v>
      </c>
      <c r="B34" s="130">
        <v>46357.0</v>
      </c>
      <c r="C34" s="7" t="s">
        <v>747</v>
      </c>
      <c r="D34" s="7" t="s">
        <v>907</v>
      </c>
      <c r="E34" s="7" t="s">
        <v>829</v>
      </c>
      <c r="F34" s="7" t="s">
        <v>39</v>
      </c>
      <c r="G34" s="7" t="s">
        <v>12</v>
      </c>
      <c r="H34" s="7" t="s">
        <v>944</v>
      </c>
      <c r="I34" s="33" t="s">
        <v>1100</v>
      </c>
      <c r="J34" s="33" t="s">
        <v>1101</v>
      </c>
      <c r="K34" s="58" t="s">
        <v>1102</v>
      </c>
      <c r="L34" s="58" t="s">
        <v>1103</v>
      </c>
      <c r="M34" s="7" t="s">
        <v>913</v>
      </c>
      <c r="N34" s="7"/>
      <c r="O34" s="7"/>
      <c r="P34" s="33"/>
      <c r="Q34" s="15" t="s">
        <v>3</v>
      </c>
      <c r="R34" s="15" t="s">
        <v>1097</v>
      </c>
      <c r="S34" s="150" t="s">
        <v>1098</v>
      </c>
      <c r="T34" s="15"/>
      <c r="U34" s="62"/>
      <c r="V34" s="62"/>
      <c r="W34" s="62"/>
      <c r="X34" s="62"/>
      <c r="Y34" s="62"/>
      <c r="Z34" s="62"/>
    </row>
    <row r="35" ht="15.75" customHeight="1">
      <c r="A35" s="7" t="s">
        <v>1104</v>
      </c>
      <c r="B35" s="130">
        <v>46357.0</v>
      </c>
      <c r="C35" s="7" t="s">
        <v>770</v>
      </c>
      <c r="D35" s="7" t="s">
        <v>907</v>
      </c>
      <c r="E35" s="7" t="s">
        <v>829</v>
      </c>
      <c r="F35" s="7" t="s">
        <v>39</v>
      </c>
      <c r="G35" s="7" t="s">
        <v>12</v>
      </c>
      <c r="H35" s="7" t="s">
        <v>944</v>
      </c>
      <c r="I35" s="33" t="s">
        <v>1105</v>
      </c>
      <c r="J35" s="33" t="s">
        <v>1094</v>
      </c>
      <c r="K35" s="58" t="s">
        <v>1106</v>
      </c>
      <c r="L35" s="58" t="s">
        <v>1107</v>
      </c>
      <c r="M35" s="7" t="s">
        <v>913</v>
      </c>
      <c r="N35" s="7"/>
      <c r="O35" s="7"/>
      <c r="P35" s="33"/>
      <c r="Q35" s="15" t="s">
        <v>3</v>
      </c>
      <c r="R35" s="15" t="s">
        <v>1097</v>
      </c>
      <c r="S35" s="150" t="s">
        <v>1098</v>
      </c>
      <c r="T35" s="15"/>
      <c r="U35" s="62"/>
      <c r="V35" s="62"/>
      <c r="W35" s="62"/>
      <c r="X35" s="62"/>
      <c r="Y35" s="62"/>
      <c r="Z35" s="62"/>
    </row>
    <row r="36" ht="15.75" customHeight="1">
      <c r="A36" s="7" t="s">
        <v>1108</v>
      </c>
      <c r="B36" s="130">
        <v>46357.0</v>
      </c>
      <c r="C36" s="7" t="s">
        <v>755</v>
      </c>
      <c r="D36" s="7" t="s">
        <v>907</v>
      </c>
      <c r="E36" s="7" t="s">
        <v>1109</v>
      </c>
      <c r="F36" s="7" t="s">
        <v>39</v>
      </c>
      <c r="G36" s="7" t="s">
        <v>12</v>
      </c>
      <c r="H36" s="7" t="s">
        <v>1110</v>
      </c>
      <c r="I36" s="33" t="s">
        <v>1111</v>
      </c>
      <c r="J36" s="33" t="s">
        <v>1112</v>
      </c>
      <c r="K36" s="58" t="s">
        <v>1113</v>
      </c>
      <c r="L36" s="58" t="s">
        <v>1114</v>
      </c>
      <c r="M36" s="7" t="s">
        <v>913</v>
      </c>
      <c r="N36" s="7" t="s">
        <v>753</v>
      </c>
      <c r="O36" s="7" t="s">
        <v>1018</v>
      </c>
      <c r="P36" s="37" t="s">
        <v>1082</v>
      </c>
      <c r="Q36" s="15" t="s">
        <v>3</v>
      </c>
      <c r="R36" s="175">
        <v>46267.0</v>
      </c>
      <c r="S36" s="176" t="s">
        <v>1115</v>
      </c>
      <c r="T36" s="15"/>
      <c r="U36" s="62"/>
      <c r="V36" s="62"/>
      <c r="W36" s="62"/>
      <c r="X36" s="62"/>
      <c r="Y36" s="62"/>
      <c r="Z36" s="62"/>
    </row>
    <row r="37" ht="15.75" customHeight="1">
      <c r="A37" s="7" t="s">
        <v>1116</v>
      </c>
      <c r="B37" s="130">
        <v>46357.0</v>
      </c>
      <c r="C37" s="7" t="s">
        <v>747</v>
      </c>
      <c r="D37" s="7" t="s">
        <v>907</v>
      </c>
      <c r="E37" s="7" t="s">
        <v>1109</v>
      </c>
      <c r="F37" s="7" t="s">
        <v>39</v>
      </c>
      <c r="G37" s="7" t="s">
        <v>12</v>
      </c>
      <c r="H37" s="7" t="s">
        <v>1110</v>
      </c>
      <c r="I37" s="33" t="s">
        <v>1117</v>
      </c>
      <c r="J37" s="33" t="s">
        <v>1118</v>
      </c>
      <c r="K37" s="58" t="s">
        <v>1119</v>
      </c>
      <c r="L37" s="58" t="s">
        <v>1120</v>
      </c>
      <c r="M37" s="7" t="s">
        <v>913</v>
      </c>
      <c r="N37" s="7" t="s">
        <v>753</v>
      </c>
      <c r="O37" s="7" t="s">
        <v>1029</v>
      </c>
      <c r="P37" s="37" t="s">
        <v>1121</v>
      </c>
      <c r="Q37" s="15" t="s">
        <v>3</v>
      </c>
      <c r="R37" s="130" t="s">
        <v>1074</v>
      </c>
      <c r="S37" s="150" t="s">
        <v>1122</v>
      </c>
      <c r="T37" s="15"/>
      <c r="U37" s="62"/>
      <c r="V37" s="62"/>
      <c r="W37" s="62"/>
      <c r="X37" s="62"/>
      <c r="Y37" s="62"/>
      <c r="Z37" s="62"/>
    </row>
    <row r="38" ht="15.75" customHeight="1">
      <c r="A38" s="7" t="s">
        <v>1123</v>
      </c>
      <c r="B38" s="130">
        <v>46357.0</v>
      </c>
      <c r="C38" s="7" t="s">
        <v>770</v>
      </c>
      <c r="D38" s="7" t="s">
        <v>907</v>
      </c>
      <c r="E38" s="7" t="s">
        <v>1109</v>
      </c>
      <c r="F38" s="7" t="s">
        <v>39</v>
      </c>
      <c r="G38" s="7" t="s">
        <v>12</v>
      </c>
      <c r="H38" s="7" t="s">
        <v>944</v>
      </c>
      <c r="I38" s="33" t="s">
        <v>1124</v>
      </c>
      <c r="J38" s="33" t="s">
        <v>1125</v>
      </c>
      <c r="K38" s="58" t="s">
        <v>1126</v>
      </c>
      <c r="L38" s="33" t="s">
        <v>39</v>
      </c>
      <c r="M38" s="7" t="s">
        <v>913</v>
      </c>
      <c r="N38" s="7"/>
      <c r="O38" s="7"/>
      <c r="P38" s="69"/>
      <c r="Q38" s="52" t="s">
        <v>3</v>
      </c>
      <c r="R38" s="52" t="s">
        <v>1127</v>
      </c>
      <c r="S38" s="177" t="s">
        <v>1128</v>
      </c>
      <c r="T38" s="15"/>
      <c r="U38" s="62"/>
      <c r="V38" s="62"/>
      <c r="W38" s="62"/>
      <c r="X38" s="62"/>
      <c r="Y38" s="62"/>
      <c r="Z38" s="62"/>
    </row>
    <row r="39" ht="15.75" customHeight="1">
      <c r="A39" s="7" t="s">
        <v>1129</v>
      </c>
      <c r="B39" s="7" t="s">
        <v>1097</v>
      </c>
      <c r="C39" s="7" t="s">
        <v>747</v>
      </c>
      <c r="D39" s="7" t="s">
        <v>907</v>
      </c>
      <c r="E39" s="7" t="s">
        <v>756</v>
      </c>
      <c r="F39" s="7" t="s">
        <v>39</v>
      </c>
      <c r="G39" s="7" t="s">
        <v>12</v>
      </c>
      <c r="H39" s="7" t="s">
        <v>1031</v>
      </c>
      <c r="I39" s="33" t="s">
        <v>1130</v>
      </c>
      <c r="J39" s="33" t="s">
        <v>1131</v>
      </c>
      <c r="K39" s="58" t="s">
        <v>1132</v>
      </c>
      <c r="L39" s="58" t="s">
        <v>1133</v>
      </c>
      <c r="M39" s="7" t="s">
        <v>913</v>
      </c>
      <c r="N39" s="7"/>
      <c r="O39" s="15"/>
      <c r="P39" s="33"/>
      <c r="Q39" s="30" t="s">
        <v>5</v>
      </c>
      <c r="R39" s="15" t="s">
        <v>1034</v>
      </c>
      <c r="S39" s="150" t="s">
        <v>1134</v>
      </c>
      <c r="T39" s="15"/>
      <c r="U39" s="62"/>
      <c r="V39" s="62"/>
      <c r="W39" s="62"/>
      <c r="X39" s="62"/>
      <c r="Y39" s="62"/>
      <c r="Z39" s="62"/>
    </row>
    <row r="40" ht="15.75" customHeight="1">
      <c r="A40" s="7" t="s">
        <v>1135</v>
      </c>
      <c r="B40" s="7" t="s">
        <v>1127</v>
      </c>
      <c r="C40" s="7" t="s">
        <v>770</v>
      </c>
      <c r="D40" s="7" t="s">
        <v>907</v>
      </c>
      <c r="E40" s="7" t="s">
        <v>829</v>
      </c>
      <c r="F40" s="7" t="s">
        <v>39</v>
      </c>
      <c r="G40" s="7" t="s">
        <v>12</v>
      </c>
      <c r="H40" s="7" t="s">
        <v>1086</v>
      </c>
      <c r="I40" s="33" t="s">
        <v>1136</v>
      </c>
      <c r="J40" s="33" t="s">
        <v>1137</v>
      </c>
      <c r="K40" s="58" t="s">
        <v>1138</v>
      </c>
      <c r="L40" s="33" t="s">
        <v>39</v>
      </c>
      <c r="M40" s="7" t="s">
        <v>913</v>
      </c>
      <c r="N40" s="35"/>
      <c r="O40" s="15"/>
      <c r="P40" s="178" t="s">
        <v>1139</v>
      </c>
      <c r="Q40" s="30" t="s">
        <v>3</v>
      </c>
      <c r="R40" s="15" t="s">
        <v>1140</v>
      </c>
      <c r="S40" s="150" t="s">
        <v>1141</v>
      </c>
      <c r="T40" s="15"/>
      <c r="U40" s="62"/>
      <c r="V40" s="62"/>
      <c r="W40" s="62"/>
      <c r="X40" s="62"/>
      <c r="Y40" s="62"/>
      <c r="Z40" s="62"/>
    </row>
    <row r="41" ht="15.75" customHeight="1">
      <c r="A41" s="7" t="s">
        <v>1142</v>
      </c>
      <c r="B41" s="7" t="s">
        <v>1127</v>
      </c>
      <c r="C41" s="7" t="s">
        <v>770</v>
      </c>
      <c r="D41" s="7" t="s">
        <v>907</v>
      </c>
      <c r="E41" s="7" t="s">
        <v>829</v>
      </c>
      <c r="F41" s="7" t="s">
        <v>39</v>
      </c>
      <c r="G41" s="7" t="s">
        <v>12</v>
      </c>
      <c r="H41" s="7" t="s">
        <v>1143</v>
      </c>
      <c r="I41" s="33" t="s">
        <v>1144</v>
      </c>
      <c r="J41" s="33" t="s">
        <v>1145</v>
      </c>
      <c r="K41" s="58" t="s">
        <v>1146</v>
      </c>
      <c r="L41" s="33" t="s">
        <v>39</v>
      </c>
      <c r="M41" s="15" t="s">
        <v>913</v>
      </c>
      <c r="N41" s="7" t="s">
        <v>913</v>
      </c>
      <c r="O41" s="14" t="s">
        <v>1018</v>
      </c>
      <c r="P41" s="65" t="s">
        <v>1139</v>
      </c>
      <c r="Q41" s="30" t="s">
        <v>3</v>
      </c>
      <c r="R41" s="172">
        <v>46114.0</v>
      </c>
      <c r="S41" s="150" t="s">
        <v>1147</v>
      </c>
      <c r="T41" s="15"/>
      <c r="U41" s="62"/>
      <c r="V41" s="62"/>
      <c r="W41" s="62"/>
      <c r="X41" s="62"/>
      <c r="Y41" s="62"/>
      <c r="Z41" s="62"/>
    </row>
    <row r="42" ht="15.75" customHeight="1">
      <c r="A42" s="7" t="s">
        <v>1148</v>
      </c>
      <c r="B42" s="7" t="s">
        <v>1127</v>
      </c>
      <c r="C42" s="7" t="s">
        <v>770</v>
      </c>
      <c r="D42" s="7" t="s">
        <v>907</v>
      </c>
      <c r="E42" s="7" t="s">
        <v>1058</v>
      </c>
      <c r="F42" s="7" t="s">
        <v>39</v>
      </c>
      <c r="G42" s="7" t="s">
        <v>12</v>
      </c>
      <c r="H42" s="7" t="s">
        <v>1051</v>
      </c>
      <c r="I42" s="33" t="s">
        <v>1149</v>
      </c>
      <c r="J42" s="33" t="s">
        <v>1150</v>
      </c>
      <c r="K42" s="58" t="s">
        <v>1151</v>
      </c>
      <c r="L42" s="33" t="s">
        <v>39</v>
      </c>
      <c r="M42" s="15" t="s">
        <v>913</v>
      </c>
      <c r="N42" s="7" t="s">
        <v>913</v>
      </c>
      <c r="O42" s="14" t="s">
        <v>1018</v>
      </c>
      <c r="P42" s="33" t="s">
        <v>1152</v>
      </c>
      <c r="Q42" s="15" t="s">
        <v>3</v>
      </c>
      <c r="R42" s="15" t="s">
        <v>1062</v>
      </c>
      <c r="S42" s="150" t="s">
        <v>1153</v>
      </c>
      <c r="T42" s="15"/>
      <c r="U42" s="62"/>
      <c r="V42" s="62"/>
      <c r="W42" s="62"/>
      <c r="X42" s="62"/>
      <c r="Y42" s="62"/>
      <c r="Z42" s="62"/>
    </row>
    <row r="43" ht="15.75" customHeight="1">
      <c r="A43" s="7" t="s">
        <v>1154</v>
      </c>
      <c r="B43" s="7" t="s">
        <v>1155</v>
      </c>
      <c r="C43" s="7" t="s">
        <v>770</v>
      </c>
      <c r="D43" s="7" t="s">
        <v>907</v>
      </c>
      <c r="E43" s="7" t="s">
        <v>1058</v>
      </c>
      <c r="F43" s="7" t="s">
        <v>39</v>
      </c>
      <c r="G43" s="7" t="s">
        <v>12</v>
      </c>
      <c r="H43" s="35" t="s">
        <v>1051</v>
      </c>
      <c r="I43" s="33" t="s">
        <v>1156</v>
      </c>
      <c r="J43" s="33" t="s">
        <v>1157</v>
      </c>
      <c r="K43" s="58" t="s">
        <v>1158</v>
      </c>
      <c r="L43" s="33" t="s">
        <v>39</v>
      </c>
      <c r="M43" s="15" t="s">
        <v>913</v>
      </c>
      <c r="N43" s="7" t="s">
        <v>913</v>
      </c>
      <c r="O43" s="14" t="s">
        <v>1018</v>
      </c>
      <c r="P43" s="33" t="s">
        <v>1152</v>
      </c>
      <c r="Q43" s="15" t="s">
        <v>3</v>
      </c>
      <c r="R43" s="15" t="s">
        <v>1062</v>
      </c>
      <c r="S43" s="150" t="s">
        <v>1153</v>
      </c>
      <c r="T43" s="15"/>
      <c r="U43" s="62"/>
      <c r="V43" s="62"/>
      <c r="W43" s="62"/>
      <c r="X43" s="62"/>
      <c r="Y43" s="62"/>
      <c r="Z43" s="62"/>
    </row>
    <row r="44" ht="15.75" customHeight="1">
      <c r="A44" s="7" t="s">
        <v>1159</v>
      </c>
      <c r="B44" s="7" t="s">
        <v>1160</v>
      </c>
      <c r="C44" s="7" t="s">
        <v>755</v>
      </c>
      <c r="D44" s="7" t="s">
        <v>907</v>
      </c>
      <c r="E44" s="7" t="s">
        <v>1058</v>
      </c>
      <c r="F44" s="15" t="s">
        <v>39</v>
      </c>
      <c r="G44" s="7" t="s">
        <v>16</v>
      </c>
      <c r="H44" s="7" t="s">
        <v>970</v>
      </c>
      <c r="I44" s="41" t="s">
        <v>1161</v>
      </c>
      <c r="J44" s="33" t="s">
        <v>1162</v>
      </c>
      <c r="K44" s="58" t="s">
        <v>1163</v>
      </c>
      <c r="L44" s="58" t="s">
        <v>1164</v>
      </c>
      <c r="M44" s="15" t="s">
        <v>913</v>
      </c>
      <c r="N44" s="7" t="s">
        <v>974</v>
      </c>
      <c r="O44" s="14" t="s">
        <v>1018</v>
      </c>
      <c r="P44" s="65"/>
      <c r="Q44" s="15" t="s">
        <v>3</v>
      </c>
      <c r="R44" s="172" t="s">
        <v>1165</v>
      </c>
      <c r="S44" s="150" t="s">
        <v>1166</v>
      </c>
      <c r="T44" s="15" t="s">
        <v>1029</v>
      </c>
      <c r="U44" s="62"/>
      <c r="V44" s="62"/>
      <c r="W44" s="62"/>
      <c r="X44" s="62"/>
      <c r="Y44" s="62"/>
      <c r="Z44" s="62"/>
    </row>
    <row r="45" ht="15.75" customHeight="1">
      <c r="A45" s="7" t="s">
        <v>1167</v>
      </c>
      <c r="B45" s="7" t="s">
        <v>1047</v>
      </c>
      <c r="C45" s="7" t="s">
        <v>747</v>
      </c>
      <c r="D45" s="7" t="s">
        <v>907</v>
      </c>
      <c r="E45" s="7" t="s">
        <v>1058</v>
      </c>
      <c r="F45" s="15" t="s">
        <v>39</v>
      </c>
      <c r="G45" s="15" t="s">
        <v>12</v>
      </c>
      <c r="H45" s="7" t="s">
        <v>1086</v>
      </c>
      <c r="I45" s="41" t="s">
        <v>1168</v>
      </c>
      <c r="J45" s="33" t="s">
        <v>1169</v>
      </c>
      <c r="K45" s="58" t="s">
        <v>1170</v>
      </c>
      <c r="L45" s="33" t="s">
        <v>39</v>
      </c>
      <c r="M45" s="15" t="s">
        <v>913</v>
      </c>
      <c r="N45" s="7" t="s">
        <v>913</v>
      </c>
      <c r="O45" s="14" t="s">
        <v>1018</v>
      </c>
      <c r="P45" s="65" t="s">
        <v>1139</v>
      </c>
      <c r="Q45" s="30" t="s">
        <v>3</v>
      </c>
      <c r="R45" s="172">
        <v>46114.0</v>
      </c>
      <c r="S45" s="150" t="s">
        <v>1147</v>
      </c>
      <c r="T45" s="15"/>
      <c r="U45" s="62"/>
      <c r="V45" s="62"/>
      <c r="W45" s="62"/>
      <c r="X45" s="62"/>
      <c r="Y45" s="62"/>
      <c r="Z45" s="62"/>
    </row>
    <row r="46" ht="15.75" customHeight="1">
      <c r="A46" s="7" t="s">
        <v>1171</v>
      </c>
      <c r="B46" s="7" t="s">
        <v>1047</v>
      </c>
      <c r="C46" s="7" t="s">
        <v>755</v>
      </c>
      <c r="D46" s="7" t="s">
        <v>907</v>
      </c>
      <c r="E46" s="7" t="s">
        <v>1109</v>
      </c>
      <c r="F46" s="15" t="s">
        <v>39</v>
      </c>
      <c r="G46" s="7" t="s">
        <v>16</v>
      </c>
      <c r="H46" s="7" t="s">
        <v>1172</v>
      </c>
      <c r="I46" s="41" t="s">
        <v>1173</v>
      </c>
      <c r="J46" s="33" t="s">
        <v>1174</v>
      </c>
      <c r="K46" s="58" t="s">
        <v>1175</v>
      </c>
      <c r="L46" s="58" t="s">
        <v>39</v>
      </c>
      <c r="M46" s="15" t="s">
        <v>913</v>
      </c>
      <c r="N46" s="7" t="s">
        <v>974</v>
      </c>
      <c r="O46" s="65"/>
      <c r="P46" s="65"/>
      <c r="Q46" s="15" t="s">
        <v>3</v>
      </c>
      <c r="R46" s="172" t="s">
        <v>1165</v>
      </c>
      <c r="S46" s="150" t="s">
        <v>1176</v>
      </c>
      <c r="T46" s="15" t="s">
        <v>1029</v>
      </c>
      <c r="U46" s="62"/>
      <c r="V46" s="62"/>
      <c r="W46" s="62"/>
      <c r="X46" s="62"/>
      <c r="Y46" s="62"/>
      <c r="Z46" s="62"/>
    </row>
    <row r="47" ht="15.75" customHeight="1">
      <c r="A47" s="7" t="s">
        <v>1177</v>
      </c>
      <c r="B47" s="7" t="s">
        <v>1047</v>
      </c>
      <c r="C47" s="7" t="s">
        <v>747</v>
      </c>
      <c r="D47" s="7" t="s">
        <v>907</v>
      </c>
      <c r="E47" s="7" t="s">
        <v>829</v>
      </c>
      <c r="F47" s="15" t="s">
        <v>39</v>
      </c>
      <c r="G47" s="7" t="s">
        <v>16</v>
      </c>
      <c r="H47" s="7" t="s">
        <v>1110</v>
      </c>
      <c r="I47" s="41" t="s">
        <v>1178</v>
      </c>
      <c r="J47" s="33" t="s">
        <v>1179</v>
      </c>
      <c r="K47" s="58" t="s">
        <v>1180</v>
      </c>
      <c r="L47" s="58" t="s">
        <v>39</v>
      </c>
      <c r="M47" s="15" t="s">
        <v>913</v>
      </c>
      <c r="N47" s="7" t="s">
        <v>974</v>
      </c>
      <c r="O47" s="14" t="s">
        <v>1029</v>
      </c>
      <c r="P47" s="65"/>
      <c r="Q47" s="15" t="s">
        <v>3</v>
      </c>
      <c r="R47" s="172" t="s">
        <v>1090</v>
      </c>
      <c r="S47" s="150" t="s">
        <v>1181</v>
      </c>
      <c r="T47" s="15" t="s">
        <v>869</v>
      </c>
      <c r="U47" s="62"/>
      <c r="V47" s="62"/>
      <c r="W47" s="62"/>
      <c r="X47" s="62"/>
      <c r="Y47" s="62"/>
      <c r="Z47" s="62"/>
    </row>
    <row r="48" ht="15.75" customHeight="1">
      <c r="A48" s="7" t="s">
        <v>1182</v>
      </c>
      <c r="B48" s="7" t="s">
        <v>1047</v>
      </c>
      <c r="C48" s="7" t="s">
        <v>747</v>
      </c>
      <c r="D48" s="7" t="s">
        <v>907</v>
      </c>
      <c r="E48" s="7" t="s">
        <v>829</v>
      </c>
      <c r="F48" s="15" t="s">
        <v>39</v>
      </c>
      <c r="G48" s="15" t="s">
        <v>12</v>
      </c>
      <c r="H48" s="7" t="s">
        <v>1183</v>
      </c>
      <c r="I48" s="41" t="s">
        <v>1184</v>
      </c>
      <c r="J48" s="111" t="s">
        <v>1185</v>
      </c>
      <c r="K48" s="58" t="s">
        <v>1186</v>
      </c>
      <c r="L48" s="33" t="s">
        <v>39</v>
      </c>
      <c r="M48" s="15" t="s">
        <v>913</v>
      </c>
      <c r="N48" s="7" t="s">
        <v>913</v>
      </c>
      <c r="O48" s="14" t="s">
        <v>1029</v>
      </c>
      <c r="P48" s="65"/>
      <c r="Q48" s="15" t="s">
        <v>3</v>
      </c>
      <c r="R48" s="172">
        <v>46114.0</v>
      </c>
      <c r="S48" s="150"/>
      <c r="T48" s="15"/>
      <c r="U48" s="62"/>
      <c r="V48" s="62"/>
      <c r="W48" s="62"/>
      <c r="X48" s="62"/>
      <c r="Y48" s="62"/>
      <c r="Z48" s="62"/>
    </row>
    <row r="49" ht="15.75" customHeight="1">
      <c r="A49" s="179" t="s">
        <v>1187</v>
      </c>
      <c r="B49" s="179" t="s">
        <v>1047</v>
      </c>
      <c r="C49" s="179" t="s">
        <v>747</v>
      </c>
      <c r="D49" s="179" t="s">
        <v>907</v>
      </c>
      <c r="E49" s="179" t="s">
        <v>829</v>
      </c>
      <c r="F49" s="180" t="s">
        <v>39</v>
      </c>
      <c r="G49" s="180" t="s">
        <v>6</v>
      </c>
      <c r="H49" s="179" t="s">
        <v>1183</v>
      </c>
      <c r="I49" s="181" t="s">
        <v>1188</v>
      </c>
      <c r="J49" s="182" t="s">
        <v>1189</v>
      </c>
      <c r="K49" s="183" t="s">
        <v>1190</v>
      </c>
      <c r="L49" s="182" t="s">
        <v>39</v>
      </c>
      <c r="M49" s="180" t="s">
        <v>913</v>
      </c>
      <c r="N49" s="179" t="s">
        <v>1191</v>
      </c>
      <c r="O49" s="184" t="s">
        <v>1029</v>
      </c>
      <c r="P49" s="185" t="s">
        <v>1192</v>
      </c>
      <c r="Q49" s="180" t="s">
        <v>4</v>
      </c>
      <c r="R49" s="186">
        <v>46329.0</v>
      </c>
      <c r="S49" s="187" t="s">
        <v>1193</v>
      </c>
      <c r="T49" s="180"/>
      <c r="U49" s="188"/>
      <c r="V49" s="188"/>
      <c r="W49" s="188"/>
      <c r="X49" s="188"/>
      <c r="Y49" s="188"/>
      <c r="Z49" s="188"/>
    </row>
    <row r="50" ht="15.75" customHeight="1">
      <c r="A50" s="7" t="s">
        <v>1194</v>
      </c>
      <c r="B50" s="135" t="s">
        <v>1047</v>
      </c>
      <c r="C50" s="135" t="s">
        <v>755</v>
      </c>
      <c r="D50" s="189" t="s">
        <v>907</v>
      </c>
      <c r="E50" s="135" t="s">
        <v>829</v>
      </c>
      <c r="F50" s="190" t="s">
        <v>39</v>
      </c>
      <c r="G50" s="190" t="s">
        <v>12</v>
      </c>
      <c r="H50" s="135" t="s">
        <v>1031</v>
      </c>
      <c r="I50" s="191" t="s">
        <v>1195</v>
      </c>
      <c r="J50" s="192" t="s">
        <v>1196</v>
      </c>
      <c r="K50" s="64" t="s">
        <v>1197</v>
      </c>
      <c r="L50" s="193" t="s">
        <v>39</v>
      </c>
      <c r="M50" s="136" t="s">
        <v>913</v>
      </c>
      <c r="N50" s="7"/>
      <c r="O50" s="30"/>
      <c r="P50" s="65"/>
      <c r="Q50" s="15" t="s">
        <v>5</v>
      </c>
      <c r="R50" s="15" t="s">
        <v>1034</v>
      </c>
      <c r="S50" s="150" t="s">
        <v>1198</v>
      </c>
      <c r="T50" s="15"/>
      <c r="U50" s="62"/>
      <c r="V50" s="62"/>
      <c r="W50" s="62"/>
      <c r="X50" s="62"/>
      <c r="Y50" s="62"/>
      <c r="Z50" s="62"/>
    </row>
    <row r="51" ht="15.75" customHeight="1">
      <c r="A51" s="7" t="s">
        <v>1199</v>
      </c>
      <c r="B51" s="130">
        <v>46114.0</v>
      </c>
      <c r="C51" s="15" t="s">
        <v>755</v>
      </c>
      <c r="D51" s="7" t="s">
        <v>907</v>
      </c>
      <c r="E51" s="14" t="s">
        <v>756</v>
      </c>
      <c r="F51" s="15" t="s">
        <v>39</v>
      </c>
      <c r="G51" s="7" t="s">
        <v>16</v>
      </c>
      <c r="H51" s="7" t="s">
        <v>1031</v>
      </c>
      <c r="I51" s="41" t="s">
        <v>1200</v>
      </c>
      <c r="J51" s="33" t="s">
        <v>1201</v>
      </c>
      <c r="K51" s="58" t="s">
        <v>1202</v>
      </c>
      <c r="L51" s="33" t="s">
        <v>39</v>
      </c>
      <c r="M51" s="15" t="s">
        <v>913</v>
      </c>
      <c r="N51" s="7" t="s">
        <v>974</v>
      </c>
      <c r="O51" s="14" t="s">
        <v>1029</v>
      </c>
      <c r="P51" s="65"/>
      <c r="Q51" s="15" t="s">
        <v>3</v>
      </c>
      <c r="R51" s="172" t="s">
        <v>1165</v>
      </c>
      <c r="S51" s="150" t="s">
        <v>1203</v>
      </c>
      <c r="T51" s="15" t="s">
        <v>1029</v>
      </c>
      <c r="U51" s="62"/>
      <c r="V51" s="62"/>
      <c r="W51" s="62"/>
      <c r="X51" s="62"/>
      <c r="Y51" s="62"/>
      <c r="Z51" s="62"/>
    </row>
    <row r="52" ht="15.75" customHeight="1">
      <c r="A52" s="7" t="s">
        <v>1204</v>
      </c>
      <c r="B52" s="130">
        <v>46114.0</v>
      </c>
      <c r="C52" s="15" t="s">
        <v>747</v>
      </c>
      <c r="D52" s="7" t="s">
        <v>907</v>
      </c>
      <c r="E52" s="14" t="s">
        <v>756</v>
      </c>
      <c r="F52" s="15" t="s">
        <v>39</v>
      </c>
      <c r="G52" s="7" t="s">
        <v>16</v>
      </c>
      <c r="H52" s="7" t="s">
        <v>1205</v>
      </c>
      <c r="I52" s="41" t="s">
        <v>1206</v>
      </c>
      <c r="J52" s="33" t="s">
        <v>1207</v>
      </c>
      <c r="K52" s="58" t="s">
        <v>1208</v>
      </c>
      <c r="L52" s="33" t="s">
        <v>39</v>
      </c>
      <c r="M52" s="7" t="s">
        <v>913</v>
      </c>
      <c r="N52" s="50" t="s">
        <v>974</v>
      </c>
      <c r="O52" s="15"/>
      <c r="P52" s="65"/>
      <c r="Q52" s="15" t="s">
        <v>3</v>
      </c>
      <c r="R52" s="172">
        <v>46114.0</v>
      </c>
      <c r="S52" s="150" t="s">
        <v>1209</v>
      </c>
      <c r="T52" s="15"/>
      <c r="U52" s="62"/>
      <c r="V52" s="62"/>
      <c r="W52" s="62"/>
      <c r="X52" s="62"/>
      <c r="Y52" s="62"/>
      <c r="Z52" s="62"/>
    </row>
    <row r="53" ht="15.75" customHeight="1">
      <c r="A53" s="7" t="s">
        <v>1210</v>
      </c>
      <c r="B53" s="130">
        <v>46114.0</v>
      </c>
      <c r="C53" s="7" t="s">
        <v>747</v>
      </c>
      <c r="D53" s="50" t="s">
        <v>907</v>
      </c>
      <c r="E53" s="7" t="s">
        <v>1058</v>
      </c>
      <c r="F53" s="15" t="s">
        <v>39</v>
      </c>
      <c r="G53" s="15" t="s">
        <v>12</v>
      </c>
      <c r="H53" s="7" t="s">
        <v>1110</v>
      </c>
      <c r="I53" s="41" t="s">
        <v>1211</v>
      </c>
      <c r="J53" s="33" t="s">
        <v>1212</v>
      </c>
      <c r="K53" s="58" t="s">
        <v>1213</v>
      </c>
      <c r="L53" s="58" t="s">
        <v>1214</v>
      </c>
      <c r="M53" s="7" t="s">
        <v>913</v>
      </c>
      <c r="N53" s="7" t="s">
        <v>753</v>
      </c>
      <c r="O53" s="7" t="s">
        <v>1029</v>
      </c>
      <c r="P53" s="37" t="s">
        <v>1082</v>
      </c>
      <c r="Q53" s="15" t="s">
        <v>3</v>
      </c>
      <c r="R53" s="172">
        <v>46267.0</v>
      </c>
      <c r="S53" s="150" t="s">
        <v>1215</v>
      </c>
      <c r="T53" s="15"/>
      <c r="U53" s="62"/>
      <c r="V53" s="62"/>
      <c r="W53" s="62"/>
      <c r="X53" s="62"/>
      <c r="Y53" s="62"/>
      <c r="Z53" s="62"/>
    </row>
    <row r="54" ht="15.75" customHeight="1">
      <c r="A54" s="7" t="s">
        <v>1216</v>
      </c>
      <c r="B54" s="130">
        <v>46175.0</v>
      </c>
      <c r="C54" s="7" t="s">
        <v>755</v>
      </c>
      <c r="D54" s="7" t="s">
        <v>907</v>
      </c>
      <c r="E54" s="7" t="s">
        <v>1217</v>
      </c>
      <c r="F54" s="15" t="s">
        <v>39</v>
      </c>
      <c r="G54" s="15" t="s">
        <v>6</v>
      </c>
      <c r="H54" s="7" t="s">
        <v>908</v>
      </c>
      <c r="I54" s="54" t="s">
        <v>1218</v>
      </c>
      <c r="J54" s="33" t="s">
        <v>1219</v>
      </c>
      <c r="K54" s="58" t="s">
        <v>1220</v>
      </c>
      <c r="L54" s="33" t="s">
        <v>39</v>
      </c>
      <c r="M54" s="7" t="s">
        <v>913</v>
      </c>
      <c r="N54" s="7" t="s">
        <v>753</v>
      </c>
      <c r="O54" s="7" t="s">
        <v>1029</v>
      </c>
      <c r="P54" s="65" t="s">
        <v>1221</v>
      </c>
      <c r="Q54" s="15" t="s">
        <v>3</v>
      </c>
      <c r="R54" s="15" t="s">
        <v>1074</v>
      </c>
      <c r="S54" s="150" t="s">
        <v>1222</v>
      </c>
      <c r="T54" s="15"/>
      <c r="U54" s="62"/>
      <c r="V54" s="62"/>
      <c r="W54" s="62"/>
      <c r="X54" s="62"/>
      <c r="Y54" s="62"/>
      <c r="Z54" s="62"/>
    </row>
    <row r="55" ht="15.75" customHeight="1">
      <c r="A55" s="7" t="s">
        <v>1223</v>
      </c>
      <c r="B55" s="130">
        <v>46175.0</v>
      </c>
      <c r="C55" s="7" t="s">
        <v>755</v>
      </c>
      <c r="D55" s="7" t="s">
        <v>907</v>
      </c>
      <c r="E55" s="7" t="s">
        <v>768</v>
      </c>
      <c r="F55" s="15" t="s">
        <v>39</v>
      </c>
      <c r="G55" s="15" t="s">
        <v>12</v>
      </c>
      <c r="H55" s="15" t="s">
        <v>805</v>
      </c>
      <c r="I55" s="33" t="s">
        <v>1224</v>
      </c>
      <c r="J55" s="41" t="s">
        <v>1225</v>
      </c>
      <c r="K55" s="58" t="s">
        <v>1226</v>
      </c>
      <c r="L55" s="33" t="s">
        <v>39</v>
      </c>
      <c r="M55" s="7" t="s">
        <v>913</v>
      </c>
      <c r="N55" s="7" t="s">
        <v>753</v>
      </c>
      <c r="O55" s="7" t="s">
        <v>1029</v>
      </c>
      <c r="P55" s="33" t="s">
        <v>1073</v>
      </c>
      <c r="Q55" s="15" t="s">
        <v>3</v>
      </c>
      <c r="R55" s="15" t="s">
        <v>1090</v>
      </c>
      <c r="S55" s="150" t="s">
        <v>1227</v>
      </c>
      <c r="T55" s="15"/>
      <c r="U55" s="62"/>
      <c r="V55" s="62"/>
      <c r="W55" s="62"/>
      <c r="X55" s="62"/>
      <c r="Y55" s="62"/>
      <c r="Z55" s="62"/>
    </row>
    <row r="56" ht="15.75" customHeight="1">
      <c r="A56" s="7" t="s">
        <v>1228</v>
      </c>
      <c r="B56" s="130">
        <v>46175.0</v>
      </c>
      <c r="C56" s="7" t="s">
        <v>747</v>
      </c>
      <c r="D56" s="7" t="s">
        <v>907</v>
      </c>
      <c r="E56" s="7" t="s">
        <v>829</v>
      </c>
      <c r="F56" s="15" t="s">
        <v>39</v>
      </c>
      <c r="G56" s="15" t="s">
        <v>6</v>
      </c>
      <c r="H56" s="7" t="s">
        <v>1022</v>
      </c>
      <c r="I56" s="194" t="s">
        <v>1229</v>
      </c>
      <c r="J56" s="41" t="s">
        <v>1230</v>
      </c>
      <c r="K56" s="58" t="s">
        <v>1231</v>
      </c>
      <c r="L56" s="33" t="s">
        <v>39</v>
      </c>
      <c r="M56" s="7" t="s">
        <v>913</v>
      </c>
      <c r="N56" s="35" t="s">
        <v>753</v>
      </c>
      <c r="O56" s="7"/>
      <c r="P56" s="33" t="s">
        <v>1232</v>
      </c>
      <c r="Q56" s="36" t="s">
        <v>5</v>
      </c>
      <c r="R56" s="15" t="s">
        <v>1090</v>
      </c>
      <c r="S56" s="150" t="s">
        <v>1233</v>
      </c>
      <c r="T56" s="15"/>
      <c r="U56" s="62"/>
      <c r="V56" s="62"/>
      <c r="W56" s="62"/>
      <c r="X56" s="62"/>
      <c r="Y56" s="62"/>
      <c r="Z56" s="62"/>
    </row>
    <row r="57" ht="15.75" customHeight="1">
      <c r="A57" s="7" t="s">
        <v>1234</v>
      </c>
      <c r="B57" s="130" t="s">
        <v>1140</v>
      </c>
      <c r="C57" s="7" t="s">
        <v>747</v>
      </c>
      <c r="D57" s="7" t="s">
        <v>907</v>
      </c>
      <c r="E57" s="7" t="s">
        <v>1004</v>
      </c>
      <c r="F57" s="15" t="s">
        <v>39</v>
      </c>
      <c r="G57" s="15" t="s">
        <v>12</v>
      </c>
      <c r="H57" s="15" t="s">
        <v>1110</v>
      </c>
      <c r="I57" s="33" t="s">
        <v>1235</v>
      </c>
      <c r="J57" s="41" t="s">
        <v>1236</v>
      </c>
      <c r="K57" s="58" t="s">
        <v>1237</v>
      </c>
      <c r="L57" s="74" t="s">
        <v>39</v>
      </c>
      <c r="M57" s="15" t="s">
        <v>913</v>
      </c>
      <c r="N57" s="7" t="s">
        <v>753</v>
      </c>
      <c r="O57" s="2"/>
      <c r="P57" s="31"/>
      <c r="Q57" s="7" t="s">
        <v>4</v>
      </c>
      <c r="R57" s="195">
        <v>46267.0</v>
      </c>
      <c r="S57" s="33" t="s">
        <v>1238</v>
      </c>
      <c r="T57" s="15" t="s">
        <v>1029</v>
      </c>
      <c r="U57" s="62"/>
      <c r="V57" s="62"/>
      <c r="W57" s="62"/>
      <c r="X57" s="62"/>
      <c r="Y57" s="62"/>
      <c r="Z57" s="62"/>
    </row>
    <row r="58" ht="15.75" customHeight="1">
      <c r="A58" s="7" t="s">
        <v>1239</v>
      </c>
      <c r="B58" s="130">
        <v>46267.0</v>
      </c>
      <c r="C58" s="7" t="s">
        <v>755</v>
      </c>
      <c r="D58" s="7" t="s">
        <v>907</v>
      </c>
      <c r="E58" s="7" t="s">
        <v>829</v>
      </c>
      <c r="F58" s="7" t="s">
        <v>39</v>
      </c>
      <c r="G58" s="50" t="s">
        <v>16</v>
      </c>
      <c r="H58" s="52" t="s">
        <v>1051</v>
      </c>
      <c r="I58" s="69" t="s">
        <v>1240</v>
      </c>
      <c r="J58" s="41" t="s">
        <v>1241</v>
      </c>
      <c r="K58" s="58" t="s">
        <v>1242</v>
      </c>
      <c r="L58" s="33" t="s">
        <v>39</v>
      </c>
      <c r="M58" s="7" t="s">
        <v>750</v>
      </c>
      <c r="N58" s="50" t="s">
        <v>974</v>
      </c>
      <c r="O58" s="7"/>
      <c r="P58" s="33" t="s">
        <v>1243</v>
      </c>
      <c r="Q58" s="52" t="s">
        <v>4</v>
      </c>
      <c r="R58" s="15" t="s">
        <v>1027</v>
      </c>
      <c r="S58" s="150" t="s">
        <v>1244</v>
      </c>
      <c r="T58" s="15" t="s">
        <v>1029</v>
      </c>
      <c r="U58" s="62"/>
      <c r="V58" s="62"/>
      <c r="W58" s="62"/>
      <c r="X58" s="62"/>
      <c r="Y58" s="62"/>
      <c r="Z58" s="62"/>
    </row>
    <row r="59" ht="15.75" customHeight="1">
      <c r="A59" s="7" t="s">
        <v>1245</v>
      </c>
      <c r="B59" s="130">
        <v>46328.0</v>
      </c>
      <c r="C59" s="7" t="s">
        <v>747</v>
      </c>
      <c r="D59" s="7" t="s">
        <v>907</v>
      </c>
      <c r="E59" s="7" t="s">
        <v>829</v>
      </c>
      <c r="F59" s="7" t="s">
        <v>39</v>
      </c>
      <c r="G59" s="7" t="s">
        <v>12</v>
      </c>
      <c r="H59" s="15" t="s">
        <v>1246</v>
      </c>
      <c r="I59" s="33" t="s">
        <v>1247</v>
      </c>
      <c r="J59" s="41" t="s">
        <v>1248</v>
      </c>
      <c r="K59" s="58" t="s">
        <v>1249</v>
      </c>
      <c r="L59" s="58" t="s">
        <v>1250</v>
      </c>
      <c r="M59" s="7" t="s">
        <v>750</v>
      </c>
      <c r="N59" s="7" t="s">
        <v>753</v>
      </c>
      <c r="O59" s="7" t="s">
        <v>1029</v>
      </c>
      <c r="P59" s="33" t="s">
        <v>1073</v>
      </c>
      <c r="Q59" s="15" t="s">
        <v>3</v>
      </c>
      <c r="R59" s="15" t="s">
        <v>1074</v>
      </c>
      <c r="S59" s="150" t="s">
        <v>1251</v>
      </c>
      <c r="T59" s="15"/>
      <c r="U59" s="62"/>
      <c r="V59" s="62"/>
      <c r="W59" s="62"/>
      <c r="X59" s="62"/>
      <c r="Y59" s="62"/>
      <c r="Z59" s="62"/>
    </row>
    <row r="60" ht="15.75" customHeight="1">
      <c r="A60" s="7" t="s">
        <v>1252</v>
      </c>
      <c r="B60" s="130">
        <v>46328.0</v>
      </c>
      <c r="C60" s="7" t="s">
        <v>770</v>
      </c>
      <c r="D60" s="7" t="s">
        <v>907</v>
      </c>
      <c r="E60" s="7" t="s">
        <v>829</v>
      </c>
      <c r="F60" s="7" t="s">
        <v>1253</v>
      </c>
      <c r="G60" s="7" t="s">
        <v>12</v>
      </c>
      <c r="H60" s="7" t="s">
        <v>1254</v>
      </c>
      <c r="I60" s="174" t="s">
        <v>1255</v>
      </c>
      <c r="J60" s="111" t="s">
        <v>1256</v>
      </c>
      <c r="K60" s="58" t="s">
        <v>1257</v>
      </c>
      <c r="L60" s="58" t="s">
        <v>1258</v>
      </c>
      <c r="M60" s="7" t="s">
        <v>750</v>
      </c>
      <c r="N60" s="7" t="s">
        <v>753</v>
      </c>
      <c r="O60" s="7" t="s">
        <v>1029</v>
      </c>
      <c r="P60" s="33" t="s">
        <v>1073</v>
      </c>
      <c r="Q60" s="15" t="s">
        <v>3</v>
      </c>
      <c r="R60" s="15" t="s">
        <v>1074</v>
      </c>
      <c r="S60" s="150" t="s">
        <v>1259</v>
      </c>
      <c r="T60" s="15"/>
      <c r="U60" s="62"/>
      <c r="V60" s="62"/>
      <c r="W60" s="62"/>
      <c r="X60" s="62"/>
      <c r="Y60" s="62"/>
      <c r="Z60" s="62"/>
    </row>
    <row r="61" ht="15.75" customHeight="1">
      <c r="A61" s="7" t="s">
        <v>1260</v>
      </c>
      <c r="B61" s="130">
        <v>46328.0</v>
      </c>
      <c r="C61" s="7" t="s">
        <v>747</v>
      </c>
      <c r="D61" s="7" t="s">
        <v>907</v>
      </c>
      <c r="E61" s="7" t="s">
        <v>829</v>
      </c>
      <c r="F61" s="7" t="s">
        <v>1253</v>
      </c>
      <c r="G61" s="7" t="s">
        <v>12</v>
      </c>
      <c r="H61" s="7" t="s">
        <v>1261</v>
      </c>
      <c r="I61" s="33" t="s">
        <v>1262</v>
      </c>
      <c r="J61" s="33" t="s">
        <v>1263</v>
      </c>
      <c r="K61" s="33" t="s">
        <v>39</v>
      </c>
      <c r="L61" s="33" t="s">
        <v>39</v>
      </c>
      <c r="M61" s="7" t="s">
        <v>750</v>
      </c>
      <c r="N61" s="7" t="s">
        <v>753</v>
      </c>
      <c r="O61" s="7" t="s">
        <v>1029</v>
      </c>
      <c r="P61" s="33" t="s">
        <v>1264</v>
      </c>
      <c r="Q61" s="15" t="s">
        <v>1265</v>
      </c>
      <c r="R61" s="15" t="s">
        <v>1090</v>
      </c>
      <c r="S61" s="150" t="s">
        <v>1266</v>
      </c>
      <c r="T61" s="15"/>
      <c r="U61" s="62"/>
      <c r="V61" s="62"/>
      <c r="W61" s="62"/>
      <c r="X61" s="62"/>
      <c r="Y61" s="62"/>
      <c r="Z61" s="62"/>
    </row>
    <row r="62" ht="15.75" customHeight="1">
      <c r="A62" s="7" t="s">
        <v>1267</v>
      </c>
      <c r="B62" s="130">
        <v>46328.0</v>
      </c>
      <c r="C62" s="7" t="s">
        <v>770</v>
      </c>
      <c r="D62" s="7" t="s">
        <v>907</v>
      </c>
      <c r="E62" s="7" t="s">
        <v>829</v>
      </c>
      <c r="F62" s="7" t="s">
        <v>1253</v>
      </c>
      <c r="G62" s="7" t="s">
        <v>12</v>
      </c>
      <c r="H62" s="7" t="s">
        <v>1254</v>
      </c>
      <c r="I62" s="33" t="s">
        <v>1268</v>
      </c>
      <c r="J62" s="33" t="s">
        <v>1269</v>
      </c>
      <c r="K62" s="33" t="s">
        <v>39</v>
      </c>
      <c r="L62" s="33" t="s">
        <v>39</v>
      </c>
      <c r="M62" s="7" t="s">
        <v>750</v>
      </c>
      <c r="N62" s="7" t="s">
        <v>753</v>
      </c>
      <c r="O62" s="7"/>
      <c r="P62" s="33"/>
      <c r="Q62" s="15" t="s">
        <v>3</v>
      </c>
      <c r="R62" s="15" t="s">
        <v>1090</v>
      </c>
      <c r="S62" s="150" t="s">
        <v>1270</v>
      </c>
      <c r="T62" s="15"/>
      <c r="U62" s="62"/>
      <c r="V62" s="62"/>
      <c r="W62" s="62"/>
      <c r="X62" s="62"/>
      <c r="Y62" s="62"/>
      <c r="Z62" s="62"/>
    </row>
    <row r="63" ht="15.75" customHeight="1">
      <c r="A63" s="7" t="s">
        <v>1271</v>
      </c>
      <c r="B63" s="7" t="s">
        <v>1272</v>
      </c>
      <c r="C63" s="7" t="s">
        <v>747</v>
      </c>
      <c r="D63" s="7" t="s">
        <v>907</v>
      </c>
      <c r="E63" s="7" t="s">
        <v>1058</v>
      </c>
      <c r="F63" s="7" t="s">
        <v>39</v>
      </c>
      <c r="G63" s="7" t="s">
        <v>6</v>
      </c>
      <c r="H63" s="7" t="s">
        <v>1273</v>
      </c>
      <c r="I63" s="33" t="s">
        <v>1274</v>
      </c>
      <c r="J63" s="33" t="s">
        <v>1275</v>
      </c>
      <c r="K63" s="58" t="s">
        <v>1276</v>
      </c>
      <c r="L63" s="58" t="s">
        <v>1277</v>
      </c>
      <c r="M63" s="7" t="s">
        <v>913</v>
      </c>
      <c r="N63" s="7"/>
      <c r="O63" s="7"/>
      <c r="P63" s="33" t="s">
        <v>1278</v>
      </c>
      <c r="Q63" s="15" t="s">
        <v>3</v>
      </c>
      <c r="R63" s="15" t="s">
        <v>1279</v>
      </c>
      <c r="S63" s="150" t="s">
        <v>1280</v>
      </c>
      <c r="T63" s="15"/>
      <c r="U63" s="62"/>
      <c r="V63" s="62"/>
      <c r="W63" s="62"/>
      <c r="X63" s="62"/>
      <c r="Y63" s="62"/>
      <c r="Z63" s="62"/>
    </row>
    <row r="64" ht="15.75" customHeight="1">
      <c r="A64" s="7" t="s">
        <v>1281</v>
      </c>
      <c r="B64" s="7" t="s">
        <v>1062</v>
      </c>
      <c r="C64" s="7" t="s">
        <v>747</v>
      </c>
      <c r="D64" s="7" t="s">
        <v>907</v>
      </c>
      <c r="E64" s="7" t="s">
        <v>829</v>
      </c>
      <c r="F64" s="7" t="s">
        <v>39</v>
      </c>
      <c r="G64" s="7" t="s">
        <v>6</v>
      </c>
      <c r="H64" s="7" t="s">
        <v>908</v>
      </c>
      <c r="I64" s="33" t="s">
        <v>1282</v>
      </c>
      <c r="J64" s="33" t="s">
        <v>1283</v>
      </c>
      <c r="K64" s="58" t="s">
        <v>1284</v>
      </c>
      <c r="L64" s="33" t="s">
        <v>39</v>
      </c>
      <c r="M64" s="7" t="s">
        <v>913</v>
      </c>
      <c r="N64" s="7"/>
      <c r="O64" s="7"/>
      <c r="P64" s="33" t="s">
        <v>1285</v>
      </c>
      <c r="Q64" s="15" t="s">
        <v>3</v>
      </c>
      <c r="R64" s="15" t="s">
        <v>1279</v>
      </c>
      <c r="S64" s="150" t="s">
        <v>1286</v>
      </c>
      <c r="T64" s="15"/>
      <c r="U64" s="62"/>
      <c r="V64" s="62"/>
      <c r="W64" s="62"/>
      <c r="X64" s="62"/>
      <c r="Y64" s="62"/>
      <c r="Z64" s="62"/>
    </row>
    <row r="65" ht="15.75" customHeight="1">
      <c r="A65" s="7" t="s">
        <v>1287</v>
      </c>
      <c r="B65" s="7" t="s">
        <v>1062</v>
      </c>
      <c r="C65" s="7" t="s">
        <v>747</v>
      </c>
      <c r="D65" s="7" t="s">
        <v>907</v>
      </c>
      <c r="E65" s="7" t="s">
        <v>829</v>
      </c>
      <c r="F65" s="7" t="s">
        <v>39</v>
      </c>
      <c r="G65" s="7" t="s">
        <v>6</v>
      </c>
      <c r="H65" s="7" t="s">
        <v>908</v>
      </c>
      <c r="I65" s="33" t="s">
        <v>1288</v>
      </c>
      <c r="J65" s="33" t="s">
        <v>1289</v>
      </c>
      <c r="K65" s="58" t="s">
        <v>1290</v>
      </c>
      <c r="L65" s="33" t="s">
        <v>39</v>
      </c>
      <c r="M65" s="7" t="s">
        <v>913</v>
      </c>
      <c r="N65" s="7" t="s">
        <v>1010</v>
      </c>
      <c r="O65" s="7"/>
      <c r="P65" s="33" t="s">
        <v>1291</v>
      </c>
      <c r="Q65" s="15" t="s">
        <v>3</v>
      </c>
      <c r="R65" s="15" t="s">
        <v>1090</v>
      </c>
      <c r="S65" s="150" t="s">
        <v>1292</v>
      </c>
      <c r="T65" s="15"/>
      <c r="U65" s="62"/>
      <c r="V65" s="62"/>
      <c r="W65" s="62"/>
      <c r="X65" s="62"/>
      <c r="Y65" s="62"/>
      <c r="Z65" s="62"/>
    </row>
    <row r="66" ht="15.75" customHeight="1">
      <c r="A66" s="7" t="s">
        <v>1293</v>
      </c>
      <c r="B66" s="7" t="s">
        <v>1062</v>
      </c>
      <c r="C66" s="7" t="s">
        <v>755</v>
      </c>
      <c r="D66" s="7" t="s">
        <v>907</v>
      </c>
      <c r="E66" s="7" t="s">
        <v>829</v>
      </c>
      <c r="F66" s="7" t="s">
        <v>39</v>
      </c>
      <c r="G66" s="7" t="s">
        <v>6</v>
      </c>
      <c r="H66" s="7" t="s">
        <v>908</v>
      </c>
      <c r="I66" s="33" t="s">
        <v>1294</v>
      </c>
      <c r="J66" s="33" t="s">
        <v>1295</v>
      </c>
      <c r="K66" s="58" t="s">
        <v>1296</v>
      </c>
      <c r="L66" s="33" t="s">
        <v>39</v>
      </c>
      <c r="M66" s="7" t="s">
        <v>913</v>
      </c>
      <c r="N66" s="7" t="s">
        <v>753</v>
      </c>
      <c r="O66" s="7" t="s">
        <v>1029</v>
      </c>
      <c r="P66" s="33" t="s">
        <v>1297</v>
      </c>
      <c r="Q66" s="15" t="s">
        <v>1265</v>
      </c>
      <c r="R66" s="172">
        <v>46145.0</v>
      </c>
      <c r="S66" s="150" t="s">
        <v>1298</v>
      </c>
      <c r="T66" s="15"/>
      <c r="U66" s="62"/>
      <c r="V66" s="62"/>
      <c r="W66" s="62"/>
      <c r="X66" s="62"/>
      <c r="Y66" s="62"/>
      <c r="Z66" s="62"/>
    </row>
    <row r="67" ht="15.75" customHeight="1">
      <c r="A67" s="7" t="s">
        <v>1299</v>
      </c>
      <c r="B67" s="7" t="s">
        <v>1062</v>
      </c>
      <c r="C67" s="7" t="s">
        <v>755</v>
      </c>
      <c r="D67" s="7" t="s">
        <v>907</v>
      </c>
      <c r="E67" s="7" t="s">
        <v>829</v>
      </c>
      <c r="F67" s="7" t="s">
        <v>39</v>
      </c>
      <c r="G67" s="7" t="s">
        <v>6</v>
      </c>
      <c r="H67" s="7" t="s">
        <v>908</v>
      </c>
      <c r="I67" s="33" t="s">
        <v>1300</v>
      </c>
      <c r="J67" s="33" t="s">
        <v>1301</v>
      </c>
      <c r="K67" s="58" t="s">
        <v>1302</v>
      </c>
      <c r="L67" s="33" t="s">
        <v>39</v>
      </c>
      <c r="M67" s="7" t="s">
        <v>913</v>
      </c>
      <c r="N67" s="7" t="s">
        <v>753</v>
      </c>
      <c r="O67" s="7"/>
      <c r="P67" s="33" t="s">
        <v>1297</v>
      </c>
      <c r="Q67" s="15" t="s">
        <v>1265</v>
      </c>
      <c r="R67" s="172">
        <v>46145.0</v>
      </c>
      <c r="S67" s="150" t="s">
        <v>1303</v>
      </c>
      <c r="T67" s="15"/>
      <c r="U67" s="62"/>
      <c r="V67" s="62"/>
      <c r="W67" s="62"/>
      <c r="X67" s="62"/>
      <c r="Y67" s="62"/>
      <c r="Z67" s="62"/>
    </row>
    <row r="68" ht="15.75" customHeight="1">
      <c r="A68" s="7" t="s">
        <v>1304</v>
      </c>
      <c r="B68" s="7" t="s">
        <v>1062</v>
      </c>
      <c r="C68" s="7" t="s">
        <v>755</v>
      </c>
      <c r="D68" s="7" t="s">
        <v>907</v>
      </c>
      <c r="E68" s="7" t="s">
        <v>829</v>
      </c>
      <c r="F68" s="7" t="s">
        <v>39</v>
      </c>
      <c r="G68" s="7" t="s">
        <v>6</v>
      </c>
      <c r="H68" s="7" t="s">
        <v>908</v>
      </c>
      <c r="I68" s="33" t="s">
        <v>1305</v>
      </c>
      <c r="J68" s="33" t="s">
        <v>1306</v>
      </c>
      <c r="K68" s="58" t="s">
        <v>1307</v>
      </c>
      <c r="L68" s="33" t="s">
        <v>39</v>
      </c>
      <c r="M68" s="7" t="s">
        <v>913</v>
      </c>
      <c r="N68" s="7"/>
      <c r="O68" s="7"/>
      <c r="P68" s="33" t="s">
        <v>1308</v>
      </c>
      <c r="Q68" s="15" t="s">
        <v>3</v>
      </c>
      <c r="R68" s="15" t="s">
        <v>1090</v>
      </c>
      <c r="S68" s="150" t="s">
        <v>1309</v>
      </c>
      <c r="T68" s="15"/>
      <c r="U68" s="62"/>
      <c r="V68" s="62"/>
      <c r="W68" s="62"/>
      <c r="X68" s="62"/>
      <c r="Y68" s="62"/>
      <c r="Z68" s="62"/>
    </row>
    <row r="69" ht="15.75" customHeight="1">
      <c r="A69" s="7" t="s">
        <v>1310</v>
      </c>
      <c r="B69" s="7" t="s">
        <v>1062</v>
      </c>
      <c r="C69" s="7" t="s">
        <v>755</v>
      </c>
      <c r="D69" s="7" t="s">
        <v>907</v>
      </c>
      <c r="E69" s="7" t="s">
        <v>829</v>
      </c>
      <c r="F69" s="7" t="s">
        <v>39</v>
      </c>
      <c r="G69" s="7" t="s">
        <v>6</v>
      </c>
      <c r="H69" s="7" t="s">
        <v>908</v>
      </c>
      <c r="I69" s="33" t="s">
        <v>1311</v>
      </c>
      <c r="J69" s="33" t="s">
        <v>1312</v>
      </c>
      <c r="K69" s="58" t="s">
        <v>1313</v>
      </c>
      <c r="L69" s="33" t="s">
        <v>39</v>
      </c>
      <c r="M69" s="7" t="s">
        <v>913</v>
      </c>
      <c r="N69" s="7"/>
      <c r="O69" s="7"/>
      <c r="P69" s="33" t="s">
        <v>1308</v>
      </c>
      <c r="Q69" s="15" t="s">
        <v>3</v>
      </c>
      <c r="R69" s="15" t="s">
        <v>1090</v>
      </c>
      <c r="S69" s="150" t="s">
        <v>1309</v>
      </c>
      <c r="T69" s="15"/>
      <c r="U69" s="62"/>
      <c r="V69" s="62"/>
      <c r="W69" s="62"/>
      <c r="X69" s="62"/>
      <c r="Y69" s="62"/>
      <c r="Z69" s="62"/>
    </row>
    <row r="70" ht="15.75" customHeight="1">
      <c r="A70" s="7" t="s">
        <v>1314</v>
      </c>
      <c r="B70" s="7" t="s">
        <v>1062</v>
      </c>
      <c r="C70" s="7" t="s">
        <v>755</v>
      </c>
      <c r="D70" s="7" t="s">
        <v>907</v>
      </c>
      <c r="E70" s="7" t="s">
        <v>829</v>
      </c>
      <c r="F70" s="7" t="s">
        <v>39</v>
      </c>
      <c r="G70" s="7" t="s">
        <v>6</v>
      </c>
      <c r="H70" s="7" t="s">
        <v>908</v>
      </c>
      <c r="I70" s="33" t="s">
        <v>1315</v>
      </c>
      <c r="J70" s="33" t="s">
        <v>1316</v>
      </c>
      <c r="K70" s="58" t="s">
        <v>1317</v>
      </c>
      <c r="L70" s="33" t="s">
        <v>39</v>
      </c>
      <c r="M70" s="7" t="s">
        <v>913</v>
      </c>
      <c r="N70" s="7" t="s">
        <v>753</v>
      </c>
      <c r="O70" s="7"/>
      <c r="P70" s="33" t="s">
        <v>1308</v>
      </c>
      <c r="Q70" s="15" t="s">
        <v>3</v>
      </c>
      <c r="R70" s="172">
        <v>46145.0</v>
      </c>
      <c r="S70" s="150" t="s">
        <v>1318</v>
      </c>
      <c r="T70" s="15"/>
      <c r="U70" s="62"/>
      <c r="V70" s="62"/>
      <c r="W70" s="62"/>
      <c r="X70" s="62"/>
      <c r="Y70" s="62"/>
      <c r="Z70" s="62"/>
    </row>
    <row r="71" ht="15.75" customHeight="1">
      <c r="A71" s="7" t="s">
        <v>1319</v>
      </c>
      <c r="B71" s="7" t="s">
        <v>1062</v>
      </c>
      <c r="C71" s="7" t="s">
        <v>747</v>
      </c>
      <c r="D71" s="7" t="s">
        <v>907</v>
      </c>
      <c r="E71" s="7" t="s">
        <v>829</v>
      </c>
      <c r="F71" s="7" t="s">
        <v>39</v>
      </c>
      <c r="G71" s="7" t="s">
        <v>6</v>
      </c>
      <c r="H71" s="7" t="s">
        <v>908</v>
      </c>
      <c r="I71" s="33" t="s">
        <v>1320</v>
      </c>
      <c r="J71" s="33" t="s">
        <v>1321</v>
      </c>
      <c r="K71" s="58" t="s">
        <v>1322</v>
      </c>
      <c r="L71" s="33" t="s">
        <v>39</v>
      </c>
      <c r="M71" s="7" t="s">
        <v>913</v>
      </c>
      <c r="N71" s="7"/>
      <c r="O71" s="7"/>
      <c r="P71" s="33" t="s">
        <v>1285</v>
      </c>
      <c r="Q71" s="15" t="s">
        <v>3</v>
      </c>
      <c r="R71" s="15" t="s">
        <v>1279</v>
      </c>
      <c r="S71" s="150" t="s">
        <v>1323</v>
      </c>
      <c r="T71" s="15"/>
      <c r="U71" s="62"/>
      <c r="V71" s="62"/>
      <c r="W71" s="62"/>
      <c r="X71" s="62"/>
      <c r="Y71" s="62"/>
      <c r="Z71" s="62"/>
    </row>
    <row r="72" ht="15.75" customHeight="1">
      <c r="A72" s="7" t="s">
        <v>1324</v>
      </c>
      <c r="B72" s="7" t="s">
        <v>1062</v>
      </c>
      <c r="C72" s="7" t="s">
        <v>755</v>
      </c>
      <c r="D72" s="7" t="s">
        <v>907</v>
      </c>
      <c r="E72" s="7" t="s">
        <v>829</v>
      </c>
      <c r="F72" s="7" t="s">
        <v>39</v>
      </c>
      <c r="G72" s="7" t="s">
        <v>16</v>
      </c>
      <c r="H72" s="7" t="s">
        <v>908</v>
      </c>
      <c r="I72" s="33" t="s">
        <v>1325</v>
      </c>
      <c r="J72" s="33" t="s">
        <v>1326</v>
      </c>
      <c r="K72" s="58" t="s">
        <v>1327</v>
      </c>
      <c r="L72" s="33" t="s">
        <v>39</v>
      </c>
      <c r="M72" s="7" t="s">
        <v>913</v>
      </c>
      <c r="N72" s="7" t="s">
        <v>974</v>
      </c>
      <c r="O72" s="7"/>
      <c r="P72" s="33" t="s">
        <v>1328</v>
      </c>
      <c r="Q72" s="15" t="s">
        <v>4</v>
      </c>
      <c r="R72" s="172">
        <v>46056.0</v>
      </c>
      <c r="S72" s="150" t="s">
        <v>1329</v>
      </c>
      <c r="T72" s="15"/>
      <c r="U72" s="62"/>
      <c r="V72" s="62"/>
      <c r="W72" s="62"/>
      <c r="X72" s="62"/>
      <c r="Y72" s="62"/>
      <c r="Z72" s="62"/>
    </row>
    <row r="73" ht="15.75" customHeight="1">
      <c r="A73" s="7" t="s">
        <v>1330</v>
      </c>
      <c r="B73" s="7" t="s">
        <v>1062</v>
      </c>
      <c r="C73" s="7" t="s">
        <v>747</v>
      </c>
      <c r="D73" s="7" t="s">
        <v>907</v>
      </c>
      <c r="E73" s="7" t="s">
        <v>829</v>
      </c>
      <c r="F73" s="7" t="s">
        <v>39</v>
      </c>
      <c r="G73" s="7" t="s">
        <v>6</v>
      </c>
      <c r="H73" s="7" t="s">
        <v>908</v>
      </c>
      <c r="I73" s="33" t="s">
        <v>1331</v>
      </c>
      <c r="J73" s="33" t="s">
        <v>1321</v>
      </c>
      <c r="K73" s="58" t="s">
        <v>1332</v>
      </c>
      <c r="L73" s="33" t="s">
        <v>39</v>
      </c>
      <c r="M73" s="7" t="s">
        <v>913</v>
      </c>
      <c r="N73" s="7"/>
      <c r="O73" s="7"/>
      <c r="P73" s="33" t="s">
        <v>1285</v>
      </c>
      <c r="Q73" s="15" t="s">
        <v>3</v>
      </c>
      <c r="R73" s="15" t="s">
        <v>1279</v>
      </c>
      <c r="S73" s="150" t="s">
        <v>1333</v>
      </c>
      <c r="T73" s="15"/>
      <c r="U73" s="62"/>
      <c r="V73" s="62"/>
      <c r="W73" s="62"/>
      <c r="X73" s="62"/>
      <c r="Y73" s="62"/>
      <c r="Z73" s="62"/>
    </row>
    <row r="74" ht="15.75" customHeight="1">
      <c r="A74" s="7" t="s">
        <v>1334</v>
      </c>
      <c r="B74" s="7" t="s">
        <v>1062</v>
      </c>
      <c r="C74" s="7" t="s">
        <v>755</v>
      </c>
      <c r="D74" s="7" t="s">
        <v>907</v>
      </c>
      <c r="E74" s="7" t="s">
        <v>829</v>
      </c>
      <c r="F74" s="7" t="s">
        <v>39</v>
      </c>
      <c r="G74" s="7" t="s">
        <v>6</v>
      </c>
      <c r="H74" s="7" t="s">
        <v>908</v>
      </c>
      <c r="I74" s="33" t="s">
        <v>1335</v>
      </c>
      <c r="J74" s="33" t="s">
        <v>1336</v>
      </c>
      <c r="K74" s="58" t="s">
        <v>1337</v>
      </c>
      <c r="L74" s="33" t="s">
        <v>39</v>
      </c>
      <c r="M74" s="7" t="s">
        <v>913</v>
      </c>
      <c r="N74" s="7"/>
      <c r="O74" s="7"/>
      <c r="P74" s="33" t="s">
        <v>1308</v>
      </c>
      <c r="Q74" s="15" t="s">
        <v>3</v>
      </c>
      <c r="R74" s="15" t="s">
        <v>1090</v>
      </c>
      <c r="S74" s="150" t="s">
        <v>1338</v>
      </c>
      <c r="T74" s="15"/>
      <c r="U74" s="62"/>
      <c r="V74" s="62"/>
      <c r="W74" s="62"/>
      <c r="X74" s="62"/>
      <c r="Y74" s="62"/>
      <c r="Z74" s="62"/>
    </row>
    <row r="75" ht="15.75" customHeight="1">
      <c r="A75" s="7" t="s">
        <v>1339</v>
      </c>
      <c r="B75" s="7" t="s">
        <v>1062</v>
      </c>
      <c r="C75" s="7" t="s">
        <v>755</v>
      </c>
      <c r="D75" s="7" t="s">
        <v>907</v>
      </c>
      <c r="E75" s="7" t="s">
        <v>829</v>
      </c>
      <c r="F75" s="7" t="s">
        <v>39</v>
      </c>
      <c r="G75" s="7" t="s">
        <v>6</v>
      </c>
      <c r="H75" s="7" t="s">
        <v>908</v>
      </c>
      <c r="I75" s="33" t="s">
        <v>1335</v>
      </c>
      <c r="J75" s="33" t="s">
        <v>1340</v>
      </c>
      <c r="K75" s="58" t="s">
        <v>1341</v>
      </c>
      <c r="L75" s="33" t="s">
        <v>39</v>
      </c>
      <c r="M75" s="7" t="s">
        <v>913</v>
      </c>
      <c r="N75" s="7"/>
      <c r="O75" s="7"/>
      <c r="P75" s="33" t="s">
        <v>1308</v>
      </c>
      <c r="Q75" s="15" t="s">
        <v>3</v>
      </c>
      <c r="R75" s="15" t="s">
        <v>1090</v>
      </c>
      <c r="S75" s="150" t="s">
        <v>1342</v>
      </c>
      <c r="T75" s="15"/>
      <c r="U75" s="62"/>
      <c r="V75" s="62"/>
      <c r="W75" s="62"/>
      <c r="X75" s="62"/>
      <c r="Y75" s="62"/>
      <c r="Z75" s="62"/>
    </row>
    <row r="76" ht="15.75" customHeight="1">
      <c r="A76" s="7" t="s">
        <v>1343</v>
      </c>
      <c r="B76" s="7" t="s">
        <v>1062</v>
      </c>
      <c r="C76" s="7" t="s">
        <v>747</v>
      </c>
      <c r="D76" s="7" t="s">
        <v>907</v>
      </c>
      <c r="E76" s="7" t="s">
        <v>829</v>
      </c>
      <c r="F76" s="7" t="s">
        <v>39</v>
      </c>
      <c r="G76" s="7" t="s">
        <v>6</v>
      </c>
      <c r="H76" s="7" t="s">
        <v>908</v>
      </c>
      <c r="I76" s="33" t="s">
        <v>1344</v>
      </c>
      <c r="J76" s="33" t="s">
        <v>1345</v>
      </c>
      <c r="K76" s="58" t="s">
        <v>1346</v>
      </c>
      <c r="L76" s="33" t="s">
        <v>39</v>
      </c>
      <c r="M76" s="7" t="s">
        <v>913</v>
      </c>
      <c r="N76" s="7"/>
      <c r="O76" s="7"/>
      <c r="P76" s="33" t="s">
        <v>1308</v>
      </c>
      <c r="Q76" s="15" t="s">
        <v>3</v>
      </c>
      <c r="R76" s="15" t="s">
        <v>1090</v>
      </c>
      <c r="S76" s="150" t="s">
        <v>1347</v>
      </c>
      <c r="T76" s="15"/>
      <c r="U76" s="62"/>
      <c r="V76" s="62"/>
      <c r="W76" s="62"/>
      <c r="X76" s="62"/>
      <c r="Y76" s="62"/>
      <c r="Z76" s="62"/>
    </row>
    <row r="77" ht="15.75" customHeight="1">
      <c r="A77" s="7" t="s">
        <v>1348</v>
      </c>
      <c r="B77" s="7" t="s">
        <v>1062</v>
      </c>
      <c r="C77" s="7" t="s">
        <v>747</v>
      </c>
      <c r="D77" s="7" t="s">
        <v>907</v>
      </c>
      <c r="E77" s="7" t="s">
        <v>829</v>
      </c>
      <c r="F77" s="7" t="s">
        <v>39</v>
      </c>
      <c r="G77" s="7" t="s">
        <v>6</v>
      </c>
      <c r="H77" s="7" t="s">
        <v>908</v>
      </c>
      <c r="I77" s="33" t="s">
        <v>1349</v>
      </c>
      <c r="J77" s="33" t="s">
        <v>1350</v>
      </c>
      <c r="K77" s="58" t="s">
        <v>1351</v>
      </c>
      <c r="L77" s="33" t="s">
        <v>39</v>
      </c>
      <c r="M77" s="7" t="s">
        <v>913</v>
      </c>
      <c r="N77" s="7" t="s">
        <v>753</v>
      </c>
      <c r="O77" s="7"/>
      <c r="P77" s="33" t="s">
        <v>1352</v>
      </c>
      <c r="Q77" s="15" t="s">
        <v>3</v>
      </c>
      <c r="R77" s="172">
        <v>46145.0</v>
      </c>
      <c r="S77" s="150" t="s">
        <v>1353</v>
      </c>
      <c r="T77" s="15"/>
      <c r="U77" s="62"/>
      <c r="V77" s="62"/>
      <c r="W77" s="62"/>
      <c r="X77" s="62"/>
      <c r="Y77" s="62"/>
      <c r="Z77" s="62"/>
    </row>
    <row r="78" ht="15.75" customHeight="1">
      <c r="A78" s="7" t="s">
        <v>1354</v>
      </c>
      <c r="B78" s="7" t="s">
        <v>1062</v>
      </c>
      <c r="C78" s="7" t="s">
        <v>755</v>
      </c>
      <c r="D78" s="7" t="s">
        <v>907</v>
      </c>
      <c r="E78" s="7" t="s">
        <v>1355</v>
      </c>
      <c r="F78" s="7" t="s">
        <v>466</v>
      </c>
      <c r="G78" s="15" t="s">
        <v>12</v>
      </c>
      <c r="H78" s="7" t="s">
        <v>1356</v>
      </c>
      <c r="I78" s="33" t="s">
        <v>1357</v>
      </c>
      <c r="J78" s="33" t="s">
        <v>1358</v>
      </c>
      <c r="K78" s="58" t="s">
        <v>1359</v>
      </c>
      <c r="L78" s="33" t="s">
        <v>39</v>
      </c>
      <c r="M78" s="7" t="s">
        <v>913</v>
      </c>
      <c r="N78" s="7" t="s">
        <v>1010</v>
      </c>
      <c r="O78" s="7"/>
      <c r="P78" s="33" t="s">
        <v>1360</v>
      </c>
      <c r="Q78" s="15" t="s">
        <v>4</v>
      </c>
      <c r="R78" s="172">
        <v>46145.0</v>
      </c>
      <c r="S78" s="150" t="s">
        <v>1361</v>
      </c>
      <c r="T78" s="15"/>
      <c r="U78" s="62"/>
      <c r="V78" s="62"/>
      <c r="W78" s="62"/>
      <c r="X78" s="62"/>
      <c r="Y78" s="62"/>
      <c r="Z78" s="62"/>
    </row>
    <row r="79" ht="15.75" customHeight="1">
      <c r="A79" s="7" t="s">
        <v>1362</v>
      </c>
      <c r="B79" s="7" t="s">
        <v>1062</v>
      </c>
      <c r="C79" s="7" t="s">
        <v>755</v>
      </c>
      <c r="D79" s="7" t="s">
        <v>907</v>
      </c>
      <c r="E79" s="7" t="s">
        <v>829</v>
      </c>
      <c r="F79" s="7" t="s">
        <v>39</v>
      </c>
      <c r="G79" s="7" t="s">
        <v>6</v>
      </c>
      <c r="H79" s="7" t="s">
        <v>908</v>
      </c>
      <c r="I79" s="33" t="s">
        <v>1363</v>
      </c>
      <c r="J79" s="33" t="s">
        <v>1364</v>
      </c>
      <c r="K79" s="58" t="s">
        <v>1365</v>
      </c>
      <c r="L79" s="33" t="s">
        <v>39</v>
      </c>
      <c r="M79" s="7" t="s">
        <v>913</v>
      </c>
      <c r="N79" s="7"/>
      <c r="O79" s="7"/>
      <c r="P79" s="33" t="s">
        <v>1366</v>
      </c>
      <c r="Q79" s="15" t="s">
        <v>3</v>
      </c>
      <c r="R79" s="15" t="s">
        <v>1090</v>
      </c>
      <c r="S79" s="150" t="s">
        <v>1367</v>
      </c>
      <c r="T79" s="15"/>
      <c r="U79" s="62"/>
      <c r="V79" s="62"/>
      <c r="W79" s="62"/>
      <c r="X79" s="62"/>
      <c r="Y79" s="62"/>
      <c r="Z79" s="62"/>
    </row>
    <row r="80" ht="15.75" customHeight="1">
      <c r="A80" s="7" t="s">
        <v>1368</v>
      </c>
      <c r="B80" s="7" t="s">
        <v>1062</v>
      </c>
      <c r="C80" s="7" t="s">
        <v>747</v>
      </c>
      <c r="D80" s="7" t="s">
        <v>907</v>
      </c>
      <c r="E80" s="7" t="s">
        <v>829</v>
      </c>
      <c r="F80" s="7" t="s">
        <v>39</v>
      </c>
      <c r="G80" s="7" t="s">
        <v>6</v>
      </c>
      <c r="H80" s="7" t="s">
        <v>908</v>
      </c>
      <c r="I80" s="33" t="s">
        <v>1369</v>
      </c>
      <c r="J80" s="33" t="s">
        <v>1370</v>
      </c>
      <c r="K80" s="58" t="s">
        <v>1371</v>
      </c>
      <c r="L80" s="33" t="s">
        <v>39</v>
      </c>
      <c r="M80" s="7" t="s">
        <v>913</v>
      </c>
      <c r="N80" s="7"/>
      <c r="O80" s="7"/>
      <c r="P80" s="33"/>
      <c r="Q80" s="15" t="s">
        <v>3</v>
      </c>
      <c r="R80" s="15" t="s">
        <v>1165</v>
      </c>
      <c r="S80" s="150" t="s">
        <v>1372</v>
      </c>
      <c r="T80" s="15"/>
      <c r="U80" s="62"/>
      <c r="V80" s="62"/>
      <c r="W80" s="62"/>
      <c r="X80" s="62"/>
      <c r="Y80" s="62"/>
      <c r="Z80" s="62"/>
    </row>
    <row r="81" ht="15.75" customHeight="1">
      <c r="A81" s="7" t="s">
        <v>1373</v>
      </c>
      <c r="B81" s="7" t="s">
        <v>1062</v>
      </c>
      <c r="C81" s="7" t="s">
        <v>747</v>
      </c>
      <c r="D81" s="7" t="s">
        <v>907</v>
      </c>
      <c r="E81" s="7" t="s">
        <v>829</v>
      </c>
      <c r="F81" s="7" t="s">
        <v>39</v>
      </c>
      <c r="G81" s="7" t="s">
        <v>6</v>
      </c>
      <c r="H81" s="7" t="s">
        <v>908</v>
      </c>
      <c r="I81" s="33" t="s">
        <v>1374</v>
      </c>
      <c r="J81" s="33" t="s">
        <v>1375</v>
      </c>
      <c r="K81" s="58" t="s">
        <v>1376</v>
      </c>
      <c r="L81" s="33" t="s">
        <v>39</v>
      </c>
      <c r="M81" s="7" t="s">
        <v>913</v>
      </c>
      <c r="N81" s="7" t="s">
        <v>913</v>
      </c>
      <c r="O81" s="7"/>
      <c r="P81" s="33" t="s">
        <v>1308</v>
      </c>
      <c r="Q81" s="15" t="s">
        <v>3</v>
      </c>
      <c r="R81" s="172">
        <v>46145.0</v>
      </c>
      <c r="S81" s="150" t="s">
        <v>1377</v>
      </c>
      <c r="T81" s="15"/>
      <c r="U81" s="62"/>
      <c r="V81" s="62"/>
      <c r="W81" s="62"/>
      <c r="X81" s="62"/>
      <c r="Y81" s="62"/>
      <c r="Z81" s="62"/>
    </row>
    <row r="82" ht="15.75" customHeight="1">
      <c r="A82" s="7" t="s">
        <v>1378</v>
      </c>
      <c r="B82" s="7" t="s">
        <v>1062</v>
      </c>
      <c r="C82" s="7" t="s">
        <v>770</v>
      </c>
      <c r="D82" s="7" t="s">
        <v>907</v>
      </c>
      <c r="E82" s="7" t="s">
        <v>1004</v>
      </c>
      <c r="F82" s="7" t="s">
        <v>39</v>
      </c>
      <c r="G82" s="7" t="s">
        <v>6</v>
      </c>
      <c r="H82" s="7" t="s">
        <v>908</v>
      </c>
      <c r="I82" s="33" t="s">
        <v>1379</v>
      </c>
      <c r="J82" s="33" t="s">
        <v>1380</v>
      </c>
      <c r="K82" s="58" t="s">
        <v>1381</v>
      </c>
      <c r="L82" s="33" t="s">
        <v>39</v>
      </c>
      <c r="M82" s="7" t="s">
        <v>913</v>
      </c>
      <c r="N82" s="7" t="s">
        <v>753</v>
      </c>
      <c r="O82" s="7"/>
      <c r="P82" s="33" t="s">
        <v>1382</v>
      </c>
      <c r="Q82" s="15" t="s">
        <v>3</v>
      </c>
      <c r="R82" s="15" t="s">
        <v>1383</v>
      </c>
      <c r="S82" s="150" t="s">
        <v>1384</v>
      </c>
      <c r="T82" s="15"/>
      <c r="U82" s="62"/>
      <c r="V82" s="62"/>
      <c r="W82" s="62"/>
      <c r="X82" s="62"/>
      <c r="Y82" s="62"/>
      <c r="Z82" s="62"/>
    </row>
    <row r="83" ht="15.75" customHeight="1">
      <c r="A83" s="7" t="s">
        <v>1385</v>
      </c>
      <c r="B83" s="7" t="s">
        <v>1062</v>
      </c>
      <c r="C83" s="7" t="s">
        <v>755</v>
      </c>
      <c r="D83" s="7" t="s">
        <v>907</v>
      </c>
      <c r="E83" s="7" t="s">
        <v>768</v>
      </c>
      <c r="F83" s="7" t="s">
        <v>39</v>
      </c>
      <c r="G83" s="7" t="s">
        <v>16</v>
      </c>
      <c r="H83" s="7" t="s">
        <v>1005</v>
      </c>
      <c r="I83" s="33" t="s">
        <v>1386</v>
      </c>
      <c r="J83" s="33" t="s">
        <v>1387</v>
      </c>
      <c r="K83" s="58" t="s">
        <v>1388</v>
      </c>
      <c r="L83" s="58" t="s">
        <v>1389</v>
      </c>
      <c r="M83" s="7" t="s">
        <v>913</v>
      </c>
      <c r="N83" s="7" t="s">
        <v>974</v>
      </c>
      <c r="O83" s="7"/>
      <c r="P83" s="33" t="s">
        <v>1308</v>
      </c>
      <c r="Q83" s="15" t="s">
        <v>4</v>
      </c>
      <c r="R83" s="172">
        <v>46145.0</v>
      </c>
      <c r="S83" s="150" t="s">
        <v>1390</v>
      </c>
      <c r="T83" s="15"/>
      <c r="U83" s="62"/>
      <c r="V83" s="62"/>
      <c r="W83" s="62"/>
      <c r="X83" s="62"/>
      <c r="Y83" s="62"/>
      <c r="Z83" s="62"/>
    </row>
    <row r="84" ht="15.75" customHeight="1">
      <c r="A84" s="7" t="s">
        <v>1391</v>
      </c>
      <c r="B84" s="7" t="s">
        <v>1074</v>
      </c>
      <c r="C84" s="7" t="s">
        <v>755</v>
      </c>
      <c r="D84" s="7" t="s">
        <v>907</v>
      </c>
      <c r="E84" s="7" t="s">
        <v>1109</v>
      </c>
      <c r="F84" s="7" t="s">
        <v>39</v>
      </c>
      <c r="G84" s="7" t="s">
        <v>12</v>
      </c>
      <c r="H84" s="7" t="s">
        <v>1392</v>
      </c>
      <c r="I84" s="33" t="s">
        <v>1393</v>
      </c>
      <c r="J84" s="33" t="s">
        <v>1394</v>
      </c>
      <c r="K84" s="58" t="s">
        <v>1395</v>
      </c>
      <c r="L84" s="33" t="s">
        <v>39</v>
      </c>
      <c r="M84" s="7" t="s">
        <v>913</v>
      </c>
      <c r="N84" s="7" t="s">
        <v>753</v>
      </c>
      <c r="O84" s="7"/>
      <c r="P84" s="33" t="s">
        <v>1396</v>
      </c>
      <c r="Q84" s="15" t="s">
        <v>4</v>
      </c>
      <c r="R84" s="172">
        <v>46056.0</v>
      </c>
      <c r="S84" s="150" t="s">
        <v>1397</v>
      </c>
      <c r="T84" s="15"/>
      <c r="U84" s="62"/>
      <c r="V84" s="62"/>
      <c r="W84" s="62"/>
      <c r="X84" s="62"/>
      <c r="Y84" s="62"/>
      <c r="Z84" s="62"/>
    </row>
    <row r="85" ht="15.75" customHeight="1">
      <c r="A85" s="7" t="s">
        <v>1398</v>
      </c>
      <c r="B85" s="7" t="s">
        <v>1074</v>
      </c>
      <c r="C85" s="7" t="s">
        <v>747</v>
      </c>
      <c r="D85" s="7" t="s">
        <v>907</v>
      </c>
      <c r="E85" s="7" t="s">
        <v>1109</v>
      </c>
      <c r="F85" s="7" t="s">
        <v>39</v>
      </c>
      <c r="G85" s="7" t="s">
        <v>6</v>
      </c>
      <c r="H85" s="7" t="s">
        <v>908</v>
      </c>
      <c r="I85" s="33" t="s">
        <v>1399</v>
      </c>
      <c r="J85" s="33" t="s">
        <v>1400</v>
      </c>
      <c r="K85" s="58" t="s">
        <v>1401</v>
      </c>
      <c r="L85" s="33" t="s">
        <v>39</v>
      </c>
      <c r="M85" s="7" t="s">
        <v>913</v>
      </c>
      <c r="N85" s="7" t="s">
        <v>913</v>
      </c>
      <c r="O85" s="7"/>
      <c r="P85" s="33" t="s">
        <v>1352</v>
      </c>
      <c r="Q85" s="15" t="s">
        <v>3</v>
      </c>
      <c r="R85" s="172">
        <v>46359.0</v>
      </c>
      <c r="S85" s="150" t="s">
        <v>1402</v>
      </c>
      <c r="T85" s="15"/>
      <c r="U85" s="62"/>
      <c r="V85" s="62"/>
      <c r="W85" s="62"/>
      <c r="X85" s="62"/>
      <c r="Y85" s="62"/>
      <c r="Z85" s="62"/>
    </row>
    <row r="86" ht="15.75" customHeight="1">
      <c r="A86" s="7" t="s">
        <v>1403</v>
      </c>
      <c r="B86" s="7" t="s">
        <v>1383</v>
      </c>
      <c r="C86" s="7" t="s">
        <v>747</v>
      </c>
      <c r="D86" s="7" t="s">
        <v>907</v>
      </c>
      <c r="E86" s="7" t="s">
        <v>829</v>
      </c>
      <c r="F86" s="7" t="s">
        <v>39</v>
      </c>
      <c r="G86" s="7" t="s">
        <v>6</v>
      </c>
      <c r="H86" s="7" t="s">
        <v>1014</v>
      </c>
      <c r="I86" s="33" t="s">
        <v>1404</v>
      </c>
      <c r="J86" s="196" t="s">
        <v>1405</v>
      </c>
      <c r="K86" s="58" t="s">
        <v>1406</v>
      </c>
      <c r="L86" s="33" t="s">
        <v>39</v>
      </c>
      <c r="M86" s="7" t="s">
        <v>913</v>
      </c>
      <c r="N86" s="7" t="s">
        <v>913</v>
      </c>
      <c r="O86" s="7"/>
      <c r="P86" s="33"/>
      <c r="Q86" s="15" t="s">
        <v>3</v>
      </c>
      <c r="R86" s="172">
        <v>46145.0</v>
      </c>
      <c r="S86" s="150" t="s">
        <v>1407</v>
      </c>
      <c r="T86" s="15"/>
      <c r="U86" s="62"/>
      <c r="V86" s="62"/>
      <c r="W86" s="62"/>
      <c r="X86" s="62"/>
      <c r="Y86" s="62"/>
      <c r="Z86" s="62"/>
    </row>
    <row r="87" ht="15.75" customHeight="1">
      <c r="A87" s="7" t="s">
        <v>1408</v>
      </c>
      <c r="B87" s="7" t="s">
        <v>1383</v>
      </c>
      <c r="C87" s="7" t="s">
        <v>747</v>
      </c>
      <c r="D87" s="7" t="s">
        <v>907</v>
      </c>
      <c r="E87" s="7" t="s">
        <v>829</v>
      </c>
      <c r="F87" s="7" t="s">
        <v>39</v>
      </c>
      <c r="G87" s="7" t="s">
        <v>6</v>
      </c>
      <c r="H87" s="7" t="s">
        <v>1183</v>
      </c>
      <c r="I87" s="33" t="s">
        <v>1409</v>
      </c>
      <c r="J87" s="33" t="s">
        <v>1410</v>
      </c>
      <c r="K87" s="58" t="s">
        <v>1411</v>
      </c>
      <c r="L87" s="33" t="s">
        <v>39</v>
      </c>
      <c r="M87" s="7" t="s">
        <v>913</v>
      </c>
      <c r="N87" s="7" t="s">
        <v>753</v>
      </c>
      <c r="O87" s="7"/>
      <c r="P87" s="33"/>
      <c r="Q87" s="15" t="s">
        <v>1265</v>
      </c>
      <c r="R87" s="172">
        <v>46145.0</v>
      </c>
      <c r="S87" s="150" t="s">
        <v>1412</v>
      </c>
      <c r="T87" s="15"/>
      <c r="U87" s="62"/>
      <c r="V87" s="62"/>
      <c r="W87" s="62"/>
      <c r="X87" s="62"/>
      <c r="Y87" s="62"/>
      <c r="Z87" s="62"/>
    </row>
    <row r="88" ht="15.75" customHeight="1">
      <c r="A88" s="7" t="s">
        <v>1413</v>
      </c>
      <c r="B88" s="130">
        <v>46056.0</v>
      </c>
      <c r="C88" s="7" t="s">
        <v>747</v>
      </c>
      <c r="D88" s="7" t="s">
        <v>907</v>
      </c>
      <c r="E88" s="7" t="s">
        <v>1004</v>
      </c>
      <c r="F88" s="7" t="s">
        <v>39</v>
      </c>
      <c r="G88" s="7" t="s">
        <v>6</v>
      </c>
      <c r="H88" s="7" t="s">
        <v>1005</v>
      </c>
      <c r="I88" s="33" t="s">
        <v>1414</v>
      </c>
      <c r="J88" s="33" t="s">
        <v>1415</v>
      </c>
      <c r="K88" s="58" t="s">
        <v>1416</v>
      </c>
      <c r="L88" s="58" t="s">
        <v>1417</v>
      </c>
      <c r="M88" s="7" t="s">
        <v>913</v>
      </c>
      <c r="N88" s="7" t="s">
        <v>753</v>
      </c>
      <c r="O88" s="7"/>
      <c r="P88" s="33"/>
      <c r="Q88" s="15" t="s">
        <v>4</v>
      </c>
      <c r="R88" s="15"/>
      <c r="S88" s="150"/>
      <c r="T88" s="15"/>
      <c r="U88" s="62"/>
      <c r="V88" s="62"/>
      <c r="W88" s="62"/>
      <c r="X88" s="62"/>
      <c r="Y88" s="62"/>
      <c r="Z88" s="62"/>
    </row>
    <row r="89" ht="15.75" customHeight="1">
      <c r="A89" s="7" t="s">
        <v>1418</v>
      </c>
      <c r="B89" s="130">
        <v>46056.0</v>
      </c>
      <c r="C89" s="7" t="s">
        <v>755</v>
      </c>
      <c r="D89" s="7" t="s">
        <v>907</v>
      </c>
      <c r="E89" s="7" t="s">
        <v>1004</v>
      </c>
      <c r="F89" s="7" t="s">
        <v>39</v>
      </c>
      <c r="G89" s="7" t="s">
        <v>6</v>
      </c>
      <c r="H89" s="7" t="s">
        <v>908</v>
      </c>
      <c r="I89" s="33" t="s">
        <v>1414</v>
      </c>
      <c r="J89" s="33" t="s">
        <v>1419</v>
      </c>
      <c r="K89" s="58" t="s">
        <v>1416</v>
      </c>
      <c r="L89" s="58" t="s">
        <v>1417</v>
      </c>
      <c r="M89" s="7" t="s">
        <v>913</v>
      </c>
      <c r="N89" s="7" t="s">
        <v>753</v>
      </c>
      <c r="O89" s="7"/>
      <c r="P89" s="33"/>
      <c r="Q89" s="15" t="s">
        <v>4</v>
      </c>
      <c r="R89" s="15"/>
      <c r="S89" s="150"/>
      <c r="T89" s="15"/>
      <c r="U89" s="62"/>
      <c r="V89" s="62"/>
      <c r="W89" s="62"/>
      <c r="X89" s="62"/>
      <c r="Y89" s="62"/>
      <c r="Z89" s="62"/>
    </row>
    <row r="90" ht="15.75" customHeight="1">
      <c r="A90" s="7" t="s">
        <v>1420</v>
      </c>
      <c r="B90" s="130">
        <v>46056.0</v>
      </c>
      <c r="C90" s="7" t="s">
        <v>747</v>
      </c>
      <c r="D90" s="7" t="s">
        <v>907</v>
      </c>
      <c r="E90" s="7" t="s">
        <v>829</v>
      </c>
      <c r="F90" s="7" t="s">
        <v>39</v>
      </c>
      <c r="G90" s="7" t="s">
        <v>6</v>
      </c>
      <c r="H90" s="7" t="s">
        <v>1261</v>
      </c>
      <c r="I90" s="33" t="s">
        <v>1421</v>
      </c>
      <c r="J90" s="33" t="s">
        <v>1422</v>
      </c>
      <c r="K90" s="58" t="s">
        <v>1423</v>
      </c>
      <c r="L90" s="33" t="s">
        <v>39</v>
      </c>
      <c r="M90" s="7" t="s">
        <v>913</v>
      </c>
      <c r="N90" s="7" t="s">
        <v>753</v>
      </c>
      <c r="O90" s="7"/>
      <c r="P90" s="33"/>
      <c r="Q90" s="15" t="s">
        <v>4</v>
      </c>
      <c r="R90" s="15"/>
      <c r="S90" s="150"/>
      <c r="T90" s="15"/>
      <c r="U90" s="62"/>
      <c r="V90" s="62"/>
      <c r="W90" s="62"/>
      <c r="X90" s="62"/>
      <c r="Y90" s="62"/>
      <c r="Z90" s="62"/>
    </row>
    <row r="91" ht="15.75" customHeight="1">
      <c r="A91" s="7" t="s">
        <v>1424</v>
      </c>
      <c r="B91" s="130">
        <v>46084.0</v>
      </c>
      <c r="C91" s="7" t="s">
        <v>747</v>
      </c>
      <c r="D91" s="7" t="s">
        <v>907</v>
      </c>
      <c r="E91" s="7" t="s">
        <v>829</v>
      </c>
      <c r="F91" s="7" t="s">
        <v>39</v>
      </c>
      <c r="G91" s="7" t="s">
        <v>6</v>
      </c>
      <c r="H91" s="7" t="s">
        <v>908</v>
      </c>
      <c r="I91" s="33" t="s">
        <v>1425</v>
      </c>
      <c r="J91" s="33" t="s">
        <v>1426</v>
      </c>
      <c r="K91" s="58" t="s">
        <v>1427</v>
      </c>
      <c r="L91" s="33" t="s">
        <v>39</v>
      </c>
      <c r="M91" s="7" t="s">
        <v>913</v>
      </c>
      <c r="N91" s="7" t="s">
        <v>753</v>
      </c>
      <c r="O91" s="7"/>
      <c r="P91" s="33"/>
      <c r="Q91" s="15" t="s">
        <v>4</v>
      </c>
      <c r="R91" s="15"/>
      <c r="S91" s="150"/>
      <c r="T91" s="15"/>
      <c r="U91" s="62"/>
      <c r="V91" s="62"/>
      <c r="W91" s="62"/>
      <c r="X91" s="62"/>
      <c r="Y91" s="62"/>
      <c r="Z91" s="62"/>
    </row>
    <row r="92" ht="15.75" customHeight="1">
      <c r="A92" s="7" t="s">
        <v>1428</v>
      </c>
      <c r="B92" s="130">
        <v>46084.0</v>
      </c>
      <c r="C92" s="7" t="s">
        <v>747</v>
      </c>
      <c r="D92" s="7" t="s">
        <v>907</v>
      </c>
      <c r="E92" s="7" t="s">
        <v>829</v>
      </c>
      <c r="F92" s="7" t="s">
        <v>39</v>
      </c>
      <c r="G92" s="7" t="s">
        <v>6</v>
      </c>
      <c r="H92" s="7" t="s">
        <v>908</v>
      </c>
      <c r="I92" s="33" t="s">
        <v>1429</v>
      </c>
      <c r="J92" s="33" t="s">
        <v>1430</v>
      </c>
      <c r="K92" s="58" t="s">
        <v>1431</v>
      </c>
      <c r="L92" s="33" t="s">
        <v>39</v>
      </c>
      <c r="M92" s="7" t="s">
        <v>913</v>
      </c>
      <c r="N92" s="7" t="s">
        <v>753</v>
      </c>
      <c r="O92" s="7"/>
      <c r="P92" s="33"/>
      <c r="Q92" s="15" t="s">
        <v>4</v>
      </c>
      <c r="R92" s="15"/>
      <c r="S92" s="150"/>
      <c r="T92" s="15"/>
      <c r="U92" s="62"/>
      <c r="V92" s="62"/>
      <c r="W92" s="62"/>
      <c r="X92" s="62"/>
      <c r="Y92" s="62"/>
      <c r="Z92" s="62"/>
    </row>
    <row r="93" ht="15.75" customHeight="1">
      <c r="A93" s="7" t="s">
        <v>1432</v>
      </c>
      <c r="B93" s="130">
        <v>46084.0</v>
      </c>
      <c r="C93" s="7" t="s">
        <v>747</v>
      </c>
      <c r="D93" s="7" t="s">
        <v>907</v>
      </c>
      <c r="E93" s="7" t="s">
        <v>829</v>
      </c>
      <c r="F93" s="7" t="s">
        <v>39</v>
      </c>
      <c r="G93" s="7" t="s">
        <v>6</v>
      </c>
      <c r="H93" s="7" t="s">
        <v>908</v>
      </c>
      <c r="I93" s="33" t="s">
        <v>1433</v>
      </c>
      <c r="J93" s="33" t="s">
        <v>1434</v>
      </c>
      <c r="K93" s="58" t="s">
        <v>1435</v>
      </c>
      <c r="L93" s="33" t="s">
        <v>39</v>
      </c>
      <c r="M93" s="7" t="s">
        <v>913</v>
      </c>
      <c r="N93" s="7" t="s">
        <v>753</v>
      </c>
      <c r="O93" s="7"/>
      <c r="P93" s="33"/>
      <c r="Q93" s="15" t="s">
        <v>4</v>
      </c>
      <c r="R93" s="15"/>
      <c r="S93" s="150"/>
      <c r="T93" s="15"/>
      <c r="U93" s="62"/>
      <c r="V93" s="62"/>
      <c r="W93" s="62"/>
      <c r="X93" s="62"/>
      <c r="Y93" s="62"/>
      <c r="Z93" s="62"/>
    </row>
    <row r="94" ht="15.75" customHeight="1">
      <c r="A94" s="7" t="s">
        <v>1436</v>
      </c>
      <c r="B94" s="130">
        <v>46084.0</v>
      </c>
      <c r="C94" s="7" t="s">
        <v>747</v>
      </c>
      <c r="D94" s="7" t="s">
        <v>907</v>
      </c>
      <c r="E94" s="7" t="s">
        <v>829</v>
      </c>
      <c r="F94" s="7" t="s">
        <v>39</v>
      </c>
      <c r="G94" s="7" t="s">
        <v>6</v>
      </c>
      <c r="H94" s="7" t="s">
        <v>908</v>
      </c>
      <c r="I94" s="33" t="s">
        <v>1437</v>
      </c>
      <c r="J94" s="33" t="s">
        <v>1438</v>
      </c>
      <c r="K94" s="58" t="s">
        <v>1439</v>
      </c>
      <c r="L94" s="33" t="s">
        <v>39</v>
      </c>
      <c r="M94" s="7" t="s">
        <v>913</v>
      </c>
      <c r="N94" s="7" t="s">
        <v>753</v>
      </c>
      <c r="O94" s="7"/>
      <c r="P94" s="33"/>
      <c r="Q94" s="15" t="s">
        <v>4</v>
      </c>
      <c r="R94" s="15"/>
      <c r="S94" s="150"/>
      <c r="T94" s="15"/>
      <c r="U94" s="62"/>
      <c r="V94" s="62"/>
      <c r="W94" s="62"/>
      <c r="X94" s="62"/>
      <c r="Y94" s="62"/>
      <c r="Z94" s="62"/>
    </row>
    <row r="95" ht="15.75" customHeight="1">
      <c r="A95" s="7" t="s">
        <v>1440</v>
      </c>
      <c r="B95" s="130">
        <v>46084.0</v>
      </c>
      <c r="C95" s="7" t="s">
        <v>747</v>
      </c>
      <c r="D95" s="7" t="s">
        <v>907</v>
      </c>
      <c r="E95" s="7" t="s">
        <v>829</v>
      </c>
      <c r="F95" s="7" t="s">
        <v>39</v>
      </c>
      <c r="G95" s="7" t="s">
        <v>6</v>
      </c>
      <c r="H95" s="7" t="s">
        <v>908</v>
      </c>
      <c r="I95" s="33" t="s">
        <v>1441</v>
      </c>
      <c r="J95" s="33" t="s">
        <v>1442</v>
      </c>
      <c r="K95" s="58" t="s">
        <v>1443</v>
      </c>
      <c r="L95" s="33" t="s">
        <v>39</v>
      </c>
      <c r="M95" s="7" t="s">
        <v>913</v>
      </c>
      <c r="N95" s="7" t="s">
        <v>753</v>
      </c>
      <c r="O95" s="7"/>
      <c r="P95" s="33"/>
      <c r="Q95" s="15" t="s">
        <v>4</v>
      </c>
      <c r="R95" s="15"/>
      <c r="S95" s="150"/>
      <c r="T95" s="15"/>
      <c r="U95" s="62"/>
      <c r="V95" s="62"/>
      <c r="W95" s="62"/>
      <c r="X95" s="62"/>
      <c r="Y95" s="62"/>
      <c r="Z95" s="62"/>
    </row>
    <row r="96" ht="15.75" customHeight="1">
      <c r="A96" s="7" t="s">
        <v>1444</v>
      </c>
      <c r="B96" s="130">
        <v>46084.0</v>
      </c>
      <c r="C96" s="7" t="s">
        <v>747</v>
      </c>
      <c r="D96" s="7" t="s">
        <v>907</v>
      </c>
      <c r="E96" s="7" t="s">
        <v>829</v>
      </c>
      <c r="F96" s="7" t="s">
        <v>39</v>
      </c>
      <c r="G96" s="7" t="s">
        <v>6</v>
      </c>
      <c r="H96" s="7" t="s">
        <v>908</v>
      </c>
      <c r="I96" s="33" t="s">
        <v>1445</v>
      </c>
      <c r="J96" s="33" t="s">
        <v>1446</v>
      </c>
      <c r="K96" s="58" t="s">
        <v>1447</v>
      </c>
      <c r="L96" s="33" t="s">
        <v>39</v>
      </c>
      <c r="M96" s="7" t="s">
        <v>913</v>
      </c>
      <c r="N96" s="7" t="s">
        <v>753</v>
      </c>
      <c r="O96" s="7"/>
      <c r="P96" s="33"/>
      <c r="Q96" s="15" t="s">
        <v>4</v>
      </c>
      <c r="R96" s="15"/>
      <c r="S96" s="150"/>
      <c r="T96" s="15"/>
      <c r="U96" s="62"/>
      <c r="V96" s="62"/>
      <c r="W96" s="62"/>
      <c r="X96" s="62"/>
      <c r="Y96" s="62"/>
      <c r="Z96" s="62"/>
    </row>
    <row r="97" ht="15.75" customHeight="1">
      <c r="A97" s="7" t="s">
        <v>1448</v>
      </c>
      <c r="B97" s="130">
        <v>46084.0</v>
      </c>
      <c r="C97" s="7" t="s">
        <v>747</v>
      </c>
      <c r="D97" s="7" t="s">
        <v>907</v>
      </c>
      <c r="E97" s="7" t="s">
        <v>829</v>
      </c>
      <c r="F97" s="7" t="s">
        <v>39</v>
      </c>
      <c r="G97" s="7" t="s">
        <v>6</v>
      </c>
      <c r="H97" s="7" t="s">
        <v>908</v>
      </c>
      <c r="I97" s="33" t="s">
        <v>1449</v>
      </c>
      <c r="J97" s="33" t="s">
        <v>1450</v>
      </c>
      <c r="K97" s="58" t="s">
        <v>1451</v>
      </c>
      <c r="L97" s="33" t="s">
        <v>39</v>
      </c>
      <c r="M97" s="7" t="s">
        <v>913</v>
      </c>
      <c r="N97" s="7" t="s">
        <v>753</v>
      </c>
      <c r="O97" s="7"/>
      <c r="P97" s="33"/>
      <c r="Q97" s="15" t="s">
        <v>4</v>
      </c>
      <c r="R97" s="15"/>
      <c r="S97" s="150"/>
      <c r="T97" s="15"/>
      <c r="U97" s="62"/>
      <c r="V97" s="62"/>
      <c r="W97" s="62"/>
      <c r="X97" s="62"/>
      <c r="Y97" s="62"/>
      <c r="Z97" s="62"/>
    </row>
    <row r="98" ht="15.75" customHeight="1">
      <c r="A98" s="7" t="s">
        <v>1452</v>
      </c>
      <c r="B98" s="130">
        <v>46084.0</v>
      </c>
      <c r="C98" s="7" t="s">
        <v>747</v>
      </c>
      <c r="D98" s="7" t="s">
        <v>907</v>
      </c>
      <c r="E98" s="7" t="s">
        <v>829</v>
      </c>
      <c r="F98" s="7" t="s">
        <v>39</v>
      </c>
      <c r="G98" s="7" t="s">
        <v>6</v>
      </c>
      <c r="H98" s="7" t="s">
        <v>908</v>
      </c>
      <c r="I98" s="33" t="s">
        <v>1453</v>
      </c>
      <c r="J98" s="33" t="s">
        <v>1454</v>
      </c>
      <c r="K98" s="58" t="s">
        <v>1455</v>
      </c>
      <c r="L98" s="33" t="s">
        <v>39</v>
      </c>
      <c r="M98" s="7" t="s">
        <v>913</v>
      </c>
      <c r="N98" s="7" t="s">
        <v>753</v>
      </c>
      <c r="O98" s="7"/>
      <c r="P98" s="33"/>
      <c r="Q98" s="15" t="s">
        <v>4</v>
      </c>
      <c r="R98" s="15"/>
      <c r="S98" s="150"/>
      <c r="T98" s="15"/>
      <c r="U98" s="62"/>
      <c r="V98" s="62"/>
      <c r="W98" s="62"/>
      <c r="X98" s="62"/>
      <c r="Y98" s="62"/>
      <c r="Z98" s="62"/>
    </row>
    <row r="99" ht="15.75" customHeight="1">
      <c r="A99" s="7" t="s">
        <v>1456</v>
      </c>
      <c r="B99" s="130">
        <v>46084.0</v>
      </c>
      <c r="C99" s="7" t="s">
        <v>755</v>
      </c>
      <c r="D99" s="7" t="s">
        <v>907</v>
      </c>
      <c r="E99" s="7" t="s">
        <v>829</v>
      </c>
      <c r="F99" s="7" t="s">
        <v>39</v>
      </c>
      <c r="G99" s="7" t="s">
        <v>6</v>
      </c>
      <c r="H99" s="7" t="s">
        <v>908</v>
      </c>
      <c r="I99" s="33" t="s">
        <v>1457</v>
      </c>
      <c r="J99" s="33" t="s">
        <v>1458</v>
      </c>
      <c r="K99" s="58" t="s">
        <v>1459</v>
      </c>
      <c r="L99" s="33" t="s">
        <v>39</v>
      </c>
      <c r="M99" s="7" t="s">
        <v>913</v>
      </c>
      <c r="N99" s="7" t="s">
        <v>753</v>
      </c>
      <c r="O99" s="7"/>
      <c r="P99" s="33"/>
      <c r="Q99" s="15" t="s">
        <v>4</v>
      </c>
      <c r="R99" s="15"/>
      <c r="S99" s="150"/>
      <c r="T99" s="15"/>
      <c r="U99" s="62"/>
      <c r="V99" s="62"/>
      <c r="W99" s="62"/>
      <c r="X99" s="62"/>
      <c r="Y99" s="62"/>
      <c r="Z99" s="62"/>
    </row>
    <row r="100" ht="15.75" customHeight="1">
      <c r="A100" s="7" t="s">
        <v>1460</v>
      </c>
      <c r="B100" s="130">
        <v>46084.0</v>
      </c>
      <c r="C100" s="7" t="s">
        <v>747</v>
      </c>
      <c r="D100" s="7" t="s">
        <v>907</v>
      </c>
      <c r="E100" s="7" t="s">
        <v>829</v>
      </c>
      <c r="F100" s="7" t="s">
        <v>39</v>
      </c>
      <c r="G100" s="7" t="s">
        <v>6</v>
      </c>
      <c r="H100" s="7" t="s">
        <v>908</v>
      </c>
      <c r="I100" s="33" t="s">
        <v>1461</v>
      </c>
      <c r="J100" s="33" t="s">
        <v>1462</v>
      </c>
      <c r="K100" s="58" t="s">
        <v>1463</v>
      </c>
      <c r="L100" s="33" t="s">
        <v>39</v>
      </c>
      <c r="M100" s="7" t="s">
        <v>913</v>
      </c>
      <c r="N100" s="7" t="s">
        <v>753</v>
      </c>
      <c r="O100" s="7"/>
      <c r="P100" s="33"/>
      <c r="Q100" s="15" t="s">
        <v>4</v>
      </c>
      <c r="R100" s="15"/>
      <c r="S100" s="150"/>
      <c r="T100" s="15"/>
      <c r="U100" s="62"/>
      <c r="V100" s="62"/>
      <c r="W100" s="62"/>
      <c r="X100" s="62"/>
      <c r="Y100" s="62"/>
      <c r="Z100" s="62"/>
    </row>
    <row r="101" ht="15.75" customHeight="1">
      <c r="A101" s="7" t="s">
        <v>1464</v>
      </c>
      <c r="B101" s="130">
        <v>46084.0</v>
      </c>
      <c r="C101" s="7" t="s">
        <v>747</v>
      </c>
      <c r="D101" s="7" t="s">
        <v>907</v>
      </c>
      <c r="E101" s="7" t="s">
        <v>829</v>
      </c>
      <c r="F101" s="7" t="s">
        <v>39</v>
      </c>
      <c r="G101" s="7" t="s">
        <v>6</v>
      </c>
      <c r="H101" s="7" t="s">
        <v>908</v>
      </c>
      <c r="I101" s="33" t="s">
        <v>1465</v>
      </c>
      <c r="J101" s="33" t="s">
        <v>1466</v>
      </c>
      <c r="K101" s="58" t="s">
        <v>1467</v>
      </c>
      <c r="L101" s="33" t="s">
        <v>39</v>
      </c>
      <c r="M101" s="7" t="s">
        <v>913</v>
      </c>
      <c r="N101" s="7" t="s">
        <v>753</v>
      </c>
      <c r="O101" s="7"/>
      <c r="P101" s="33"/>
      <c r="Q101" s="15" t="s">
        <v>4</v>
      </c>
      <c r="R101" s="15"/>
      <c r="S101" s="150"/>
      <c r="T101" s="15"/>
      <c r="U101" s="62"/>
      <c r="V101" s="62"/>
      <c r="W101" s="62"/>
      <c r="X101" s="62"/>
      <c r="Y101" s="62"/>
      <c r="Z101" s="62"/>
    </row>
    <row r="102" ht="15.75" customHeight="1">
      <c r="A102" s="7" t="s">
        <v>1468</v>
      </c>
      <c r="B102" s="130">
        <v>46084.0</v>
      </c>
      <c r="C102" s="7" t="s">
        <v>747</v>
      </c>
      <c r="D102" s="7" t="s">
        <v>907</v>
      </c>
      <c r="E102" s="7" t="s">
        <v>829</v>
      </c>
      <c r="F102" s="7" t="s">
        <v>39</v>
      </c>
      <c r="G102" s="7" t="s">
        <v>6</v>
      </c>
      <c r="H102" s="7" t="s">
        <v>908</v>
      </c>
      <c r="I102" s="33" t="s">
        <v>1469</v>
      </c>
      <c r="J102" s="33" t="s">
        <v>1470</v>
      </c>
      <c r="K102" s="58" t="s">
        <v>1471</v>
      </c>
      <c r="L102" s="33" t="s">
        <v>39</v>
      </c>
      <c r="M102" s="7" t="s">
        <v>913</v>
      </c>
      <c r="N102" s="7" t="s">
        <v>753</v>
      </c>
      <c r="O102" s="7"/>
      <c r="P102" s="33"/>
      <c r="Q102" s="15" t="s">
        <v>4</v>
      </c>
      <c r="R102" s="15"/>
      <c r="S102" s="150"/>
      <c r="T102" s="15"/>
      <c r="U102" s="62"/>
      <c r="V102" s="62"/>
      <c r="W102" s="62"/>
      <c r="X102" s="62"/>
      <c r="Y102" s="62"/>
      <c r="Z102" s="62"/>
    </row>
    <row r="103" ht="15.75" customHeight="1">
      <c r="A103" s="7" t="s">
        <v>1472</v>
      </c>
      <c r="B103" s="130">
        <v>46084.0</v>
      </c>
      <c r="C103" s="7" t="s">
        <v>747</v>
      </c>
      <c r="D103" s="7" t="s">
        <v>907</v>
      </c>
      <c r="E103" s="7" t="s">
        <v>829</v>
      </c>
      <c r="F103" s="7" t="s">
        <v>39</v>
      </c>
      <c r="G103" s="7" t="s">
        <v>6</v>
      </c>
      <c r="H103" s="7" t="s">
        <v>908</v>
      </c>
      <c r="I103" s="33" t="s">
        <v>1473</v>
      </c>
      <c r="J103" s="33" t="s">
        <v>1474</v>
      </c>
      <c r="K103" s="58" t="s">
        <v>1475</v>
      </c>
      <c r="L103" s="33" t="s">
        <v>39</v>
      </c>
      <c r="M103" s="7" t="s">
        <v>913</v>
      </c>
      <c r="N103" s="7" t="s">
        <v>753</v>
      </c>
      <c r="O103" s="7"/>
      <c r="P103" s="33"/>
      <c r="Q103" s="15" t="s">
        <v>4</v>
      </c>
      <c r="R103" s="15"/>
      <c r="S103" s="150"/>
      <c r="T103" s="15"/>
      <c r="U103" s="62"/>
      <c r="V103" s="62"/>
      <c r="W103" s="62"/>
      <c r="X103" s="62"/>
      <c r="Y103" s="62"/>
      <c r="Z103" s="62"/>
    </row>
    <row r="104" ht="15.75" customHeight="1">
      <c r="A104" s="7" t="s">
        <v>1476</v>
      </c>
      <c r="B104" s="130">
        <v>46084.0</v>
      </c>
      <c r="C104" s="7" t="s">
        <v>747</v>
      </c>
      <c r="D104" s="7" t="s">
        <v>907</v>
      </c>
      <c r="E104" s="7" t="s">
        <v>829</v>
      </c>
      <c r="F104" s="7" t="s">
        <v>39</v>
      </c>
      <c r="G104" s="7" t="s">
        <v>6</v>
      </c>
      <c r="H104" s="7" t="s">
        <v>908</v>
      </c>
      <c r="I104" s="33" t="s">
        <v>1477</v>
      </c>
      <c r="J104" s="33" t="s">
        <v>1478</v>
      </c>
      <c r="K104" s="58" t="s">
        <v>1479</v>
      </c>
      <c r="L104" s="33" t="s">
        <v>39</v>
      </c>
      <c r="M104" s="7" t="s">
        <v>913</v>
      </c>
      <c r="N104" s="7" t="s">
        <v>753</v>
      </c>
      <c r="O104" s="7"/>
      <c r="P104" s="33"/>
      <c r="Q104" s="15" t="s">
        <v>4</v>
      </c>
      <c r="R104" s="15"/>
      <c r="S104" s="150"/>
      <c r="T104" s="15"/>
      <c r="U104" s="62"/>
      <c r="V104" s="62"/>
      <c r="W104" s="62"/>
      <c r="X104" s="62"/>
      <c r="Y104" s="62"/>
      <c r="Z104" s="62"/>
    </row>
    <row r="105" ht="15.75" customHeight="1">
      <c r="A105" s="7" t="s">
        <v>1480</v>
      </c>
      <c r="B105" s="130">
        <v>46084.0</v>
      </c>
      <c r="C105" s="7" t="s">
        <v>747</v>
      </c>
      <c r="D105" s="7" t="s">
        <v>907</v>
      </c>
      <c r="E105" s="7" t="s">
        <v>829</v>
      </c>
      <c r="F105" s="7" t="s">
        <v>39</v>
      </c>
      <c r="G105" s="7" t="s">
        <v>6</v>
      </c>
      <c r="H105" s="7" t="s">
        <v>908</v>
      </c>
      <c r="I105" s="33" t="s">
        <v>1481</v>
      </c>
      <c r="J105" s="33" t="s">
        <v>1482</v>
      </c>
      <c r="K105" s="58" t="s">
        <v>1483</v>
      </c>
      <c r="L105" s="33" t="s">
        <v>39</v>
      </c>
      <c r="M105" s="7" t="s">
        <v>913</v>
      </c>
      <c r="N105" s="7" t="s">
        <v>753</v>
      </c>
      <c r="O105" s="7"/>
      <c r="P105" s="33"/>
      <c r="Q105" s="15" t="s">
        <v>4</v>
      </c>
      <c r="R105" s="15"/>
      <c r="S105" s="150"/>
      <c r="T105" s="15"/>
      <c r="U105" s="62"/>
      <c r="V105" s="62"/>
      <c r="W105" s="62"/>
      <c r="X105" s="62"/>
      <c r="Y105" s="62"/>
      <c r="Z105" s="62"/>
    </row>
    <row r="106" ht="15.75" customHeight="1">
      <c r="A106" s="7" t="s">
        <v>1484</v>
      </c>
      <c r="B106" s="130">
        <v>46084.0</v>
      </c>
      <c r="C106" s="7" t="s">
        <v>747</v>
      </c>
      <c r="D106" s="7" t="s">
        <v>907</v>
      </c>
      <c r="E106" s="7" t="s">
        <v>829</v>
      </c>
      <c r="F106" s="7" t="s">
        <v>39</v>
      </c>
      <c r="G106" s="7" t="s">
        <v>6</v>
      </c>
      <c r="H106" s="7" t="s">
        <v>908</v>
      </c>
      <c r="I106" s="33" t="s">
        <v>1485</v>
      </c>
      <c r="J106" s="33" t="s">
        <v>1486</v>
      </c>
      <c r="K106" s="58" t="s">
        <v>1487</v>
      </c>
      <c r="L106" s="33" t="s">
        <v>39</v>
      </c>
      <c r="M106" s="7" t="s">
        <v>913</v>
      </c>
      <c r="N106" s="7" t="s">
        <v>753</v>
      </c>
      <c r="O106" s="7"/>
      <c r="P106" s="33"/>
      <c r="Q106" s="15" t="s">
        <v>4</v>
      </c>
      <c r="R106" s="15"/>
      <c r="S106" s="150"/>
      <c r="T106" s="15"/>
      <c r="U106" s="62"/>
      <c r="V106" s="62"/>
      <c r="W106" s="62"/>
      <c r="X106" s="62"/>
      <c r="Y106" s="62"/>
      <c r="Z106" s="62"/>
    </row>
    <row r="107" ht="15.75" customHeight="1">
      <c r="A107" s="7" t="s">
        <v>1488</v>
      </c>
      <c r="B107" s="130">
        <v>46084.0</v>
      </c>
      <c r="C107" s="7" t="s">
        <v>747</v>
      </c>
      <c r="D107" s="7" t="s">
        <v>907</v>
      </c>
      <c r="E107" s="7" t="s">
        <v>829</v>
      </c>
      <c r="F107" s="7" t="s">
        <v>39</v>
      </c>
      <c r="G107" s="7" t="s">
        <v>6</v>
      </c>
      <c r="H107" s="7" t="s">
        <v>908</v>
      </c>
      <c r="I107" s="33" t="s">
        <v>1489</v>
      </c>
      <c r="J107" s="33" t="s">
        <v>1490</v>
      </c>
      <c r="K107" s="58" t="s">
        <v>1491</v>
      </c>
      <c r="L107" s="33" t="s">
        <v>39</v>
      </c>
      <c r="M107" s="7" t="s">
        <v>913</v>
      </c>
      <c r="N107" s="7" t="s">
        <v>753</v>
      </c>
      <c r="O107" s="7"/>
      <c r="P107" s="33"/>
      <c r="Q107" s="15" t="s">
        <v>4</v>
      </c>
      <c r="R107" s="15"/>
      <c r="S107" s="150"/>
      <c r="T107" s="15"/>
      <c r="U107" s="62"/>
      <c r="V107" s="62"/>
      <c r="W107" s="62"/>
      <c r="X107" s="62"/>
      <c r="Y107" s="62"/>
      <c r="Z107" s="62"/>
    </row>
    <row r="108" ht="15.75" customHeight="1">
      <c r="A108" s="35" t="s">
        <v>1492</v>
      </c>
      <c r="B108" s="197">
        <v>46084.0</v>
      </c>
      <c r="C108" s="35" t="s">
        <v>747</v>
      </c>
      <c r="D108" s="35" t="s">
        <v>907</v>
      </c>
      <c r="E108" s="35" t="s">
        <v>829</v>
      </c>
      <c r="F108" s="35" t="s">
        <v>39</v>
      </c>
      <c r="G108" s="35" t="s">
        <v>6</v>
      </c>
      <c r="H108" s="35" t="s">
        <v>908</v>
      </c>
      <c r="I108" s="69" t="s">
        <v>1493</v>
      </c>
      <c r="J108" s="69" t="s">
        <v>1494</v>
      </c>
      <c r="K108" s="28" t="s">
        <v>1495</v>
      </c>
      <c r="L108" s="69" t="s">
        <v>39</v>
      </c>
      <c r="M108" s="35" t="s">
        <v>913</v>
      </c>
      <c r="N108" s="35" t="s">
        <v>753</v>
      </c>
      <c r="O108" s="35"/>
      <c r="P108" s="69"/>
      <c r="Q108" s="36" t="s">
        <v>4</v>
      </c>
      <c r="R108" s="36"/>
      <c r="S108" s="198"/>
      <c r="T108" s="36"/>
      <c r="U108" s="62"/>
      <c r="V108" s="62"/>
      <c r="W108" s="62"/>
      <c r="X108" s="62"/>
      <c r="Y108" s="62"/>
      <c r="Z108" s="62"/>
    </row>
    <row r="109" ht="15.75" customHeight="1">
      <c r="A109" s="7" t="s">
        <v>1496</v>
      </c>
      <c r="B109" s="130">
        <v>46084.0</v>
      </c>
      <c r="C109" s="7" t="s">
        <v>747</v>
      </c>
      <c r="D109" s="7" t="s">
        <v>907</v>
      </c>
      <c r="E109" s="7" t="s">
        <v>768</v>
      </c>
      <c r="F109" s="7" t="s">
        <v>39</v>
      </c>
      <c r="G109" s="7" t="s">
        <v>6</v>
      </c>
      <c r="H109" s="7" t="s">
        <v>1005</v>
      </c>
      <c r="I109" s="33" t="s">
        <v>1497</v>
      </c>
      <c r="J109" s="33" t="s">
        <v>1498</v>
      </c>
      <c r="K109" s="58" t="s">
        <v>1499</v>
      </c>
      <c r="L109" s="58" t="s">
        <v>1500</v>
      </c>
      <c r="M109" s="7" t="s">
        <v>913</v>
      </c>
      <c r="N109" s="7" t="s">
        <v>753</v>
      </c>
      <c r="O109" s="7"/>
      <c r="P109" s="33"/>
      <c r="Q109" s="7" t="s">
        <v>4</v>
      </c>
      <c r="R109" s="7"/>
      <c r="S109" s="32"/>
      <c r="T109" s="7"/>
      <c r="U109" s="62"/>
      <c r="V109" s="62"/>
      <c r="W109" s="62"/>
      <c r="X109" s="62"/>
      <c r="Y109" s="62"/>
      <c r="Z109" s="62"/>
    </row>
    <row r="110" ht="15.75" customHeight="1">
      <c r="A110" s="199" t="s">
        <v>1501</v>
      </c>
      <c r="B110" s="200">
        <v>46084.0</v>
      </c>
      <c r="C110" s="199" t="s">
        <v>755</v>
      </c>
      <c r="D110" s="199" t="s">
        <v>907</v>
      </c>
      <c r="E110" s="199" t="s">
        <v>829</v>
      </c>
      <c r="F110" s="199" t="s">
        <v>39</v>
      </c>
      <c r="G110" s="199" t="s">
        <v>16</v>
      </c>
      <c r="H110" s="199" t="s">
        <v>1005</v>
      </c>
      <c r="I110" s="201" t="s">
        <v>1502</v>
      </c>
      <c r="J110" s="201" t="s">
        <v>1503</v>
      </c>
      <c r="K110" s="202" t="s">
        <v>1504</v>
      </c>
      <c r="L110" s="201" t="s">
        <v>39</v>
      </c>
      <c r="M110" s="199" t="s">
        <v>913</v>
      </c>
      <c r="N110" s="199" t="s">
        <v>974</v>
      </c>
      <c r="O110" s="199"/>
      <c r="P110" s="201"/>
      <c r="Q110" s="199" t="s">
        <v>4</v>
      </c>
      <c r="R110" s="199"/>
      <c r="S110" s="203"/>
      <c r="T110" s="199" t="s">
        <v>1029</v>
      </c>
      <c r="U110" s="62"/>
      <c r="V110" s="62"/>
      <c r="W110" s="62"/>
      <c r="X110" s="62"/>
      <c r="Y110" s="62"/>
      <c r="Z110" s="62"/>
    </row>
    <row r="111" ht="15.75" customHeight="1">
      <c r="A111" s="7" t="s">
        <v>1505</v>
      </c>
      <c r="B111" s="130">
        <v>46359.0</v>
      </c>
      <c r="C111" s="7" t="s">
        <v>747</v>
      </c>
      <c r="D111" s="7" t="s">
        <v>907</v>
      </c>
      <c r="E111" s="7" t="s">
        <v>829</v>
      </c>
      <c r="F111" s="7" t="s">
        <v>39</v>
      </c>
      <c r="G111" s="7" t="s">
        <v>6</v>
      </c>
      <c r="H111" s="7" t="s">
        <v>908</v>
      </c>
      <c r="I111" s="33" t="s">
        <v>1506</v>
      </c>
      <c r="J111" s="111" t="s">
        <v>1507</v>
      </c>
      <c r="K111" s="58" t="s">
        <v>1508</v>
      </c>
      <c r="L111" s="58" t="s">
        <v>1509</v>
      </c>
      <c r="M111" s="7" t="s">
        <v>750</v>
      </c>
      <c r="N111" s="7" t="s">
        <v>753</v>
      </c>
      <c r="O111" s="7"/>
      <c r="P111" s="33"/>
      <c r="Q111" s="7" t="s">
        <v>3</v>
      </c>
      <c r="R111" s="130" t="s">
        <v>684</v>
      </c>
      <c r="S111" s="32" t="s">
        <v>1510</v>
      </c>
      <c r="T111" s="7"/>
      <c r="U111" s="62"/>
      <c r="V111" s="62"/>
      <c r="W111" s="62"/>
      <c r="X111" s="62"/>
      <c r="Y111" s="62"/>
      <c r="Z111" s="62"/>
    </row>
    <row r="112" ht="15.75" customHeight="1">
      <c r="A112" s="204" t="s">
        <v>1511</v>
      </c>
      <c r="B112" s="204" t="s">
        <v>490</v>
      </c>
      <c r="C112" s="204" t="s">
        <v>747</v>
      </c>
      <c r="D112" s="204" t="s">
        <v>907</v>
      </c>
      <c r="E112" s="204" t="s">
        <v>1004</v>
      </c>
      <c r="F112" s="204" t="s">
        <v>39</v>
      </c>
      <c r="G112" s="204" t="s">
        <v>6</v>
      </c>
      <c r="H112" s="204" t="s">
        <v>1172</v>
      </c>
      <c r="I112" s="205" t="s">
        <v>1512</v>
      </c>
      <c r="J112" s="205" t="s">
        <v>1513</v>
      </c>
      <c r="K112" s="206" t="s">
        <v>1514</v>
      </c>
      <c r="L112" s="206" t="s">
        <v>1515</v>
      </c>
      <c r="M112" s="204" t="s">
        <v>913</v>
      </c>
      <c r="N112" s="204" t="s">
        <v>1191</v>
      </c>
      <c r="O112" s="204"/>
      <c r="P112" s="205"/>
      <c r="Q112" s="207" t="s">
        <v>4</v>
      </c>
      <c r="R112" s="207" t="s">
        <v>490</v>
      </c>
      <c r="S112" s="208" t="s">
        <v>1516</v>
      </c>
      <c r="T112" s="207"/>
      <c r="U112" s="62"/>
      <c r="V112" s="62"/>
      <c r="W112" s="62"/>
      <c r="X112" s="62"/>
      <c r="Y112" s="62"/>
      <c r="Z112" s="62"/>
    </row>
    <row r="113" ht="15.75" customHeight="1">
      <c r="A113" s="7" t="s">
        <v>1517</v>
      </c>
      <c r="B113" s="7" t="s">
        <v>701</v>
      </c>
      <c r="C113" s="7" t="s">
        <v>747</v>
      </c>
      <c r="D113" s="7" t="s">
        <v>907</v>
      </c>
      <c r="E113" s="7" t="s">
        <v>829</v>
      </c>
      <c r="F113" s="7" t="s">
        <v>39</v>
      </c>
      <c r="G113" s="7" t="s">
        <v>6</v>
      </c>
      <c r="H113" s="7" t="s">
        <v>908</v>
      </c>
      <c r="I113" s="33" t="s">
        <v>1518</v>
      </c>
      <c r="J113" s="33" t="s">
        <v>1519</v>
      </c>
      <c r="K113" s="58" t="s">
        <v>1520</v>
      </c>
      <c r="L113" s="33" t="s">
        <v>39</v>
      </c>
      <c r="M113" s="7" t="s">
        <v>750</v>
      </c>
      <c r="N113" s="7" t="s">
        <v>753</v>
      </c>
      <c r="O113" s="7"/>
      <c r="P113" s="33"/>
      <c r="Q113" s="15" t="s">
        <v>4</v>
      </c>
      <c r="R113" s="15"/>
      <c r="S113" s="150"/>
      <c r="T113" s="15"/>
      <c r="U113" s="62"/>
      <c r="V113" s="62"/>
      <c r="W113" s="62"/>
      <c r="X113" s="62"/>
      <c r="Y113" s="62"/>
      <c r="Z113" s="62"/>
    </row>
    <row r="114" ht="15.75" customHeight="1">
      <c r="A114" s="7"/>
      <c r="B114" s="7"/>
      <c r="C114" s="7"/>
      <c r="D114" s="7"/>
      <c r="E114" s="7"/>
      <c r="F114" s="7"/>
      <c r="G114" s="7"/>
      <c r="H114" s="7"/>
      <c r="I114" s="33"/>
      <c r="J114" s="33"/>
      <c r="K114" s="33"/>
      <c r="L114" s="33"/>
      <c r="M114" s="7"/>
      <c r="N114" s="7"/>
      <c r="O114" s="7"/>
      <c r="P114" s="33"/>
      <c r="Q114" s="15"/>
      <c r="R114" s="15"/>
      <c r="S114" s="150"/>
      <c r="T114" s="15"/>
      <c r="U114" s="62"/>
      <c r="V114" s="62"/>
      <c r="W114" s="62"/>
      <c r="X114" s="62"/>
      <c r="Y114" s="62"/>
      <c r="Z114" s="62"/>
    </row>
    <row r="115" ht="15.75" customHeight="1">
      <c r="A115" s="7"/>
      <c r="B115" s="7"/>
      <c r="C115" s="7"/>
      <c r="D115" s="7"/>
      <c r="E115" s="7"/>
      <c r="F115" s="7"/>
      <c r="G115" s="7"/>
      <c r="H115" s="7"/>
      <c r="I115" s="33"/>
      <c r="J115" s="33"/>
      <c r="K115" s="33"/>
      <c r="L115" s="33"/>
      <c r="M115" s="7"/>
      <c r="N115" s="7"/>
      <c r="O115" s="7"/>
      <c r="P115" s="33"/>
      <c r="Q115" s="15"/>
      <c r="R115" s="15"/>
      <c r="S115" s="150"/>
      <c r="T115" s="15"/>
      <c r="U115" s="62"/>
      <c r="V115" s="62"/>
      <c r="W115" s="62"/>
      <c r="X115" s="62"/>
      <c r="Y115" s="62"/>
      <c r="Z115" s="62"/>
    </row>
    <row r="116" ht="15.75" customHeight="1">
      <c r="A116" s="7"/>
      <c r="B116" s="7"/>
      <c r="C116" s="7"/>
      <c r="D116" s="7"/>
      <c r="E116" s="7"/>
      <c r="F116" s="7"/>
      <c r="G116" s="7"/>
      <c r="H116" s="7"/>
      <c r="I116" s="33"/>
      <c r="J116" s="33"/>
      <c r="K116" s="33"/>
      <c r="L116" s="33"/>
      <c r="M116" s="7"/>
      <c r="N116" s="7"/>
      <c r="O116" s="7"/>
      <c r="P116" s="33"/>
      <c r="Q116" s="15"/>
      <c r="R116" s="15"/>
      <c r="S116" s="150"/>
      <c r="T116" s="15"/>
      <c r="U116" s="62"/>
      <c r="V116" s="62"/>
      <c r="W116" s="62"/>
      <c r="X116" s="62"/>
      <c r="Y116" s="62"/>
      <c r="Z116" s="62"/>
    </row>
    <row r="117" ht="15.75" customHeight="1">
      <c r="A117" s="7"/>
      <c r="B117" s="7"/>
      <c r="C117" s="7"/>
      <c r="D117" s="7"/>
      <c r="E117" s="7"/>
      <c r="F117" s="7"/>
      <c r="G117" s="7"/>
      <c r="H117" s="7"/>
      <c r="I117" s="33"/>
      <c r="J117" s="33"/>
      <c r="K117" s="33"/>
      <c r="L117" s="33"/>
      <c r="M117" s="7"/>
      <c r="N117" s="7"/>
      <c r="O117" s="7"/>
      <c r="P117" s="33"/>
      <c r="Q117" s="15"/>
      <c r="R117" s="15"/>
      <c r="S117" s="150"/>
      <c r="T117" s="15"/>
      <c r="U117" s="62"/>
      <c r="V117" s="62"/>
      <c r="W117" s="62"/>
      <c r="X117" s="62"/>
      <c r="Y117" s="62"/>
      <c r="Z117" s="62"/>
    </row>
    <row r="118" ht="15.75" customHeight="1">
      <c r="A118" s="7"/>
      <c r="B118" s="7"/>
      <c r="C118" s="7"/>
      <c r="D118" s="7"/>
      <c r="E118" s="7"/>
      <c r="F118" s="7"/>
      <c r="G118" s="7"/>
      <c r="H118" s="7"/>
      <c r="I118" s="33"/>
      <c r="J118" s="33"/>
      <c r="K118" s="33"/>
      <c r="L118" s="33"/>
      <c r="M118" s="7"/>
      <c r="N118" s="7"/>
      <c r="O118" s="7"/>
      <c r="P118" s="33"/>
      <c r="Q118" s="15"/>
      <c r="R118" s="15"/>
      <c r="S118" s="150"/>
      <c r="T118" s="15"/>
      <c r="U118" s="62"/>
      <c r="V118" s="62"/>
      <c r="W118" s="62"/>
      <c r="X118" s="62"/>
      <c r="Y118" s="62"/>
      <c r="Z118" s="62"/>
    </row>
    <row r="119" ht="15.75" customHeight="1">
      <c r="A119" s="7"/>
      <c r="B119" s="7"/>
      <c r="C119" s="7"/>
      <c r="D119" s="7"/>
      <c r="E119" s="7"/>
      <c r="F119" s="7"/>
      <c r="G119" s="7"/>
      <c r="H119" s="7"/>
      <c r="I119" s="33"/>
      <c r="J119" s="33"/>
      <c r="K119" s="33"/>
      <c r="L119" s="33"/>
      <c r="M119" s="7"/>
      <c r="N119" s="7"/>
      <c r="O119" s="7"/>
      <c r="P119" s="33"/>
      <c r="Q119" s="15"/>
      <c r="R119" s="15"/>
      <c r="S119" s="150"/>
      <c r="T119" s="15"/>
      <c r="U119" s="62"/>
      <c r="V119" s="62"/>
      <c r="W119" s="62"/>
      <c r="X119" s="62"/>
      <c r="Y119" s="62"/>
      <c r="Z119" s="62"/>
    </row>
    <row r="120" ht="15.75" customHeight="1">
      <c r="A120" s="7"/>
      <c r="B120" s="7"/>
      <c r="C120" s="7"/>
      <c r="D120" s="7"/>
      <c r="E120" s="7"/>
      <c r="F120" s="7"/>
      <c r="G120" s="7"/>
      <c r="H120" s="7"/>
      <c r="I120" s="33"/>
      <c r="J120" s="33"/>
      <c r="K120" s="33"/>
      <c r="L120" s="33"/>
      <c r="M120" s="7"/>
      <c r="N120" s="7"/>
      <c r="O120" s="7"/>
      <c r="P120" s="33"/>
      <c r="Q120" s="15"/>
      <c r="R120" s="15"/>
      <c r="S120" s="150"/>
      <c r="T120" s="15"/>
      <c r="U120" s="62"/>
      <c r="V120" s="62"/>
      <c r="W120" s="62"/>
      <c r="X120" s="62"/>
      <c r="Y120" s="62"/>
      <c r="Z120" s="62"/>
    </row>
    <row r="121" ht="15.75" customHeight="1">
      <c r="A121" s="7"/>
      <c r="B121" s="7"/>
      <c r="C121" s="7"/>
      <c r="D121" s="7"/>
      <c r="E121" s="7"/>
      <c r="F121" s="7"/>
      <c r="G121" s="7"/>
      <c r="H121" s="7"/>
      <c r="I121" s="33"/>
      <c r="J121" s="33"/>
      <c r="K121" s="33"/>
      <c r="L121" s="33"/>
      <c r="M121" s="7"/>
      <c r="N121" s="7"/>
      <c r="O121" s="7"/>
      <c r="P121" s="33"/>
      <c r="Q121" s="15"/>
      <c r="R121" s="15"/>
      <c r="S121" s="150"/>
      <c r="T121" s="15"/>
      <c r="U121" s="62"/>
      <c r="V121" s="62"/>
      <c r="W121" s="62"/>
      <c r="X121" s="62"/>
      <c r="Y121" s="62"/>
      <c r="Z121" s="62"/>
    </row>
    <row r="122" ht="15.75" customHeight="1">
      <c r="A122" s="7"/>
      <c r="B122" s="7"/>
      <c r="C122" s="7"/>
      <c r="D122" s="7"/>
      <c r="E122" s="7"/>
      <c r="F122" s="7"/>
      <c r="G122" s="7"/>
      <c r="H122" s="7"/>
      <c r="I122" s="33"/>
      <c r="J122" s="33"/>
      <c r="K122" s="33"/>
      <c r="L122" s="33"/>
      <c r="M122" s="7"/>
      <c r="N122" s="7"/>
      <c r="O122" s="7"/>
      <c r="P122" s="33"/>
      <c r="Q122" s="15"/>
      <c r="R122" s="15"/>
      <c r="S122" s="150"/>
      <c r="T122" s="15"/>
      <c r="U122" s="62"/>
      <c r="V122" s="62"/>
      <c r="W122" s="62"/>
      <c r="X122" s="62"/>
      <c r="Y122" s="62"/>
      <c r="Z122" s="62"/>
    </row>
    <row r="123" ht="15.75" customHeight="1">
      <c r="A123" s="7"/>
      <c r="B123" s="7"/>
      <c r="C123" s="7"/>
      <c r="D123" s="7"/>
      <c r="E123" s="7"/>
      <c r="F123" s="7"/>
      <c r="G123" s="7"/>
      <c r="H123" s="7"/>
      <c r="I123" s="33"/>
      <c r="J123" s="33"/>
      <c r="K123" s="33"/>
      <c r="L123" s="33"/>
      <c r="M123" s="7"/>
      <c r="N123" s="7"/>
      <c r="O123" s="7"/>
      <c r="P123" s="33"/>
      <c r="Q123" s="15"/>
      <c r="R123" s="15"/>
      <c r="S123" s="150"/>
      <c r="T123" s="15"/>
      <c r="U123" s="62"/>
      <c r="V123" s="62"/>
      <c r="W123" s="62"/>
      <c r="X123" s="62"/>
      <c r="Y123" s="62"/>
      <c r="Z123" s="62"/>
    </row>
    <row r="124" ht="15.75" customHeight="1">
      <c r="A124" s="7"/>
      <c r="B124" s="7"/>
      <c r="C124" s="7"/>
      <c r="D124" s="7"/>
      <c r="E124" s="7"/>
      <c r="F124" s="7"/>
      <c r="G124" s="7"/>
      <c r="H124" s="7"/>
      <c r="I124" s="33"/>
      <c r="J124" s="33"/>
      <c r="K124" s="33"/>
      <c r="L124" s="33"/>
      <c r="M124" s="7"/>
      <c r="N124" s="7"/>
      <c r="O124" s="7"/>
      <c r="P124" s="33"/>
      <c r="Q124" s="15"/>
      <c r="R124" s="15"/>
      <c r="S124" s="150"/>
      <c r="T124" s="15"/>
      <c r="U124" s="62"/>
      <c r="V124" s="62"/>
      <c r="W124" s="62"/>
      <c r="X124" s="62"/>
      <c r="Y124" s="62"/>
      <c r="Z124" s="62"/>
    </row>
    <row r="125" ht="15.75" customHeight="1">
      <c r="A125" s="2"/>
      <c r="B125" s="195"/>
      <c r="C125" s="2"/>
      <c r="D125" s="2"/>
      <c r="E125" s="2"/>
      <c r="F125" s="2"/>
      <c r="G125" s="2"/>
      <c r="H125" s="2"/>
      <c r="I125" s="74"/>
      <c r="J125" s="74"/>
      <c r="K125" s="75"/>
      <c r="L125" s="75"/>
      <c r="M125" s="2"/>
      <c r="N125" s="2"/>
      <c r="O125" s="2"/>
      <c r="P125" s="74"/>
      <c r="Q125" s="2"/>
      <c r="R125" s="2"/>
      <c r="S125" s="76"/>
      <c r="T125" s="2"/>
      <c r="U125" s="62"/>
      <c r="V125" s="62"/>
      <c r="W125" s="62"/>
      <c r="X125" s="62"/>
      <c r="Y125" s="62"/>
      <c r="Z125" s="62"/>
    </row>
    <row r="126" ht="15.75" customHeight="1">
      <c r="A126" s="2"/>
      <c r="B126" s="195"/>
      <c r="C126" s="2"/>
      <c r="D126" s="2"/>
      <c r="E126" s="2"/>
      <c r="F126" s="2"/>
      <c r="G126" s="2"/>
      <c r="H126" s="2"/>
      <c r="I126" s="74"/>
      <c r="J126" s="74"/>
      <c r="K126" s="75"/>
      <c r="L126" s="75"/>
      <c r="M126" s="2"/>
      <c r="N126" s="2"/>
      <c r="O126" s="2"/>
      <c r="P126" s="74"/>
      <c r="Q126" s="2"/>
      <c r="R126" s="2"/>
      <c r="S126" s="76"/>
      <c r="T126" s="2"/>
      <c r="U126" s="62"/>
      <c r="V126" s="62"/>
      <c r="W126" s="62"/>
      <c r="X126" s="62"/>
      <c r="Y126" s="62"/>
      <c r="Z126" s="62"/>
    </row>
    <row r="127" ht="15.75" customHeight="1">
      <c r="A127" s="2"/>
      <c r="B127" s="195"/>
      <c r="C127" s="2"/>
      <c r="D127" s="2"/>
      <c r="E127" s="2"/>
      <c r="F127" s="2"/>
      <c r="G127" s="2"/>
      <c r="H127" s="2"/>
      <c r="I127" s="74"/>
      <c r="J127" s="74"/>
      <c r="K127" s="75"/>
      <c r="L127" s="74"/>
      <c r="M127" s="2"/>
      <c r="N127" s="2"/>
      <c r="O127" s="2"/>
      <c r="P127" s="74"/>
      <c r="Q127" s="2"/>
      <c r="R127" s="2"/>
      <c r="S127" s="76"/>
      <c r="T127" s="2"/>
      <c r="U127" s="62"/>
      <c r="V127" s="62"/>
      <c r="W127" s="62"/>
      <c r="X127" s="62"/>
      <c r="Y127" s="62"/>
      <c r="Z127" s="62"/>
    </row>
    <row r="128" ht="15.75" customHeight="1">
      <c r="A128" s="2"/>
      <c r="B128" s="2"/>
      <c r="C128" s="2"/>
      <c r="D128" s="2"/>
      <c r="E128" s="2"/>
      <c r="F128" s="2"/>
      <c r="G128" s="2"/>
      <c r="H128" s="2"/>
      <c r="I128" s="74"/>
      <c r="J128" s="74"/>
      <c r="K128" s="74"/>
      <c r="L128" s="74"/>
      <c r="M128" s="2"/>
      <c r="N128" s="2"/>
      <c r="O128" s="2"/>
      <c r="P128" s="74"/>
      <c r="Q128" s="2"/>
      <c r="R128" s="2"/>
      <c r="S128" s="76"/>
      <c r="T128" s="2"/>
      <c r="U128" s="62"/>
      <c r="V128" s="62"/>
      <c r="W128" s="62"/>
      <c r="X128" s="62"/>
      <c r="Y128" s="62"/>
      <c r="Z128" s="62"/>
    </row>
    <row r="129" ht="15.75" customHeight="1">
      <c r="A129" s="2"/>
      <c r="B129" s="2"/>
      <c r="C129" s="2"/>
      <c r="D129" s="2"/>
      <c r="E129" s="2"/>
      <c r="F129" s="2"/>
      <c r="G129" s="2"/>
      <c r="H129" s="2"/>
      <c r="I129" s="74"/>
      <c r="J129" s="74"/>
      <c r="K129" s="74"/>
      <c r="L129" s="74"/>
      <c r="M129" s="2"/>
      <c r="N129" s="2"/>
      <c r="O129" s="2"/>
      <c r="P129" s="74"/>
      <c r="Q129" s="2"/>
      <c r="R129" s="2"/>
      <c r="S129" s="76"/>
      <c r="T129" s="2"/>
      <c r="U129" s="62"/>
      <c r="V129" s="62"/>
      <c r="W129" s="62"/>
      <c r="X129" s="62"/>
      <c r="Y129" s="62"/>
      <c r="Z129" s="62"/>
    </row>
    <row r="130" ht="15.75" customHeight="1">
      <c r="A130" s="2"/>
      <c r="B130" s="2"/>
      <c r="C130" s="2"/>
      <c r="D130" s="2"/>
      <c r="E130" s="2"/>
      <c r="F130" s="2"/>
      <c r="G130" s="2"/>
      <c r="H130" s="2"/>
      <c r="I130" s="74"/>
      <c r="J130" s="74"/>
      <c r="K130" s="74"/>
      <c r="L130" s="74"/>
      <c r="M130" s="2"/>
      <c r="N130" s="2"/>
      <c r="O130" s="2"/>
      <c r="P130" s="74"/>
      <c r="Q130" s="2"/>
      <c r="R130" s="2"/>
      <c r="S130" s="76"/>
      <c r="T130" s="2"/>
      <c r="U130" s="62"/>
      <c r="V130" s="62"/>
      <c r="W130" s="62"/>
      <c r="X130" s="62"/>
      <c r="Y130" s="62"/>
      <c r="Z130" s="62"/>
    </row>
    <row r="131" ht="15.75" customHeight="1">
      <c r="A131" s="2"/>
      <c r="B131" s="2"/>
      <c r="C131" s="2"/>
      <c r="D131" s="2"/>
      <c r="E131" s="2"/>
      <c r="F131" s="2"/>
      <c r="G131" s="2"/>
      <c r="H131" s="2"/>
      <c r="I131" s="74"/>
      <c r="J131" s="74"/>
      <c r="K131" s="74"/>
      <c r="L131" s="74"/>
      <c r="M131" s="2"/>
      <c r="N131" s="2"/>
      <c r="O131" s="2"/>
      <c r="P131" s="74"/>
      <c r="Q131" s="2"/>
      <c r="R131" s="2"/>
      <c r="S131" s="76"/>
      <c r="T131" s="2"/>
      <c r="U131" s="62"/>
      <c r="V131" s="62"/>
      <c r="W131" s="62"/>
      <c r="X131" s="62"/>
      <c r="Y131" s="62"/>
      <c r="Z131" s="62"/>
    </row>
    <row r="132" ht="15.75" customHeight="1">
      <c r="A132" s="2"/>
      <c r="B132" s="2"/>
      <c r="C132" s="2"/>
      <c r="D132" s="2"/>
      <c r="E132" s="2"/>
      <c r="F132" s="2"/>
      <c r="G132" s="2"/>
      <c r="H132" s="2"/>
      <c r="I132" s="74"/>
      <c r="J132" s="74"/>
      <c r="K132" s="74"/>
      <c r="L132" s="74"/>
      <c r="M132" s="2"/>
      <c r="N132" s="2"/>
      <c r="O132" s="2"/>
      <c r="P132" s="74"/>
      <c r="Q132" s="2"/>
      <c r="R132" s="2"/>
      <c r="S132" s="76"/>
      <c r="T132" s="2"/>
      <c r="U132" s="62"/>
      <c r="V132" s="62"/>
      <c r="W132" s="62"/>
      <c r="X132" s="62"/>
      <c r="Y132" s="62"/>
      <c r="Z132" s="62"/>
    </row>
    <row r="133" ht="15.75" customHeight="1">
      <c r="A133" s="2"/>
      <c r="B133" s="2"/>
      <c r="C133" s="2"/>
      <c r="D133" s="2"/>
      <c r="E133" s="2"/>
      <c r="F133" s="2"/>
      <c r="G133" s="2"/>
      <c r="H133" s="2"/>
      <c r="I133" s="74"/>
      <c r="J133" s="74"/>
      <c r="K133" s="74"/>
      <c r="L133" s="74"/>
      <c r="M133" s="2"/>
      <c r="N133" s="2"/>
      <c r="O133" s="2"/>
      <c r="P133" s="74"/>
      <c r="Q133" s="2"/>
      <c r="R133" s="2"/>
      <c r="S133" s="76"/>
      <c r="T133" s="2"/>
      <c r="U133" s="62"/>
      <c r="V133" s="62"/>
      <c r="W133" s="62"/>
      <c r="X133" s="62"/>
      <c r="Y133" s="62"/>
      <c r="Z133" s="62"/>
    </row>
    <row r="134" ht="15.75" customHeight="1">
      <c r="A134" s="2"/>
      <c r="B134" s="2"/>
      <c r="C134" s="2"/>
      <c r="D134" s="2"/>
      <c r="E134" s="2"/>
      <c r="F134" s="2"/>
      <c r="G134" s="2"/>
      <c r="H134" s="2"/>
      <c r="I134" s="74"/>
      <c r="J134" s="74"/>
      <c r="K134" s="74"/>
      <c r="L134" s="74"/>
      <c r="M134" s="2"/>
      <c r="N134" s="2"/>
      <c r="O134" s="2"/>
      <c r="P134" s="74"/>
      <c r="Q134" s="2"/>
      <c r="R134" s="2"/>
      <c r="S134" s="76"/>
      <c r="T134" s="2"/>
      <c r="U134" s="62"/>
      <c r="V134" s="62"/>
      <c r="W134" s="62"/>
      <c r="X134" s="62"/>
      <c r="Y134" s="62"/>
      <c r="Z134" s="62"/>
    </row>
    <row r="135" ht="15.75" customHeight="1">
      <c r="A135" s="2"/>
      <c r="B135" s="2"/>
      <c r="C135" s="2"/>
      <c r="D135" s="2"/>
      <c r="E135" s="2"/>
      <c r="F135" s="2"/>
      <c r="G135" s="2"/>
      <c r="H135" s="2"/>
      <c r="I135" s="74"/>
      <c r="J135" s="74"/>
      <c r="K135" s="74"/>
      <c r="L135" s="74"/>
      <c r="M135" s="2"/>
      <c r="N135" s="2"/>
      <c r="O135" s="2"/>
      <c r="P135" s="74"/>
      <c r="Q135" s="2"/>
      <c r="R135" s="2"/>
      <c r="S135" s="76"/>
      <c r="T135" s="2"/>
      <c r="U135" s="62"/>
      <c r="V135" s="62"/>
      <c r="W135" s="62"/>
      <c r="X135" s="62"/>
      <c r="Y135" s="62"/>
      <c r="Z135" s="62"/>
    </row>
    <row r="136" ht="15.75" customHeight="1">
      <c r="A136" s="2"/>
      <c r="B136" s="2"/>
      <c r="C136" s="2"/>
      <c r="D136" s="2"/>
      <c r="E136" s="2"/>
      <c r="F136" s="2"/>
      <c r="G136" s="2"/>
      <c r="H136" s="2"/>
      <c r="I136" s="74"/>
      <c r="J136" s="74"/>
      <c r="K136" s="74"/>
      <c r="L136" s="74"/>
      <c r="M136" s="2"/>
      <c r="N136" s="2"/>
      <c r="O136" s="2"/>
      <c r="P136" s="74"/>
      <c r="Q136" s="2"/>
      <c r="R136" s="2"/>
      <c r="S136" s="76"/>
      <c r="T136" s="2"/>
      <c r="U136" s="62"/>
      <c r="V136" s="62"/>
      <c r="W136" s="62"/>
      <c r="X136" s="62"/>
      <c r="Y136" s="62"/>
      <c r="Z136" s="62"/>
    </row>
    <row r="137" ht="15.75" customHeight="1">
      <c r="A137" s="2"/>
      <c r="B137" s="2"/>
      <c r="C137" s="2"/>
      <c r="D137" s="2"/>
      <c r="E137" s="2"/>
      <c r="F137" s="2"/>
      <c r="G137" s="2"/>
      <c r="H137" s="2"/>
      <c r="I137" s="74"/>
      <c r="J137" s="74"/>
      <c r="K137" s="74"/>
      <c r="L137" s="74"/>
      <c r="M137" s="2"/>
      <c r="N137" s="2"/>
      <c r="O137" s="2"/>
      <c r="P137" s="74"/>
      <c r="Q137" s="2"/>
      <c r="R137" s="2"/>
      <c r="S137" s="76"/>
      <c r="T137" s="2"/>
      <c r="U137" s="62"/>
      <c r="V137" s="62"/>
      <c r="W137" s="62"/>
      <c r="X137" s="62"/>
      <c r="Y137" s="62"/>
      <c r="Z137" s="62"/>
    </row>
    <row r="138" ht="15.75" customHeight="1">
      <c r="A138" s="2"/>
      <c r="B138" s="2"/>
      <c r="C138" s="2"/>
      <c r="D138" s="2"/>
      <c r="E138" s="2"/>
      <c r="F138" s="2"/>
      <c r="G138" s="2"/>
      <c r="H138" s="2"/>
      <c r="I138" s="74"/>
      <c r="J138" s="74"/>
      <c r="K138" s="74"/>
      <c r="L138" s="74"/>
      <c r="M138" s="2"/>
      <c r="N138" s="2"/>
      <c r="O138" s="2"/>
      <c r="P138" s="74"/>
      <c r="Q138" s="2"/>
      <c r="R138" s="2"/>
      <c r="S138" s="76"/>
      <c r="T138" s="2"/>
      <c r="U138" s="62"/>
      <c r="V138" s="62"/>
      <c r="W138" s="62"/>
      <c r="X138" s="62"/>
      <c r="Y138" s="62"/>
      <c r="Z138" s="62"/>
    </row>
    <row r="139" ht="15.75" customHeight="1">
      <c r="A139" s="2"/>
      <c r="B139" s="2"/>
      <c r="C139" s="2"/>
      <c r="D139" s="2"/>
      <c r="E139" s="2"/>
      <c r="F139" s="2"/>
      <c r="G139" s="2"/>
      <c r="H139" s="2"/>
      <c r="I139" s="74"/>
      <c r="J139" s="74"/>
      <c r="K139" s="74"/>
      <c r="L139" s="74"/>
      <c r="M139" s="2"/>
      <c r="N139" s="2"/>
      <c r="O139" s="2"/>
      <c r="P139" s="74"/>
      <c r="Q139" s="2"/>
      <c r="R139" s="2"/>
      <c r="S139" s="76"/>
      <c r="T139" s="2"/>
      <c r="U139" s="62"/>
      <c r="V139" s="62"/>
      <c r="W139" s="62"/>
      <c r="X139" s="62"/>
      <c r="Y139" s="62"/>
      <c r="Z139" s="62"/>
    </row>
    <row r="140" ht="15.75" customHeight="1">
      <c r="A140" s="2"/>
      <c r="B140" s="2"/>
      <c r="C140" s="2"/>
      <c r="D140" s="2"/>
      <c r="E140" s="2"/>
      <c r="F140" s="2"/>
      <c r="G140" s="2"/>
      <c r="H140" s="2"/>
      <c r="I140" s="74"/>
      <c r="J140" s="74"/>
      <c r="K140" s="74"/>
      <c r="L140" s="74"/>
      <c r="M140" s="2"/>
      <c r="N140" s="2"/>
      <c r="O140" s="2"/>
      <c r="P140" s="74"/>
      <c r="Q140" s="2"/>
      <c r="R140" s="2"/>
      <c r="S140" s="76"/>
      <c r="T140" s="2"/>
      <c r="U140" s="62"/>
      <c r="V140" s="62"/>
      <c r="W140" s="62"/>
      <c r="X140" s="62"/>
      <c r="Y140" s="62"/>
      <c r="Z140" s="62"/>
    </row>
    <row r="141" ht="15.75" customHeight="1">
      <c r="A141" s="2"/>
      <c r="B141" s="2"/>
      <c r="C141" s="2"/>
      <c r="D141" s="2"/>
      <c r="E141" s="2"/>
      <c r="F141" s="2"/>
      <c r="G141" s="2"/>
      <c r="H141" s="2"/>
      <c r="I141" s="74"/>
      <c r="J141" s="74"/>
      <c r="K141" s="74"/>
      <c r="L141" s="74"/>
      <c r="M141" s="2"/>
      <c r="N141" s="2"/>
      <c r="O141" s="2"/>
      <c r="P141" s="74"/>
      <c r="Q141" s="2"/>
      <c r="R141" s="2"/>
      <c r="S141" s="76"/>
      <c r="T141" s="2"/>
      <c r="U141" s="62"/>
      <c r="V141" s="62"/>
      <c r="W141" s="62"/>
      <c r="X141" s="62"/>
      <c r="Y141" s="62"/>
      <c r="Z141" s="62"/>
    </row>
    <row r="142" ht="15.75" customHeight="1">
      <c r="A142" s="2"/>
      <c r="B142" s="2"/>
      <c r="C142" s="2"/>
      <c r="D142" s="2"/>
      <c r="E142" s="2"/>
      <c r="F142" s="2"/>
      <c r="G142" s="2"/>
      <c r="H142" s="2"/>
      <c r="I142" s="74"/>
      <c r="J142" s="74"/>
      <c r="K142" s="74"/>
      <c r="L142" s="74"/>
      <c r="M142" s="2"/>
      <c r="N142" s="2"/>
      <c r="O142" s="2"/>
      <c r="P142" s="74"/>
      <c r="Q142" s="2"/>
      <c r="R142" s="2"/>
      <c r="S142" s="76"/>
      <c r="T142" s="2"/>
      <c r="U142" s="62"/>
      <c r="V142" s="62"/>
      <c r="W142" s="62"/>
      <c r="X142" s="62"/>
      <c r="Y142" s="62"/>
      <c r="Z142" s="62"/>
    </row>
    <row r="143" ht="15.75" customHeight="1">
      <c r="A143" s="2"/>
      <c r="B143" s="2"/>
      <c r="C143" s="2"/>
      <c r="D143" s="2"/>
      <c r="E143" s="2"/>
      <c r="F143" s="2"/>
      <c r="G143" s="2"/>
      <c r="H143" s="2"/>
      <c r="I143" s="74"/>
      <c r="J143" s="74"/>
      <c r="K143" s="74"/>
      <c r="L143" s="74"/>
      <c r="M143" s="2"/>
      <c r="N143" s="2"/>
      <c r="O143" s="2"/>
      <c r="P143" s="74"/>
      <c r="Q143" s="2"/>
      <c r="R143" s="2"/>
      <c r="S143" s="76"/>
      <c r="T143" s="2"/>
      <c r="U143" s="62"/>
      <c r="V143" s="62"/>
      <c r="W143" s="62"/>
      <c r="X143" s="62"/>
      <c r="Y143" s="62"/>
      <c r="Z143" s="62"/>
    </row>
    <row r="144" ht="15.75" customHeight="1">
      <c r="A144" s="2"/>
      <c r="B144" s="2"/>
      <c r="C144" s="2"/>
      <c r="D144" s="2"/>
      <c r="E144" s="2"/>
      <c r="F144" s="2"/>
      <c r="G144" s="2"/>
      <c r="H144" s="2"/>
      <c r="I144" s="74"/>
      <c r="J144" s="74"/>
      <c r="K144" s="74"/>
      <c r="L144" s="74"/>
      <c r="M144" s="2"/>
      <c r="N144" s="2"/>
      <c r="O144" s="2"/>
      <c r="P144" s="74"/>
      <c r="Q144" s="2"/>
      <c r="R144" s="2"/>
      <c r="S144" s="76"/>
      <c r="T144" s="2"/>
      <c r="U144" s="62"/>
      <c r="V144" s="62"/>
      <c r="W144" s="62"/>
      <c r="X144" s="62"/>
      <c r="Y144" s="62"/>
      <c r="Z144" s="62"/>
    </row>
    <row r="145" ht="15.75" customHeight="1">
      <c r="A145" s="2"/>
      <c r="B145" s="2"/>
      <c r="C145" s="2"/>
      <c r="D145" s="2"/>
      <c r="E145" s="2"/>
      <c r="F145" s="2"/>
      <c r="G145" s="2"/>
      <c r="H145" s="2"/>
      <c r="I145" s="74"/>
      <c r="J145" s="74"/>
      <c r="K145" s="74"/>
      <c r="L145" s="74"/>
      <c r="M145" s="2"/>
      <c r="N145" s="2"/>
      <c r="O145" s="2"/>
      <c r="P145" s="74"/>
      <c r="Q145" s="2"/>
      <c r="R145" s="2"/>
      <c r="S145" s="76"/>
      <c r="T145" s="2"/>
      <c r="U145" s="62"/>
      <c r="V145" s="62"/>
      <c r="W145" s="62"/>
      <c r="X145" s="62"/>
      <c r="Y145" s="62"/>
      <c r="Z145" s="62"/>
    </row>
    <row r="146" ht="15.75" customHeight="1">
      <c r="A146" s="2"/>
      <c r="B146" s="2"/>
      <c r="C146" s="2"/>
      <c r="D146" s="2"/>
      <c r="E146" s="2"/>
      <c r="F146" s="2"/>
      <c r="G146" s="2"/>
      <c r="H146" s="2"/>
      <c r="I146" s="74"/>
      <c r="J146" s="74"/>
      <c r="K146" s="74"/>
      <c r="L146" s="74"/>
      <c r="M146" s="2"/>
      <c r="N146" s="2"/>
      <c r="O146" s="2"/>
      <c r="P146" s="74"/>
      <c r="Q146" s="2"/>
      <c r="R146" s="2"/>
      <c r="S146" s="76"/>
      <c r="T146" s="2"/>
      <c r="U146" s="62"/>
      <c r="V146" s="62"/>
      <c r="W146" s="62"/>
      <c r="X146" s="62"/>
      <c r="Y146" s="62"/>
      <c r="Z146" s="62"/>
    </row>
    <row r="147" ht="15.75" customHeight="1">
      <c r="A147" s="2"/>
      <c r="B147" s="2"/>
      <c r="C147" s="2"/>
      <c r="D147" s="2"/>
      <c r="E147" s="2"/>
      <c r="F147" s="2"/>
      <c r="G147" s="2"/>
      <c r="H147" s="2"/>
      <c r="I147" s="74"/>
      <c r="J147" s="74"/>
      <c r="K147" s="74"/>
      <c r="L147" s="74"/>
      <c r="M147" s="2"/>
      <c r="N147" s="2"/>
      <c r="O147" s="2"/>
      <c r="P147" s="74"/>
      <c r="Q147" s="2"/>
      <c r="R147" s="2"/>
      <c r="S147" s="76"/>
      <c r="T147" s="2"/>
      <c r="U147" s="62"/>
      <c r="V147" s="62"/>
      <c r="W147" s="62"/>
      <c r="X147" s="62"/>
      <c r="Y147" s="62"/>
      <c r="Z147" s="62"/>
    </row>
    <row r="148" ht="15.75" customHeight="1">
      <c r="A148" s="2"/>
      <c r="B148" s="2"/>
      <c r="C148" s="2"/>
      <c r="D148" s="2"/>
      <c r="E148" s="2"/>
      <c r="F148" s="2"/>
      <c r="G148" s="2"/>
      <c r="H148" s="2"/>
      <c r="I148" s="74"/>
      <c r="J148" s="74"/>
      <c r="K148" s="74"/>
      <c r="L148" s="74"/>
      <c r="M148" s="2"/>
      <c r="N148" s="2"/>
      <c r="O148" s="2"/>
      <c r="P148" s="74"/>
      <c r="Q148" s="2"/>
      <c r="R148" s="2"/>
      <c r="S148" s="76"/>
      <c r="T148" s="2"/>
      <c r="U148" s="62"/>
      <c r="V148" s="62"/>
      <c r="W148" s="62"/>
      <c r="X148" s="62"/>
      <c r="Y148" s="62"/>
      <c r="Z148" s="62"/>
    </row>
    <row r="149" ht="15.75" customHeight="1">
      <c r="A149" s="2"/>
      <c r="B149" s="2"/>
      <c r="C149" s="2"/>
      <c r="D149" s="2"/>
      <c r="E149" s="2"/>
      <c r="F149" s="2"/>
      <c r="G149" s="2"/>
      <c r="H149" s="2"/>
      <c r="I149" s="74"/>
      <c r="J149" s="74"/>
      <c r="K149" s="74"/>
      <c r="L149" s="74"/>
      <c r="M149" s="2"/>
      <c r="N149" s="2"/>
      <c r="O149" s="2"/>
      <c r="P149" s="74"/>
      <c r="Q149" s="2"/>
      <c r="R149" s="2"/>
      <c r="S149" s="76"/>
      <c r="T149" s="2"/>
      <c r="U149" s="62"/>
      <c r="V149" s="62"/>
      <c r="W149" s="62"/>
      <c r="X149" s="62"/>
      <c r="Y149" s="62"/>
      <c r="Z149" s="62"/>
    </row>
    <row r="150" ht="15.75" customHeight="1">
      <c r="A150" s="2"/>
      <c r="B150" s="2"/>
      <c r="C150" s="2"/>
      <c r="D150" s="2"/>
      <c r="E150" s="2"/>
      <c r="F150" s="2"/>
      <c r="G150" s="2"/>
      <c r="H150" s="2"/>
      <c r="I150" s="74"/>
      <c r="J150" s="74"/>
      <c r="K150" s="74"/>
      <c r="L150" s="74"/>
      <c r="M150" s="2"/>
      <c r="N150" s="2"/>
      <c r="O150" s="2"/>
      <c r="P150" s="74"/>
      <c r="Q150" s="2"/>
      <c r="R150" s="2"/>
      <c r="S150" s="76"/>
      <c r="T150" s="2"/>
      <c r="U150" s="62"/>
      <c r="V150" s="62"/>
      <c r="W150" s="62"/>
      <c r="X150" s="62"/>
      <c r="Y150" s="62"/>
      <c r="Z150" s="62"/>
    </row>
    <row r="151" ht="15.75" customHeight="1">
      <c r="A151" s="2"/>
      <c r="B151" s="2"/>
      <c r="C151" s="2"/>
      <c r="D151" s="2"/>
      <c r="E151" s="2"/>
      <c r="F151" s="2"/>
      <c r="G151" s="2"/>
      <c r="H151" s="2"/>
      <c r="I151" s="74"/>
      <c r="J151" s="74"/>
      <c r="K151" s="74"/>
      <c r="L151" s="74"/>
      <c r="M151" s="2"/>
      <c r="N151" s="2"/>
      <c r="O151" s="2"/>
      <c r="P151" s="74"/>
      <c r="Q151" s="2"/>
      <c r="R151" s="2"/>
      <c r="S151" s="76"/>
      <c r="T151" s="2"/>
      <c r="U151" s="62"/>
      <c r="V151" s="62"/>
      <c r="W151" s="62"/>
      <c r="X151" s="62"/>
      <c r="Y151" s="62"/>
      <c r="Z151" s="62"/>
    </row>
    <row r="152" ht="15.75" customHeight="1">
      <c r="A152" s="2"/>
      <c r="B152" s="2"/>
      <c r="C152" s="2"/>
      <c r="D152" s="2"/>
      <c r="E152" s="2"/>
      <c r="F152" s="2"/>
      <c r="G152" s="2"/>
      <c r="H152" s="2"/>
      <c r="I152" s="74"/>
      <c r="J152" s="74"/>
      <c r="K152" s="74"/>
      <c r="L152" s="74"/>
      <c r="M152" s="2"/>
      <c r="N152" s="2"/>
      <c r="O152" s="2"/>
      <c r="P152" s="74"/>
      <c r="Q152" s="2"/>
      <c r="R152" s="2"/>
      <c r="S152" s="76"/>
      <c r="T152" s="2"/>
      <c r="U152" s="62"/>
      <c r="V152" s="62"/>
      <c r="W152" s="62"/>
      <c r="X152" s="62"/>
      <c r="Y152" s="62"/>
      <c r="Z152" s="62"/>
    </row>
    <row r="153" ht="15.75" customHeight="1">
      <c r="A153" s="2"/>
      <c r="B153" s="2"/>
      <c r="C153" s="2"/>
      <c r="D153" s="2"/>
      <c r="E153" s="2"/>
      <c r="F153" s="2"/>
      <c r="G153" s="2"/>
      <c r="H153" s="2"/>
      <c r="I153" s="74"/>
      <c r="J153" s="74"/>
      <c r="K153" s="74"/>
      <c r="L153" s="74"/>
      <c r="M153" s="2"/>
      <c r="N153" s="2"/>
      <c r="O153" s="2"/>
      <c r="P153" s="74"/>
      <c r="Q153" s="2"/>
      <c r="R153" s="2"/>
      <c r="S153" s="76"/>
      <c r="T153" s="2"/>
      <c r="U153" s="62"/>
      <c r="V153" s="62"/>
      <c r="W153" s="62"/>
      <c r="X153" s="62"/>
      <c r="Y153" s="62"/>
      <c r="Z153" s="62"/>
    </row>
    <row r="154" ht="15.75" customHeight="1">
      <c r="A154" s="2"/>
      <c r="B154" s="2"/>
      <c r="C154" s="2"/>
      <c r="D154" s="2"/>
      <c r="E154" s="2"/>
      <c r="F154" s="2"/>
      <c r="G154" s="2"/>
      <c r="H154" s="2"/>
      <c r="I154" s="74"/>
      <c r="J154" s="74"/>
      <c r="K154" s="74"/>
      <c r="L154" s="74"/>
      <c r="M154" s="2"/>
      <c r="N154" s="2"/>
      <c r="O154" s="2"/>
      <c r="P154" s="74"/>
      <c r="Q154" s="2"/>
      <c r="R154" s="2"/>
      <c r="S154" s="76"/>
      <c r="T154" s="2"/>
      <c r="U154" s="62"/>
      <c r="V154" s="62"/>
      <c r="W154" s="62"/>
      <c r="X154" s="62"/>
      <c r="Y154" s="62"/>
      <c r="Z154" s="62"/>
    </row>
    <row r="155" ht="15.75" customHeight="1">
      <c r="A155" s="2"/>
      <c r="B155" s="2"/>
      <c r="C155" s="2"/>
      <c r="D155" s="2"/>
      <c r="E155" s="2"/>
      <c r="F155" s="2"/>
      <c r="G155" s="2"/>
      <c r="H155" s="2"/>
      <c r="I155" s="74"/>
      <c r="J155" s="74"/>
      <c r="K155" s="74"/>
      <c r="L155" s="74"/>
      <c r="M155" s="2"/>
      <c r="N155" s="2"/>
      <c r="O155" s="2"/>
      <c r="P155" s="74"/>
      <c r="Q155" s="2"/>
      <c r="R155" s="2"/>
      <c r="S155" s="76"/>
      <c r="T155" s="2"/>
      <c r="U155" s="62"/>
      <c r="V155" s="62"/>
      <c r="W155" s="62"/>
      <c r="X155" s="62"/>
      <c r="Y155" s="62"/>
      <c r="Z155" s="62"/>
    </row>
    <row r="156" ht="15.75" customHeight="1">
      <c r="A156" s="2"/>
      <c r="B156" s="2"/>
      <c r="C156" s="2"/>
      <c r="D156" s="2"/>
      <c r="E156" s="2"/>
      <c r="F156" s="2"/>
      <c r="G156" s="2"/>
      <c r="H156" s="2"/>
      <c r="I156" s="74"/>
      <c r="J156" s="74"/>
      <c r="K156" s="74"/>
      <c r="L156" s="74"/>
      <c r="M156" s="2"/>
      <c r="N156" s="2"/>
      <c r="O156" s="2"/>
      <c r="P156" s="74"/>
      <c r="Q156" s="2"/>
      <c r="R156" s="2"/>
      <c r="S156" s="76"/>
      <c r="T156" s="2"/>
      <c r="U156" s="62"/>
      <c r="V156" s="62"/>
      <c r="W156" s="62"/>
      <c r="X156" s="62"/>
      <c r="Y156" s="62"/>
      <c r="Z156" s="62"/>
    </row>
    <row r="157" ht="15.75" customHeight="1">
      <c r="A157" s="2"/>
      <c r="B157" s="2"/>
      <c r="C157" s="2"/>
      <c r="D157" s="2"/>
      <c r="E157" s="2"/>
      <c r="F157" s="2"/>
      <c r="G157" s="2"/>
      <c r="H157" s="2"/>
      <c r="I157" s="74"/>
      <c r="J157" s="74"/>
      <c r="K157" s="74"/>
      <c r="L157" s="74"/>
      <c r="M157" s="2"/>
      <c r="N157" s="2"/>
      <c r="O157" s="2"/>
      <c r="P157" s="74"/>
      <c r="Q157" s="2"/>
      <c r="R157" s="2"/>
      <c r="S157" s="76"/>
      <c r="T157" s="2"/>
      <c r="U157" s="62"/>
      <c r="V157" s="62"/>
      <c r="W157" s="62"/>
      <c r="X157" s="62"/>
      <c r="Y157" s="62"/>
      <c r="Z157" s="62"/>
    </row>
    <row r="158" ht="15.75" customHeight="1">
      <c r="A158" s="2"/>
      <c r="B158" s="2"/>
      <c r="C158" s="2"/>
      <c r="D158" s="2"/>
      <c r="E158" s="2"/>
      <c r="F158" s="2"/>
      <c r="G158" s="2"/>
      <c r="H158" s="2"/>
      <c r="I158" s="74"/>
      <c r="J158" s="74"/>
      <c r="K158" s="74"/>
      <c r="L158" s="74"/>
      <c r="M158" s="2"/>
      <c r="N158" s="2"/>
      <c r="O158" s="2"/>
      <c r="P158" s="74"/>
      <c r="Q158" s="2"/>
      <c r="R158" s="2"/>
      <c r="S158" s="76"/>
      <c r="T158" s="2"/>
      <c r="U158" s="62"/>
      <c r="V158" s="62"/>
      <c r="W158" s="62"/>
      <c r="X158" s="62"/>
      <c r="Y158" s="62"/>
      <c r="Z158" s="62"/>
    </row>
    <row r="159" ht="15.75" customHeight="1">
      <c r="A159" s="2"/>
      <c r="B159" s="2"/>
      <c r="C159" s="2"/>
      <c r="D159" s="2"/>
      <c r="E159" s="2"/>
      <c r="F159" s="2"/>
      <c r="G159" s="2"/>
      <c r="H159" s="2"/>
      <c r="I159" s="74"/>
      <c r="J159" s="74"/>
      <c r="K159" s="74"/>
      <c r="L159" s="74"/>
      <c r="M159" s="2"/>
      <c r="N159" s="2"/>
      <c r="O159" s="2"/>
      <c r="P159" s="74"/>
      <c r="Q159" s="2"/>
      <c r="R159" s="2"/>
      <c r="S159" s="76"/>
      <c r="T159" s="2"/>
      <c r="U159" s="62"/>
      <c r="V159" s="62"/>
      <c r="W159" s="62"/>
      <c r="X159" s="62"/>
      <c r="Y159" s="62"/>
      <c r="Z159" s="62"/>
    </row>
    <row r="160" ht="15.75" customHeight="1">
      <c r="A160" s="2"/>
      <c r="B160" s="2"/>
      <c r="C160" s="2"/>
      <c r="D160" s="2"/>
      <c r="E160" s="2"/>
      <c r="F160" s="2"/>
      <c r="G160" s="2"/>
      <c r="H160" s="2"/>
      <c r="I160" s="74"/>
      <c r="J160" s="74"/>
      <c r="K160" s="74"/>
      <c r="L160" s="74"/>
      <c r="M160" s="2"/>
      <c r="N160" s="2"/>
      <c r="O160" s="2"/>
      <c r="P160" s="74"/>
      <c r="Q160" s="2"/>
      <c r="R160" s="2"/>
      <c r="S160" s="76"/>
      <c r="T160" s="2"/>
      <c r="U160" s="62"/>
      <c r="V160" s="62"/>
      <c r="W160" s="62"/>
      <c r="X160" s="62"/>
      <c r="Y160" s="62"/>
      <c r="Z160" s="62"/>
    </row>
    <row r="161" ht="15.75" customHeight="1">
      <c r="A161" s="2"/>
      <c r="B161" s="2"/>
      <c r="C161" s="2"/>
      <c r="D161" s="2"/>
      <c r="E161" s="2"/>
      <c r="F161" s="2"/>
      <c r="G161" s="2"/>
      <c r="H161" s="2"/>
      <c r="I161" s="74"/>
      <c r="J161" s="74"/>
      <c r="K161" s="74"/>
      <c r="L161" s="74"/>
      <c r="M161" s="2"/>
      <c r="N161" s="2"/>
      <c r="O161" s="2"/>
      <c r="P161" s="74"/>
      <c r="Q161" s="2"/>
      <c r="R161" s="2"/>
      <c r="S161" s="76"/>
      <c r="T161" s="2"/>
      <c r="U161" s="62"/>
      <c r="V161" s="62"/>
      <c r="W161" s="62"/>
      <c r="X161" s="62"/>
      <c r="Y161" s="62"/>
      <c r="Z161" s="62"/>
    </row>
    <row r="162" ht="15.75" customHeight="1">
      <c r="A162" s="2"/>
      <c r="B162" s="2"/>
      <c r="C162" s="2"/>
      <c r="D162" s="2"/>
      <c r="E162" s="2"/>
      <c r="F162" s="2"/>
      <c r="G162" s="2"/>
      <c r="H162" s="2"/>
      <c r="I162" s="74"/>
      <c r="J162" s="74"/>
      <c r="K162" s="74"/>
      <c r="L162" s="74"/>
      <c r="M162" s="2"/>
      <c r="N162" s="2"/>
      <c r="O162" s="2"/>
      <c r="P162" s="74"/>
      <c r="Q162" s="2"/>
      <c r="R162" s="2"/>
      <c r="S162" s="76"/>
      <c r="T162" s="2"/>
      <c r="U162" s="62"/>
      <c r="V162" s="62"/>
      <c r="W162" s="62"/>
      <c r="X162" s="62"/>
      <c r="Y162" s="62"/>
      <c r="Z162" s="62"/>
    </row>
    <row r="163" ht="15.75" customHeight="1">
      <c r="A163" s="2"/>
      <c r="B163" s="2"/>
      <c r="C163" s="2"/>
      <c r="D163" s="2"/>
      <c r="E163" s="2"/>
      <c r="F163" s="2"/>
      <c r="G163" s="2"/>
      <c r="H163" s="2"/>
      <c r="I163" s="74"/>
      <c r="J163" s="74"/>
      <c r="K163" s="74"/>
      <c r="L163" s="74"/>
      <c r="M163" s="2"/>
      <c r="N163" s="2"/>
      <c r="O163" s="2"/>
      <c r="P163" s="74"/>
      <c r="Q163" s="2"/>
      <c r="R163" s="2"/>
      <c r="S163" s="76"/>
      <c r="T163" s="2"/>
      <c r="U163" s="62"/>
      <c r="V163" s="62"/>
      <c r="W163" s="62"/>
      <c r="X163" s="62"/>
      <c r="Y163" s="62"/>
      <c r="Z163" s="62"/>
    </row>
    <row r="164" ht="15.75" customHeight="1">
      <c r="A164" s="2"/>
      <c r="B164" s="2"/>
      <c r="C164" s="2"/>
      <c r="D164" s="2"/>
      <c r="E164" s="2"/>
      <c r="F164" s="2"/>
      <c r="G164" s="2"/>
      <c r="H164" s="2"/>
      <c r="I164" s="74"/>
      <c r="J164" s="74"/>
      <c r="K164" s="74"/>
      <c r="L164" s="74"/>
      <c r="M164" s="2"/>
      <c r="N164" s="2"/>
      <c r="O164" s="2"/>
      <c r="P164" s="74"/>
      <c r="Q164" s="2"/>
      <c r="R164" s="2"/>
      <c r="S164" s="76"/>
      <c r="T164" s="2"/>
      <c r="U164" s="62"/>
      <c r="V164" s="62"/>
      <c r="W164" s="62"/>
      <c r="X164" s="62"/>
      <c r="Y164" s="62"/>
      <c r="Z164" s="62"/>
    </row>
    <row r="165" ht="15.75" customHeight="1">
      <c r="A165" s="2"/>
      <c r="B165" s="2"/>
      <c r="C165" s="2"/>
      <c r="D165" s="2"/>
      <c r="E165" s="2"/>
      <c r="F165" s="2"/>
      <c r="G165" s="2"/>
      <c r="H165" s="2"/>
      <c r="I165" s="74"/>
      <c r="J165" s="74"/>
      <c r="K165" s="74"/>
      <c r="L165" s="74"/>
      <c r="M165" s="2"/>
      <c r="N165" s="2"/>
      <c r="O165" s="2"/>
      <c r="P165" s="74"/>
      <c r="Q165" s="2"/>
      <c r="R165" s="2"/>
      <c r="S165" s="76"/>
      <c r="T165" s="2"/>
      <c r="U165" s="62"/>
      <c r="V165" s="62"/>
      <c r="W165" s="62"/>
      <c r="X165" s="62"/>
      <c r="Y165" s="62"/>
      <c r="Z165" s="62"/>
    </row>
    <row r="166" ht="15.75" customHeight="1">
      <c r="A166" s="2"/>
      <c r="B166" s="2"/>
      <c r="C166" s="2"/>
      <c r="D166" s="2"/>
      <c r="E166" s="2"/>
      <c r="F166" s="2"/>
      <c r="G166" s="2"/>
      <c r="H166" s="2"/>
      <c r="I166" s="74"/>
      <c r="J166" s="74"/>
      <c r="K166" s="74"/>
      <c r="L166" s="74"/>
      <c r="M166" s="2"/>
      <c r="N166" s="2"/>
      <c r="O166" s="2"/>
      <c r="P166" s="74"/>
      <c r="Q166" s="2"/>
      <c r="R166" s="2"/>
      <c r="S166" s="76"/>
      <c r="T166" s="2"/>
      <c r="U166" s="62"/>
      <c r="V166" s="62"/>
      <c r="W166" s="62"/>
      <c r="X166" s="62"/>
      <c r="Y166" s="62"/>
      <c r="Z166" s="62"/>
    </row>
    <row r="167" ht="15.75" customHeight="1">
      <c r="A167" s="2"/>
      <c r="B167" s="2"/>
      <c r="C167" s="2"/>
      <c r="D167" s="2"/>
      <c r="E167" s="2"/>
      <c r="F167" s="2"/>
      <c r="G167" s="2"/>
      <c r="H167" s="2"/>
      <c r="I167" s="74"/>
      <c r="J167" s="74"/>
      <c r="K167" s="74"/>
      <c r="L167" s="74"/>
      <c r="M167" s="2"/>
      <c r="N167" s="2"/>
      <c r="O167" s="2"/>
      <c r="P167" s="74"/>
      <c r="Q167" s="2"/>
      <c r="R167" s="2"/>
      <c r="S167" s="76"/>
      <c r="T167" s="2"/>
      <c r="U167" s="62"/>
      <c r="V167" s="62"/>
      <c r="W167" s="62"/>
      <c r="X167" s="62"/>
      <c r="Y167" s="62"/>
      <c r="Z167" s="62"/>
    </row>
    <row r="168" ht="15.75" customHeight="1">
      <c r="A168" s="2"/>
      <c r="B168" s="2"/>
      <c r="C168" s="2"/>
      <c r="D168" s="2"/>
      <c r="E168" s="2"/>
      <c r="F168" s="2"/>
      <c r="G168" s="2"/>
      <c r="H168" s="2"/>
      <c r="I168" s="74"/>
      <c r="J168" s="74"/>
      <c r="K168" s="74"/>
      <c r="L168" s="74"/>
      <c r="M168" s="2"/>
      <c r="N168" s="2"/>
      <c r="O168" s="2"/>
      <c r="P168" s="74"/>
      <c r="Q168" s="2"/>
      <c r="R168" s="2"/>
      <c r="S168" s="76"/>
      <c r="T168" s="2"/>
      <c r="U168" s="62"/>
      <c r="V168" s="62"/>
      <c r="W168" s="62"/>
      <c r="X168" s="62"/>
      <c r="Y168" s="62"/>
      <c r="Z168" s="62"/>
    </row>
    <row r="169" ht="15.75" customHeight="1">
      <c r="A169" s="2"/>
      <c r="B169" s="2"/>
      <c r="C169" s="2"/>
      <c r="D169" s="2"/>
      <c r="E169" s="2"/>
      <c r="F169" s="2"/>
      <c r="G169" s="2"/>
      <c r="H169" s="2"/>
      <c r="I169" s="74"/>
      <c r="J169" s="74"/>
      <c r="K169" s="74"/>
      <c r="L169" s="74"/>
      <c r="M169" s="2"/>
      <c r="N169" s="2"/>
      <c r="O169" s="2"/>
      <c r="P169" s="74"/>
      <c r="Q169" s="2"/>
      <c r="R169" s="2"/>
      <c r="S169" s="76"/>
      <c r="T169" s="2"/>
      <c r="U169" s="62"/>
      <c r="V169" s="62"/>
      <c r="W169" s="62"/>
      <c r="X169" s="62"/>
      <c r="Y169" s="62"/>
      <c r="Z169" s="62"/>
    </row>
    <row r="170" ht="15.75" customHeight="1">
      <c r="A170" s="2"/>
      <c r="B170" s="2"/>
      <c r="C170" s="2"/>
      <c r="D170" s="2"/>
      <c r="E170" s="2"/>
      <c r="F170" s="2"/>
      <c r="G170" s="2"/>
      <c r="H170" s="2"/>
      <c r="I170" s="74"/>
      <c r="J170" s="74"/>
      <c r="K170" s="74"/>
      <c r="L170" s="74"/>
      <c r="M170" s="2"/>
      <c r="N170" s="2"/>
      <c r="O170" s="2"/>
      <c r="P170" s="74"/>
      <c r="Q170" s="2"/>
      <c r="R170" s="2"/>
      <c r="S170" s="76"/>
      <c r="T170" s="2"/>
      <c r="U170" s="62"/>
      <c r="V170" s="62"/>
      <c r="W170" s="62"/>
      <c r="X170" s="62"/>
      <c r="Y170" s="62"/>
      <c r="Z170" s="62"/>
    </row>
    <row r="171" ht="15.75" customHeight="1">
      <c r="A171" s="2"/>
      <c r="B171" s="2"/>
      <c r="C171" s="2"/>
      <c r="D171" s="2"/>
      <c r="E171" s="2"/>
      <c r="F171" s="2"/>
      <c r="G171" s="2"/>
      <c r="H171" s="2"/>
      <c r="I171" s="74"/>
      <c r="J171" s="74"/>
      <c r="K171" s="74"/>
      <c r="L171" s="74"/>
      <c r="M171" s="2"/>
      <c r="N171" s="2"/>
      <c r="O171" s="2"/>
      <c r="P171" s="74"/>
      <c r="Q171" s="2"/>
      <c r="R171" s="2"/>
      <c r="S171" s="76"/>
      <c r="T171" s="2"/>
      <c r="U171" s="62"/>
      <c r="V171" s="62"/>
      <c r="W171" s="62"/>
      <c r="X171" s="62"/>
      <c r="Y171" s="62"/>
      <c r="Z171" s="62"/>
    </row>
    <row r="172" ht="15.75" customHeight="1">
      <c r="A172" s="2"/>
      <c r="B172" s="2"/>
      <c r="C172" s="2"/>
      <c r="D172" s="2"/>
      <c r="E172" s="2"/>
      <c r="F172" s="2"/>
      <c r="G172" s="2"/>
      <c r="H172" s="2"/>
      <c r="I172" s="74"/>
      <c r="J172" s="74"/>
      <c r="K172" s="74"/>
      <c r="L172" s="74"/>
      <c r="M172" s="2"/>
      <c r="N172" s="2"/>
      <c r="O172" s="2"/>
      <c r="P172" s="74"/>
      <c r="Q172" s="2"/>
      <c r="R172" s="2"/>
      <c r="S172" s="76"/>
      <c r="T172" s="2"/>
      <c r="U172" s="62"/>
      <c r="V172" s="62"/>
      <c r="W172" s="62"/>
      <c r="X172" s="62"/>
      <c r="Y172" s="62"/>
      <c r="Z172" s="62"/>
    </row>
    <row r="173" ht="15.75" customHeight="1">
      <c r="A173" s="2"/>
      <c r="B173" s="2"/>
      <c r="C173" s="2"/>
      <c r="D173" s="2"/>
      <c r="E173" s="2"/>
      <c r="F173" s="2"/>
      <c r="G173" s="2"/>
      <c r="H173" s="2"/>
      <c r="I173" s="74"/>
      <c r="J173" s="74"/>
      <c r="K173" s="74"/>
      <c r="L173" s="74"/>
      <c r="M173" s="2"/>
      <c r="N173" s="2"/>
      <c r="O173" s="2"/>
      <c r="P173" s="74"/>
      <c r="Q173" s="2"/>
      <c r="R173" s="2"/>
      <c r="S173" s="76"/>
      <c r="T173" s="2"/>
      <c r="U173" s="62"/>
      <c r="V173" s="62"/>
      <c r="W173" s="62"/>
      <c r="X173" s="62"/>
      <c r="Y173" s="62"/>
      <c r="Z173" s="62"/>
    </row>
    <row r="174" ht="15.75" customHeight="1">
      <c r="A174" s="2"/>
      <c r="B174" s="2"/>
      <c r="C174" s="2"/>
      <c r="D174" s="2"/>
      <c r="E174" s="2"/>
      <c r="F174" s="2"/>
      <c r="G174" s="2"/>
      <c r="H174" s="2"/>
      <c r="I174" s="74"/>
      <c r="J174" s="74"/>
      <c r="K174" s="74"/>
      <c r="L174" s="74"/>
      <c r="M174" s="2"/>
      <c r="N174" s="2"/>
      <c r="O174" s="2"/>
      <c r="P174" s="74"/>
      <c r="Q174" s="2"/>
      <c r="R174" s="2"/>
      <c r="S174" s="76"/>
      <c r="T174" s="2"/>
      <c r="U174" s="62"/>
      <c r="V174" s="62"/>
      <c r="W174" s="62"/>
      <c r="X174" s="62"/>
      <c r="Y174" s="62"/>
      <c r="Z174" s="62"/>
    </row>
    <row r="175" ht="15.75" customHeight="1">
      <c r="A175" s="2"/>
      <c r="B175" s="2"/>
      <c r="C175" s="2"/>
      <c r="D175" s="2"/>
      <c r="E175" s="2"/>
      <c r="F175" s="2"/>
      <c r="G175" s="2"/>
      <c r="H175" s="2"/>
      <c r="I175" s="74"/>
      <c r="J175" s="74"/>
      <c r="K175" s="74"/>
      <c r="L175" s="74"/>
      <c r="M175" s="2"/>
      <c r="N175" s="2"/>
      <c r="O175" s="2"/>
      <c r="P175" s="74"/>
      <c r="Q175" s="2"/>
      <c r="R175" s="2"/>
      <c r="S175" s="76"/>
      <c r="T175" s="2"/>
      <c r="U175" s="62"/>
      <c r="V175" s="62"/>
      <c r="W175" s="62"/>
      <c r="X175" s="62"/>
      <c r="Y175" s="62"/>
      <c r="Z175" s="62"/>
    </row>
    <row r="176" ht="15.75" customHeight="1">
      <c r="A176" s="2"/>
      <c r="B176" s="2"/>
      <c r="C176" s="2"/>
      <c r="D176" s="2"/>
      <c r="E176" s="2"/>
      <c r="F176" s="2"/>
      <c r="G176" s="2"/>
      <c r="H176" s="2"/>
      <c r="I176" s="74"/>
      <c r="J176" s="74"/>
      <c r="K176" s="74"/>
      <c r="L176" s="74"/>
      <c r="M176" s="2"/>
      <c r="N176" s="2"/>
      <c r="O176" s="2"/>
      <c r="P176" s="74"/>
      <c r="Q176" s="2"/>
      <c r="R176" s="2"/>
      <c r="S176" s="76"/>
      <c r="T176" s="2"/>
      <c r="U176" s="62"/>
      <c r="V176" s="62"/>
      <c r="W176" s="62"/>
      <c r="X176" s="62"/>
      <c r="Y176" s="62"/>
      <c r="Z176" s="62"/>
    </row>
    <row r="177" ht="15.75" customHeight="1">
      <c r="A177" s="2"/>
      <c r="B177" s="2"/>
      <c r="C177" s="2"/>
      <c r="D177" s="2"/>
      <c r="E177" s="2"/>
      <c r="F177" s="2"/>
      <c r="G177" s="2"/>
      <c r="H177" s="2"/>
      <c r="I177" s="74"/>
      <c r="J177" s="74"/>
      <c r="K177" s="74"/>
      <c r="L177" s="74"/>
      <c r="M177" s="2"/>
      <c r="N177" s="2"/>
      <c r="O177" s="2"/>
      <c r="P177" s="74"/>
      <c r="Q177" s="2"/>
      <c r="R177" s="2"/>
      <c r="S177" s="76"/>
      <c r="T177" s="2"/>
      <c r="U177" s="62"/>
      <c r="V177" s="62"/>
      <c r="W177" s="62"/>
      <c r="X177" s="62"/>
      <c r="Y177" s="62"/>
      <c r="Z177" s="62"/>
    </row>
    <row r="178" ht="15.75" customHeight="1">
      <c r="A178" s="2"/>
      <c r="B178" s="2"/>
      <c r="C178" s="2"/>
      <c r="D178" s="2"/>
      <c r="E178" s="2"/>
      <c r="F178" s="2"/>
      <c r="G178" s="2"/>
      <c r="H178" s="2"/>
      <c r="I178" s="74"/>
      <c r="J178" s="74"/>
      <c r="K178" s="74"/>
      <c r="L178" s="74"/>
      <c r="M178" s="2"/>
      <c r="N178" s="2"/>
      <c r="O178" s="2"/>
      <c r="P178" s="74"/>
      <c r="Q178" s="2"/>
      <c r="R178" s="2"/>
      <c r="S178" s="76"/>
      <c r="T178" s="2"/>
      <c r="U178" s="62"/>
      <c r="V178" s="62"/>
      <c r="W178" s="62"/>
      <c r="X178" s="62"/>
      <c r="Y178" s="62"/>
      <c r="Z178" s="62"/>
    </row>
    <row r="179" ht="15.75" customHeight="1">
      <c r="A179" s="2"/>
      <c r="B179" s="2"/>
      <c r="C179" s="2"/>
      <c r="D179" s="2"/>
      <c r="E179" s="2"/>
      <c r="F179" s="2"/>
      <c r="G179" s="2"/>
      <c r="H179" s="2"/>
      <c r="I179" s="74"/>
      <c r="J179" s="74"/>
      <c r="K179" s="74"/>
      <c r="L179" s="74"/>
      <c r="M179" s="2"/>
      <c r="N179" s="2"/>
      <c r="O179" s="2"/>
      <c r="P179" s="74"/>
      <c r="Q179" s="2"/>
      <c r="R179" s="2"/>
      <c r="S179" s="76"/>
      <c r="T179" s="2"/>
      <c r="U179" s="62"/>
      <c r="V179" s="62"/>
      <c r="W179" s="62"/>
      <c r="X179" s="62"/>
      <c r="Y179" s="62"/>
      <c r="Z179" s="62"/>
    </row>
    <row r="180" ht="15.75" customHeight="1">
      <c r="A180" s="2"/>
      <c r="B180" s="2"/>
      <c r="C180" s="2"/>
      <c r="D180" s="2"/>
      <c r="E180" s="2"/>
      <c r="F180" s="2"/>
      <c r="G180" s="2"/>
      <c r="H180" s="2"/>
      <c r="I180" s="74"/>
      <c r="J180" s="74"/>
      <c r="K180" s="74"/>
      <c r="L180" s="74"/>
      <c r="M180" s="2"/>
      <c r="N180" s="2"/>
      <c r="O180" s="2"/>
      <c r="P180" s="74"/>
      <c r="Q180" s="2"/>
      <c r="R180" s="2"/>
      <c r="S180" s="76"/>
      <c r="T180" s="2"/>
      <c r="U180" s="62"/>
      <c r="V180" s="62"/>
      <c r="W180" s="62"/>
      <c r="X180" s="62"/>
      <c r="Y180" s="62"/>
      <c r="Z180" s="62"/>
    </row>
    <row r="181" ht="15.75" customHeight="1">
      <c r="A181" s="2"/>
      <c r="B181" s="2"/>
      <c r="C181" s="2"/>
      <c r="D181" s="2"/>
      <c r="E181" s="2"/>
      <c r="F181" s="2"/>
      <c r="G181" s="2"/>
      <c r="H181" s="2"/>
      <c r="I181" s="74"/>
      <c r="J181" s="74"/>
      <c r="K181" s="74"/>
      <c r="L181" s="74"/>
      <c r="M181" s="2"/>
      <c r="N181" s="2"/>
      <c r="O181" s="2"/>
      <c r="P181" s="74"/>
      <c r="Q181" s="2"/>
      <c r="R181" s="2"/>
      <c r="S181" s="76"/>
      <c r="T181" s="2"/>
      <c r="U181" s="62"/>
      <c r="V181" s="62"/>
      <c r="W181" s="62"/>
      <c r="X181" s="62"/>
      <c r="Y181" s="62"/>
      <c r="Z181" s="62"/>
    </row>
    <row r="182" ht="15.75" customHeight="1">
      <c r="A182" s="2"/>
      <c r="B182" s="2"/>
      <c r="C182" s="2"/>
      <c r="D182" s="2"/>
      <c r="E182" s="2"/>
      <c r="F182" s="2"/>
      <c r="G182" s="2"/>
      <c r="H182" s="2"/>
      <c r="I182" s="74"/>
      <c r="J182" s="74"/>
      <c r="K182" s="74"/>
      <c r="L182" s="74"/>
      <c r="M182" s="2"/>
      <c r="N182" s="2"/>
      <c r="O182" s="2"/>
      <c r="P182" s="74"/>
      <c r="Q182" s="2"/>
      <c r="R182" s="2"/>
      <c r="S182" s="76"/>
      <c r="T182" s="2"/>
      <c r="U182" s="62"/>
      <c r="V182" s="62"/>
      <c r="W182" s="62"/>
      <c r="X182" s="62"/>
      <c r="Y182" s="62"/>
      <c r="Z182" s="62"/>
    </row>
    <row r="183" ht="15.75" customHeight="1">
      <c r="A183" s="2"/>
      <c r="B183" s="2"/>
      <c r="C183" s="2"/>
      <c r="D183" s="2"/>
      <c r="E183" s="2"/>
      <c r="F183" s="2"/>
      <c r="G183" s="2"/>
      <c r="H183" s="2"/>
      <c r="I183" s="74"/>
      <c r="J183" s="74"/>
      <c r="K183" s="74"/>
      <c r="L183" s="74"/>
      <c r="M183" s="2"/>
      <c r="N183" s="2"/>
      <c r="O183" s="2"/>
      <c r="P183" s="74"/>
      <c r="Q183" s="2"/>
      <c r="R183" s="2"/>
      <c r="S183" s="76"/>
      <c r="T183" s="2"/>
      <c r="U183" s="62"/>
      <c r="V183" s="62"/>
      <c r="W183" s="62"/>
      <c r="X183" s="62"/>
      <c r="Y183" s="62"/>
      <c r="Z183" s="62"/>
    </row>
    <row r="184" ht="15.75" customHeight="1">
      <c r="A184" s="2"/>
      <c r="B184" s="2"/>
      <c r="C184" s="2"/>
      <c r="D184" s="2"/>
      <c r="E184" s="2"/>
      <c r="F184" s="2"/>
      <c r="G184" s="2"/>
      <c r="H184" s="2"/>
      <c r="I184" s="74"/>
      <c r="J184" s="74"/>
      <c r="K184" s="74"/>
      <c r="L184" s="74"/>
      <c r="M184" s="2"/>
      <c r="N184" s="2"/>
      <c r="O184" s="2"/>
      <c r="P184" s="74"/>
      <c r="Q184" s="2"/>
      <c r="R184" s="2"/>
      <c r="S184" s="76"/>
      <c r="T184" s="2"/>
      <c r="U184" s="62"/>
      <c r="V184" s="62"/>
      <c r="W184" s="62"/>
      <c r="X184" s="62"/>
      <c r="Y184" s="62"/>
      <c r="Z184" s="62"/>
    </row>
    <row r="185" ht="15.75" customHeight="1">
      <c r="A185" s="2"/>
      <c r="B185" s="2"/>
      <c r="C185" s="2"/>
      <c r="D185" s="2"/>
      <c r="E185" s="2"/>
      <c r="F185" s="2"/>
      <c r="G185" s="2"/>
      <c r="H185" s="2"/>
      <c r="I185" s="74"/>
      <c r="J185" s="74"/>
      <c r="K185" s="74"/>
      <c r="L185" s="74"/>
      <c r="M185" s="2"/>
      <c r="N185" s="2"/>
      <c r="O185" s="2"/>
      <c r="P185" s="74"/>
      <c r="Q185" s="2"/>
      <c r="R185" s="2"/>
      <c r="S185" s="76"/>
      <c r="T185" s="2"/>
      <c r="U185" s="62"/>
      <c r="V185" s="62"/>
      <c r="W185" s="62"/>
      <c r="X185" s="62"/>
      <c r="Y185" s="62"/>
      <c r="Z185" s="62"/>
    </row>
    <row r="186" ht="15.75" customHeight="1">
      <c r="A186" s="2"/>
      <c r="B186" s="2"/>
      <c r="C186" s="2"/>
      <c r="D186" s="2"/>
      <c r="E186" s="2"/>
      <c r="F186" s="2"/>
      <c r="G186" s="2"/>
      <c r="H186" s="2"/>
      <c r="I186" s="74"/>
      <c r="J186" s="74"/>
      <c r="K186" s="74"/>
      <c r="L186" s="74"/>
      <c r="M186" s="2"/>
      <c r="N186" s="2"/>
      <c r="O186" s="2"/>
      <c r="P186" s="74"/>
      <c r="Q186" s="2"/>
      <c r="R186" s="2"/>
      <c r="S186" s="76"/>
      <c r="T186" s="2"/>
      <c r="U186" s="62"/>
      <c r="V186" s="62"/>
      <c r="W186" s="62"/>
      <c r="X186" s="62"/>
      <c r="Y186" s="62"/>
      <c r="Z186" s="62"/>
    </row>
    <row r="187" ht="15.75" customHeight="1">
      <c r="A187" s="2"/>
      <c r="B187" s="2"/>
      <c r="C187" s="2"/>
      <c r="D187" s="2"/>
      <c r="E187" s="2"/>
      <c r="F187" s="2"/>
      <c r="G187" s="2"/>
      <c r="H187" s="2"/>
      <c r="I187" s="74"/>
      <c r="J187" s="74"/>
      <c r="K187" s="74"/>
      <c r="L187" s="74"/>
      <c r="M187" s="2"/>
      <c r="N187" s="2"/>
      <c r="O187" s="2"/>
      <c r="P187" s="74"/>
      <c r="Q187" s="2"/>
      <c r="R187" s="2"/>
      <c r="S187" s="76"/>
      <c r="T187" s="2"/>
      <c r="U187" s="62"/>
      <c r="V187" s="62"/>
      <c r="W187" s="62"/>
      <c r="X187" s="62"/>
      <c r="Y187" s="62"/>
      <c r="Z187" s="62"/>
    </row>
    <row r="188" ht="15.75" customHeight="1">
      <c r="A188" s="2"/>
      <c r="B188" s="2"/>
      <c r="C188" s="2"/>
      <c r="D188" s="2"/>
      <c r="E188" s="2"/>
      <c r="F188" s="2"/>
      <c r="G188" s="2"/>
      <c r="H188" s="2"/>
      <c r="I188" s="74"/>
      <c r="J188" s="74"/>
      <c r="K188" s="74"/>
      <c r="L188" s="74"/>
      <c r="M188" s="2"/>
      <c r="N188" s="2"/>
      <c r="O188" s="2"/>
      <c r="P188" s="74"/>
      <c r="Q188" s="2"/>
      <c r="R188" s="2"/>
      <c r="S188" s="76"/>
      <c r="T188" s="2"/>
      <c r="U188" s="62"/>
      <c r="V188" s="62"/>
      <c r="W188" s="62"/>
      <c r="X188" s="62"/>
      <c r="Y188" s="62"/>
      <c r="Z188" s="62"/>
    </row>
    <row r="189" ht="15.75" customHeight="1">
      <c r="A189" s="2"/>
      <c r="B189" s="2"/>
      <c r="C189" s="2"/>
      <c r="D189" s="2"/>
      <c r="E189" s="2"/>
      <c r="F189" s="2"/>
      <c r="G189" s="2"/>
      <c r="H189" s="2"/>
      <c r="I189" s="74"/>
      <c r="J189" s="74"/>
      <c r="K189" s="74"/>
      <c r="L189" s="74"/>
      <c r="M189" s="2"/>
      <c r="N189" s="2"/>
      <c r="O189" s="2"/>
      <c r="P189" s="74"/>
      <c r="Q189" s="2"/>
      <c r="R189" s="2"/>
      <c r="S189" s="76"/>
      <c r="T189" s="2"/>
      <c r="U189" s="62"/>
      <c r="V189" s="62"/>
      <c r="W189" s="62"/>
      <c r="X189" s="62"/>
      <c r="Y189" s="62"/>
      <c r="Z189" s="62"/>
    </row>
    <row r="190" ht="15.75" customHeight="1">
      <c r="A190" s="2"/>
      <c r="B190" s="2"/>
      <c r="C190" s="2"/>
      <c r="D190" s="2"/>
      <c r="E190" s="2"/>
      <c r="F190" s="2"/>
      <c r="G190" s="2"/>
      <c r="H190" s="2"/>
      <c r="I190" s="74"/>
      <c r="J190" s="74"/>
      <c r="K190" s="74"/>
      <c r="L190" s="74"/>
      <c r="M190" s="2"/>
      <c r="N190" s="2"/>
      <c r="O190" s="2"/>
      <c r="P190" s="74"/>
      <c r="Q190" s="2"/>
      <c r="R190" s="2"/>
      <c r="S190" s="76"/>
      <c r="T190" s="2"/>
      <c r="U190" s="62"/>
      <c r="V190" s="62"/>
      <c r="W190" s="62"/>
      <c r="X190" s="62"/>
      <c r="Y190" s="62"/>
      <c r="Z190" s="62"/>
    </row>
    <row r="191" ht="15.75" customHeight="1">
      <c r="A191" s="2"/>
      <c r="B191" s="2"/>
      <c r="C191" s="2"/>
      <c r="D191" s="2"/>
      <c r="E191" s="2"/>
      <c r="F191" s="2"/>
      <c r="G191" s="2"/>
      <c r="H191" s="2"/>
      <c r="I191" s="74"/>
      <c r="J191" s="74"/>
      <c r="K191" s="74"/>
      <c r="L191" s="74"/>
      <c r="M191" s="2"/>
      <c r="N191" s="2"/>
      <c r="O191" s="2"/>
      <c r="P191" s="74"/>
      <c r="Q191" s="2"/>
      <c r="R191" s="2"/>
      <c r="S191" s="76"/>
      <c r="T191" s="2"/>
      <c r="U191" s="62"/>
      <c r="V191" s="62"/>
      <c r="W191" s="62"/>
      <c r="X191" s="62"/>
      <c r="Y191" s="62"/>
      <c r="Z191" s="62"/>
    </row>
    <row r="192" ht="15.75" customHeight="1">
      <c r="A192" s="2"/>
      <c r="B192" s="2"/>
      <c r="C192" s="2"/>
      <c r="D192" s="2"/>
      <c r="E192" s="2"/>
      <c r="F192" s="2"/>
      <c r="G192" s="2"/>
      <c r="H192" s="2"/>
      <c r="I192" s="74"/>
      <c r="J192" s="74"/>
      <c r="K192" s="74"/>
      <c r="L192" s="74"/>
      <c r="M192" s="2"/>
      <c r="N192" s="2"/>
      <c r="O192" s="2"/>
      <c r="P192" s="74"/>
      <c r="Q192" s="2"/>
      <c r="R192" s="2"/>
      <c r="S192" s="76"/>
      <c r="T192" s="2"/>
      <c r="U192" s="62"/>
      <c r="V192" s="62"/>
      <c r="W192" s="62"/>
      <c r="X192" s="62"/>
      <c r="Y192" s="62"/>
      <c r="Z192" s="62"/>
    </row>
    <row r="193" ht="15.75" customHeight="1">
      <c r="A193" s="2"/>
      <c r="B193" s="2"/>
      <c r="C193" s="2"/>
      <c r="D193" s="2"/>
      <c r="E193" s="2"/>
      <c r="F193" s="2"/>
      <c r="G193" s="2"/>
      <c r="H193" s="2"/>
      <c r="I193" s="74"/>
      <c r="J193" s="74"/>
      <c r="K193" s="74"/>
      <c r="L193" s="74"/>
      <c r="M193" s="2"/>
      <c r="N193" s="2"/>
      <c r="O193" s="2"/>
      <c r="P193" s="74"/>
      <c r="Q193" s="2"/>
      <c r="R193" s="2"/>
      <c r="S193" s="76"/>
      <c r="T193" s="2"/>
      <c r="U193" s="62"/>
      <c r="V193" s="62"/>
      <c r="W193" s="62"/>
      <c r="X193" s="62"/>
      <c r="Y193" s="62"/>
      <c r="Z193" s="62"/>
    </row>
    <row r="194" ht="15.75" customHeight="1">
      <c r="A194" s="2"/>
      <c r="B194" s="2"/>
      <c r="C194" s="2"/>
      <c r="D194" s="2"/>
      <c r="E194" s="2"/>
      <c r="F194" s="2"/>
      <c r="G194" s="2"/>
      <c r="H194" s="2"/>
      <c r="I194" s="74"/>
      <c r="J194" s="74"/>
      <c r="K194" s="74"/>
      <c r="L194" s="74"/>
      <c r="M194" s="2"/>
      <c r="N194" s="2"/>
      <c r="O194" s="2"/>
      <c r="P194" s="74"/>
      <c r="Q194" s="2"/>
      <c r="R194" s="2"/>
      <c r="S194" s="76"/>
      <c r="T194" s="2"/>
      <c r="U194" s="62"/>
      <c r="V194" s="62"/>
      <c r="W194" s="62"/>
      <c r="X194" s="62"/>
      <c r="Y194" s="62"/>
      <c r="Z194" s="62"/>
    </row>
    <row r="195" ht="15.75" customHeight="1">
      <c r="A195" s="2"/>
      <c r="B195" s="2"/>
      <c r="C195" s="2"/>
      <c r="D195" s="2"/>
      <c r="E195" s="2"/>
      <c r="F195" s="2"/>
      <c r="G195" s="2"/>
      <c r="H195" s="2"/>
      <c r="I195" s="74"/>
      <c r="J195" s="74"/>
      <c r="K195" s="74"/>
      <c r="L195" s="74"/>
      <c r="M195" s="2"/>
      <c r="N195" s="2"/>
      <c r="O195" s="2"/>
      <c r="P195" s="74"/>
      <c r="Q195" s="2"/>
      <c r="R195" s="2"/>
      <c r="S195" s="76"/>
      <c r="T195" s="2"/>
      <c r="U195" s="62"/>
      <c r="V195" s="62"/>
      <c r="W195" s="62"/>
      <c r="X195" s="62"/>
      <c r="Y195" s="62"/>
      <c r="Z195" s="62"/>
    </row>
    <row r="196" ht="15.75" customHeight="1">
      <c r="A196" s="2"/>
      <c r="B196" s="2"/>
      <c r="C196" s="2"/>
      <c r="D196" s="2"/>
      <c r="E196" s="2"/>
      <c r="F196" s="2"/>
      <c r="G196" s="2"/>
      <c r="H196" s="2"/>
      <c r="I196" s="74"/>
      <c r="J196" s="74"/>
      <c r="K196" s="74"/>
      <c r="L196" s="74"/>
      <c r="M196" s="2"/>
      <c r="N196" s="2"/>
      <c r="O196" s="2"/>
      <c r="P196" s="74"/>
      <c r="Q196" s="2"/>
      <c r="R196" s="2"/>
      <c r="S196" s="76"/>
      <c r="T196" s="2"/>
      <c r="U196" s="62"/>
      <c r="V196" s="62"/>
      <c r="W196" s="62"/>
      <c r="X196" s="62"/>
      <c r="Y196" s="62"/>
      <c r="Z196" s="62"/>
    </row>
    <row r="197" ht="15.75" customHeight="1">
      <c r="A197" s="2"/>
      <c r="B197" s="2"/>
      <c r="C197" s="2"/>
      <c r="D197" s="2"/>
      <c r="E197" s="2"/>
      <c r="F197" s="2"/>
      <c r="G197" s="2"/>
      <c r="H197" s="2"/>
      <c r="I197" s="74"/>
      <c r="J197" s="74"/>
      <c r="K197" s="74"/>
      <c r="L197" s="74"/>
      <c r="M197" s="2"/>
      <c r="N197" s="2"/>
      <c r="O197" s="2"/>
      <c r="P197" s="74"/>
      <c r="Q197" s="2"/>
      <c r="R197" s="2"/>
      <c r="S197" s="76"/>
      <c r="T197" s="2"/>
      <c r="U197" s="62"/>
      <c r="V197" s="62"/>
      <c r="W197" s="62"/>
      <c r="X197" s="62"/>
      <c r="Y197" s="62"/>
      <c r="Z197" s="62"/>
    </row>
    <row r="198" ht="15.75" customHeight="1">
      <c r="A198" s="2"/>
      <c r="B198" s="2"/>
      <c r="C198" s="2"/>
      <c r="D198" s="2"/>
      <c r="E198" s="2"/>
      <c r="F198" s="2"/>
      <c r="G198" s="2"/>
      <c r="H198" s="2"/>
      <c r="I198" s="74"/>
      <c r="J198" s="74"/>
      <c r="K198" s="74"/>
      <c r="L198" s="74"/>
      <c r="M198" s="2"/>
      <c r="N198" s="2"/>
      <c r="O198" s="2"/>
      <c r="P198" s="74"/>
      <c r="Q198" s="2"/>
      <c r="R198" s="2"/>
      <c r="S198" s="76"/>
      <c r="T198" s="2"/>
      <c r="U198" s="62"/>
      <c r="V198" s="62"/>
      <c r="W198" s="62"/>
      <c r="X198" s="62"/>
      <c r="Y198" s="62"/>
      <c r="Z198" s="62"/>
    </row>
    <row r="199" ht="15.75" customHeight="1">
      <c r="A199" s="2"/>
      <c r="B199" s="2"/>
      <c r="C199" s="2"/>
      <c r="D199" s="2"/>
      <c r="E199" s="2"/>
      <c r="F199" s="2"/>
      <c r="G199" s="2"/>
      <c r="H199" s="2"/>
      <c r="I199" s="74"/>
      <c r="J199" s="74"/>
      <c r="K199" s="74"/>
      <c r="L199" s="74"/>
      <c r="M199" s="2"/>
      <c r="N199" s="2"/>
      <c r="O199" s="2"/>
      <c r="P199" s="74"/>
      <c r="Q199" s="2"/>
      <c r="R199" s="2"/>
      <c r="S199" s="76"/>
      <c r="T199" s="2"/>
      <c r="U199" s="62"/>
      <c r="V199" s="62"/>
      <c r="W199" s="62"/>
      <c r="X199" s="62"/>
      <c r="Y199" s="62"/>
      <c r="Z199" s="62"/>
    </row>
    <row r="200" ht="15.75" customHeight="1">
      <c r="A200" s="2"/>
      <c r="B200" s="2"/>
      <c r="C200" s="2"/>
      <c r="D200" s="2"/>
      <c r="E200" s="2"/>
      <c r="F200" s="2"/>
      <c r="G200" s="2"/>
      <c r="H200" s="2"/>
      <c r="I200" s="74"/>
      <c r="J200" s="74"/>
      <c r="K200" s="74"/>
      <c r="L200" s="74"/>
      <c r="M200" s="2"/>
      <c r="N200" s="2"/>
      <c r="O200" s="2"/>
      <c r="P200" s="74"/>
      <c r="Q200" s="2"/>
      <c r="R200" s="2"/>
      <c r="S200" s="76"/>
      <c r="T200" s="2"/>
      <c r="U200" s="62"/>
      <c r="V200" s="62"/>
      <c r="W200" s="62"/>
      <c r="X200" s="62"/>
      <c r="Y200" s="62"/>
      <c r="Z200" s="62"/>
    </row>
    <row r="201" ht="15.75" customHeight="1">
      <c r="A201" s="2"/>
      <c r="B201" s="2"/>
      <c r="C201" s="2"/>
      <c r="D201" s="2"/>
      <c r="E201" s="2"/>
      <c r="F201" s="2"/>
      <c r="G201" s="2"/>
      <c r="H201" s="2"/>
      <c r="I201" s="74"/>
      <c r="J201" s="74"/>
      <c r="K201" s="74"/>
      <c r="L201" s="74"/>
      <c r="M201" s="2"/>
      <c r="N201" s="2"/>
      <c r="O201" s="2"/>
      <c r="P201" s="74"/>
      <c r="Q201" s="2"/>
      <c r="R201" s="2"/>
      <c r="S201" s="76"/>
      <c r="T201" s="2"/>
      <c r="U201" s="62"/>
      <c r="V201" s="62"/>
      <c r="W201" s="62"/>
      <c r="X201" s="62"/>
      <c r="Y201" s="62"/>
      <c r="Z201" s="62"/>
    </row>
    <row r="202" ht="15.75" customHeight="1">
      <c r="A202" s="2"/>
      <c r="B202" s="2"/>
      <c r="C202" s="2"/>
      <c r="D202" s="2"/>
      <c r="E202" s="2"/>
      <c r="F202" s="2"/>
      <c r="G202" s="2"/>
      <c r="H202" s="2"/>
      <c r="I202" s="74"/>
      <c r="J202" s="74"/>
      <c r="K202" s="74"/>
      <c r="L202" s="74"/>
      <c r="M202" s="2"/>
      <c r="N202" s="2"/>
      <c r="O202" s="2"/>
      <c r="P202" s="74"/>
      <c r="Q202" s="2"/>
      <c r="R202" s="2"/>
      <c r="S202" s="76"/>
      <c r="T202" s="2"/>
      <c r="U202" s="62"/>
      <c r="V202" s="62"/>
      <c r="W202" s="62"/>
      <c r="X202" s="62"/>
      <c r="Y202" s="62"/>
      <c r="Z202" s="62"/>
    </row>
    <row r="203" ht="15.75" customHeight="1">
      <c r="A203" s="2"/>
      <c r="B203" s="2"/>
      <c r="C203" s="2"/>
      <c r="D203" s="2"/>
      <c r="E203" s="2"/>
      <c r="F203" s="2"/>
      <c r="G203" s="2"/>
      <c r="H203" s="2"/>
      <c r="I203" s="74"/>
      <c r="J203" s="74"/>
      <c r="K203" s="74"/>
      <c r="L203" s="74"/>
      <c r="M203" s="2"/>
      <c r="N203" s="2"/>
      <c r="O203" s="2"/>
      <c r="P203" s="74"/>
      <c r="Q203" s="2"/>
      <c r="R203" s="2"/>
      <c r="S203" s="76"/>
      <c r="T203" s="2"/>
      <c r="U203" s="62"/>
      <c r="V203" s="62"/>
      <c r="W203" s="62"/>
      <c r="X203" s="62"/>
      <c r="Y203" s="62"/>
      <c r="Z203" s="62"/>
    </row>
    <row r="204" ht="15.75" customHeight="1">
      <c r="A204" s="2"/>
      <c r="B204" s="2"/>
      <c r="C204" s="2"/>
      <c r="D204" s="2"/>
      <c r="E204" s="2"/>
      <c r="F204" s="2"/>
      <c r="G204" s="2"/>
      <c r="H204" s="2"/>
      <c r="I204" s="74"/>
      <c r="J204" s="74"/>
      <c r="K204" s="74"/>
      <c r="L204" s="74"/>
      <c r="M204" s="2"/>
      <c r="N204" s="2"/>
      <c r="O204" s="2"/>
      <c r="P204" s="74"/>
      <c r="Q204" s="2"/>
      <c r="R204" s="2"/>
      <c r="S204" s="76"/>
      <c r="T204" s="2"/>
      <c r="U204" s="62"/>
      <c r="V204" s="62"/>
      <c r="W204" s="62"/>
      <c r="X204" s="62"/>
      <c r="Y204" s="62"/>
      <c r="Z204" s="62"/>
    </row>
    <row r="205" ht="15.75" customHeight="1">
      <c r="A205" s="2"/>
      <c r="B205" s="2"/>
      <c r="C205" s="2"/>
      <c r="D205" s="2"/>
      <c r="E205" s="2"/>
      <c r="F205" s="2"/>
      <c r="G205" s="2"/>
      <c r="H205" s="2"/>
      <c r="I205" s="74"/>
      <c r="J205" s="74"/>
      <c r="K205" s="74"/>
      <c r="L205" s="74"/>
      <c r="M205" s="2"/>
      <c r="N205" s="2"/>
      <c r="O205" s="2"/>
      <c r="P205" s="74"/>
      <c r="Q205" s="2"/>
      <c r="R205" s="2"/>
      <c r="S205" s="76"/>
      <c r="T205" s="2"/>
      <c r="U205" s="62"/>
      <c r="V205" s="62"/>
      <c r="W205" s="62"/>
      <c r="X205" s="62"/>
      <c r="Y205" s="62"/>
      <c r="Z205" s="62"/>
    </row>
    <row r="206" ht="15.75" customHeight="1">
      <c r="A206" s="2"/>
      <c r="B206" s="2"/>
      <c r="C206" s="2"/>
      <c r="D206" s="2"/>
      <c r="E206" s="2"/>
      <c r="F206" s="2"/>
      <c r="G206" s="2"/>
      <c r="H206" s="2"/>
      <c r="I206" s="74"/>
      <c r="J206" s="74"/>
      <c r="K206" s="74"/>
      <c r="L206" s="74"/>
      <c r="M206" s="2"/>
      <c r="N206" s="2"/>
      <c r="O206" s="2"/>
      <c r="P206" s="74"/>
      <c r="Q206" s="2"/>
      <c r="R206" s="2"/>
      <c r="S206" s="76"/>
      <c r="T206" s="2"/>
      <c r="U206" s="62"/>
      <c r="V206" s="62"/>
      <c r="W206" s="62"/>
      <c r="X206" s="62"/>
      <c r="Y206" s="62"/>
      <c r="Z206" s="62"/>
    </row>
    <row r="207" ht="15.75" customHeight="1">
      <c r="A207" s="2"/>
      <c r="B207" s="2"/>
      <c r="C207" s="2"/>
      <c r="D207" s="2"/>
      <c r="E207" s="2"/>
      <c r="F207" s="2"/>
      <c r="G207" s="2"/>
      <c r="H207" s="2"/>
      <c r="I207" s="74"/>
      <c r="J207" s="74"/>
      <c r="K207" s="74"/>
      <c r="L207" s="74"/>
      <c r="M207" s="2"/>
      <c r="N207" s="2"/>
      <c r="O207" s="2"/>
      <c r="P207" s="74"/>
      <c r="Q207" s="2"/>
      <c r="R207" s="2"/>
      <c r="S207" s="76"/>
      <c r="T207" s="2"/>
      <c r="U207" s="62"/>
      <c r="V207" s="62"/>
      <c r="W207" s="62"/>
      <c r="X207" s="62"/>
      <c r="Y207" s="62"/>
      <c r="Z207" s="62"/>
    </row>
    <row r="208" ht="15.75" customHeight="1">
      <c r="A208" s="2"/>
      <c r="B208" s="2"/>
      <c r="C208" s="2"/>
      <c r="D208" s="2"/>
      <c r="E208" s="2"/>
      <c r="F208" s="2"/>
      <c r="G208" s="2"/>
      <c r="H208" s="2"/>
      <c r="I208" s="74"/>
      <c r="J208" s="74"/>
      <c r="K208" s="74"/>
      <c r="L208" s="74"/>
      <c r="M208" s="2"/>
      <c r="N208" s="2"/>
      <c r="O208" s="2"/>
      <c r="P208" s="74"/>
      <c r="Q208" s="2"/>
      <c r="R208" s="2"/>
      <c r="S208" s="76"/>
      <c r="T208" s="2"/>
      <c r="U208" s="62"/>
      <c r="V208" s="62"/>
      <c r="W208" s="62"/>
      <c r="X208" s="62"/>
      <c r="Y208" s="62"/>
      <c r="Z208" s="62"/>
    </row>
    <row r="209" ht="15.75" customHeight="1">
      <c r="A209" s="2"/>
      <c r="B209" s="2"/>
      <c r="C209" s="2"/>
      <c r="D209" s="2"/>
      <c r="E209" s="2"/>
      <c r="F209" s="2"/>
      <c r="G209" s="2"/>
      <c r="H209" s="2"/>
      <c r="I209" s="74"/>
      <c r="J209" s="74"/>
      <c r="K209" s="74"/>
      <c r="L209" s="74"/>
      <c r="M209" s="2"/>
      <c r="N209" s="2"/>
      <c r="O209" s="2"/>
      <c r="P209" s="74"/>
      <c r="Q209" s="2"/>
      <c r="R209" s="2"/>
      <c r="S209" s="76"/>
      <c r="T209" s="2"/>
      <c r="U209" s="62"/>
      <c r="V209" s="62"/>
      <c r="W209" s="62"/>
      <c r="X209" s="62"/>
      <c r="Y209" s="62"/>
      <c r="Z209" s="62"/>
    </row>
    <row r="210" ht="15.75" customHeight="1">
      <c r="A210" s="2"/>
      <c r="B210" s="2"/>
      <c r="C210" s="2"/>
      <c r="D210" s="2"/>
      <c r="E210" s="2"/>
      <c r="F210" s="2"/>
      <c r="G210" s="2"/>
      <c r="H210" s="2"/>
      <c r="I210" s="74"/>
      <c r="J210" s="74"/>
      <c r="K210" s="74"/>
      <c r="L210" s="74"/>
      <c r="M210" s="2"/>
      <c r="N210" s="2"/>
      <c r="O210" s="2"/>
      <c r="P210" s="74"/>
      <c r="Q210" s="2"/>
      <c r="R210" s="2"/>
      <c r="S210" s="76"/>
      <c r="T210" s="2"/>
      <c r="U210" s="62"/>
      <c r="V210" s="62"/>
      <c r="W210" s="62"/>
      <c r="X210" s="62"/>
      <c r="Y210" s="62"/>
      <c r="Z210" s="62"/>
    </row>
    <row r="211" ht="15.75" customHeight="1">
      <c r="A211" s="2"/>
      <c r="B211" s="2"/>
      <c r="C211" s="2"/>
      <c r="D211" s="2"/>
      <c r="E211" s="2"/>
      <c r="F211" s="2"/>
      <c r="G211" s="2"/>
      <c r="H211" s="2"/>
      <c r="I211" s="74"/>
      <c r="J211" s="74"/>
      <c r="K211" s="74"/>
      <c r="L211" s="74"/>
      <c r="M211" s="2"/>
      <c r="N211" s="2"/>
      <c r="O211" s="2"/>
      <c r="P211" s="74"/>
      <c r="Q211" s="2"/>
      <c r="R211" s="2"/>
      <c r="S211" s="76"/>
      <c r="T211" s="2"/>
      <c r="U211" s="62"/>
      <c r="V211" s="62"/>
      <c r="W211" s="62"/>
      <c r="X211" s="62"/>
      <c r="Y211" s="62"/>
      <c r="Z211" s="62"/>
    </row>
    <row r="212" ht="15.75" customHeight="1">
      <c r="A212" s="2"/>
      <c r="B212" s="2"/>
      <c r="C212" s="2"/>
      <c r="D212" s="2"/>
      <c r="E212" s="2"/>
      <c r="F212" s="2"/>
      <c r="G212" s="2"/>
      <c r="H212" s="2"/>
      <c r="I212" s="74"/>
      <c r="J212" s="74"/>
      <c r="K212" s="74"/>
      <c r="L212" s="74"/>
      <c r="M212" s="2"/>
      <c r="N212" s="2"/>
      <c r="O212" s="2"/>
      <c r="P212" s="74"/>
      <c r="Q212" s="2"/>
      <c r="R212" s="2"/>
      <c r="S212" s="76"/>
      <c r="T212" s="2"/>
      <c r="U212" s="62"/>
      <c r="V212" s="62"/>
      <c r="W212" s="62"/>
      <c r="X212" s="62"/>
      <c r="Y212" s="62"/>
      <c r="Z212" s="62"/>
    </row>
    <row r="213" ht="15.75" customHeight="1">
      <c r="A213" s="2"/>
      <c r="B213" s="2"/>
      <c r="C213" s="2"/>
      <c r="D213" s="2"/>
      <c r="E213" s="2"/>
      <c r="F213" s="2"/>
      <c r="G213" s="2"/>
      <c r="H213" s="2"/>
      <c r="I213" s="74"/>
      <c r="J213" s="74"/>
      <c r="K213" s="74"/>
      <c r="L213" s="74"/>
      <c r="M213" s="2"/>
      <c r="N213" s="2"/>
      <c r="O213" s="2"/>
      <c r="P213" s="74"/>
      <c r="Q213" s="2"/>
      <c r="R213" s="2"/>
      <c r="S213" s="76"/>
      <c r="T213" s="2"/>
      <c r="U213" s="62"/>
      <c r="V213" s="62"/>
      <c r="W213" s="62"/>
      <c r="X213" s="62"/>
      <c r="Y213" s="62"/>
      <c r="Z213" s="62"/>
    </row>
    <row r="214" ht="15.75" customHeight="1">
      <c r="A214" s="2"/>
      <c r="B214" s="2"/>
      <c r="C214" s="2"/>
      <c r="D214" s="2"/>
      <c r="E214" s="2"/>
      <c r="F214" s="2"/>
      <c r="G214" s="2"/>
      <c r="H214" s="2"/>
      <c r="I214" s="74"/>
      <c r="J214" s="74"/>
      <c r="K214" s="74"/>
      <c r="L214" s="74"/>
      <c r="M214" s="2"/>
      <c r="N214" s="2"/>
      <c r="O214" s="2"/>
      <c r="P214" s="74"/>
      <c r="Q214" s="2"/>
      <c r="R214" s="2"/>
      <c r="S214" s="76"/>
      <c r="T214" s="2"/>
      <c r="U214" s="62"/>
      <c r="V214" s="62"/>
      <c r="W214" s="62"/>
      <c r="X214" s="62"/>
      <c r="Y214" s="62"/>
      <c r="Z214" s="62"/>
    </row>
    <row r="215" ht="15.75" customHeight="1">
      <c r="A215" s="2"/>
      <c r="B215" s="2"/>
      <c r="C215" s="2"/>
      <c r="D215" s="2"/>
      <c r="E215" s="2"/>
      <c r="F215" s="2"/>
      <c r="G215" s="2"/>
      <c r="H215" s="2"/>
      <c r="I215" s="74"/>
      <c r="J215" s="74"/>
      <c r="K215" s="74"/>
      <c r="L215" s="74"/>
      <c r="M215" s="2"/>
      <c r="N215" s="2"/>
      <c r="O215" s="2"/>
      <c r="P215" s="74"/>
      <c r="Q215" s="2"/>
      <c r="R215" s="2"/>
      <c r="S215" s="76"/>
      <c r="T215" s="2"/>
      <c r="U215" s="62"/>
      <c r="V215" s="62"/>
      <c r="W215" s="62"/>
      <c r="X215" s="62"/>
      <c r="Y215" s="62"/>
      <c r="Z215" s="62"/>
    </row>
    <row r="216" ht="15.75" customHeight="1">
      <c r="A216" s="2"/>
      <c r="B216" s="2"/>
      <c r="C216" s="2"/>
      <c r="D216" s="2"/>
      <c r="E216" s="2"/>
      <c r="F216" s="2"/>
      <c r="G216" s="2"/>
      <c r="H216" s="2"/>
      <c r="I216" s="74"/>
      <c r="J216" s="74"/>
      <c r="K216" s="74"/>
      <c r="L216" s="74"/>
      <c r="M216" s="2"/>
      <c r="N216" s="2"/>
      <c r="O216" s="2"/>
      <c r="P216" s="74"/>
      <c r="Q216" s="2"/>
      <c r="R216" s="2"/>
      <c r="S216" s="76"/>
      <c r="T216" s="2"/>
      <c r="U216" s="62"/>
      <c r="V216" s="62"/>
      <c r="W216" s="62"/>
      <c r="X216" s="62"/>
      <c r="Y216" s="62"/>
      <c r="Z216" s="62"/>
    </row>
    <row r="217" ht="15.75" customHeight="1">
      <c r="A217" s="2"/>
      <c r="B217" s="2"/>
      <c r="C217" s="2"/>
      <c r="D217" s="2"/>
      <c r="E217" s="2"/>
      <c r="F217" s="2"/>
      <c r="G217" s="2"/>
      <c r="H217" s="2"/>
      <c r="I217" s="74"/>
      <c r="J217" s="74"/>
      <c r="K217" s="74"/>
      <c r="L217" s="74"/>
      <c r="M217" s="2"/>
      <c r="N217" s="2"/>
      <c r="O217" s="2"/>
      <c r="P217" s="74"/>
      <c r="Q217" s="2"/>
      <c r="R217" s="2"/>
      <c r="S217" s="76"/>
      <c r="T217" s="2"/>
      <c r="U217" s="62"/>
      <c r="V217" s="62"/>
      <c r="W217" s="62"/>
      <c r="X217" s="62"/>
      <c r="Y217" s="62"/>
      <c r="Z217" s="62"/>
    </row>
    <row r="218" ht="15.75" customHeight="1">
      <c r="A218" s="2"/>
      <c r="B218" s="2"/>
      <c r="C218" s="2"/>
      <c r="D218" s="2"/>
      <c r="E218" s="2"/>
      <c r="F218" s="2"/>
      <c r="G218" s="2"/>
      <c r="H218" s="2"/>
      <c r="I218" s="74"/>
      <c r="J218" s="74"/>
      <c r="K218" s="74"/>
      <c r="L218" s="74"/>
      <c r="M218" s="2"/>
      <c r="N218" s="2"/>
      <c r="O218" s="2"/>
      <c r="P218" s="74"/>
      <c r="Q218" s="2"/>
      <c r="R218" s="2"/>
      <c r="S218" s="76"/>
      <c r="T218" s="2"/>
      <c r="U218" s="62"/>
      <c r="V218" s="62"/>
      <c r="W218" s="62"/>
      <c r="X218" s="62"/>
      <c r="Y218" s="62"/>
      <c r="Z218" s="62"/>
    </row>
    <row r="219" ht="15.75" customHeight="1">
      <c r="A219" s="2"/>
      <c r="B219" s="2"/>
      <c r="C219" s="2"/>
      <c r="D219" s="2"/>
      <c r="E219" s="2"/>
      <c r="F219" s="2"/>
      <c r="G219" s="2"/>
      <c r="H219" s="2"/>
      <c r="I219" s="74"/>
      <c r="J219" s="74"/>
      <c r="K219" s="74"/>
      <c r="L219" s="74"/>
      <c r="M219" s="2"/>
      <c r="N219" s="2"/>
      <c r="O219" s="2"/>
      <c r="P219" s="74"/>
      <c r="Q219" s="2"/>
      <c r="R219" s="2"/>
      <c r="S219" s="76"/>
      <c r="T219" s="2"/>
      <c r="U219" s="62"/>
      <c r="V219" s="62"/>
      <c r="W219" s="62"/>
      <c r="X219" s="62"/>
      <c r="Y219" s="62"/>
      <c r="Z219" s="62"/>
    </row>
    <row r="220" ht="15.75" customHeight="1">
      <c r="A220" s="2"/>
      <c r="B220" s="2"/>
      <c r="C220" s="2"/>
      <c r="D220" s="2"/>
      <c r="E220" s="2"/>
      <c r="F220" s="2"/>
      <c r="G220" s="2"/>
      <c r="H220" s="2"/>
      <c r="I220" s="74"/>
      <c r="J220" s="74"/>
      <c r="K220" s="74"/>
      <c r="L220" s="74"/>
      <c r="M220" s="2"/>
      <c r="N220" s="2"/>
      <c r="O220" s="2"/>
      <c r="P220" s="74"/>
      <c r="Q220" s="2"/>
      <c r="R220" s="2"/>
      <c r="S220" s="76"/>
      <c r="T220" s="2"/>
      <c r="U220" s="62"/>
      <c r="V220" s="62"/>
      <c r="W220" s="62"/>
      <c r="X220" s="62"/>
      <c r="Y220" s="62"/>
      <c r="Z220" s="62"/>
    </row>
    <row r="221" ht="15.75" customHeight="1">
      <c r="A221" s="2"/>
      <c r="B221" s="2"/>
      <c r="C221" s="2"/>
      <c r="D221" s="2"/>
      <c r="E221" s="2"/>
      <c r="F221" s="2"/>
      <c r="G221" s="2"/>
      <c r="H221" s="2"/>
      <c r="I221" s="74"/>
      <c r="J221" s="74"/>
      <c r="K221" s="74"/>
      <c r="L221" s="74"/>
      <c r="M221" s="2"/>
      <c r="N221" s="2"/>
      <c r="O221" s="2"/>
      <c r="P221" s="74"/>
      <c r="Q221" s="2"/>
      <c r="R221" s="2"/>
      <c r="S221" s="76"/>
      <c r="T221" s="2"/>
      <c r="U221" s="62"/>
      <c r="V221" s="62"/>
      <c r="W221" s="62"/>
      <c r="X221" s="62"/>
      <c r="Y221" s="62"/>
      <c r="Z221" s="62"/>
    </row>
    <row r="222" ht="15.75" customHeight="1">
      <c r="A222" s="2"/>
      <c r="B222" s="2"/>
      <c r="C222" s="2"/>
      <c r="D222" s="2"/>
      <c r="E222" s="2"/>
      <c r="F222" s="2"/>
      <c r="G222" s="2"/>
      <c r="H222" s="2"/>
      <c r="I222" s="74"/>
      <c r="J222" s="74"/>
      <c r="K222" s="74"/>
      <c r="L222" s="74"/>
      <c r="M222" s="2"/>
      <c r="N222" s="2"/>
      <c r="O222" s="2"/>
      <c r="P222" s="74"/>
      <c r="Q222" s="2"/>
      <c r="R222" s="2"/>
      <c r="S222" s="76"/>
      <c r="T222" s="2"/>
      <c r="U222" s="62"/>
      <c r="V222" s="62"/>
      <c r="W222" s="62"/>
      <c r="X222" s="62"/>
      <c r="Y222" s="62"/>
      <c r="Z222" s="62"/>
    </row>
    <row r="223" ht="15.75" customHeight="1">
      <c r="A223" s="2"/>
      <c r="B223" s="2"/>
      <c r="C223" s="2"/>
      <c r="D223" s="2"/>
      <c r="E223" s="2"/>
      <c r="F223" s="2"/>
      <c r="G223" s="2"/>
      <c r="H223" s="2"/>
      <c r="I223" s="74"/>
      <c r="J223" s="74"/>
      <c r="K223" s="74"/>
      <c r="L223" s="74"/>
      <c r="M223" s="2"/>
      <c r="N223" s="2"/>
      <c r="O223" s="2"/>
      <c r="P223" s="74"/>
      <c r="Q223" s="2"/>
      <c r="R223" s="2"/>
      <c r="S223" s="76"/>
      <c r="T223" s="2"/>
      <c r="U223" s="62"/>
      <c r="V223" s="62"/>
      <c r="W223" s="62"/>
      <c r="X223" s="62"/>
      <c r="Y223" s="62"/>
      <c r="Z223" s="62"/>
    </row>
    <row r="224" ht="15.75" customHeight="1">
      <c r="A224" s="2"/>
      <c r="B224" s="2"/>
      <c r="C224" s="2"/>
      <c r="D224" s="2"/>
      <c r="E224" s="2"/>
      <c r="F224" s="2"/>
      <c r="G224" s="2"/>
      <c r="H224" s="2"/>
      <c r="I224" s="74"/>
      <c r="J224" s="74"/>
      <c r="K224" s="74"/>
      <c r="L224" s="74"/>
      <c r="M224" s="2"/>
      <c r="N224" s="2"/>
      <c r="O224" s="2"/>
      <c r="P224" s="74"/>
      <c r="Q224" s="2"/>
      <c r="R224" s="2"/>
      <c r="S224" s="76"/>
      <c r="T224" s="2"/>
      <c r="U224" s="62"/>
      <c r="V224" s="62"/>
      <c r="W224" s="62"/>
      <c r="X224" s="62"/>
      <c r="Y224" s="62"/>
      <c r="Z224" s="62"/>
    </row>
    <row r="225" ht="15.75" customHeight="1">
      <c r="A225" s="2"/>
      <c r="B225" s="2"/>
      <c r="C225" s="2"/>
      <c r="D225" s="2"/>
      <c r="E225" s="2"/>
      <c r="F225" s="2"/>
      <c r="G225" s="2"/>
      <c r="H225" s="2"/>
      <c r="I225" s="74"/>
      <c r="J225" s="74"/>
      <c r="K225" s="74"/>
      <c r="L225" s="74"/>
      <c r="M225" s="2"/>
      <c r="N225" s="2"/>
      <c r="O225" s="2"/>
      <c r="P225" s="74"/>
      <c r="Q225" s="2"/>
      <c r="R225" s="2"/>
      <c r="S225" s="76"/>
      <c r="T225" s="2"/>
      <c r="U225" s="62"/>
      <c r="V225" s="62"/>
      <c r="W225" s="62"/>
      <c r="X225" s="62"/>
      <c r="Y225" s="62"/>
      <c r="Z225" s="62"/>
    </row>
    <row r="226" ht="15.75" customHeight="1">
      <c r="A226" s="2"/>
      <c r="B226" s="2"/>
      <c r="C226" s="2"/>
      <c r="D226" s="2"/>
      <c r="E226" s="2"/>
      <c r="F226" s="2"/>
      <c r="G226" s="2"/>
      <c r="H226" s="2"/>
      <c r="I226" s="74"/>
      <c r="J226" s="74"/>
      <c r="K226" s="74"/>
      <c r="L226" s="74"/>
      <c r="M226" s="2"/>
      <c r="N226" s="2"/>
      <c r="O226" s="2"/>
      <c r="P226" s="74"/>
      <c r="Q226" s="2"/>
      <c r="R226" s="2"/>
      <c r="S226" s="76"/>
      <c r="T226" s="2"/>
      <c r="U226" s="62"/>
      <c r="V226" s="62"/>
      <c r="W226" s="62"/>
      <c r="X226" s="62"/>
      <c r="Y226" s="62"/>
      <c r="Z226" s="62"/>
    </row>
    <row r="227" ht="15.75" customHeight="1">
      <c r="A227" s="2"/>
      <c r="B227" s="2"/>
      <c r="C227" s="2"/>
      <c r="D227" s="2"/>
      <c r="E227" s="2"/>
      <c r="F227" s="2"/>
      <c r="G227" s="2"/>
      <c r="H227" s="2"/>
      <c r="I227" s="74"/>
      <c r="J227" s="74"/>
      <c r="K227" s="74"/>
      <c r="L227" s="74"/>
      <c r="M227" s="2"/>
      <c r="N227" s="2"/>
      <c r="O227" s="2"/>
      <c r="P227" s="74"/>
      <c r="Q227" s="2"/>
      <c r="R227" s="2"/>
      <c r="S227" s="76"/>
      <c r="T227" s="2"/>
      <c r="U227" s="62"/>
      <c r="V227" s="62"/>
      <c r="W227" s="62"/>
      <c r="X227" s="62"/>
      <c r="Y227" s="62"/>
      <c r="Z227" s="62"/>
    </row>
    <row r="228" ht="15.75" customHeight="1">
      <c r="A228" s="2"/>
      <c r="B228" s="2"/>
      <c r="C228" s="2"/>
      <c r="D228" s="2"/>
      <c r="E228" s="2"/>
      <c r="F228" s="2"/>
      <c r="G228" s="2"/>
      <c r="H228" s="2"/>
      <c r="I228" s="74"/>
      <c r="J228" s="74"/>
      <c r="K228" s="74"/>
      <c r="L228" s="74"/>
      <c r="M228" s="2"/>
      <c r="N228" s="2"/>
      <c r="O228" s="2"/>
      <c r="P228" s="74"/>
      <c r="Q228" s="2"/>
      <c r="R228" s="2"/>
      <c r="S228" s="76"/>
      <c r="T228" s="2"/>
      <c r="U228" s="62"/>
      <c r="V228" s="62"/>
      <c r="W228" s="62"/>
      <c r="X228" s="62"/>
      <c r="Y228" s="62"/>
      <c r="Z228" s="62"/>
    </row>
    <row r="229" ht="15.75" customHeight="1">
      <c r="A229" s="2"/>
      <c r="B229" s="2"/>
      <c r="C229" s="2"/>
      <c r="D229" s="2"/>
      <c r="E229" s="2"/>
      <c r="F229" s="2"/>
      <c r="G229" s="2"/>
      <c r="H229" s="2"/>
      <c r="I229" s="74"/>
      <c r="J229" s="74"/>
      <c r="K229" s="74"/>
      <c r="L229" s="74"/>
      <c r="M229" s="2"/>
      <c r="N229" s="2"/>
      <c r="O229" s="2"/>
      <c r="P229" s="74"/>
      <c r="Q229" s="2"/>
      <c r="R229" s="2"/>
      <c r="S229" s="76"/>
      <c r="T229" s="2"/>
      <c r="U229" s="62"/>
      <c r="V229" s="62"/>
      <c r="W229" s="62"/>
      <c r="X229" s="62"/>
      <c r="Y229" s="62"/>
      <c r="Z229" s="62"/>
    </row>
    <row r="230" ht="15.75" customHeight="1">
      <c r="A230" s="2"/>
      <c r="B230" s="2"/>
      <c r="C230" s="2"/>
      <c r="D230" s="2"/>
      <c r="E230" s="2"/>
      <c r="F230" s="2"/>
      <c r="G230" s="2"/>
      <c r="H230" s="2"/>
      <c r="I230" s="74"/>
      <c r="J230" s="74"/>
      <c r="K230" s="74"/>
      <c r="L230" s="74"/>
      <c r="M230" s="2"/>
      <c r="N230" s="2"/>
      <c r="O230" s="2"/>
      <c r="P230" s="74"/>
      <c r="Q230" s="2"/>
      <c r="R230" s="2"/>
      <c r="S230" s="76"/>
      <c r="T230" s="2"/>
      <c r="U230" s="62"/>
      <c r="V230" s="62"/>
      <c r="W230" s="62"/>
      <c r="X230" s="62"/>
      <c r="Y230" s="62"/>
      <c r="Z230" s="62"/>
    </row>
    <row r="231" ht="15.75" customHeight="1">
      <c r="A231" s="2"/>
      <c r="B231" s="2"/>
      <c r="C231" s="2"/>
      <c r="D231" s="2"/>
      <c r="E231" s="2"/>
      <c r="F231" s="2"/>
      <c r="G231" s="2"/>
      <c r="H231" s="2"/>
      <c r="I231" s="74"/>
      <c r="J231" s="74"/>
      <c r="K231" s="74"/>
      <c r="L231" s="74"/>
      <c r="M231" s="2"/>
      <c r="N231" s="2"/>
      <c r="O231" s="2"/>
      <c r="P231" s="74"/>
      <c r="Q231" s="2"/>
      <c r="R231" s="2"/>
      <c r="S231" s="76"/>
      <c r="T231" s="2"/>
      <c r="U231" s="62"/>
      <c r="V231" s="62"/>
      <c r="W231" s="62"/>
      <c r="X231" s="62"/>
      <c r="Y231" s="62"/>
      <c r="Z231" s="62"/>
    </row>
    <row r="232" ht="15.75" customHeight="1">
      <c r="A232" s="2"/>
      <c r="B232" s="2"/>
      <c r="C232" s="2"/>
      <c r="D232" s="2"/>
      <c r="E232" s="2"/>
      <c r="F232" s="2"/>
      <c r="G232" s="2"/>
      <c r="H232" s="2"/>
      <c r="I232" s="74"/>
      <c r="J232" s="74"/>
      <c r="K232" s="74"/>
      <c r="L232" s="74"/>
      <c r="M232" s="2"/>
      <c r="N232" s="2"/>
      <c r="O232" s="2"/>
      <c r="P232" s="74"/>
      <c r="Q232" s="2"/>
      <c r="R232" s="2"/>
      <c r="S232" s="76"/>
      <c r="T232" s="2"/>
      <c r="U232" s="62"/>
      <c r="V232" s="62"/>
      <c r="W232" s="62"/>
      <c r="X232" s="62"/>
      <c r="Y232" s="62"/>
      <c r="Z232" s="62"/>
    </row>
    <row r="233" ht="15.75" customHeight="1">
      <c r="A233" s="2"/>
      <c r="B233" s="2"/>
      <c r="C233" s="2"/>
      <c r="D233" s="2"/>
      <c r="E233" s="2"/>
      <c r="F233" s="2"/>
      <c r="G233" s="2"/>
      <c r="H233" s="2"/>
      <c r="I233" s="74"/>
      <c r="J233" s="74"/>
      <c r="K233" s="74"/>
      <c r="L233" s="74"/>
      <c r="M233" s="2"/>
      <c r="N233" s="2"/>
      <c r="O233" s="2"/>
      <c r="P233" s="74"/>
      <c r="Q233" s="2"/>
      <c r="R233" s="2"/>
      <c r="S233" s="76"/>
      <c r="T233" s="2"/>
      <c r="U233" s="62"/>
      <c r="V233" s="62"/>
      <c r="W233" s="62"/>
      <c r="X233" s="62"/>
      <c r="Y233" s="62"/>
      <c r="Z233" s="62"/>
    </row>
    <row r="234" ht="15.75" customHeight="1">
      <c r="A234" s="2"/>
      <c r="B234" s="2"/>
      <c r="C234" s="2"/>
      <c r="D234" s="2"/>
      <c r="E234" s="2"/>
      <c r="F234" s="2"/>
      <c r="G234" s="2"/>
      <c r="H234" s="2"/>
      <c r="I234" s="74"/>
      <c r="J234" s="74"/>
      <c r="K234" s="74"/>
      <c r="L234" s="74"/>
      <c r="M234" s="2"/>
      <c r="N234" s="2"/>
      <c r="O234" s="2"/>
      <c r="P234" s="74"/>
      <c r="Q234" s="2"/>
      <c r="R234" s="2"/>
      <c r="S234" s="76"/>
      <c r="T234" s="2"/>
      <c r="U234" s="62"/>
      <c r="V234" s="62"/>
      <c r="W234" s="62"/>
      <c r="X234" s="62"/>
      <c r="Y234" s="62"/>
      <c r="Z234" s="62"/>
    </row>
    <row r="235" ht="15.75" customHeight="1">
      <c r="A235" s="2"/>
      <c r="B235" s="2"/>
      <c r="C235" s="2"/>
      <c r="D235" s="2"/>
      <c r="E235" s="2"/>
      <c r="F235" s="2"/>
      <c r="G235" s="2"/>
      <c r="H235" s="2"/>
      <c r="I235" s="74"/>
      <c r="J235" s="74"/>
      <c r="K235" s="74"/>
      <c r="L235" s="74"/>
      <c r="M235" s="2"/>
      <c r="N235" s="2"/>
      <c r="O235" s="2"/>
      <c r="P235" s="74"/>
      <c r="Q235" s="2"/>
      <c r="R235" s="2"/>
      <c r="S235" s="76"/>
      <c r="T235" s="2"/>
      <c r="U235" s="62"/>
      <c r="V235" s="62"/>
      <c r="W235" s="62"/>
      <c r="X235" s="62"/>
      <c r="Y235" s="62"/>
      <c r="Z235" s="62"/>
    </row>
    <row r="236" ht="15.75" customHeight="1">
      <c r="A236" s="2"/>
      <c r="B236" s="2"/>
      <c r="C236" s="2"/>
      <c r="D236" s="2"/>
      <c r="E236" s="2"/>
      <c r="F236" s="2"/>
      <c r="G236" s="2"/>
      <c r="H236" s="2"/>
      <c r="I236" s="74"/>
      <c r="J236" s="74"/>
      <c r="K236" s="74"/>
      <c r="L236" s="74"/>
      <c r="M236" s="2"/>
      <c r="N236" s="2"/>
      <c r="O236" s="2"/>
      <c r="P236" s="74"/>
      <c r="Q236" s="2"/>
      <c r="R236" s="2"/>
      <c r="S236" s="76"/>
      <c r="T236" s="2"/>
      <c r="U236" s="62"/>
      <c r="V236" s="62"/>
      <c r="W236" s="62"/>
      <c r="X236" s="62"/>
      <c r="Y236" s="62"/>
      <c r="Z236" s="62"/>
    </row>
    <row r="237" ht="15.75" customHeight="1">
      <c r="A237" s="2"/>
      <c r="B237" s="2"/>
      <c r="C237" s="2"/>
      <c r="D237" s="2"/>
      <c r="E237" s="2"/>
      <c r="F237" s="2"/>
      <c r="G237" s="2"/>
      <c r="H237" s="2"/>
      <c r="I237" s="74"/>
      <c r="J237" s="74"/>
      <c r="K237" s="74"/>
      <c r="L237" s="74"/>
      <c r="M237" s="2"/>
      <c r="N237" s="2"/>
      <c r="O237" s="2"/>
      <c r="P237" s="74"/>
      <c r="Q237" s="2"/>
      <c r="R237" s="2"/>
      <c r="S237" s="76"/>
      <c r="T237" s="2"/>
      <c r="U237" s="62"/>
      <c r="V237" s="62"/>
      <c r="W237" s="62"/>
      <c r="X237" s="62"/>
      <c r="Y237" s="62"/>
      <c r="Z237" s="62"/>
    </row>
    <row r="238" ht="15.75" customHeight="1">
      <c r="A238" s="2"/>
      <c r="B238" s="2"/>
      <c r="C238" s="2"/>
      <c r="D238" s="2"/>
      <c r="E238" s="2"/>
      <c r="F238" s="2"/>
      <c r="G238" s="2"/>
      <c r="H238" s="2"/>
      <c r="I238" s="74"/>
      <c r="J238" s="74"/>
      <c r="K238" s="74"/>
      <c r="L238" s="74"/>
      <c r="M238" s="2"/>
      <c r="N238" s="2"/>
      <c r="O238" s="2"/>
      <c r="P238" s="74"/>
      <c r="Q238" s="2"/>
      <c r="R238" s="2"/>
      <c r="S238" s="76"/>
      <c r="T238" s="2"/>
      <c r="U238" s="62"/>
      <c r="V238" s="62"/>
      <c r="W238" s="62"/>
      <c r="X238" s="62"/>
      <c r="Y238" s="62"/>
      <c r="Z238" s="62"/>
    </row>
    <row r="239" ht="15.75" customHeight="1">
      <c r="A239" s="2"/>
      <c r="B239" s="2"/>
      <c r="C239" s="2"/>
      <c r="D239" s="2"/>
      <c r="E239" s="2"/>
      <c r="F239" s="2"/>
      <c r="G239" s="2"/>
      <c r="H239" s="2"/>
      <c r="I239" s="74"/>
      <c r="J239" s="74"/>
      <c r="K239" s="74"/>
      <c r="L239" s="74"/>
      <c r="M239" s="2"/>
      <c r="N239" s="2"/>
      <c r="O239" s="2"/>
      <c r="P239" s="74"/>
      <c r="Q239" s="2"/>
      <c r="R239" s="2"/>
      <c r="S239" s="76"/>
      <c r="T239" s="2"/>
      <c r="U239" s="62"/>
      <c r="V239" s="62"/>
      <c r="W239" s="62"/>
      <c r="X239" s="62"/>
      <c r="Y239" s="62"/>
      <c r="Z239" s="62"/>
    </row>
    <row r="240" ht="15.75" customHeight="1">
      <c r="A240" s="2"/>
      <c r="B240" s="2"/>
      <c r="C240" s="2"/>
      <c r="D240" s="2"/>
      <c r="E240" s="2"/>
      <c r="F240" s="2"/>
      <c r="G240" s="2"/>
      <c r="H240" s="2"/>
      <c r="I240" s="74"/>
      <c r="J240" s="74"/>
      <c r="K240" s="74"/>
      <c r="L240" s="74"/>
      <c r="M240" s="2"/>
      <c r="N240" s="2"/>
      <c r="O240" s="2"/>
      <c r="P240" s="74"/>
      <c r="Q240" s="2"/>
      <c r="R240" s="2"/>
      <c r="S240" s="76"/>
      <c r="T240" s="2"/>
      <c r="U240" s="62"/>
      <c r="V240" s="62"/>
      <c r="W240" s="62"/>
      <c r="X240" s="62"/>
      <c r="Y240" s="62"/>
      <c r="Z240" s="62"/>
    </row>
    <row r="241" ht="15.75" customHeight="1">
      <c r="A241" s="2"/>
      <c r="B241" s="2"/>
      <c r="C241" s="2"/>
      <c r="D241" s="2"/>
      <c r="E241" s="2"/>
      <c r="F241" s="2"/>
      <c r="G241" s="2"/>
      <c r="H241" s="2"/>
      <c r="I241" s="74"/>
      <c r="J241" s="74"/>
      <c r="K241" s="74"/>
      <c r="L241" s="74"/>
      <c r="M241" s="2"/>
      <c r="N241" s="2"/>
      <c r="O241" s="2"/>
      <c r="P241" s="74"/>
      <c r="Q241" s="2"/>
      <c r="R241" s="2"/>
      <c r="S241" s="76"/>
      <c r="T241" s="2"/>
      <c r="U241" s="62"/>
      <c r="V241" s="62"/>
      <c r="W241" s="62"/>
      <c r="X241" s="62"/>
      <c r="Y241" s="62"/>
      <c r="Z241" s="62"/>
    </row>
    <row r="242" ht="15.75" customHeight="1">
      <c r="A242" s="2"/>
      <c r="B242" s="2"/>
      <c r="C242" s="2"/>
      <c r="D242" s="2"/>
      <c r="E242" s="2"/>
      <c r="F242" s="2"/>
      <c r="G242" s="2"/>
      <c r="H242" s="2"/>
      <c r="I242" s="74"/>
      <c r="J242" s="74"/>
      <c r="K242" s="74"/>
      <c r="L242" s="74"/>
      <c r="M242" s="2"/>
      <c r="N242" s="2"/>
      <c r="O242" s="2"/>
      <c r="P242" s="74"/>
      <c r="Q242" s="2"/>
      <c r="R242" s="2"/>
      <c r="S242" s="76"/>
      <c r="T242" s="2"/>
      <c r="U242" s="62"/>
      <c r="V242" s="62"/>
      <c r="W242" s="62"/>
      <c r="X242" s="62"/>
      <c r="Y242" s="62"/>
      <c r="Z242" s="62"/>
    </row>
    <row r="243" ht="15.75" customHeight="1">
      <c r="A243" s="2"/>
      <c r="B243" s="2"/>
      <c r="C243" s="2"/>
      <c r="D243" s="2"/>
      <c r="E243" s="2"/>
      <c r="F243" s="2"/>
      <c r="G243" s="2"/>
      <c r="H243" s="2"/>
      <c r="I243" s="74"/>
      <c r="J243" s="74"/>
      <c r="K243" s="74"/>
      <c r="L243" s="74"/>
      <c r="M243" s="2"/>
      <c r="N243" s="2"/>
      <c r="O243" s="2"/>
      <c r="P243" s="74"/>
      <c r="Q243" s="2"/>
      <c r="R243" s="2"/>
      <c r="S243" s="76"/>
      <c r="T243" s="2"/>
      <c r="U243" s="62"/>
      <c r="V243" s="62"/>
      <c r="W243" s="62"/>
      <c r="X243" s="62"/>
      <c r="Y243" s="62"/>
      <c r="Z243" s="62"/>
    </row>
    <row r="244" ht="15.75" customHeight="1">
      <c r="A244" s="2"/>
      <c r="B244" s="2"/>
      <c r="C244" s="2"/>
      <c r="D244" s="2"/>
      <c r="E244" s="2"/>
      <c r="F244" s="2"/>
      <c r="G244" s="2"/>
      <c r="H244" s="2"/>
      <c r="I244" s="74"/>
      <c r="J244" s="74"/>
      <c r="K244" s="74"/>
      <c r="L244" s="74"/>
      <c r="M244" s="2"/>
      <c r="N244" s="2"/>
      <c r="O244" s="2"/>
      <c r="P244" s="74"/>
      <c r="Q244" s="2"/>
      <c r="R244" s="2"/>
      <c r="S244" s="76"/>
      <c r="T244" s="2"/>
      <c r="U244" s="62"/>
      <c r="V244" s="62"/>
      <c r="W244" s="62"/>
      <c r="X244" s="62"/>
      <c r="Y244" s="62"/>
      <c r="Z244" s="62"/>
    </row>
    <row r="245" ht="15.75" customHeight="1">
      <c r="A245" s="2"/>
      <c r="B245" s="2"/>
      <c r="C245" s="2"/>
      <c r="D245" s="2"/>
      <c r="E245" s="2"/>
      <c r="F245" s="2"/>
      <c r="G245" s="2"/>
      <c r="H245" s="2"/>
      <c r="I245" s="74"/>
      <c r="J245" s="74"/>
      <c r="K245" s="74"/>
      <c r="L245" s="74"/>
      <c r="M245" s="2"/>
      <c r="N245" s="2"/>
      <c r="O245" s="2"/>
      <c r="P245" s="74"/>
      <c r="Q245" s="2"/>
      <c r="R245" s="2"/>
      <c r="S245" s="76"/>
      <c r="T245" s="2"/>
      <c r="U245" s="62"/>
      <c r="V245" s="62"/>
      <c r="W245" s="62"/>
      <c r="X245" s="62"/>
      <c r="Y245" s="62"/>
      <c r="Z245" s="62"/>
    </row>
    <row r="246" ht="15.75" customHeight="1">
      <c r="A246" s="2"/>
      <c r="B246" s="2"/>
      <c r="C246" s="2"/>
      <c r="D246" s="2"/>
      <c r="E246" s="2"/>
      <c r="F246" s="2"/>
      <c r="G246" s="2"/>
      <c r="H246" s="2"/>
      <c r="I246" s="74"/>
      <c r="J246" s="74"/>
      <c r="K246" s="74"/>
      <c r="L246" s="74"/>
      <c r="M246" s="2"/>
      <c r="N246" s="2"/>
      <c r="O246" s="2"/>
      <c r="P246" s="74"/>
      <c r="Q246" s="2"/>
      <c r="R246" s="2"/>
      <c r="S246" s="76"/>
      <c r="T246" s="2"/>
      <c r="U246" s="62"/>
      <c r="V246" s="62"/>
      <c r="W246" s="62"/>
      <c r="X246" s="62"/>
      <c r="Y246" s="62"/>
      <c r="Z246" s="62"/>
    </row>
    <row r="247" ht="15.75" customHeight="1">
      <c r="A247" s="2"/>
      <c r="B247" s="2"/>
      <c r="C247" s="2"/>
      <c r="D247" s="2"/>
      <c r="E247" s="2"/>
      <c r="F247" s="2"/>
      <c r="G247" s="2"/>
      <c r="H247" s="2"/>
      <c r="I247" s="74"/>
      <c r="J247" s="74"/>
      <c r="K247" s="74"/>
      <c r="L247" s="74"/>
      <c r="M247" s="2"/>
      <c r="N247" s="2"/>
      <c r="O247" s="2"/>
      <c r="P247" s="74"/>
      <c r="Q247" s="2"/>
      <c r="R247" s="2"/>
      <c r="S247" s="76"/>
      <c r="T247" s="2"/>
      <c r="U247" s="62"/>
      <c r="V247" s="62"/>
      <c r="W247" s="62"/>
      <c r="X247" s="62"/>
      <c r="Y247" s="62"/>
      <c r="Z247" s="62"/>
    </row>
    <row r="248" ht="15.75" customHeight="1">
      <c r="A248" s="2"/>
      <c r="B248" s="2"/>
      <c r="C248" s="2"/>
      <c r="D248" s="2"/>
      <c r="E248" s="2"/>
      <c r="F248" s="2"/>
      <c r="G248" s="2"/>
      <c r="H248" s="2"/>
      <c r="I248" s="74"/>
      <c r="J248" s="74"/>
      <c r="K248" s="74"/>
      <c r="L248" s="74"/>
      <c r="M248" s="2"/>
      <c r="N248" s="2"/>
      <c r="O248" s="2"/>
      <c r="P248" s="74"/>
      <c r="Q248" s="2"/>
      <c r="R248" s="2"/>
      <c r="S248" s="76"/>
      <c r="T248" s="2"/>
      <c r="U248" s="62"/>
      <c r="V248" s="62"/>
      <c r="W248" s="62"/>
      <c r="X248" s="62"/>
      <c r="Y248" s="62"/>
      <c r="Z248" s="62"/>
    </row>
    <row r="249" ht="15.75" customHeight="1">
      <c r="A249" s="2"/>
      <c r="B249" s="2"/>
      <c r="C249" s="2"/>
      <c r="D249" s="2"/>
      <c r="E249" s="2"/>
      <c r="F249" s="2"/>
      <c r="G249" s="2"/>
      <c r="H249" s="2"/>
      <c r="I249" s="74"/>
      <c r="J249" s="74"/>
      <c r="K249" s="74"/>
      <c r="L249" s="74"/>
      <c r="M249" s="2"/>
      <c r="N249" s="2"/>
      <c r="O249" s="2"/>
      <c r="P249" s="74"/>
      <c r="Q249" s="2"/>
      <c r="R249" s="2"/>
      <c r="S249" s="76"/>
      <c r="T249" s="2"/>
      <c r="U249" s="62"/>
      <c r="V249" s="62"/>
      <c r="W249" s="62"/>
      <c r="X249" s="62"/>
      <c r="Y249" s="62"/>
      <c r="Z249" s="62"/>
    </row>
    <row r="250" ht="15.75" customHeight="1">
      <c r="A250" s="2"/>
      <c r="B250" s="2"/>
      <c r="C250" s="2"/>
      <c r="D250" s="2"/>
      <c r="E250" s="2"/>
      <c r="F250" s="2"/>
      <c r="G250" s="2"/>
      <c r="H250" s="2"/>
      <c r="I250" s="74"/>
      <c r="J250" s="74"/>
      <c r="K250" s="74"/>
      <c r="L250" s="74"/>
      <c r="M250" s="2"/>
      <c r="N250" s="2"/>
      <c r="O250" s="2"/>
      <c r="P250" s="74"/>
      <c r="Q250" s="2"/>
      <c r="R250" s="2"/>
      <c r="S250" s="76"/>
      <c r="T250" s="2"/>
      <c r="U250" s="62"/>
      <c r="V250" s="62"/>
      <c r="W250" s="62"/>
      <c r="X250" s="62"/>
      <c r="Y250" s="62"/>
      <c r="Z250" s="62"/>
    </row>
    <row r="251" ht="15.75" customHeight="1">
      <c r="A251" s="2"/>
      <c r="B251" s="2"/>
      <c r="C251" s="2"/>
      <c r="D251" s="2"/>
      <c r="E251" s="2"/>
      <c r="F251" s="2"/>
      <c r="G251" s="2"/>
      <c r="H251" s="2"/>
      <c r="I251" s="74"/>
      <c r="J251" s="74"/>
      <c r="K251" s="74"/>
      <c r="L251" s="74"/>
      <c r="M251" s="2"/>
      <c r="N251" s="2"/>
      <c r="O251" s="2"/>
      <c r="P251" s="74"/>
      <c r="Q251" s="2"/>
      <c r="R251" s="2"/>
      <c r="S251" s="76"/>
      <c r="T251" s="2"/>
      <c r="U251" s="62"/>
      <c r="V251" s="62"/>
      <c r="W251" s="62"/>
      <c r="X251" s="62"/>
      <c r="Y251" s="62"/>
      <c r="Z251" s="62"/>
    </row>
    <row r="252" ht="15.75" customHeight="1">
      <c r="A252" s="2"/>
      <c r="B252" s="2"/>
      <c r="C252" s="2"/>
      <c r="D252" s="2"/>
      <c r="E252" s="2"/>
      <c r="F252" s="2"/>
      <c r="G252" s="2"/>
      <c r="H252" s="2"/>
      <c r="I252" s="74"/>
      <c r="J252" s="74"/>
      <c r="K252" s="74"/>
      <c r="L252" s="74"/>
      <c r="M252" s="2"/>
      <c r="N252" s="2"/>
      <c r="O252" s="2"/>
      <c r="P252" s="74"/>
      <c r="Q252" s="2"/>
      <c r="R252" s="2"/>
      <c r="S252" s="76"/>
      <c r="T252" s="2"/>
      <c r="U252" s="62"/>
      <c r="V252" s="62"/>
      <c r="W252" s="62"/>
      <c r="X252" s="62"/>
      <c r="Y252" s="62"/>
      <c r="Z252" s="62"/>
    </row>
    <row r="253" ht="15.75" customHeight="1">
      <c r="A253" s="2"/>
      <c r="B253" s="2"/>
      <c r="C253" s="2"/>
      <c r="D253" s="2"/>
      <c r="E253" s="2"/>
      <c r="F253" s="2"/>
      <c r="G253" s="2"/>
      <c r="H253" s="2"/>
      <c r="I253" s="74"/>
      <c r="J253" s="74"/>
      <c r="K253" s="74"/>
      <c r="L253" s="74"/>
      <c r="M253" s="2"/>
      <c r="N253" s="2"/>
      <c r="O253" s="2"/>
      <c r="P253" s="74"/>
      <c r="Q253" s="2"/>
      <c r="R253" s="2"/>
      <c r="S253" s="76"/>
      <c r="T253" s="2"/>
      <c r="U253" s="62"/>
      <c r="V253" s="62"/>
      <c r="W253" s="62"/>
      <c r="X253" s="62"/>
      <c r="Y253" s="62"/>
      <c r="Z253" s="62"/>
    </row>
    <row r="254" ht="15.75" customHeight="1">
      <c r="A254" s="2"/>
      <c r="B254" s="2"/>
      <c r="C254" s="2"/>
      <c r="D254" s="2"/>
      <c r="E254" s="2"/>
      <c r="F254" s="2"/>
      <c r="G254" s="2"/>
      <c r="H254" s="2"/>
      <c r="I254" s="74"/>
      <c r="J254" s="74"/>
      <c r="K254" s="74"/>
      <c r="L254" s="74"/>
      <c r="M254" s="2"/>
      <c r="N254" s="2"/>
      <c r="O254" s="2"/>
      <c r="P254" s="74"/>
      <c r="Q254" s="2"/>
      <c r="R254" s="2"/>
      <c r="S254" s="76"/>
      <c r="T254" s="2"/>
      <c r="U254" s="62"/>
      <c r="V254" s="62"/>
      <c r="W254" s="62"/>
      <c r="X254" s="62"/>
      <c r="Y254" s="62"/>
      <c r="Z254" s="62"/>
    </row>
    <row r="255" ht="15.75" customHeight="1">
      <c r="A255" s="2"/>
      <c r="B255" s="2"/>
      <c r="C255" s="2"/>
      <c r="D255" s="2"/>
      <c r="E255" s="2"/>
      <c r="F255" s="2"/>
      <c r="G255" s="2"/>
      <c r="H255" s="2"/>
      <c r="I255" s="74"/>
      <c r="J255" s="74"/>
      <c r="K255" s="74"/>
      <c r="L255" s="74"/>
      <c r="M255" s="2"/>
      <c r="N255" s="2"/>
      <c r="O255" s="2"/>
      <c r="P255" s="74"/>
      <c r="Q255" s="2"/>
      <c r="R255" s="2"/>
      <c r="S255" s="76"/>
      <c r="T255" s="2"/>
      <c r="U255" s="62"/>
      <c r="V255" s="62"/>
      <c r="W255" s="62"/>
      <c r="X255" s="62"/>
      <c r="Y255" s="62"/>
      <c r="Z255" s="62"/>
    </row>
    <row r="256" ht="15.75" customHeight="1">
      <c r="A256" s="2"/>
      <c r="B256" s="2"/>
      <c r="C256" s="2"/>
      <c r="D256" s="2"/>
      <c r="E256" s="2"/>
      <c r="F256" s="2"/>
      <c r="G256" s="2"/>
      <c r="H256" s="2"/>
      <c r="I256" s="74"/>
      <c r="J256" s="74"/>
      <c r="K256" s="74"/>
      <c r="L256" s="74"/>
      <c r="M256" s="2"/>
      <c r="N256" s="2"/>
      <c r="O256" s="2"/>
      <c r="P256" s="74"/>
      <c r="Q256" s="2"/>
      <c r="R256" s="2"/>
      <c r="S256" s="76"/>
      <c r="T256" s="2"/>
      <c r="U256" s="62"/>
      <c r="V256" s="62"/>
      <c r="W256" s="62"/>
      <c r="X256" s="62"/>
      <c r="Y256" s="62"/>
      <c r="Z256" s="62"/>
    </row>
    <row r="257" ht="15.75" customHeight="1">
      <c r="A257" s="2"/>
      <c r="B257" s="2"/>
      <c r="C257" s="2"/>
      <c r="D257" s="2"/>
      <c r="E257" s="2"/>
      <c r="F257" s="2"/>
      <c r="G257" s="2"/>
      <c r="H257" s="2"/>
      <c r="I257" s="74"/>
      <c r="J257" s="74"/>
      <c r="K257" s="74"/>
      <c r="L257" s="74"/>
      <c r="M257" s="2"/>
      <c r="N257" s="2"/>
      <c r="O257" s="2"/>
      <c r="P257" s="74"/>
      <c r="Q257" s="2"/>
      <c r="R257" s="2"/>
      <c r="S257" s="76"/>
      <c r="T257" s="2"/>
      <c r="U257" s="62"/>
      <c r="V257" s="62"/>
      <c r="W257" s="62"/>
      <c r="X257" s="62"/>
      <c r="Y257" s="62"/>
      <c r="Z257" s="62"/>
    </row>
    <row r="258" ht="15.75" customHeight="1">
      <c r="A258" s="2"/>
      <c r="B258" s="2"/>
      <c r="C258" s="2"/>
      <c r="D258" s="2"/>
      <c r="E258" s="2"/>
      <c r="F258" s="2"/>
      <c r="G258" s="2"/>
      <c r="H258" s="2"/>
      <c r="I258" s="74"/>
      <c r="J258" s="74"/>
      <c r="K258" s="74"/>
      <c r="L258" s="74"/>
      <c r="M258" s="2"/>
      <c r="N258" s="2"/>
      <c r="O258" s="2"/>
      <c r="P258" s="74"/>
      <c r="Q258" s="2"/>
      <c r="R258" s="2"/>
      <c r="S258" s="76"/>
      <c r="T258" s="2"/>
      <c r="U258" s="62"/>
      <c r="V258" s="62"/>
      <c r="W258" s="62"/>
      <c r="X258" s="62"/>
      <c r="Y258" s="62"/>
      <c r="Z258" s="62"/>
    </row>
    <row r="259" ht="15.75" customHeight="1">
      <c r="A259" s="2"/>
      <c r="B259" s="2"/>
      <c r="C259" s="2"/>
      <c r="D259" s="2"/>
      <c r="E259" s="2"/>
      <c r="F259" s="2"/>
      <c r="G259" s="2"/>
      <c r="H259" s="2"/>
      <c r="I259" s="74"/>
      <c r="J259" s="74"/>
      <c r="K259" s="74"/>
      <c r="L259" s="74"/>
      <c r="M259" s="2"/>
      <c r="N259" s="2"/>
      <c r="O259" s="2"/>
      <c r="P259" s="74"/>
      <c r="Q259" s="2"/>
      <c r="R259" s="2"/>
      <c r="S259" s="76"/>
      <c r="T259" s="2"/>
      <c r="U259" s="62"/>
      <c r="V259" s="62"/>
      <c r="W259" s="62"/>
      <c r="X259" s="62"/>
      <c r="Y259" s="62"/>
      <c r="Z259" s="62"/>
    </row>
    <row r="260" ht="15.75" customHeight="1">
      <c r="A260" s="2"/>
      <c r="B260" s="2"/>
      <c r="C260" s="2"/>
      <c r="D260" s="2"/>
      <c r="E260" s="2"/>
      <c r="F260" s="2"/>
      <c r="G260" s="2"/>
      <c r="H260" s="2"/>
      <c r="I260" s="74"/>
      <c r="J260" s="74"/>
      <c r="K260" s="74"/>
      <c r="L260" s="74"/>
      <c r="M260" s="2"/>
      <c r="N260" s="2"/>
      <c r="O260" s="2"/>
      <c r="P260" s="74"/>
      <c r="Q260" s="2"/>
      <c r="R260" s="2"/>
      <c r="S260" s="76"/>
      <c r="T260" s="2"/>
      <c r="U260" s="62"/>
      <c r="V260" s="62"/>
      <c r="W260" s="62"/>
      <c r="X260" s="62"/>
      <c r="Y260" s="62"/>
      <c r="Z260" s="62"/>
    </row>
    <row r="261" ht="15.75" customHeight="1">
      <c r="A261" s="2"/>
      <c r="B261" s="2"/>
      <c r="C261" s="2"/>
      <c r="D261" s="2"/>
      <c r="E261" s="2"/>
      <c r="F261" s="2"/>
      <c r="G261" s="2"/>
      <c r="H261" s="2"/>
      <c r="I261" s="74"/>
      <c r="J261" s="74"/>
      <c r="K261" s="74"/>
      <c r="L261" s="74"/>
      <c r="M261" s="2"/>
      <c r="N261" s="2"/>
      <c r="O261" s="2"/>
      <c r="P261" s="74"/>
      <c r="Q261" s="2"/>
      <c r="R261" s="2"/>
      <c r="S261" s="76"/>
      <c r="T261" s="2"/>
      <c r="U261" s="62"/>
      <c r="V261" s="62"/>
      <c r="W261" s="62"/>
      <c r="X261" s="62"/>
      <c r="Y261" s="62"/>
      <c r="Z261" s="62"/>
    </row>
    <row r="262" ht="15.75" customHeight="1">
      <c r="A262" s="2"/>
      <c r="B262" s="2"/>
      <c r="C262" s="2"/>
      <c r="D262" s="2"/>
      <c r="E262" s="2"/>
      <c r="F262" s="2"/>
      <c r="G262" s="2"/>
      <c r="H262" s="2"/>
      <c r="I262" s="74"/>
      <c r="J262" s="74"/>
      <c r="K262" s="74"/>
      <c r="L262" s="74"/>
      <c r="M262" s="2"/>
      <c r="N262" s="2"/>
      <c r="O262" s="2"/>
      <c r="P262" s="74"/>
      <c r="Q262" s="2"/>
      <c r="R262" s="2"/>
      <c r="S262" s="76"/>
      <c r="T262" s="2"/>
      <c r="U262" s="62"/>
      <c r="V262" s="62"/>
      <c r="W262" s="62"/>
      <c r="X262" s="62"/>
      <c r="Y262" s="62"/>
      <c r="Z262" s="62"/>
    </row>
    <row r="263" ht="15.75" customHeight="1">
      <c r="A263" s="2"/>
      <c r="B263" s="2"/>
      <c r="C263" s="2"/>
      <c r="D263" s="2"/>
      <c r="E263" s="2"/>
      <c r="F263" s="2"/>
      <c r="G263" s="2"/>
      <c r="H263" s="2"/>
      <c r="I263" s="74"/>
      <c r="J263" s="74"/>
      <c r="K263" s="74"/>
      <c r="L263" s="74"/>
      <c r="M263" s="2"/>
      <c r="N263" s="2"/>
      <c r="O263" s="2"/>
      <c r="P263" s="74"/>
      <c r="Q263" s="2"/>
      <c r="R263" s="2"/>
      <c r="S263" s="76"/>
      <c r="T263" s="2"/>
      <c r="U263" s="62"/>
      <c r="V263" s="62"/>
      <c r="W263" s="62"/>
      <c r="X263" s="62"/>
      <c r="Y263" s="62"/>
      <c r="Z263" s="62"/>
    </row>
    <row r="264" ht="15.75" customHeight="1">
      <c r="A264" s="2"/>
      <c r="B264" s="2"/>
      <c r="C264" s="2"/>
      <c r="D264" s="2"/>
      <c r="E264" s="2"/>
      <c r="F264" s="2"/>
      <c r="G264" s="2"/>
      <c r="H264" s="2"/>
      <c r="I264" s="74"/>
      <c r="J264" s="74"/>
      <c r="K264" s="74"/>
      <c r="L264" s="74"/>
      <c r="M264" s="2"/>
      <c r="N264" s="2"/>
      <c r="O264" s="2"/>
      <c r="P264" s="74"/>
      <c r="Q264" s="2"/>
      <c r="R264" s="2"/>
      <c r="S264" s="76"/>
      <c r="T264" s="2"/>
      <c r="U264" s="62"/>
      <c r="V264" s="62"/>
      <c r="W264" s="62"/>
      <c r="X264" s="62"/>
      <c r="Y264" s="62"/>
      <c r="Z264" s="62"/>
    </row>
    <row r="265" ht="15.75" customHeight="1">
      <c r="A265" s="2"/>
      <c r="B265" s="2"/>
      <c r="C265" s="2"/>
      <c r="D265" s="2"/>
      <c r="E265" s="2"/>
      <c r="F265" s="2"/>
      <c r="G265" s="2"/>
      <c r="H265" s="2"/>
      <c r="I265" s="74"/>
      <c r="J265" s="74"/>
      <c r="K265" s="74"/>
      <c r="L265" s="74"/>
      <c r="M265" s="2"/>
      <c r="N265" s="2"/>
      <c r="O265" s="2"/>
      <c r="P265" s="74"/>
      <c r="Q265" s="2"/>
      <c r="R265" s="2"/>
      <c r="S265" s="76"/>
      <c r="T265" s="2"/>
      <c r="U265" s="62"/>
      <c r="V265" s="62"/>
      <c r="W265" s="62"/>
      <c r="X265" s="62"/>
      <c r="Y265" s="62"/>
      <c r="Z265" s="62"/>
    </row>
    <row r="266" ht="15.75" customHeight="1">
      <c r="A266" s="2"/>
      <c r="B266" s="2"/>
      <c r="C266" s="2"/>
      <c r="D266" s="2"/>
      <c r="E266" s="2"/>
      <c r="F266" s="2"/>
      <c r="G266" s="2"/>
      <c r="H266" s="2"/>
      <c r="I266" s="74"/>
      <c r="J266" s="74"/>
      <c r="K266" s="74"/>
      <c r="L266" s="74"/>
      <c r="M266" s="2"/>
      <c r="N266" s="2"/>
      <c r="O266" s="2"/>
      <c r="P266" s="74"/>
      <c r="Q266" s="2"/>
      <c r="R266" s="2"/>
      <c r="S266" s="76"/>
      <c r="T266" s="2"/>
      <c r="U266" s="62"/>
      <c r="V266" s="62"/>
      <c r="W266" s="62"/>
      <c r="X266" s="62"/>
      <c r="Y266" s="62"/>
      <c r="Z266" s="62"/>
    </row>
    <row r="267" ht="15.75" customHeight="1">
      <c r="A267" s="2"/>
      <c r="B267" s="2"/>
      <c r="C267" s="2"/>
      <c r="D267" s="2"/>
      <c r="E267" s="2"/>
      <c r="F267" s="2"/>
      <c r="G267" s="2"/>
      <c r="H267" s="2"/>
      <c r="I267" s="74"/>
      <c r="J267" s="74"/>
      <c r="K267" s="74"/>
      <c r="L267" s="74"/>
      <c r="M267" s="2"/>
      <c r="N267" s="2"/>
      <c r="O267" s="2"/>
      <c r="P267" s="74"/>
      <c r="Q267" s="2"/>
      <c r="R267" s="2"/>
      <c r="S267" s="76"/>
      <c r="T267" s="2"/>
      <c r="U267" s="62"/>
      <c r="V267" s="62"/>
      <c r="W267" s="62"/>
      <c r="X267" s="62"/>
      <c r="Y267" s="62"/>
      <c r="Z267" s="62"/>
    </row>
    <row r="268" ht="15.75" customHeight="1">
      <c r="A268" s="2"/>
      <c r="B268" s="2"/>
      <c r="C268" s="2"/>
      <c r="D268" s="2"/>
      <c r="E268" s="2"/>
      <c r="F268" s="2"/>
      <c r="G268" s="2"/>
      <c r="H268" s="2"/>
      <c r="I268" s="74"/>
      <c r="J268" s="74"/>
      <c r="K268" s="74"/>
      <c r="L268" s="74"/>
      <c r="M268" s="2"/>
      <c r="N268" s="2"/>
      <c r="O268" s="2"/>
      <c r="P268" s="74"/>
      <c r="Q268" s="2"/>
      <c r="R268" s="2"/>
      <c r="S268" s="76"/>
      <c r="T268" s="2"/>
      <c r="U268" s="62"/>
      <c r="V268" s="62"/>
      <c r="W268" s="62"/>
      <c r="X268" s="62"/>
      <c r="Y268" s="62"/>
      <c r="Z268" s="62"/>
    </row>
    <row r="269" ht="15.75" customHeight="1">
      <c r="A269" s="2"/>
      <c r="B269" s="2"/>
      <c r="C269" s="2"/>
      <c r="D269" s="2"/>
      <c r="E269" s="2"/>
      <c r="F269" s="2"/>
      <c r="G269" s="2"/>
      <c r="H269" s="2"/>
      <c r="I269" s="74"/>
      <c r="J269" s="74"/>
      <c r="K269" s="74"/>
      <c r="L269" s="74"/>
      <c r="M269" s="2"/>
      <c r="N269" s="2"/>
      <c r="O269" s="2"/>
      <c r="P269" s="74"/>
      <c r="Q269" s="2"/>
      <c r="R269" s="2"/>
      <c r="S269" s="76"/>
      <c r="T269" s="2"/>
      <c r="U269" s="62"/>
      <c r="V269" s="62"/>
      <c r="W269" s="62"/>
      <c r="X269" s="62"/>
      <c r="Y269" s="62"/>
      <c r="Z269" s="62"/>
    </row>
    <row r="270" ht="15.75" customHeight="1">
      <c r="A270" s="2"/>
      <c r="B270" s="2"/>
      <c r="C270" s="2"/>
      <c r="D270" s="2"/>
      <c r="E270" s="2"/>
      <c r="F270" s="2"/>
      <c r="G270" s="2"/>
      <c r="H270" s="2"/>
      <c r="I270" s="74"/>
      <c r="J270" s="74"/>
      <c r="K270" s="74"/>
      <c r="L270" s="74"/>
      <c r="M270" s="2"/>
      <c r="N270" s="2"/>
      <c r="O270" s="2"/>
      <c r="P270" s="74"/>
      <c r="Q270" s="2"/>
      <c r="R270" s="2"/>
      <c r="S270" s="76"/>
      <c r="T270" s="2"/>
      <c r="U270" s="62"/>
      <c r="V270" s="62"/>
      <c r="W270" s="62"/>
      <c r="X270" s="62"/>
      <c r="Y270" s="62"/>
      <c r="Z270" s="62"/>
    </row>
    <row r="271" ht="15.75" customHeight="1">
      <c r="A271" s="2"/>
      <c r="B271" s="2"/>
      <c r="C271" s="2"/>
      <c r="D271" s="2"/>
      <c r="E271" s="2"/>
      <c r="F271" s="2"/>
      <c r="G271" s="2"/>
      <c r="H271" s="2"/>
      <c r="I271" s="74"/>
      <c r="J271" s="74"/>
      <c r="K271" s="74"/>
      <c r="L271" s="74"/>
      <c r="M271" s="2"/>
      <c r="N271" s="2"/>
      <c r="O271" s="2"/>
      <c r="P271" s="74"/>
      <c r="Q271" s="2"/>
      <c r="R271" s="2"/>
      <c r="S271" s="76"/>
      <c r="T271" s="2"/>
      <c r="U271" s="62"/>
      <c r="V271" s="62"/>
      <c r="W271" s="62"/>
      <c r="X271" s="62"/>
      <c r="Y271" s="62"/>
      <c r="Z271" s="62"/>
    </row>
    <row r="272" ht="15.75" customHeight="1">
      <c r="A272" s="2"/>
      <c r="B272" s="2"/>
      <c r="C272" s="2"/>
      <c r="D272" s="2"/>
      <c r="E272" s="2"/>
      <c r="F272" s="2"/>
      <c r="G272" s="2"/>
      <c r="H272" s="2"/>
      <c r="I272" s="74"/>
      <c r="J272" s="74"/>
      <c r="K272" s="74"/>
      <c r="L272" s="74"/>
      <c r="M272" s="2"/>
      <c r="N272" s="2"/>
      <c r="O272" s="2"/>
      <c r="P272" s="74"/>
      <c r="Q272" s="2"/>
      <c r="R272" s="2"/>
      <c r="S272" s="76"/>
      <c r="T272" s="2"/>
      <c r="U272" s="62"/>
      <c r="V272" s="62"/>
      <c r="W272" s="62"/>
      <c r="X272" s="62"/>
      <c r="Y272" s="62"/>
      <c r="Z272" s="62"/>
    </row>
    <row r="273" ht="15.75" customHeight="1">
      <c r="A273" s="2"/>
      <c r="B273" s="2"/>
      <c r="C273" s="2"/>
      <c r="D273" s="2"/>
      <c r="E273" s="2"/>
      <c r="F273" s="2"/>
      <c r="G273" s="2"/>
      <c r="H273" s="2"/>
      <c r="I273" s="74"/>
      <c r="J273" s="74"/>
      <c r="K273" s="74"/>
      <c r="L273" s="74"/>
      <c r="M273" s="2"/>
      <c r="N273" s="2"/>
      <c r="O273" s="2"/>
      <c r="P273" s="74"/>
      <c r="Q273" s="2"/>
      <c r="R273" s="2"/>
      <c r="S273" s="76"/>
      <c r="T273" s="2"/>
      <c r="U273" s="62"/>
      <c r="V273" s="62"/>
      <c r="W273" s="62"/>
      <c r="X273" s="62"/>
      <c r="Y273" s="62"/>
      <c r="Z273" s="62"/>
    </row>
    <row r="274" ht="15.75" customHeight="1">
      <c r="A274" s="2"/>
      <c r="B274" s="2"/>
      <c r="C274" s="2"/>
      <c r="D274" s="2"/>
      <c r="E274" s="2"/>
      <c r="F274" s="2"/>
      <c r="G274" s="2"/>
      <c r="H274" s="2"/>
      <c r="I274" s="74"/>
      <c r="J274" s="74"/>
      <c r="K274" s="74"/>
      <c r="L274" s="74"/>
      <c r="M274" s="2"/>
      <c r="N274" s="2"/>
      <c r="O274" s="2"/>
      <c r="P274" s="74"/>
      <c r="Q274" s="2"/>
      <c r="R274" s="2"/>
      <c r="S274" s="76"/>
      <c r="T274" s="2"/>
      <c r="U274" s="62"/>
      <c r="V274" s="62"/>
      <c r="W274" s="62"/>
      <c r="X274" s="62"/>
      <c r="Y274" s="62"/>
      <c r="Z274" s="62"/>
    </row>
    <row r="275" ht="15.75" customHeight="1">
      <c r="A275" s="2"/>
      <c r="B275" s="2"/>
      <c r="C275" s="2"/>
      <c r="D275" s="2"/>
      <c r="E275" s="2"/>
      <c r="F275" s="2"/>
      <c r="G275" s="2"/>
      <c r="H275" s="2"/>
      <c r="I275" s="74"/>
      <c r="J275" s="74"/>
      <c r="K275" s="74"/>
      <c r="L275" s="74"/>
      <c r="M275" s="2"/>
      <c r="N275" s="2"/>
      <c r="O275" s="2"/>
      <c r="P275" s="74"/>
      <c r="Q275" s="2"/>
      <c r="R275" s="2"/>
      <c r="S275" s="76"/>
      <c r="T275" s="2"/>
      <c r="U275" s="62"/>
      <c r="V275" s="62"/>
      <c r="W275" s="62"/>
      <c r="X275" s="62"/>
      <c r="Y275" s="62"/>
      <c r="Z275" s="62"/>
    </row>
    <row r="276" ht="15.75" customHeight="1">
      <c r="A276" s="2"/>
      <c r="B276" s="2"/>
      <c r="C276" s="2"/>
      <c r="D276" s="2"/>
      <c r="E276" s="2"/>
      <c r="F276" s="2"/>
      <c r="G276" s="2"/>
      <c r="H276" s="2"/>
      <c r="I276" s="74"/>
      <c r="J276" s="74"/>
      <c r="K276" s="74"/>
      <c r="L276" s="74"/>
      <c r="M276" s="2"/>
      <c r="N276" s="2"/>
      <c r="O276" s="2"/>
      <c r="P276" s="74"/>
      <c r="Q276" s="2"/>
      <c r="R276" s="2"/>
      <c r="S276" s="76"/>
      <c r="T276" s="2"/>
      <c r="U276" s="62"/>
      <c r="V276" s="62"/>
      <c r="W276" s="62"/>
      <c r="X276" s="62"/>
      <c r="Y276" s="62"/>
      <c r="Z276" s="62"/>
    </row>
    <row r="277" ht="15.75" customHeight="1">
      <c r="A277" s="2"/>
      <c r="B277" s="2"/>
      <c r="C277" s="2"/>
      <c r="D277" s="2"/>
      <c r="E277" s="2"/>
      <c r="F277" s="2"/>
      <c r="G277" s="2"/>
      <c r="H277" s="2"/>
      <c r="I277" s="74"/>
      <c r="J277" s="74"/>
      <c r="K277" s="74"/>
      <c r="L277" s="74"/>
      <c r="M277" s="2"/>
      <c r="N277" s="2"/>
      <c r="O277" s="2"/>
      <c r="P277" s="74"/>
      <c r="Q277" s="2"/>
      <c r="R277" s="2"/>
      <c r="S277" s="76"/>
      <c r="T277" s="2"/>
      <c r="U277" s="62"/>
      <c r="V277" s="62"/>
      <c r="W277" s="62"/>
      <c r="X277" s="62"/>
      <c r="Y277" s="62"/>
      <c r="Z277" s="62"/>
    </row>
    <row r="278" ht="15.75" customHeight="1">
      <c r="A278" s="2"/>
      <c r="B278" s="2"/>
      <c r="C278" s="2"/>
      <c r="D278" s="2"/>
      <c r="E278" s="2"/>
      <c r="F278" s="2"/>
      <c r="G278" s="2"/>
      <c r="H278" s="2"/>
      <c r="I278" s="74"/>
      <c r="J278" s="74"/>
      <c r="K278" s="74"/>
      <c r="L278" s="74"/>
      <c r="M278" s="2"/>
      <c r="N278" s="2"/>
      <c r="O278" s="2"/>
      <c r="P278" s="74"/>
      <c r="Q278" s="2"/>
      <c r="R278" s="2"/>
      <c r="S278" s="76"/>
      <c r="T278" s="2"/>
      <c r="U278" s="62"/>
      <c r="V278" s="62"/>
      <c r="W278" s="62"/>
      <c r="X278" s="62"/>
      <c r="Y278" s="62"/>
      <c r="Z278" s="62"/>
    </row>
    <row r="279" ht="15.75" customHeight="1">
      <c r="A279" s="2"/>
      <c r="B279" s="2"/>
      <c r="C279" s="2"/>
      <c r="D279" s="2"/>
      <c r="E279" s="2"/>
      <c r="F279" s="2"/>
      <c r="G279" s="2"/>
      <c r="H279" s="2"/>
      <c r="I279" s="74"/>
      <c r="J279" s="74"/>
      <c r="K279" s="74"/>
      <c r="L279" s="74"/>
      <c r="M279" s="2"/>
      <c r="N279" s="2"/>
      <c r="O279" s="2"/>
      <c r="P279" s="74"/>
      <c r="Q279" s="2"/>
      <c r="R279" s="2"/>
      <c r="S279" s="76"/>
      <c r="T279" s="2"/>
      <c r="U279" s="62"/>
      <c r="V279" s="62"/>
      <c r="W279" s="62"/>
      <c r="X279" s="62"/>
      <c r="Y279" s="62"/>
      <c r="Z279" s="62"/>
    </row>
    <row r="280" ht="15.75" customHeight="1">
      <c r="A280" s="2"/>
      <c r="B280" s="2"/>
      <c r="C280" s="2"/>
      <c r="D280" s="2"/>
      <c r="E280" s="2"/>
      <c r="F280" s="2"/>
      <c r="G280" s="2"/>
      <c r="H280" s="2"/>
      <c r="I280" s="74"/>
      <c r="J280" s="74"/>
      <c r="K280" s="74"/>
      <c r="L280" s="74"/>
      <c r="M280" s="2"/>
      <c r="N280" s="2"/>
      <c r="O280" s="2"/>
      <c r="P280" s="74"/>
      <c r="Q280" s="2"/>
      <c r="R280" s="2"/>
      <c r="S280" s="76"/>
      <c r="T280" s="2"/>
      <c r="U280" s="62"/>
      <c r="V280" s="62"/>
      <c r="W280" s="62"/>
      <c r="X280" s="62"/>
      <c r="Y280" s="62"/>
      <c r="Z280" s="62"/>
    </row>
    <row r="281" ht="15.75" customHeight="1">
      <c r="A281" s="2"/>
      <c r="B281" s="2"/>
      <c r="C281" s="2"/>
      <c r="D281" s="2"/>
      <c r="E281" s="2"/>
      <c r="F281" s="2"/>
      <c r="G281" s="2"/>
      <c r="H281" s="2"/>
      <c r="I281" s="74"/>
      <c r="J281" s="74"/>
      <c r="K281" s="74"/>
      <c r="L281" s="74"/>
      <c r="M281" s="2"/>
      <c r="N281" s="2"/>
      <c r="O281" s="2"/>
      <c r="P281" s="74"/>
      <c r="Q281" s="2"/>
      <c r="R281" s="2"/>
      <c r="S281" s="76"/>
      <c r="T281" s="2"/>
      <c r="U281" s="62"/>
      <c r="V281" s="62"/>
      <c r="W281" s="62"/>
      <c r="X281" s="62"/>
      <c r="Y281" s="62"/>
      <c r="Z281" s="62"/>
    </row>
    <row r="282" ht="15.75" customHeight="1">
      <c r="A282" s="2"/>
      <c r="B282" s="2"/>
      <c r="C282" s="2"/>
      <c r="D282" s="2"/>
      <c r="E282" s="2"/>
      <c r="F282" s="2"/>
      <c r="G282" s="2"/>
      <c r="H282" s="2"/>
      <c r="I282" s="74"/>
      <c r="J282" s="74"/>
      <c r="K282" s="74"/>
      <c r="L282" s="74"/>
      <c r="M282" s="2"/>
      <c r="N282" s="2"/>
      <c r="O282" s="2"/>
      <c r="P282" s="74"/>
      <c r="Q282" s="2"/>
      <c r="R282" s="2"/>
      <c r="S282" s="76"/>
      <c r="T282" s="2"/>
      <c r="U282" s="62"/>
      <c r="V282" s="62"/>
      <c r="W282" s="62"/>
      <c r="X282" s="62"/>
      <c r="Y282" s="62"/>
      <c r="Z282" s="62"/>
    </row>
    <row r="283" ht="15.75" customHeight="1">
      <c r="A283" s="2"/>
      <c r="B283" s="2"/>
      <c r="C283" s="2"/>
      <c r="D283" s="2"/>
      <c r="E283" s="2"/>
      <c r="F283" s="2"/>
      <c r="G283" s="2"/>
      <c r="H283" s="2"/>
      <c r="I283" s="74"/>
      <c r="J283" s="74"/>
      <c r="K283" s="74"/>
      <c r="L283" s="74"/>
      <c r="M283" s="2"/>
      <c r="N283" s="2"/>
      <c r="O283" s="2"/>
      <c r="P283" s="74"/>
      <c r="Q283" s="2"/>
      <c r="R283" s="2"/>
      <c r="S283" s="76"/>
      <c r="T283" s="2"/>
      <c r="U283" s="62"/>
      <c r="V283" s="62"/>
      <c r="W283" s="62"/>
      <c r="X283" s="62"/>
      <c r="Y283" s="62"/>
      <c r="Z283" s="62"/>
    </row>
    <row r="284" ht="15.75" customHeight="1">
      <c r="A284" s="2"/>
      <c r="B284" s="2"/>
      <c r="C284" s="2"/>
      <c r="D284" s="2"/>
      <c r="E284" s="2"/>
      <c r="F284" s="2"/>
      <c r="G284" s="2"/>
      <c r="H284" s="2"/>
      <c r="I284" s="74"/>
      <c r="J284" s="74"/>
      <c r="K284" s="74"/>
      <c r="L284" s="74"/>
      <c r="M284" s="2"/>
      <c r="N284" s="2"/>
      <c r="O284" s="2"/>
      <c r="P284" s="74"/>
      <c r="Q284" s="2"/>
      <c r="R284" s="2"/>
      <c r="S284" s="76"/>
      <c r="T284" s="2"/>
      <c r="U284" s="62"/>
      <c r="V284" s="62"/>
      <c r="W284" s="62"/>
      <c r="X284" s="62"/>
      <c r="Y284" s="62"/>
      <c r="Z284" s="62"/>
    </row>
    <row r="285" ht="15.75" customHeight="1">
      <c r="A285" s="2"/>
      <c r="B285" s="2"/>
      <c r="C285" s="2"/>
      <c r="D285" s="2"/>
      <c r="E285" s="2"/>
      <c r="F285" s="2"/>
      <c r="G285" s="2"/>
      <c r="H285" s="2"/>
      <c r="I285" s="74"/>
      <c r="J285" s="74"/>
      <c r="K285" s="74"/>
      <c r="L285" s="74"/>
      <c r="M285" s="2"/>
      <c r="N285" s="2"/>
      <c r="O285" s="2"/>
      <c r="P285" s="74"/>
      <c r="Q285" s="2"/>
      <c r="R285" s="2"/>
      <c r="S285" s="76"/>
      <c r="T285" s="2"/>
      <c r="U285" s="62"/>
      <c r="V285" s="62"/>
      <c r="W285" s="62"/>
      <c r="X285" s="62"/>
      <c r="Y285" s="62"/>
      <c r="Z285" s="62"/>
    </row>
    <row r="286" ht="15.75" customHeight="1">
      <c r="A286" s="2"/>
      <c r="B286" s="2"/>
      <c r="C286" s="2"/>
      <c r="D286" s="2"/>
      <c r="E286" s="2"/>
      <c r="F286" s="2"/>
      <c r="G286" s="2"/>
      <c r="H286" s="2"/>
      <c r="I286" s="74"/>
      <c r="J286" s="74"/>
      <c r="K286" s="74"/>
      <c r="L286" s="74"/>
      <c r="M286" s="2"/>
      <c r="N286" s="2"/>
      <c r="O286" s="2"/>
      <c r="P286" s="74"/>
      <c r="Q286" s="2"/>
      <c r="R286" s="2"/>
      <c r="S286" s="76"/>
      <c r="T286" s="2"/>
      <c r="U286" s="62"/>
      <c r="V286" s="62"/>
      <c r="W286" s="62"/>
      <c r="X286" s="62"/>
      <c r="Y286" s="62"/>
      <c r="Z286" s="62"/>
    </row>
    <row r="287" ht="15.75" customHeight="1">
      <c r="A287" s="2"/>
      <c r="B287" s="2"/>
      <c r="C287" s="2"/>
      <c r="D287" s="2"/>
      <c r="E287" s="2"/>
      <c r="F287" s="2"/>
      <c r="G287" s="2"/>
      <c r="H287" s="2"/>
      <c r="I287" s="74"/>
      <c r="J287" s="74"/>
      <c r="K287" s="74"/>
      <c r="L287" s="74"/>
      <c r="M287" s="2"/>
      <c r="N287" s="2"/>
      <c r="O287" s="2"/>
      <c r="P287" s="74"/>
      <c r="Q287" s="2"/>
      <c r="R287" s="2"/>
      <c r="S287" s="76"/>
      <c r="T287" s="2"/>
      <c r="U287" s="62"/>
      <c r="V287" s="62"/>
      <c r="W287" s="62"/>
      <c r="X287" s="62"/>
      <c r="Y287" s="62"/>
      <c r="Z287" s="62"/>
    </row>
    <row r="288" ht="15.75" customHeight="1">
      <c r="A288" s="2"/>
      <c r="B288" s="2"/>
      <c r="C288" s="2"/>
      <c r="D288" s="2"/>
      <c r="E288" s="2"/>
      <c r="F288" s="2"/>
      <c r="G288" s="2"/>
      <c r="H288" s="2"/>
      <c r="I288" s="74"/>
      <c r="J288" s="74"/>
      <c r="K288" s="74"/>
      <c r="L288" s="74"/>
      <c r="M288" s="2"/>
      <c r="N288" s="2"/>
      <c r="O288" s="2"/>
      <c r="P288" s="74"/>
      <c r="Q288" s="2"/>
      <c r="R288" s="2"/>
      <c r="S288" s="76"/>
      <c r="T288" s="2"/>
      <c r="U288" s="62"/>
      <c r="V288" s="62"/>
      <c r="W288" s="62"/>
      <c r="X288" s="62"/>
      <c r="Y288" s="62"/>
      <c r="Z288" s="62"/>
    </row>
    <row r="289" ht="15.75" customHeight="1">
      <c r="A289" s="2"/>
      <c r="B289" s="2"/>
      <c r="C289" s="2"/>
      <c r="D289" s="2"/>
      <c r="E289" s="2"/>
      <c r="F289" s="2"/>
      <c r="G289" s="2"/>
      <c r="H289" s="2"/>
      <c r="I289" s="74"/>
      <c r="J289" s="74"/>
      <c r="K289" s="74"/>
      <c r="L289" s="74"/>
      <c r="M289" s="2"/>
      <c r="N289" s="2"/>
      <c r="O289" s="2"/>
      <c r="P289" s="74"/>
      <c r="Q289" s="2"/>
      <c r="R289" s="2"/>
      <c r="S289" s="76"/>
      <c r="T289" s="2"/>
      <c r="U289" s="62"/>
      <c r="V289" s="62"/>
      <c r="W289" s="62"/>
      <c r="X289" s="62"/>
      <c r="Y289" s="62"/>
      <c r="Z289" s="62"/>
    </row>
    <row r="290" ht="15.75" customHeight="1">
      <c r="A290" s="2"/>
      <c r="B290" s="2"/>
      <c r="C290" s="2"/>
      <c r="D290" s="2"/>
      <c r="E290" s="2"/>
      <c r="F290" s="2"/>
      <c r="G290" s="2"/>
      <c r="H290" s="2"/>
      <c r="I290" s="74"/>
      <c r="J290" s="74"/>
      <c r="K290" s="74"/>
      <c r="L290" s="74"/>
      <c r="M290" s="2"/>
      <c r="N290" s="2"/>
      <c r="O290" s="2"/>
      <c r="P290" s="74"/>
      <c r="Q290" s="2"/>
      <c r="R290" s="2"/>
      <c r="S290" s="76"/>
      <c r="T290" s="2"/>
      <c r="U290" s="62"/>
      <c r="V290" s="62"/>
      <c r="W290" s="62"/>
      <c r="X290" s="62"/>
      <c r="Y290" s="62"/>
      <c r="Z290" s="62"/>
    </row>
    <row r="291" ht="15.75" customHeight="1">
      <c r="A291" s="2"/>
      <c r="B291" s="2"/>
      <c r="C291" s="2"/>
      <c r="D291" s="2"/>
      <c r="E291" s="2"/>
      <c r="F291" s="2"/>
      <c r="G291" s="2"/>
      <c r="H291" s="2"/>
      <c r="I291" s="74"/>
      <c r="J291" s="74"/>
      <c r="K291" s="74"/>
      <c r="L291" s="74"/>
      <c r="M291" s="2"/>
      <c r="N291" s="2"/>
      <c r="O291" s="2"/>
      <c r="P291" s="74"/>
      <c r="Q291" s="2"/>
      <c r="R291" s="2"/>
      <c r="S291" s="76"/>
      <c r="T291" s="2"/>
      <c r="U291" s="62"/>
      <c r="V291" s="62"/>
      <c r="W291" s="62"/>
      <c r="X291" s="62"/>
      <c r="Y291" s="62"/>
      <c r="Z291" s="62"/>
    </row>
    <row r="292" ht="15.75" customHeight="1">
      <c r="A292" s="2"/>
      <c r="B292" s="2"/>
      <c r="C292" s="2"/>
      <c r="D292" s="2"/>
      <c r="E292" s="2"/>
      <c r="F292" s="2"/>
      <c r="G292" s="2"/>
      <c r="H292" s="2"/>
      <c r="I292" s="74"/>
      <c r="J292" s="74"/>
      <c r="K292" s="74"/>
      <c r="L292" s="74"/>
      <c r="M292" s="2"/>
      <c r="N292" s="2"/>
      <c r="O292" s="2"/>
      <c r="P292" s="74"/>
      <c r="Q292" s="2"/>
      <c r="R292" s="2"/>
      <c r="S292" s="76"/>
      <c r="T292" s="2"/>
      <c r="U292" s="62"/>
      <c r="V292" s="62"/>
      <c r="W292" s="62"/>
      <c r="X292" s="62"/>
      <c r="Y292" s="62"/>
      <c r="Z292" s="62"/>
    </row>
    <row r="293" ht="15.75" customHeight="1">
      <c r="A293" s="2"/>
      <c r="B293" s="2"/>
      <c r="C293" s="2"/>
      <c r="D293" s="2"/>
      <c r="E293" s="2"/>
      <c r="F293" s="2"/>
      <c r="G293" s="2"/>
      <c r="H293" s="2"/>
      <c r="I293" s="74"/>
      <c r="J293" s="74"/>
      <c r="K293" s="74"/>
      <c r="L293" s="74"/>
      <c r="M293" s="2"/>
      <c r="N293" s="2"/>
      <c r="O293" s="2"/>
      <c r="P293" s="74"/>
      <c r="Q293" s="2"/>
      <c r="R293" s="2"/>
      <c r="S293" s="76"/>
      <c r="T293" s="2"/>
      <c r="U293" s="62"/>
      <c r="V293" s="62"/>
      <c r="W293" s="62"/>
      <c r="X293" s="62"/>
      <c r="Y293" s="62"/>
      <c r="Z293" s="62"/>
    </row>
    <row r="294" ht="15.75" customHeight="1">
      <c r="A294" s="2"/>
      <c r="B294" s="2"/>
      <c r="C294" s="2"/>
      <c r="D294" s="2"/>
      <c r="E294" s="2"/>
      <c r="F294" s="2"/>
      <c r="G294" s="2"/>
      <c r="H294" s="2"/>
      <c r="I294" s="74"/>
      <c r="J294" s="74"/>
      <c r="K294" s="74"/>
      <c r="L294" s="74"/>
      <c r="M294" s="2"/>
      <c r="N294" s="2"/>
      <c r="O294" s="2"/>
      <c r="P294" s="74"/>
      <c r="Q294" s="2"/>
      <c r="R294" s="2"/>
      <c r="S294" s="76"/>
      <c r="T294" s="2"/>
      <c r="U294" s="62"/>
      <c r="V294" s="62"/>
      <c r="W294" s="62"/>
      <c r="X294" s="62"/>
      <c r="Y294" s="62"/>
      <c r="Z294" s="62"/>
    </row>
    <row r="295" ht="15.75" customHeight="1">
      <c r="A295" s="2"/>
      <c r="B295" s="2"/>
      <c r="C295" s="2"/>
      <c r="D295" s="2"/>
      <c r="E295" s="2"/>
      <c r="F295" s="2"/>
      <c r="G295" s="2"/>
      <c r="H295" s="2"/>
      <c r="I295" s="74"/>
      <c r="J295" s="74"/>
      <c r="K295" s="74"/>
      <c r="L295" s="74"/>
      <c r="M295" s="2"/>
      <c r="N295" s="2"/>
      <c r="O295" s="2"/>
      <c r="P295" s="74"/>
      <c r="Q295" s="2"/>
      <c r="R295" s="2"/>
      <c r="S295" s="76"/>
      <c r="T295" s="2"/>
      <c r="U295" s="62"/>
      <c r="V295" s="62"/>
      <c r="W295" s="62"/>
      <c r="X295" s="62"/>
      <c r="Y295" s="62"/>
      <c r="Z295" s="62"/>
    </row>
    <row r="296" ht="15.75" customHeight="1">
      <c r="A296" s="2"/>
      <c r="B296" s="2"/>
      <c r="C296" s="2"/>
      <c r="D296" s="2"/>
      <c r="E296" s="2"/>
      <c r="F296" s="2"/>
      <c r="G296" s="2"/>
      <c r="H296" s="2"/>
      <c r="I296" s="74"/>
      <c r="J296" s="74"/>
      <c r="K296" s="74"/>
      <c r="L296" s="74"/>
      <c r="M296" s="2"/>
      <c r="N296" s="2"/>
      <c r="O296" s="2"/>
      <c r="P296" s="74"/>
      <c r="Q296" s="2"/>
      <c r="R296" s="2"/>
      <c r="S296" s="76"/>
      <c r="T296" s="2"/>
      <c r="U296" s="62"/>
      <c r="V296" s="62"/>
      <c r="W296" s="62"/>
      <c r="X296" s="62"/>
      <c r="Y296" s="62"/>
      <c r="Z296" s="62"/>
    </row>
    <row r="297" ht="15.75" customHeight="1">
      <c r="A297" s="2"/>
      <c r="B297" s="2"/>
      <c r="C297" s="2"/>
      <c r="D297" s="2"/>
      <c r="E297" s="2"/>
      <c r="F297" s="2"/>
      <c r="G297" s="2"/>
      <c r="H297" s="2"/>
      <c r="I297" s="74"/>
      <c r="J297" s="74"/>
      <c r="K297" s="74"/>
      <c r="L297" s="74"/>
      <c r="M297" s="2"/>
      <c r="N297" s="2"/>
      <c r="O297" s="2"/>
      <c r="P297" s="74"/>
      <c r="Q297" s="2"/>
      <c r="R297" s="2"/>
      <c r="S297" s="76"/>
      <c r="T297" s="2"/>
      <c r="U297" s="62"/>
      <c r="V297" s="62"/>
      <c r="W297" s="62"/>
      <c r="X297" s="62"/>
      <c r="Y297" s="62"/>
      <c r="Z297" s="62"/>
    </row>
    <row r="298" ht="15.75" customHeight="1">
      <c r="A298" s="2"/>
      <c r="B298" s="2"/>
      <c r="C298" s="2"/>
      <c r="D298" s="2"/>
      <c r="E298" s="2"/>
      <c r="F298" s="2"/>
      <c r="G298" s="2"/>
      <c r="H298" s="2"/>
      <c r="I298" s="74"/>
      <c r="J298" s="74"/>
      <c r="K298" s="74"/>
      <c r="L298" s="74"/>
      <c r="M298" s="2"/>
      <c r="N298" s="2"/>
      <c r="O298" s="2"/>
      <c r="P298" s="74"/>
      <c r="Q298" s="2"/>
      <c r="R298" s="2"/>
      <c r="S298" s="76"/>
      <c r="T298" s="2"/>
      <c r="U298" s="62"/>
      <c r="V298" s="62"/>
      <c r="W298" s="62"/>
      <c r="X298" s="62"/>
      <c r="Y298" s="62"/>
      <c r="Z298" s="62"/>
    </row>
    <row r="299" ht="15.75" customHeight="1">
      <c r="A299" s="2"/>
      <c r="B299" s="2"/>
      <c r="C299" s="2"/>
      <c r="D299" s="2"/>
      <c r="E299" s="2"/>
      <c r="F299" s="2"/>
      <c r="G299" s="2"/>
      <c r="H299" s="2"/>
      <c r="I299" s="74"/>
      <c r="J299" s="74"/>
      <c r="K299" s="74"/>
      <c r="L299" s="74"/>
      <c r="M299" s="2"/>
      <c r="N299" s="2"/>
      <c r="O299" s="2"/>
      <c r="P299" s="74"/>
      <c r="Q299" s="2"/>
      <c r="R299" s="2"/>
      <c r="S299" s="76"/>
      <c r="T299" s="2"/>
      <c r="U299" s="62"/>
      <c r="V299" s="62"/>
      <c r="W299" s="62"/>
      <c r="X299" s="62"/>
      <c r="Y299" s="62"/>
      <c r="Z299" s="62"/>
    </row>
    <row r="300" ht="15.75" customHeight="1">
      <c r="A300" s="2"/>
      <c r="B300" s="2"/>
      <c r="C300" s="2"/>
      <c r="D300" s="2"/>
      <c r="E300" s="2"/>
      <c r="F300" s="2"/>
      <c r="G300" s="2"/>
      <c r="H300" s="2"/>
      <c r="I300" s="74"/>
      <c r="J300" s="74"/>
      <c r="K300" s="74"/>
      <c r="L300" s="74"/>
      <c r="M300" s="2"/>
      <c r="N300" s="2"/>
      <c r="O300" s="2"/>
      <c r="P300" s="74"/>
      <c r="Q300" s="2"/>
      <c r="R300" s="2"/>
      <c r="S300" s="76"/>
      <c r="T300" s="2"/>
      <c r="U300" s="62"/>
      <c r="V300" s="62"/>
      <c r="W300" s="62"/>
      <c r="X300" s="62"/>
      <c r="Y300" s="62"/>
      <c r="Z300" s="62"/>
    </row>
    <row r="301" ht="15.75" customHeight="1">
      <c r="A301" s="2"/>
      <c r="B301" s="2"/>
      <c r="C301" s="2"/>
      <c r="D301" s="2"/>
      <c r="E301" s="2"/>
      <c r="F301" s="2"/>
      <c r="G301" s="2"/>
      <c r="H301" s="2"/>
      <c r="I301" s="74"/>
      <c r="J301" s="74"/>
      <c r="K301" s="74"/>
      <c r="L301" s="74"/>
      <c r="M301" s="2"/>
      <c r="N301" s="2"/>
      <c r="O301" s="2"/>
      <c r="P301" s="74"/>
      <c r="Q301" s="2"/>
      <c r="R301" s="2"/>
      <c r="S301" s="76"/>
      <c r="T301" s="2"/>
      <c r="U301" s="62"/>
      <c r="V301" s="62"/>
      <c r="W301" s="62"/>
      <c r="X301" s="62"/>
      <c r="Y301" s="62"/>
      <c r="Z301" s="62"/>
    </row>
    <row r="302" ht="15.75" customHeight="1">
      <c r="A302" s="2"/>
      <c r="B302" s="2"/>
      <c r="C302" s="2"/>
      <c r="D302" s="2"/>
      <c r="E302" s="2"/>
      <c r="F302" s="2"/>
      <c r="G302" s="2"/>
      <c r="H302" s="2"/>
      <c r="I302" s="74"/>
      <c r="J302" s="74"/>
      <c r="K302" s="74"/>
      <c r="L302" s="74"/>
      <c r="M302" s="2"/>
      <c r="N302" s="2"/>
      <c r="O302" s="2"/>
      <c r="P302" s="74"/>
      <c r="Q302" s="2"/>
      <c r="R302" s="2"/>
      <c r="S302" s="76"/>
      <c r="T302" s="2"/>
      <c r="U302" s="62"/>
      <c r="V302" s="62"/>
      <c r="W302" s="62"/>
      <c r="X302" s="62"/>
      <c r="Y302" s="62"/>
      <c r="Z302" s="62"/>
    </row>
    <row r="303" ht="15.75" customHeight="1">
      <c r="A303" s="2"/>
      <c r="B303" s="2"/>
      <c r="C303" s="2"/>
      <c r="D303" s="2"/>
      <c r="E303" s="2"/>
      <c r="F303" s="2"/>
      <c r="G303" s="2"/>
      <c r="H303" s="2"/>
      <c r="I303" s="74"/>
      <c r="J303" s="74"/>
      <c r="K303" s="74"/>
      <c r="L303" s="74"/>
      <c r="M303" s="2"/>
      <c r="N303" s="2"/>
      <c r="O303" s="2"/>
      <c r="P303" s="74"/>
      <c r="Q303" s="2"/>
      <c r="R303" s="2"/>
      <c r="S303" s="76"/>
      <c r="T303" s="2"/>
      <c r="U303" s="62"/>
      <c r="V303" s="62"/>
      <c r="W303" s="62"/>
      <c r="X303" s="62"/>
      <c r="Y303" s="62"/>
      <c r="Z303" s="62"/>
    </row>
    <row r="304" ht="15.75" customHeight="1">
      <c r="A304" s="2"/>
      <c r="B304" s="2"/>
      <c r="C304" s="2"/>
      <c r="D304" s="2"/>
      <c r="E304" s="2"/>
      <c r="F304" s="2"/>
      <c r="G304" s="2"/>
      <c r="H304" s="2"/>
      <c r="I304" s="74"/>
      <c r="J304" s="74"/>
      <c r="K304" s="74"/>
      <c r="L304" s="74"/>
      <c r="M304" s="2"/>
      <c r="N304" s="2"/>
      <c r="O304" s="2"/>
      <c r="P304" s="74"/>
      <c r="Q304" s="2"/>
      <c r="R304" s="2"/>
      <c r="S304" s="76"/>
      <c r="T304" s="2"/>
      <c r="U304" s="62"/>
      <c r="V304" s="62"/>
      <c r="W304" s="62"/>
      <c r="X304" s="62"/>
      <c r="Y304" s="62"/>
      <c r="Z304" s="62"/>
    </row>
    <row r="305" ht="15.75" customHeight="1">
      <c r="A305" s="2"/>
      <c r="B305" s="2"/>
      <c r="C305" s="2"/>
      <c r="D305" s="2"/>
      <c r="E305" s="2"/>
      <c r="F305" s="2"/>
      <c r="G305" s="2"/>
      <c r="H305" s="2"/>
      <c r="I305" s="74"/>
      <c r="J305" s="74"/>
      <c r="K305" s="74"/>
      <c r="L305" s="74"/>
      <c r="M305" s="2"/>
      <c r="N305" s="2"/>
      <c r="O305" s="2"/>
      <c r="P305" s="74"/>
      <c r="Q305" s="2"/>
      <c r="R305" s="2"/>
      <c r="S305" s="76"/>
      <c r="T305" s="2"/>
      <c r="U305" s="62"/>
      <c r="V305" s="62"/>
      <c r="W305" s="62"/>
      <c r="X305" s="62"/>
      <c r="Y305" s="62"/>
      <c r="Z305" s="62"/>
    </row>
    <row r="306" ht="15.75" customHeight="1">
      <c r="A306" s="2"/>
      <c r="B306" s="2"/>
      <c r="C306" s="2"/>
      <c r="D306" s="2"/>
      <c r="E306" s="2"/>
      <c r="F306" s="2"/>
      <c r="G306" s="2"/>
      <c r="H306" s="2"/>
      <c r="I306" s="74"/>
      <c r="J306" s="74"/>
      <c r="K306" s="74"/>
      <c r="L306" s="74"/>
      <c r="M306" s="2"/>
      <c r="N306" s="2"/>
      <c r="O306" s="2"/>
      <c r="P306" s="74"/>
      <c r="Q306" s="2"/>
      <c r="R306" s="2"/>
      <c r="S306" s="76"/>
      <c r="T306" s="2"/>
      <c r="U306" s="62"/>
      <c r="V306" s="62"/>
      <c r="W306" s="62"/>
      <c r="X306" s="62"/>
      <c r="Y306" s="62"/>
      <c r="Z306" s="62"/>
    </row>
    <row r="307" ht="15.75" customHeight="1">
      <c r="A307" s="2"/>
      <c r="B307" s="2"/>
      <c r="C307" s="2"/>
      <c r="D307" s="2"/>
      <c r="E307" s="2"/>
      <c r="F307" s="2"/>
      <c r="G307" s="2"/>
      <c r="H307" s="2"/>
      <c r="I307" s="74"/>
      <c r="J307" s="74"/>
      <c r="K307" s="74"/>
      <c r="L307" s="74"/>
      <c r="M307" s="2"/>
      <c r="N307" s="2"/>
      <c r="O307" s="2"/>
      <c r="P307" s="74"/>
      <c r="Q307" s="2"/>
      <c r="R307" s="2"/>
      <c r="S307" s="76"/>
      <c r="T307" s="2"/>
      <c r="U307" s="62"/>
      <c r="V307" s="62"/>
      <c r="W307" s="62"/>
      <c r="X307" s="62"/>
      <c r="Y307" s="62"/>
      <c r="Z307" s="62"/>
    </row>
    <row r="308" ht="15.75" customHeight="1">
      <c r="A308" s="2"/>
      <c r="B308" s="2"/>
      <c r="C308" s="2"/>
      <c r="D308" s="2"/>
      <c r="E308" s="2"/>
      <c r="F308" s="2"/>
      <c r="G308" s="2"/>
      <c r="H308" s="2"/>
      <c r="I308" s="74"/>
      <c r="J308" s="74"/>
      <c r="K308" s="74"/>
      <c r="L308" s="74"/>
      <c r="M308" s="2"/>
      <c r="N308" s="2"/>
      <c r="O308" s="2"/>
      <c r="P308" s="74"/>
      <c r="Q308" s="2"/>
      <c r="R308" s="2"/>
      <c r="S308" s="76"/>
      <c r="T308" s="2"/>
      <c r="U308" s="62"/>
      <c r="V308" s="62"/>
      <c r="W308" s="62"/>
      <c r="X308" s="62"/>
      <c r="Y308" s="62"/>
      <c r="Z308" s="62"/>
    </row>
    <row r="309" ht="15.75" customHeight="1">
      <c r="A309" s="2"/>
      <c r="B309" s="2"/>
      <c r="C309" s="2"/>
      <c r="D309" s="2"/>
      <c r="E309" s="2"/>
      <c r="F309" s="2"/>
      <c r="G309" s="2"/>
      <c r="H309" s="2"/>
      <c r="I309" s="74"/>
      <c r="J309" s="74"/>
      <c r="K309" s="74"/>
      <c r="L309" s="74"/>
      <c r="M309" s="2"/>
      <c r="N309" s="2"/>
      <c r="O309" s="2"/>
      <c r="P309" s="74"/>
      <c r="Q309" s="2"/>
      <c r="R309" s="2"/>
      <c r="S309" s="76"/>
      <c r="T309" s="2"/>
      <c r="U309" s="62"/>
      <c r="V309" s="62"/>
      <c r="W309" s="62"/>
      <c r="X309" s="62"/>
      <c r="Y309" s="62"/>
      <c r="Z309" s="62"/>
    </row>
    <row r="310" ht="15.75" customHeight="1">
      <c r="A310" s="2"/>
      <c r="B310" s="2"/>
      <c r="C310" s="2"/>
      <c r="D310" s="2"/>
      <c r="E310" s="2"/>
      <c r="F310" s="2"/>
      <c r="G310" s="2"/>
      <c r="H310" s="2"/>
      <c r="I310" s="74"/>
      <c r="J310" s="74"/>
      <c r="K310" s="74"/>
      <c r="L310" s="74"/>
      <c r="M310" s="2"/>
      <c r="N310" s="2"/>
      <c r="O310" s="2"/>
      <c r="P310" s="74"/>
      <c r="Q310" s="2"/>
      <c r="R310" s="2"/>
      <c r="S310" s="76"/>
      <c r="T310" s="2"/>
      <c r="U310" s="62"/>
      <c r="V310" s="62"/>
      <c r="W310" s="62"/>
      <c r="X310" s="62"/>
      <c r="Y310" s="62"/>
      <c r="Z310" s="62"/>
    </row>
    <row r="311" ht="15.75" customHeight="1">
      <c r="A311" s="2"/>
      <c r="B311" s="2"/>
      <c r="C311" s="2"/>
      <c r="D311" s="2"/>
      <c r="E311" s="2"/>
      <c r="F311" s="2"/>
      <c r="G311" s="2"/>
      <c r="H311" s="2"/>
      <c r="I311" s="74"/>
      <c r="J311" s="74"/>
      <c r="K311" s="74"/>
      <c r="L311" s="74"/>
      <c r="M311" s="2"/>
      <c r="N311" s="2"/>
      <c r="O311" s="2"/>
      <c r="P311" s="74"/>
      <c r="Q311" s="2"/>
      <c r="R311" s="2"/>
      <c r="S311" s="76"/>
      <c r="T311" s="2"/>
      <c r="U311" s="62"/>
      <c r="V311" s="62"/>
      <c r="W311" s="62"/>
      <c r="X311" s="62"/>
      <c r="Y311" s="62"/>
      <c r="Z311" s="62"/>
    </row>
    <row r="312" ht="15.75" customHeight="1">
      <c r="A312" s="2"/>
      <c r="B312" s="2"/>
      <c r="C312" s="2"/>
      <c r="D312" s="2"/>
      <c r="E312" s="2"/>
      <c r="F312" s="2"/>
      <c r="G312" s="2"/>
      <c r="H312" s="2"/>
      <c r="I312" s="74"/>
      <c r="J312" s="74"/>
      <c r="K312" s="74"/>
      <c r="L312" s="74"/>
      <c r="M312" s="2"/>
      <c r="N312" s="2"/>
      <c r="O312" s="2"/>
      <c r="P312" s="74"/>
      <c r="Q312" s="2"/>
      <c r="R312" s="2"/>
      <c r="S312" s="76"/>
      <c r="T312" s="2"/>
      <c r="U312" s="62"/>
      <c r="V312" s="62"/>
      <c r="W312" s="62"/>
      <c r="X312" s="62"/>
      <c r="Y312" s="62"/>
      <c r="Z312" s="62"/>
    </row>
    <row r="313" ht="15.75" customHeight="1">
      <c r="A313" s="2"/>
      <c r="B313" s="2"/>
      <c r="C313" s="2"/>
      <c r="D313" s="2"/>
      <c r="E313" s="2"/>
      <c r="F313" s="2"/>
      <c r="G313" s="2"/>
      <c r="H313" s="2"/>
      <c r="I313" s="74"/>
      <c r="J313" s="74"/>
      <c r="K313" s="74"/>
      <c r="L313" s="74"/>
      <c r="M313" s="2"/>
      <c r="N313" s="2"/>
      <c r="O313" s="2"/>
      <c r="P313" s="74"/>
      <c r="Q313" s="2"/>
      <c r="R313" s="2"/>
      <c r="S313" s="76"/>
      <c r="T313" s="2"/>
      <c r="U313" s="62"/>
      <c r="V313" s="62"/>
      <c r="W313" s="62"/>
      <c r="X313" s="62"/>
      <c r="Y313" s="62"/>
      <c r="Z313" s="62"/>
    </row>
    <row r="314" ht="15.75" customHeight="1">
      <c r="A314" s="2"/>
      <c r="B314" s="2"/>
      <c r="C314" s="2"/>
      <c r="D314" s="2"/>
      <c r="E314" s="2"/>
      <c r="F314" s="2"/>
      <c r="G314" s="2"/>
      <c r="H314" s="2"/>
      <c r="I314" s="74"/>
      <c r="J314" s="74"/>
      <c r="K314" s="74"/>
      <c r="L314" s="74"/>
      <c r="M314" s="2"/>
      <c r="N314" s="2"/>
      <c r="O314" s="2"/>
      <c r="P314" s="74"/>
      <c r="Q314" s="2"/>
      <c r="R314" s="2"/>
      <c r="S314" s="76"/>
      <c r="T314" s="2"/>
      <c r="U314" s="62"/>
      <c r="V314" s="62"/>
      <c r="W314" s="62"/>
      <c r="X314" s="62"/>
      <c r="Y314" s="62"/>
      <c r="Z314" s="62"/>
    </row>
    <row r="315" ht="15.75" customHeight="1">
      <c r="A315" s="2"/>
      <c r="B315" s="2"/>
      <c r="C315" s="2"/>
      <c r="D315" s="2"/>
      <c r="E315" s="2"/>
      <c r="F315" s="2"/>
      <c r="G315" s="2"/>
      <c r="H315" s="2"/>
      <c r="I315" s="74"/>
      <c r="J315" s="74"/>
      <c r="K315" s="74"/>
      <c r="L315" s="74"/>
      <c r="M315" s="2"/>
      <c r="N315" s="2"/>
      <c r="O315" s="2"/>
      <c r="P315" s="74"/>
      <c r="Q315" s="2"/>
      <c r="R315" s="2"/>
      <c r="S315" s="76"/>
      <c r="T315" s="2"/>
      <c r="U315" s="62"/>
      <c r="V315" s="62"/>
      <c r="W315" s="62"/>
      <c r="X315" s="62"/>
      <c r="Y315" s="62"/>
      <c r="Z315" s="62"/>
    </row>
    <row r="316" ht="15.75" customHeight="1">
      <c r="A316" s="2"/>
      <c r="B316" s="2"/>
      <c r="C316" s="2"/>
      <c r="D316" s="2"/>
      <c r="E316" s="2"/>
      <c r="F316" s="2"/>
      <c r="G316" s="2"/>
      <c r="H316" s="2"/>
      <c r="I316" s="74"/>
      <c r="J316" s="74"/>
      <c r="K316" s="74"/>
      <c r="L316" s="74"/>
      <c r="M316" s="2"/>
      <c r="N316" s="2"/>
      <c r="O316" s="2"/>
      <c r="P316" s="74"/>
      <c r="Q316" s="2"/>
      <c r="R316" s="2"/>
      <c r="S316" s="76"/>
      <c r="T316" s="2"/>
      <c r="U316" s="62"/>
      <c r="V316" s="62"/>
      <c r="W316" s="62"/>
      <c r="X316" s="62"/>
      <c r="Y316" s="62"/>
      <c r="Z316" s="62"/>
    </row>
    <row r="317" ht="15.75" customHeight="1">
      <c r="A317" s="2"/>
      <c r="B317" s="2"/>
      <c r="C317" s="2"/>
      <c r="D317" s="2"/>
      <c r="E317" s="2"/>
      <c r="F317" s="2"/>
      <c r="G317" s="2"/>
      <c r="H317" s="2"/>
      <c r="I317" s="74"/>
      <c r="J317" s="74"/>
      <c r="K317" s="74"/>
      <c r="L317" s="74"/>
      <c r="M317" s="2"/>
      <c r="N317" s="2"/>
      <c r="O317" s="2"/>
      <c r="P317" s="74"/>
      <c r="Q317" s="2"/>
      <c r="R317" s="2"/>
      <c r="S317" s="76"/>
      <c r="T317" s="2"/>
      <c r="U317" s="62"/>
      <c r="V317" s="62"/>
      <c r="W317" s="62"/>
      <c r="X317" s="62"/>
      <c r="Y317" s="62"/>
      <c r="Z317" s="62"/>
    </row>
    <row r="318" ht="15.75" customHeight="1">
      <c r="A318" s="2"/>
      <c r="B318" s="2"/>
      <c r="C318" s="2"/>
      <c r="D318" s="2"/>
      <c r="E318" s="2"/>
      <c r="F318" s="2"/>
      <c r="G318" s="2"/>
      <c r="H318" s="2"/>
      <c r="I318" s="74"/>
      <c r="J318" s="74"/>
      <c r="K318" s="74"/>
      <c r="L318" s="74"/>
      <c r="M318" s="2"/>
      <c r="N318" s="2"/>
      <c r="O318" s="2"/>
      <c r="P318" s="74"/>
      <c r="Q318" s="2"/>
      <c r="R318" s="2"/>
      <c r="S318" s="76"/>
      <c r="T318" s="2"/>
      <c r="U318" s="62"/>
      <c r="V318" s="62"/>
      <c r="W318" s="62"/>
      <c r="X318" s="62"/>
      <c r="Y318" s="62"/>
      <c r="Z318" s="62"/>
    </row>
    <row r="319" ht="15.75" customHeight="1">
      <c r="A319" s="2"/>
      <c r="B319" s="2"/>
      <c r="C319" s="2"/>
      <c r="D319" s="2"/>
      <c r="E319" s="2"/>
      <c r="F319" s="2"/>
      <c r="G319" s="2"/>
      <c r="H319" s="2"/>
      <c r="I319" s="74"/>
      <c r="J319" s="74"/>
      <c r="K319" s="74"/>
      <c r="L319" s="74"/>
      <c r="M319" s="2"/>
      <c r="N319" s="2"/>
      <c r="O319" s="2"/>
      <c r="P319" s="74"/>
      <c r="Q319" s="2"/>
      <c r="R319" s="2"/>
      <c r="S319" s="76"/>
      <c r="T319" s="2"/>
      <c r="U319" s="62"/>
      <c r="V319" s="62"/>
      <c r="W319" s="62"/>
      <c r="X319" s="62"/>
      <c r="Y319" s="62"/>
      <c r="Z319" s="62"/>
    </row>
    <row r="320" ht="15.75" customHeight="1">
      <c r="A320" s="2"/>
      <c r="B320" s="2"/>
      <c r="C320" s="2"/>
      <c r="D320" s="2"/>
      <c r="E320" s="2"/>
      <c r="F320" s="2"/>
      <c r="G320" s="2"/>
      <c r="H320" s="2"/>
      <c r="I320" s="74"/>
      <c r="J320" s="74"/>
      <c r="K320" s="74"/>
      <c r="L320" s="74"/>
      <c r="M320" s="2"/>
      <c r="N320" s="2"/>
      <c r="O320" s="2"/>
      <c r="P320" s="74"/>
      <c r="Q320" s="2"/>
      <c r="R320" s="2"/>
      <c r="S320" s="76"/>
      <c r="T320" s="2"/>
      <c r="U320" s="62"/>
      <c r="V320" s="62"/>
      <c r="W320" s="62"/>
      <c r="X320" s="62"/>
      <c r="Y320" s="62"/>
      <c r="Z320" s="62"/>
    </row>
    <row r="321" ht="15.75" customHeight="1">
      <c r="A321" s="2"/>
      <c r="B321" s="2"/>
      <c r="C321" s="2"/>
      <c r="D321" s="2"/>
      <c r="E321" s="2"/>
      <c r="F321" s="2"/>
      <c r="G321" s="2"/>
      <c r="H321" s="2"/>
      <c r="I321" s="74"/>
      <c r="J321" s="74"/>
      <c r="K321" s="74"/>
      <c r="L321" s="74"/>
      <c r="M321" s="2"/>
      <c r="N321" s="2"/>
      <c r="O321" s="2"/>
      <c r="P321" s="74"/>
      <c r="Q321" s="2"/>
      <c r="R321" s="2"/>
      <c r="S321" s="76"/>
      <c r="T321" s="2"/>
      <c r="U321" s="62"/>
      <c r="V321" s="62"/>
      <c r="W321" s="62"/>
      <c r="X321" s="62"/>
      <c r="Y321" s="62"/>
      <c r="Z321" s="62"/>
    </row>
    <row r="322" ht="15.75" customHeight="1">
      <c r="A322" s="2"/>
      <c r="B322" s="2"/>
      <c r="C322" s="2"/>
      <c r="D322" s="2"/>
      <c r="E322" s="2"/>
      <c r="F322" s="2"/>
      <c r="G322" s="2"/>
      <c r="H322" s="2"/>
      <c r="I322" s="74"/>
      <c r="J322" s="74"/>
      <c r="K322" s="74"/>
      <c r="L322" s="74"/>
      <c r="M322" s="2"/>
      <c r="N322" s="2"/>
      <c r="O322" s="2"/>
      <c r="P322" s="74"/>
      <c r="Q322" s="2"/>
      <c r="R322" s="2"/>
      <c r="S322" s="76"/>
      <c r="T322" s="2"/>
      <c r="U322" s="62"/>
      <c r="V322" s="62"/>
      <c r="W322" s="62"/>
      <c r="X322" s="62"/>
      <c r="Y322" s="62"/>
      <c r="Z322" s="62"/>
    </row>
    <row r="323" ht="15.75" customHeight="1">
      <c r="A323" s="2"/>
      <c r="B323" s="2"/>
      <c r="C323" s="2"/>
      <c r="D323" s="2"/>
      <c r="E323" s="2"/>
      <c r="F323" s="2"/>
      <c r="G323" s="2"/>
      <c r="H323" s="2"/>
      <c r="I323" s="74"/>
      <c r="J323" s="74"/>
      <c r="K323" s="74"/>
      <c r="L323" s="74"/>
      <c r="M323" s="2"/>
      <c r="N323" s="2"/>
      <c r="O323" s="2"/>
      <c r="P323" s="74"/>
      <c r="Q323" s="2"/>
      <c r="R323" s="2"/>
      <c r="S323" s="76"/>
      <c r="T323" s="2"/>
      <c r="U323" s="62"/>
      <c r="V323" s="62"/>
      <c r="W323" s="62"/>
      <c r="X323" s="62"/>
      <c r="Y323" s="62"/>
      <c r="Z323" s="62"/>
    </row>
    <row r="324" ht="15.75" customHeight="1">
      <c r="A324" s="2"/>
      <c r="B324" s="2"/>
      <c r="C324" s="2"/>
      <c r="D324" s="2"/>
      <c r="E324" s="2"/>
      <c r="F324" s="2"/>
      <c r="G324" s="2"/>
      <c r="H324" s="2"/>
      <c r="I324" s="74"/>
      <c r="J324" s="74"/>
      <c r="K324" s="74"/>
      <c r="L324" s="74"/>
      <c r="M324" s="2"/>
      <c r="N324" s="2"/>
      <c r="O324" s="2"/>
      <c r="P324" s="74"/>
      <c r="Q324" s="2"/>
      <c r="R324" s="2"/>
      <c r="S324" s="76"/>
      <c r="T324" s="2"/>
      <c r="U324" s="62"/>
      <c r="V324" s="62"/>
      <c r="W324" s="62"/>
      <c r="X324" s="62"/>
      <c r="Y324" s="62"/>
      <c r="Z324" s="62"/>
    </row>
    <row r="325" ht="15.75" customHeight="1">
      <c r="A325" s="2"/>
      <c r="B325" s="2"/>
      <c r="C325" s="2"/>
      <c r="D325" s="2"/>
      <c r="E325" s="2"/>
      <c r="F325" s="2"/>
      <c r="G325" s="2"/>
      <c r="H325" s="2"/>
      <c r="I325" s="74"/>
      <c r="J325" s="74"/>
      <c r="K325" s="74"/>
      <c r="L325" s="74"/>
      <c r="M325" s="2"/>
      <c r="N325" s="2"/>
      <c r="O325" s="2"/>
      <c r="P325" s="74"/>
      <c r="Q325" s="2"/>
      <c r="R325" s="2"/>
      <c r="S325" s="76"/>
      <c r="T325" s="2"/>
      <c r="U325" s="62"/>
      <c r="V325" s="62"/>
      <c r="W325" s="62"/>
      <c r="X325" s="62"/>
      <c r="Y325" s="62"/>
      <c r="Z325" s="62"/>
    </row>
    <row r="326" ht="15.75" customHeight="1">
      <c r="A326" s="2"/>
      <c r="B326" s="2"/>
      <c r="C326" s="2"/>
      <c r="D326" s="2"/>
      <c r="E326" s="2"/>
      <c r="F326" s="2"/>
      <c r="G326" s="2"/>
      <c r="H326" s="2"/>
      <c r="I326" s="74"/>
      <c r="J326" s="74"/>
      <c r="K326" s="74"/>
      <c r="L326" s="74"/>
      <c r="M326" s="2"/>
      <c r="N326" s="2"/>
      <c r="O326" s="2"/>
      <c r="P326" s="74"/>
      <c r="Q326" s="2"/>
      <c r="R326" s="2"/>
      <c r="S326" s="76"/>
      <c r="T326" s="2"/>
      <c r="U326" s="62"/>
      <c r="V326" s="62"/>
      <c r="W326" s="62"/>
      <c r="X326" s="62"/>
      <c r="Y326" s="62"/>
      <c r="Z326" s="62"/>
    </row>
    <row r="327" ht="15.75" customHeight="1">
      <c r="A327" s="2"/>
      <c r="B327" s="2"/>
      <c r="C327" s="2"/>
      <c r="D327" s="2"/>
      <c r="E327" s="2"/>
      <c r="F327" s="2"/>
      <c r="G327" s="2"/>
      <c r="H327" s="2"/>
      <c r="I327" s="74"/>
      <c r="J327" s="74"/>
      <c r="K327" s="74"/>
      <c r="L327" s="74"/>
      <c r="M327" s="2"/>
      <c r="N327" s="2"/>
      <c r="O327" s="2"/>
      <c r="P327" s="74"/>
      <c r="Q327" s="2"/>
      <c r="R327" s="2"/>
      <c r="S327" s="76"/>
      <c r="T327" s="2"/>
      <c r="U327" s="62"/>
      <c r="V327" s="62"/>
      <c r="W327" s="62"/>
      <c r="X327" s="62"/>
      <c r="Y327" s="62"/>
      <c r="Z327" s="62"/>
    </row>
    <row r="328" ht="15.75" customHeight="1">
      <c r="A328" s="2"/>
      <c r="B328" s="2"/>
      <c r="C328" s="2"/>
      <c r="D328" s="2"/>
      <c r="E328" s="2"/>
      <c r="F328" s="2"/>
      <c r="G328" s="2"/>
      <c r="H328" s="2"/>
      <c r="I328" s="74"/>
      <c r="J328" s="74"/>
      <c r="K328" s="74"/>
      <c r="L328" s="74"/>
      <c r="M328" s="2"/>
      <c r="N328" s="2"/>
      <c r="O328" s="2"/>
      <c r="P328" s="74"/>
      <c r="Q328" s="2"/>
      <c r="R328" s="2"/>
      <c r="S328" s="76"/>
      <c r="T328" s="2"/>
      <c r="U328" s="62"/>
      <c r="V328" s="62"/>
      <c r="W328" s="62"/>
      <c r="X328" s="62"/>
      <c r="Y328" s="62"/>
      <c r="Z328" s="62"/>
    </row>
    <row r="329" ht="15.75" customHeight="1">
      <c r="A329" s="2"/>
      <c r="B329" s="2"/>
      <c r="C329" s="2"/>
      <c r="D329" s="2"/>
      <c r="E329" s="2"/>
      <c r="F329" s="2"/>
      <c r="G329" s="2"/>
      <c r="H329" s="2"/>
      <c r="I329" s="74"/>
      <c r="J329" s="74"/>
      <c r="K329" s="74"/>
      <c r="L329" s="74"/>
      <c r="M329" s="2"/>
      <c r="N329" s="2"/>
      <c r="O329" s="2"/>
      <c r="P329" s="74"/>
      <c r="Q329" s="2"/>
      <c r="R329" s="2"/>
      <c r="S329" s="76"/>
      <c r="T329" s="2"/>
      <c r="U329" s="62"/>
      <c r="V329" s="62"/>
      <c r="W329" s="62"/>
      <c r="X329" s="62"/>
      <c r="Y329" s="62"/>
      <c r="Z329" s="62"/>
    </row>
    <row r="330" ht="15.75" customHeight="1">
      <c r="A330" s="2"/>
      <c r="B330" s="2"/>
      <c r="C330" s="2"/>
      <c r="D330" s="2"/>
      <c r="E330" s="2"/>
      <c r="F330" s="2"/>
      <c r="G330" s="2"/>
      <c r="H330" s="2"/>
      <c r="I330" s="74"/>
      <c r="J330" s="74"/>
      <c r="K330" s="74"/>
      <c r="L330" s="74"/>
      <c r="M330" s="2"/>
      <c r="N330" s="2"/>
      <c r="O330" s="2"/>
      <c r="P330" s="74"/>
      <c r="Q330" s="2"/>
      <c r="R330" s="2"/>
      <c r="S330" s="76"/>
      <c r="T330" s="2"/>
      <c r="U330" s="62"/>
      <c r="V330" s="62"/>
      <c r="W330" s="62"/>
      <c r="X330" s="62"/>
      <c r="Y330" s="62"/>
      <c r="Z330" s="62"/>
    </row>
    <row r="331" ht="15.75" customHeight="1">
      <c r="A331" s="2"/>
      <c r="B331" s="2"/>
      <c r="C331" s="2"/>
      <c r="D331" s="2"/>
      <c r="E331" s="2"/>
      <c r="F331" s="2"/>
      <c r="G331" s="2"/>
      <c r="H331" s="2"/>
      <c r="I331" s="74"/>
      <c r="J331" s="74"/>
      <c r="K331" s="74"/>
      <c r="L331" s="74"/>
      <c r="M331" s="2"/>
      <c r="N331" s="2"/>
      <c r="O331" s="2"/>
      <c r="P331" s="74"/>
      <c r="Q331" s="2"/>
      <c r="R331" s="2"/>
      <c r="S331" s="76"/>
      <c r="T331" s="2"/>
      <c r="U331" s="62"/>
      <c r="V331" s="62"/>
      <c r="W331" s="62"/>
      <c r="X331" s="62"/>
      <c r="Y331" s="62"/>
      <c r="Z331" s="62"/>
    </row>
    <row r="332" ht="15.75" customHeight="1">
      <c r="A332" s="2"/>
      <c r="B332" s="2"/>
      <c r="C332" s="2"/>
      <c r="D332" s="2"/>
      <c r="E332" s="2"/>
      <c r="F332" s="2"/>
      <c r="G332" s="2"/>
      <c r="H332" s="2"/>
      <c r="I332" s="74"/>
      <c r="J332" s="74"/>
      <c r="K332" s="74"/>
      <c r="L332" s="74"/>
      <c r="M332" s="2"/>
      <c r="N332" s="2"/>
      <c r="O332" s="2"/>
      <c r="P332" s="74"/>
      <c r="Q332" s="2"/>
      <c r="R332" s="2"/>
      <c r="S332" s="76"/>
      <c r="T332" s="2"/>
      <c r="U332" s="62"/>
      <c r="V332" s="62"/>
      <c r="W332" s="62"/>
      <c r="X332" s="62"/>
      <c r="Y332" s="62"/>
      <c r="Z332" s="62"/>
    </row>
    <row r="333" ht="15.75" customHeight="1">
      <c r="A333" s="2"/>
      <c r="B333" s="2"/>
      <c r="C333" s="2"/>
      <c r="D333" s="2"/>
      <c r="E333" s="2"/>
      <c r="F333" s="2"/>
      <c r="G333" s="2"/>
      <c r="H333" s="2"/>
      <c r="I333" s="74"/>
      <c r="J333" s="74"/>
      <c r="K333" s="74"/>
      <c r="L333" s="74"/>
      <c r="M333" s="2"/>
      <c r="N333" s="2"/>
      <c r="O333" s="2"/>
      <c r="P333" s="74"/>
      <c r="Q333" s="2"/>
      <c r="R333" s="2"/>
      <c r="S333" s="76"/>
      <c r="T333" s="2"/>
      <c r="U333" s="62"/>
      <c r="V333" s="62"/>
      <c r="W333" s="62"/>
      <c r="X333" s="62"/>
      <c r="Y333" s="62"/>
      <c r="Z333" s="62"/>
    </row>
    <row r="334" ht="15.75" customHeight="1">
      <c r="A334" s="2"/>
      <c r="B334" s="2"/>
      <c r="C334" s="2"/>
      <c r="D334" s="2"/>
      <c r="E334" s="2"/>
      <c r="F334" s="2"/>
      <c r="G334" s="2"/>
      <c r="H334" s="2"/>
      <c r="I334" s="74"/>
      <c r="J334" s="74"/>
      <c r="K334" s="74"/>
      <c r="L334" s="74"/>
      <c r="M334" s="2"/>
      <c r="N334" s="2"/>
      <c r="O334" s="2"/>
      <c r="P334" s="74"/>
      <c r="Q334" s="2"/>
      <c r="R334" s="2"/>
      <c r="S334" s="76"/>
      <c r="T334" s="2"/>
      <c r="U334" s="62"/>
      <c r="V334" s="62"/>
      <c r="W334" s="62"/>
      <c r="X334" s="62"/>
      <c r="Y334" s="62"/>
      <c r="Z334" s="62"/>
    </row>
    <row r="335" ht="15.75" customHeight="1">
      <c r="A335" s="2"/>
      <c r="B335" s="2"/>
      <c r="C335" s="2"/>
      <c r="D335" s="2"/>
      <c r="E335" s="2"/>
      <c r="F335" s="2"/>
      <c r="G335" s="2"/>
      <c r="H335" s="2"/>
      <c r="I335" s="74"/>
      <c r="J335" s="74"/>
      <c r="K335" s="74"/>
      <c r="L335" s="74"/>
      <c r="M335" s="2"/>
      <c r="N335" s="2"/>
      <c r="O335" s="2"/>
      <c r="P335" s="74"/>
      <c r="Q335" s="2"/>
      <c r="R335" s="2"/>
      <c r="S335" s="76"/>
      <c r="T335" s="2"/>
      <c r="U335" s="62"/>
      <c r="V335" s="62"/>
      <c r="W335" s="62"/>
      <c r="X335" s="62"/>
      <c r="Y335" s="62"/>
      <c r="Z335" s="62"/>
    </row>
    <row r="336" ht="15.75" customHeight="1">
      <c r="A336" s="2"/>
      <c r="B336" s="2"/>
      <c r="C336" s="2"/>
      <c r="D336" s="2"/>
      <c r="E336" s="2"/>
      <c r="F336" s="2"/>
      <c r="G336" s="2"/>
      <c r="H336" s="2"/>
      <c r="I336" s="74"/>
      <c r="J336" s="74"/>
      <c r="K336" s="74"/>
      <c r="L336" s="74"/>
      <c r="M336" s="2"/>
      <c r="N336" s="2"/>
      <c r="O336" s="2"/>
      <c r="P336" s="74"/>
      <c r="Q336" s="2"/>
      <c r="R336" s="2"/>
      <c r="S336" s="76"/>
      <c r="T336" s="2"/>
      <c r="U336" s="62"/>
      <c r="V336" s="62"/>
      <c r="W336" s="62"/>
      <c r="X336" s="62"/>
      <c r="Y336" s="62"/>
      <c r="Z336" s="62"/>
    </row>
    <row r="337" ht="15.75" customHeight="1">
      <c r="A337" s="2"/>
      <c r="B337" s="2"/>
      <c r="C337" s="2"/>
      <c r="D337" s="2"/>
      <c r="E337" s="2"/>
      <c r="F337" s="2"/>
      <c r="G337" s="2"/>
      <c r="H337" s="2"/>
      <c r="I337" s="74"/>
      <c r="J337" s="74"/>
      <c r="K337" s="74"/>
      <c r="L337" s="74"/>
      <c r="M337" s="2"/>
      <c r="N337" s="2"/>
      <c r="O337" s="2"/>
      <c r="P337" s="74"/>
      <c r="Q337" s="2"/>
      <c r="R337" s="2"/>
      <c r="S337" s="76"/>
      <c r="T337" s="2"/>
      <c r="U337" s="62"/>
      <c r="V337" s="62"/>
      <c r="W337" s="62"/>
      <c r="X337" s="62"/>
      <c r="Y337" s="62"/>
      <c r="Z337" s="62"/>
    </row>
    <row r="338" ht="15.75" customHeight="1">
      <c r="A338" s="2"/>
      <c r="B338" s="2"/>
      <c r="C338" s="2"/>
      <c r="D338" s="2"/>
      <c r="E338" s="2"/>
      <c r="F338" s="2"/>
      <c r="G338" s="2"/>
      <c r="H338" s="2"/>
      <c r="I338" s="74"/>
      <c r="J338" s="74"/>
      <c r="K338" s="74"/>
      <c r="L338" s="74"/>
      <c r="M338" s="2"/>
      <c r="N338" s="2"/>
      <c r="O338" s="2"/>
      <c r="P338" s="74"/>
      <c r="Q338" s="2"/>
      <c r="R338" s="2"/>
      <c r="S338" s="76"/>
      <c r="T338" s="2"/>
      <c r="U338" s="62"/>
      <c r="V338" s="62"/>
      <c r="W338" s="62"/>
      <c r="X338" s="62"/>
      <c r="Y338" s="62"/>
      <c r="Z338" s="62"/>
    </row>
    <row r="339" ht="15.75" customHeight="1">
      <c r="A339" s="2"/>
      <c r="B339" s="2"/>
      <c r="C339" s="2"/>
      <c r="D339" s="2"/>
      <c r="E339" s="2"/>
      <c r="F339" s="2"/>
      <c r="G339" s="2"/>
      <c r="H339" s="2"/>
      <c r="I339" s="74"/>
      <c r="J339" s="74"/>
      <c r="K339" s="74"/>
      <c r="L339" s="74"/>
      <c r="M339" s="2"/>
      <c r="N339" s="2"/>
      <c r="O339" s="2"/>
      <c r="P339" s="74"/>
      <c r="Q339" s="2"/>
      <c r="R339" s="2"/>
      <c r="S339" s="76"/>
      <c r="T339" s="2"/>
      <c r="U339" s="62"/>
      <c r="V339" s="62"/>
      <c r="W339" s="62"/>
      <c r="X339" s="62"/>
      <c r="Y339" s="62"/>
      <c r="Z339" s="62"/>
    </row>
    <row r="340" ht="15.75" customHeight="1">
      <c r="A340" s="2"/>
      <c r="B340" s="2"/>
      <c r="C340" s="2"/>
      <c r="D340" s="2"/>
      <c r="E340" s="2"/>
      <c r="F340" s="2"/>
      <c r="G340" s="2"/>
      <c r="H340" s="2"/>
      <c r="I340" s="74"/>
      <c r="J340" s="74"/>
      <c r="K340" s="74"/>
      <c r="L340" s="74"/>
      <c r="M340" s="2"/>
      <c r="N340" s="2"/>
      <c r="O340" s="2"/>
      <c r="P340" s="74"/>
      <c r="Q340" s="2"/>
      <c r="R340" s="2"/>
      <c r="S340" s="76"/>
      <c r="T340" s="2"/>
      <c r="U340" s="62"/>
      <c r="V340" s="62"/>
      <c r="W340" s="62"/>
      <c r="X340" s="62"/>
      <c r="Y340" s="62"/>
      <c r="Z340" s="62"/>
    </row>
    <row r="341" ht="15.75" customHeight="1">
      <c r="A341" s="2"/>
      <c r="B341" s="2"/>
      <c r="C341" s="2"/>
      <c r="D341" s="2"/>
      <c r="E341" s="2"/>
      <c r="F341" s="2"/>
      <c r="G341" s="2"/>
      <c r="H341" s="2"/>
      <c r="I341" s="74"/>
      <c r="J341" s="74"/>
      <c r="K341" s="74"/>
      <c r="L341" s="74"/>
      <c r="M341" s="2"/>
      <c r="N341" s="2"/>
      <c r="O341" s="2"/>
      <c r="P341" s="74"/>
      <c r="Q341" s="2"/>
      <c r="R341" s="2"/>
      <c r="S341" s="76"/>
      <c r="T341" s="2"/>
      <c r="U341" s="62"/>
      <c r="V341" s="62"/>
      <c r="W341" s="62"/>
      <c r="X341" s="62"/>
      <c r="Y341" s="62"/>
      <c r="Z341" s="62"/>
    </row>
    <row r="342" ht="15.75" customHeight="1">
      <c r="A342" s="2"/>
      <c r="B342" s="2"/>
      <c r="C342" s="2"/>
      <c r="D342" s="2"/>
      <c r="E342" s="2"/>
      <c r="F342" s="2"/>
      <c r="G342" s="2"/>
      <c r="H342" s="2"/>
      <c r="I342" s="74"/>
      <c r="J342" s="74"/>
      <c r="K342" s="74"/>
      <c r="L342" s="74"/>
      <c r="M342" s="2"/>
      <c r="N342" s="2"/>
      <c r="O342" s="2"/>
      <c r="P342" s="74"/>
      <c r="Q342" s="2"/>
      <c r="R342" s="2"/>
      <c r="S342" s="76"/>
      <c r="T342" s="2"/>
      <c r="U342" s="62"/>
      <c r="V342" s="62"/>
      <c r="W342" s="62"/>
      <c r="X342" s="62"/>
      <c r="Y342" s="62"/>
      <c r="Z342" s="62"/>
    </row>
    <row r="343" ht="15.75" customHeight="1">
      <c r="A343" s="2"/>
      <c r="B343" s="2"/>
      <c r="C343" s="2"/>
      <c r="D343" s="2"/>
      <c r="E343" s="2"/>
      <c r="F343" s="2"/>
      <c r="G343" s="2"/>
      <c r="H343" s="2"/>
      <c r="I343" s="74"/>
      <c r="J343" s="74"/>
      <c r="K343" s="74"/>
      <c r="L343" s="74"/>
      <c r="M343" s="2"/>
      <c r="N343" s="2"/>
      <c r="O343" s="2"/>
      <c r="P343" s="74"/>
      <c r="Q343" s="2"/>
      <c r="R343" s="2"/>
      <c r="S343" s="76"/>
      <c r="T343" s="2"/>
      <c r="U343" s="62"/>
      <c r="V343" s="62"/>
      <c r="W343" s="62"/>
      <c r="X343" s="62"/>
      <c r="Y343" s="62"/>
      <c r="Z343" s="62"/>
    </row>
    <row r="344" ht="15.75" customHeight="1">
      <c r="A344" s="2"/>
      <c r="B344" s="2"/>
      <c r="C344" s="2"/>
      <c r="D344" s="2"/>
      <c r="E344" s="2"/>
      <c r="F344" s="2"/>
      <c r="G344" s="2"/>
      <c r="H344" s="2"/>
      <c r="I344" s="74"/>
      <c r="J344" s="74"/>
      <c r="K344" s="74"/>
      <c r="L344" s="74"/>
      <c r="M344" s="2"/>
      <c r="N344" s="2"/>
      <c r="O344" s="2"/>
      <c r="P344" s="74"/>
      <c r="Q344" s="2"/>
      <c r="R344" s="2"/>
      <c r="S344" s="76"/>
      <c r="T344" s="2"/>
      <c r="U344" s="62"/>
      <c r="V344" s="62"/>
      <c r="W344" s="62"/>
      <c r="X344" s="62"/>
      <c r="Y344" s="62"/>
      <c r="Z344" s="62"/>
    </row>
    <row r="345" ht="15.75" customHeight="1">
      <c r="A345" s="2"/>
      <c r="B345" s="2"/>
      <c r="C345" s="2"/>
      <c r="D345" s="2"/>
      <c r="E345" s="2"/>
      <c r="F345" s="2"/>
      <c r="G345" s="2"/>
      <c r="H345" s="2"/>
      <c r="I345" s="74"/>
      <c r="J345" s="74"/>
      <c r="K345" s="74"/>
      <c r="L345" s="74"/>
      <c r="M345" s="2"/>
      <c r="N345" s="2"/>
      <c r="O345" s="2"/>
      <c r="P345" s="74"/>
      <c r="Q345" s="2"/>
      <c r="R345" s="2"/>
      <c r="S345" s="76"/>
      <c r="T345" s="2"/>
      <c r="U345" s="62"/>
      <c r="V345" s="62"/>
      <c r="W345" s="62"/>
      <c r="X345" s="62"/>
      <c r="Y345" s="62"/>
      <c r="Z345" s="62"/>
    </row>
    <row r="346" ht="15.75" customHeight="1">
      <c r="A346" s="2"/>
      <c r="B346" s="2"/>
      <c r="C346" s="2"/>
      <c r="D346" s="2"/>
      <c r="E346" s="2"/>
      <c r="F346" s="2"/>
      <c r="G346" s="2"/>
      <c r="H346" s="2"/>
      <c r="I346" s="74"/>
      <c r="J346" s="74"/>
      <c r="K346" s="74"/>
      <c r="L346" s="74"/>
      <c r="M346" s="2"/>
      <c r="N346" s="2"/>
      <c r="O346" s="2"/>
      <c r="P346" s="74"/>
      <c r="Q346" s="2"/>
      <c r="R346" s="2"/>
      <c r="S346" s="76"/>
      <c r="T346" s="2"/>
      <c r="U346" s="62"/>
      <c r="V346" s="62"/>
      <c r="W346" s="62"/>
      <c r="X346" s="62"/>
      <c r="Y346" s="62"/>
      <c r="Z346" s="62"/>
    </row>
    <row r="347" ht="15.75" customHeight="1">
      <c r="A347" s="2"/>
      <c r="B347" s="2"/>
      <c r="C347" s="2"/>
      <c r="D347" s="2"/>
      <c r="E347" s="2"/>
      <c r="F347" s="2"/>
      <c r="G347" s="2"/>
      <c r="H347" s="2"/>
      <c r="I347" s="74"/>
      <c r="J347" s="74"/>
      <c r="K347" s="74"/>
      <c r="L347" s="74"/>
      <c r="M347" s="2"/>
      <c r="N347" s="2"/>
      <c r="O347" s="2"/>
      <c r="P347" s="74"/>
      <c r="Q347" s="2"/>
      <c r="R347" s="2"/>
      <c r="S347" s="76"/>
      <c r="T347" s="2"/>
      <c r="U347" s="62"/>
      <c r="V347" s="62"/>
      <c r="W347" s="62"/>
      <c r="X347" s="62"/>
      <c r="Y347" s="62"/>
      <c r="Z347" s="62"/>
    </row>
    <row r="348" ht="15.75" customHeight="1">
      <c r="A348" s="2"/>
      <c r="B348" s="2"/>
      <c r="C348" s="2"/>
      <c r="D348" s="2"/>
      <c r="E348" s="2"/>
      <c r="F348" s="2"/>
      <c r="G348" s="2"/>
      <c r="H348" s="2"/>
      <c r="I348" s="74"/>
      <c r="J348" s="74"/>
      <c r="K348" s="74"/>
      <c r="L348" s="74"/>
      <c r="M348" s="2"/>
      <c r="N348" s="2"/>
      <c r="O348" s="2"/>
      <c r="P348" s="74"/>
      <c r="Q348" s="2"/>
      <c r="R348" s="2"/>
      <c r="S348" s="76"/>
      <c r="T348" s="2"/>
      <c r="U348" s="62"/>
      <c r="V348" s="62"/>
      <c r="W348" s="62"/>
      <c r="X348" s="62"/>
      <c r="Y348" s="62"/>
      <c r="Z348" s="62"/>
    </row>
    <row r="349" ht="15.75" customHeight="1">
      <c r="A349" s="2"/>
      <c r="B349" s="2"/>
      <c r="C349" s="2"/>
      <c r="D349" s="2"/>
      <c r="E349" s="2"/>
      <c r="F349" s="2"/>
      <c r="G349" s="2"/>
      <c r="H349" s="2"/>
      <c r="I349" s="74"/>
      <c r="J349" s="74"/>
      <c r="K349" s="74"/>
      <c r="L349" s="74"/>
      <c r="M349" s="2"/>
      <c r="N349" s="2"/>
      <c r="O349" s="2"/>
      <c r="P349" s="74"/>
      <c r="Q349" s="2"/>
      <c r="R349" s="2"/>
      <c r="S349" s="76"/>
      <c r="T349" s="2"/>
      <c r="U349" s="62"/>
      <c r="V349" s="62"/>
      <c r="W349" s="62"/>
      <c r="X349" s="62"/>
      <c r="Y349" s="62"/>
      <c r="Z349" s="62"/>
    </row>
    <row r="350" ht="15.75" customHeight="1">
      <c r="A350" s="2"/>
      <c r="B350" s="2"/>
      <c r="C350" s="2"/>
      <c r="D350" s="2"/>
      <c r="E350" s="2"/>
      <c r="F350" s="2"/>
      <c r="G350" s="2"/>
      <c r="H350" s="2"/>
      <c r="I350" s="74"/>
      <c r="J350" s="74"/>
      <c r="K350" s="74"/>
      <c r="L350" s="74"/>
      <c r="M350" s="2"/>
      <c r="N350" s="2"/>
      <c r="O350" s="2"/>
      <c r="P350" s="74"/>
      <c r="Q350" s="2"/>
      <c r="R350" s="2"/>
      <c r="S350" s="76"/>
      <c r="T350" s="2"/>
      <c r="U350" s="62"/>
      <c r="V350" s="62"/>
      <c r="W350" s="62"/>
      <c r="X350" s="62"/>
      <c r="Y350" s="62"/>
      <c r="Z350" s="62"/>
    </row>
    <row r="351" ht="15.75" customHeight="1">
      <c r="A351" s="2"/>
      <c r="B351" s="2"/>
      <c r="C351" s="2"/>
      <c r="D351" s="2"/>
      <c r="E351" s="2"/>
      <c r="F351" s="2"/>
      <c r="G351" s="2"/>
      <c r="H351" s="2"/>
      <c r="I351" s="74"/>
      <c r="J351" s="74"/>
      <c r="K351" s="74"/>
      <c r="L351" s="74"/>
      <c r="M351" s="2"/>
      <c r="N351" s="2"/>
      <c r="O351" s="2"/>
      <c r="P351" s="74"/>
      <c r="Q351" s="2"/>
      <c r="R351" s="2"/>
      <c r="S351" s="76"/>
      <c r="T351" s="2"/>
      <c r="U351" s="62"/>
      <c r="V351" s="62"/>
      <c r="W351" s="62"/>
      <c r="X351" s="62"/>
      <c r="Y351" s="62"/>
      <c r="Z351" s="62"/>
    </row>
    <row r="352" ht="15.75" customHeight="1">
      <c r="A352" s="2"/>
      <c r="B352" s="2"/>
      <c r="C352" s="2"/>
      <c r="D352" s="2"/>
      <c r="E352" s="2"/>
      <c r="F352" s="2"/>
      <c r="G352" s="2"/>
      <c r="H352" s="2"/>
      <c r="I352" s="74"/>
      <c r="J352" s="74"/>
      <c r="K352" s="74"/>
      <c r="L352" s="74"/>
      <c r="M352" s="2"/>
      <c r="N352" s="2"/>
      <c r="O352" s="2"/>
      <c r="P352" s="74"/>
      <c r="Q352" s="2"/>
      <c r="R352" s="2"/>
      <c r="S352" s="76"/>
      <c r="T352" s="2"/>
      <c r="U352" s="62"/>
      <c r="V352" s="62"/>
      <c r="W352" s="62"/>
      <c r="X352" s="62"/>
      <c r="Y352" s="62"/>
      <c r="Z352" s="62"/>
    </row>
    <row r="353" ht="15.75" customHeight="1">
      <c r="A353" s="2"/>
      <c r="B353" s="2"/>
      <c r="C353" s="2"/>
      <c r="D353" s="2"/>
      <c r="E353" s="2"/>
      <c r="F353" s="2"/>
      <c r="G353" s="2"/>
      <c r="H353" s="2"/>
      <c r="I353" s="74"/>
      <c r="J353" s="74"/>
      <c r="K353" s="74"/>
      <c r="L353" s="74"/>
      <c r="M353" s="2"/>
      <c r="N353" s="2"/>
      <c r="O353" s="2"/>
      <c r="P353" s="74"/>
      <c r="Q353" s="2"/>
      <c r="R353" s="2"/>
      <c r="S353" s="76"/>
      <c r="T353" s="2"/>
      <c r="U353" s="62"/>
      <c r="V353" s="62"/>
      <c r="W353" s="62"/>
      <c r="X353" s="62"/>
      <c r="Y353" s="62"/>
      <c r="Z353" s="62"/>
    </row>
    <row r="354" ht="15.75" customHeight="1">
      <c r="A354" s="2"/>
      <c r="B354" s="2"/>
      <c r="C354" s="2"/>
      <c r="D354" s="2"/>
      <c r="E354" s="2"/>
      <c r="F354" s="2"/>
      <c r="G354" s="2"/>
      <c r="H354" s="2"/>
      <c r="I354" s="74"/>
      <c r="J354" s="74"/>
      <c r="K354" s="74"/>
      <c r="L354" s="74"/>
      <c r="M354" s="2"/>
      <c r="N354" s="2"/>
      <c r="O354" s="2"/>
      <c r="P354" s="74"/>
      <c r="Q354" s="2"/>
      <c r="R354" s="2"/>
      <c r="S354" s="76"/>
      <c r="T354" s="2"/>
      <c r="U354" s="62"/>
      <c r="V354" s="62"/>
      <c r="W354" s="62"/>
      <c r="X354" s="62"/>
      <c r="Y354" s="62"/>
      <c r="Z354" s="62"/>
    </row>
    <row r="355" ht="15.75" customHeight="1">
      <c r="A355" s="2"/>
      <c r="B355" s="2"/>
      <c r="C355" s="2"/>
      <c r="D355" s="2"/>
      <c r="E355" s="2"/>
      <c r="F355" s="2"/>
      <c r="G355" s="2"/>
      <c r="H355" s="2"/>
      <c r="I355" s="74"/>
      <c r="J355" s="74"/>
      <c r="K355" s="74"/>
      <c r="L355" s="74"/>
      <c r="M355" s="2"/>
      <c r="N355" s="2"/>
      <c r="O355" s="2"/>
      <c r="P355" s="74"/>
      <c r="Q355" s="2"/>
      <c r="R355" s="2"/>
      <c r="S355" s="76"/>
      <c r="T355" s="2"/>
      <c r="U355" s="62"/>
      <c r="V355" s="62"/>
      <c r="W355" s="62"/>
      <c r="X355" s="62"/>
      <c r="Y355" s="62"/>
      <c r="Z355" s="62"/>
    </row>
    <row r="356" ht="15.75" customHeight="1">
      <c r="A356" s="2"/>
      <c r="B356" s="2"/>
      <c r="C356" s="2"/>
      <c r="D356" s="2"/>
      <c r="E356" s="2"/>
      <c r="F356" s="2"/>
      <c r="G356" s="2"/>
      <c r="H356" s="2"/>
      <c r="I356" s="74"/>
      <c r="J356" s="74"/>
      <c r="K356" s="74"/>
      <c r="L356" s="74"/>
      <c r="M356" s="2"/>
      <c r="N356" s="2"/>
      <c r="O356" s="2"/>
      <c r="P356" s="74"/>
      <c r="Q356" s="2"/>
      <c r="R356" s="2"/>
      <c r="S356" s="76"/>
      <c r="T356" s="2"/>
      <c r="U356" s="62"/>
      <c r="V356" s="62"/>
      <c r="W356" s="62"/>
      <c r="X356" s="62"/>
      <c r="Y356" s="62"/>
      <c r="Z356" s="62"/>
    </row>
    <row r="357" ht="15.75" customHeight="1">
      <c r="A357" s="2"/>
      <c r="B357" s="2"/>
      <c r="C357" s="2"/>
      <c r="D357" s="2"/>
      <c r="E357" s="2"/>
      <c r="F357" s="2"/>
      <c r="G357" s="2"/>
      <c r="H357" s="2"/>
      <c r="I357" s="74"/>
      <c r="J357" s="74"/>
      <c r="K357" s="74"/>
      <c r="L357" s="74"/>
      <c r="M357" s="2"/>
      <c r="N357" s="2"/>
      <c r="O357" s="2"/>
      <c r="P357" s="74"/>
      <c r="Q357" s="2"/>
      <c r="R357" s="2"/>
      <c r="S357" s="76"/>
      <c r="T357" s="2"/>
      <c r="U357" s="62"/>
      <c r="V357" s="62"/>
      <c r="W357" s="62"/>
      <c r="X357" s="62"/>
      <c r="Y357" s="62"/>
      <c r="Z357" s="62"/>
    </row>
    <row r="358" ht="15.75" customHeight="1">
      <c r="A358" s="2"/>
      <c r="B358" s="2"/>
      <c r="C358" s="2"/>
      <c r="D358" s="2"/>
      <c r="E358" s="2"/>
      <c r="F358" s="2"/>
      <c r="G358" s="2"/>
      <c r="H358" s="2"/>
      <c r="I358" s="74"/>
      <c r="J358" s="74"/>
      <c r="K358" s="74"/>
      <c r="L358" s="74"/>
      <c r="M358" s="2"/>
      <c r="N358" s="2"/>
      <c r="O358" s="2"/>
      <c r="P358" s="74"/>
      <c r="Q358" s="2"/>
      <c r="R358" s="2"/>
      <c r="S358" s="76"/>
      <c r="T358" s="2"/>
      <c r="U358" s="62"/>
      <c r="V358" s="62"/>
      <c r="W358" s="62"/>
      <c r="X358" s="62"/>
      <c r="Y358" s="62"/>
      <c r="Z358" s="62"/>
    </row>
    <row r="359" ht="15.75" customHeight="1">
      <c r="A359" s="2"/>
      <c r="B359" s="2"/>
      <c r="C359" s="2"/>
      <c r="D359" s="2"/>
      <c r="E359" s="2"/>
      <c r="F359" s="2"/>
      <c r="G359" s="2"/>
      <c r="H359" s="2"/>
      <c r="I359" s="74"/>
      <c r="J359" s="74"/>
      <c r="K359" s="74"/>
      <c r="L359" s="74"/>
      <c r="M359" s="2"/>
      <c r="N359" s="2"/>
      <c r="O359" s="2"/>
      <c r="P359" s="74"/>
      <c r="Q359" s="2"/>
      <c r="R359" s="2"/>
      <c r="S359" s="76"/>
      <c r="T359" s="2"/>
      <c r="U359" s="62"/>
      <c r="V359" s="62"/>
      <c r="W359" s="62"/>
      <c r="X359" s="62"/>
      <c r="Y359" s="62"/>
      <c r="Z359" s="62"/>
    </row>
    <row r="360" ht="15.75" customHeight="1">
      <c r="A360" s="2"/>
      <c r="B360" s="2"/>
      <c r="C360" s="2"/>
      <c r="D360" s="2"/>
      <c r="E360" s="2"/>
      <c r="F360" s="2"/>
      <c r="G360" s="2"/>
      <c r="H360" s="2"/>
      <c r="I360" s="74"/>
      <c r="J360" s="74"/>
      <c r="K360" s="74"/>
      <c r="L360" s="74"/>
      <c r="M360" s="2"/>
      <c r="N360" s="2"/>
      <c r="O360" s="2"/>
      <c r="P360" s="74"/>
      <c r="Q360" s="2"/>
      <c r="R360" s="2"/>
      <c r="S360" s="76"/>
      <c r="T360" s="2"/>
      <c r="U360" s="62"/>
      <c r="V360" s="62"/>
      <c r="W360" s="62"/>
      <c r="X360" s="62"/>
      <c r="Y360" s="62"/>
      <c r="Z360" s="62"/>
    </row>
    <row r="361" ht="15.75" customHeight="1">
      <c r="A361" s="2"/>
      <c r="B361" s="2"/>
      <c r="C361" s="2"/>
      <c r="D361" s="2"/>
      <c r="E361" s="2"/>
      <c r="F361" s="2"/>
      <c r="G361" s="2"/>
      <c r="H361" s="2"/>
      <c r="I361" s="74"/>
      <c r="J361" s="74"/>
      <c r="K361" s="74"/>
      <c r="L361" s="74"/>
      <c r="M361" s="2"/>
      <c r="N361" s="2"/>
      <c r="O361" s="2"/>
      <c r="P361" s="74"/>
      <c r="Q361" s="2"/>
      <c r="R361" s="2"/>
      <c r="S361" s="76"/>
      <c r="T361" s="2"/>
      <c r="U361" s="62"/>
      <c r="V361" s="62"/>
      <c r="W361" s="62"/>
      <c r="X361" s="62"/>
      <c r="Y361" s="62"/>
      <c r="Z361" s="62"/>
    </row>
    <row r="362" ht="15.75" customHeight="1">
      <c r="A362" s="2"/>
      <c r="B362" s="2"/>
      <c r="C362" s="2"/>
      <c r="D362" s="2"/>
      <c r="E362" s="2"/>
      <c r="F362" s="2"/>
      <c r="G362" s="2"/>
      <c r="H362" s="2"/>
      <c r="I362" s="74"/>
      <c r="J362" s="74"/>
      <c r="K362" s="74"/>
      <c r="L362" s="74"/>
      <c r="M362" s="2"/>
      <c r="N362" s="2"/>
      <c r="O362" s="2"/>
      <c r="P362" s="74"/>
      <c r="Q362" s="2"/>
      <c r="R362" s="2"/>
      <c r="S362" s="76"/>
      <c r="T362" s="2"/>
      <c r="U362" s="62"/>
      <c r="V362" s="62"/>
      <c r="W362" s="62"/>
      <c r="X362" s="62"/>
      <c r="Y362" s="62"/>
      <c r="Z362" s="62"/>
    </row>
    <row r="363" ht="15.75" customHeight="1">
      <c r="A363" s="2"/>
      <c r="B363" s="2"/>
      <c r="C363" s="2"/>
      <c r="D363" s="2"/>
      <c r="E363" s="2"/>
      <c r="F363" s="2"/>
      <c r="G363" s="2"/>
      <c r="H363" s="2"/>
      <c r="I363" s="74"/>
      <c r="J363" s="74"/>
      <c r="K363" s="74"/>
      <c r="L363" s="74"/>
      <c r="M363" s="2"/>
      <c r="N363" s="2"/>
      <c r="O363" s="2"/>
      <c r="P363" s="74"/>
      <c r="Q363" s="2"/>
      <c r="R363" s="2"/>
      <c r="S363" s="76"/>
      <c r="T363" s="2"/>
      <c r="U363" s="62"/>
      <c r="V363" s="62"/>
      <c r="W363" s="62"/>
      <c r="X363" s="62"/>
      <c r="Y363" s="62"/>
      <c r="Z363" s="62"/>
    </row>
    <row r="364" ht="15.75" customHeight="1">
      <c r="A364" s="2"/>
      <c r="B364" s="2"/>
      <c r="C364" s="2"/>
      <c r="D364" s="2"/>
      <c r="E364" s="2"/>
      <c r="F364" s="2"/>
      <c r="G364" s="2"/>
      <c r="H364" s="2"/>
      <c r="I364" s="74"/>
      <c r="J364" s="74"/>
      <c r="K364" s="74"/>
      <c r="L364" s="74"/>
      <c r="M364" s="2"/>
      <c r="N364" s="2"/>
      <c r="O364" s="2"/>
      <c r="P364" s="74"/>
      <c r="Q364" s="2"/>
      <c r="R364" s="2"/>
      <c r="S364" s="76"/>
      <c r="T364" s="2"/>
      <c r="U364" s="62"/>
      <c r="V364" s="62"/>
      <c r="W364" s="62"/>
      <c r="X364" s="62"/>
      <c r="Y364" s="62"/>
      <c r="Z364" s="62"/>
    </row>
    <row r="365" ht="15.75" customHeight="1">
      <c r="A365" s="2"/>
      <c r="B365" s="2"/>
      <c r="C365" s="2"/>
      <c r="D365" s="2"/>
      <c r="E365" s="2"/>
      <c r="F365" s="2"/>
      <c r="G365" s="2"/>
      <c r="H365" s="2"/>
      <c r="I365" s="74"/>
      <c r="J365" s="74"/>
      <c r="K365" s="74"/>
      <c r="L365" s="74"/>
      <c r="M365" s="2"/>
      <c r="N365" s="2"/>
      <c r="O365" s="2"/>
      <c r="P365" s="74"/>
      <c r="Q365" s="2"/>
      <c r="R365" s="2"/>
      <c r="S365" s="76"/>
      <c r="T365" s="2"/>
      <c r="U365" s="62"/>
      <c r="V365" s="62"/>
      <c r="W365" s="62"/>
      <c r="X365" s="62"/>
      <c r="Y365" s="62"/>
      <c r="Z365" s="62"/>
    </row>
    <row r="366" ht="15.75" customHeight="1">
      <c r="A366" s="2"/>
      <c r="B366" s="2"/>
      <c r="C366" s="2"/>
      <c r="D366" s="2"/>
      <c r="E366" s="2"/>
      <c r="F366" s="2"/>
      <c r="G366" s="2"/>
      <c r="H366" s="2"/>
      <c r="I366" s="74"/>
      <c r="J366" s="74"/>
      <c r="K366" s="74"/>
      <c r="L366" s="74"/>
      <c r="M366" s="2"/>
      <c r="N366" s="2"/>
      <c r="O366" s="2"/>
      <c r="P366" s="74"/>
      <c r="Q366" s="2"/>
      <c r="R366" s="2"/>
      <c r="S366" s="76"/>
      <c r="T366" s="2"/>
      <c r="U366" s="62"/>
      <c r="V366" s="62"/>
      <c r="W366" s="62"/>
      <c r="X366" s="62"/>
      <c r="Y366" s="62"/>
      <c r="Z366" s="62"/>
    </row>
    <row r="367" ht="15.75" customHeight="1">
      <c r="A367" s="2"/>
      <c r="B367" s="2"/>
      <c r="C367" s="2"/>
      <c r="D367" s="2"/>
      <c r="E367" s="2"/>
      <c r="F367" s="2"/>
      <c r="G367" s="2"/>
      <c r="H367" s="2"/>
      <c r="I367" s="74"/>
      <c r="J367" s="74"/>
      <c r="K367" s="74"/>
      <c r="L367" s="74"/>
      <c r="M367" s="2"/>
      <c r="N367" s="2"/>
      <c r="O367" s="2"/>
      <c r="P367" s="74"/>
      <c r="Q367" s="2"/>
      <c r="R367" s="2"/>
      <c r="S367" s="76"/>
      <c r="T367" s="2"/>
      <c r="U367" s="62"/>
      <c r="V367" s="62"/>
      <c r="W367" s="62"/>
      <c r="X367" s="62"/>
      <c r="Y367" s="62"/>
      <c r="Z367" s="62"/>
    </row>
    <row r="368" ht="15.75" customHeight="1">
      <c r="A368" s="2"/>
      <c r="B368" s="2"/>
      <c r="C368" s="2"/>
      <c r="D368" s="2"/>
      <c r="E368" s="2"/>
      <c r="F368" s="2"/>
      <c r="G368" s="2"/>
      <c r="H368" s="2"/>
      <c r="I368" s="74"/>
      <c r="J368" s="74"/>
      <c r="K368" s="74"/>
      <c r="L368" s="74"/>
      <c r="M368" s="2"/>
      <c r="N368" s="2"/>
      <c r="O368" s="2"/>
      <c r="P368" s="74"/>
      <c r="Q368" s="2"/>
      <c r="R368" s="2"/>
      <c r="S368" s="76"/>
      <c r="T368" s="2"/>
      <c r="U368" s="62"/>
      <c r="V368" s="62"/>
      <c r="W368" s="62"/>
      <c r="X368" s="62"/>
      <c r="Y368" s="62"/>
      <c r="Z368" s="62"/>
    </row>
    <row r="369" ht="15.75" customHeight="1">
      <c r="A369" s="2"/>
      <c r="B369" s="2"/>
      <c r="C369" s="2"/>
      <c r="D369" s="2"/>
      <c r="E369" s="2"/>
      <c r="F369" s="2"/>
      <c r="G369" s="2"/>
      <c r="H369" s="2"/>
      <c r="I369" s="74"/>
      <c r="J369" s="74"/>
      <c r="K369" s="74"/>
      <c r="L369" s="74"/>
      <c r="M369" s="2"/>
      <c r="N369" s="2"/>
      <c r="O369" s="2"/>
      <c r="P369" s="74"/>
      <c r="Q369" s="2"/>
      <c r="R369" s="2"/>
      <c r="S369" s="76"/>
      <c r="T369" s="2"/>
      <c r="U369" s="62"/>
      <c r="V369" s="62"/>
      <c r="W369" s="62"/>
      <c r="X369" s="62"/>
      <c r="Y369" s="62"/>
      <c r="Z369" s="62"/>
    </row>
    <row r="370" ht="15.75" customHeight="1">
      <c r="A370" s="2"/>
      <c r="B370" s="2"/>
      <c r="C370" s="2"/>
      <c r="D370" s="2"/>
      <c r="E370" s="2"/>
      <c r="F370" s="2"/>
      <c r="G370" s="2"/>
      <c r="H370" s="2"/>
      <c r="I370" s="74"/>
      <c r="J370" s="74"/>
      <c r="K370" s="74"/>
      <c r="L370" s="74"/>
      <c r="M370" s="2"/>
      <c r="N370" s="2"/>
      <c r="O370" s="2"/>
      <c r="P370" s="74"/>
      <c r="Q370" s="2"/>
      <c r="R370" s="2"/>
      <c r="S370" s="76"/>
      <c r="T370" s="2"/>
      <c r="U370" s="62"/>
      <c r="V370" s="62"/>
      <c r="W370" s="62"/>
      <c r="X370" s="62"/>
      <c r="Y370" s="62"/>
      <c r="Z370" s="62"/>
    </row>
    <row r="371" ht="15.75" customHeight="1">
      <c r="A371" s="2"/>
      <c r="B371" s="2"/>
      <c r="C371" s="2"/>
      <c r="D371" s="2"/>
      <c r="E371" s="2"/>
      <c r="F371" s="2"/>
      <c r="G371" s="2"/>
      <c r="H371" s="2"/>
      <c r="I371" s="74"/>
      <c r="J371" s="74"/>
      <c r="K371" s="74"/>
      <c r="L371" s="74"/>
      <c r="M371" s="2"/>
      <c r="N371" s="2"/>
      <c r="O371" s="2"/>
      <c r="P371" s="74"/>
      <c r="Q371" s="2"/>
      <c r="R371" s="2"/>
      <c r="S371" s="76"/>
      <c r="T371" s="2"/>
      <c r="U371" s="62"/>
      <c r="V371" s="62"/>
      <c r="W371" s="62"/>
      <c r="X371" s="62"/>
      <c r="Y371" s="62"/>
      <c r="Z371" s="62"/>
    </row>
    <row r="372" ht="15.75" customHeight="1">
      <c r="A372" s="2"/>
      <c r="B372" s="2"/>
      <c r="C372" s="2"/>
      <c r="D372" s="2"/>
      <c r="E372" s="2"/>
      <c r="F372" s="2"/>
      <c r="G372" s="2"/>
      <c r="H372" s="2"/>
      <c r="I372" s="74"/>
      <c r="J372" s="74"/>
      <c r="K372" s="74"/>
      <c r="L372" s="74"/>
      <c r="M372" s="2"/>
      <c r="N372" s="2"/>
      <c r="O372" s="2"/>
      <c r="P372" s="74"/>
      <c r="Q372" s="2"/>
      <c r="R372" s="2"/>
      <c r="S372" s="76"/>
      <c r="T372" s="2"/>
      <c r="U372" s="62"/>
      <c r="V372" s="62"/>
      <c r="W372" s="62"/>
      <c r="X372" s="62"/>
      <c r="Y372" s="62"/>
      <c r="Z372" s="62"/>
    </row>
    <row r="373" ht="15.75" customHeight="1">
      <c r="A373" s="2"/>
      <c r="B373" s="2"/>
      <c r="C373" s="2"/>
      <c r="D373" s="2"/>
      <c r="E373" s="2"/>
      <c r="F373" s="2"/>
      <c r="G373" s="2"/>
      <c r="H373" s="2"/>
      <c r="I373" s="74"/>
      <c r="J373" s="74"/>
      <c r="K373" s="74"/>
      <c r="L373" s="74"/>
      <c r="M373" s="2"/>
      <c r="N373" s="2"/>
      <c r="O373" s="2"/>
      <c r="P373" s="74"/>
      <c r="Q373" s="2"/>
      <c r="R373" s="2"/>
      <c r="S373" s="76"/>
      <c r="T373" s="2"/>
      <c r="U373" s="62"/>
      <c r="V373" s="62"/>
      <c r="W373" s="62"/>
      <c r="X373" s="62"/>
      <c r="Y373" s="62"/>
      <c r="Z373" s="62"/>
    </row>
    <row r="374" ht="15.75" customHeight="1">
      <c r="A374" s="2"/>
      <c r="B374" s="2"/>
      <c r="C374" s="2"/>
      <c r="D374" s="2"/>
      <c r="E374" s="2"/>
      <c r="F374" s="2"/>
      <c r="G374" s="2"/>
      <c r="H374" s="2"/>
      <c r="I374" s="74"/>
      <c r="J374" s="74"/>
      <c r="K374" s="74"/>
      <c r="L374" s="74"/>
      <c r="M374" s="2"/>
      <c r="N374" s="2"/>
      <c r="O374" s="2"/>
      <c r="P374" s="74"/>
      <c r="Q374" s="2"/>
      <c r="R374" s="2"/>
      <c r="S374" s="76"/>
      <c r="T374" s="2"/>
      <c r="U374" s="62"/>
      <c r="V374" s="62"/>
      <c r="W374" s="62"/>
      <c r="X374" s="62"/>
      <c r="Y374" s="62"/>
      <c r="Z374" s="62"/>
    </row>
    <row r="375" ht="15.75" customHeight="1">
      <c r="A375" s="2"/>
      <c r="B375" s="2"/>
      <c r="C375" s="2"/>
      <c r="D375" s="2"/>
      <c r="E375" s="2"/>
      <c r="F375" s="2"/>
      <c r="G375" s="2"/>
      <c r="H375" s="2"/>
      <c r="I375" s="74"/>
      <c r="J375" s="74"/>
      <c r="K375" s="74"/>
      <c r="L375" s="74"/>
      <c r="M375" s="2"/>
      <c r="N375" s="2"/>
      <c r="O375" s="2"/>
      <c r="P375" s="74"/>
      <c r="Q375" s="2"/>
      <c r="R375" s="2"/>
      <c r="S375" s="76"/>
      <c r="T375" s="2"/>
      <c r="U375" s="62"/>
      <c r="V375" s="62"/>
      <c r="W375" s="62"/>
      <c r="X375" s="62"/>
      <c r="Y375" s="62"/>
      <c r="Z375" s="62"/>
    </row>
    <row r="376" ht="15.75" customHeight="1">
      <c r="A376" s="2"/>
      <c r="B376" s="2"/>
      <c r="C376" s="2"/>
      <c r="D376" s="2"/>
      <c r="E376" s="2"/>
      <c r="F376" s="2"/>
      <c r="G376" s="2"/>
      <c r="H376" s="2"/>
      <c r="I376" s="74"/>
      <c r="J376" s="74"/>
      <c r="K376" s="74"/>
      <c r="L376" s="74"/>
      <c r="M376" s="2"/>
      <c r="N376" s="2"/>
      <c r="O376" s="2"/>
      <c r="P376" s="74"/>
      <c r="Q376" s="2"/>
      <c r="R376" s="2"/>
      <c r="S376" s="76"/>
      <c r="T376" s="2"/>
      <c r="U376" s="62"/>
      <c r="V376" s="62"/>
      <c r="W376" s="62"/>
      <c r="X376" s="62"/>
      <c r="Y376" s="62"/>
      <c r="Z376" s="62"/>
    </row>
    <row r="377" ht="15.75" customHeight="1">
      <c r="A377" s="2"/>
      <c r="B377" s="2"/>
      <c r="C377" s="2"/>
      <c r="D377" s="2"/>
      <c r="E377" s="2"/>
      <c r="F377" s="2"/>
      <c r="G377" s="2"/>
      <c r="H377" s="2"/>
      <c r="I377" s="74"/>
      <c r="J377" s="74"/>
      <c r="K377" s="74"/>
      <c r="L377" s="74"/>
      <c r="M377" s="2"/>
      <c r="N377" s="2"/>
      <c r="O377" s="2"/>
      <c r="P377" s="74"/>
      <c r="Q377" s="2"/>
      <c r="R377" s="2"/>
      <c r="S377" s="76"/>
      <c r="T377" s="2"/>
      <c r="U377" s="62"/>
      <c r="V377" s="62"/>
      <c r="W377" s="62"/>
      <c r="X377" s="62"/>
      <c r="Y377" s="62"/>
      <c r="Z377" s="62"/>
    </row>
    <row r="378" ht="15.75" customHeight="1">
      <c r="A378" s="2"/>
      <c r="B378" s="2"/>
      <c r="C378" s="2"/>
      <c r="D378" s="2"/>
      <c r="E378" s="2"/>
      <c r="F378" s="2"/>
      <c r="G378" s="2"/>
      <c r="H378" s="2"/>
      <c r="I378" s="74"/>
      <c r="J378" s="74"/>
      <c r="K378" s="74"/>
      <c r="L378" s="74"/>
      <c r="M378" s="2"/>
      <c r="N378" s="2"/>
      <c r="O378" s="2"/>
      <c r="P378" s="74"/>
      <c r="Q378" s="2"/>
      <c r="R378" s="2"/>
      <c r="S378" s="76"/>
      <c r="T378" s="2"/>
      <c r="U378" s="62"/>
      <c r="V378" s="62"/>
      <c r="W378" s="62"/>
      <c r="X378" s="62"/>
      <c r="Y378" s="62"/>
      <c r="Z378" s="62"/>
    </row>
    <row r="379" ht="15.75" customHeight="1">
      <c r="A379" s="2"/>
      <c r="B379" s="2"/>
      <c r="C379" s="2"/>
      <c r="D379" s="2"/>
      <c r="E379" s="2"/>
      <c r="F379" s="2"/>
      <c r="G379" s="2"/>
      <c r="H379" s="2"/>
      <c r="I379" s="74"/>
      <c r="J379" s="74"/>
      <c r="K379" s="74"/>
      <c r="L379" s="74"/>
      <c r="M379" s="2"/>
      <c r="N379" s="2"/>
      <c r="O379" s="2"/>
      <c r="P379" s="74"/>
      <c r="Q379" s="2"/>
      <c r="R379" s="2"/>
      <c r="S379" s="76"/>
      <c r="T379" s="2"/>
      <c r="U379" s="62"/>
      <c r="V379" s="62"/>
      <c r="W379" s="62"/>
      <c r="X379" s="62"/>
      <c r="Y379" s="62"/>
      <c r="Z379" s="62"/>
    </row>
    <row r="380" ht="15.75" customHeight="1">
      <c r="A380" s="2"/>
      <c r="B380" s="2"/>
      <c r="C380" s="2"/>
      <c r="D380" s="2"/>
      <c r="E380" s="2"/>
      <c r="F380" s="2"/>
      <c r="G380" s="2"/>
      <c r="H380" s="2"/>
      <c r="I380" s="74"/>
      <c r="J380" s="74"/>
      <c r="K380" s="74"/>
      <c r="L380" s="74"/>
      <c r="M380" s="2"/>
      <c r="N380" s="2"/>
      <c r="O380" s="2"/>
      <c r="P380" s="74"/>
      <c r="Q380" s="2"/>
      <c r="R380" s="2"/>
      <c r="S380" s="76"/>
      <c r="T380" s="2"/>
      <c r="U380" s="62"/>
      <c r="V380" s="62"/>
      <c r="W380" s="62"/>
      <c r="X380" s="62"/>
      <c r="Y380" s="62"/>
      <c r="Z380" s="62"/>
    </row>
    <row r="381" ht="15.75" customHeight="1">
      <c r="A381" s="2"/>
      <c r="B381" s="2"/>
      <c r="C381" s="2"/>
      <c r="D381" s="2"/>
      <c r="E381" s="2"/>
      <c r="F381" s="2"/>
      <c r="G381" s="2"/>
      <c r="H381" s="2"/>
      <c r="I381" s="74"/>
      <c r="J381" s="74"/>
      <c r="K381" s="74"/>
      <c r="L381" s="74"/>
      <c r="M381" s="2"/>
      <c r="N381" s="2"/>
      <c r="O381" s="2"/>
      <c r="P381" s="74"/>
      <c r="Q381" s="2"/>
      <c r="R381" s="2"/>
      <c r="S381" s="76"/>
      <c r="T381" s="2"/>
      <c r="U381" s="62"/>
      <c r="V381" s="62"/>
      <c r="W381" s="62"/>
      <c r="X381" s="62"/>
      <c r="Y381" s="62"/>
      <c r="Z381" s="62"/>
    </row>
    <row r="382" ht="15.75" customHeight="1">
      <c r="A382" s="2"/>
      <c r="B382" s="2"/>
      <c r="C382" s="2"/>
      <c r="D382" s="2"/>
      <c r="E382" s="2"/>
      <c r="F382" s="2"/>
      <c r="G382" s="2"/>
      <c r="H382" s="2"/>
      <c r="I382" s="74"/>
      <c r="J382" s="74"/>
      <c r="K382" s="74"/>
      <c r="L382" s="74"/>
      <c r="M382" s="2"/>
      <c r="N382" s="2"/>
      <c r="O382" s="2"/>
      <c r="P382" s="74"/>
      <c r="Q382" s="2"/>
      <c r="R382" s="2"/>
      <c r="S382" s="76"/>
      <c r="T382" s="2"/>
      <c r="U382" s="62"/>
      <c r="V382" s="62"/>
      <c r="W382" s="62"/>
      <c r="X382" s="62"/>
      <c r="Y382" s="62"/>
      <c r="Z382" s="62"/>
    </row>
    <row r="383" ht="15.75" customHeight="1">
      <c r="A383" s="2"/>
      <c r="B383" s="2"/>
      <c r="C383" s="2"/>
      <c r="D383" s="2"/>
      <c r="E383" s="2"/>
      <c r="F383" s="2"/>
      <c r="G383" s="2"/>
      <c r="H383" s="2"/>
      <c r="I383" s="74"/>
      <c r="J383" s="74"/>
      <c r="K383" s="74"/>
      <c r="L383" s="74"/>
      <c r="M383" s="2"/>
      <c r="N383" s="2"/>
      <c r="O383" s="2"/>
      <c r="P383" s="74"/>
      <c r="Q383" s="2"/>
      <c r="R383" s="2"/>
      <c r="S383" s="76"/>
      <c r="T383" s="2"/>
      <c r="U383" s="62"/>
      <c r="V383" s="62"/>
      <c r="W383" s="62"/>
      <c r="X383" s="62"/>
      <c r="Y383" s="62"/>
      <c r="Z383" s="62"/>
    </row>
    <row r="384" ht="15.75" customHeight="1">
      <c r="A384" s="2"/>
      <c r="B384" s="2"/>
      <c r="C384" s="2"/>
      <c r="D384" s="2"/>
      <c r="E384" s="2"/>
      <c r="F384" s="2"/>
      <c r="G384" s="2"/>
      <c r="H384" s="2"/>
      <c r="I384" s="74"/>
      <c r="J384" s="74"/>
      <c r="K384" s="74"/>
      <c r="L384" s="74"/>
      <c r="M384" s="2"/>
      <c r="N384" s="2"/>
      <c r="O384" s="2"/>
      <c r="P384" s="74"/>
      <c r="Q384" s="2"/>
      <c r="R384" s="2"/>
      <c r="S384" s="76"/>
      <c r="T384" s="2"/>
      <c r="U384" s="62"/>
      <c r="V384" s="62"/>
      <c r="W384" s="62"/>
      <c r="X384" s="62"/>
      <c r="Y384" s="62"/>
      <c r="Z384" s="62"/>
    </row>
    <row r="385" ht="15.75" customHeight="1">
      <c r="A385" s="2"/>
      <c r="B385" s="2"/>
      <c r="C385" s="2"/>
      <c r="D385" s="2"/>
      <c r="E385" s="2"/>
      <c r="F385" s="2"/>
      <c r="G385" s="2"/>
      <c r="H385" s="2"/>
      <c r="I385" s="74"/>
      <c r="J385" s="74"/>
      <c r="K385" s="74"/>
      <c r="L385" s="74"/>
      <c r="M385" s="2"/>
      <c r="N385" s="2"/>
      <c r="O385" s="2"/>
      <c r="P385" s="74"/>
      <c r="Q385" s="2"/>
      <c r="R385" s="2"/>
      <c r="S385" s="76"/>
      <c r="T385" s="2"/>
      <c r="U385" s="62"/>
      <c r="V385" s="62"/>
      <c r="W385" s="62"/>
      <c r="X385" s="62"/>
      <c r="Y385" s="62"/>
      <c r="Z385" s="62"/>
    </row>
    <row r="386" ht="15.75" customHeight="1">
      <c r="A386" s="2"/>
      <c r="B386" s="2"/>
      <c r="C386" s="2"/>
      <c r="D386" s="2"/>
      <c r="E386" s="2"/>
      <c r="F386" s="2"/>
      <c r="G386" s="2"/>
      <c r="H386" s="2"/>
      <c r="I386" s="74"/>
      <c r="J386" s="74"/>
      <c r="K386" s="74"/>
      <c r="L386" s="74"/>
      <c r="M386" s="2"/>
      <c r="N386" s="2"/>
      <c r="O386" s="2"/>
      <c r="P386" s="74"/>
      <c r="Q386" s="2"/>
      <c r="R386" s="2"/>
      <c r="S386" s="76"/>
      <c r="T386" s="2"/>
      <c r="U386" s="62"/>
      <c r="V386" s="62"/>
      <c r="W386" s="62"/>
      <c r="X386" s="62"/>
      <c r="Y386" s="62"/>
      <c r="Z386" s="62"/>
    </row>
    <row r="387" ht="15.75" customHeight="1">
      <c r="A387" s="2"/>
      <c r="B387" s="2"/>
      <c r="C387" s="2"/>
      <c r="D387" s="2"/>
      <c r="E387" s="2"/>
      <c r="F387" s="2"/>
      <c r="G387" s="2"/>
      <c r="H387" s="2"/>
      <c r="I387" s="74"/>
      <c r="J387" s="74"/>
      <c r="K387" s="74"/>
      <c r="L387" s="74"/>
      <c r="M387" s="2"/>
      <c r="N387" s="2"/>
      <c r="O387" s="2"/>
      <c r="P387" s="74"/>
      <c r="Q387" s="2"/>
      <c r="R387" s="2"/>
      <c r="S387" s="76"/>
      <c r="T387" s="2"/>
      <c r="U387" s="62"/>
      <c r="V387" s="62"/>
      <c r="W387" s="62"/>
      <c r="X387" s="62"/>
      <c r="Y387" s="62"/>
      <c r="Z387" s="62"/>
    </row>
    <row r="388" ht="15.75" customHeight="1">
      <c r="A388" s="2"/>
      <c r="B388" s="2"/>
      <c r="C388" s="2"/>
      <c r="D388" s="2"/>
      <c r="E388" s="2"/>
      <c r="F388" s="2"/>
      <c r="G388" s="2"/>
      <c r="H388" s="2"/>
      <c r="I388" s="74"/>
      <c r="J388" s="74"/>
      <c r="K388" s="74"/>
      <c r="L388" s="74"/>
      <c r="M388" s="2"/>
      <c r="N388" s="2"/>
      <c r="O388" s="2"/>
      <c r="P388" s="74"/>
      <c r="Q388" s="2"/>
      <c r="R388" s="2"/>
      <c r="S388" s="76"/>
      <c r="T388" s="2"/>
      <c r="U388" s="62"/>
      <c r="V388" s="62"/>
      <c r="W388" s="62"/>
      <c r="X388" s="62"/>
      <c r="Y388" s="62"/>
      <c r="Z388" s="62"/>
    </row>
    <row r="389" ht="15.75" customHeight="1">
      <c r="A389" s="2"/>
      <c r="B389" s="2"/>
      <c r="C389" s="2"/>
      <c r="D389" s="2"/>
      <c r="E389" s="2"/>
      <c r="F389" s="2"/>
      <c r="G389" s="2"/>
      <c r="H389" s="2"/>
      <c r="I389" s="74"/>
      <c r="J389" s="74"/>
      <c r="K389" s="74"/>
      <c r="L389" s="74"/>
      <c r="M389" s="2"/>
      <c r="N389" s="2"/>
      <c r="O389" s="2"/>
      <c r="P389" s="74"/>
      <c r="Q389" s="2"/>
      <c r="R389" s="2"/>
      <c r="S389" s="76"/>
      <c r="T389" s="2"/>
      <c r="U389" s="62"/>
      <c r="V389" s="62"/>
      <c r="W389" s="62"/>
      <c r="X389" s="62"/>
      <c r="Y389" s="62"/>
      <c r="Z389" s="62"/>
    </row>
    <row r="390" ht="15.75" customHeight="1">
      <c r="A390" s="2"/>
      <c r="B390" s="2"/>
      <c r="C390" s="2"/>
      <c r="D390" s="2"/>
      <c r="E390" s="2"/>
      <c r="F390" s="2"/>
      <c r="G390" s="2"/>
      <c r="H390" s="2"/>
      <c r="I390" s="74"/>
      <c r="J390" s="74"/>
      <c r="K390" s="74"/>
      <c r="L390" s="74"/>
      <c r="M390" s="2"/>
      <c r="N390" s="2"/>
      <c r="O390" s="2"/>
      <c r="P390" s="74"/>
      <c r="Q390" s="2"/>
      <c r="R390" s="2"/>
      <c r="S390" s="76"/>
      <c r="T390" s="2"/>
      <c r="U390" s="62"/>
      <c r="V390" s="62"/>
      <c r="W390" s="62"/>
      <c r="X390" s="62"/>
      <c r="Y390" s="62"/>
      <c r="Z390" s="62"/>
    </row>
    <row r="391" ht="15.75" customHeight="1">
      <c r="A391" s="2"/>
      <c r="B391" s="2"/>
      <c r="C391" s="2"/>
      <c r="D391" s="2"/>
      <c r="E391" s="2"/>
      <c r="F391" s="2"/>
      <c r="G391" s="2"/>
      <c r="H391" s="2"/>
      <c r="I391" s="74"/>
      <c r="J391" s="74"/>
      <c r="K391" s="74"/>
      <c r="L391" s="74"/>
      <c r="M391" s="2"/>
      <c r="N391" s="2"/>
      <c r="O391" s="2"/>
      <c r="P391" s="74"/>
      <c r="Q391" s="2"/>
      <c r="R391" s="2"/>
      <c r="S391" s="76"/>
      <c r="T391" s="2"/>
      <c r="U391" s="62"/>
      <c r="V391" s="62"/>
      <c r="W391" s="62"/>
      <c r="X391" s="62"/>
      <c r="Y391" s="62"/>
      <c r="Z391" s="62"/>
    </row>
    <row r="392" ht="15.75" customHeight="1">
      <c r="A392" s="2"/>
      <c r="B392" s="2"/>
      <c r="C392" s="2"/>
      <c r="D392" s="2"/>
      <c r="E392" s="2"/>
      <c r="F392" s="2"/>
      <c r="G392" s="2"/>
      <c r="H392" s="2"/>
      <c r="I392" s="74"/>
      <c r="J392" s="74"/>
      <c r="K392" s="74"/>
      <c r="L392" s="74"/>
      <c r="M392" s="2"/>
      <c r="N392" s="2"/>
      <c r="O392" s="2"/>
      <c r="P392" s="74"/>
      <c r="Q392" s="2"/>
      <c r="R392" s="2"/>
      <c r="S392" s="76"/>
      <c r="T392" s="2"/>
      <c r="U392" s="62"/>
      <c r="V392" s="62"/>
      <c r="W392" s="62"/>
      <c r="X392" s="62"/>
      <c r="Y392" s="62"/>
      <c r="Z392" s="62"/>
    </row>
    <row r="393" ht="15.75" customHeight="1">
      <c r="A393" s="2"/>
      <c r="B393" s="2"/>
      <c r="C393" s="2"/>
      <c r="D393" s="2"/>
      <c r="E393" s="2"/>
      <c r="F393" s="2"/>
      <c r="G393" s="2"/>
      <c r="H393" s="2"/>
      <c r="I393" s="74"/>
      <c r="J393" s="74"/>
      <c r="K393" s="74"/>
      <c r="L393" s="74"/>
      <c r="M393" s="2"/>
      <c r="N393" s="2"/>
      <c r="O393" s="2"/>
      <c r="P393" s="74"/>
      <c r="Q393" s="2"/>
      <c r="R393" s="2"/>
      <c r="S393" s="76"/>
      <c r="T393" s="2"/>
      <c r="U393" s="62"/>
      <c r="V393" s="62"/>
      <c r="W393" s="62"/>
      <c r="X393" s="62"/>
      <c r="Y393" s="62"/>
      <c r="Z393" s="62"/>
    </row>
    <row r="394" ht="15.75" customHeight="1">
      <c r="A394" s="2"/>
      <c r="B394" s="2"/>
      <c r="C394" s="2"/>
      <c r="D394" s="2"/>
      <c r="E394" s="2"/>
      <c r="F394" s="2"/>
      <c r="G394" s="2"/>
      <c r="H394" s="2"/>
      <c r="I394" s="74"/>
      <c r="J394" s="74"/>
      <c r="K394" s="74"/>
      <c r="L394" s="74"/>
      <c r="M394" s="2"/>
      <c r="N394" s="2"/>
      <c r="O394" s="2"/>
      <c r="P394" s="74"/>
      <c r="Q394" s="2"/>
      <c r="R394" s="2"/>
      <c r="S394" s="76"/>
      <c r="T394" s="2"/>
      <c r="U394" s="62"/>
      <c r="V394" s="62"/>
      <c r="W394" s="62"/>
      <c r="X394" s="62"/>
      <c r="Y394" s="62"/>
      <c r="Z394" s="62"/>
    </row>
    <row r="395" ht="15.75" customHeight="1">
      <c r="A395" s="2"/>
      <c r="B395" s="2"/>
      <c r="C395" s="2"/>
      <c r="D395" s="2"/>
      <c r="E395" s="2"/>
      <c r="F395" s="2"/>
      <c r="G395" s="2"/>
      <c r="H395" s="2"/>
      <c r="I395" s="74"/>
      <c r="J395" s="74"/>
      <c r="K395" s="74"/>
      <c r="L395" s="74"/>
      <c r="M395" s="2"/>
      <c r="N395" s="2"/>
      <c r="O395" s="2"/>
      <c r="P395" s="74"/>
      <c r="Q395" s="2"/>
      <c r="R395" s="2"/>
      <c r="S395" s="76"/>
      <c r="T395" s="2"/>
      <c r="U395" s="62"/>
      <c r="V395" s="62"/>
      <c r="W395" s="62"/>
      <c r="X395" s="62"/>
      <c r="Y395" s="62"/>
      <c r="Z395" s="62"/>
    </row>
    <row r="396" ht="15.75" customHeight="1">
      <c r="A396" s="2"/>
      <c r="B396" s="2"/>
      <c r="C396" s="2"/>
      <c r="D396" s="2"/>
      <c r="E396" s="2"/>
      <c r="F396" s="2"/>
      <c r="G396" s="2"/>
      <c r="H396" s="2"/>
      <c r="I396" s="74"/>
      <c r="J396" s="74"/>
      <c r="K396" s="74"/>
      <c r="L396" s="74"/>
      <c r="M396" s="2"/>
      <c r="N396" s="2"/>
      <c r="O396" s="2"/>
      <c r="P396" s="74"/>
      <c r="Q396" s="2"/>
      <c r="R396" s="2"/>
      <c r="S396" s="76"/>
      <c r="T396" s="2"/>
      <c r="U396" s="62"/>
      <c r="V396" s="62"/>
      <c r="W396" s="62"/>
      <c r="X396" s="62"/>
      <c r="Y396" s="62"/>
      <c r="Z396" s="62"/>
    </row>
    <row r="397" ht="15.75" customHeight="1">
      <c r="A397" s="2"/>
      <c r="B397" s="2"/>
      <c r="C397" s="2"/>
      <c r="D397" s="2"/>
      <c r="E397" s="2"/>
      <c r="F397" s="2"/>
      <c r="G397" s="2"/>
      <c r="H397" s="2"/>
      <c r="I397" s="74"/>
      <c r="J397" s="74"/>
      <c r="K397" s="74"/>
      <c r="L397" s="74"/>
      <c r="M397" s="2"/>
      <c r="N397" s="2"/>
      <c r="O397" s="2"/>
      <c r="P397" s="74"/>
      <c r="Q397" s="2"/>
      <c r="R397" s="2"/>
      <c r="S397" s="76"/>
      <c r="T397" s="2"/>
      <c r="U397" s="62"/>
      <c r="V397" s="62"/>
      <c r="W397" s="62"/>
      <c r="X397" s="62"/>
      <c r="Y397" s="62"/>
      <c r="Z397" s="62"/>
    </row>
    <row r="398" ht="15.75" customHeight="1">
      <c r="A398" s="2"/>
      <c r="B398" s="2"/>
      <c r="C398" s="2"/>
      <c r="D398" s="2"/>
      <c r="E398" s="2"/>
      <c r="F398" s="2"/>
      <c r="G398" s="2"/>
      <c r="H398" s="2"/>
      <c r="I398" s="74"/>
      <c r="J398" s="74"/>
      <c r="K398" s="74"/>
      <c r="L398" s="74"/>
      <c r="M398" s="2"/>
      <c r="N398" s="2"/>
      <c r="O398" s="2"/>
      <c r="P398" s="74"/>
      <c r="Q398" s="2"/>
      <c r="R398" s="2"/>
      <c r="S398" s="76"/>
      <c r="T398" s="2"/>
      <c r="U398" s="62"/>
      <c r="V398" s="62"/>
      <c r="W398" s="62"/>
      <c r="X398" s="62"/>
      <c r="Y398" s="62"/>
      <c r="Z398" s="62"/>
    </row>
    <row r="399" ht="15.75" customHeight="1">
      <c r="A399" s="2"/>
      <c r="B399" s="2"/>
      <c r="C399" s="2"/>
      <c r="D399" s="2"/>
      <c r="E399" s="2"/>
      <c r="F399" s="2"/>
      <c r="G399" s="2"/>
      <c r="H399" s="2"/>
      <c r="I399" s="74"/>
      <c r="J399" s="74"/>
      <c r="K399" s="74"/>
      <c r="L399" s="74"/>
      <c r="M399" s="2"/>
      <c r="N399" s="2"/>
      <c r="O399" s="2"/>
      <c r="P399" s="74"/>
      <c r="Q399" s="2"/>
      <c r="R399" s="2"/>
      <c r="S399" s="76"/>
      <c r="T399" s="2"/>
      <c r="U399" s="62"/>
      <c r="V399" s="62"/>
      <c r="W399" s="62"/>
      <c r="X399" s="62"/>
      <c r="Y399" s="62"/>
      <c r="Z399" s="62"/>
    </row>
    <row r="400" ht="15.75" customHeight="1">
      <c r="A400" s="2"/>
      <c r="B400" s="2"/>
      <c r="C400" s="2"/>
      <c r="D400" s="2"/>
      <c r="E400" s="2"/>
      <c r="F400" s="2"/>
      <c r="G400" s="2"/>
      <c r="H400" s="2"/>
      <c r="I400" s="74"/>
      <c r="J400" s="74"/>
      <c r="K400" s="74"/>
      <c r="L400" s="74"/>
      <c r="M400" s="2"/>
      <c r="N400" s="2"/>
      <c r="O400" s="2"/>
      <c r="P400" s="74"/>
      <c r="Q400" s="2"/>
      <c r="R400" s="2"/>
      <c r="S400" s="76"/>
      <c r="T400" s="2"/>
      <c r="U400" s="62"/>
      <c r="V400" s="62"/>
      <c r="W400" s="62"/>
      <c r="X400" s="62"/>
      <c r="Y400" s="62"/>
      <c r="Z400" s="62"/>
    </row>
    <row r="401" ht="15.75" customHeight="1">
      <c r="A401" s="2"/>
      <c r="B401" s="2"/>
      <c r="C401" s="2"/>
      <c r="D401" s="2"/>
      <c r="E401" s="2"/>
      <c r="F401" s="2"/>
      <c r="G401" s="2"/>
      <c r="H401" s="2"/>
      <c r="I401" s="74"/>
      <c r="J401" s="74"/>
      <c r="K401" s="74"/>
      <c r="L401" s="74"/>
      <c r="M401" s="2"/>
      <c r="N401" s="2"/>
      <c r="O401" s="2"/>
      <c r="P401" s="74"/>
      <c r="Q401" s="2"/>
      <c r="R401" s="2"/>
      <c r="S401" s="76"/>
      <c r="T401" s="2"/>
      <c r="U401" s="62"/>
      <c r="V401" s="62"/>
      <c r="W401" s="62"/>
      <c r="X401" s="62"/>
      <c r="Y401" s="62"/>
      <c r="Z401" s="62"/>
    </row>
    <row r="402" ht="15.75" customHeight="1">
      <c r="A402" s="2"/>
      <c r="B402" s="2"/>
      <c r="C402" s="2"/>
      <c r="D402" s="2"/>
      <c r="E402" s="2"/>
      <c r="F402" s="2"/>
      <c r="G402" s="2"/>
      <c r="H402" s="2"/>
      <c r="I402" s="74"/>
      <c r="J402" s="74"/>
      <c r="K402" s="74"/>
      <c r="L402" s="74"/>
      <c r="M402" s="2"/>
      <c r="N402" s="2"/>
      <c r="O402" s="2"/>
      <c r="P402" s="74"/>
      <c r="Q402" s="2"/>
      <c r="R402" s="2"/>
      <c r="S402" s="76"/>
      <c r="T402" s="2"/>
      <c r="U402" s="62"/>
      <c r="V402" s="62"/>
      <c r="W402" s="62"/>
      <c r="X402" s="62"/>
      <c r="Y402" s="62"/>
      <c r="Z402" s="62"/>
    </row>
    <row r="403" ht="15.75" customHeight="1">
      <c r="A403" s="2"/>
      <c r="B403" s="2"/>
      <c r="C403" s="2"/>
      <c r="D403" s="2"/>
      <c r="E403" s="2"/>
      <c r="F403" s="2"/>
      <c r="G403" s="2"/>
      <c r="H403" s="2"/>
      <c r="I403" s="74"/>
      <c r="J403" s="74"/>
      <c r="K403" s="74"/>
      <c r="L403" s="74"/>
      <c r="M403" s="2"/>
      <c r="N403" s="2"/>
      <c r="O403" s="2"/>
      <c r="P403" s="74"/>
      <c r="Q403" s="2"/>
      <c r="R403" s="2"/>
      <c r="S403" s="76"/>
      <c r="T403" s="2"/>
      <c r="U403" s="62"/>
      <c r="V403" s="62"/>
      <c r="W403" s="62"/>
      <c r="X403" s="62"/>
      <c r="Y403" s="62"/>
      <c r="Z403" s="62"/>
    </row>
    <row r="404" ht="15.75" customHeight="1">
      <c r="A404" s="2"/>
      <c r="B404" s="2"/>
      <c r="C404" s="2"/>
      <c r="D404" s="2"/>
      <c r="E404" s="2"/>
      <c r="F404" s="2"/>
      <c r="G404" s="2"/>
      <c r="H404" s="2"/>
      <c r="I404" s="74"/>
      <c r="J404" s="74"/>
      <c r="K404" s="74"/>
      <c r="L404" s="74"/>
      <c r="M404" s="2"/>
      <c r="N404" s="2"/>
      <c r="O404" s="2"/>
      <c r="P404" s="74"/>
      <c r="Q404" s="2"/>
      <c r="R404" s="2"/>
      <c r="S404" s="76"/>
      <c r="T404" s="2"/>
      <c r="U404" s="62"/>
      <c r="V404" s="62"/>
      <c r="W404" s="62"/>
      <c r="X404" s="62"/>
      <c r="Y404" s="62"/>
      <c r="Z404" s="62"/>
    </row>
    <row r="405" ht="15.75" customHeight="1">
      <c r="A405" s="2"/>
      <c r="B405" s="2"/>
      <c r="C405" s="2"/>
      <c r="D405" s="2"/>
      <c r="E405" s="2"/>
      <c r="F405" s="2"/>
      <c r="G405" s="2"/>
      <c r="H405" s="2"/>
      <c r="I405" s="74"/>
      <c r="J405" s="74"/>
      <c r="K405" s="74"/>
      <c r="L405" s="74"/>
      <c r="M405" s="2"/>
      <c r="N405" s="2"/>
      <c r="O405" s="2"/>
      <c r="P405" s="74"/>
      <c r="Q405" s="2"/>
      <c r="R405" s="2"/>
      <c r="S405" s="76"/>
      <c r="T405" s="2"/>
      <c r="U405" s="62"/>
      <c r="V405" s="62"/>
      <c r="W405" s="62"/>
      <c r="X405" s="62"/>
      <c r="Y405" s="62"/>
      <c r="Z405" s="62"/>
    </row>
    <row r="406" ht="15.75" customHeight="1">
      <c r="A406" s="2"/>
      <c r="B406" s="2"/>
      <c r="C406" s="2"/>
      <c r="D406" s="2"/>
      <c r="E406" s="2"/>
      <c r="F406" s="2"/>
      <c r="G406" s="2"/>
      <c r="H406" s="2"/>
      <c r="I406" s="74"/>
      <c r="J406" s="74"/>
      <c r="K406" s="74"/>
      <c r="L406" s="74"/>
      <c r="M406" s="2"/>
      <c r="N406" s="2"/>
      <c r="O406" s="2"/>
      <c r="P406" s="74"/>
      <c r="Q406" s="2"/>
      <c r="R406" s="2"/>
      <c r="S406" s="76"/>
      <c r="T406" s="2"/>
      <c r="U406" s="62"/>
      <c r="V406" s="62"/>
      <c r="W406" s="62"/>
      <c r="X406" s="62"/>
      <c r="Y406" s="62"/>
      <c r="Z406" s="62"/>
    </row>
    <row r="407" ht="15.75" customHeight="1">
      <c r="A407" s="2"/>
      <c r="B407" s="2"/>
      <c r="C407" s="2"/>
      <c r="D407" s="2"/>
      <c r="E407" s="2"/>
      <c r="F407" s="2"/>
      <c r="G407" s="2"/>
      <c r="H407" s="2"/>
      <c r="I407" s="74"/>
      <c r="J407" s="74"/>
      <c r="K407" s="74"/>
      <c r="L407" s="74"/>
      <c r="M407" s="2"/>
      <c r="N407" s="2"/>
      <c r="O407" s="2"/>
      <c r="P407" s="74"/>
      <c r="Q407" s="2"/>
      <c r="R407" s="2"/>
      <c r="S407" s="76"/>
      <c r="T407" s="2"/>
      <c r="U407" s="62"/>
      <c r="V407" s="62"/>
      <c r="W407" s="62"/>
      <c r="X407" s="62"/>
      <c r="Y407" s="62"/>
      <c r="Z407" s="62"/>
    </row>
    <row r="408" ht="15.75" customHeight="1">
      <c r="A408" s="2"/>
      <c r="B408" s="2"/>
      <c r="C408" s="2"/>
      <c r="D408" s="2"/>
      <c r="E408" s="2"/>
      <c r="F408" s="2"/>
      <c r="G408" s="2"/>
      <c r="H408" s="2"/>
      <c r="I408" s="74"/>
      <c r="J408" s="74"/>
      <c r="K408" s="74"/>
      <c r="L408" s="74"/>
      <c r="M408" s="2"/>
      <c r="N408" s="2"/>
      <c r="O408" s="2"/>
      <c r="P408" s="74"/>
      <c r="Q408" s="2"/>
      <c r="R408" s="2"/>
      <c r="S408" s="76"/>
      <c r="T408" s="2"/>
      <c r="U408" s="62"/>
      <c r="V408" s="62"/>
      <c r="W408" s="62"/>
      <c r="X408" s="62"/>
      <c r="Y408" s="62"/>
      <c r="Z408" s="62"/>
    </row>
    <row r="409" ht="15.75" customHeight="1">
      <c r="A409" s="2"/>
      <c r="B409" s="2"/>
      <c r="C409" s="2"/>
      <c r="D409" s="2"/>
      <c r="E409" s="2"/>
      <c r="F409" s="2"/>
      <c r="G409" s="2"/>
      <c r="H409" s="2"/>
      <c r="I409" s="74"/>
      <c r="J409" s="74"/>
      <c r="K409" s="74"/>
      <c r="L409" s="74"/>
      <c r="M409" s="2"/>
      <c r="N409" s="2"/>
      <c r="O409" s="2"/>
      <c r="P409" s="74"/>
      <c r="Q409" s="2"/>
      <c r="R409" s="2"/>
      <c r="S409" s="76"/>
      <c r="T409" s="2"/>
      <c r="U409" s="62"/>
      <c r="V409" s="62"/>
      <c r="W409" s="62"/>
      <c r="X409" s="62"/>
      <c r="Y409" s="62"/>
      <c r="Z409" s="62"/>
    </row>
    <row r="410" ht="15.75" customHeight="1">
      <c r="A410" s="2"/>
      <c r="B410" s="2"/>
      <c r="C410" s="2"/>
      <c r="D410" s="2"/>
      <c r="E410" s="2"/>
      <c r="F410" s="2"/>
      <c r="G410" s="2"/>
      <c r="H410" s="2"/>
      <c r="I410" s="74"/>
      <c r="J410" s="74"/>
      <c r="K410" s="74"/>
      <c r="L410" s="74"/>
      <c r="M410" s="2"/>
      <c r="N410" s="2"/>
      <c r="O410" s="2"/>
      <c r="P410" s="74"/>
      <c r="Q410" s="2"/>
      <c r="R410" s="2"/>
      <c r="S410" s="76"/>
      <c r="T410" s="2"/>
      <c r="U410" s="62"/>
      <c r="V410" s="62"/>
      <c r="W410" s="62"/>
      <c r="X410" s="62"/>
      <c r="Y410" s="62"/>
      <c r="Z410" s="62"/>
    </row>
    <row r="411" ht="15.75" customHeight="1">
      <c r="A411" s="2"/>
      <c r="B411" s="2"/>
      <c r="C411" s="2"/>
      <c r="D411" s="2"/>
      <c r="E411" s="2"/>
      <c r="F411" s="2"/>
      <c r="G411" s="2"/>
      <c r="H411" s="2"/>
      <c r="I411" s="74"/>
      <c r="J411" s="74"/>
      <c r="K411" s="74"/>
      <c r="L411" s="74"/>
      <c r="M411" s="2"/>
      <c r="N411" s="2"/>
      <c r="O411" s="2"/>
      <c r="P411" s="74"/>
      <c r="Q411" s="2"/>
      <c r="R411" s="2"/>
      <c r="S411" s="76"/>
      <c r="T411" s="2"/>
      <c r="U411" s="62"/>
      <c r="V411" s="62"/>
      <c r="W411" s="62"/>
      <c r="X411" s="62"/>
      <c r="Y411" s="62"/>
      <c r="Z411" s="62"/>
    </row>
    <row r="412" ht="15.75" customHeight="1">
      <c r="A412" s="2"/>
      <c r="B412" s="2"/>
      <c r="C412" s="2"/>
      <c r="D412" s="2"/>
      <c r="E412" s="2"/>
      <c r="F412" s="2"/>
      <c r="G412" s="2"/>
      <c r="H412" s="2"/>
      <c r="I412" s="74"/>
      <c r="J412" s="74"/>
      <c r="K412" s="74"/>
      <c r="L412" s="74"/>
      <c r="M412" s="2"/>
      <c r="N412" s="2"/>
      <c r="O412" s="2"/>
      <c r="P412" s="74"/>
      <c r="Q412" s="2"/>
      <c r="R412" s="2"/>
      <c r="S412" s="76"/>
      <c r="T412" s="2"/>
      <c r="U412" s="62"/>
      <c r="V412" s="62"/>
      <c r="W412" s="62"/>
      <c r="X412" s="62"/>
      <c r="Y412" s="62"/>
      <c r="Z412" s="62"/>
    </row>
    <row r="413" ht="15.75" customHeight="1">
      <c r="A413" s="2"/>
      <c r="B413" s="2"/>
      <c r="C413" s="2"/>
      <c r="D413" s="2"/>
      <c r="E413" s="2"/>
      <c r="F413" s="2"/>
      <c r="G413" s="2"/>
      <c r="H413" s="2"/>
      <c r="I413" s="74"/>
      <c r="J413" s="74"/>
      <c r="K413" s="74"/>
      <c r="L413" s="74"/>
      <c r="M413" s="2"/>
      <c r="N413" s="2"/>
      <c r="O413" s="2"/>
      <c r="P413" s="74"/>
      <c r="Q413" s="2"/>
      <c r="R413" s="2"/>
      <c r="S413" s="76"/>
      <c r="T413" s="2"/>
      <c r="U413" s="62"/>
      <c r="V413" s="62"/>
      <c r="W413" s="62"/>
      <c r="X413" s="62"/>
      <c r="Y413" s="62"/>
      <c r="Z413" s="62"/>
    </row>
    <row r="414" ht="15.75" customHeight="1">
      <c r="A414" s="2"/>
      <c r="B414" s="2"/>
      <c r="C414" s="2"/>
      <c r="D414" s="2"/>
      <c r="E414" s="2"/>
      <c r="F414" s="2"/>
      <c r="G414" s="2"/>
      <c r="H414" s="2"/>
      <c r="I414" s="74"/>
      <c r="J414" s="74"/>
      <c r="K414" s="74"/>
      <c r="L414" s="74"/>
      <c r="M414" s="2"/>
      <c r="N414" s="2"/>
      <c r="O414" s="2"/>
      <c r="P414" s="74"/>
      <c r="Q414" s="2"/>
      <c r="R414" s="2"/>
      <c r="S414" s="76"/>
      <c r="T414" s="2"/>
      <c r="U414" s="62"/>
      <c r="V414" s="62"/>
      <c r="W414" s="62"/>
      <c r="X414" s="62"/>
      <c r="Y414" s="62"/>
      <c r="Z414" s="62"/>
    </row>
    <row r="415" ht="15.75" customHeight="1">
      <c r="A415" s="2"/>
      <c r="B415" s="2"/>
      <c r="C415" s="2"/>
      <c r="D415" s="2"/>
      <c r="E415" s="2"/>
      <c r="F415" s="2"/>
      <c r="G415" s="2"/>
      <c r="H415" s="2"/>
      <c r="I415" s="74"/>
      <c r="J415" s="74"/>
      <c r="K415" s="74"/>
      <c r="L415" s="74"/>
      <c r="M415" s="2"/>
      <c r="N415" s="2"/>
      <c r="O415" s="2"/>
      <c r="P415" s="74"/>
      <c r="Q415" s="2"/>
      <c r="R415" s="2"/>
      <c r="S415" s="76"/>
      <c r="T415" s="2"/>
      <c r="U415" s="62"/>
      <c r="V415" s="62"/>
      <c r="W415" s="62"/>
      <c r="X415" s="62"/>
      <c r="Y415" s="62"/>
      <c r="Z415" s="62"/>
    </row>
    <row r="416" ht="15.75" customHeight="1">
      <c r="A416" s="2"/>
      <c r="B416" s="2"/>
      <c r="C416" s="2"/>
      <c r="D416" s="2"/>
      <c r="E416" s="2"/>
      <c r="F416" s="2"/>
      <c r="G416" s="2"/>
      <c r="H416" s="2"/>
      <c r="I416" s="74"/>
      <c r="J416" s="74"/>
      <c r="K416" s="74"/>
      <c r="L416" s="74"/>
      <c r="M416" s="2"/>
      <c r="N416" s="2"/>
      <c r="O416" s="2"/>
      <c r="P416" s="74"/>
      <c r="Q416" s="2"/>
      <c r="R416" s="2"/>
      <c r="S416" s="76"/>
      <c r="T416" s="2"/>
      <c r="U416" s="62"/>
      <c r="V416" s="62"/>
      <c r="W416" s="62"/>
      <c r="X416" s="62"/>
      <c r="Y416" s="62"/>
      <c r="Z416" s="62"/>
    </row>
    <row r="417" ht="15.75" customHeight="1">
      <c r="A417" s="2"/>
      <c r="B417" s="2"/>
      <c r="C417" s="2"/>
      <c r="D417" s="2"/>
      <c r="E417" s="2"/>
      <c r="F417" s="2"/>
      <c r="G417" s="2"/>
      <c r="H417" s="2"/>
      <c r="I417" s="74"/>
      <c r="J417" s="74"/>
      <c r="K417" s="74"/>
      <c r="L417" s="74"/>
      <c r="M417" s="2"/>
      <c r="N417" s="2"/>
      <c r="O417" s="2"/>
      <c r="P417" s="74"/>
      <c r="Q417" s="2"/>
      <c r="R417" s="2"/>
      <c r="S417" s="76"/>
      <c r="T417" s="2"/>
      <c r="U417" s="62"/>
      <c r="V417" s="62"/>
      <c r="W417" s="62"/>
      <c r="X417" s="62"/>
      <c r="Y417" s="62"/>
      <c r="Z417" s="62"/>
    </row>
    <row r="418" ht="15.75" customHeight="1">
      <c r="A418" s="2"/>
      <c r="B418" s="2"/>
      <c r="C418" s="2"/>
      <c r="D418" s="2"/>
      <c r="E418" s="2"/>
      <c r="F418" s="2"/>
      <c r="G418" s="2"/>
      <c r="H418" s="2"/>
      <c r="I418" s="74"/>
      <c r="J418" s="74"/>
      <c r="K418" s="74"/>
      <c r="L418" s="74"/>
      <c r="M418" s="2"/>
      <c r="N418" s="2"/>
      <c r="O418" s="2"/>
      <c r="P418" s="74"/>
      <c r="Q418" s="2"/>
      <c r="R418" s="2"/>
      <c r="S418" s="76"/>
      <c r="T418" s="2"/>
      <c r="U418" s="62"/>
      <c r="V418" s="62"/>
      <c r="W418" s="62"/>
      <c r="X418" s="62"/>
      <c r="Y418" s="62"/>
      <c r="Z418" s="62"/>
    </row>
    <row r="419" ht="15.75" customHeight="1">
      <c r="A419" s="2"/>
      <c r="B419" s="2"/>
      <c r="C419" s="2"/>
      <c r="D419" s="2"/>
      <c r="E419" s="2"/>
      <c r="F419" s="2"/>
      <c r="G419" s="2"/>
      <c r="H419" s="2"/>
      <c r="I419" s="74"/>
      <c r="J419" s="74"/>
      <c r="K419" s="74"/>
      <c r="L419" s="74"/>
      <c r="M419" s="2"/>
      <c r="N419" s="2"/>
      <c r="O419" s="2"/>
      <c r="P419" s="74"/>
      <c r="Q419" s="2"/>
      <c r="R419" s="2"/>
      <c r="S419" s="76"/>
      <c r="T419" s="2"/>
      <c r="U419" s="62"/>
      <c r="V419" s="62"/>
      <c r="W419" s="62"/>
      <c r="X419" s="62"/>
      <c r="Y419" s="62"/>
      <c r="Z419" s="62"/>
    </row>
    <row r="420" ht="15.75" customHeight="1">
      <c r="A420" s="2"/>
      <c r="B420" s="2"/>
      <c r="C420" s="2"/>
      <c r="D420" s="2"/>
      <c r="E420" s="2"/>
      <c r="F420" s="2"/>
      <c r="G420" s="2"/>
      <c r="H420" s="2"/>
      <c r="I420" s="74"/>
      <c r="J420" s="74"/>
      <c r="K420" s="74"/>
      <c r="L420" s="74"/>
      <c r="M420" s="2"/>
      <c r="N420" s="2"/>
      <c r="O420" s="2"/>
      <c r="P420" s="74"/>
      <c r="Q420" s="2"/>
      <c r="R420" s="2"/>
      <c r="S420" s="76"/>
      <c r="T420" s="2"/>
      <c r="U420" s="62"/>
      <c r="V420" s="62"/>
      <c r="W420" s="62"/>
      <c r="X420" s="62"/>
      <c r="Y420" s="62"/>
      <c r="Z420" s="62"/>
    </row>
    <row r="421" ht="15.75" customHeight="1">
      <c r="A421" s="2"/>
      <c r="B421" s="2"/>
      <c r="C421" s="2"/>
      <c r="D421" s="2"/>
      <c r="E421" s="2"/>
      <c r="F421" s="2"/>
      <c r="G421" s="2"/>
      <c r="H421" s="2"/>
      <c r="I421" s="74"/>
      <c r="J421" s="74"/>
      <c r="K421" s="74"/>
      <c r="L421" s="74"/>
      <c r="M421" s="2"/>
      <c r="N421" s="2"/>
      <c r="O421" s="2"/>
      <c r="P421" s="74"/>
      <c r="Q421" s="2"/>
      <c r="R421" s="2"/>
      <c r="S421" s="76"/>
      <c r="T421" s="2"/>
      <c r="U421" s="62"/>
      <c r="V421" s="62"/>
      <c r="W421" s="62"/>
      <c r="X421" s="62"/>
      <c r="Y421" s="62"/>
      <c r="Z421" s="62"/>
    </row>
    <row r="422" ht="15.75" customHeight="1">
      <c r="A422" s="2"/>
      <c r="B422" s="2"/>
      <c r="C422" s="2"/>
      <c r="D422" s="2"/>
      <c r="E422" s="2"/>
      <c r="F422" s="2"/>
      <c r="G422" s="2"/>
      <c r="H422" s="2"/>
      <c r="I422" s="74"/>
      <c r="J422" s="74"/>
      <c r="K422" s="74"/>
      <c r="L422" s="74"/>
      <c r="M422" s="2"/>
      <c r="N422" s="2"/>
      <c r="O422" s="2"/>
      <c r="P422" s="74"/>
      <c r="Q422" s="2"/>
      <c r="R422" s="2"/>
      <c r="S422" s="76"/>
      <c r="T422" s="2"/>
      <c r="U422" s="62"/>
      <c r="V422" s="62"/>
      <c r="W422" s="62"/>
      <c r="X422" s="62"/>
      <c r="Y422" s="62"/>
      <c r="Z422" s="62"/>
    </row>
    <row r="423" ht="15.75" customHeight="1">
      <c r="A423" s="2"/>
      <c r="B423" s="2"/>
      <c r="C423" s="2"/>
      <c r="D423" s="2"/>
      <c r="E423" s="2"/>
      <c r="F423" s="2"/>
      <c r="G423" s="2"/>
      <c r="H423" s="2"/>
      <c r="I423" s="74"/>
      <c r="J423" s="74"/>
      <c r="K423" s="74"/>
      <c r="L423" s="74"/>
      <c r="M423" s="2"/>
      <c r="N423" s="2"/>
      <c r="O423" s="2"/>
      <c r="P423" s="74"/>
      <c r="Q423" s="2"/>
      <c r="R423" s="2"/>
      <c r="S423" s="76"/>
      <c r="T423" s="2"/>
      <c r="U423" s="62"/>
      <c r="V423" s="62"/>
      <c r="W423" s="62"/>
      <c r="X423" s="62"/>
      <c r="Y423" s="62"/>
      <c r="Z423" s="62"/>
    </row>
    <row r="424" ht="15.75" customHeight="1">
      <c r="A424" s="2"/>
      <c r="B424" s="2"/>
      <c r="C424" s="2"/>
      <c r="D424" s="2"/>
      <c r="E424" s="2"/>
      <c r="F424" s="2"/>
      <c r="G424" s="2"/>
      <c r="H424" s="2"/>
      <c r="I424" s="74"/>
      <c r="J424" s="74"/>
      <c r="K424" s="74"/>
      <c r="L424" s="74"/>
      <c r="M424" s="2"/>
      <c r="N424" s="2"/>
      <c r="O424" s="2"/>
      <c r="P424" s="74"/>
      <c r="Q424" s="2"/>
      <c r="R424" s="2"/>
      <c r="S424" s="76"/>
      <c r="T424" s="2"/>
      <c r="U424" s="62"/>
      <c r="V424" s="62"/>
      <c r="W424" s="62"/>
      <c r="X424" s="62"/>
      <c r="Y424" s="62"/>
      <c r="Z424" s="62"/>
    </row>
    <row r="425" ht="15.75" customHeight="1">
      <c r="A425" s="2"/>
      <c r="B425" s="2"/>
      <c r="C425" s="2"/>
      <c r="D425" s="2"/>
      <c r="E425" s="2"/>
      <c r="F425" s="2"/>
      <c r="G425" s="2"/>
      <c r="H425" s="2"/>
      <c r="I425" s="74"/>
      <c r="J425" s="74"/>
      <c r="K425" s="74"/>
      <c r="L425" s="74"/>
      <c r="M425" s="2"/>
      <c r="N425" s="2"/>
      <c r="O425" s="2"/>
      <c r="P425" s="74"/>
      <c r="Q425" s="2"/>
      <c r="R425" s="2"/>
      <c r="S425" s="76"/>
      <c r="T425" s="2"/>
      <c r="U425" s="62"/>
      <c r="V425" s="62"/>
      <c r="W425" s="62"/>
      <c r="X425" s="62"/>
      <c r="Y425" s="62"/>
      <c r="Z425" s="62"/>
    </row>
    <row r="426" ht="15.75" customHeight="1">
      <c r="A426" s="2"/>
      <c r="B426" s="2"/>
      <c r="C426" s="2"/>
      <c r="D426" s="2"/>
      <c r="E426" s="2"/>
      <c r="F426" s="2"/>
      <c r="G426" s="2"/>
      <c r="H426" s="2"/>
      <c r="I426" s="74"/>
      <c r="J426" s="74"/>
      <c r="K426" s="74"/>
      <c r="L426" s="74"/>
      <c r="M426" s="2"/>
      <c r="N426" s="2"/>
      <c r="O426" s="2"/>
      <c r="P426" s="74"/>
      <c r="Q426" s="2"/>
      <c r="R426" s="2"/>
      <c r="S426" s="76"/>
      <c r="T426" s="2"/>
      <c r="U426" s="62"/>
      <c r="V426" s="62"/>
      <c r="W426" s="62"/>
      <c r="X426" s="62"/>
      <c r="Y426" s="62"/>
      <c r="Z426" s="62"/>
    </row>
    <row r="427" ht="15.75" customHeight="1">
      <c r="A427" s="2"/>
      <c r="B427" s="2"/>
      <c r="C427" s="2"/>
      <c r="D427" s="2"/>
      <c r="E427" s="2"/>
      <c r="F427" s="2"/>
      <c r="G427" s="2"/>
      <c r="H427" s="2"/>
      <c r="I427" s="74"/>
      <c r="J427" s="74"/>
      <c r="K427" s="74"/>
      <c r="L427" s="74"/>
      <c r="M427" s="2"/>
      <c r="N427" s="2"/>
      <c r="O427" s="2"/>
      <c r="P427" s="74"/>
      <c r="Q427" s="2"/>
      <c r="R427" s="2"/>
      <c r="S427" s="76"/>
      <c r="T427" s="2"/>
      <c r="U427" s="62"/>
      <c r="V427" s="62"/>
      <c r="W427" s="62"/>
      <c r="X427" s="62"/>
      <c r="Y427" s="62"/>
      <c r="Z427" s="62"/>
    </row>
    <row r="428" ht="15.75" customHeight="1">
      <c r="A428" s="2"/>
      <c r="B428" s="2"/>
      <c r="C428" s="2"/>
      <c r="D428" s="2"/>
      <c r="E428" s="2"/>
      <c r="F428" s="2"/>
      <c r="G428" s="2"/>
      <c r="H428" s="2"/>
      <c r="I428" s="74"/>
      <c r="J428" s="74"/>
      <c r="K428" s="74"/>
      <c r="L428" s="74"/>
      <c r="M428" s="2"/>
      <c r="N428" s="2"/>
      <c r="O428" s="2"/>
      <c r="P428" s="74"/>
      <c r="Q428" s="2"/>
      <c r="R428" s="2"/>
      <c r="S428" s="76"/>
      <c r="T428" s="2"/>
      <c r="U428" s="62"/>
      <c r="V428" s="62"/>
      <c r="W428" s="62"/>
      <c r="X428" s="62"/>
      <c r="Y428" s="62"/>
      <c r="Z428" s="62"/>
    </row>
    <row r="429" ht="15.75" customHeight="1">
      <c r="A429" s="2"/>
      <c r="B429" s="2"/>
      <c r="C429" s="2"/>
      <c r="D429" s="2"/>
      <c r="E429" s="2"/>
      <c r="F429" s="2"/>
      <c r="G429" s="2"/>
      <c r="H429" s="2"/>
      <c r="I429" s="74"/>
      <c r="J429" s="74"/>
      <c r="K429" s="74"/>
      <c r="L429" s="74"/>
      <c r="M429" s="2"/>
      <c r="N429" s="2"/>
      <c r="O429" s="2"/>
      <c r="P429" s="74"/>
      <c r="Q429" s="2"/>
      <c r="R429" s="2"/>
      <c r="S429" s="76"/>
      <c r="T429" s="2"/>
      <c r="U429" s="62"/>
      <c r="V429" s="62"/>
      <c r="W429" s="62"/>
      <c r="X429" s="62"/>
      <c r="Y429" s="62"/>
      <c r="Z429" s="62"/>
    </row>
    <row r="430" ht="15.75" customHeight="1">
      <c r="A430" s="2"/>
      <c r="B430" s="2"/>
      <c r="C430" s="2"/>
      <c r="D430" s="2"/>
      <c r="E430" s="2"/>
      <c r="F430" s="2"/>
      <c r="G430" s="2"/>
      <c r="H430" s="2"/>
      <c r="I430" s="74"/>
      <c r="J430" s="74"/>
      <c r="K430" s="74"/>
      <c r="L430" s="74"/>
      <c r="M430" s="2"/>
      <c r="N430" s="2"/>
      <c r="O430" s="2"/>
      <c r="P430" s="74"/>
      <c r="Q430" s="2"/>
      <c r="R430" s="2"/>
      <c r="S430" s="76"/>
      <c r="T430" s="2"/>
      <c r="U430" s="62"/>
      <c r="V430" s="62"/>
      <c r="W430" s="62"/>
      <c r="X430" s="62"/>
      <c r="Y430" s="62"/>
      <c r="Z430" s="62"/>
    </row>
    <row r="431" ht="15.75" customHeight="1">
      <c r="A431" s="2"/>
      <c r="B431" s="2"/>
      <c r="C431" s="2"/>
      <c r="D431" s="2"/>
      <c r="E431" s="2"/>
      <c r="F431" s="2"/>
      <c r="G431" s="2"/>
      <c r="H431" s="2"/>
      <c r="I431" s="74"/>
      <c r="J431" s="74"/>
      <c r="K431" s="74"/>
      <c r="L431" s="74"/>
      <c r="M431" s="2"/>
      <c r="N431" s="2"/>
      <c r="O431" s="2"/>
      <c r="P431" s="74"/>
      <c r="Q431" s="2"/>
      <c r="R431" s="2"/>
      <c r="S431" s="76"/>
      <c r="T431" s="2"/>
      <c r="U431" s="62"/>
      <c r="V431" s="62"/>
      <c r="W431" s="62"/>
      <c r="X431" s="62"/>
      <c r="Y431" s="62"/>
      <c r="Z431" s="62"/>
    </row>
    <row r="432" ht="15.75" customHeight="1">
      <c r="A432" s="2"/>
      <c r="B432" s="2"/>
      <c r="C432" s="2"/>
      <c r="D432" s="2"/>
      <c r="E432" s="2"/>
      <c r="F432" s="2"/>
      <c r="G432" s="2"/>
      <c r="H432" s="2"/>
      <c r="I432" s="74"/>
      <c r="J432" s="74"/>
      <c r="K432" s="74"/>
      <c r="L432" s="74"/>
      <c r="M432" s="2"/>
      <c r="N432" s="2"/>
      <c r="O432" s="2"/>
      <c r="P432" s="74"/>
      <c r="Q432" s="2"/>
      <c r="R432" s="2"/>
      <c r="S432" s="76"/>
      <c r="T432" s="2"/>
      <c r="U432" s="62"/>
      <c r="V432" s="62"/>
      <c r="W432" s="62"/>
      <c r="X432" s="62"/>
      <c r="Y432" s="62"/>
      <c r="Z432" s="62"/>
    </row>
    <row r="433" ht="15.75" customHeight="1">
      <c r="A433" s="2"/>
      <c r="B433" s="2"/>
      <c r="C433" s="2"/>
      <c r="D433" s="2"/>
      <c r="E433" s="2"/>
      <c r="F433" s="2"/>
      <c r="G433" s="2"/>
      <c r="H433" s="2"/>
      <c r="I433" s="74"/>
      <c r="J433" s="74"/>
      <c r="K433" s="74"/>
      <c r="L433" s="74"/>
      <c r="M433" s="2"/>
      <c r="N433" s="2"/>
      <c r="O433" s="2"/>
      <c r="P433" s="74"/>
      <c r="Q433" s="2"/>
      <c r="R433" s="2"/>
      <c r="S433" s="76"/>
      <c r="T433" s="2"/>
      <c r="U433" s="62"/>
      <c r="V433" s="62"/>
      <c r="W433" s="62"/>
      <c r="X433" s="62"/>
      <c r="Y433" s="62"/>
      <c r="Z433" s="62"/>
    </row>
    <row r="434" ht="15.75" customHeight="1">
      <c r="A434" s="2"/>
      <c r="B434" s="2"/>
      <c r="C434" s="2"/>
      <c r="D434" s="2"/>
      <c r="E434" s="2"/>
      <c r="F434" s="2"/>
      <c r="G434" s="2"/>
      <c r="H434" s="2"/>
      <c r="I434" s="74"/>
      <c r="J434" s="74"/>
      <c r="K434" s="74"/>
      <c r="L434" s="74"/>
      <c r="M434" s="2"/>
      <c r="N434" s="2"/>
      <c r="O434" s="2"/>
      <c r="P434" s="74"/>
      <c r="Q434" s="2"/>
      <c r="R434" s="2"/>
      <c r="S434" s="76"/>
      <c r="T434" s="2"/>
      <c r="U434" s="62"/>
      <c r="V434" s="62"/>
      <c r="W434" s="62"/>
      <c r="X434" s="62"/>
      <c r="Y434" s="62"/>
      <c r="Z434" s="62"/>
    </row>
    <row r="435" ht="15.75" customHeight="1">
      <c r="A435" s="2"/>
      <c r="B435" s="2"/>
      <c r="C435" s="2"/>
      <c r="D435" s="2"/>
      <c r="E435" s="2"/>
      <c r="F435" s="2"/>
      <c r="G435" s="2"/>
      <c r="H435" s="2"/>
      <c r="I435" s="74"/>
      <c r="J435" s="74"/>
      <c r="K435" s="74"/>
      <c r="L435" s="74"/>
      <c r="M435" s="2"/>
      <c r="N435" s="2"/>
      <c r="O435" s="2"/>
      <c r="P435" s="74"/>
      <c r="Q435" s="2"/>
      <c r="R435" s="2"/>
      <c r="S435" s="76"/>
      <c r="T435" s="2"/>
      <c r="U435" s="62"/>
      <c r="V435" s="62"/>
      <c r="W435" s="62"/>
      <c r="X435" s="62"/>
      <c r="Y435" s="62"/>
      <c r="Z435" s="62"/>
    </row>
    <row r="436" ht="15.75" customHeight="1">
      <c r="A436" s="2"/>
      <c r="B436" s="2"/>
      <c r="C436" s="2"/>
      <c r="D436" s="2"/>
      <c r="E436" s="2"/>
      <c r="F436" s="2"/>
      <c r="G436" s="2"/>
      <c r="H436" s="2"/>
      <c r="I436" s="74"/>
      <c r="J436" s="74"/>
      <c r="K436" s="74"/>
      <c r="L436" s="74"/>
      <c r="M436" s="2"/>
      <c r="N436" s="2"/>
      <c r="O436" s="2"/>
      <c r="P436" s="74"/>
      <c r="Q436" s="2"/>
      <c r="R436" s="2"/>
      <c r="S436" s="76"/>
      <c r="T436" s="2"/>
      <c r="U436" s="62"/>
      <c r="V436" s="62"/>
      <c r="W436" s="62"/>
      <c r="X436" s="62"/>
      <c r="Y436" s="62"/>
      <c r="Z436" s="62"/>
    </row>
    <row r="437" ht="15.75" customHeight="1">
      <c r="A437" s="2"/>
      <c r="B437" s="2"/>
      <c r="C437" s="2"/>
      <c r="D437" s="2"/>
      <c r="E437" s="2"/>
      <c r="F437" s="2"/>
      <c r="G437" s="2"/>
      <c r="H437" s="2"/>
      <c r="I437" s="74"/>
      <c r="J437" s="74"/>
      <c r="K437" s="74"/>
      <c r="L437" s="74"/>
      <c r="M437" s="2"/>
      <c r="N437" s="2"/>
      <c r="O437" s="2"/>
      <c r="P437" s="74"/>
      <c r="Q437" s="2"/>
      <c r="R437" s="2"/>
      <c r="S437" s="76"/>
      <c r="T437" s="2"/>
      <c r="U437" s="62"/>
      <c r="V437" s="62"/>
      <c r="W437" s="62"/>
      <c r="X437" s="62"/>
      <c r="Y437" s="62"/>
      <c r="Z437" s="62"/>
    </row>
    <row r="438" ht="15.75" customHeight="1">
      <c r="A438" s="2"/>
      <c r="B438" s="2"/>
      <c r="C438" s="2"/>
      <c r="D438" s="2"/>
      <c r="E438" s="2"/>
      <c r="F438" s="2"/>
      <c r="G438" s="2"/>
      <c r="H438" s="2"/>
      <c r="I438" s="74"/>
      <c r="J438" s="74"/>
      <c r="K438" s="74"/>
      <c r="L438" s="74"/>
      <c r="M438" s="2"/>
      <c r="N438" s="2"/>
      <c r="O438" s="2"/>
      <c r="P438" s="74"/>
      <c r="Q438" s="2"/>
      <c r="R438" s="2"/>
      <c r="S438" s="76"/>
      <c r="T438" s="2"/>
      <c r="U438" s="62"/>
      <c r="V438" s="62"/>
      <c r="W438" s="62"/>
      <c r="X438" s="62"/>
      <c r="Y438" s="62"/>
      <c r="Z438" s="62"/>
    </row>
    <row r="439" ht="15.75" customHeight="1">
      <c r="A439" s="2"/>
      <c r="B439" s="2"/>
      <c r="C439" s="2"/>
      <c r="D439" s="2"/>
      <c r="E439" s="2"/>
      <c r="F439" s="2"/>
      <c r="G439" s="2"/>
      <c r="H439" s="2"/>
      <c r="I439" s="74"/>
      <c r="J439" s="74"/>
      <c r="K439" s="74"/>
      <c r="L439" s="74"/>
      <c r="M439" s="2"/>
      <c r="N439" s="2"/>
      <c r="O439" s="2"/>
      <c r="P439" s="74"/>
      <c r="Q439" s="2"/>
      <c r="R439" s="2"/>
      <c r="S439" s="76"/>
      <c r="T439" s="2"/>
      <c r="U439" s="62"/>
      <c r="V439" s="62"/>
      <c r="W439" s="62"/>
      <c r="X439" s="62"/>
      <c r="Y439" s="62"/>
      <c r="Z439" s="62"/>
    </row>
    <row r="440" ht="15.75" customHeight="1">
      <c r="A440" s="2"/>
      <c r="B440" s="2"/>
      <c r="C440" s="2"/>
      <c r="D440" s="2"/>
      <c r="E440" s="2"/>
      <c r="F440" s="2"/>
      <c r="G440" s="2"/>
      <c r="H440" s="2"/>
      <c r="I440" s="74"/>
      <c r="J440" s="74"/>
      <c r="K440" s="74"/>
      <c r="L440" s="74"/>
      <c r="M440" s="2"/>
      <c r="N440" s="2"/>
      <c r="O440" s="2"/>
      <c r="P440" s="74"/>
      <c r="Q440" s="2"/>
      <c r="R440" s="2"/>
      <c r="S440" s="76"/>
      <c r="T440" s="2"/>
      <c r="U440" s="62"/>
      <c r="V440" s="62"/>
      <c r="W440" s="62"/>
      <c r="X440" s="62"/>
      <c r="Y440" s="62"/>
      <c r="Z440" s="62"/>
    </row>
    <row r="441" ht="15.75" customHeight="1">
      <c r="A441" s="2"/>
      <c r="B441" s="2"/>
      <c r="C441" s="2"/>
      <c r="D441" s="2"/>
      <c r="E441" s="2"/>
      <c r="F441" s="2"/>
      <c r="G441" s="2"/>
      <c r="H441" s="2"/>
      <c r="I441" s="74"/>
      <c r="J441" s="74"/>
      <c r="K441" s="74"/>
      <c r="L441" s="74"/>
      <c r="M441" s="2"/>
      <c r="N441" s="2"/>
      <c r="O441" s="2"/>
      <c r="P441" s="74"/>
      <c r="Q441" s="2"/>
      <c r="R441" s="2"/>
      <c r="S441" s="76"/>
      <c r="T441" s="2"/>
      <c r="U441" s="62"/>
      <c r="V441" s="62"/>
      <c r="W441" s="62"/>
      <c r="X441" s="62"/>
      <c r="Y441" s="62"/>
      <c r="Z441" s="62"/>
    </row>
    <row r="442" ht="15.75" customHeight="1">
      <c r="A442" s="2"/>
      <c r="B442" s="2"/>
      <c r="C442" s="2"/>
      <c r="D442" s="2"/>
      <c r="E442" s="2"/>
      <c r="F442" s="2"/>
      <c r="G442" s="2"/>
      <c r="H442" s="2"/>
      <c r="I442" s="74"/>
      <c r="J442" s="74"/>
      <c r="K442" s="74"/>
      <c r="L442" s="74"/>
      <c r="M442" s="2"/>
      <c r="N442" s="2"/>
      <c r="O442" s="2"/>
      <c r="P442" s="74"/>
      <c r="Q442" s="2"/>
      <c r="R442" s="2"/>
      <c r="S442" s="76"/>
      <c r="T442" s="2"/>
      <c r="U442" s="62"/>
      <c r="V442" s="62"/>
      <c r="W442" s="62"/>
      <c r="X442" s="62"/>
      <c r="Y442" s="62"/>
      <c r="Z442" s="62"/>
    </row>
    <row r="443" ht="15.75" customHeight="1">
      <c r="A443" s="2"/>
      <c r="B443" s="2"/>
      <c r="C443" s="2"/>
      <c r="D443" s="2"/>
      <c r="E443" s="2"/>
      <c r="F443" s="2"/>
      <c r="G443" s="2"/>
      <c r="H443" s="2"/>
      <c r="I443" s="74"/>
      <c r="J443" s="74"/>
      <c r="K443" s="74"/>
      <c r="L443" s="74"/>
      <c r="M443" s="2"/>
      <c r="N443" s="2"/>
      <c r="O443" s="2"/>
      <c r="P443" s="74"/>
      <c r="Q443" s="2"/>
      <c r="R443" s="2"/>
      <c r="S443" s="76"/>
      <c r="T443" s="2"/>
      <c r="U443" s="62"/>
      <c r="V443" s="62"/>
      <c r="W443" s="62"/>
      <c r="X443" s="62"/>
      <c r="Y443" s="62"/>
      <c r="Z443" s="62"/>
    </row>
    <row r="444" ht="15.75" customHeight="1">
      <c r="A444" s="2"/>
      <c r="B444" s="2"/>
      <c r="C444" s="2"/>
      <c r="D444" s="2"/>
      <c r="E444" s="2"/>
      <c r="F444" s="2"/>
      <c r="G444" s="2"/>
      <c r="H444" s="2"/>
      <c r="I444" s="74"/>
      <c r="J444" s="74"/>
      <c r="K444" s="74"/>
      <c r="L444" s="74"/>
      <c r="M444" s="2"/>
      <c r="N444" s="2"/>
      <c r="O444" s="2"/>
      <c r="P444" s="74"/>
      <c r="Q444" s="2"/>
      <c r="R444" s="2"/>
      <c r="S444" s="76"/>
      <c r="T444" s="2"/>
      <c r="U444" s="62"/>
      <c r="V444" s="62"/>
      <c r="W444" s="62"/>
      <c r="X444" s="62"/>
      <c r="Y444" s="62"/>
      <c r="Z444" s="62"/>
    </row>
    <row r="445" ht="15.75" customHeight="1">
      <c r="A445" s="2"/>
      <c r="B445" s="2"/>
      <c r="C445" s="2"/>
      <c r="D445" s="2"/>
      <c r="E445" s="2"/>
      <c r="F445" s="2"/>
      <c r="G445" s="2"/>
      <c r="H445" s="2"/>
      <c r="I445" s="74"/>
      <c r="J445" s="74"/>
      <c r="K445" s="74"/>
      <c r="L445" s="74"/>
      <c r="M445" s="2"/>
      <c r="N445" s="2"/>
      <c r="O445" s="2"/>
      <c r="P445" s="74"/>
      <c r="Q445" s="2"/>
      <c r="R445" s="2"/>
      <c r="S445" s="76"/>
      <c r="T445" s="2"/>
      <c r="U445" s="62"/>
      <c r="V445" s="62"/>
      <c r="W445" s="62"/>
      <c r="X445" s="62"/>
      <c r="Y445" s="62"/>
      <c r="Z445" s="62"/>
    </row>
    <row r="446" ht="15.75" customHeight="1">
      <c r="A446" s="2"/>
      <c r="B446" s="2"/>
      <c r="C446" s="2"/>
      <c r="D446" s="2"/>
      <c r="E446" s="2"/>
      <c r="F446" s="2"/>
      <c r="G446" s="2"/>
      <c r="H446" s="2"/>
      <c r="I446" s="74"/>
      <c r="J446" s="74"/>
      <c r="K446" s="74"/>
      <c r="L446" s="74"/>
      <c r="M446" s="2"/>
      <c r="N446" s="2"/>
      <c r="O446" s="2"/>
      <c r="P446" s="74"/>
      <c r="Q446" s="2"/>
      <c r="R446" s="2"/>
      <c r="S446" s="76"/>
      <c r="T446" s="2"/>
      <c r="U446" s="62"/>
      <c r="V446" s="62"/>
      <c r="W446" s="62"/>
      <c r="X446" s="62"/>
      <c r="Y446" s="62"/>
      <c r="Z446" s="62"/>
    </row>
    <row r="447" ht="15.75" customHeight="1">
      <c r="A447" s="2"/>
      <c r="B447" s="2"/>
      <c r="C447" s="2"/>
      <c r="D447" s="2"/>
      <c r="E447" s="2"/>
      <c r="F447" s="2"/>
      <c r="G447" s="2"/>
      <c r="H447" s="2"/>
      <c r="I447" s="74"/>
      <c r="J447" s="74"/>
      <c r="K447" s="74"/>
      <c r="L447" s="74"/>
      <c r="M447" s="2"/>
      <c r="N447" s="2"/>
      <c r="O447" s="2"/>
      <c r="P447" s="74"/>
      <c r="Q447" s="2"/>
      <c r="R447" s="2"/>
      <c r="S447" s="76"/>
      <c r="T447" s="2"/>
      <c r="U447" s="62"/>
      <c r="V447" s="62"/>
      <c r="W447" s="62"/>
      <c r="X447" s="62"/>
      <c r="Y447" s="62"/>
      <c r="Z447" s="62"/>
    </row>
    <row r="448" ht="15.75" customHeight="1">
      <c r="A448" s="2"/>
      <c r="B448" s="2"/>
      <c r="C448" s="2"/>
      <c r="D448" s="2"/>
      <c r="E448" s="2"/>
      <c r="F448" s="2"/>
      <c r="G448" s="2"/>
      <c r="H448" s="2"/>
      <c r="I448" s="74"/>
      <c r="J448" s="74"/>
      <c r="K448" s="74"/>
      <c r="L448" s="74"/>
      <c r="M448" s="2"/>
      <c r="N448" s="2"/>
      <c r="O448" s="2"/>
      <c r="P448" s="74"/>
      <c r="Q448" s="2"/>
      <c r="R448" s="2"/>
      <c r="S448" s="76"/>
      <c r="T448" s="2"/>
      <c r="U448" s="62"/>
      <c r="V448" s="62"/>
      <c r="W448" s="62"/>
      <c r="X448" s="62"/>
      <c r="Y448" s="62"/>
      <c r="Z448" s="62"/>
    </row>
    <row r="449" ht="15.75" customHeight="1">
      <c r="A449" s="2"/>
      <c r="B449" s="2"/>
      <c r="C449" s="2"/>
      <c r="D449" s="2"/>
      <c r="E449" s="2"/>
      <c r="F449" s="2"/>
      <c r="G449" s="2"/>
      <c r="H449" s="2"/>
      <c r="I449" s="74"/>
      <c r="J449" s="74"/>
      <c r="K449" s="74"/>
      <c r="L449" s="74"/>
      <c r="M449" s="2"/>
      <c r="N449" s="2"/>
      <c r="O449" s="2"/>
      <c r="P449" s="74"/>
      <c r="Q449" s="2"/>
      <c r="R449" s="2"/>
      <c r="S449" s="76"/>
      <c r="T449" s="2"/>
      <c r="U449" s="62"/>
      <c r="V449" s="62"/>
      <c r="W449" s="62"/>
      <c r="X449" s="62"/>
      <c r="Y449" s="62"/>
      <c r="Z449" s="62"/>
    </row>
    <row r="450" ht="15.75" customHeight="1">
      <c r="A450" s="2"/>
      <c r="B450" s="2"/>
      <c r="C450" s="2"/>
      <c r="D450" s="2"/>
      <c r="E450" s="2"/>
      <c r="F450" s="2"/>
      <c r="G450" s="2"/>
      <c r="H450" s="2"/>
      <c r="I450" s="74"/>
      <c r="J450" s="74"/>
      <c r="K450" s="74"/>
      <c r="L450" s="74"/>
      <c r="M450" s="2"/>
      <c r="N450" s="2"/>
      <c r="O450" s="2"/>
      <c r="P450" s="74"/>
      <c r="Q450" s="2"/>
      <c r="R450" s="2"/>
      <c r="S450" s="76"/>
      <c r="T450" s="2"/>
      <c r="U450" s="62"/>
      <c r="V450" s="62"/>
      <c r="W450" s="62"/>
      <c r="X450" s="62"/>
      <c r="Y450" s="62"/>
      <c r="Z450" s="62"/>
    </row>
    <row r="451" ht="15.75" customHeight="1">
      <c r="A451" s="2"/>
      <c r="B451" s="2"/>
      <c r="C451" s="2"/>
      <c r="D451" s="2"/>
      <c r="E451" s="2"/>
      <c r="F451" s="2"/>
      <c r="G451" s="2"/>
      <c r="H451" s="2"/>
      <c r="I451" s="74"/>
      <c r="J451" s="74"/>
      <c r="K451" s="74"/>
      <c r="L451" s="74"/>
      <c r="M451" s="2"/>
      <c r="N451" s="2"/>
      <c r="O451" s="2"/>
      <c r="P451" s="74"/>
      <c r="Q451" s="2"/>
      <c r="R451" s="2"/>
      <c r="S451" s="76"/>
      <c r="T451" s="2"/>
      <c r="U451" s="62"/>
      <c r="V451" s="62"/>
      <c r="W451" s="62"/>
      <c r="X451" s="62"/>
      <c r="Y451" s="62"/>
      <c r="Z451" s="62"/>
    </row>
    <row r="452" ht="15.75" customHeight="1">
      <c r="A452" s="2"/>
      <c r="B452" s="2"/>
      <c r="C452" s="2"/>
      <c r="D452" s="2"/>
      <c r="E452" s="2"/>
      <c r="F452" s="2"/>
      <c r="G452" s="2"/>
      <c r="H452" s="2"/>
      <c r="I452" s="74"/>
      <c r="J452" s="74"/>
      <c r="K452" s="74"/>
      <c r="L452" s="74"/>
      <c r="M452" s="2"/>
      <c r="N452" s="2"/>
      <c r="O452" s="2"/>
      <c r="P452" s="74"/>
      <c r="Q452" s="2"/>
      <c r="R452" s="2"/>
      <c r="S452" s="76"/>
      <c r="T452" s="2"/>
      <c r="U452" s="62"/>
      <c r="V452" s="62"/>
      <c r="W452" s="62"/>
      <c r="X452" s="62"/>
      <c r="Y452" s="62"/>
      <c r="Z452" s="62"/>
    </row>
    <row r="453" ht="15.75" customHeight="1">
      <c r="A453" s="2"/>
      <c r="B453" s="2"/>
      <c r="C453" s="2"/>
      <c r="D453" s="2"/>
      <c r="E453" s="2"/>
      <c r="F453" s="2"/>
      <c r="G453" s="2"/>
      <c r="H453" s="2"/>
      <c r="I453" s="74"/>
      <c r="J453" s="74"/>
      <c r="K453" s="74"/>
      <c r="L453" s="74"/>
      <c r="M453" s="2"/>
      <c r="N453" s="2"/>
      <c r="O453" s="2"/>
      <c r="P453" s="74"/>
      <c r="Q453" s="2"/>
      <c r="R453" s="2"/>
      <c r="S453" s="76"/>
      <c r="T453" s="2"/>
      <c r="U453" s="62"/>
      <c r="V453" s="62"/>
      <c r="W453" s="62"/>
      <c r="X453" s="62"/>
      <c r="Y453" s="62"/>
      <c r="Z453" s="62"/>
    </row>
    <row r="454" ht="15.75" customHeight="1">
      <c r="A454" s="2"/>
      <c r="B454" s="2"/>
      <c r="C454" s="2"/>
      <c r="D454" s="2"/>
      <c r="E454" s="2"/>
      <c r="F454" s="2"/>
      <c r="G454" s="2"/>
      <c r="H454" s="2"/>
      <c r="I454" s="74"/>
      <c r="J454" s="74"/>
      <c r="K454" s="74"/>
      <c r="L454" s="74"/>
      <c r="M454" s="2"/>
      <c r="N454" s="2"/>
      <c r="O454" s="2"/>
      <c r="P454" s="74"/>
      <c r="Q454" s="2"/>
      <c r="R454" s="2"/>
      <c r="S454" s="76"/>
      <c r="T454" s="2"/>
      <c r="U454" s="62"/>
      <c r="V454" s="62"/>
      <c r="W454" s="62"/>
      <c r="X454" s="62"/>
      <c r="Y454" s="62"/>
      <c r="Z454" s="62"/>
    </row>
    <row r="455" ht="15.75" customHeight="1">
      <c r="A455" s="2"/>
      <c r="B455" s="2"/>
      <c r="C455" s="2"/>
      <c r="D455" s="2"/>
      <c r="E455" s="2"/>
      <c r="F455" s="2"/>
      <c r="G455" s="2"/>
      <c r="H455" s="2"/>
      <c r="I455" s="74"/>
      <c r="J455" s="74"/>
      <c r="K455" s="74"/>
      <c r="L455" s="74"/>
      <c r="M455" s="2"/>
      <c r="N455" s="2"/>
      <c r="O455" s="2"/>
      <c r="P455" s="74"/>
      <c r="Q455" s="2"/>
      <c r="R455" s="2"/>
      <c r="S455" s="76"/>
      <c r="T455" s="2"/>
      <c r="U455" s="62"/>
      <c r="V455" s="62"/>
      <c r="W455" s="62"/>
      <c r="X455" s="62"/>
      <c r="Y455" s="62"/>
      <c r="Z455" s="62"/>
    </row>
    <row r="456" ht="15.75" customHeight="1">
      <c r="A456" s="2"/>
      <c r="B456" s="2"/>
      <c r="C456" s="2"/>
      <c r="D456" s="2"/>
      <c r="E456" s="2"/>
      <c r="F456" s="2"/>
      <c r="G456" s="2"/>
      <c r="H456" s="2"/>
      <c r="I456" s="74"/>
      <c r="J456" s="74"/>
      <c r="K456" s="74"/>
      <c r="L456" s="74"/>
      <c r="M456" s="2"/>
      <c r="N456" s="2"/>
      <c r="O456" s="2"/>
      <c r="P456" s="74"/>
      <c r="Q456" s="2"/>
      <c r="R456" s="2"/>
      <c r="S456" s="76"/>
      <c r="T456" s="2"/>
      <c r="U456" s="62"/>
      <c r="V456" s="62"/>
      <c r="W456" s="62"/>
      <c r="X456" s="62"/>
      <c r="Y456" s="62"/>
      <c r="Z456" s="62"/>
    </row>
    <row r="457" ht="15.75" customHeight="1">
      <c r="A457" s="2"/>
      <c r="B457" s="2"/>
      <c r="C457" s="2"/>
      <c r="D457" s="2"/>
      <c r="E457" s="2"/>
      <c r="F457" s="2"/>
      <c r="G457" s="2"/>
      <c r="H457" s="2"/>
      <c r="I457" s="74"/>
      <c r="J457" s="74"/>
      <c r="K457" s="74"/>
      <c r="L457" s="74"/>
      <c r="M457" s="2"/>
      <c r="N457" s="2"/>
      <c r="O457" s="2"/>
      <c r="P457" s="74"/>
      <c r="Q457" s="2"/>
      <c r="R457" s="2"/>
      <c r="S457" s="76"/>
      <c r="T457" s="2"/>
      <c r="U457" s="62"/>
      <c r="V457" s="62"/>
      <c r="W457" s="62"/>
      <c r="X457" s="62"/>
      <c r="Y457" s="62"/>
      <c r="Z457" s="62"/>
    </row>
    <row r="458" ht="15.75" customHeight="1">
      <c r="A458" s="2"/>
      <c r="B458" s="2"/>
      <c r="C458" s="2"/>
      <c r="D458" s="2"/>
      <c r="E458" s="2"/>
      <c r="F458" s="2"/>
      <c r="G458" s="2"/>
      <c r="H458" s="2"/>
      <c r="I458" s="74"/>
      <c r="J458" s="74"/>
      <c r="K458" s="74"/>
      <c r="L458" s="74"/>
      <c r="M458" s="2"/>
      <c r="N458" s="2"/>
      <c r="O458" s="2"/>
      <c r="P458" s="74"/>
      <c r="Q458" s="2"/>
      <c r="R458" s="2"/>
      <c r="S458" s="76"/>
      <c r="T458" s="2"/>
      <c r="U458" s="62"/>
      <c r="V458" s="62"/>
      <c r="W458" s="62"/>
      <c r="X458" s="62"/>
      <c r="Y458" s="62"/>
      <c r="Z458" s="62"/>
    </row>
    <row r="459" ht="15.75" customHeight="1">
      <c r="A459" s="2"/>
      <c r="B459" s="2"/>
      <c r="C459" s="2"/>
      <c r="D459" s="2"/>
      <c r="E459" s="2"/>
      <c r="F459" s="2"/>
      <c r="G459" s="2"/>
      <c r="H459" s="2"/>
      <c r="I459" s="74"/>
      <c r="J459" s="74"/>
      <c r="K459" s="74"/>
      <c r="L459" s="74"/>
      <c r="M459" s="2"/>
      <c r="N459" s="2"/>
      <c r="O459" s="2"/>
      <c r="P459" s="74"/>
      <c r="Q459" s="2"/>
      <c r="R459" s="2"/>
      <c r="S459" s="76"/>
      <c r="T459" s="2"/>
      <c r="U459" s="62"/>
      <c r="V459" s="62"/>
      <c r="W459" s="62"/>
      <c r="X459" s="62"/>
      <c r="Y459" s="62"/>
      <c r="Z459" s="62"/>
    </row>
    <row r="460" ht="15.75" customHeight="1">
      <c r="A460" s="2"/>
      <c r="B460" s="2"/>
      <c r="C460" s="2"/>
      <c r="D460" s="2"/>
      <c r="E460" s="2"/>
      <c r="F460" s="2"/>
      <c r="G460" s="2"/>
      <c r="H460" s="2"/>
      <c r="I460" s="74"/>
      <c r="J460" s="74"/>
      <c r="K460" s="74"/>
      <c r="L460" s="74"/>
      <c r="M460" s="2"/>
      <c r="N460" s="2"/>
      <c r="O460" s="2"/>
      <c r="P460" s="74"/>
      <c r="Q460" s="2"/>
      <c r="R460" s="2"/>
      <c r="S460" s="76"/>
      <c r="T460" s="2"/>
      <c r="U460" s="62"/>
      <c r="V460" s="62"/>
      <c r="W460" s="62"/>
      <c r="X460" s="62"/>
      <c r="Y460" s="62"/>
      <c r="Z460" s="62"/>
    </row>
    <row r="461" ht="15.75" customHeight="1">
      <c r="A461" s="2"/>
      <c r="B461" s="2"/>
      <c r="C461" s="2"/>
      <c r="D461" s="2"/>
      <c r="E461" s="2"/>
      <c r="F461" s="2"/>
      <c r="G461" s="2"/>
      <c r="H461" s="2"/>
      <c r="I461" s="74"/>
      <c r="J461" s="74"/>
      <c r="K461" s="74"/>
      <c r="L461" s="74"/>
      <c r="M461" s="2"/>
      <c r="N461" s="2"/>
      <c r="O461" s="2"/>
      <c r="P461" s="74"/>
      <c r="Q461" s="2"/>
      <c r="R461" s="2"/>
      <c r="S461" s="76"/>
      <c r="T461" s="2"/>
      <c r="U461" s="62"/>
      <c r="V461" s="62"/>
      <c r="W461" s="62"/>
      <c r="X461" s="62"/>
      <c r="Y461" s="62"/>
      <c r="Z461" s="62"/>
    </row>
    <row r="462" ht="15.75" customHeight="1">
      <c r="A462" s="2"/>
      <c r="B462" s="2"/>
      <c r="C462" s="2"/>
      <c r="D462" s="2"/>
      <c r="E462" s="2"/>
      <c r="F462" s="2"/>
      <c r="G462" s="2"/>
      <c r="H462" s="2"/>
      <c r="I462" s="74"/>
      <c r="J462" s="74"/>
      <c r="K462" s="74"/>
      <c r="L462" s="74"/>
      <c r="M462" s="2"/>
      <c r="N462" s="2"/>
      <c r="O462" s="2"/>
      <c r="P462" s="74"/>
      <c r="Q462" s="2"/>
      <c r="R462" s="2"/>
      <c r="S462" s="76"/>
      <c r="T462" s="2"/>
      <c r="U462" s="62"/>
      <c r="V462" s="62"/>
      <c r="W462" s="62"/>
      <c r="X462" s="62"/>
      <c r="Y462" s="62"/>
      <c r="Z462" s="62"/>
    </row>
    <row r="463" ht="15.75" customHeight="1">
      <c r="A463" s="2"/>
      <c r="B463" s="2"/>
      <c r="C463" s="2"/>
      <c r="D463" s="2"/>
      <c r="E463" s="2"/>
      <c r="F463" s="2"/>
      <c r="G463" s="2"/>
      <c r="H463" s="2"/>
      <c r="I463" s="74"/>
      <c r="J463" s="74"/>
      <c r="K463" s="74"/>
      <c r="L463" s="74"/>
      <c r="M463" s="2"/>
      <c r="N463" s="2"/>
      <c r="O463" s="2"/>
      <c r="P463" s="74"/>
      <c r="Q463" s="2"/>
      <c r="R463" s="2"/>
      <c r="S463" s="76"/>
      <c r="T463" s="2"/>
      <c r="U463" s="62"/>
      <c r="V463" s="62"/>
      <c r="W463" s="62"/>
      <c r="X463" s="62"/>
      <c r="Y463" s="62"/>
      <c r="Z463" s="62"/>
    </row>
    <row r="464" ht="15.75" customHeight="1">
      <c r="A464" s="2"/>
      <c r="B464" s="2"/>
      <c r="C464" s="2"/>
      <c r="D464" s="2"/>
      <c r="E464" s="2"/>
      <c r="F464" s="2"/>
      <c r="G464" s="2"/>
      <c r="H464" s="2"/>
      <c r="I464" s="74"/>
      <c r="J464" s="74"/>
      <c r="K464" s="74"/>
      <c r="L464" s="74"/>
      <c r="M464" s="2"/>
      <c r="N464" s="2"/>
      <c r="O464" s="2"/>
      <c r="P464" s="74"/>
      <c r="Q464" s="2"/>
      <c r="R464" s="2"/>
      <c r="S464" s="76"/>
      <c r="T464" s="2"/>
      <c r="U464" s="62"/>
      <c r="V464" s="62"/>
      <c r="W464" s="62"/>
      <c r="X464" s="62"/>
      <c r="Y464" s="62"/>
      <c r="Z464" s="62"/>
    </row>
    <row r="465" ht="15.75" customHeight="1">
      <c r="A465" s="2"/>
      <c r="B465" s="2"/>
      <c r="C465" s="2"/>
      <c r="D465" s="2"/>
      <c r="E465" s="2"/>
      <c r="F465" s="2"/>
      <c r="G465" s="2"/>
      <c r="H465" s="2"/>
      <c r="I465" s="74"/>
      <c r="J465" s="74"/>
      <c r="K465" s="74"/>
      <c r="L465" s="74"/>
      <c r="M465" s="2"/>
      <c r="N465" s="2"/>
      <c r="O465" s="2"/>
      <c r="P465" s="74"/>
      <c r="Q465" s="2"/>
      <c r="R465" s="2"/>
      <c r="S465" s="76"/>
      <c r="T465" s="2"/>
      <c r="U465" s="62"/>
      <c r="V465" s="62"/>
      <c r="W465" s="62"/>
      <c r="X465" s="62"/>
      <c r="Y465" s="62"/>
      <c r="Z465" s="62"/>
    </row>
    <row r="466" ht="15.75" customHeight="1">
      <c r="A466" s="2"/>
      <c r="B466" s="2"/>
      <c r="C466" s="2"/>
      <c r="D466" s="2"/>
      <c r="E466" s="2"/>
      <c r="F466" s="2"/>
      <c r="G466" s="2"/>
      <c r="H466" s="2"/>
      <c r="I466" s="74"/>
      <c r="J466" s="74"/>
      <c r="K466" s="74"/>
      <c r="L466" s="74"/>
      <c r="M466" s="2"/>
      <c r="N466" s="2"/>
      <c r="O466" s="2"/>
      <c r="P466" s="74"/>
      <c r="Q466" s="2"/>
      <c r="R466" s="2"/>
      <c r="S466" s="76"/>
      <c r="T466" s="2"/>
      <c r="U466" s="62"/>
      <c r="V466" s="62"/>
      <c r="W466" s="62"/>
      <c r="X466" s="62"/>
      <c r="Y466" s="62"/>
      <c r="Z466" s="62"/>
    </row>
    <row r="467" ht="15.75" customHeight="1">
      <c r="A467" s="2"/>
      <c r="B467" s="2"/>
      <c r="C467" s="2"/>
      <c r="D467" s="2"/>
      <c r="E467" s="2"/>
      <c r="F467" s="2"/>
      <c r="G467" s="2"/>
      <c r="H467" s="2"/>
      <c r="I467" s="74"/>
      <c r="J467" s="74"/>
      <c r="K467" s="74"/>
      <c r="L467" s="74"/>
      <c r="M467" s="2"/>
      <c r="N467" s="2"/>
      <c r="O467" s="2"/>
      <c r="P467" s="74"/>
      <c r="Q467" s="2"/>
      <c r="R467" s="2"/>
      <c r="S467" s="76"/>
      <c r="T467" s="2"/>
      <c r="U467" s="62"/>
      <c r="V467" s="62"/>
      <c r="W467" s="62"/>
      <c r="X467" s="62"/>
      <c r="Y467" s="62"/>
      <c r="Z467" s="62"/>
    </row>
    <row r="468" ht="15.75" customHeight="1">
      <c r="A468" s="2"/>
      <c r="B468" s="2"/>
      <c r="C468" s="2"/>
      <c r="D468" s="2"/>
      <c r="E468" s="2"/>
      <c r="F468" s="2"/>
      <c r="G468" s="2"/>
      <c r="H468" s="2"/>
      <c r="I468" s="74"/>
      <c r="J468" s="74"/>
      <c r="K468" s="74"/>
      <c r="L468" s="74"/>
      <c r="M468" s="2"/>
      <c r="N468" s="2"/>
      <c r="O468" s="2"/>
      <c r="P468" s="74"/>
      <c r="Q468" s="2"/>
      <c r="R468" s="2"/>
      <c r="S468" s="76"/>
      <c r="T468" s="2"/>
      <c r="U468" s="62"/>
      <c r="V468" s="62"/>
      <c r="W468" s="62"/>
      <c r="X468" s="62"/>
      <c r="Y468" s="62"/>
      <c r="Z468" s="62"/>
    </row>
    <row r="469" ht="15.75" customHeight="1">
      <c r="A469" s="2"/>
      <c r="B469" s="2"/>
      <c r="C469" s="2"/>
      <c r="D469" s="2"/>
      <c r="E469" s="2"/>
      <c r="F469" s="2"/>
      <c r="G469" s="2"/>
      <c r="H469" s="2"/>
      <c r="I469" s="74"/>
      <c r="J469" s="74"/>
      <c r="K469" s="74"/>
      <c r="L469" s="74"/>
      <c r="M469" s="2"/>
      <c r="N469" s="2"/>
      <c r="O469" s="2"/>
      <c r="P469" s="74"/>
      <c r="Q469" s="2"/>
      <c r="R469" s="2"/>
      <c r="S469" s="76"/>
      <c r="T469" s="2"/>
      <c r="U469" s="62"/>
      <c r="V469" s="62"/>
      <c r="W469" s="62"/>
      <c r="X469" s="62"/>
      <c r="Y469" s="62"/>
      <c r="Z469" s="62"/>
    </row>
    <row r="470" ht="15.75" customHeight="1">
      <c r="A470" s="2"/>
      <c r="B470" s="2"/>
      <c r="C470" s="2"/>
      <c r="D470" s="2"/>
      <c r="E470" s="2"/>
      <c r="F470" s="2"/>
      <c r="G470" s="2"/>
      <c r="H470" s="2"/>
      <c r="I470" s="74"/>
      <c r="J470" s="74"/>
      <c r="K470" s="74"/>
      <c r="L470" s="74"/>
      <c r="M470" s="2"/>
      <c r="N470" s="2"/>
      <c r="O470" s="2"/>
      <c r="P470" s="74"/>
      <c r="Q470" s="2"/>
      <c r="R470" s="2"/>
      <c r="S470" s="76"/>
      <c r="T470" s="2"/>
      <c r="U470" s="62"/>
      <c r="V470" s="62"/>
      <c r="W470" s="62"/>
      <c r="X470" s="62"/>
      <c r="Y470" s="62"/>
      <c r="Z470" s="62"/>
    </row>
    <row r="471" ht="15.75" customHeight="1">
      <c r="A471" s="2"/>
      <c r="B471" s="2"/>
      <c r="C471" s="2"/>
      <c r="D471" s="2"/>
      <c r="E471" s="2"/>
      <c r="F471" s="2"/>
      <c r="G471" s="2"/>
      <c r="H471" s="2"/>
      <c r="I471" s="74"/>
      <c r="J471" s="74"/>
      <c r="K471" s="74"/>
      <c r="L471" s="74"/>
      <c r="M471" s="2"/>
      <c r="N471" s="2"/>
      <c r="O471" s="2"/>
      <c r="P471" s="74"/>
      <c r="Q471" s="2"/>
      <c r="R471" s="2"/>
      <c r="S471" s="76"/>
      <c r="T471" s="2"/>
      <c r="U471" s="62"/>
      <c r="V471" s="62"/>
      <c r="W471" s="62"/>
      <c r="X471" s="62"/>
      <c r="Y471" s="62"/>
      <c r="Z471" s="62"/>
    </row>
    <row r="472" ht="15.75" customHeight="1">
      <c r="A472" s="2"/>
      <c r="B472" s="2"/>
      <c r="C472" s="2"/>
      <c r="D472" s="2"/>
      <c r="E472" s="2"/>
      <c r="F472" s="2"/>
      <c r="G472" s="2"/>
      <c r="H472" s="2"/>
      <c r="I472" s="74"/>
      <c r="J472" s="74"/>
      <c r="K472" s="74"/>
      <c r="L472" s="74"/>
      <c r="M472" s="2"/>
      <c r="N472" s="2"/>
      <c r="O472" s="2"/>
      <c r="P472" s="74"/>
      <c r="Q472" s="2"/>
      <c r="R472" s="2"/>
      <c r="S472" s="76"/>
      <c r="T472" s="2"/>
      <c r="U472" s="62"/>
      <c r="V472" s="62"/>
      <c r="W472" s="62"/>
      <c r="X472" s="62"/>
      <c r="Y472" s="62"/>
      <c r="Z472" s="62"/>
    </row>
    <row r="473" ht="15.75" customHeight="1">
      <c r="A473" s="2"/>
      <c r="B473" s="2"/>
      <c r="C473" s="2"/>
      <c r="D473" s="2"/>
      <c r="E473" s="2"/>
      <c r="F473" s="2"/>
      <c r="G473" s="2"/>
      <c r="H473" s="2"/>
      <c r="I473" s="74"/>
      <c r="J473" s="74"/>
      <c r="K473" s="74"/>
      <c r="L473" s="74"/>
      <c r="M473" s="2"/>
      <c r="N473" s="2"/>
      <c r="O473" s="2"/>
      <c r="P473" s="74"/>
      <c r="Q473" s="2"/>
      <c r="R473" s="2"/>
      <c r="S473" s="76"/>
      <c r="T473" s="2"/>
      <c r="U473" s="62"/>
      <c r="V473" s="62"/>
      <c r="W473" s="62"/>
      <c r="X473" s="62"/>
      <c r="Y473" s="62"/>
      <c r="Z473" s="62"/>
    </row>
    <row r="474" ht="15.75" customHeight="1">
      <c r="A474" s="2"/>
      <c r="B474" s="2"/>
      <c r="C474" s="2"/>
      <c r="D474" s="2"/>
      <c r="E474" s="2"/>
      <c r="F474" s="2"/>
      <c r="G474" s="2"/>
      <c r="H474" s="2"/>
      <c r="I474" s="74"/>
      <c r="J474" s="74"/>
      <c r="K474" s="74"/>
      <c r="L474" s="74"/>
      <c r="M474" s="2"/>
      <c r="N474" s="2"/>
      <c r="O474" s="2"/>
      <c r="P474" s="74"/>
      <c r="Q474" s="2"/>
      <c r="R474" s="2"/>
      <c r="S474" s="76"/>
      <c r="T474" s="2"/>
      <c r="U474" s="62"/>
      <c r="V474" s="62"/>
      <c r="W474" s="62"/>
      <c r="X474" s="62"/>
      <c r="Y474" s="62"/>
      <c r="Z474" s="62"/>
    </row>
    <row r="475" ht="15.75" customHeight="1">
      <c r="A475" s="2"/>
      <c r="B475" s="2"/>
      <c r="C475" s="2"/>
      <c r="D475" s="2"/>
      <c r="E475" s="2"/>
      <c r="F475" s="2"/>
      <c r="G475" s="2"/>
      <c r="H475" s="2"/>
      <c r="I475" s="74"/>
      <c r="J475" s="74"/>
      <c r="K475" s="74"/>
      <c r="L475" s="74"/>
      <c r="M475" s="2"/>
      <c r="N475" s="2"/>
      <c r="O475" s="2"/>
      <c r="P475" s="74"/>
      <c r="Q475" s="2"/>
      <c r="R475" s="2"/>
      <c r="S475" s="76"/>
      <c r="T475" s="2"/>
      <c r="U475" s="62"/>
      <c r="V475" s="62"/>
      <c r="W475" s="62"/>
      <c r="X475" s="62"/>
      <c r="Y475" s="62"/>
      <c r="Z475" s="62"/>
    </row>
    <row r="476" ht="15.75" customHeight="1">
      <c r="A476" s="2"/>
      <c r="B476" s="2"/>
      <c r="C476" s="2"/>
      <c r="D476" s="2"/>
      <c r="E476" s="2"/>
      <c r="F476" s="2"/>
      <c r="G476" s="2"/>
      <c r="H476" s="2"/>
      <c r="I476" s="74"/>
      <c r="J476" s="74"/>
      <c r="K476" s="74"/>
      <c r="L476" s="74"/>
      <c r="M476" s="2"/>
      <c r="N476" s="2"/>
      <c r="O476" s="2"/>
      <c r="P476" s="74"/>
      <c r="Q476" s="2"/>
      <c r="R476" s="2"/>
      <c r="S476" s="76"/>
      <c r="T476" s="2"/>
      <c r="U476" s="62"/>
      <c r="V476" s="62"/>
      <c r="W476" s="62"/>
      <c r="X476" s="62"/>
      <c r="Y476" s="62"/>
      <c r="Z476" s="62"/>
    </row>
    <row r="477" ht="15.75" customHeight="1">
      <c r="A477" s="2"/>
      <c r="B477" s="2"/>
      <c r="C477" s="2"/>
      <c r="D477" s="2"/>
      <c r="E477" s="2"/>
      <c r="F477" s="2"/>
      <c r="G477" s="2"/>
      <c r="H477" s="2"/>
      <c r="I477" s="74"/>
      <c r="J477" s="74"/>
      <c r="K477" s="74"/>
      <c r="L477" s="74"/>
      <c r="M477" s="2"/>
      <c r="N477" s="2"/>
      <c r="O477" s="2"/>
      <c r="P477" s="74"/>
      <c r="Q477" s="2"/>
      <c r="R477" s="2"/>
      <c r="S477" s="76"/>
      <c r="T477" s="2"/>
      <c r="U477" s="62"/>
      <c r="V477" s="62"/>
      <c r="W477" s="62"/>
      <c r="X477" s="62"/>
      <c r="Y477" s="62"/>
      <c r="Z477" s="62"/>
    </row>
    <row r="478" ht="15.75" customHeight="1">
      <c r="A478" s="2"/>
      <c r="B478" s="2"/>
      <c r="C478" s="2"/>
      <c r="D478" s="2"/>
      <c r="E478" s="2"/>
      <c r="F478" s="2"/>
      <c r="G478" s="2"/>
      <c r="H478" s="2"/>
      <c r="I478" s="74"/>
      <c r="J478" s="74"/>
      <c r="K478" s="74"/>
      <c r="L478" s="74"/>
      <c r="M478" s="2"/>
      <c r="N478" s="2"/>
      <c r="O478" s="2"/>
      <c r="P478" s="74"/>
      <c r="Q478" s="2"/>
      <c r="R478" s="2"/>
      <c r="S478" s="76"/>
      <c r="T478" s="2"/>
      <c r="U478" s="62"/>
      <c r="V478" s="62"/>
      <c r="W478" s="62"/>
      <c r="X478" s="62"/>
      <c r="Y478" s="62"/>
      <c r="Z478" s="62"/>
    </row>
    <row r="479" ht="15.75" customHeight="1">
      <c r="A479" s="2"/>
      <c r="B479" s="2"/>
      <c r="C479" s="2"/>
      <c r="D479" s="2"/>
      <c r="E479" s="2"/>
      <c r="F479" s="2"/>
      <c r="G479" s="2"/>
      <c r="H479" s="2"/>
      <c r="I479" s="74"/>
      <c r="J479" s="74"/>
      <c r="K479" s="74"/>
      <c r="L479" s="74"/>
      <c r="M479" s="2"/>
      <c r="N479" s="2"/>
      <c r="O479" s="2"/>
      <c r="P479" s="74"/>
      <c r="Q479" s="2"/>
      <c r="R479" s="2"/>
      <c r="S479" s="76"/>
      <c r="T479" s="2"/>
      <c r="U479" s="62"/>
      <c r="V479" s="62"/>
      <c r="W479" s="62"/>
      <c r="X479" s="62"/>
      <c r="Y479" s="62"/>
      <c r="Z479" s="62"/>
    </row>
    <row r="480" ht="15.75" customHeight="1">
      <c r="A480" s="2"/>
      <c r="B480" s="2"/>
      <c r="C480" s="2"/>
      <c r="D480" s="2"/>
      <c r="E480" s="2"/>
      <c r="F480" s="2"/>
      <c r="G480" s="2"/>
      <c r="H480" s="2"/>
      <c r="I480" s="74"/>
      <c r="J480" s="74"/>
      <c r="K480" s="74"/>
      <c r="L480" s="74"/>
      <c r="M480" s="2"/>
      <c r="N480" s="2"/>
      <c r="O480" s="2"/>
      <c r="P480" s="74"/>
      <c r="Q480" s="2"/>
      <c r="R480" s="2"/>
      <c r="S480" s="76"/>
      <c r="T480" s="2"/>
      <c r="U480" s="62"/>
      <c r="V480" s="62"/>
      <c r="W480" s="62"/>
      <c r="X480" s="62"/>
      <c r="Y480" s="62"/>
      <c r="Z480" s="62"/>
    </row>
    <row r="481" ht="15.75" customHeight="1">
      <c r="A481" s="2"/>
      <c r="B481" s="2"/>
      <c r="C481" s="2"/>
      <c r="D481" s="2"/>
      <c r="E481" s="2"/>
      <c r="F481" s="2"/>
      <c r="G481" s="2"/>
      <c r="H481" s="2"/>
      <c r="I481" s="74"/>
      <c r="J481" s="74"/>
      <c r="K481" s="74"/>
      <c r="L481" s="74"/>
      <c r="M481" s="2"/>
      <c r="N481" s="2"/>
      <c r="O481" s="2"/>
      <c r="P481" s="74"/>
      <c r="Q481" s="2"/>
      <c r="R481" s="2"/>
      <c r="S481" s="76"/>
      <c r="T481" s="2"/>
      <c r="U481" s="62"/>
      <c r="V481" s="62"/>
      <c r="W481" s="62"/>
      <c r="X481" s="62"/>
      <c r="Y481" s="62"/>
      <c r="Z481" s="62"/>
    </row>
    <row r="482" ht="15.75" customHeight="1">
      <c r="A482" s="2"/>
      <c r="B482" s="2"/>
      <c r="C482" s="2"/>
      <c r="D482" s="2"/>
      <c r="E482" s="2"/>
      <c r="F482" s="2"/>
      <c r="G482" s="2"/>
      <c r="H482" s="2"/>
      <c r="I482" s="74"/>
      <c r="J482" s="74"/>
      <c r="K482" s="74"/>
      <c r="L482" s="74"/>
      <c r="M482" s="2"/>
      <c r="N482" s="2"/>
      <c r="O482" s="2"/>
      <c r="P482" s="74"/>
      <c r="Q482" s="2"/>
      <c r="R482" s="2"/>
      <c r="S482" s="76"/>
      <c r="T482" s="2"/>
      <c r="U482" s="62"/>
      <c r="V482" s="62"/>
      <c r="W482" s="62"/>
      <c r="X482" s="62"/>
      <c r="Y482" s="62"/>
      <c r="Z482" s="62"/>
    </row>
    <row r="483" ht="15.75" customHeight="1">
      <c r="A483" s="2"/>
      <c r="B483" s="2"/>
      <c r="C483" s="2"/>
      <c r="D483" s="2"/>
      <c r="E483" s="2"/>
      <c r="F483" s="2"/>
      <c r="G483" s="2"/>
      <c r="H483" s="2"/>
      <c r="I483" s="74"/>
      <c r="J483" s="74"/>
      <c r="K483" s="74"/>
      <c r="L483" s="74"/>
      <c r="M483" s="2"/>
      <c r="N483" s="2"/>
      <c r="O483" s="2"/>
      <c r="P483" s="74"/>
      <c r="Q483" s="2"/>
      <c r="R483" s="2"/>
      <c r="S483" s="76"/>
      <c r="T483" s="2"/>
      <c r="U483" s="62"/>
      <c r="V483" s="62"/>
      <c r="W483" s="62"/>
      <c r="X483" s="62"/>
      <c r="Y483" s="62"/>
      <c r="Z483" s="62"/>
    </row>
    <row r="484" ht="15.75" customHeight="1">
      <c r="A484" s="2"/>
      <c r="B484" s="2"/>
      <c r="C484" s="2"/>
      <c r="D484" s="2"/>
      <c r="E484" s="2"/>
      <c r="F484" s="2"/>
      <c r="G484" s="2"/>
      <c r="H484" s="2"/>
      <c r="I484" s="74"/>
      <c r="J484" s="74"/>
      <c r="K484" s="74"/>
      <c r="L484" s="74"/>
      <c r="M484" s="2"/>
      <c r="N484" s="2"/>
      <c r="O484" s="2"/>
      <c r="P484" s="74"/>
      <c r="Q484" s="2"/>
      <c r="R484" s="2"/>
      <c r="S484" s="76"/>
      <c r="T484" s="2"/>
      <c r="U484" s="62"/>
      <c r="V484" s="62"/>
      <c r="W484" s="62"/>
      <c r="X484" s="62"/>
      <c r="Y484" s="62"/>
      <c r="Z484" s="62"/>
    </row>
    <row r="485" ht="15.75" customHeight="1">
      <c r="A485" s="2"/>
      <c r="B485" s="2"/>
      <c r="C485" s="2"/>
      <c r="D485" s="2"/>
      <c r="E485" s="2"/>
      <c r="F485" s="2"/>
      <c r="G485" s="2"/>
      <c r="H485" s="2"/>
      <c r="I485" s="74"/>
      <c r="J485" s="74"/>
      <c r="K485" s="74"/>
      <c r="L485" s="74"/>
      <c r="M485" s="2"/>
      <c r="N485" s="2"/>
      <c r="O485" s="2"/>
      <c r="P485" s="74"/>
      <c r="Q485" s="2"/>
      <c r="R485" s="2"/>
      <c r="S485" s="76"/>
      <c r="T485" s="2"/>
      <c r="U485" s="62"/>
      <c r="V485" s="62"/>
      <c r="W485" s="62"/>
      <c r="X485" s="62"/>
      <c r="Y485" s="62"/>
      <c r="Z485" s="62"/>
    </row>
    <row r="486" ht="15.75" customHeight="1">
      <c r="A486" s="2"/>
      <c r="B486" s="2"/>
      <c r="C486" s="2"/>
      <c r="D486" s="2"/>
      <c r="E486" s="2"/>
      <c r="F486" s="2"/>
      <c r="G486" s="2"/>
      <c r="H486" s="2"/>
      <c r="I486" s="74"/>
      <c r="J486" s="74"/>
      <c r="K486" s="74"/>
      <c r="L486" s="74"/>
      <c r="M486" s="2"/>
      <c r="N486" s="2"/>
      <c r="O486" s="2"/>
      <c r="P486" s="74"/>
      <c r="Q486" s="2"/>
      <c r="R486" s="2"/>
      <c r="S486" s="76"/>
      <c r="T486" s="2"/>
      <c r="U486" s="62"/>
      <c r="V486" s="62"/>
      <c r="W486" s="62"/>
      <c r="X486" s="62"/>
      <c r="Y486" s="62"/>
      <c r="Z486" s="62"/>
    </row>
    <row r="487" ht="15.75" customHeight="1">
      <c r="A487" s="2"/>
      <c r="B487" s="2"/>
      <c r="C487" s="2"/>
      <c r="D487" s="2"/>
      <c r="E487" s="2"/>
      <c r="F487" s="2"/>
      <c r="G487" s="2"/>
      <c r="H487" s="2"/>
      <c r="I487" s="74"/>
      <c r="J487" s="74"/>
      <c r="K487" s="74"/>
      <c r="L487" s="74"/>
      <c r="M487" s="2"/>
      <c r="N487" s="2"/>
      <c r="O487" s="2"/>
      <c r="P487" s="74"/>
      <c r="Q487" s="2"/>
      <c r="R487" s="2"/>
      <c r="S487" s="76"/>
      <c r="T487" s="2"/>
      <c r="U487" s="62"/>
      <c r="V487" s="62"/>
      <c r="W487" s="62"/>
      <c r="X487" s="62"/>
      <c r="Y487" s="62"/>
      <c r="Z487" s="62"/>
    </row>
    <row r="488" ht="15.75" customHeight="1">
      <c r="A488" s="2"/>
      <c r="B488" s="2"/>
      <c r="C488" s="2"/>
      <c r="D488" s="2"/>
      <c r="E488" s="2"/>
      <c r="F488" s="2"/>
      <c r="G488" s="2"/>
      <c r="H488" s="2"/>
      <c r="I488" s="74"/>
      <c r="J488" s="74"/>
      <c r="K488" s="74"/>
      <c r="L488" s="74"/>
      <c r="M488" s="2"/>
      <c r="N488" s="2"/>
      <c r="O488" s="2"/>
      <c r="P488" s="74"/>
      <c r="Q488" s="2"/>
      <c r="R488" s="2"/>
      <c r="S488" s="76"/>
      <c r="T488" s="2"/>
      <c r="U488" s="62"/>
      <c r="V488" s="62"/>
      <c r="W488" s="62"/>
      <c r="X488" s="62"/>
      <c r="Y488" s="62"/>
      <c r="Z488" s="62"/>
    </row>
    <row r="489" ht="15.75" customHeight="1">
      <c r="A489" s="2"/>
      <c r="B489" s="2"/>
      <c r="C489" s="2"/>
      <c r="D489" s="2"/>
      <c r="E489" s="2"/>
      <c r="F489" s="2"/>
      <c r="G489" s="2"/>
      <c r="H489" s="2"/>
      <c r="I489" s="74"/>
      <c r="J489" s="74"/>
      <c r="K489" s="74"/>
      <c r="L489" s="74"/>
      <c r="M489" s="2"/>
      <c r="N489" s="2"/>
      <c r="O489" s="2"/>
      <c r="P489" s="74"/>
      <c r="Q489" s="2"/>
      <c r="R489" s="2"/>
      <c r="S489" s="76"/>
      <c r="T489" s="2"/>
      <c r="U489" s="62"/>
      <c r="V489" s="62"/>
      <c r="W489" s="62"/>
      <c r="X489" s="62"/>
      <c r="Y489" s="62"/>
      <c r="Z489" s="62"/>
    </row>
    <row r="490" ht="15.75" customHeight="1">
      <c r="A490" s="2"/>
      <c r="B490" s="2"/>
      <c r="C490" s="2"/>
      <c r="D490" s="2"/>
      <c r="E490" s="2"/>
      <c r="F490" s="2"/>
      <c r="G490" s="2"/>
      <c r="H490" s="2"/>
      <c r="I490" s="74"/>
      <c r="J490" s="74"/>
      <c r="K490" s="74"/>
      <c r="L490" s="74"/>
      <c r="M490" s="2"/>
      <c r="N490" s="2"/>
      <c r="O490" s="2"/>
      <c r="P490" s="74"/>
      <c r="Q490" s="2"/>
      <c r="R490" s="2"/>
      <c r="S490" s="76"/>
      <c r="T490" s="2"/>
      <c r="U490" s="62"/>
      <c r="V490" s="62"/>
      <c r="W490" s="62"/>
      <c r="X490" s="62"/>
      <c r="Y490" s="62"/>
      <c r="Z490" s="62"/>
    </row>
    <row r="491" ht="15.75" customHeight="1">
      <c r="A491" s="2"/>
      <c r="B491" s="2"/>
      <c r="C491" s="2"/>
      <c r="D491" s="2"/>
      <c r="E491" s="2"/>
      <c r="F491" s="2"/>
      <c r="G491" s="2"/>
      <c r="H491" s="2"/>
      <c r="I491" s="74"/>
      <c r="J491" s="74"/>
      <c r="K491" s="74"/>
      <c r="L491" s="74"/>
      <c r="M491" s="2"/>
      <c r="N491" s="2"/>
      <c r="O491" s="2"/>
      <c r="P491" s="74"/>
      <c r="Q491" s="2"/>
      <c r="R491" s="2"/>
      <c r="S491" s="76"/>
      <c r="T491" s="2"/>
      <c r="U491" s="62"/>
      <c r="V491" s="62"/>
      <c r="W491" s="62"/>
      <c r="X491" s="62"/>
      <c r="Y491" s="62"/>
      <c r="Z491" s="62"/>
    </row>
    <row r="492" ht="15.75" customHeight="1">
      <c r="A492" s="2"/>
      <c r="B492" s="2"/>
      <c r="C492" s="2"/>
      <c r="D492" s="2"/>
      <c r="E492" s="2"/>
      <c r="F492" s="2"/>
      <c r="G492" s="2"/>
      <c r="H492" s="2"/>
      <c r="I492" s="74"/>
      <c r="J492" s="74"/>
      <c r="K492" s="74"/>
      <c r="L492" s="74"/>
      <c r="M492" s="2"/>
      <c r="N492" s="2"/>
      <c r="O492" s="2"/>
      <c r="P492" s="74"/>
      <c r="Q492" s="2"/>
      <c r="R492" s="2"/>
      <c r="S492" s="76"/>
      <c r="T492" s="2"/>
      <c r="U492" s="62"/>
      <c r="V492" s="62"/>
      <c r="W492" s="62"/>
      <c r="X492" s="62"/>
      <c r="Y492" s="62"/>
      <c r="Z492" s="62"/>
    </row>
    <row r="493" ht="15.75" customHeight="1">
      <c r="A493" s="2"/>
      <c r="B493" s="2"/>
      <c r="C493" s="2"/>
      <c r="D493" s="2"/>
      <c r="E493" s="2"/>
      <c r="F493" s="2"/>
      <c r="G493" s="2"/>
      <c r="H493" s="2"/>
      <c r="I493" s="74"/>
      <c r="J493" s="74"/>
      <c r="K493" s="74"/>
      <c r="L493" s="74"/>
      <c r="M493" s="2"/>
      <c r="N493" s="2"/>
      <c r="O493" s="2"/>
      <c r="P493" s="74"/>
      <c r="Q493" s="2"/>
      <c r="R493" s="2"/>
      <c r="S493" s="76"/>
      <c r="T493" s="2"/>
      <c r="U493" s="62"/>
      <c r="V493" s="62"/>
      <c r="W493" s="62"/>
      <c r="X493" s="62"/>
      <c r="Y493" s="62"/>
      <c r="Z493" s="62"/>
    </row>
    <row r="494" ht="15.75" customHeight="1">
      <c r="A494" s="2"/>
      <c r="B494" s="2"/>
      <c r="C494" s="2"/>
      <c r="D494" s="2"/>
      <c r="E494" s="2"/>
      <c r="F494" s="2"/>
      <c r="G494" s="2"/>
      <c r="H494" s="2"/>
      <c r="I494" s="74"/>
      <c r="J494" s="74"/>
      <c r="K494" s="74"/>
      <c r="L494" s="74"/>
      <c r="M494" s="2"/>
      <c r="N494" s="2"/>
      <c r="O494" s="2"/>
      <c r="P494" s="74"/>
      <c r="Q494" s="2"/>
      <c r="R494" s="2"/>
      <c r="S494" s="76"/>
      <c r="T494" s="2"/>
      <c r="U494" s="62"/>
      <c r="V494" s="62"/>
      <c r="W494" s="62"/>
      <c r="X494" s="62"/>
      <c r="Y494" s="62"/>
      <c r="Z494" s="62"/>
    </row>
    <row r="495" ht="15.75" customHeight="1">
      <c r="A495" s="2"/>
      <c r="B495" s="2"/>
      <c r="C495" s="2"/>
      <c r="D495" s="2"/>
      <c r="E495" s="2"/>
      <c r="F495" s="2"/>
      <c r="G495" s="2"/>
      <c r="H495" s="2"/>
      <c r="I495" s="74"/>
      <c r="J495" s="74"/>
      <c r="K495" s="74"/>
      <c r="L495" s="74"/>
      <c r="M495" s="2"/>
      <c r="N495" s="2"/>
      <c r="O495" s="2"/>
      <c r="P495" s="74"/>
      <c r="Q495" s="2"/>
      <c r="R495" s="2"/>
      <c r="S495" s="76"/>
      <c r="T495" s="2"/>
      <c r="U495" s="62"/>
      <c r="V495" s="62"/>
      <c r="W495" s="62"/>
      <c r="X495" s="62"/>
      <c r="Y495" s="62"/>
      <c r="Z495" s="62"/>
    </row>
    <row r="496" ht="15.75" customHeight="1">
      <c r="A496" s="2"/>
      <c r="B496" s="2"/>
      <c r="C496" s="2"/>
      <c r="D496" s="2"/>
      <c r="E496" s="2"/>
      <c r="F496" s="2"/>
      <c r="G496" s="2"/>
      <c r="H496" s="2"/>
      <c r="I496" s="74"/>
      <c r="J496" s="74"/>
      <c r="K496" s="74"/>
      <c r="L496" s="74"/>
      <c r="M496" s="2"/>
      <c r="N496" s="2"/>
      <c r="O496" s="2"/>
      <c r="P496" s="74"/>
      <c r="Q496" s="2"/>
      <c r="R496" s="2"/>
      <c r="S496" s="76"/>
      <c r="T496" s="2"/>
      <c r="U496" s="62"/>
      <c r="V496" s="62"/>
      <c r="W496" s="62"/>
      <c r="X496" s="62"/>
      <c r="Y496" s="62"/>
      <c r="Z496" s="62"/>
    </row>
    <row r="497" ht="15.75" customHeight="1">
      <c r="A497" s="2"/>
      <c r="B497" s="2"/>
      <c r="C497" s="2"/>
      <c r="D497" s="2"/>
      <c r="E497" s="2"/>
      <c r="F497" s="2"/>
      <c r="G497" s="2"/>
      <c r="H497" s="2"/>
      <c r="I497" s="74"/>
      <c r="J497" s="74"/>
      <c r="K497" s="74"/>
      <c r="L497" s="74"/>
      <c r="M497" s="2"/>
      <c r="N497" s="2"/>
      <c r="O497" s="2"/>
      <c r="P497" s="74"/>
      <c r="Q497" s="2"/>
      <c r="R497" s="2"/>
      <c r="S497" s="76"/>
      <c r="T497" s="2"/>
      <c r="U497" s="62"/>
      <c r="V497" s="62"/>
      <c r="W497" s="62"/>
      <c r="X497" s="62"/>
      <c r="Y497" s="62"/>
      <c r="Z497" s="62"/>
    </row>
    <row r="498" ht="15.75" customHeight="1">
      <c r="A498" s="2"/>
      <c r="B498" s="2"/>
      <c r="C498" s="2"/>
      <c r="D498" s="2"/>
      <c r="E498" s="2"/>
      <c r="F498" s="2"/>
      <c r="G498" s="2"/>
      <c r="H498" s="2"/>
      <c r="I498" s="74"/>
      <c r="J498" s="74"/>
      <c r="K498" s="74"/>
      <c r="L498" s="74"/>
      <c r="M498" s="2"/>
      <c r="N498" s="2"/>
      <c r="O498" s="2"/>
      <c r="P498" s="74"/>
      <c r="Q498" s="2"/>
      <c r="R498" s="2"/>
      <c r="S498" s="76"/>
      <c r="T498" s="2"/>
      <c r="U498" s="62"/>
      <c r="V498" s="62"/>
      <c r="W498" s="62"/>
      <c r="X498" s="62"/>
      <c r="Y498" s="62"/>
      <c r="Z498" s="62"/>
    </row>
    <row r="499" ht="15.75" customHeight="1">
      <c r="A499" s="2"/>
      <c r="B499" s="2"/>
      <c r="C499" s="2"/>
      <c r="D499" s="2"/>
      <c r="E499" s="2"/>
      <c r="F499" s="2"/>
      <c r="G499" s="2"/>
      <c r="H499" s="2"/>
      <c r="I499" s="74"/>
      <c r="J499" s="74"/>
      <c r="K499" s="74"/>
      <c r="L499" s="74"/>
      <c r="M499" s="2"/>
      <c r="N499" s="2"/>
      <c r="O499" s="2"/>
      <c r="P499" s="74"/>
      <c r="Q499" s="2"/>
      <c r="R499" s="2"/>
      <c r="S499" s="76"/>
      <c r="T499" s="2"/>
      <c r="U499" s="62"/>
      <c r="V499" s="62"/>
      <c r="W499" s="62"/>
      <c r="X499" s="62"/>
      <c r="Y499" s="62"/>
      <c r="Z499" s="62"/>
    </row>
    <row r="500" ht="15.75" customHeight="1">
      <c r="A500" s="2"/>
      <c r="B500" s="2"/>
      <c r="C500" s="2"/>
      <c r="D500" s="2"/>
      <c r="E500" s="2"/>
      <c r="F500" s="2"/>
      <c r="G500" s="2"/>
      <c r="H500" s="2"/>
      <c r="I500" s="74"/>
      <c r="J500" s="74"/>
      <c r="K500" s="74"/>
      <c r="L500" s="74"/>
      <c r="M500" s="2"/>
      <c r="N500" s="2"/>
      <c r="O500" s="2"/>
      <c r="P500" s="74"/>
      <c r="Q500" s="2"/>
      <c r="R500" s="2"/>
      <c r="S500" s="76"/>
      <c r="T500" s="2"/>
      <c r="U500" s="62"/>
      <c r="V500" s="62"/>
      <c r="W500" s="62"/>
      <c r="X500" s="62"/>
      <c r="Y500" s="62"/>
      <c r="Z500" s="62"/>
    </row>
    <row r="501" ht="15.75" customHeight="1">
      <c r="A501" s="2"/>
      <c r="B501" s="2"/>
      <c r="C501" s="2"/>
      <c r="D501" s="2"/>
      <c r="E501" s="2"/>
      <c r="F501" s="2"/>
      <c r="G501" s="2"/>
      <c r="H501" s="2"/>
      <c r="I501" s="74"/>
      <c r="J501" s="74"/>
      <c r="K501" s="74"/>
      <c r="L501" s="74"/>
      <c r="M501" s="2"/>
      <c r="N501" s="2"/>
      <c r="O501" s="2"/>
      <c r="P501" s="74"/>
      <c r="Q501" s="2"/>
      <c r="R501" s="2"/>
      <c r="S501" s="76"/>
      <c r="T501" s="2"/>
      <c r="U501" s="62"/>
      <c r="V501" s="62"/>
      <c r="W501" s="62"/>
      <c r="X501" s="62"/>
      <c r="Y501" s="62"/>
      <c r="Z501" s="62"/>
    </row>
    <row r="502" ht="15.75" customHeight="1">
      <c r="A502" s="2"/>
      <c r="B502" s="2"/>
      <c r="C502" s="2"/>
      <c r="D502" s="2"/>
      <c r="E502" s="2"/>
      <c r="F502" s="2"/>
      <c r="G502" s="2"/>
      <c r="H502" s="2"/>
      <c r="I502" s="74"/>
      <c r="J502" s="74"/>
      <c r="K502" s="74"/>
      <c r="L502" s="74"/>
      <c r="M502" s="2"/>
      <c r="N502" s="2"/>
      <c r="O502" s="2"/>
      <c r="P502" s="74"/>
      <c r="Q502" s="2"/>
      <c r="R502" s="2"/>
      <c r="S502" s="76"/>
      <c r="T502" s="2"/>
      <c r="U502" s="62"/>
      <c r="V502" s="62"/>
      <c r="W502" s="62"/>
      <c r="X502" s="62"/>
      <c r="Y502" s="62"/>
      <c r="Z502" s="62"/>
    </row>
    <row r="503" ht="15.75" customHeight="1">
      <c r="A503" s="2"/>
      <c r="B503" s="2"/>
      <c r="C503" s="2"/>
      <c r="D503" s="2"/>
      <c r="E503" s="2"/>
      <c r="F503" s="2"/>
      <c r="G503" s="2"/>
      <c r="H503" s="2"/>
      <c r="I503" s="74"/>
      <c r="J503" s="74"/>
      <c r="K503" s="74"/>
      <c r="L503" s="74"/>
      <c r="M503" s="2"/>
      <c r="N503" s="2"/>
      <c r="O503" s="2"/>
      <c r="P503" s="74"/>
      <c r="Q503" s="2"/>
      <c r="R503" s="2"/>
      <c r="S503" s="76"/>
      <c r="T503" s="2"/>
      <c r="U503" s="62"/>
      <c r="V503" s="62"/>
      <c r="W503" s="62"/>
      <c r="X503" s="62"/>
      <c r="Y503" s="62"/>
      <c r="Z503" s="62"/>
    </row>
    <row r="504" ht="15.75" customHeight="1">
      <c r="A504" s="2"/>
      <c r="B504" s="2"/>
      <c r="C504" s="2"/>
      <c r="D504" s="2"/>
      <c r="E504" s="2"/>
      <c r="F504" s="2"/>
      <c r="G504" s="2"/>
      <c r="H504" s="2"/>
      <c r="I504" s="74"/>
      <c r="J504" s="74"/>
      <c r="K504" s="74"/>
      <c r="L504" s="74"/>
      <c r="M504" s="2"/>
      <c r="N504" s="2"/>
      <c r="O504" s="2"/>
      <c r="P504" s="74"/>
      <c r="Q504" s="2"/>
      <c r="R504" s="2"/>
      <c r="S504" s="76"/>
      <c r="T504" s="2"/>
      <c r="U504" s="62"/>
      <c r="V504" s="62"/>
      <c r="W504" s="62"/>
      <c r="X504" s="62"/>
      <c r="Y504" s="62"/>
      <c r="Z504" s="62"/>
    </row>
    <row r="505" ht="15.75" customHeight="1">
      <c r="A505" s="2"/>
      <c r="B505" s="2"/>
      <c r="C505" s="2"/>
      <c r="D505" s="2"/>
      <c r="E505" s="2"/>
      <c r="F505" s="2"/>
      <c r="G505" s="2"/>
      <c r="H505" s="2"/>
      <c r="I505" s="74"/>
      <c r="J505" s="74"/>
      <c r="K505" s="74"/>
      <c r="L505" s="74"/>
      <c r="M505" s="2"/>
      <c r="N505" s="2"/>
      <c r="O505" s="2"/>
      <c r="P505" s="74"/>
      <c r="Q505" s="2"/>
      <c r="R505" s="2"/>
      <c r="S505" s="76"/>
      <c r="T505" s="2"/>
      <c r="U505" s="62"/>
      <c r="V505" s="62"/>
      <c r="W505" s="62"/>
      <c r="X505" s="62"/>
      <c r="Y505" s="62"/>
      <c r="Z505" s="62"/>
    </row>
    <row r="506" ht="15.75" customHeight="1">
      <c r="A506" s="2"/>
      <c r="B506" s="2"/>
      <c r="C506" s="2"/>
      <c r="D506" s="2"/>
      <c r="E506" s="2"/>
      <c r="F506" s="2"/>
      <c r="G506" s="2"/>
      <c r="H506" s="2"/>
      <c r="I506" s="74"/>
      <c r="J506" s="74"/>
      <c r="K506" s="74"/>
      <c r="L506" s="74"/>
      <c r="M506" s="2"/>
      <c r="N506" s="2"/>
      <c r="O506" s="2"/>
      <c r="P506" s="74"/>
      <c r="Q506" s="2"/>
      <c r="R506" s="2"/>
      <c r="S506" s="76"/>
      <c r="T506" s="2"/>
      <c r="U506" s="62"/>
      <c r="V506" s="62"/>
      <c r="W506" s="62"/>
      <c r="X506" s="62"/>
      <c r="Y506" s="62"/>
      <c r="Z506" s="62"/>
    </row>
    <row r="507" ht="15.75" customHeight="1">
      <c r="A507" s="2"/>
      <c r="B507" s="2"/>
      <c r="C507" s="2"/>
      <c r="D507" s="2"/>
      <c r="E507" s="2"/>
      <c r="F507" s="2"/>
      <c r="G507" s="2"/>
      <c r="H507" s="2"/>
      <c r="I507" s="74"/>
      <c r="J507" s="74"/>
      <c r="K507" s="74"/>
      <c r="L507" s="74"/>
      <c r="M507" s="2"/>
      <c r="N507" s="2"/>
      <c r="O507" s="2"/>
      <c r="P507" s="74"/>
      <c r="Q507" s="2"/>
      <c r="R507" s="2"/>
      <c r="S507" s="76"/>
      <c r="T507" s="2"/>
      <c r="U507" s="62"/>
      <c r="V507" s="62"/>
      <c r="W507" s="62"/>
      <c r="X507" s="62"/>
      <c r="Y507" s="62"/>
      <c r="Z507" s="62"/>
    </row>
    <row r="508" ht="15.75" customHeight="1">
      <c r="A508" s="2"/>
      <c r="B508" s="2"/>
      <c r="C508" s="2"/>
      <c r="D508" s="2"/>
      <c r="E508" s="2"/>
      <c r="F508" s="2"/>
      <c r="G508" s="2"/>
      <c r="H508" s="2"/>
      <c r="I508" s="74"/>
      <c r="J508" s="74"/>
      <c r="K508" s="74"/>
      <c r="L508" s="74"/>
      <c r="M508" s="2"/>
      <c r="N508" s="2"/>
      <c r="O508" s="2"/>
      <c r="P508" s="74"/>
      <c r="Q508" s="2"/>
      <c r="R508" s="2"/>
      <c r="S508" s="76"/>
      <c r="T508" s="2"/>
      <c r="U508" s="62"/>
      <c r="V508" s="62"/>
      <c r="W508" s="62"/>
      <c r="X508" s="62"/>
      <c r="Y508" s="62"/>
      <c r="Z508" s="62"/>
    </row>
    <row r="509" ht="15.75" customHeight="1">
      <c r="A509" s="2"/>
      <c r="B509" s="2"/>
      <c r="C509" s="2"/>
      <c r="D509" s="2"/>
      <c r="E509" s="2"/>
      <c r="F509" s="2"/>
      <c r="G509" s="2"/>
      <c r="H509" s="2"/>
      <c r="I509" s="74"/>
      <c r="J509" s="74"/>
      <c r="K509" s="74"/>
      <c r="L509" s="74"/>
      <c r="M509" s="2"/>
      <c r="N509" s="2"/>
      <c r="O509" s="2"/>
      <c r="P509" s="74"/>
      <c r="Q509" s="2"/>
      <c r="R509" s="2"/>
      <c r="S509" s="76"/>
      <c r="T509" s="2"/>
      <c r="U509" s="62"/>
      <c r="V509" s="62"/>
      <c r="W509" s="62"/>
      <c r="X509" s="62"/>
      <c r="Y509" s="62"/>
      <c r="Z509" s="62"/>
    </row>
    <row r="510" ht="15.75" customHeight="1">
      <c r="A510" s="2"/>
      <c r="B510" s="2"/>
      <c r="C510" s="2"/>
      <c r="D510" s="2"/>
      <c r="E510" s="2"/>
      <c r="F510" s="2"/>
      <c r="G510" s="2"/>
      <c r="H510" s="2"/>
      <c r="I510" s="74"/>
      <c r="J510" s="74"/>
      <c r="K510" s="74"/>
      <c r="L510" s="74"/>
      <c r="M510" s="2"/>
      <c r="N510" s="2"/>
      <c r="O510" s="2"/>
      <c r="P510" s="74"/>
      <c r="Q510" s="2"/>
      <c r="R510" s="2"/>
      <c r="S510" s="76"/>
      <c r="T510" s="2"/>
      <c r="U510" s="62"/>
      <c r="V510" s="62"/>
      <c r="W510" s="62"/>
      <c r="X510" s="62"/>
      <c r="Y510" s="62"/>
      <c r="Z510" s="62"/>
    </row>
    <row r="511" ht="15.75" customHeight="1">
      <c r="A511" s="2"/>
      <c r="B511" s="2"/>
      <c r="C511" s="2"/>
      <c r="D511" s="2"/>
      <c r="E511" s="2"/>
      <c r="F511" s="2"/>
      <c r="G511" s="2"/>
      <c r="H511" s="2"/>
      <c r="I511" s="74"/>
      <c r="J511" s="74"/>
      <c r="K511" s="74"/>
      <c r="L511" s="74"/>
      <c r="M511" s="2"/>
      <c r="N511" s="2"/>
      <c r="O511" s="2"/>
      <c r="P511" s="74"/>
      <c r="Q511" s="2"/>
      <c r="R511" s="2"/>
      <c r="S511" s="76"/>
      <c r="T511" s="2"/>
      <c r="U511" s="62"/>
      <c r="V511" s="62"/>
      <c r="W511" s="62"/>
      <c r="X511" s="62"/>
      <c r="Y511" s="62"/>
      <c r="Z511" s="62"/>
    </row>
    <row r="512" ht="15.75" customHeight="1">
      <c r="A512" s="2"/>
      <c r="B512" s="2"/>
      <c r="C512" s="2"/>
      <c r="D512" s="2"/>
      <c r="E512" s="2"/>
      <c r="F512" s="2"/>
      <c r="G512" s="2"/>
      <c r="H512" s="2"/>
      <c r="I512" s="74"/>
      <c r="J512" s="74"/>
      <c r="K512" s="74"/>
      <c r="L512" s="74"/>
      <c r="M512" s="2"/>
      <c r="N512" s="2"/>
      <c r="O512" s="2"/>
      <c r="P512" s="74"/>
      <c r="Q512" s="2"/>
      <c r="R512" s="2"/>
      <c r="S512" s="76"/>
      <c r="T512" s="2"/>
      <c r="U512" s="62"/>
      <c r="V512" s="62"/>
      <c r="W512" s="62"/>
      <c r="X512" s="62"/>
      <c r="Y512" s="62"/>
      <c r="Z512" s="62"/>
    </row>
    <row r="513" ht="15.75" customHeight="1">
      <c r="A513" s="2"/>
      <c r="B513" s="2"/>
      <c r="C513" s="2"/>
      <c r="D513" s="2"/>
      <c r="E513" s="2"/>
      <c r="F513" s="2"/>
      <c r="G513" s="2"/>
      <c r="H513" s="2"/>
      <c r="I513" s="74"/>
      <c r="J513" s="74"/>
      <c r="K513" s="74"/>
      <c r="L513" s="74"/>
      <c r="M513" s="2"/>
      <c r="N513" s="2"/>
      <c r="O513" s="2"/>
      <c r="P513" s="74"/>
      <c r="Q513" s="2"/>
      <c r="R513" s="2"/>
      <c r="S513" s="76"/>
      <c r="T513" s="2"/>
      <c r="U513" s="62"/>
      <c r="V513" s="62"/>
      <c r="W513" s="62"/>
      <c r="X513" s="62"/>
      <c r="Y513" s="62"/>
      <c r="Z513" s="62"/>
    </row>
    <row r="514" ht="15.75" customHeight="1">
      <c r="A514" s="2"/>
      <c r="B514" s="2"/>
      <c r="C514" s="2"/>
      <c r="D514" s="2"/>
      <c r="E514" s="2"/>
      <c r="F514" s="2"/>
      <c r="G514" s="2"/>
      <c r="H514" s="2"/>
      <c r="I514" s="74"/>
      <c r="J514" s="74"/>
      <c r="K514" s="74"/>
      <c r="L514" s="74"/>
      <c r="M514" s="2"/>
      <c r="N514" s="2"/>
      <c r="O514" s="2"/>
      <c r="P514" s="74"/>
      <c r="Q514" s="2"/>
      <c r="R514" s="2"/>
      <c r="S514" s="76"/>
      <c r="T514" s="2"/>
      <c r="U514" s="62"/>
      <c r="V514" s="62"/>
      <c r="W514" s="62"/>
      <c r="X514" s="62"/>
      <c r="Y514" s="62"/>
      <c r="Z514" s="62"/>
    </row>
    <row r="515" ht="15.75" customHeight="1">
      <c r="A515" s="2"/>
      <c r="B515" s="2"/>
      <c r="C515" s="2"/>
      <c r="D515" s="2"/>
      <c r="E515" s="2"/>
      <c r="F515" s="2"/>
      <c r="G515" s="2"/>
      <c r="H515" s="2"/>
      <c r="I515" s="74"/>
      <c r="J515" s="74"/>
      <c r="K515" s="74"/>
      <c r="L515" s="74"/>
      <c r="M515" s="2"/>
      <c r="N515" s="2"/>
      <c r="O515" s="2"/>
      <c r="P515" s="74"/>
      <c r="Q515" s="2"/>
      <c r="R515" s="2"/>
      <c r="S515" s="76"/>
      <c r="T515" s="2"/>
      <c r="U515" s="62"/>
      <c r="V515" s="62"/>
      <c r="W515" s="62"/>
      <c r="X515" s="62"/>
      <c r="Y515" s="62"/>
      <c r="Z515" s="62"/>
    </row>
    <row r="516" ht="15.75" customHeight="1">
      <c r="A516" s="2"/>
      <c r="B516" s="2"/>
      <c r="C516" s="2"/>
      <c r="D516" s="2"/>
      <c r="E516" s="2"/>
      <c r="F516" s="2"/>
      <c r="G516" s="2"/>
      <c r="H516" s="2"/>
      <c r="I516" s="74"/>
      <c r="J516" s="74"/>
      <c r="K516" s="74"/>
      <c r="L516" s="74"/>
      <c r="M516" s="2"/>
      <c r="N516" s="2"/>
      <c r="O516" s="2"/>
      <c r="P516" s="74"/>
      <c r="Q516" s="2"/>
      <c r="R516" s="2"/>
      <c r="S516" s="76"/>
      <c r="T516" s="2"/>
      <c r="U516" s="62"/>
      <c r="V516" s="62"/>
      <c r="W516" s="62"/>
      <c r="X516" s="62"/>
      <c r="Y516" s="62"/>
      <c r="Z516" s="62"/>
    </row>
    <row r="517" ht="15.75" customHeight="1">
      <c r="A517" s="2"/>
      <c r="B517" s="2"/>
      <c r="C517" s="2"/>
      <c r="D517" s="2"/>
      <c r="E517" s="2"/>
      <c r="F517" s="2"/>
      <c r="G517" s="2"/>
      <c r="H517" s="2"/>
      <c r="I517" s="74"/>
      <c r="J517" s="74"/>
      <c r="K517" s="74"/>
      <c r="L517" s="74"/>
      <c r="M517" s="2"/>
      <c r="N517" s="2"/>
      <c r="O517" s="2"/>
      <c r="P517" s="74"/>
      <c r="Q517" s="2"/>
      <c r="R517" s="2"/>
      <c r="S517" s="76"/>
      <c r="T517" s="2"/>
      <c r="U517" s="62"/>
      <c r="V517" s="62"/>
      <c r="W517" s="62"/>
      <c r="X517" s="62"/>
      <c r="Y517" s="62"/>
      <c r="Z517" s="62"/>
    </row>
    <row r="518" ht="15.75" customHeight="1">
      <c r="A518" s="2"/>
      <c r="B518" s="2"/>
      <c r="C518" s="2"/>
      <c r="D518" s="2"/>
      <c r="E518" s="2"/>
      <c r="F518" s="2"/>
      <c r="G518" s="2"/>
      <c r="H518" s="2"/>
      <c r="I518" s="74"/>
      <c r="J518" s="74"/>
      <c r="K518" s="74"/>
      <c r="L518" s="74"/>
      <c r="M518" s="2"/>
      <c r="N518" s="2"/>
      <c r="O518" s="2"/>
      <c r="P518" s="74"/>
      <c r="Q518" s="2"/>
      <c r="R518" s="2"/>
      <c r="S518" s="76"/>
      <c r="T518" s="2"/>
      <c r="U518" s="62"/>
      <c r="V518" s="62"/>
      <c r="W518" s="62"/>
      <c r="X518" s="62"/>
      <c r="Y518" s="62"/>
      <c r="Z518" s="62"/>
    </row>
    <row r="519" ht="15.75" customHeight="1">
      <c r="A519" s="2"/>
      <c r="B519" s="2"/>
      <c r="C519" s="2"/>
      <c r="D519" s="2"/>
      <c r="E519" s="2"/>
      <c r="F519" s="2"/>
      <c r="G519" s="2"/>
      <c r="H519" s="2"/>
      <c r="I519" s="74"/>
      <c r="J519" s="74"/>
      <c r="K519" s="74"/>
      <c r="L519" s="74"/>
      <c r="M519" s="2"/>
      <c r="N519" s="2"/>
      <c r="O519" s="2"/>
      <c r="P519" s="74"/>
      <c r="Q519" s="2"/>
      <c r="R519" s="2"/>
      <c r="S519" s="76"/>
      <c r="T519" s="2"/>
      <c r="U519" s="62"/>
      <c r="V519" s="62"/>
      <c r="W519" s="62"/>
      <c r="X519" s="62"/>
      <c r="Y519" s="62"/>
      <c r="Z519" s="62"/>
    </row>
    <row r="520" ht="15.75" customHeight="1">
      <c r="A520" s="2"/>
      <c r="B520" s="2"/>
      <c r="C520" s="2"/>
      <c r="D520" s="2"/>
      <c r="E520" s="2"/>
      <c r="F520" s="2"/>
      <c r="G520" s="2"/>
      <c r="H520" s="2"/>
      <c r="I520" s="74"/>
      <c r="J520" s="74"/>
      <c r="K520" s="74"/>
      <c r="L520" s="74"/>
      <c r="M520" s="2"/>
      <c r="N520" s="2"/>
      <c r="O520" s="2"/>
      <c r="P520" s="74"/>
      <c r="Q520" s="2"/>
      <c r="R520" s="2"/>
      <c r="S520" s="76"/>
      <c r="T520" s="2"/>
      <c r="U520" s="62"/>
      <c r="V520" s="62"/>
      <c r="W520" s="62"/>
      <c r="X520" s="62"/>
      <c r="Y520" s="62"/>
      <c r="Z520" s="62"/>
    </row>
    <row r="521" ht="15.75" customHeight="1">
      <c r="A521" s="2"/>
      <c r="B521" s="2"/>
      <c r="C521" s="2"/>
      <c r="D521" s="2"/>
      <c r="E521" s="2"/>
      <c r="F521" s="2"/>
      <c r="G521" s="2"/>
      <c r="H521" s="2"/>
      <c r="I521" s="74"/>
      <c r="J521" s="74"/>
      <c r="K521" s="74"/>
      <c r="L521" s="74"/>
      <c r="M521" s="2"/>
      <c r="N521" s="2"/>
      <c r="O521" s="2"/>
      <c r="P521" s="74"/>
      <c r="Q521" s="2"/>
      <c r="R521" s="2"/>
      <c r="S521" s="76"/>
      <c r="T521" s="2"/>
      <c r="U521" s="62"/>
      <c r="V521" s="62"/>
      <c r="W521" s="62"/>
      <c r="X521" s="62"/>
      <c r="Y521" s="62"/>
      <c r="Z521" s="62"/>
    </row>
    <row r="522" ht="15.75" customHeight="1">
      <c r="A522" s="2"/>
      <c r="B522" s="2"/>
      <c r="C522" s="2"/>
      <c r="D522" s="2"/>
      <c r="E522" s="2"/>
      <c r="F522" s="2"/>
      <c r="G522" s="2"/>
      <c r="H522" s="2"/>
      <c r="I522" s="74"/>
      <c r="J522" s="74"/>
      <c r="K522" s="74"/>
      <c r="L522" s="74"/>
      <c r="M522" s="2"/>
      <c r="N522" s="2"/>
      <c r="O522" s="2"/>
      <c r="P522" s="74"/>
      <c r="Q522" s="2"/>
      <c r="R522" s="2"/>
      <c r="S522" s="76"/>
      <c r="T522" s="2"/>
      <c r="U522" s="62"/>
      <c r="V522" s="62"/>
      <c r="W522" s="62"/>
      <c r="X522" s="62"/>
      <c r="Y522" s="62"/>
      <c r="Z522" s="62"/>
    </row>
    <row r="523" ht="15.75" customHeight="1">
      <c r="A523" s="2"/>
      <c r="B523" s="2"/>
      <c r="C523" s="2"/>
      <c r="D523" s="2"/>
      <c r="E523" s="2"/>
      <c r="F523" s="2"/>
      <c r="G523" s="2"/>
      <c r="H523" s="2"/>
      <c r="I523" s="74"/>
      <c r="J523" s="74"/>
      <c r="K523" s="74"/>
      <c r="L523" s="74"/>
      <c r="M523" s="2"/>
      <c r="N523" s="2"/>
      <c r="O523" s="2"/>
      <c r="P523" s="74"/>
      <c r="Q523" s="2"/>
      <c r="R523" s="2"/>
      <c r="S523" s="76"/>
      <c r="T523" s="2"/>
      <c r="U523" s="62"/>
      <c r="V523" s="62"/>
      <c r="W523" s="62"/>
      <c r="X523" s="62"/>
      <c r="Y523" s="62"/>
      <c r="Z523" s="62"/>
    </row>
    <row r="524" ht="15.75" customHeight="1">
      <c r="A524" s="2"/>
      <c r="B524" s="2"/>
      <c r="C524" s="2"/>
      <c r="D524" s="2"/>
      <c r="E524" s="2"/>
      <c r="F524" s="2"/>
      <c r="G524" s="2"/>
      <c r="H524" s="2"/>
      <c r="I524" s="74"/>
      <c r="J524" s="74"/>
      <c r="K524" s="74"/>
      <c r="L524" s="74"/>
      <c r="M524" s="2"/>
      <c r="N524" s="2"/>
      <c r="O524" s="2"/>
      <c r="P524" s="74"/>
      <c r="Q524" s="2"/>
      <c r="R524" s="2"/>
      <c r="S524" s="76"/>
      <c r="T524" s="2"/>
      <c r="U524" s="62"/>
      <c r="V524" s="62"/>
      <c r="W524" s="62"/>
      <c r="X524" s="62"/>
      <c r="Y524" s="62"/>
      <c r="Z524" s="62"/>
    </row>
    <row r="525" ht="15.75" customHeight="1">
      <c r="A525" s="2"/>
      <c r="B525" s="2"/>
      <c r="C525" s="2"/>
      <c r="D525" s="2"/>
      <c r="E525" s="2"/>
      <c r="F525" s="2"/>
      <c r="G525" s="2"/>
      <c r="H525" s="2"/>
      <c r="I525" s="74"/>
      <c r="J525" s="74"/>
      <c r="K525" s="74"/>
      <c r="L525" s="74"/>
      <c r="M525" s="2"/>
      <c r="N525" s="2"/>
      <c r="O525" s="2"/>
      <c r="P525" s="74"/>
      <c r="Q525" s="2"/>
      <c r="R525" s="2"/>
      <c r="S525" s="76"/>
      <c r="T525" s="2"/>
      <c r="U525" s="62"/>
      <c r="V525" s="62"/>
      <c r="W525" s="62"/>
      <c r="X525" s="62"/>
      <c r="Y525" s="62"/>
      <c r="Z525" s="62"/>
    </row>
    <row r="526" ht="15.75" customHeight="1">
      <c r="A526" s="2"/>
      <c r="B526" s="2"/>
      <c r="C526" s="2"/>
      <c r="D526" s="2"/>
      <c r="E526" s="2"/>
      <c r="F526" s="2"/>
      <c r="G526" s="2"/>
      <c r="H526" s="2"/>
      <c r="I526" s="74"/>
      <c r="J526" s="74"/>
      <c r="K526" s="74"/>
      <c r="L526" s="74"/>
      <c r="M526" s="2"/>
      <c r="N526" s="2"/>
      <c r="O526" s="2"/>
      <c r="P526" s="74"/>
      <c r="Q526" s="2"/>
      <c r="R526" s="2"/>
      <c r="S526" s="76"/>
      <c r="T526" s="2"/>
      <c r="U526" s="62"/>
      <c r="V526" s="62"/>
      <c r="W526" s="62"/>
      <c r="X526" s="62"/>
      <c r="Y526" s="62"/>
      <c r="Z526" s="62"/>
    </row>
    <row r="527" ht="15.75" customHeight="1">
      <c r="A527" s="2"/>
      <c r="B527" s="2"/>
      <c r="C527" s="2"/>
      <c r="D527" s="2"/>
      <c r="E527" s="2"/>
      <c r="F527" s="2"/>
      <c r="G527" s="2"/>
      <c r="H527" s="2"/>
      <c r="I527" s="74"/>
      <c r="J527" s="74"/>
      <c r="K527" s="74"/>
      <c r="L527" s="74"/>
      <c r="M527" s="2"/>
      <c r="N527" s="2"/>
      <c r="O527" s="2"/>
      <c r="P527" s="74"/>
      <c r="Q527" s="2"/>
      <c r="R527" s="2"/>
      <c r="S527" s="76"/>
      <c r="T527" s="2"/>
      <c r="U527" s="62"/>
      <c r="V527" s="62"/>
      <c r="W527" s="62"/>
      <c r="X527" s="62"/>
      <c r="Y527" s="62"/>
      <c r="Z527" s="62"/>
    </row>
    <row r="528" ht="15.75" customHeight="1">
      <c r="A528" s="2"/>
      <c r="B528" s="2"/>
      <c r="C528" s="2"/>
      <c r="D528" s="2"/>
      <c r="E528" s="2"/>
      <c r="F528" s="2"/>
      <c r="G528" s="2"/>
      <c r="H528" s="2"/>
      <c r="I528" s="74"/>
      <c r="J528" s="74"/>
      <c r="K528" s="74"/>
      <c r="L528" s="74"/>
      <c r="M528" s="2"/>
      <c r="N528" s="2"/>
      <c r="O528" s="2"/>
      <c r="P528" s="74"/>
      <c r="Q528" s="2"/>
      <c r="R528" s="2"/>
      <c r="S528" s="76"/>
      <c r="T528" s="2"/>
      <c r="U528" s="62"/>
      <c r="V528" s="62"/>
      <c r="W528" s="62"/>
      <c r="X528" s="62"/>
      <c r="Y528" s="62"/>
      <c r="Z528" s="62"/>
    </row>
    <row r="529" ht="15.75" customHeight="1">
      <c r="A529" s="2"/>
      <c r="B529" s="2"/>
      <c r="C529" s="2"/>
      <c r="D529" s="2"/>
      <c r="E529" s="2"/>
      <c r="F529" s="2"/>
      <c r="G529" s="2"/>
      <c r="H529" s="2"/>
      <c r="I529" s="74"/>
      <c r="J529" s="74"/>
      <c r="K529" s="74"/>
      <c r="L529" s="74"/>
      <c r="M529" s="2"/>
      <c r="N529" s="2"/>
      <c r="O529" s="2"/>
      <c r="P529" s="74"/>
      <c r="Q529" s="2"/>
      <c r="R529" s="2"/>
      <c r="S529" s="76"/>
      <c r="T529" s="2"/>
      <c r="U529" s="62"/>
      <c r="V529" s="62"/>
      <c r="W529" s="62"/>
      <c r="X529" s="62"/>
      <c r="Y529" s="62"/>
      <c r="Z529" s="62"/>
    </row>
    <row r="530" ht="15.75" customHeight="1">
      <c r="A530" s="2"/>
      <c r="B530" s="2"/>
      <c r="C530" s="2"/>
      <c r="D530" s="2"/>
      <c r="E530" s="2"/>
      <c r="F530" s="2"/>
      <c r="G530" s="2"/>
      <c r="H530" s="2"/>
      <c r="I530" s="74"/>
      <c r="J530" s="74"/>
      <c r="K530" s="74"/>
      <c r="L530" s="74"/>
      <c r="M530" s="2"/>
      <c r="N530" s="2"/>
      <c r="O530" s="2"/>
      <c r="P530" s="74"/>
      <c r="Q530" s="2"/>
      <c r="R530" s="2"/>
      <c r="S530" s="76"/>
      <c r="T530" s="2"/>
      <c r="U530" s="62"/>
      <c r="V530" s="62"/>
      <c r="W530" s="62"/>
      <c r="X530" s="62"/>
      <c r="Y530" s="62"/>
      <c r="Z530" s="62"/>
    </row>
    <row r="531" ht="15.75" customHeight="1">
      <c r="A531" s="2"/>
      <c r="B531" s="2"/>
      <c r="C531" s="2"/>
      <c r="D531" s="2"/>
      <c r="E531" s="2"/>
      <c r="F531" s="2"/>
      <c r="G531" s="2"/>
      <c r="H531" s="2"/>
      <c r="I531" s="74"/>
      <c r="J531" s="74"/>
      <c r="K531" s="74"/>
      <c r="L531" s="74"/>
      <c r="M531" s="2"/>
      <c r="N531" s="2"/>
      <c r="O531" s="2"/>
      <c r="P531" s="74"/>
      <c r="Q531" s="2"/>
      <c r="R531" s="2"/>
      <c r="S531" s="76"/>
      <c r="T531" s="2"/>
      <c r="U531" s="62"/>
      <c r="V531" s="62"/>
      <c r="W531" s="62"/>
      <c r="X531" s="62"/>
      <c r="Y531" s="62"/>
      <c r="Z531" s="62"/>
    </row>
    <row r="532" ht="15.75" customHeight="1">
      <c r="A532" s="2"/>
      <c r="B532" s="2"/>
      <c r="C532" s="2"/>
      <c r="D532" s="2"/>
      <c r="E532" s="2"/>
      <c r="F532" s="2"/>
      <c r="G532" s="2"/>
      <c r="H532" s="2"/>
      <c r="I532" s="74"/>
      <c r="J532" s="74"/>
      <c r="K532" s="74"/>
      <c r="L532" s="74"/>
      <c r="M532" s="2"/>
      <c r="N532" s="2"/>
      <c r="O532" s="2"/>
      <c r="P532" s="74"/>
      <c r="Q532" s="2"/>
      <c r="R532" s="2"/>
      <c r="S532" s="76"/>
      <c r="T532" s="2"/>
      <c r="U532" s="62"/>
      <c r="V532" s="62"/>
      <c r="W532" s="62"/>
      <c r="X532" s="62"/>
      <c r="Y532" s="62"/>
      <c r="Z532" s="62"/>
    </row>
    <row r="533" ht="15.75" customHeight="1">
      <c r="A533" s="2"/>
      <c r="B533" s="2"/>
      <c r="C533" s="2"/>
      <c r="D533" s="2"/>
      <c r="E533" s="2"/>
      <c r="F533" s="2"/>
      <c r="G533" s="2"/>
      <c r="H533" s="2"/>
      <c r="I533" s="74"/>
      <c r="J533" s="74"/>
      <c r="K533" s="74"/>
      <c r="L533" s="74"/>
      <c r="M533" s="2"/>
      <c r="N533" s="2"/>
      <c r="O533" s="2"/>
      <c r="P533" s="74"/>
      <c r="Q533" s="2"/>
      <c r="R533" s="2"/>
      <c r="S533" s="76"/>
      <c r="T533" s="2"/>
      <c r="U533" s="62"/>
      <c r="V533" s="62"/>
      <c r="W533" s="62"/>
      <c r="X533" s="62"/>
      <c r="Y533" s="62"/>
      <c r="Z533" s="62"/>
    </row>
    <row r="534" ht="15.75" customHeight="1">
      <c r="A534" s="2"/>
      <c r="B534" s="2"/>
      <c r="C534" s="2"/>
      <c r="D534" s="2"/>
      <c r="E534" s="2"/>
      <c r="F534" s="2"/>
      <c r="G534" s="2"/>
      <c r="H534" s="2"/>
      <c r="I534" s="74"/>
      <c r="J534" s="74"/>
      <c r="K534" s="74"/>
      <c r="L534" s="74"/>
      <c r="M534" s="2"/>
      <c r="N534" s="2"/>
      <c r="O534" s="2"/>
      <c r="P534" s="74"/>
      <c r="Q534" s="2"/>
      <c r="R534" s="2"/>
      <c r="S534" s="76"/>
      <c r="T534" s="2"/>
      <c r="U534" s="62"/>
      <c r="V534" s="62"/>
      <c r="W534" s="62"/>
      <c r="X534" s="62"/>
      <c r="Y534" s="62"/>
      <c r="Z534" s="62"/>
    </row>
    <row r="535" ht="15.75" customHeight="1">
      <c r="A535" s="2"/>
      <c r="B535" s="2"/>
      <c r="C535" s="2"/>
      <c r="D535" s="2"/>
      <c r="E535" s="2"/>
      <c r="F535" s="2"/>
      <c r="G535" s="2"/>
      <c r="H535" s="2"/>
      <c r="I535" s="74"/>
      <c r="J535" s="74"/>
      <c r="K535" s="74"/>
      <c r="L535" s="74"/>
      <c r="M535" s="2"/>
      <c r="N535" s="2"/>
      <c r="O535" s="2"/>
      <c r="P535" s="74"/>
      <c r="Q535" s="2"/>
      <c r="R535" s="2"/>
      <c r="S535" s="76"/>
      <c r="T535" s="2"/>
      <c r="U535" s="62"/>
      <c r="V535" s="62"/>
      <c r="W535" s="62"/>
      <c r="X535" s="62"/>
      <c r="Y535" s="62"/>
      <c r="Z535" s="62"/>
    </row>
    <row r="536" ht="15.75" customHeight="1">
      <c r="A536" s="2"/>
      <c r="B536" s="2"/>
      <c r="C536" s="2"/>
      <c r="D536" s="2"/>
      <c r="E536" s="2"/>
      <c r="F536" s="2"/>
      <c r="G536" s="2"/>
      <c r="H536" s="2"/>
      <c r="I536" s="74"/>
      <c r="J536" s="74"/>
      <c r="K536" s="74"/>
      <c r="L536" s="74"/>
      <c r="M536" s="2"/>
      <c r="N536" s="2"/>
      <c r="O536" s="2"/>
      <c r="P536" s="74"/>
      <c r="Q536" s="2"/>
      <c r="R536" s="2"/>
      <c r="S536" s="76"/>
      <c r="T536" s="2"/>
      <c r="U536" s="62"/>
      <c r="V536" s="62"/>
      <c r="W536" s="62"/>
      <c r="X536" s="62"/>
      <c r="Y536" s="62"/>
      <c r="Z536" s="62"/>
    </row>
    <row r="537" ht="15.75" customHeight="1">
      <c r="A537" s="2"/>
      <c r="B537" s="2"/>
      <c r="C537" s="2"/>
      <c r="D537" s="2"/>
      <c r="E537" s="2"/>
      <c r="F537" s="2"/>
      <c r="G537" s="2"/>
      <c r="H537" s="2"/>
      <c r="I537" s="74"/>
      <c r="J537" s="74"/>
      <c r="K537" s="74"/>
      <c r="L537" s="74"/>
      <c r="M537" s="2"/>
      <c r="N537" s="2"/>
      <c r="O537" s="2"/>
      <c r="P537" s="74"/>
      <c r="Q537" s="2"/>
      <c r="R537" s="2"/>
      <c r="S537" s="76"/>
      <c r="T537" s="2"/>
      <c r="U537" s="62"/>
      <c r="V537" s="62"/>
      <c r="W537" s="62"/>
      <c r="X537" s="62"/>
      <c r="Y537" s="62"/>
      <c r="Z537" s="62"/>
    </row>
    <row r="538" ht="15.75" customHeight="1">
      <c r="A538" s="2"/>
      <c r="B538" s="2"/>
      <c r="C538" s="2"/>
      <c r="D538" s="2"/>
      <c r="E538" s="2"/>
      <c r="F538" s="2"/>
      <c r="G538" s="2"/>
      <c r="H538" s="2"/>
      <c r="I538" s="74"/>
      <c r="J538" s="74"/>
      <c r="K538" s="74"/>
      <c r="L538" s="74"/>
      <c r="M538" s="2"/>
      <c r="N538" s="2"/>
      <c r="O538" s="2"/>
      <c r="P538" s="74"/>
      <c r="Q538" s="2"/>
      <c r="R538" s="2"/>
      <c r="S538" s="76"/>
      <c r="T538" s="2"/>
      <c r="U538" s="62"/>
      <c r="V538" s="62"/>
      <c r="W538" s="62"/>
      <c r="X538" s="62"/>
      <c r="Y538" s="62"/>
      <c r="Z538" s="62"/>
    </row>
    <row r="539" ht="15.75" customHeight="1">
      <c r="A539" s="2"/>
      <c r="B539" s="2"/>
      <c r="C539" s="2"/>
      <c r="D539" s="2"/>
      <c r="E539" s="2"/>
      <c r="F539" s="2"/>
      <c r="G539" s="2"/>
      <c r="H539" s="2"/>
      <c r="I539" s="74"/>
      <c r="J539" s="74"/>
      <c r="K539" s="74"/>
      <c r="L539" s="74"/>
      <c r="M539" s="2"/>
      <c r="N539" s="2"/>
      <c r="O539" s="2"/>
      <c r="P539" s="74"/>
      <c r="Q539" s="2"/>
      <c r="R539" s="2"/>
      <c r="S539" s="76"/>
      <c r="T539" s="2"/>
      <c r="U539" s="62"/>
      <c r="V539" s="62"/>
      <c r="W539" s="62"/>
      <c r="X539" s="62"/>
      <c r="Y539" s="62"/>
      <c r="Z539" s="62"/>
    </row>
    <row r="540" ht="15.75" customHeight="1">
      <c r="A540" s="2"/>
      <c r="B540" s="2"/>
      <c r="C540" s="2"/>
      <c r="D540" s="2"/>
      <c r="E540" s="2"/>
      <c r="F540" s="2"/>
      <c r="G540" s="2"/>
      <c r="H540" s="2"/>
      <c r="I540" s="74"/>
      <c r="J540" s="74"/>
      <c r="K540" s="74"/>
      <c r="L540" s="74"/>
      <c r="M540" s="2"/>
      <c r="N540" s="2"/>
      <c r="O540" s="2"/>
      <c r="P540" s="74"/>
      <c r="Q540" s="2"/>
      <c r="R540" s="2"/>
      <c r="S540" s="76"/>
      <c r="T540" s="2"/>
      <c r="U540" s="62"/>
      <c r="V540" s="62"/>
      <c r="W540" s="62"/>
      <c r="X540" s="62"/>
      <c r="Y540" s="62"/>
      <c r="Z540" s="62"/>
    </row>
    <row r="541" ht="15.75" customHeight="1">
      <c r="A541" s="2"/>
      <c r="B541" s="2"/>
      <c r="C541" s="2"/>
      <c r="D541" s="2"/>
      <c r="E541" s="2"/>
      <c r="F541" s="2"/>
      <c r="G541" s="2"/>
      <c r="H541" s="2"/>
      <c r="I541" s="74"/>
      <c r="J541" s="74"/>
      <c r="K541" s="74"/>
      <c r="L541" s="74"/>
      <c r="M541" s="2"/>
      <c r="N541" s="2"/>
      <c r="O541" s="2"/>
      <c r="P541" s="74"/>
      <c r="Q541" s="2"/>
      <c r="R541" s="2"/>
      <c r="S541" s="76"/>
      <c r="T541" s="2"/>
      <c r="U541" s="62"/>
      <c r="V541" s="62"/>
      <c r="W541" s="62"/>
      <c r="X541" s="62"/>
      <c r="Y541" s="62"/>
      <c r="Z541" s="62"/>
    </row>
    <row r="542" ht="15.75" customHeight="1">
      <c r="A542" s="2"/>
      <c r="B542" s="2"/>
      <c r="C542" s="2"/>
      <c r="D542" s="2"/>
      <c r="E542" s="2"/>
      <c r="F542" s="2"/>
      <c r="G542" s="2"/>
      <c r="H542" s="2"/>
      <c r="I542" s="74"/>
      <c r="J542" s="74"/>
      <c r="K542" s="74"/>
      <c r="L542" s="74"/>
      <c r="M542" s="2"/>
      <c r="N542" s="2"/>
      <c r="O542" s="2"/>
      <c r="P542" s="74"/>
      <c r="Q542" s="2"/>
      <c r="R542" s="2"/>
      <c r="S542" s="76"/>
      <c r="T542" s="2"/>
      <c r="U542" s="62"/>
      <c r="V542" s="62"/>
      <c r="W542" s="62"/>
      <c r="X542" s="62"/>
      <c r="Y542" s="62"/>
      <c r="Z542" s="62"/>
    </row>
    <row r="543" ht="15.75" customHeight="1">
      <c r="A543" s="2"/>
      <c r="B543" s="2"/>
      <c r="C543" s="2"/>
      <c r="D543" s="2"/>
      <c r="E543" s="2"/>
      <c r="F543" s="2"/>
      <c r="G543" s="2"/>
      <c r="H543" s="2"/>
      <c r="I543" s="74"/>
      <c r="J543" s="74"/>
      <c r="K543" s="74"/>
      <c r="L543" s="74"/>
      <c r="M543" s="2"/>
      <c r="N543" s="2"/>
      <c r="O543" s="2"/>
      <c r="P543" s="74"/>
      <c r="Q543" s="2"/>
      <c r="R543" s="2"/>
      <c r="S543" s="76"/>
      <c r="T543" s="2"/>
      <c r="U543" s="62"/>
      <c r="V543" s="62"/>
      <c r="W543" s="62"/>
      <c r="X543" s="62"/>
      <c r="Y543" s="62"/>
      <c r="Z543" s="62"/>
    </row>
    <row r="544" ht="15.75" customHeight="1">
      <c r="A544" s="2"/>
      <c r="B544" s="2"/>
      <c r="C544" s="2"/>
      <c r="D544" s="2"/>
      <c r="E544" s="2"/>
      <c r="F544" s="2"/>
      <c r="G544" s="2"/>
      <c r="H544" s="2"/>
      <c r="I544" s="74"/>
      <c r="J544" s="74"/>
      <c r="K544" s="74"/>
      <c r="L544" s="74"/>
      <c r="M544" s="2"/>
      <c r="N544" s="2"/>
      <c r="O544" s="2"/>
      <c r="P544" s="74"/>
      <c r="Q544" s="2"/>
      <c r="R544" s="2"/>
      <c r="S544" s="76"/>
      <c r="T544" s="2"/>
      <c r="U544" s="62"/>
      <c r="V544" s="62"/>
      <c r="W544" s="62"/>
      <c r="X544" s="62"/>
      <c r="Y544" s="62"/>
      <c r="Z544" s="62"/>
    </row>
    <row r="545" ht="15.75" customHeight="1">
      <c r="A545" s="2"/>
      <c r="B545" s="2"/>
      <c r="C545" s="2"/>
      <c r="D545" s="2"/>
      <c r="E545" s="2"/>
      <c r="F545" s="2"/>
      <c r="G545" s="2"/>
      <c r="H545" s="2"/>
      <c r="I545" s="74"/>
      <c r="J545" s="74"/>
      <c r="K545" s="74"/>
      <c r="L545" s="74"/>
      <c r="M545" s="2"/>
      <c r="N545" s="2"/>
      <c r="O545" s="2"/>
      <c r="P545" s="74"/>
      <c r="Q545" s="2"/>
      <c r="R545" s="2"/>
      <c r="S545" s="76"/>
      <c r="T545" s="2"/>
      <c r="U545" s="62"/>
      <c r="V545" s="62"/>
      <c r="W545" s="62"/>
      <c r="X545" s="62"/>
      <c r="Y545" s="62"/>
      <c r="Z545" s="62"/>
    </row>
    <row r="546" ht="15.75" customHeight="1">
      <c r="A546" s="2"/>
      <c r="B546" s="2"/>
      <c r="C546" s="2"/>
      <c r="D546" s="2"/>
      <c r="E546" s="2"/>
      <c r="F546" s="2"/>
      <c r="G546" s="2"/>
      <c r="H546" s="2"/>
      <c r="I546" s="74"/>
      <c r="J546" s="74"/>
      <c r="K546" s="74"/>
      <c r="L546" s="74"/>
      <c r="M546" s="2"/>
      <c r="N546" s="2"/>
      <c r="O546" s="2"/>
      <c r="P546" s="74"/>
      <c r="Q546" s="2"/>
      <c r="R546" s="2"/>
      <c r="S546" s="76"/>
      <c r="T546" s="2"/>
      <c r="U546" s="62"/>
      <c r="V546" s="62"/>
      <c r="W546" s="62"/>
      <c r="X546" s="62"/>
      <c r="Y546" s="62"/>
      <c r="Z546" s="62"/>
    </row>
    <row r="547" ht="15.75" customHeight="1">
      <c r="A547" s="2"/>
      <c r="B547" s="2"/>
      <c r="C547" s="2"/>
      <c r="D547" s="2"/>
      <c r="E547" s="2"/>
      <c r="F547" s="2"/>
      <c r="G547" s="2"/>
      <c r="H547" s="2"/>
      <c r="I547" s="74"/>
      <c r="J547" s="74"/>
      <c r="K547" s="74"/>
      <c r="L547" s="74"/>
      <c r="M547" s="2"/>
      <c r="N547" s="2"/>
      <c r="O547" s="2"/>
      <c r="P547" s="74"/>
      <c r="Q547" s="2"/>
      <c r="R547" s="2"/>
      <c r="S547" s="76"/>
      <c r="T547" s="2"/>
      <c r="U547" s="62"/>
      <c r="V547" s="62"/>
      <c r="W547" s="62"/>
      <c r="X547" s="62"/>
      <c r="Y547" s="62"/>
      <c r="Z547" s="62"/>
    </row>
    <row r="548" ht="15.75" customHeight="1">
      <c r="A548" s="2"/>
      <c r="B548" s="2"/>
      <c r="C548" s="2"/>
      <c r="D548" s="2"/>
      <c r="E548" s="2"/>
      <c r="F548" s="2"/>
      <c r="G548" s="2"/>
      <c r="H548" s="2"/>
      <c r="I548" s="74"/>
      <c r="J548" s="74"/>
      <c r="K548" s="74"/>
      <c r="L548" s="74"/>
      <c r="M548" s="2"/>
      <c r="N548" s="2"/>
      <c r="O548" s="2"/>
      <c r="P548" s="74"/>
      <c r="Q548" s="2"/>
      <c r="R548" s="2"/>
      <c r="S548" s="76"/>
      <c r="T548" s="2"/>
      <c r="U548" s="62"/>
      <c r="V548" s="62"/>
      <c r="W548" s="62"/>
      <c r="X548" s="62"/>
      <c r="Y548" s="62"/>
      <c r="Z548" s="62"/>
    </row>
    <row r="549" ht="15.75" customHeight="1">
      <c r="A549" s="2"/>
      <c r="B549" s="2"/>
      <c r="C549" s="2"/>
      <c r="D549" s="2"/>
      <c r="E549" s="2"/>
      <c r="F549" s="2"/>
      <c r="G549" s="2"/>
      <c r="H549" s="2"/>
      <c r="I549" s="74"/>
      <c r="J549" s="74"/>
      <c r="K549" s="74"/>
      <c r="L549" s="74"/>
      <c r="M549" s="2"/>
      <c r="N549" s="2"/>
      <c r="O549" s="2"/>
      <c r="P549" s="74"/>
      <c r="Q549" s="2"/>
      <c r="R549" s="2"/>
      <c r="S549" s="76"/>
      <c r="T549" s="2"/>
      <c r="U549" s="62"/>
      <c r="V549" s="62"/>
      <c r="W549" s="62"/>
      <c r="X549" s="62"/>
      <c r="Y549" s="62"/>
      <c r="Z549" s="62"/>
    </row>
    <row r="550" ht="15.75" customHeight="1">
      <c r="A550" s="2"/>
      <c r="B550" s="2"/>
      <c r="C550" s="2"/>
      <c r="D550" s="2"/>
      <c r="E550" s="2"/>
      <c r="F550" s="2"/>
      <c r="G550" s="2"/>
      <c r="H550" s="2"/>
      <c r="I550" s="74"/>
      <c r="J550" s="74"/>
      <c r="K550" s="74"/>
      <c r="L550" s="74"/>
      <c r="M550" s="2"/>
      <c r="N550" s="2"/>
      <c r="O550" s="2"/>
      <c r="P550" s="74"/>
      <c r="Q550" s="2"/>
      <c r="R550" s="2"/>
      <c r="S550" s="76"/>
      <c r="T550" s="2"/>
      <c r="U550" s="62"/>
      <c r="V550" s="62"/>
      <c r="W550" s="62"/>
      <c r="X550" s="62"/>
      <c r="Y550" s="62"/>
      <c r="Z550" s="62"/>
    </row>
    <row r="551" ht="15.75" customHeight="1">
      <c r="A551" s="2"/>
      <c r="B551" s="2"/>
      <c r="C551" s="2"/>
      <c r="D551" s="2"/>
      <c r="E551" s="2"/>
      <c r="F551" s="2"/>
      <c r="G551" s="2"/>
      <c r="H551" s="2"/>
      <c r="I551" s="74"/>
      <c r="J551" s="74"/>
      <c r="K551" s="74"/>
      <c r="L551" s="74"/>
      <c r="M551" s="2"/>
      <c r="N551" s="2"/>
      <c r="O551" s="2"/>
      <c r="P551" s="74"/>
      <c r="Q551" s="2"/>
      <c r="R551" s="2"/>
      <c r="S551" s="76"/>
      <c r="T551" s="2"/>
      <c r="U551" s="62"/>
      <c r="V551" s="62"/>
      <c r="W551" s="62"/>
      <c r="X551" s="62"/>
      <c r="Y551" s="62"/>
      <c r="Z551" s="62"/>
    </row>
    <row r="552" ht="15.75" customHeight="1">
      <c r="A552" s="2"/>
      <c r="B552" s="2"/>
      <c r="C552" s="2"/>
      <c r="D552" s="2"/>
      <c r="E552" s="2"/>
      <c r="F552" s="2"/>
      <c r="G552" s="2"/>
      <c r="H552" s="2"/>
      <c r="I552" s="74"/>
      <c r="J552" s="74"/>
      <c r="K552" s="74"/>
      <c r="L552" s="74"/>
      <c r="M552" s="2"/>
      <c r="N552" s="2"/>
      <c r="O552" s="2"/>
      <c r="P552" s="74"/>
      <c r="Q552" s="2"/>
      <c r="R552" s="2"/>
      <c r="S552" s="76"/>
      <c r="T552" s="2"/>
      <c r="U552" s="62"/>
      <c r="V552" s="62"/>
      <c r="W552" s="62"/>
      <c r="X552" s="62"/>
      <c r="Y552" s="62"/>
      <c r="Z552" s="62"/>
    </row>
    <row r="553" ht="15.75" customHeight="1">
      <c r="A553" s="2"/>
      <c r="B553" s="2"/>
      <c r="C553" s="2"/>
      <c r="D553" s="2"/>
      <c r="E553" s="2"/>
      <c r="F553" s="2"/>
      <c r="G553" s="2"/>
      <c r="H553" s="2"/>
      <c r="I553" s="74"/>
      <c r="J553" s="74"/>
      <c r="K553" s="74"/>
      <c r="L553" s="74"/>
      <c r="M553" s="2"/>
      <c r="N553" s="2"/>
      <c r="O553" s="2"/>
      <c r="P553" s="74"/>
      <c r="Q553" s="2"/>
      <c r="R553" s="2"/>
      <c r="S553" s="76"/>
      <c r="T553" s="2"/>
      <c r="U553" s="62"/>
      <c r="V553" s="62"/>
      <c r="W553" s="62"/>
      <c r="X553" s="62"/>
      <c r="Y553" s="62"/>
      <c r="Z553" s="62"/>
    </row>
    <row r="554" ht="15.75" customHeight="1">
      <c r="A554" s="2"/>
      <c r="B554" s="2"/>
      <c r="C554" s="2"/>
      <c r="D554" s="2"/>
      <c r="E554" s="2"/>
      <c r="F554" s="2"/>
      <c r="G554" s="2"/>
      <c r="H554" s="2"/>
      <c r="I554" s="74"/>
      <c r="J554" s="74"/>
      <c r="K554" s="74"/>
      <c r="L554" s="74"/>
      <c r="M554" s="2"/>
      <c r="N554" s="2"/>
      <c r="O554" s="2"/>
      <c r="P554" s="74"/>
      <c r="Q554" s="2"/>
      <c r="R554" s="2"/>
      <c r="S554" s="76"/>
      <c r="T554" s="2"/>
      <c r="U554" s="62"/>
      <c r="V554" s="62"/>
      <c r="W554" s="62"/>
      <c r="X554" s="62"/>
      <c r="Y554" s="62"/>
      <c r="Z554" s="62"/>
    </row>
    <row r="555" ht="15.75" customHeight="1">
      <c r="A555" s="2"/>
      <c r="B555" s="2"/>
      <c r="C555" s="2"/>
      <c r="D555" s="2"/>
      <c r="E555" s="2"/>
      <c r="F555" s="2"/>
      <c r="G555" s="2"/>
      <c r="H555" s="2"/>
      <c r="I555" s="74"/>
      <c r="J555" s="74"/>
      <c r="K555" s="74"/>
      <c r="L555" s="74"/>
      <c r="M555" s="2"/>
      <c r="N555" s="2"/>
      <c r="O555" s="2"/>
      <c r="P555" s="74"/>
      <c r="Q555" s="2"/>
      <c r="R555" s="2"/>
      <c r="S555" s="76"/>
      <c r="T555" s="2"/>
      <c r="U555" s="62"/>
      <c r="V555" s="62"/>
      <c r="W555" s="62"/>
      <c r="X555" s="62"/>
      <c r="Y555" s="62"/>
      <c r="Z555" s="62"/>
    </row>
    <row r="556" ht="15.75" customHeight="1">
      <c r="A556" s="2"/>
      <c r="B556" s="2"/>
      <c r="C556" s="2"/>
      <c r="D556" s="2"/>
      <c r="E556" s="2"/>
      <c r="F556" s="2"/>
      <c r="G556" s="2"/>
      <c r="H556" s="2"/>
      <c r="I556" s="74"/>
      <c r="J556" s="74"/>
      <c r="K556" s="74"/>
      <c r="L556" s="74"/>
      <c r="M556" s="2"/>
      <c r="N556" s="2"/>
      <c r="O556" s="2"/>
      <c r="P556" s="74"/>
      <c r="Q556" s="2"/>
      <c r="R556" s="2"/>
      <c r="S556" s="76"/>
      <c r="T556" s="2"/>
      <c r="U556" s="62"/>
      <c r="V556" s="62"/>
      <c r="W556" s="62"/>
      <c r="X556" s="62"/>
      <c r="Y556" s="62"/>
      <c r="Z556" s="62"/>
    </row>
    <row r="557" ht="15.75" customHeight="1">
      <c r="A557" s="2"/>
      <c r="B557" s="2"/>
      <c r="C557" s="2"/>
      <c r="D557" s="2"/>
      <c r="E557" s="2"/>
      <c r="F557" s="2"/>
      <c r="G557" s="2"/>
      <c r="H557" s="2"/>
      <c r="I557" s="74"/>
      <c r="J557" s="74"/>
      <c r="K557" s="74"/>
      <c r="L557" s="74"/>
      <c r="M557" s="2"/>
      <c r="N557" s="2"/>
      <c r="O557" s="2"/>
      <c r="P557" s="74"/>
      <c r="Q557" s="2"/>
      <c r="R557" s="2"/>
      <c r="S557" s="76"/>
      <c r="T557" s="2"/>
      <c r="U557" s="62"/>
      <c r="V557" s="62"/>
      <c r="W557" s="62"/>
      <c r="X557" s="62"/>
      <c r="Y557" s="62"/>
      <c r="Z557" s="62"/>
    </row>
    <row r="558" ht="15.75" customHeight="1">
      <c r="A558" s="2"/>
      <c r="B558" s="2"/>
      <c r="C558" s="2"/>
      <c r="D558" s="2"/>
      <c r="E558" s="2"/>
      <c r="F558" s="2"/>
      <c r="G558" s="2"/>
      <c r="H558" s="2"/>
      <c r="I558" s="74"/>
      <c r="J558" s="74"/>
      <c r="K558" s="74"/>
      <c r="L558" s="74"/>
      <c r="M558" s="2"/>
      <c r="N558" s="2"/>
      <c r="O558" s="2"/>
      <c r="P558" s="74"/>
      <c r="Q558" s="2"/>
      <c r="R558" s="2"/>
      <c r="S558" s="76"/>
      <c r="T558" s="2"/>
      <c r="U558" s="62"/>
      <c r="V558" s="62"/>
      <c r="W558" s="62"/>
      <c r="X558" s="62"/>
      <c r="Y558" s="62"/>
      <c r="Z558" s="62"/>
    </row>
    <row r="559" ht="15.75" customHeight="1">
      <c r="A559" s="2"/>
      <c r="B559" s="2"/>
      <c r="C559" s="2"/>
      <c r="D559" s="2"/>
      <c r="E559" s="2"/>
      <c r="F559" s="2"/>
      <c r="G559" s="2"/>
      <c r="H559" s="2"/>
      <c r="I559" s="74"/>
      <c r="J559" s="74"/>
      <c r="K559" s="74"/>
      <c r="L559" s="74"/>
      <c r="M559" s="2"/>
      <c r="N559" s="2"/>
      <c r="O559" s="2"/>
      <c r="P559" s="74"/>
      <c r="Q559" s="2"/>
      <c r="R559" s="2"/>
      <c r="S559" s="76"/>
      <c r="T559" s="2"/>
      <c r="U559" s="62"/>
      <c r="V559" s="62"/>
      <c r="W559" s="62"/>
      <c r="X559" s="62"/>
      <c r="Y559" s="62"/>
      <c r="Z559" s="62"/>
    </row>
    <row r="560" ht="15.75" customHeight="1">
      <c r="A560" s="2"/>
      <c r="B560" s="2"/>
      <c r="C560" s="2"/>
      <c r="D560" s="2"/>
      <c r="E560" s="2"/>
      <c r="F560" s="2"/>
      <c r="G560" s="2"/>
      <c r="H560" s="2"/>
      <c r="I560" s="74"/>
      <c r="J560" s="74"/>
      <c r="K560" s="74"/>
      <c r="L560" s="74"/>
      <c r="M560" s="2"/>
      <c r="N560" s="2"/>
      <c r="O560" s="2"/>
      <c r="P560" s="74"/>
      <c r="Q560" s="2"/>
      <c r="R560" s="2"/>
      <c r="S560" s="76"/>
      <c r="T560" s="2"/>
      <c r="U560" s="62"/>
      <c r="V560" s="62"/>
      <c r="W560" s="62"/>
      <c r="X560" s="62"/>
      <c r="Y560" s="62"/>
      <c r="Z560" s="62"/>
    </row>
    <row r="561" ht="15.75" customHeight="1">
      <c r="A561" s="2"/>
      <c r="B561" s="2"/>
      <c r="C561" s="2"/>
      <c r="D561" s="2"/>
      <c r="E561" s="2"/>
      <c r="F561" s="2"/>
      <c r="G561" s="2"/>
      <c r="H561" s="2"/>
      <c r="I561" s="74"/>
      <c r="J561" s="74"/>
      <c r="K561" s="74"/>
      <c r="L561" s="74"/>
      <c r="M561" s="2"/>
      <c r="N561" s="2"/>
      <c r="O561" s="2"/>
      <c r="P561" s="74"/>
      <c r="Q561" s="2"/>
      <c r="R561" s="2"/>
      <c r="S561" s="76"/>
      <c r="T561" s="2"/>
      <c r="U561" s="62"/>
      <c r="V561" s="62"/>
      <c r="W561" s="62"/>
      <c r="X561" s="62"/>
      <c r="Y561" s="62"/>
      <c r="Z561" s="62"/>
    </row>
    <row r="562" ht="15.75" customHeight="1">
      <c r="A562" s="2"/>
      <c r="B562" s="2"/>
      <c r="C562" s="2"/>
      <c r="D562" s="2"/>
      <c r="E562" s="2"/>
      <c r="F562" s="2"/>
      <c r="G562" s="2"/>
      <c r="H562" s="2"/>
      <c r="I562" s="74"/>
      <c r="J562" s="74"/>
      <c r="K562" s="74"/>
      <c r="L562" s="74"/>
      <c r="M562" s="2"/>
      <c r="N562" s="2"/>
      <c r="O562" s="2"/>
      <c r="P562" s="74"/>
      <c r="Q562" s="2"/>
      <c r="R562" s="2"/>
      <c r="S562" s="76"/>
      <c r="T562" s="2"/>
      <c r="U562" s="62"/>
      <c r="V562" s="62"/>
      <c r="W562" s="62"/>
      <c r="X562" s="62"/>
      <c r="Y562" s="62"/>
      <c r="Z562" s="62"/>
    </row>
    <row r="563" ht="15.75" customHeight="1">
      <c r="A563" s="2"/>
      <c r="B563" s="2"/>
      <c r="C563" s="2"/>
      <c r="D563" s="2"/>
      <c r="E563" s="2"/>
      <c r="F563" s="2"/>
      <c r="G563" s="2"/>
      <c r="H563" s="2"/>
      <c r="I563" s="74"/>
      <c r="J563" s="74"/>
      <c r="K563" s="74"/>
      <c r="L563" s="74"/>
      <c r="M563" s="2"/>
      <c r="N563" s="2"/>
      <c r="O563" s="2"/>
      <c r="P563" s="74"/>
      <c r="Q563" s="2"/>
      <c r="R563" s="2"/>
      <c r="S563" s="76"/>
      <c r="T563" s="2"/>
      <c r="U563" s="62"/>
      <c r="V563" s="62"/>
      <c r="W563" s="62"/>
      <c r="X563" s="62"/>
      <c r="Y563" s="62"/>
      <c r="Z563" s="62"/>
    </row>
    <row r="564" ht="15.75" customHeight="1">
      <c r="A564" s="2"/>
      <c r="B564" s="2"/>
      <c r="C564" s="2"/>
      <c r="D564" s="2"/>
      <c r="E564" s="2"/>
      <c r="F564" s="2"/>
      <c r="G564" s="2"/>
      <c r="H564" s="2"/>
      <c r="I564" s="74"/>
      <c r="J564" s="74"/>
      <c r="K564" s="74"/>
      <c r="L564" s="74"/>
      <c r="M564" s="2"/>
      <c r="N564" s="2"/>
      <c r="O564" s="2"/>
      <c r="P564" s="74"/>
      <c r="Q564" s="2"/>
      <c r="R564" s="2"/>
      <c r="S564" s="76"/>
      <c r="T564" s="2"/>
      <c r="U564" s="62"/>
      <c r="V564" s="62"/>
      <c r="W564" s="62"/>
      <c r="X564" s="62"/>
      <c r="Y564" s="62"/>
      <c r="Z564" s="62"/>
    </row>
    <row r="565" ht="15.75" customHeight="1">
      <c r="A565" s="2"/>
      <c r="B565" s="2"/>
      <c r="C565" s="2"/>
      <c r="D565" s="2"/>
      <c r="E565" s="2"/>
      <c r="F565" s="2"/>
      <c r="G565" s="2"/>
      <c r="H565" s="2"/>
      <c r="I565" s="74"/>
      <c r="J565" s="74"/>
      <c r="K565" s="74"/>
      <c r="L565" s="74"/>
      <c r="M565" s="2"/>
      <c r="N565" s="2"/>
      <c r="O565" s="2"/>
      <c r="P565" s="74"/>
      <c r="Q565" s="2"/>
      <c r="R565" s="2"/>
      <c r="S565" s="76"/>
      <c r="T565" s="2"/>
      <c r="U565" s="62"/>
      <c r="V565" s="62"/>
      <c r="W565" s="62"/>
      <c r="X565" s="62"/>
      <c r="Y565" s="62"/>
      <c r="Z565" s="62"/>
    </row>
    <row r="566" ht="15.75" customHeight="1">
      <c r="A566" s="2"/>
      <c r="B566" s="2"/>
      <c r="C566" s="2"/>
      <c r="D566" s="2"/>
      <c r="E566" s="2"/>
      <c r="F566" s="2"/>
      <c r="G566" s="2"/>
      <c r="H566" s="2"/>
      <c r="I566" s="74"/>
      <c r="J566" s="74"/>
      <c r="K566" s="74"/>
      <c r="L566" s="74"/>
      <c r="M566" s="2"/>
      <c r="N566" s="2"/>
      <c r="O566" s="2"/>
      <c r="P566" s="74"/>
      <c r="Q566" s="2"/>
      <c r="R566" s="2"/>
      <c r="S566" s="76"/>
      <c r="T566" s="2"/>
      <c r="U566" s="62"/>
      <c r="V566" s="62"/>
      <c r="W566" s="62"/>
      <c r="X566" s="62"/>
      <c r="Y566" s="62"/>
      <c r="Z566" s="62"/>
    </row>
    <row r="567" ht="15.75" customHeight="1">
      <c r="A567" s="2"/>
      <c r="B567" s="2"/>
      <c r="C567" s="2"/>
      <c r="D567" s="2"/>
      <c r="E567" s="2"/>
      <c r="F567" s="2"/>
      <c r="G567" s="2"/>
      <c r="H567" s="2"/>
      <c r="I567" s="74"/>
      <c r="J567" s="74"/>
      <c r="K567" s="74"/>
      <c r="L567" s="74"/>
      <c r="M567" s="2"/>
      <c r="N567" s="2"/>
      <c r="O567" s="2"/>
      <c r="P567" s="74"/>
      <c r="Q567" s="2"/>
      <c r="R567" s="2"/>
      <c r="S567" s="76"/>
      <c r="T567" s="2"/>
      <c r="U567" s="62"/>
      <c r="V567" s="62"/>
      <c r="W567" s="62"/>
      <c r="X567" s="62"/>
      <c r="Y567" s="62"/>
      <c r="Z567" s="62"/>
    </row>
    <row r="568" ht="15.75" customHeight="1">
      <c r="A568" s="2"/>
      <c r="B568" s="2"/>
      <c r="C568" s="2"/>
      <c r="D568" s="2"/>
      <c r="E568" s="2"/>
      <c r="F568" s="2"/>
      <c r="G568" s="2"/>
      <c r="H568" s="2"/>
      <c r="I568" s="74"/>
      <c r="J568" s="74"/>
      <c r="K568" s="74"/>
      <c r="L568" s="74"/>
      <c r="M568" s="2"/>
      <c r="N568" s="2"/>
      <c r="O568" s="2"/>
      <c r="P568" s="74"/>
      <c r="Q568" s="2"/>
      <c r="R568" s="2"/>
      <c r="S568" s="76"/>
      <c r="T568" s="2"/>
      <c r="U568" s="62"/>
      <c r="V568" s="62"/>
      <c r="W568" s="62"/>
      <c r="X568" s="62"/>
      <c r="Y568" s="62"/>
      <c r="Z568" s="62"/>
    </row>
    <row r="569" ht="15.75" customHeight="1">
      <c r="A569" s="2"/>
      <c r="B569" s="2"/>
      <c r="C569" s="2"/>
      <c r="D569" s="2"/>
      <c r="E569" s="2"/>
      <c r="F569" s="2"/>
      <c r="G569" s="2"/>
      <c r="H569" s="2"/>
      <c r="I569" s="74"/>
      <c r="J569" s="74"/>
      <c r="K569" s="74"/>
      <c r="L569" s="74"/>
      <c r="M569" s="2"/>
      <c r="N569" s="2"/>
      <c r="O569" s="2"/>
      <c r="P569" s="74"/>
      <c r="Q569" s="2"/>
      <c r="R569" s="2"/>
      <c r="S569" s="76"/>
      <c r="T569" s="2"/>
      <c r="U569" s="62"/>
      <c r="V569" s="62"/>
      <c r="W569" s="62"/>
      <c r="X569" s="62"/>
      <c r="Y569" s="62"/>
      <c r="Z569" s="62"/>
    </row>
    <row r="570" ht="15.75" customHeight="1">
      <c r="A570" s="2"/>
      <c r="B570" s="2"/>
      <c r="C570" s="2"/>
      <c r="D570" s="2"/>
      <c r="E570" s="2"/>
      <c r="F570" s="2"/>
      <c r="G570" s="2"/>
      <c r="H570" s="2"/>
      <c r="I570" s="74"/>
      <c r="J570" s="74"/>
      <c r="K570" s="74"/>
      <c r="L570" s="74"/>
      <c r="M570" s="2"/>
      <c r="N570" s="2"/>
      <c r="O570" s="2"/>
      <c r="P570" s="74"/>
      <c r="Q570" s="2"/>
      <c r="R570" s="2"/>
      <c r="S570" s="76"/>
      <c r="T570" s="2"/>
      <c r="U570" s="62"/>
      <c r="V570" s="62"/>
      <c r="W570" s="62"/>
      <c r="X570" s="62"/>
      <c r="Y570" s="62"/>
      <c r="Z570" s="62"/>
    </row>
    <row r="571" ht="15.75" customHeight="1">
      <c r="A571" s="2"/>
      <c r="B571" s="2"/>
      <c r="C571" s="2"/>
      <c r="D571" s="2"/>
      <c r="E571" s="2"/>
      <c r="F571" s="2"/>
      <c r="G571" s="2"/>
      <c r="H571" s="2"/>
      <c r="I571" s="74"/>
      <c r="J571" s="74"/>
      <c r="K571" s="74"/>
      <c r="L571" s="74"/>
      <c r="M571" s="2"/>
      <c r="N571" s="2"/>
      <c r="O571" s="2"/>
      <c r="P571" s="74"/>
      <c r="Q571" s="2"/>
      <c r="R571" s="2"/>
      <c r="S571" s="76"/>
      <c r="T571" s="2"/>
      <c r="U571" s="62"/>
      <c r="V571" s="62"/>
      <c r="W571" s="62"/>
      <c r="X571" s="62"/>
      <c r="Y571" s="62"/>
      <c r="Z571" s="62"/>
    </row>
    <row r="572" ht="15.75" customHeight="1">
      <c r="A572" s="2"/>
      <c r="B572" s="2"/>
      <c r="C572" s="2"/>
      <c r="D572" s="2"/>
      <c r="E572" s="2"/>
      <c r="F572" s="2"/>
      <c r="G572" s="2"/>
      <c r="H572" s="2"/>
      <c r="I572" s="74"/>
      <c r="J572" s="74"/>
      <c r="K572" s="74"/>
      <c r="L572" s="74"/>
      <c r="M572" s="2"/>
      <c r="N572" s="2"/>
      <c r="O572" s="2"/>
      <c r="P572" s="74"/>
      <c r="Q572" s="2"/>
      <c r="R572" s="2"/>
      <c r="S572" s="76"/>
      <c r="T572" s="2"/>
      <c r="U572" s="62"/>
      <c r="V572" s="62"/>
      <c r="W572" s="62"/>
      <c r="X572" s="62"/>
      <c r="Y572" s="62"/>
      <c r="Z572" s="62"/>
    </row>
    <row r="573" ht="15.75" customHeight="1">
      <c r="A573" s="2"/>
      <c r="B573" s="2"/>
      <c r="C573" s="2"/>
      <c r="D573" s="2"/>
      <c r="E573" s="2"/>
      <c r="F573" s="2"/>
      <c r="G573" s="2"/>
      <c r="H573" s="2"/>
      <c r="I573" s="74"/>
      <c r="J573" s="74"/>
      <c r="K573" s="74"/>
      <c r="L573" s="74"/>
      <c r="M573" s="2"/>
      <c r="N573" s="2"/>
      <c r="O573" s="2"/>
      <c r="P573" s="74"/>
      <c r="Q573" s="2"/>
      <c r="R573" s="2"/>
      <c r="S573" s="76"/>
      <c r="T573" s="2"/>
      <c r="U573" s="62"/>
      <c r="V573" s="62"/>
      <c r="W573" s="62"/>
      <c r="X573" s="62"/>
      <c r="Y573" s="62"/>
      <c r="Z573" s="62"/>
    </row>
    <row r="574" ht="15.75" customHeight="1">
      <c r="A574" s="2"/>
      <c r="B574" s="2"/>
      <c r="C574" s="2"/>
      <c r="D574" s="2"/>
      <c r="E574" s="2"/>
      <c r="F574" s="2"/>
      <c r="G574" s="2"/>
      <c r="H574" s="2"/>
      <c r="I574" s="74"/>
      <c r="J574" s="74"/>
      <c r="K574" s="74"/>
      <c r="L574" s="74"/>
      <c r="M574" s="2"/>
      <c r="N574" s="2"/>
      <c r="O574" s="2"/>
      <c r="P574" s="74"/>
      <c r="Q574" s="2"/>
      <c r="R574" s="2"/>
      <c r="S574" s="76"/>
      <c r="T574" s="2"/>
      <c r="U574" s="62"/>
      <c r="V574" s="62"/>
      <c r="W574" s="62"/>
      <c r="X574" s="62"/>
      <c r="Y574" s="62"/>
      <c r="Z574" s="62"/>
    </row>
    <row r="575" ht="15.75" customHeight="1">
      <c r="A575" s="2"/>
      <c r="B575" s="2"/>
      <c r="C575" s="2"/>
      <c r="D575" s="2"/>
      <c r="E575" s="2"/>
      <c r="F575" s="2"/>
      <c r="G575" s="2"/>
      <c r="H575" s="2"/>
      <c r="I575" s="74"/>
      <c r="J575" s="74"/>
      <c r="K575" s="74"/>
      <c r="L575" s="74"/>
      <c r="M575" s="2"/>
      <c r="N575" s="2"/>
      <c r="O575" s="2"/>
      <c r="P575" s="74"/>
      <c r="Q575" s="2"/>
      <c r="R575" s="2"/>
      <c r="S575" s="76"/>
      <c r="T575" s="2"/>
      <c r="U575" s="62"/>
      <c r="V575" s="62"/>
      <c r="W575" s="62"/>
      <c r="X575" s="62"/>
      <c r="Y575" s="62"/>
      <c r="Z575" s="62"/>
    </row>
    <row r="576" ht="15.75" customHeight="1">
      <c r="A576" s="2"/>
      <c r="B576" s="2"/>
      <c r="C576" s="2"/>
      <c r="D576" s="2"/>
      <c r="E576" s="2"/>
      <c r="F576" s="2"/>
      <c r="G576" s="2"/>
      <c r="H576" s="2"/>
      <c r="I576" s="74"/>
      <c r="J576" s="74"/>
      <c r="K576" s="74"/>
      <c r="L576" s="74"/>
      <c r="M576" s="2"/>
      <c r="N576" s="2"/>
      <c r="O576" s="2"/>
      <c r="P576" s="74"/>
      <c r="Q576" s="2"/>
      <c r="R576" s="2"/>
      <c r="S576" s="76"/>
      <c r="T576" s="2"/>
      <c r="U576" s="62"/>
      <c r="V576" s="62"/>
      <c r="W576" s="62"/>
      <c r="X576" s="62"/>
      <c r="Y576" s="62"/>
      <c r="Z576" s="62"/>
    </row>
    <row r="577" ht="15.75" customHeight="1">
      <c r="A577" s="2"/>
      <c r="B577" s="2"/>
      <c r="C577" s="2"/>
      <c r="D577" s="2"/>
      <c r="E577" s="2"/>
      <c r="F577" s="2"/>
      <c r="G577" s="2"/>
      <c r="H577" s="2"/>
      <c r="I577" s="74"/>
      <c r="J577" s="74"/>
      <c r="K577" s="74"/>
      <c r="L577" s="74"/>
      <c r="M577" s="2"/>
      <c r="N577" s="2"/>
      <c r="O577" s="2"/>
      <c r="P577" s="74"/>
      <c r="Q577" s="2"/>
      <c r="R577" s="2"/>
      <c r="S577" s="76"/>
      <c r="T577" s="2"/>
      <c r="U577" s="62"/>
      <c r="V577" s="62"/>
      <c r="W577" s="62"/>
      <c r="X577" s="62"/>
      <c r="Y577" s="62"/>
      <c r="Z577" s="62"/>
    </row>
    <row r="578" ht="15.75" customHeight="1">
      <c r="A578" s="2"/>
      <c r="B578" s="2"/>
      <c r="C578" s="2"/>
      <c r="D578" s="2"/>
      <c r="E578" s="2"/>
      <c r="F578" s="2"/>
      <c r="G578" s="2"/>
      <c r="H578" s="2"/>
      <c r="I578" s="74"/>
      <c r="J578" s="74"/>
      <c r="K578" s="74"/>
      <c r="L578" s="74"/>
      <c r="M578" s="2"/>
      <c r="N578" s="2"/>
      <c r="O578" s="2"/>
      <c r="P578" s="74"/>
      <c r="Q578" s="2"/>
      <c r="R578" s="2"/>
      <c r="S578" s="76"/>
      <c r="T578" s="2"/>
      <c r="U578" s="62"/>
      <c r="V578" s="62"/>
      <c r="W578" s="62"/>
      <c r="X578" s="62"/>
      <c r="Y578" s="62"/>
      <c r="Z578" s="62"/>
    </row>
    <row r="579" ht="15.75" customHeight="1">
      <c r="A579" s="2"/>
      <c r="B579" s="2"/>
      <c r="C579" s="2"/>
      <c r="D579" s="2"/>
      <c r="E579" s="2"/>
      <c r="F579" s="2"/>
      <c r="G579" s="2"/>
      <c r="H579" s="2"/>
      <c r="I579" s="74"/>
      <c r="J579" s="74"/>
      <c r="K579" s="74"/>
      <c r="L579" s="74"/>
      <c r="M579" s="2"/>
      <c r="N579" s="2"/>
      <c r="O579" s="2"/>
      <c r="P579" s="74"/>
      <c r="Q579" s="2"/>
      <c r="R579" s="2"/>
      <c r="S579" s="76"/>
      <c r="T579" s="2"/>
      <c r="U579" s="62"/>
      <c r="V579" s="62"/>
      <c r="W579" s="62"/>
      <c r="X579" s="62"/>
      <c r="Y579" s="62"/>
      <c r="Z579" s="62"/>
    </row>
    <row r="580" ht="15.75" customHeight="1">
      <c r="A580" s="2"/>
      <c r="B580" s="2"/>
      <c r="C580" s="2"/>
      <c r="D580" s="2"/>
      <c r="E580" s="2"/>
      <c r="F580" s="2"/>
      <c r="G580" s="2"/>
      <c r="H580" s="2"/>
      <c r="I580" s="74"/>
      <c r="J580" s="74"/>
      <c r="K580" s="74"/>
      <c r="L580" s="74"/>
      <c r="M580" s="2"/>
      <c r="N580" s="2"/>
      <c r="O580" s="2"/>
      <c r="P580" s="74"/>
      <c r="Q580" s="2"/>
      <c r="R580" s="2"/>
      <c r="S580" s="76"/>
      <c r="T580" s="2"/>
      <c r="U580" s="62"/>
      <c r="V580" s="62"/>
      <c r="W580" s="62"/>
      <c r="X580" s="62"/>
      <c r="Y580" s="62"/>
      <c r="Z580" s="62"/>
    </row>
    <row r="581" ht="15.75" customHeight="1">
      <c r="A581" s="2"/>
      <c r="B581" s="2"/>
      <c r="C581" s="2"/>
      <c r="D581" s="2"/>
      <c r="E581" s="2"/>
      <c r="F581" s="2"/>
      <c r="G581" s="2"/>
      <c r="H581" s="2"/>
      <c r="I581" s="74"/>
      <c r="J581" s="74"/>
      <c r="K581" s="74"/>
      <c r="L581" s="74"/>
      <c r="M581" s="2"/>
      <c r="N581" s="2"/>
      <c r="O581" s="2"/>
      <c r="P581" s="74"/>
      <c r="Q581" s="2"/>
      <c r="R581" s="2"/>
      <c r="S581" s="76"/>
      <c r="T581" s="2"/>
      <c r="U581" s="62"/>
      <c r="V581" s="62"/>
      <c r="W581" s="62"/>
      <c r="X581" s="62"/>
      <c r="Y581" s="62"/>
      <c r="Z581" s="62"/>
    </row>
    <row r="582" ht="15.75" customHeight="1">
      <c r="A582" s="2"/>
      <c r="B582" s="2"/>
      <c r="C582" s="2"/>
      <c r="D582" s="2"/>
      <c r="E582" s="2"/>
      <c r="F582" s="2"/>
      <c r="G582" s="2"/>
      <c r="H582" s="2"/>
      <c r="I582" s="74"/>
      <c r="J582" s="74"/>
      <c r="K582" s="74"/>
      <c r="L582" s="74"/>
      <c r="M582" s="2"/>
      <c r="N582" s="2"/>
      <c r="O582" s="2"/>
      <c r="P582" s="74"/>
      <c r="Q582" s="2"/>
      <c r="R582" s="2"/>
      <c r="S582" s="76"/>
      <c r="T582" s="2"/>
      <c r="U582" s="62"/>
      <c r="V582" s="62"/>
      <c r="W582" s="62"/>
      <c r="X582" s="62"/>
      <c r="Y582" s="62"/>
      <c r="Z582" s="62"/>
    </row>
    <row r="583" ht="15.75" customHeight="1">
      <c r="A583" s="2"/>
      <c r="B583" s="2"/>
      <c r="C583" s="2"/>
      <c r="D583" s="2"/>
      <c r="E583" s="2"/>
      <c r="F583" s="2"/>
      <c r="G583" s="2"/>
      <c r="H583" s="2"/>
      <c r="I583" s="74"/>
      <c r="J583" s="74"/>
      <c r="K583" s="74"/>
      <c r="L583" s="74"/>
      <c r="M583" s="2"/>
      <c r="N583" s="2"/>
      <c r="O583" s="2"/>
      <c r="P583" s="74"/>
      <c r="Q583" s="2"/>
      <c r="R583" s="2"/>
      <c r="S583" s="76"/>
      <c r="T583" s="2"/>
      <c r="U583" s="62"/>
      <c r="V583" s="62"/>
      <c r="W583" s="62"/>
      <c r="X583" s="62"/>
      <c r="Y583" s="62"/>
      <c r="Z583" s="62"/>
    </row>
    <row r="584" ht="15.75" customHeight="1">
      <c r="A584" s="2"/>
      <c r="B584" s="2"/>
      <c r="C584" s="2"/>
      <c r="D584" s="2"/>
      <c r="E584" s="2"/>
      <c r="F584" s="2"/>
      <c r="G584" s="2"/>
      <c r="H584" s="2"/>
      <c r="I584" s="74"/>
      <c r="J584" s="74"/>
      <c r="K584" s="74"/>
      <c r="L584" s="74"/>
      <c r="M584" s="2"/>
      <c r="N584" s="2"/>
      <c r="O584" s="2"/>
      <c r="P584" s="74"/>
      <c r="Q584" s="2"/>
      <c r="R584" s="2"/>
      <c r="S584" s="76"/>
      <c r="T584" s="2"/>
      <c r="U584" s="62"/>
      <c r="V584" s="62"/>
      <c r="W584" s="62"/>
      <c r="X584" s="62"/>
      <c r="Y584" s="62"/>
      <c r="Z584" s="62"/>
    </row>
    <row r="585" ht="15.75" customHeight="1">
      <c r="A585" s="2"/>
      <c r="B585" s="2"/>
      <c r="C585" s="2"/>
      <c r="D585" s="2"/>
      <c r="E585" s="2"/>
      <c r="F585" s="2"/>
      <c r="G585" s="2"/>
      <c r="H585" s="2"/>
      <c r="I585" s="74"/>
      <c r="J585" s="74"/>
      <c r="K585" s="74"/>
      <c r="L585" s="74"/>
      <c r="M585" s="2"/>
      <c r="N585" s="2"/>
      <c r="O585" s="2"/>
      <c r="P585" s="74"/>
      <c r="Q585" s="2"/>
      <c r="R585" s="2"/>
      <c r="S585" s="76"/>
      <c r="T585" s="2"/>
      <c r="U585" s="62"/>
      <c r="V585" s="62"/>
      <c r="W585" s="62"/>
      <c r="X585" s="62"/>
      <c r="Y585" s="62"/>
      <c r="Z585" s="62"/>
    </row>
    <row r="586" ht="15.75" customHeight="1">
      <c r="A586" s="2"/>
      <c r="B586" s="2"/>
      <c r="C586" s="2"/>
      <c r="D586" s="2"/>
      <c r="E586" s="2"/>
      <c r="F586" s="2"/>
      <c r="G586" s="2"/>
      <c r="H586" s="2"/>
      <c r="I586" s="74"/>
      <c r="J586" s="74"/>
      <c r="K586" s="74"/>
      <c r="L586" s="74"/>
      <c r="M586" s="2"/>
      <c r="N586" s="2"/>
      <c r="O586" s="2"/>
      <c r="P586" s="74"/>
      <c r="Q586" s="2"/>
      <c r="R586" s="2"/>
      <c r="S586" s="76"/>
      <c r="T586" s="2"/>
      <c r="U586" s="62"/>
      <c r="V586" s="62"/>
      <c r="W586" s="62"/>
      <c r="X586" s="62"/>
      <c r="Y586" s="62"/>
      <c r="Z586" s="62"/>
    </row>
    <row r="587" ht="15.75" customHeight="1">
      <c r="A587" s="2"/>
      <c r="B587" s="2"/>
      <c r="C587" s="2"/>
      <c r="D587" s="2"/>
      <c r="E587" s="2"/>
      <c r="F587" s="2"/>
      <c r="G587" s="2"/>
      <c r="H587" s="2"/>
      <c r="I587" s="74"/>
      <c r="J587" s="74"/>
      <c r="K587" s="74"/>
      <c r="L587" s="74"/>
      <c r="M587" s="2"/>
      <c r="N587" s="2"/>
      <c r="O587" s="2"/>
      <c r="P587" s="74"/>
      <c r="Q587" s="2"/>
      <c r="R587" s="2"/>
      <c r="S587" s="76"/>
      <c r="T587" s="2"/>
      <c r="U587" s="62"/>
      <c r="V587" s="62"/>
      <c r="W587" s="62"/>
      <c r="X587" s="62"/>
      <c r="Y587" s="62"/>
      <c r="Z587" s="62"/>
    </row>
    <row r="588" ht="15.75" customHeight="1">
      <c r="A588" s="2"/>
      <c r="B588" s="2"/>
      <c r="C588" s="2"/>
      <c r="D588" s="2"/>
      <c r="E588" s="2"/>
      <c r="F588" s="2"/>
      <c r="G588" s="2"/>
      <c r="H588" s="2"/>
      <c r="I588" s="74"/>
      <c r="J588" s="74"/>
      <c r="K588" s="74"/>
      <c r="L588" s="74"/>
      <c r="M588" s="2"/>
      <c r="N588" s="2"/>
      <c r="O588" s="2"/>
      <c r="P588" s="74"/>
      <c r="Q588" s="2"/>
      <c r="R588" s="2"/>
      <c r="S588" s="76"/>
      <c r="T588" s="2"/>
      <c r="U588" s="62"/>
      <c r="V588" s="62"/>
      <c r="W588" s="62"/>
      <c r="X588" s="62"/>
      <c r="Y588" s="62"/>
      <c r="Z588" s="62"/>
    </row>
    <row r="589" ht="15.75" customHeight="1">
      <c r="A589" s="2"/>
      <c r="B589" s="2"/>
      <c r="C589" s="2"/>
      <c r="D589" s="2"/>
      <c r="E589" s="2"/>
      <c r="F589" s="2"/>
      <c r="G589" s="2"/>
      <c r="H589" s="2"/>
      <c r="I589" s="74"/>
      <c r="J589" s="74"/>
      <c r="K589" s="74"/>
      <c r="L589" s="74"/>
      <c r="M589" s="2"/>
      <c r="N589" s="2"/>
      <c r="O589" s="2"/>
      <c r="P589" s="74"/>
      <c r="Q589" s="2"/>
      <c r="R589" s="2"/>
      <c r="S589" s="76"/>
      <c r="T589" s="2"/>
      <c r="U589" s="62"/>
      <c r="V589" s="62"/>
      <c r="W589" s="62"/>
      <c r="X589" s="62"/>
      <c r="Y589" s="62"/>
      <c r="Z589" s="62"/>
    </row>
    <row r="590" ht="15.75" customHeight="1">
      <c r="A590" s="2"/>
      <c r="B590" s="2"/>
      <c r="C590" s="2"/>
      <c r="D590" s="2"/>
      <c r="E590" s="2"/>
      <c r="F590" s="2"/>
      <c r="G590" s="2"/>
      <c r="H590" s="2"/>
      <c r="I590" s="74"/>
      <c r="J590" s="74"/>
      <c r="K590" s="74"/>
      <c r="L590" s="74"/>
      <c r="M590" s="2"/>
      <c r="N590" s="2"/>
      <c r="O590" s="2"/>
      <c r="P590" s="74"/>
      <c r="Q590" s="2"/>
      <c r="R590" s="2"/>
      <c r="S590" s="76"/>
      <c r="T590" s="2"/>
      <c r="U590" s="62"/>
      <c r="V590" s="62"/>
      <c r="W590" s="62"/>
      <c r="X590" s="62"/>
      <c r="Y590" s="62"/>
      <c r="Z590" s="62"/>
    </row>
    <row r="591" ht="15.75" customHeight="1">
      <c r="A591" s="2"/>
      <c r="B591" s="2"/>
      <c r="C591" s="2"/>
      <c r="D591" s="2"/>
      <c r="E591" s="2"/>
      <c r="F591" s="2"/>
      <c r="G591" s="2"/>
      <c r="H591" s="2"/>
      <c r="I591" s="74"/>
      <c r="J591" s="74"/>
      <c r="K591" s="74"/>
      <c r="L591" s="74"/>
      <c r="M591" s="2"/>
      <c r="N591" s="2"/>
      <c r="O591" s="2"/>
      <c r="P591" s="74"/>
      <c r="Q591" s="2"/>
      <c r="R591" s="2"/>
      <c r="S591" s="76"/>
      <c r="T591" s="2"/>
      <c r="U591" s="62"/>
      <c r="V591" s="62"/>
      <c r="W591" s="62"/>
      <c r="X591" s="62"/>
      <c r="Y591" s="62"/>
      <c r="Z591" s="62"/>
    </row>
    <row r="592" ht="15.75" customHeight="1">
      <c r="A592" s="2"/>
      <c r="B592" s="2"/>
      <c r="C592" s="2"/>
      <c r="D592" s="2"/>
      <c r="E592" s="2"/>
      <c r="F592" s="2"/>
      <c r="G592" s="2"/>
      <c r="H592" s="2"/>
      <c r="I592" s="74"/>
      <c r="J592" s="74"/>
      <c r="K592" s="74"/>
      <c r="L592" s="74"/>
      <c r="M592" s="2"/>
      <c r="N592" s="2"/>
      <c r="O592" s="2"/>
      <c r="P592" s="74"/>
      <c r="Q592" s="2"/>
      <c r="R592" s="2"/>
      <c r="S592" s="76"/>
      <c r="T592" s="2"/>
      <c r="U592" s="62"/>
      <c r="V592" s="62"/>
      <c r="W592" s="62"/>
      <c r="X592" s="62"/>
      <c r="Y592" s="62"/>
      <c r="Z592" s="62"/>
    </row>
    <row r="593" ht="15.75" customHeight="1">
      <c r="A593" s="2"/>
      <c r="B593" s="2"/>
      <c r="C593" s="2"/>
      <c r="D593" s="2"/>
      <c r="E593" s="2"/>
      <c r="F593" s="2"/>
      <c r="G593" s="2"/>
      <c r="H593" s="2"/>
      <c r="I593" s="74"/>
      <c r="J593" s="74"/>
      <c r="K593" s="74"/>
      <c r="L593" s="74"/>
      <c r="M593" s="2"/>
      <c r="N593" s="2"/>
      <c r="O593" s="2"/>
      <c r="P593" s="74"/>
      <c r="Q593" s="2"/>
      <c r="R593" s="2"/>
      <c r="S593" s="76"/>
      <c r="T593" s="2"/>
      <c r="U593" s="62"/>
      <c r="V593" s="62"/>
      <c r="W593" s="62"/>
      <c r="X593" s="62"/>
      <c r="Y593" s="62"/>
      <c r="Z593" s="62"/>
    </row>
    <row r="594" ht="15.75" customHeight="1">
      <c r="A594" s="2"/>
      <c r="B594" s="2"/>
      <c r="C594" s="2"/>
      <c r="D594" s="2"/>
      <c r="E594" s="2"/>
      <c r="F594" s="2"/>
      <c r="G594" s="2"/>
      <c r="H594" s="2"/>
      <c r="I594" s="74"/>
      <c r="J594" s="74"/>
      <c r="K594" s="74"/>
      <c r="L594" s="74"/>
      <c r="M594" s="2"/>
      <c r="N594" s="2"/>
      <c r="O594" s="2"/>
      <c r="P594" s="74"/>
      <c r="Q594" s="2"/>
      <c r="R594" s="2"/>
      <c r="S594" s="76"/>
      <c r="T594" s="2"/>
      <c r="U594" s="62"/>
      <c r="V594" s="62"/>
      <c r="W594" s="62"/>
      <c r="X594" s="62"/>
      <c r="Y594" s="62"/>
      <c r="Z594" s="62"/>
    </row>
    <row r="595" ht="15.75" customHeight="1">
      <c r="A595" s="2"/>
      <c r="B595" s="2"/>
      <c r="C595" s="2"/>
      <c r="D595" s="2"/>
      <c r="E595" s="2"/>
      <c r="F595" s="2"/>
      <c r="G595" s="2"/>
      <c r="H595" s="2"/>
      <c r="I595" s="74"/>
      <c r="J595" s="74"/>
      <c r="K595" s="74"/>
      <c r="L595" s="74"/>
      <c r="M595" s="2"/>
      <c r="N595" s="2"/>
      <c r="O595" s="2"/>
      <c r="P595" s="74"/>
      <c r="Q595" s="2"/>
      <c r="R595" s="2"/>
      <c r="S595" s="76"/>
      <c r="T595" s="2"/>
      <c r="U595" s="62"/>
      <c r="V595" s="62"/>
      <c r="W595" s="62"/>
      <c r="X595" s="62"/>
      <c r="Y595" s="62"/>
      <c r="Z595" s="62"/>
    </row>
    <row r="596" ht="15.75" customHeight="1">
      <c r="A596" s="2"/>
      <c r="B596" s="2"/>
      <c r="C596" s="2"/>
      <c r="D596" s="2"/>
      <c r="E596" s="2"/>
      <c r="F596" s="2"/>
      <c r="G596" s="2"/>
      <c r="H596" s="2"/>
      <c r="I596" s="74"/>
      <c r="J596" s="74"/>
      <c r="K596" s="74"/>
      <c r="L596" s="74"/>
      <c r="M596" s="2"/>
      <c r="N596" s="2"/>
      <c r="O596" s="2"/>
      <c r="P596" s="74"/>
      <c r="Q596" s="2"/>
      <c r="R596" s="2"/>
      <c r="S596" s="76"/>
      <c r="T596" s="2"/>
      <c r="U596" s="62"/>
      <c r="V596" s="62"/>
      <c r="W596" s="62"/>
      <c r="X596" s="62"/>
      <c r="Y596" s="62"/>
      <c r="Z596" s="62"/>
    </row>
    <row r="597" ht="15.75" customHeight="1">
      <c r="A597" s="2"/>
      <c r="B597" s="2"/>
      <c r="C597" s="2"/>
      <c r="D597" s="2"/>
      <c r="E597" s="2"/>
      <c r="F597" s="2"/>
      <c r="G597" s="2"/>
      <c r="H597" s="2"/>
      <c r="I597" s="74"/>
      <c r="J597" s="74"/>
      <c r="K597" s="74"/>
      <c r="L597" s="74"/>
      <c r="M597" s="2"/>
      <c r="N597" s="2"/>
      <c r="O597" s="2"/>
      <c r="P597" s="74"/>
      <c r="Q597" s="2"/>
      <c r="R597" s="2"/>
      <c r="S597" s="76"/>
      <c r="T597" s="2"/>
      <c r="U597" s="62"/>
      <c r="V597" s="62"/>
      <c r="W597" s="62"/>
      <c r="X597" s="62"/>
      <c r="Y597" s="62"/>
      <c r="Z597" s="62"/>
    </row>
    <row r="598" ht="15.75" customHeight="1">
      <c r="A598" s="2"/>
      <c r="B598" s="2"/>
      <c r="C598" s="2"/>
      <c r="D598" s="2"/>
      <c r="E598" s="2"/>
      <c r="F598" s="2"/>
      <c r="G598" s="2"/>
      <c r="H598" s="2"/>
      <c r="I598" s="74"/>
      <c r="J598" s="74"/>
      <c r="K598" s="74"/>
      <c r="L598" s="74"/>
      <c r="M598" s="2"/>
      <c r="N598" s="2"/>
      <c r="O598" s="2"/>
      <c r="P598" s="74"/>
      <c r="Q598" s="2"/>
      <c r="R598" s="2"/>
      <c r="S598" s="76"/>
      <c r="T598" s="2"/>
      <c r="U598" s="62"/>
      <c r="V598" s="62"/>
      <c r="W598" s="62"/>
      <c r="X598" s="62"/>
      <c r="Y598" s="62"/>
      <c r="Z598" s="62"/>
    </row>
    <row r="599" ht="15.75" customHeight="1">
      <c r="A599" s="2"/>
      <c r="B599" s="2"/>
      <c r="C599" s="2"/>
      <c r="D599" s="2"/>
      <c r="E599" s="2"/>
      <c r="F599" s="2"/>
      <c r="G599" s="2"/>
      <c r="H599" s="2"/>
      <c r="I599" s="74"/>
      <c r="J599" s="74"/>
      <c r="K599" s="74"/>
      <c r="L599" s="74"/>
      <c r="M599" s="2"/>
      <c r="N599" s="2"/>
      <c r="O599" s="2"/>
      <c r="P599" s="74"/>
      <c r="Q599" s="2"/>
      <c r="R599" s="2"/>
      <c r="S599" s="76"/>
      <c r="T599" s="2"/>
      <c r="U599" s="62"/>
      <c r="V599" s="62"/>
      <c r="W599" s="62"/>
      <c r="X599" s="62"/>
      <c r="Y599" s="62"/>
      <c r="Z599" s="62"/>
    </row>
    <row r="600" ht="15.75" customHeight="1">
      <c r="A600" s="2"/>
      <c r="B600" s="2"/>
      <c r="C600" s="2"/>
      <c r="D600" s="2"/>
      <c r="E600" s="2"/>
      <c r="F600" s="2"/>
      <c r="G600" s="2"/>
      <c r="H600" s="2"/>
      <c r="I600" s="74"/>
      <c r="J600" s="74"/>
      <c r="K600" s="74"/>
      <c r="L600" s="74"/>
      <c r="M600" s="2"/>
      <c r="N600" s="2"/>
      <c r="O600" s="2"/>
      <c r="P600" s="74"/>
      <c r="Q600" s="2"/>
      <c r="R600" s="2"/>
      <c r="S600" s="76"/>
      <c r="T600" s="2"/>
      <c r="U600" s="62"/>
      <c r="V600" s="62"/>
      <c r="W600" s="62"/>
      <c r="X600" s="62"/>
      <c r="Y600" s="62"/>
      <c r="Z600" s="62"/>
    </row>
    <row r="601" ht="15.75" customHeight="1">
      <c r="A601" s="2"/>
      <c r="B601" s="2"/>
      <c r="C601" s="2"/>
      <c r="D601" s="2"/>
      <c r="E601" s="2"/>
      <c r="F601" s="2"/>
      <c r="G601" s="2"/>
      <c r="H601" s="2"/>
      <c r="I601" s="74"/>
      <c r="J601" s="74"/>
      <c r="K601" s="74"/>
      <c r="L601" s="74"/>
      <c r="M601" s="2"/>
      <c r="N601" s="2"/>
      <c r="O601" s="2"/>
      <c r="P601" s="74"/>
      <c r="Q601" s="2"/>
      <c r="R601" s="2"/>
      <c r="S601" s="76"/>
      <c r="T601" s="2"/>
      <c r="U601" s="62"/>
      <c r="V601" s="62"/>
      <c r="W601" s="62"/>
      <c r="X601" s="62"/>
      <c r="Y601" s="62"/>
      <c r="Z601" s="62"/>
    </row>
    <row r="602" ht="15.75" customHeight="1">
      <c r="A602" s="2"/>
      <c r="B602" s="2"/>
      <c r="C602" s="2"/>
      <c r="D602" s="2"/>
      <c r="E602" s="2"/>
      <c r="F602" s="2"/>
      <c r="G602" s="2"/>
      <c r="H602" s="2"/>
      <c r="I602" s="74"/>
      <c r="J602" s="74"/>
      <c r="K602" s="74"/>
      <c r="L602" s="74"/>
      <c r="M602" s="2"/>
      <c r="N602" s="2"/>
      <c r="O602" s="2"/>
      <c r="P602" s="74"/>
      <c r="Q602" s="2"/>
      <c r="R602" s="2"/>
      <c r="S602" s="76"/>
      <c r="T602" s="2"/>
      <c r="U602" s="62"/>
      <c r="V602" s="62"/>
      <c r="W602" s="62"/>
      <c r="X602" s="62"/>
      <c r="Y602" s="62"/>
      <c r="Z602" s="62"/>
    </row>
    <row r="603" ht="15.75" customHeight="1">
      <c r="A603" s="2"/>
      <c r="B603" s="2"/>
      <c r="C603" s="2"/>
      <c r="D603" s="2"/>
      <c r="E603" s="2"/>
      <c r="F603" s="2"/>
      <c r="G603" s="2"/>
      <c r="H603" s="2"/>
      <c r="I603" s="74"/>
      <c r="J603" s="74"/>
      <c r="K603" s="74"/>
      <c r="L603" s="74"/>
      <c r="M603" s="2"/>
      <c r="N603" s="2"/>
      <c r="O603" s="2"/>
      <c r="P603" s="74"/>
      <c r="Q603" s="2"/>
      <c r="R603" s="2"/>
      <c r="S603" s="76"/>
      <c r="T603" s="2"/>
      <c r="U603" s="62"/>
      <c r="V603" s="62"/>
      <c r="W603" s="62"/>
      <c r="X603" s="62"/>
      <c r="Y603" s="62"/>
      <c r="Z603" s="62"/>
    </row>
    <row r="604" ht="15.75" customHeight="1">
      <c r="A604" s="2"/>
      <c r="B604" s="2"/>
      <c r="C604" s="2"/>
      <c r="D604" s="2"/>
      <c r="E604" s="2"/>
      <c r="F604" s="2"/>
      <c r="G604" s="2"/>
      <c r="H604" s="2"/>
      <c r="I604" s="74"/>
      <c r="J604" s="74"/>
      <c r="K604" s="74"/>
      <c r="L604" s="74"/>
      <c r="M604" s="2"/>
      <c r="N604" s="2"/>
      <c r="O604" s="2"/>
      <c r="P604" s="74"/>
      <c r="Q604" s="2"/>
      <c r="R604" s="2"/>
      <c r="S604" s="76"/>
      <c r="T604" s="2"/>
      <c r="U604" s="62"/>
      <c r="V604" s="62"/>
      <c r="W604" s="62"/>
      <c r="X604" s="62"/>
      <c r="Y604" s="62"/>
      <c r="Z604" s="62"/>
    </row>
    <row r="605" ht="15.75" customHeight="1">
      <c r="A605" s="2"/>
      <c r="B605" s="2"/>
      <c r="C605" s="2"/>
      <c r="D605" s="2"/>
      <c r="E605" s="2"/>
      <c r="F605" s="2"/>
      <c r="G605" s="2"/>
      <c r="H605" s="2"/>
      <c r="I605" s="74"/>
      <c r="J605" s="74"/>
      <c r="K605" s="74"/>
      <c r="L605" s="74"/>
      <c r="M605" s="2"/>
      <c r="N605" s="2"/>
      <c r="O605" s="2"/>
      <c r="P605" s="74"/>
      <c r="Q605" s="2"/>
      <c r="R605" s="2"/>
      <c r="S605" s="76"/>
      <c r="T605" s="2"/>
      <c r="U605" s="62"/>
      <c r="V605" s="62"/>
      <c r="W605" s="62"/>
      <c r="X605" s="62"/>
      <c r="Y605" s="62"/>
      <c r="Z605" s="62"/>
    </row>
    <row r="606" ht="15.75" customHeight="1">
      <c r="A606" s="2"/>
      <c r="B606" s="2"/>
      <c r="C606" s="2"/>
      <c r="D606" s="2"/>
      <c r="E606" s="2"/>
      <c r="F606" s="2"/>
      <c r="G606" s="2"/>
      <c r="H606" s="2"/>
      <c r="I606" s="74"/>
      <c r="J606" s="74"/>
      <c r="K606" s="74"/>
      <c r="L606" s="74"/>
      <c r="M606" s="2"/>
      <c r="N606" s="2"/>
      <c r="O606" s="2"/>
      <c r="P606" s="74"/>
      <c r="Q606" s="2"/>
      <c r="R606" s="2"/>
      <c r="S606" s="76"/>
      <c r="T606" s="2"/>
      <c r="U606" s="62"/>
      <c r="V606" s="62"/>
      <c r="W606" s="62"/>
      <c r="X606" s="62"/>
      <c r="Y606" s="62"/>
      <c r="Z606" s="62"/>
    </row>
    <row r="607" ht="15.75" customHeight="1">
      <c r="A607" s="2"/>
      <c r="B607" s="2"/>
      <c r="C607" s="2"/>
      <c r="D607" s="2"/>
      <c r="E607" s="2"/>
      <c r="F607" s="2"/>
      <c r="G607" s="2"/>
      <c r="H607" s="2"/>
      <c r="I607" s="74"/>
      <c r="J607" s="74"/>
      <c r="K607" s="74"/>
      <c r="L607" s="74"/>
      <c r="M607" s="2"/>
      <c r="N607" s="2"/>
      <c r="O607" s="2"/>
      <c r="P607" s="74"/>
      <c r="Q607" s="2"/>
      <c r="R607" s="2"/>
      <c r="S607" s="76"/>
      <c r="T607" s="2"/>
      <c r="U607" s="62"/>
      <c r="V607" s="62"/>
      <c r="W607" s="62"/>
      <c r="X607" s="62"/>
      <c r="Y607" s="62"/>
      <c r="Z607" s="62"/>
    </row>
    <row r="608" ht="15.75" customHeight="1">
      <c r="A608" s="2"/>
      <c r="B608" s="2"/>
      <c r="C608" s="2"/>
      <c r="D608" s="2"/>
      <c r="E608" s="2"/>
      <c r="F608" s="2"/>
      <c r="G608" s="2"/>
      <c r="H608" s="2"/>
      <c r="I608" s="74"/>
      <c r="J608" s="74"/>
      <c r="K608" s="74"/>
      <c r="L608" s="74"/>
      <c r="M608" s="2"/>
      <c r="N608" s="2"/>
      <c r="O608" s="2"/>
      <c r="P608" s="74"/>
      <c r="Q608" s="2"/>
      <c r="R608" s="2"/>
      <c r="S608" s="76"/>
      <c r="T608" s="2"/>
      <c r="U608" s="62"/>
      <c r="V608" s="62"/>
      <c r="W608" s="62"/>
      <c r="X608" s="62"/>
      <c r="Y608" s="62"/>
      <c r="Z608" s="62"/>
    </row>
    <row r="609" ht="15.75" customHeight="1">
      <c r="A609" s="2"/>
      <c r="B609" s="2"/>
      <c r="C609" s="2"/>
      <c r="D609" s="2"/>
      <c r="E609" s="2"/>
      <c r="F609" s="2"/>
      <c r="G609" s="2"/>
      <c r="H609" s="2"/>
      <c r="I609" s="74"/>
      <c r="J609" s="74"/>
      <c r="K609" s="74"/>
      <c r="L609" s="74"/>
      <c r="M609" s="2"/>
      <c r="N609" s="2"/>
      <c r="O609" s="2"/>
      <c r="P609" s="74"/>
      <c r="Q609" s="2"/>
      <c r="R609" s="2"/>
      <c r="S609" s="76"/>
      <c r="T609" s="2"/>
      <c r="U609" s="62"/>
      <c r="V609" s="62"/>
      <c r="W609" s="62"/>
      <c r="X609" s="62"/>
      <c r="Y609" s="62"/>
      <c r="Z609" s="62"/>
    </row>
    <row r="610" ht="15.75" customHeight="1">
      <c r="A610" s="2"/>
      <c r="B610" s="2"/>
      <c r="C610" s="2"/>
      <c r="D610" s="2"/>
      <c r="E610" s="2"/>
      <c r="F610" s="2"/>
      <c r="G610" s="2"/>
      <c r="H610" s="2"/>
      <c r="I610" s="74"/>
      <c r="J610" s="74"/>
      <c r="K610" s="74"/>
      <c r="L610" s="74"/>
      <c r="M610" s="2"/>
      <c r="N610" s="2"/>
      <c r="O610" s="2"/>
      <c r="P610" s="74"/>
      <c r="Q610" s="2"/>
      <c r="R610" s="2"/>
      <c r="S610" s="76"/>
      <c r="T610" s="2"/>
      <c r="U610" s="62"/>
      <c r="V610" s="62"/>
      <c r="W610" s="62"/>
      <c r="X610" s="62"/>
      <c r="Y610" s="62"/>
      <c r="Z610" s="62"/>
    </row>
    <row r="611" ht="15.75" customHeight="1">
      <c r="A611" s="2"/>
      <c r="B611" s="2"/>
      <c r="C611" s="2"/>
      <c r="D611" s="2"/>
      <c r="E611" s="2"/>
      <c r="F611" s="2"/>
      <c r="G611" s="2"/>
      <c r="H611" s="2"/>
      <c r="I611" s="74"/>
      <c r="J611" s="74"/>
      <c r="K611" s="74"/>
      <c r="L611" s="74"/>
      <c r="M611" s="2"/>
      <c r="N611" s="2"/>
      <c r="O611" s="2"/>
      <c r="P611" s="74"/>
      <c r="Q611" s="2"/>
      <c r="R611" s="2"/>
      <c r="S611" s="76"/>
      <c r="T611" s="2"/>
      <c r="U611" s="62"/>
      <c r="V611" s="62"/>
      <c r="W611" s="62"/>
      <c r="X611" s="62"/>
      <c r="Y611" s="62"/>
      <c r="Z611" s="62"/>
    </row>
    <row r="612" ht="15.75" customHeight="1">
      <c r="A612" s="2"/>
      <c r="B612" s="2"/>
      <c r="C612" s="2"/>
      <c r="D612" s="2"/>
      <c r="E612" s="2"/>
      <c r="F612" s="2"/>
      <c r="G612" s="2"/>
      <c r="H612" s="2"/>
      <c r="I612" s="74"/>
      <c r="J612" s="74"/>
      <c r="K612" s="74"/>
      <c r="L612" s="74"/>
      <c r="M612" s="2"/>
      <c r="N612" s="2"/>
      <c r="O612" s="2"/>
      <c r="P612" s="74"/>
      <c r="Q612" s="2"/>
      <c r="R612" s="2"/>
      <c r="S612" s="76"/>
      <c r="T612" s="2"/>
      <c r="U612" s="62"/>
      <c r="V612" s="62"/>
      <c r="W612" s="62"/>
      <c r="X612" s="62"/>
      <c r="Y612" s="62"/>
      <c r="Z612" s="62"/>
    </row>
    <row r="613" ht="15.75" customHeight="1">
      <c r="A613" s="2"/>
      <c r="B613" s="2"/>
      <c r="C613" s="2"/>
      <c r="D613" s="2"/>
      <c r="E613" s="2"/>
      <c r="F613" s="2"/>
      <c r="G613" s="2"/>
      <c r="H613" s="2"/>
      <c r="I613" s="74"/>
      <c r="J613" s="74"/>
      <c r="K613" s="74"/>
      <c r="L613" s="74"/>
      <c r="M613" s="2"/>
      <c r="N613" s="2"/>
      <c r="O613" s="2"/>
      <c r="P613" s="74"/>
      <c r="Q613" s="2"/>
      <c r="R613" s="2"/>
      <c r="S613" s="76"/>
      <c r="T613" s="2"/>
      <c r="U613" s="62"/>
      <c r="V613" s="62"/>
      <c r="W613" s="62"/>
      <c r="X613" s="62"/>
      <c r="Y613" s="62"/>
      <c r="Z613" s="62"/>
    </row>
    <row r="614" ht="15.75" customHeight="1">
      <c r="A614" s="2"/>
      <c r="B614" s="2"/>
      <c r="C614" s="2"/>
      <c r="D614" s="2"/>
      <c r="E614" s="2"/>
      <c r="F614" s="2"/>
      <c r="G614" s="2"/>
      <c r="H614" s="2"/>
      <c r="I614" s="74"/>
      <c r="J614" s="74"/>
      <c r="K614" s="74"/>
      <c r="L614" s="74"/>
      <c r="M614" s="2"/>
      <c r="N614" s="2"/>
      <c r="O614" s="2"/>
      <c r="P614" s="74"/>
      <c r="Q614" s="2"/>
      <c r="R614" s="2"/>
      <c r="S614" s="76"/>
      <c r="T614" s="2"/>
      <c r="U614" s="62"/>
      <c r="V614" s="62"/>
      <c r="W614" s="62"/>
      <c r="X614" s="62"/>
      <c r="Y614" s="62"/>
      <c r="Z614" s="62"/>
    </row>
    <row r="615" ht="15.75" customHeight="1">
      <c r="A615" s="2"/>
      <c r="B615" s="2"/>
      <c r="C615" s="2"/>
      <c r="D615" s="2"/>
      <c r="E615" s="2"/>
      <c r="F615" s="2"/>
      <c r="G615" s="2"/>
      <c r="H615" s="2"/>
      <c r="I615" s="74"/>
      <c r="J615" s="74"/>
      <c r="K615" s="74"/>
      <c r="L615" s="74"/>
      <c r="M615" s="2"/>
      <c r="N615" s="2"/>
      <c r="O615" s="2"/>
      <c r="P615" s="74"/>
      <c r="Q615" s="2"/>
      <c r="R615" s="2"/>
      <c r="S615" s="76"/>
      <c r="T615" s="2"/>
      <c r="U615" s="62"/>
      <c r="V615" s="62"/>
      <c r="W615" s="62"/>
      <c r="X615" s="62"/>
      <c r="Y615" s="62"/>
      <c r="Z615" s="62"/>
    </row>
    <row r="616" ht="15.75" customHeight="1">
      <c r="A616" s="2"/>
      <c r="B616" s="2"/>
      <c r="C616" s="2"/>
      <c r="D616" s="2"/>
      <c r="E616" s="2"/>
      <c r="F616" s="2"/>
      <c r="G616" s="2"/>
      <c r="H616" s="2"/>
      <c r="I616" s="74"/>
      <c r="J616" s="74"/>
      <c r="K616" s="74"/>
      <c r="L616" s="74"/>
      <c r="M616" s="2"/>
      <c r="N616" s="2"/>
      <c r="O616" s="2"/>
      <c r="P616" s="74"/>
      <c r="Q616" s="2"/>
      <c r="R616" s="2"/>
      <c r="S616" s="76"/>
      <c r="T616" s="2"/>
      <c r="U616" s="62"/>
      <c r="V616" s="62"/>
      <c r="W616" s="62"/>
      <c r="X616" s="62"/>
      <c r="Y616" s="62"/>
      <c r="Z616" s="62"/>
    </row>
    <row r="617" ht="15.75" customHeight="1">
      <c r="A617" s="2"/>
      <c r="B617" s="2"/>
      <c r="C617" s="2"/>
      <c r="D617" s="2"/>
      <c r="E617" s="2"/>
      <c r="F617" s="2"/>
      <c r="G617" s="2"/>
      <c r="H617" s="2"/>
      <c r="I617" s="74"/>
      <c r="J617" s="74"/>
      <c r="K617" s="74"/>
      <c r="L617" s="74"/>
      <c r="M617" s="2"/>
      <c r="N617" s="2"/>
      <c r="O617" s="2"/>
      <c r="P617" s="74"/>
      <c r="Q617" s="2"/>
      <c r="R617" s="2"/>
      <c r="S617" s="76"/>
      <c r="T617" s="2"/>
      <c r="U617" s="62"/>
      <c r="V617" s="62"/>
      <c r="W617" s="62"/>
      <c r="X617" s="62"/>
      <c r="Y617" s="62"/>
      <c r="Z617" s="62"/>
    </row>
    <row r="618" ht="15.75" customHeight="1">
      <c r="A618" s="2"/>
      <c r="B618" s="2"/>
      <c r="C618" s="2"/>
      <c r="D618" s="2"/>
      <c r="E618" s="2"/>
      <c r="F618" s="2"/>
      <c r="G618" s="2"/>
      <c r="H618" s="2"/>
      <c r="I618" s="74"/>
      <c r="J618" s="74"/>
      <c r="K618" s="74"/>
      <c r="L618" s="74"/>
      <c r="M618" s="2"/>
      <c r="N618" s="2"/>
      <c r="O618" s="2"/>
      <c r="P618" s="74"/>
      <c r="Q618" s="2"/>
      <c r="R618" s="2"/>
      <c r="S618" s="76"/>
      <c r="T618" s="2"/>
      <c r="U618" s="62"/>
      <c r="V618" s="62"/>
      <c r="W618" s="62"/>
      <c r="X618" s="62"/>
      <c r="Y618" s="62"/>
      <c r="Z618" s="62"/>
    </row>
    <row r="619" ht="15.75" customHeight="1">
      <c r="A619" s="2"/>
      <c r="B619" s="2"/>
      <c r="C619" s="2"/>
      <c r="D619" s="2"/>
      <c r="E619" s="2"/>
      <c r="F619" s="2"/>
      <c r="G619" s="2"/>
      <c r="H619" s="2"/>
      <c r="I619" s="74"/>
      <c r="J619" s="74"/>
      <c r="K619" s="74"/>
      <c r="L619" s="74"/>
      <c r="M619" s="2"/>
      <c r="N619" s="2"/>
      <c r="O619" s="2"/>
      <c r="P619" s="74"/>
      <c r="Q619" s="2"/>
      <c r="R619" s="2"/>
      <c r="S619" s="76"/>
      <c r="T619" s="2"/>
      <c r="U619" s="62"/>
      <c r="V619" s="62"/>
      <c r="W619" s="62"/>
      <c r="X619" s="62"/>
      <c r="Y619" s="62"/>
      <c r="Z619" s="62"/>
    </row>
    <row r="620" ht="15.75" customHeight="1">
      <c r="A620" s="2"/>
      <c r="B620" s="2"/>
      <c r="C620" s="2"/>
      <c r="D620" s="2"/>
      <c r="E620" s="2"/>
      <c r="F620" s="2"/>
      <c r="G620" s="2"/>
      <c r="H620" s="2"/>
      <c r="I620" s="74"/>
      <c r="J620" s="74"/>
      <c r="K620" s="74"/>
      <c r="L620" s="74"/>
      <c r="M620" s="2"/>
      <c r="N620" s="2"/>
      <c r="O620" s="2"/>
      <c r="P620" s="74"/>
      <c r="Q620" s="2"/>
      <c r="R620" s="2"/>
      <c r="S620" s="76"/>
      <c r="T620" s="2"/>
      <c r="U620" s="62"/>
      <c r="V620" s="62"/>
      <c r="W620" s="62"/>
      <c r="X620" s="62"/>
      <c r="Y620" s="62"/>
      <c r="Z620" s="62"/>
    </row>
    <row r="621" ht="15.75" customHeight="1">
      <c r="A621" s="2"/>
      <c r="B621" s="2"/>
      <c r="C621" s="2"/>
      <c r="D621" s="2"/>
      <c r="E621" s="2"/>
      <c r="F621" s="2"/>
      <c r="G621" s="2"/>
      <c r="H621" s="2"/>
      <c r="I621" s="74"/>
      <c r="J621" s="74"/>
      <c r="K621" s="74"/>
      <c r="L621" s="74"/>
      <c r="M621" s="2"/>
      <c r="N621" s="2"/>
      <c r="O621" s="2"/>
      <c r="P621" s="74"/>
      <c r="Q621" s="2"/>
      <c r="R621" s="2"/>
      <c r="S621" s="76"/>
      <c r="T621" s="2"/>
      <c r="U621" s="62"/>
      <c r="V621" s="62"/>
      <c r="W621" s="62"/>
      <c r="X621" s="62"/>
      <c r="Y621" s="62"/>
      <c r="Z621" s="62"/>
    </row>
    <row r="622" ht="15.75" customHeight="1">
      <c r="A622" s="2"/>
      <c r="B622" s="2"/>
      <c r="C622" s="2"/>
      <c r="D622" s="2"/>
      <c r="E622" s="2"/>
      <c r="F622" s="2"/>
      <c r="G622" s="2"/>
      <c r="H622" s="2"/>
      <c r="I622" s="74"/>
      <c r="J622" s="74"/>
      <c r="K622" s="74"/>
      <c r="L622" s="74"/>
      <c r="M622" s="2"/>
      <c r="N622" s="2"/>
      <c r="O622" s="2"/>
      <c r="P622" s="74"/>
      <c r="Q622" s="2"/>
      <c r="R622" s="2"/>
      <c r="S622" s="76"/>
      <c r="T622" s="2"/>
      <c r="U622" s="62"/>
      <c r="V622" s="62"/>
      <c r="W622" s="62"/>
      <c r="X622" s="62"/>
      <c r="Y622" s="62"/>
      <c r="Z622" s="62"/>
    </row>
    <row r="623" ht="15.75" customHeight="1">
      <c r="A623" s="2"/>
      <c r="B623" s="2"/>
      <c r="C623" s="2"/>
      <c r="D623" s="2"/>
      <c r="E623" s="2"/>
      <c r="F623" s="2"/>
      <c r="G623" s="2"/>
      <c r="H623" s="2"/>
      <c r="I623" s="74"/>
      <c r="J623" s="74"/>
      <c r="K623" s="74"/>
      <c r="L623" s="74"/>
      <c r="M623" s="2"/>
      <c r="N623" s="2"/>
      <c r="O623" s="2"/>
      <c r="P623" s="74"/>
      <c r="Q623" s="2"/>
      <c r="R623" s="2"/>
      <c r="S623" s="76"/>
      <c r="T623" s="2"/>
      <c r="U623" s="62"/>
      <c r="V623" s="62"/>
      <c r="W623" s="62"/>
      <c r="X623" s="62"/>
      <c r="Y623" s="62"/>
      <c r="Z623" s="62"/>
    </row>
    <row r="624" ht="15.75" customHeight="1">
      <c r="A624" s="2"/>
      <c r="B624" s="2"/>
      <c r="C624" s="2"/>
      <c r="D624" s="2"/>
      <c r="E624" s="2"/>
      <c r="F624" s="2"/>
      <c r="G624" s="2"/>
      <c r="H624" s="2"/>
      <c r="I624" s="74"/>
      <c r="J624" s="74"/>
      <c r="K624" s="74"/>
      <c r="L624" s="74"/>
      <c r="M624" s="2"/>
      <c r="N624" s="2"/>
      <c r="O624" s="2"/>
      <c r="P624" s="74"/>
      <c r="Q624" s="2"/>
      <c r="R624" s="2"/>
      <c r="S624" s="76"/>
      <c r="T624" s="2"/>
      <c r="U624" s="62"/>
      <c r="V624" s="62"/>
      <c r="W624" s="62"/>
      <c r="X624" s="62"/>
      <c r="Y624" s="62"/>
      <c r="Z624" s="62"/>
    </row>
    <row r="625" ht="15.75" customHeight="1">
      <c r="A625" s="2"/>
      <c r="B625" s="2"/>
      <c r="C625" s="2"/>
      <c r="D625" s="2"/>
      <c r="E625" s="2"/>
      <c r="F625" s="2"/>
      <c r="G625" s="2"/>
      <c r="H625" s="2"/>
      <c r="I625" s="74"/>
      <c r="J625" s="74"/>
      <c r="K625" s="74"/>
      <c r="L625" s="74"/>
      <c r="M625" s="2"/>
      <c r="N625" s="2"/>
      <c r="O625" s="2"/>
      <c r="P625" s="74"/>
      <c r="Q625" s="2"/>
      <c r="R625" s="2"/>
      <c r="S625" s="76"/>
      <c r="T625" s="2"/>
      <c r="U625" s="62"/>
      <c r="V625" s="62"/>
      <c r="W625" s="62"/>
      <c r="X625" s="62"/>
      <c r="Y625" s="62"/>
      <c r="Z625" s="62"/>
    </row>
    <row r="626" ht="15.75" customHeight="1">
      <c r="A626" s="2"/>
      <c r="B626" s="2"/>
      <c r="C626" s="2"/>
      <c r="D626" s="2"/>
      <c r="E626" s="2"/>
      <c r="F626" s="2"/>
      <c r="G626" s="2"/>
      <c r="H626" s="2"/>
      <c r="I626" s="74"/>
      <c r="J626" s="74"/>
      <c r="K626" s="74"/>
      <c r="L626" s="74"/>
      <c r="M626" s="2"/>
      <c r="N626" s="2"/>
      <c r="O626" s="2"/>
      <c r="P626" s="74"/>
      <c r="Q626" s="2"/>
      <c r="R626" s="2"/>
      <c r="S626" s="76"/>
      <c r="T626" s="2"/>
      <c r="U626" s="62"/>
      <c r="V626" s="62"/>
      <c r="W626" s="62"/>
      <c r="X626" s="62"/>
      <c r="Y626" s="62"/>
      <c r="Z626" s="62"/>
    </row>
    <row r="627" ht="15.75" customHeight="1">
      <c r="A627" s="2"/>
      <c r="B627" s="2"/>
      <c r="C627" s="2"/>
      <c r="D627" s="2"/>
      <c r="E627" s="2"/>
      <c r="F627" s="2"/>
      <c r="G627" s="2"/>
      <c r="H627" s="2"/>
      <c r="I627" s="74"/>
      <c r="J627" s="74"/>
      <c r="K627" s="74"/>
      <c r="L627" s="74"/>
      <c r="M627" s="2"/>
      <c r="N627" s="2"/>
      <c r="O627" s="2"/>
      <c r="P627" s="74"/>
      <c r="Q627" s="2"/>
      <c r="R627" s="2"/>
      <c r="S627" s="76"/>
      <c r="T627" s="2"/>
      <c r="U627" s="62"/>
      <c r="V627" s="62"/>
      <c r="W627" s="62"/>
      <c r="X627" s="62"/>
      <c r="Y627" s="62"/>
      <c r="Z627" s="62"/>
    </row>
    <row r="628" ht="15.75" customHeight="1">
      <c r="A628" s="2"/>
      <c r="B628" s="2"/>
      <c r="C628" s="2"/>
      <c r="D628" s="2"/>
      <c r="E628" s="2"/>
      <c r="F628" s="2"/>
      <c r="G628" s="2"/>
      <c r="H628" s="2"/>
      <c r="I628" s="74"/>
      <c r="J628" s="74"/>
      <c r="K628" s="74"/>
      <c r="L628" s="74"/>
      <c r="M628" s="2"/>
      <c r="N628" s="2"/>
      <c r="O628" s="2"/>
      <c r="P628" s="74"/>
      <c r="Q628" s="2"/>
      <c r="R628" s="2"/>
      <c r="S628" s="76"/>
      <c r="T628" s="2"/>
      <c r="U628" s="62"/>
      <c r="V628" s="62"/>
      <c r="W628" s="62"/>
      <c r="X628" s="62"/>
      <c r="Y628" s="62"/>
      <c r="Z628" s="62"/>
    </row>
    <row r="629" ht="15.75" customHeight="1">
      <c r="A629" s="2"/>
      <c r="B629" s="2"/>
      <c r="C629" s="2"/>
      <c r="D629" s="2"/>
      <c r="E629" s="2"/>
      <c r="F629" s="2"/>
      <c r="G629" s="2"/>
      <c r="H629" s="2"/>
      <c r="I629" s="74"/>
      <c r="J629" s="74"/>
      <c r="K629" s="74"/>
      <c r="L629" s="74"/>
      <c r="M629" s="2"/>
      <c r="N629" s="2"/>
      <c r="O629" s="2"/>
      <c r="P629" s="74"/>
      <c r="Q629" s="2"/>
      <c r="R629" s="2"/>
      <c r="S629" s="76"/>
      <c r="T629" s="2"/>
      <c r="U629" s="62"/>
      <c r="V629" s="62"/>
      <c r="W629" s="62"/>
      <c r="X629" s="62"/>
      <c r="Y629" s="62"/>
      <c r="Z629" s="62"/>
    </row>
    <row r="630" ht="15.75" customHeight="1">
      <c r="A630" s="2"/>
      <c r="B630" s="2"/>
      <c r="C630" s="2"/>
      <c r="D630" s="2"/>
      <c r="E630" s="2"/>
      <c r="F630" s="2"/>
      <c r="G630" s="2"/>
      <c r="H630" s="2"/>
      <c r="I630" s="74"/>
      <c r="J630" s="74"/>
      <c r="K630" s="74"/>
      <c r="L630" s="74"/>
      <c r="M630" s="2"/>
      <c r="N630" s="2"/>
      <c r="O630" s="2"/>
      <c r="P630" s="74"/>
      <c r="Q630" s="2"/>
      <c r="R630" s="2"/>
      <c r="S630" s="76"/>
      <c r="T630" s="2"/>
      <c r="U630" s="62"/>
      <c r="V630" s="62"/>
      <c r="W630" s="62"/>
      <c r="X630" s="62"/>
      <c r="Y630" s="62"/>
      <c r="Z630" s="62"/>
    </row>
    <row r="631" ht="15.75" customHeight="1">
      <c r="A631" s="2"/>
      <c r="B631" s="2"/>
      <c r="C631" s="2"/>
      <c r="D631" s="2"/>
      <c r="E631" s="2"/>
      <c r="F631" s="2"/>
      <c r="G631" s="2"/>
      <c r="H631" s="2"/>
      <c r="I631" s="74"/>
      <c r="J631" s="74"/>
      <c r="K631" s="74"/>
      <c r="L631" s="74"/>
      <c r="M631" s="2"/>
      <c r="N631" s="2"/>
      <c r="O631" s="2"/>
      <c r="P631" s="74"/>
      <c r="Q631" s="2"/>
      <c r="R631" s="2"/>
      <c r="S631" s="76"/>
      <c r="T631" s="2"/>
      <c r="U631" s="62"/>
      <c r="V631" s="62"/>
      <c r="W631" s="62"/>
      <c r="X631" s="62"/>
      <c r="Y631" s="62"/>
      <c r="Z631" s="62"/>
    </row>
    <row r="632" ht="15.75" customHeight="1">
      <c r="A632" s="2"/>
      <c r="B632" s="2"/>
      <c r="C632" s="2"/>
      <c r="D632" s="2"/>
      <c r="E632" s="2"/>
      <c r="F632" s="2"/>
      <c r="G632" s="2"/>
      <c r="H632" s="2"/>
      <c r="I632" s="74"/>
      <c r="J632" s="74"/>
      <c r="K632" s="74"/>
      <c r="L632" s="74"/>
      <c r="M632" s="2"/>
      <c r="N632" s="2"/>
      <c r="O632" s="2"/>
      <c r="P632" s="74"/>
      <c r="Q632" s="2"/>
      <c r="R632" s="2"/>
      <c r="S632" s="76"/>
      <c r="T632" s="2"/>
      <c r="U632" s="62"/>
      <c r="V632" s="62"/>
      <c r="W632" s="62"/>
      <c r="X632" s="62"/>
      <c r="Y632" s="62"/>
      <c r="Z632" s="62"/>
    </row>
    <row r="633" ht="15.75" customHeight="1">
      <c r="A633" s="2"/>
      <c r="B633" s="2"/>
      <c r="C633" s="2"/>
      <c r="D633" s="2"/>
      <c r="E633" s="2"/>
      <c r="F633" s="2"/>
      <c r="G633" s="2"/>
      <c r="H633" s="2"/>
      <c r="I633" s="74"/>
      <c r="J633" s="74"/>
      <c r="K633" s="74"/>
      <c r="L633" s="74"/>
      <c r="M633" s="2"/>
      <c r="N633" s="2"/>
      <c r="O633" s="2"/>
      <c r="P633" s="74"/>
      <c r="Q633" s="2"/>
      <c r="R633" s="2"/>
      <c r="S633" s="76"/>
      <c r="T633" s="2"/>
      <c r="U633" s="62"/>
      <c r="V633" s="62"/>
      <c r="W633" s="62"/>
      <c r="X633" s="62"/>
      <c r="Y633" s="62"/>
      <c r="Z633" s="62"/>
    </row>
    <row r="634" ht="15.75" customHeight="1">
      <c r="A634" s="2"/>
      <c r="B634" s="2"/>
      <c r="C634" s="2"/>
      <c r="D634" s="2"/>
      <c r="E634" s="2"/>
      <c r="F634" s="2"/>
      <c r="G634" s="2"/>
      <c r="H634" s="2"/>
      <c r="I634" s="74"/>
      <c r="J634" s="74"/>
      <c r="K634" s="74"/>
      <c r="L634" s="74"/>
      <c r="M634" s="2"/>
      <c r="N634" s="2"/>
      <c r="O634" s="2"/>
      <c r="P634" s="74"/>
      <c r="Q634" s="2"/>
      <c r="R634" s="2"/>
      <c r="S634" s="76"/>
      <c r="T634" s="2"/>
      <c r="U634" s="62"/>
      <c r="V634" s="62"/>
      <c r="W634" s="62"/>
      <c r="X634" s="62"/>
      <c r="Y634" s="62"/>
      <c r="Z634" s="62"/>
    </row>
    <row r="635" ht="15.75" customHeight="1">
      <c r="A635" s="2"/>
      <c r="B635" s="2"/>
      <c r="C635" s="2"/>
      <c r="D635" s="2"/>
      <c r="E635" s="2"/>
      <c r="F635" s="2"/>
      <c r="G635" s="2"/>
      <c r="H635" s="2"/>
      <c r="I635" s="74"/>
      <c r="J635" s="74"/>
      <c r="K635" s="74"/>
      <c r="L635" s="74"/>
      <c r="M635" s="2"/>
      <c r="N635" s="2"/>
      <c r="O635" s="2"/>
      <c r="P635" s="74"/>
      <c r="Q635" s="2"/>
      <c r="R635" s="2"/>
      <c r="S635" s="76"/>
      <c r="T635" s="2"/>
      <c r="U635" s="62"/>
      <c r="V635" s="62"/>
      <c r="W635" s="62"/>
      <c r="X635" s="62"/>
      <c r="Y635" s="62"/>
      <c r="Z635" s="62"/>
    </row>
    <row r="636" ht="15.75" customHeight="1">
      <c r="A636" s="2"/>
      <c r="B636" s="2"/>
      <c r="C636" s="2"/>
      <c r="D636" s="2"/>
      <c r="E636" s="2"/>
      <c r="F636" s="2"/>
      <c r="G636" s="2"/>
      <c r="H636" s="2"/>
      <c r="I636" s="74"/>
      <c r="J636" s="74"/>
      <c r="K636" s="74"/>
      <c r="L636" s="74"/>
      <c r="M636" s="2"/>
      <c r="N636" s="2"/>
      <c r="O636" s="2"/>
      <c r="P636" s="74"/>
      <c r="Q636" s="2"/>
      <c r="R636" s="2"/>
      <c r="S636" s="76"/>
      <c r="T636" s="2"/>
      <c r="U636" s="62"/>
      <c r="V636" s="62"/>
      <c r="W636" s="62"/>
      <c r="X636" s="62"/>
      <c r="Y636" s="62"/>
      <c r="Z636" s="62"/>
    </row>
    <row r="637" ht="15.75" customHeight="1">
      <c r="A637" s="2"/>
      <c r="B637" s="2"/>
      <c r="C637" s="2"/>
      <c r="D637" s="2"/>
      <c r="E637" s="2"/>
      <c r="F637" s="2"/>
      <c r="G637" s="2"/>
      <c r="H637" s="2"/>
      <c r="I637" s="74"/>
      <c r="J637" s="74"/>
      <c r="K637" s="74"/>
      <c r="L637" s="74"/>
      <c r="M637" s="2"/>
      <c r="N637" s="2"/>
      <c r="O637" s="2"/>
      <c r="P637" s="74"/>
      <c r="Q637" s="2"/>
      <c r="R637" s="2"/>
      <c r="S637" s="76"/>
      <c r="T637" s="2"/>
      <c r="U637" s="62"/>
      <c r="V637" s="62"/>
      <c r="W637" s="62"/>
      <c r="X637" s="62"/>
      <c r="Y637" s="62"/>
      <c r="Z637" s="62"/>
    </row>
    <row r="638" ht="15.75" customHeight="1">
      <c r="A638" s="2"/>
      <c r="B638" s="2"/>
      <c r="C638" s="2"/>
      <c r="D638" s="2"/>
      <c r="E638" s="2"/>
      <c r="F638" s="2"/>
      <c r="G638" s="2"/>
      <c r="H638" s="2"/>
      <c r="I638" s="74"/>
      <c r="J638" s="74"/>
      <c r="K638" s="74"/>
      <c r="L638" s="74"/>
      <c r="M638" s="2"/>
      <c r="N638" s="2"/>
      <c r="O638" s="2"/>
      <c r="P638" s="74"/>
      <c r="Q638" s="2"/>
      <c r="R638" s="2"/>
      <c r="S638" s="76"/>
      <c r="T638" s="2"/>
      <c r="U638" s="62"/>
      <c r="V638" s="62"/>
      <c r="W638" s="62"/>
      <c r="X638" s="62"/>
      <c r="Y638" s="62"/>
      <c r="Z638" s="62"/>
    </row>
    <row r="639" ht="15.75" customHeight="1">
      <c r="A639" s="2"/>
      <c r="B639" s="2"/>
      <c r="C639" s="2"/>
      <c r="D639" s="2"/>
      <c r="E639" s="2"/>
      <c r="F639" s="2"/>
      <c r="G639" s="2"/>
      <c r="H639" s="2"/>
      <c r="I639" s="74"/>
      <c r="J639" s="74"/>
      <c r="K639" s="74"/>
      <c r="L639" s="74"/>
      <c r="M639" s="2"/>
      <c r="N639" s="2"/>
      <c r="O639" s="2"/>
      <c r="P639" s="74"/>
      <c r="Q639" s="2"/>
      <c r="R639" s="2"/>
      <c r="S639" s="76"/>
      <c r="T639" s="2"/>
      <c r="U639" s="62"/>
      <c r="V639" s="62"/>
      <c r="W639" s="62"/>
      <c r="X639" s="62"/>
      <c r="Y639" s="62"/>
      <c r="Z639" s="62"/>
    </row>
    <row r="640" ht="15.75" customHeight="1">
      <c r="A640" s="2"/>
      <c r="B640" s="2"/>
      <c r="C640" s="2"/>
      <c r="D640" s="2"/>
      <c r="E640" s="2"/>
      <c r="F640" s="2"/>
      <c r="G640" s="2"/>
      <c r="H640" s="2"/>
      <c r="I640" s="74"/>
      <c r="J640" s="74"/>
      <c r="K640" s="74"/>
      <c r="L640" s="74"/>
      <c r="M640" s="2"/>
      <c r="N640" s="2"/>
      <c r="O640" s="2"/>
      <c r="P640" s="74"/>
      <c r="Q640" s="2"/>
      <c r="R640" s="2"/>
      <c r="S640" s="76"/>
      <c r="T640" s="2"/>
      <c r="U640" s="62"/>
      <c r="V640" s="62"/>
      <c r="W640" s="62"/>
      <c r="X640" s="62"/>
      <c r="Y640" s="62"/>
      <c r="Z640" s="62"/>
    </row>
    <row r="641" ht="15.75" customHeight="1">
      <c r="A641" s="2"/>
      <c r="B641" s="2"/>
      <c r="C641" s="2"/>
      <c r="D641" s="2"/>
      <c r="E641" s="2"/>
      <c r="F641" s="2"/>
      <c r="G641" s="2"/>
      <c r="H641" s="2"/>
      <c r="I641" s="74"/>
      <c r="J641" s="74"/>
      <c r="K641" s="74"/>
      <c r="L641" s="74"/>
      <c r="M641" s="2"/>
      <c r="N641" s="2"/>
      <c r="O641" s="2"/>
      <c r="P641" s="74"/>
      <c r="Q641" s="2"/>
      <c r="R641" s="2"/>
      <c r="S641" s="76"/>
      <c r="T641" s="2"/>
      <c r="U641" s="62"/>
      <c r="V641" s="62"/>
      <c r="W641" s="62"/>
      <c r="X641" s="62"/>
      <c r="Y641" s="62"/>
      <c r="Z641" s="62"/>
    </row>
    <row r="642" ht="15.75" customHeight="1">
      <c r="A642" s="2"/>
      <c r="B642" s="2"/>
      <c r="C642" s="2"/>
      <c r="D642" s="2"/>
      <c r="E642" s="2"/>
      <c r="F642" s="2"/>
      <c r="G642" s="2"/>
      <c r="H642" s="2"/>
      <c r="I642" s="74"/>
      <c r="J642" s="74"/>
      <c r="K642" s="74"/>
      <c r="L642" s="74"/>
      <c r="M642" s="2"/>
      <c r="N642" s="2"/>
      <c r="O642" s="2"/>
      <c r="P642" s="74"/>
      <c r="Q642" s="2"/>
      <c r="R642" s="2"/>
      <c r="S642" s="76"/>
      <c r="T642" s="2"/>
      <c r="U642" s="62"/>
      <c r="V642" s="62"/>
      <c r="W642" s="62"/>
      <c r="X642" s="62"/>
      <c r="Y642" s="62"/>
      <c r="Z642" s="62"/>
    </row>
    <row r="643" ht="15.75" customHeight="1">
      <c r="A643" s="2"/>
      <c r="B643" s="2"/>
      <c r="C643" s="2"/>
      <c r="D643" s="2"/>
      <c r="E643" s="2"/>
      <c r="F643" s="2"/>
      <c r="G643" s="2"/>
      <c r="H643" s="2"/>
      <c r="I643" s="74"/>
      <c r="J643" s="74"/>
      <c r="K643" s="74"/>
      <c r="L643" s="74"/>
      <c r="M643" s="2"/>
      <c r="N643" s="2"/>
      <c r="O643" s="2"/>
      <c r="P643" s="74"/>
      <c r="Q643" s="2"/>
      <c r="R643" s="2"/>
      <c r="S643" s="76"/>
      <c r="T643" s="2"/>
      <c r="U643" s="62"/>
      <c r="V643" s="62"/>
      <c r="W643" s="62"/>
      <c r="X643" s="62"/>
      <c r="Y643" s="62"/>
      <c r="Z643" s="62"/>
    </row>
    <row r="644" ht="15.75" customHeight="1">
      <c r="A644" s="2"/>
      <c r="B644" s="2"/>
      <c r="C644" s="2"/>
      <c r="D644" s="2"/>
      <c r="E644" s="2"/>
      <c r="F644" s="2"/>
      <c r="G644" s="2"/>
      <c r="H644" s="2"/>
      <c r="I644" s="74"/>
      <c r="J644" s="74"/>
      <c r="K644" s="74"/>
      <c r="L644" s="74"/>
      <c r="M644" s="2"/>
      <c r="N644" s="2"/>
      <c r="O644" s="2"/>
      <c r="P644" s="74"/>
      <c r="Q644" s="2"/>
      <c r="R644" s="2"/>
      <c r="S644" s="76"/>
      <c r="T644" s="2"/>
      <c r="U644" s="62"/>
      <c r="V644" s="62"/>
      <c r="W644" s="62"/>
      <c r="X644" s="62"/>
      <c r="Y644" s="62"/>
      <c r="Z644" s="62"/>
    </row>
    <row r="645" ht="15.75" customHeight="1">
      <c r="A645" s="2"/>
      <c r="B645" s="2"/>
      <c r="C645" s="2"/>
      <c r="D645" s="2"/>
      <c r="E645" s="2"/>
      <c r="F645" s="2"/>
      <c r="G645" s="2"/>
      <c r="H645" s="2"/>
      <c r="I645" s="74"/>
      <c r="J645" s="74"/>
      <c r="K645" s="74"/>
      <c r="L645" s="74"/>
      <c r="M645" s="2"/>
      <c r="N645" s="2"/>
      <c r="O645" s="2"/>
      <c r="P645" s="74"/>
      <c r="Q645" s="2"/>
      <c r="R645" s="2"/>
      <c r="S645" s="76"/>
      <c r="T645" s="2"/>
      <c r="U645" s="62"/>
      <c r="V645" s="62"/>
      <c r="W645" s="62"/>
      <c r="X645" s="62"/>
      <c r="Y645" s="62"/>
      <c r="Z645" s="62"/>
    </row>
    <row r="646" ht="15.75" customHeight="1">
      <c r="A646" s="2"/>
      <c r="B646" s="2"/>
      <c r="C646" s="2"/>
      <c r="D646" s="2"/>
      <c r="E646" s="2"/>
      <c r="F646" s="2"/>
      <c r="G646" s="2"/>
      <c r="H646" s="2"/>
      <c r="I646" s="74"/>
      <c r="J646" s="74"/>
      <c r="K646" s="74"/>
      <c r="L646" s="74"/>
      <c r="M646" s="2"/>
      <c r="N646" s="2"/>
      <c r="O646" s="2"/>
      <c r="P646" s="74"/>
      <c r="Q646" s="2"/>
      <c r="R646" s="2"/>
      <c r="S646" s="76"/>
      <c r="T646" s="2"/>
      <c r="U646" s="62"/>
      <c r="V646" s="62"/>
      <c r="W646" s="62"/>
      <c r="X646" s="62"/>
      <c r="Y646" s="62"/>
      <c r="Z646" s="62"/>
    </row>
    <row r="647" ht="15.75" customHeight="1">
      <c r="A647" s="2"/>
      <c r="B647" s="2"/>
      <c r="C647" s="2"/>
      <c r="D647" s="2"/>
      <c r="E647" s="2"/>
      <c r="F647" s="2"/>
      <c r="G647" s="2"/>
      <c r="H647" s="2"/>
      <c r="I647" s="74"/>
      <c r="J647" s="74"/>
      <c r="K647" s="74"/>
      <c r="L647" s="74"/>
      <c r="M647" s="2"/>
      <c r="N647" s="2"/>
      <c r="O647" s="2"/>
      <c r="P647" s="74"/>
      <c r="Q647" s="2"/>
      <c r="R647" s="2"/>
      <c r="S647" s="76"/>
      <c r="T647" s="2"/>
      <c r="U647" s="62"/>
      <c r="V647" s="62"/>
      <c r="W647" s="62"/>
      <c r="X647" s="62"/>
      <c r="Y647" s="62"/>
      <c r="Z647" s="62"/>
    </row>
    <row r="648" ht="15.75" customHeight="1">
      <c r="A648" s="2"/>
      <c r="B648" s="2"/>
      <c r="C648" s="2"/>
      <c r="D648" s="2"/>
      <c r="E648" s="2"/>
      <c r="F648" s="2"/>
      <c r="G648" s="2"/>
      <c r="H648" s="2"/>
      <c r="I648" s="74"/>
      <c r="J648" s="74"/>
      <c r="K648" s="74"/>
      <c r="L648" s="74"/>
      <c r="M648" s="2"/>
      <c r="N648" s="2"/>
      <c r="O648" s="2"/>
      <c r="P648" s="74"/>
      <c r="Q648" s="2"/>
      <c r="R648" s="2"/>
      <c r="S648" s="76"/>
      <c r="T648" s="2"/>
      <c r="U648" s="62"/>
      <c r="V648" s="62"/>
      <c r="W648" s="62"/>
      <c r="X648" s="62"/>
      <c r="Y648" s="62"/>
      <c r="Z648" s="62"/>
    </row>
    <row r="649" ht="15.75" customHeight="1">
      <c r="A649" s="2"/>
      <c r="B649" s="2"/>
      <c r="C649" s="2"/>
      <c r="D649" s="2"/>
      <c r="E649" s="2"/>
      <c r="F649" s="2"/>
      <c r="G649" s="2"/>
      <c r="H649" s="2"/>
      <c r="I649" s="74"/>
      <c r="J649" s="74"/>
      <c r="K649" s="74"/>
      <c r="L649" s="74"/>
      <c r="M649" s="2"/>
      <c r="N649" s="2"/>
      <c r="O649" s="2"/>
      <c r="P649" s="74"/>
      <c r="Q649" s="2"/>
      <c r="R649" s="2"/>
      <c r="S649" s="76"/>
      <c r="T649" s="2"/>
      <c r="U649" s="62"/>
      <c r="V649" s="62"/>
      <c r="W649" s="62"/>
      <c r="X649" s="62"/>
      <c r="Y649" s="62"/>
      <c r="Z649" s="62"/>
    </row>
    <row r="650" ht="15.75" customHeight="1">
      <c r="A650" s="2"/>
      <c r="B650" s="2"/>
      <c r="C650" s="2"/>
      <c r="D650" s="2"/>
      <c r="E650" s="2"/>
      <c r="F650" s="2"/>
      <c r="G650" s="2"/>
      <c r="H650" s="2"/>
      <c r="I650" s="74"/>
      <c r="J650" s="74"/>
      <c r="K650" s="74"/>
      <c r="L650" s="74"/>
      <c r="M650" s="2"/>
      <c r="N650" s="2"/>
      <c r="O650" s="2"/>
      <c r="P650" s="74"/>
      <c r="Q650" s="2"/>
      <c r="R650" s="2"/>
      <c r="S650" s="76"/>
      <c r="T650" s="2"/>
      <c r="U650" s="62"/>
      <c r="V650" s="62"/>
      <c r="W650" s="62"/>
      <c r="X650" s="62"/>
      <c r="Y650" s="62"/>
      <c r="Z650" s="62"/>
    </row>
    <row r="651" ht="15.75" customHeight="1">
      <c r="A651" s="2"/>
      <c r="B651" s="2"/>
      <c r="C651" s="2"/>
      <c r="D651" s="2"/>
      <c r="E651" s="2"/>
      <c r="F651" s="2"/>
      <c r="G651" s="2"/>
      <c r="H651" s="2"/>
      <c r="I651" s="74"/>
      <c r="J651" s="74"/>
      <c r="K651" s="74"/>
      <c r="L651" s="74"/>
      <c r="M651" s="2"/>
      <c r="N651" s="2"/>
      <c r="O651" s="2"/>
      <c r="P651" s="74"/>
      <c r="Q651" s="2"/>
      <c r="R651" s="2"/>
      <c r="S651" s="76"/>
      <c r="T651" s="2"/>
      <c r="U651" s="62"/>
      <c r="V651" s="62"/>
      <c r="W651" s="62"/>
      <c r="X651" s="62"/>
      <c r="Y651" s="62"/>
      <c r="Z651" s="62"/>
    </row>
    <row r="652" ht="15.75" customHeight="1">
      <c r="A652" s="2"/>
      <c r="B652" s="2"/>
      <c r="C652" s="2"/>
      <c r="D652" s="2"/>
      <c r="E652" s="2"/>
      <c r="F652" s="2"/>
      <c r="G652" s="2"/>
      <c r="H652" s="2"/>
      <c r="I652" s="74"/>
      <c r="J652" s="74"/>
      <c r="K652" s="74"/>
      <c r="L652" s="74"/>
      <c r="M652" s="2"/>
      <c r="N652" s="2"/>
      <c r="O652" s="2"/>
      <c r="P652" s="74"/>
      <c r="Q652" s="2"/>
      <c r="R652" s="2"/>
      <c r="S652" s="76"/>
      <c r="T652" s="2"/>
      <c r="U652" s="62"/>
      <c r="V652" s="62"/>
      <c r="W652" s="62"/>
      <c r="X652" s="62"/>
      <c r="Y652" s="62"/>
      <c r="Z652" s="62"/>
    </row>
    <row r="653" ht="15.75" customHeight="1">
      <c r="A653" s="2"/>
      <c r="B653" s="2"/>
      <c r="C653" s="2"/>
      <c r="D653" s="2"/>
      <c r="E653" s="2"/>
      <c r="F653" s="2"/>
      <c r="G653" s="2"/>
      <c r="H653" s="2"/>
      <c r="I653" s="74"/>
      <c r="J653" s="74"/>
      <c r="K653" s="74"/>
      <c r="L653" s="74"/>
      <c r="M653" s="2"/>
      <c r="N653" s="2"/>
      <c r="O653" s="2"/>
      <c r="P653" s="74"/>
      <c r="Q653" s="2"/>
      <c r="R653" s="2"/>
      <c r="S653" s="76"/>
      <c r="T653" s="2"/>
      <c r="U653" s="62"/>
      <c r="V653" s="62"/>
      <c r="W653" s="62"/>
      <c r="X653" s="62"/>
      <c r="Y653" s="62"/>
      <c r="Z653" s="62"/>
    </row>
    <row r="654" ht="15.75" customHeight="1">
      <c r="A654" s="2"/>
      <c r="B654" s="2"/>
      <c r="C654" s="2"/>
      <c r="D654" s="2"/>
      <c r="E654" s="2"/>
      <c r="F654" s="2"/>
      <c r="G654" s="2"/>
      <c r="H654" s="2"/>
      <c r="I654" s="74"/>
      <c r="J654" s="74"/>
      <c r="K654" s="74"/>
      <c r="L654" s="74"/>
      <c r="M654" s="2"/>
      <c r="N654" s="2"/>
      <c r="O654" s="2"/>
      <c r="P654" s="74"/>
      <c r="Q654" s="2"/>
      <c r="R654" s="2"/>
      <c r="S654" s="76"/>
      <c r="T654" s="2"/>
      <c r="U654" s="62"/>
      <c r="V654" s="62"/>
      <c r="W654" s="62"/>
      <c r="X654" s="62"/>
      <c r="Y654" s="62"/>
      <c r="Z654" s="62"/>
    </row>
    <row r="655" ht="15.75" customHeight="1">
      <c r="A655" s="2"/>
      <c r="B655" s="2"/>
      <c r="C655" s="2"/>
      <c r="D655" s="2"/>
      <c r="E655" s="2"/>
      <c r="F655" s="2"/>
      <c r="G655" s="2"/>
      <c r="H655" s="2"/>
      <c r="I655" s="74"/>
      <c r="J655" s="74"/>
      <c r="K655" s="74"/>
      <c r="L655" s="74"/>
      <c r="M655" s="2"/>
      <c r="N655" s="2"/>
      <c r="O655" s="2"/>
      <c r="P655" s="74"/>
      <c r="Q655" s="2"/>
      <c r="R655" s="2"/>
      <c r="S655" s="76"/>
      <c r="T655" s="2"/>
      <c r="U655" s="62"/>
      <c r="V655" s="62"/>
      <c r="W655" s="62"/>
      <c r="X655" s="62"/>
      <c r="Y655" s="62"/>
      <c r="Z655" s="62"/>
    </row>
    <row r="656" ht="15.75" customHeight="1">
      <c r="A656" s="2"/>
      <c r="B656" s="2"/>
      <c r="C656" s="2"/>
      <c r="D656" s="2"/>
      <c r="E656" s="2"/>
      <c r="F656" s="2"/>
      <c r="G656" s="2"/>
      <c r="H656" s="2"/>
      <c r="I656" s="74"/>
      <c r="J656" s="74"/>
      <c r="K656" s="74"/>
      <c r="L656" s="74"/>
      <c r="M656" s="2"/>
      <c r="N656" s="2"/>
      <c r="O656" s="2"/>
      <c r="P656" s="74"/>
      <c r="Q656" s="2"/>
      <c r="R656" s="2"/>
      <c r="S656" s="76"/>
      <c r="T656" s="2"/>
      <c r="U656" s="62"/>
      <c r="V656" s="62"/>
      <c r="W656" s="62"/>
      <c r="X656" s="62"/>
      <c r="Y656" s="62"/>
      <c r="Z656" s="62"/>
    </row>
    <row r="657" ht="15.75" customHeight="1">
      <c r="A657" s="2"/>
      <c r="B657" s="2"/>
      <c r="C657" s="2"/>
      <c r="D657" s="2"/>
      <c r="E657" s="2"/>
      <c r="F657" s="2"/>
      <c r="G657" s="2"/>
      <c r="H657" s="2"/>
      <c r="I657" s="74"/>
      <c r="J657" s="74"/>
      <c r="K657" s="74"/>
      <c r="L657" s="74"/>
      <c r="M657" s="2"/>
      <c r="N657" s="2"/>
      <c r="O657" s="2"/>
      <c r="P657" s="74"/>
      <c r="Q657" s="2"/>
      <c r="R657" s="2"/>
      <c r="S657" s="76"/>
      <c r="T657" s="2"/>
      <c r="U657" s="62"/>
      <c r="V657" s="62"/>
      <c r="W657" s="62"/>
      <c r="X657" s="62"/>
      <c r="Y657" s="62"/>
      <c r="Z657" s="62"/>
    </row>
    <row r="658" ht="15.75" customHeight="1">
      <c r="A658" s="2"/>
      <c r="B658" s="2"/>
      <c r="C658" s="2"/>
      <c r="D658" s="2"/>
      <c r="E658" s="2"/>
      <c r="F658" s="2"/>
      <c r="G658" s="2"/>
      <c r="H658" s="2"/>
      <c r="I658" s="74"/>
      <c r="J658" s="74"/>
      <c r="K658" s="74"/>
      <c r="L658" s="74"/>
      <c r="M658" s="2"/>
      <c r="N658" s="2"/>
      <c r="O658" s="2"/>
      <c r="P658" s="74"/>
      <c r="Q658" s="2"/>
      <c r="R658" s="2"/>
      <c r="S658" s="76"/>
      <c r="T658" s="2"/>
      <c r="U658" s="62"/>
      <c r="V658" s="62"/>
      <c r="W658" s="62"/>
      <c r="X658" s="62"/>
      <c r="Y658" s="62"/>
      <c r="Z658" s="62"/>
    </row>
    <row r="659" ht="15.75" customHeight="1">
      <c r="A659" s="2"/>
      <c r="B659" s="2"/>
      <c r="C659" s="2"/>
      <c r="D659" s="2"/>
      <c r="E659" s="2"/>
      <c r="F659" s="2"/>
      <c r="G659" s="2"/>
      <c r="H659" s="2"/>
      <c r="I659" s="74"/>
      <c r="J659" s="74"/>
      <c r="K659" s="74"/>
      <c r="L659" s="74"/>
      <c r="M659" s="2"/>
      <c r="N659" s="2"/>
      <c r="O659" s="2"/>
      <c r="P659" s="74"/>
      <c r="Q659" s="2"/>
      <c r="R659" s="2"/>
      <c r="S659" s="76"/>
      <c r="T659" s="2"/>
      <c r="U659" s="62"/>
      <c r="V659" s="62"/>
      <c r="W659" s="62"/>
      <c r="X659" s="62"/>
      <c r="Y659" s="62"/>
      <c r="Z659" s="62"/>
    </row>
    <row r="660" ht="15.75" customHeight="1">
      <c r="A660" s="2"/>
      <c r="B660" s="2"/>
      <c r="C660" s="2"/>
      <c r="D660" s="2"/>
      <c r="E660" s="2"/>
      <c r="F660" s="2"/>
      <c r="G660" s="2"/>
      <c r="H660" s="2"/>
      <c r="I660" s="74"/>
      <c r="J660" s="74"/>
      <c r="K660" s="74"/>
      <c r="L660" s="74"/>
      <c r="M660" s="2"/>
      <c r="N660" s="2"/>
      <c r="O660" s="2"/>
      <c r="P660" s="74"/>
      <c r="Q660" s="2"/>
      <c r="R660" s="2"/>
      <c r="S660" s="76"/>
      <c r="T660" s="2"/>
      <c r="U660" s="62"/>
      <c r="V660" s="62"/>
      <c r="W660" s="62"/>
      <c r="X660" s="62"/>
      <c r="Y660" s="62"/>
      <c r="Z660" s="62"/>
    </row>
    <row r="661" ht="15.75" customHeight="1">
      <c r="A661" s="2"/>
      <c r="B661" s="2"/>
      <c r="C661" s="2"/>
      <c r="D661" s="2"/>
      <c r="E661" s="2"/>
      <c r="F661" s="2"/>
      <c r="G661" s="2"/>
      <c r="H661" s="2"/>
      <c r="I661" s="74"/>
      <c r="J661" s="74"/>
      <c r="K661" s="74"/>
      <c r="L661" s="74"/>
      <c r="M661" s="2"/>
      <c r="N661" s="2"/>
      <c r="O661" s="2"/>
      <c r="P661" s="74"/>
      <c r="Q661" s="2"/>
      <c r="R661" s="2"/>
      <c r="S661" s="76"/>
      <c r="T661" s="2"/>
      <c r="U661" s="62"/>
      <c r="V661" s="62"/>
      <c r="W661" s="62"/>
      <c r="X661" s="62"/>
      <c r="Y661" s="62"/>
      <c r="Z661" s="62"/>
    </row>
    <row r="662" ht="15.75" customHeight="1">
      <c r="A662" s="2"/>
      <c r="B662" s="2"/>
      <c r="C662" s="2"/>
      <c r="D662" s="2"/>
      <c r="E662" s="2"/>
      <c r="F662" s="2"/>
      <c r="G662" s="2"/>
      <c r="H662" s="2"/>
      <c r="I662" s="74"/>
      <c r="J662" s="74"/>
      <c r="K662" s="74"/>
      <c r="L662" s="74"/>
      <c r="M662" s="2"/>
      <c r="N662" s="2"/>
      <c r="O662" s="2"/>
      <c r="P662" s="74"/>
      <c r="Q662" s="2"/>
      <c r="R662" s="2"/>
      <c r="S662" s="76"/>
      <c r="T662" s="2"/>
      <c r="U662" s="62"/>
      <c r="V662" s="62"/>
      <c r="W662" s="62"/>
      <c r="X662" s="62"/>
      <c r="Y662" s="62"/>
      <c r="Z662" s="62"/>
    </row>
    <row r="663" ht="15.75" customHeight="1">
      <c r="A663" s="2"/>
      <c r="B663" s="2"/>
      <c r="C663" s="2"/>
      <c r="D663" s="2"/>
      <c r="E663" s="2"/>
      <c r="F663" s="2"/>
      <c r="G663" s="2"/>
      <c r="H663" s="2"/>
      <c r="I663" s="74"/>
      <c r="J663" s="74"/>
      <c r="K663" s="74"/>
      <c r="L663" s="74"/>
      <c r="M663" s="2"/>
      <c r="N663" s="2"/>
      <c r="O663" s="2"/>
      <c r="P663" s="74"/>
      <c r="Q663" s="2"/>
      <c r="R663" s="2"/>
      <c r="S663" s="76"/>
      <c r="T663" s="2"/>
      <c r="U663" s="62"/>
      <c r="V663" s="62"/>
      <c r="W663" s="62"/>
      <c r="X663" s="62"/>
      <c r="Y663" s="62"/>
      <c r="Z663" s="62"/>
    </row>
    <row r="664" ht="15.75" customHeight="1">
      <c r="A664" s="2"/>
      <c r="B664" s="2"/>
      <c r="C664" s="2"/>
      <c r="D664" s="2"/>
      <c r="E664" s="2"/>
      <c r="F664" s="2"/>
      <c r="G664" s="2"/>
      <c r="H664" s="2"/>
      <c r="I664" s="74"/>
      <c r="J664" s="74"/>
      <c r="K664" s="74"/>
      <c r="L664" s="74"/>
      <c r="M664" s="2"/>
      <c r="N664" s="2"/>
      <c r="O664" s="2"/>
      <c r="P664" s="74"/>
      <c r="Q664" s="2"/>
      <c r="R664" s="2"/>
      <c r="S664" s="76"/>
      <c r="T664" s="2"/>
      <c r="U664" s="62"/>
      <c r="V664" s="62"/>
      <c r="W664" s="62"/>
      <c r="X664" s="62"/>
      <c r="Y664" s="62"/>
      <c r="Z664" s="62"/>
    </row>
    <row r="665" ht="15.75" customHeight="1">
      <c r="A665" s="2"/>
      <c r="B665" s="2"/>
      <c r="C665" s="2"/>
      <c r="D665" s="2"/>
      <c r="E665" s="2"/>
      <c r="F665" s="2"/>
      <c r="G665" s="2"/>
      <c r="H665" s="2"/>
      <c r="I665" s="74"/>
      <c r="J665" s="74"/>
      <c r="K665" s="74"/>
      <c r="L665" s="74"/>
      <c r="M665" s="2"/>
      <c r="N665" s="2"/>
      <c r="O665" s="2"/>
      <c r="P665" s="74"/>
      <c r="Q665" s="2"/>
      <c r="R665" s="2"/>
      <c r="S665" s="76"/>
      <c r="T665" s="2"/>
      <c r="U665" s="62"/>
      <c r="V665" s="62"/>
      <c r="W665" s="62"/>
      <c r="X665" s="62"/>
      <c r="Y665" s="62"/>
      <c r="Z665" s="62"/>
    </row>
    <row r="666" ht="15.75" customHeight="1">
      <c r="A666" s="2"/>
      <c r="B666" s="2"/>
      <c r="C666" s="2"/>
      <c r="D666" s="2"/>
      <c r="E666" s="2"/>
      <c r="F666" s="2"/>
      <c r="G666" s="2"/>
      <c r="H666" s="2"/>
      <c r="I666" s="74"/>
      <c r="J666" s="74"/>
      <c r="K666" s="74"/>
      <c r="L666" s="74"/>
      <c r="M666" s="2"/>
      <c r="N666" s="2"/>
      <c r="O666" s="2"/>
      <c r="P666" s="74"/>
      <c r="Q666" s="2"/>
      <c r="R666" s="2"/>
      <c r="S666" s="76"/>
      <c r="T666" s="2"/>
      <c r="U666" s="62"/>
      <c r="V666" s="62"/>
      <c r="W666" s="62"/>
      <c r="X666" s="62"/>
      <c r="Y666" s="62"/>
      <c r="Z666" s="62"/>
    </row>
    <row r="667" ht="15.75" customHeight="1">
      <c r="A667" s="2"/>
      <c r="B667" s="2"/>
      <c r="C667" s="2"/>
      <c r="D667" s="2"/>
      <c r="E667" s="2"/>
      <c r="F667" s="2"/>
      <c r="G667" s="2"/>
      <c r="H667" s="2"/>
      <c r="I667" s="74"/>
      <c r="J667" s="74"/>
      <c r="K667" s="74"/>
      <c r="L667" s="74"/>
      <c r="M667" s="2"/>
      <c r="N667" s="2"/>
      <c r="O667" s="2"/>
      <c r="P667" s="74"/>
      <c r="Q667" s="2"/>
      <c r="R667" s="2"/>
      <c r="S667" s="76"/>
      <c r="T667" s="2"/>
      <c r="U667" s="62"/>
      <c r="V667" s="62"/>
      <c r="W667" s="62"/>
      <c r="X667" s="62"/>
      <c r="Y667" s="62"/>
      <c r="Z667" s="62"/>
    </row>
    <row r="668" ht="15.75" customHeight="1">
      <c r="A668" s="2"/>
      <c r="B668" s="2"/>
      <c r="C668" s="2"/>
      <c r="D668" s="2"/>
      <c r="E668" s="2"/>
      <c r="F668" s="2"/>
      <c r="G668" s="2"/>
      <c r="H668" s="2"/>
      <c r="I668" s="74"/>
      <c r="J668" s="74"/>
      <c r="K668" s="74"/>
      <c r="L668" s="74"/>
      <c r="M668" s="2"/>
      <c r="N668" s="2"/>
      <c r="O668" s="2"/>
      <c r="P668" s="74"/>
      <c r="Q668" s="2"/>
      <c r="R668" s="2"/>
      <c r="S668" s="76"/>
      <c r="T668" s="2"/>
      <c r="U668" s="62"/>
      <c r="V668" s="62"/>
      <c r="W668" s="62"/>
      <c r="X668" s="62"/>
      <c r="Y668" s="62"/>
      <c r="Z668" s="62"/>
    </row>
    <row r="669" ht="15.75" customHeight="1">
      <c r="A669" s="2"/>
      <c r="B669" s="2"/>
      <c r="C669" s="2"/>
      <c r="D669" s="2"/>
      <c r="E669" s="2"/>
      <c r="F669" s="2"/>
      <c r="G669" s="2"/>
      <c r="H669" s="2"/>
      <c r="I669" s="74"/>
      <c r="J669" s="74"/>
      <c r="K669" s="74"/>
      <c r="L669" s="74"/>
      <c r="M669" s="2"/>
      <c r="N669" s="2"/>
      <c r="O669" s="2"/>
      <c r="P669" s="74"/>
      <c r="Q669" s="2"/>
      <c r="R669" s="2"/>
      <c r="S669" s="76"/>
      <c r="T669" s="2"/>
      <c r="U669" s="62"/>
      <c r="V669" s="62"/>
      <c r="W669" s="62"/>
      <c r="X669" s="62"/>
      <c r="Y669" s="62"/>
      <c r="Z669" s="62"/>
    </row>
    <row r="670" ht="15.75" customHeight="1">
      <c r="A670" s="2"/>
      <c r="B670" s="2"/>
      <c r="C670" s="2"/>
      <c r="D670" s="2"/>
      <c r="E670" s="2"/>
      <c r="F670" s="2"/>
      <c r="G670" s="2"/>
      <c r="H670" s="2"/>
      <c r="I670" s="74"/>
      <c r="J670" s="74"/>
      <c r="K670" s="74"/>
      <c r="L670" s="74"/>
      <c r="M670" s="2"/>
      <c r="N670" s="2"/>
      <c r="O670" s="2"/>
      <c r="P670" s="74"/>
      <c r="Q670" s="2"/>
      <c r="R670" s="2"/>
      <c r="S670" s="76"/>
      <c r="T670" s="2"/>
      <c r="U670" s="62"/>
      <c r="V670" s="62"/>
      <c r="W670" s="62"/>
      <c r="X670" s="62"/>
      <c r="Y670" s="62"/>
      <c r="Z670" s="62"/>
    </row>
    <row r="671" ht="15.75" customHeight="1">
      <c r="A671" s="2"/>
      <c r="B671" s="2"/>
      <c r="C671" s="2"/>
      <c r="D671" s="2"/>
      <c r="E671" s="2"/>
      <c r="F671" s="2"/>
      <c r="G671" s="2"/>
      <c r="H671" s="2"/>
      <c r="I671" s="74"/>
      <c r="J671" s="74"/>
      <c r="K671" s="74"/>
      <c r="L671" s="74"/>
      <c r="M671" s="2"/>
      <c r="N671" s="2"/>
      <c r="O671" s="2"/>
      <c r="P671" s="74"/>
      <c r="Q671" s="2"/>
      <c r="R671" s="2"/>
      <c r="S671" s="76"/>
      <c r="T671" s="2"/>
      <c r="U671" s="62"/>
      <c r="V671" s="62"/>
      <c r="W671" s="62"/>
      <c r="X671" s="62"/>
      <c r="Y671" s="62"/>
      <c r="Z671" s="62"/>
    </row>
    <row r="672" ht="15.75" customHeight="1">
      <c r="A672" s="2"/>
      <c r="B672" s="2"/>
      <c r="C672" s="2"/>
      <c r="D672" s="2"/>
      <c r="E672" s="2"/>
      <c r="F672" s="2"/>
      <c r="G672" s="2"/>
      <c r="H672" s="2"/>
      <c r="I672" s="74"/>
      <c r="J672" s="74"/>
      <c r="K672" s="74"/>
      <c r="L672" s="74"/>
      <c r="M672" s="2"/>
      <c r="N672" s="2"/>
      <c r="O672" s="2"/>
      <c r="P672" s="74"/>
      <c r="Q672" s="2"/>
      <c r="R672" s="2"/>
      <c r="S672" s="76"/>
      <c r="T672" s="2"/>
      <c r="U672" s="62"/>
      <c r="V672" s="62"/>
      <c r="W672" s="62"/>
      <c r="X672" s="62"/>
      <c r="Y672" s="62"/>
      <c r="Z672" s="62"/>
    </row>
    <row r="673" ht="15.75" customHeight="1">
      <c r="A673" s="2"/>
      <c r="B673" s="2"/>
      <c r="C673" s="2"/>
      <c r="D673" s="2"/>
      <c r="E673" s="2"/>
      <c r="F673" s="2"/>
      <c r="G673" s="2"/>
      <c r="H673" s="2"/>
      <c r="I673" s="74"/>
      <c r="J673" s="74"/>
      <c r="K673" s="74"/>
      <c r="L673" s="74"/>
      <c r="M673" s="2"/>
      <c r="N673" s="2"/>
      <c r="O673" s="2"/>
      <c r="P673" s="74"/>
      <c r="Q673" s="2"/>
      <c r="R673" s="2"/>
      <c r="S673" s="76"/>
      <c r="T673" s="2"/>
      <c r="U673" s="62"/>
      <c r="V673" s="62"/>
      <c r="W673" s="62"/>
      <c r="X673" s="62"/>
      <c r="Y673" s="62"/>
      <c r="Z673" s="62"/>
    </row>
    <row r="674" ht="15.75" customHeight="1">
      <c r="A674" s="2"/>
      <c r="B674" s="2"/>
      <c r="C674" s="2"/>
      <c r="D674" s="2"/>
      <c r="E674" s="2"/>
      <c r="F674" s="2"/>
      <c r="G674" s="2"/>
      <c r="H674" s="2"/>
      <c r="I674" s="74"/>
      <c r="J674" s="74"/>
      <c r="K674" s="74"/>
      <c r="L674" s="74"/>
      <c r="M674" s="2"/>
      <c r="N674" s="2"/>
      <c r="O674" s="2"/>
      <c r="P674" s="74"/>
      <c r="Q674" s="2"/>
      <c r="R674" s="2"/>
      <c r="S674" s="76"/>
      <c r="T674" s="2"/>
      <c r="U674" s="62"/>
      <c r="V674" s="62"/>
      <c r="W674" s="62"/>
      <c r="X674" s="62"/>
      <c r="Y674" s="62"/>
      <c r="Z674" s="62"/>
    </row>
    <row r="675" ht="15.75" customHeight="1">
      <c r="A675" s="2"/>
      <c r="B675" s="2"/>
      <c r="C675" s="2"/>
      <c r="D675" s="2"/>
      <c r="E675" s="2"/>
      <c r="F675" s="2"/>
      <c r="G675" s="2"/>
      <c r="H675" s="2"/>
      <c r="I675" s="74"/>
      <c r="J675" s="74"/>
      <c r="K675" s="74"/>
      <c r="L675" s="74"/>
      <c r="M675" s="2"/>
      <c r="N675" s="2"/>
      <c r="O675" s="2"/>
      <c r="P675" s="74"/>
      <c r="Q675" s="2"/>
      <c r="R675" s="2"/>
      <c r="S675" s="76"/>
      <c r="T675" s="2"/>
      <c r="U675" s="62"/>
      <c r="V675" s="62"/>
      <c r="W675" s="62"/>
      <c r="X675" s="62"/>
      <c r="Y675" s="62"/>
      <c r="Z675" s="62"/>
    </row>
    <row r="676" ht="15.75" customHeight="1">
      <c r="A676" s="2"/>
      <c r="B676" s="2"/>
      <c r="C676" s="2"/>
      <c r="D676" s="2"/>
      <c r="E676" s="2"/>
      <c r="F676" s="2"/>
      <c r="G676" s="2"/>
      <c r="H676" s="2"/>
      <c r="I676" s="74"/>
      <c r="J676" s="74"/>
      <c r="K676" s="74"/>
      <c r="L676" s="74"/>
      <c r="M676" s="2"/>
      <c r="N676" s="2"/>
      <c r="O676" s="2"/>
      <c r="P676" s="74"/>
      <c r="Q676" s="2"/>
      <c r="R676" s="2"/>
      <c r="S676" s="76"/>
      <c r="T676" s="2"/>
      <c r="U676" s="62"/>
      <c r="V676" s="62"/>
      <c r="W676" s="62"/>
      <c r="X676" s="62"/>
      <c r="Y676" s="62"/>
      <c r="Z676" s="62"/>
    </row>
    <row r="677" ht="15.75" customHeight="1">
      <c r="A677" s="2"/>
      <c r="B677" s="2"/>
      <c r="C677" s="2"/>
      <c r="D677" s="2"/>
      <c r="E677" s="2"/>
      <c r="F677" s="2"/>
      <c r="G677" s="2"/>
      <c r="H677" s="2"/>
      <c r="I677" s="74"/>
      <c r="J677" s="74"/>
      <c r="K677" s="74"/>
      <c r="L677" s="74"/>
      <c r="M677" s="2"/>
      <c r="N677" s="2"/>
      <c r="O677" s="2"/>
      <c r="P677" s="74"/>
      <c r="Q677" s="2"/>
      <c r="R677" s="2"/>
      <c r="S677" s="76"/>
      <c r="T677" s="2"/>
      <c r="U677" s="62"/>
      <c r="V677" s="62"/>
      <c r="W677" s="62"/>
      <c r="X677" s="62"/>
      <c r="Y677" s="62"/>
      <c r="Z677" s="62"/>
    </row>
    <row r="678" ht="15.75" customHeight="1">
      <c r="A678" s="2"/>
      <c r="B678" s="2"/>
      <c r="C678" s="2"/>
      <c r="D678" s="2"/>
      <c r="E678" s="2"/>
      <c r="F678" s="2"/>
      <c r="G678" s="2"/>
      <c r="H678" s="2"/>
      <c r="I678" s="74"/>
      <c r="J678" s="74"/>
      <c r="K678" s="74"/>
      <c r="L678" s="74"/>
      <c r="M678" s="2"/>
      <c r="N678" s="2"/>
      <c r="O678" s="2"/>
      <c r="P678" s="74"/>
      <c r="Q678" s="2"/>
      <c r="R678" s="2"/>
      <c r="S678" s="76"/>
      <c r="T678" s="2"/>
      <c r="U678" s="62"/>
      <c r="V678" s="62"/>
      <c r="W678" s="62"/>
      <c r="X678" s="62"/>
      <c r="Y678" s="62"/>
      <c r="Z678" s="62"/>
    </row>
    <row r="679" ht="15.75" customHeight="1">
      <c r="A679" s="2"/>
      <c r="B679" s="2"/>
      <c r="C679" s="2"/>
      <c r="D679" s="2"/>
      <c r="E679" s="2"/>
      <c r="F679" s="2"/>
      <c r="G679" s="2"/>
      <c r="H679" s="2"/>
      <c r="I679" s="74"/>
      <c r="J679" s="74"/>
      <c r="K679" s="74"/>
      <c r="L679" s="74"/>
      <c r="M679" s="2"/>
      <c r="N679" s="2"/>
      <c r="O679" s="2"/>
      <c r="P679" s="74"/>
      <c r="Q679" s="2"/>
      <c r="R679" s="2"/>
      <c r="S679" s="76"/>
      <c r="T679" s="2"/>
      <c r="U679" s="62"/>
      <c r="V679" s="62"/>
      <c r="W679" s="62"/>
      <c r="X679" s="62"/>
      <c r="Y679" s="62"/>
      <c r="Z679" s="62"/>
    </row>
    <row r="680" ht="15.75" customHeight="1">
      <c r="A680" s="2"/>
      <c r="B680" s="2"/>
      <c r="C680" s="2"/>
      <c r="D680" s="2"/>
      <c r="E680" s="2"/>
      <c r="F680" s="2"/>
      <c r="G680" s="2"/>
      <c r="H680" s="2"/>
      <c r="I680" s="74"/>
      <c r="J680" s="74"/>
      <c r="K680" s="74"/>
      <c r="L680" s="74"/>
      <c r="M680" s="2"/>
      <c r="N680" s="2"/>
      <c r="O680" s="2"/>
      <c r="P680" s="74"/>
      <c r="Q680" s="2"/>
      <c r="R680" s="2"/>
      <c r="S680" s="76"/>
      <c r="T680" s="2"/>
      <c r="U680" s="62"/>
      <c r="V680" s="62"/>
      <c r="W680" s="62"/>
      <c r="X680" s="62"/>
      <c r="Y680" s="62"/>
      <c r="Z680" s="62"/>
    </row>
    <row r="681" ht="15.75" customHeight="1">
      <c r="A681" s="2"/>
      <c r="B681" s="2"/>
      <c r="C681" s="2"/>
      <c r="D681" s="2"/>
      <c r="E681" s="2"/>
      <c r="F681" s="2"/>
      <c r="G681" s="2"/>
      <c r="H681" s="2"/>
      <c r="I681" s="74"/>
      <c r="J681" s="74"/>
      <c r="K681" s="74"/>
      <c r="L681" s="74"/>
      <c r="M681" s="2"/>
      <c r="N681" s="2"/>
      <c r="O681" s="2"/>
      <c r="P681" s="74"/>
      <c r="Q681" s="2"/>
      <c r="R681" s="2"/>
      <c r="S681" s="76"/>
      <c r="T681" s="2"/>
      <c r="U681" s="62"/>
      <c r="V681" s="62"/>
      <c r="W681" s="62"/>
      <c r="X681" s="62"/>
      <c r="Y681" s="62"/>
      <c r="Z681" s="62"/>
    </row>
    <row r="682" ht="15.75" customHeight="1">
      <c r="A682" s="2"/>
      <c r="B682" s="2"/>
      <c r="C682" s="2"/>
      <c r="D682" s="2"/>
      <c r="E682" s="2"/>
      <c r="F682" s="2"/>
      <c r="G682" s="2"/>
      <c r="H682" s="2"/>
      <c r="I682" s="74"/>
      <c r="J682" s="74"/>
      <c r="K682" s="74"/>
      <c r="L682" s="74"/>
      <c r="M682" s="2"/>
      <c r="N682" s="2"/>
      <c r="O682" s="2"/>
      <c r="P682" s="74"/>
      <c r="Q682" s="2"/>
      <c r="R682" s="2"/>
      <c r="S682" s="76"/>
      <c r="T682" s="2"/>
      <c r="U682" s="62"/>
      <c r="V682" s="62"/>
      <c r="W682" s="62"/>
      <c r="X682" s="62"/>
      <c r="Y682" s="62"/>
      <c r="Z682" s="62"/>
    </row>
    <row r="683" ht="15.75" customHeight="1">
      <c r="A683" s="2"/>
      <c r="B683" s="2"/>
      <c r="C683" s="2"/>
      <c r="D683" s="2"/>
      <c r="E683" s="2"/>
      <c r="F683" s="2"/>
      <c r="G683" s="2"/>
      <c r="H683" s="2"/>
      <c r="I683" s="74"/>
      <c r="J683" s="74"/>
      <c r="K683" s="74"/>
      <c r="L683" s="74"/>
      <c r="M683" s="2"/>
      <c r="N683" s="2"/>
      <c r="O683" s="2"/>
      <c r="P683" s="74"/>
      <c r="Q683" s="2"/>
      <c r="R683" s="2"/>
      <c r="S683" s="76"/>
      <c r="T683" s="2"/>
      <c r="U683" s="62"/>
      <c r="V683" s="62"/>
      <c r="W683" s="62"/>
      <c r="X683" s="62"/>
      <c r="Y683" s="62"/>
      <c r="Z683" s="62"/>
    </row>
    <row r="684" ht="15.75" customHeight="1">
      <c r="A684" s="2"/>
      <c r="B684" s="2"/>
      <c r="C684" s="2"/>
      <c r="D684" s="2"/>
      <c r="E684" s="2"/>
      <c r="F684" s="2"/>
      <c r="G684" s="2"/>
      <c r="H684" s="2"/>
      <c r="I684" s="74"/>
      <c r="J684" s="74"/>
      <c r="K684" s="74"/>
      <c r="L684" s="74"/>
      <c r="M684" s="2"/>
      <c r="N684" s="2"/>
      <c r="O684" s="2"/>
      <c r="P684" s="74"/>
      <c r="Q684" s="2"/>
      <c r="R684" s="2"/>
      <c r="S684" s="76"/>
      <c r="T684" s="2"/>
      <c r="U684" s="62"/>
      <c r="V684" s="62"/>
      <c r="W684" s="62"/>
      <c r="X684" s="62"/>
      <c r="Y684" s="62"/>
      <c r="Z684" s="62"/>
    </row>
    <row r="685" ht="15.75" customHeight="1">
      <c r="A685" s="2"/>
      <c r="B685" s="2"/>
      <c r="C685" s="2"/>
      <c r="D685" s="2"/>
      <c r="E685" s="2"/>
      <c r="F685" s="2"/>
      <c r="G685" s="2"/>
      <c r="H685" s="2"/>
      <c r="I685" s="74"/>
      <c r="J685" s="74"/>
      <c r="K685" s="74"/>
      <c r="L685" s="74"/>
      <c r="M685" s="2"/>
      <c r="N685" s="2"/>
      <c r="O685" s="2"/>
      <c r="P685" s="74"/>
      <c r="Q685" s="2"/>
      <c r="R685" s="2"/>
      <c r="S685" s="76"/>
      <c r="T685" s="2"/>
      <c r="U685" s="62"/>
      <c r="V685" s="62"/>
      <c r="W685" s="62"/>
      <c r="X685" s="62"/>
      <c r="Y685" s="62"/>
      <c r="Z685" s="62"/>
    </row>
    <row r="686" ht="15.75" customHeight="1">
      <c r="A686" s="2"/>
      <c r="B686" s="2"/>
      <c r="C686" s="2"/>
      <c r="D686" s="2"/>
      <c r="E686" s="2"/>
      <c r="F686" s="2"/>
      <c r="G686" s="2"/>
      <c r="H686" s="2"/>
      <c r="I686" s="74"/>
      <c r="J686" s="74"/>
      <c r="K686" s="74"/>
      <c r="L686" s="74"/>
      <c r="M686" s="2"/>
      <c r="N686" s="2"/>
      <c r="O686" s="2"/>
      <c r="P686" s="74"/>
      <c r="Q686" s="2"/>
      <c r="R686" s="2"/>
      <c r="S686" s="76"/>
      <c r="T686" s="2"/>
      <c r="U686" s="62"/>
      <c r="V686" s="62"/>
      <c r="W686" s="62"/>
      <c r="X686" s="62"/>
      <c r="Y686" s="62"/>
      <c r="Z686" s="62"/>
    </row>
    <row r="687" ht="15.75" customHeight="1">
      <c r="A687" s="2"/>
      <c r="B687" s="2"/>
      <c r="C687" s="2"/>
      <c r="D687" s="2"/>
      <c r="E687" s="2"/>
      <c r="F687" s="2"/>
      <c r="G687" s="2"/>
      <c r="H687" s="2"/>
      <c r="I687" s="74"/>
      <c r="J687" s="74"/>
      <c r="K687" s="74"/>
      <c r="L687" s="74"/>
      <c r="M687" s="2"/>
      <c r="N687" s="2"/>
      <c r="O687" s="2"/>
      <c r="P687" s="74"/>
      <c r="Q687" s="2"/>
      <c r="R687" s="2"/>
      <c r="S687" s="76"/>
      <c r="T687" s="2"/>
      <c r="U687" s="62"/>
      <c r="V687" s="62"/>
      <c r="W687" s="62"/>
      <c r="X687" s="62"/>
      <c r="Y687" s="62"/>
      <c r="Z687" s="62"/>
    </row>
    <row r="688" ht="15.75" customHeight="1">
      <c r="A688" s="2"/>
      <c r="B688" s="2"/>
      <c r="C688" s="2"/>
      <c r="D688" s="2"/>
      <c r="E688" s="2"/>
      <c r="F688" s="2"/>
      <c r="G688" s="2"/>
      <c r="H688" s="2"/>
      <c r="I688" s="74"/>
      <c r="J688" s="74"/>
      <c r="K688" s="74"/>
      <c r="L688" s="74"/>
      <c r="M688" s="2"/>
      <c r="N688" s="2"/>
      <c r="O688" s="2"/>
      <c r="P688" s="74"/>
      <c r="Q688" s="2"/>
      <c r="R688" s="2"/>
      <c r="S688" s="76"/>
      <c r="T688" s="2"/>
      <c r="U688" s="62"/>
      <c r="V688" s="62"/>
      <c r="W688" s="62"/>
      <c r="X688" s="62"/>
      <c r="Y688" s="62"/>
      <c r="Z688" s="62"/>
    </row>
    <row r="689" ht="15.75" customHeight="1">
      <c r="A689" s="2"/>
      <c r="B689" s="2"/>
      <c r="C689" s="2"/>
      <c r="D689" s="2"/>
      <c r="E689" s="2"/>
      <c r="F689" s="2"/>
      <c r="G689" s="2"/>
      <c r="H689" s="2"/>
      <c r="I689" s="74"/>
      <c r="J689" s="74"/>
      <c r="K689" s="74"/>
      <c r="L689" s="74"/>
      <c r="M689" s="2"/>
      <c r="N689" s="2"/>
      <c r="O689" s="2"/>
      <c r="P689" s="74"/>
      <c r="Q689" s="2"/>
      <c r="R689" s="2"/>
      <c r="S689" s="76"/>
      <c r="T689" s="2"/>
      <c r="U689" s="62"/>
      <c r="V689" s="62"/>
      <c r="W689" s="62"/>
      <c r="X689" s="62"/>
      <c r="Y689" s="62"/>
      <c r="Z689" s="62"/>
    </row>
    <row r="690" ht="15.75" customHeight="1">
      <c r="A690" s="2"/>
      <c r="B690" s="2"/>
      <c r="C690" s="2"/>
      <c r="D690" s="2"/>
      <c r="E690" s="2"/>
      <c r="F690" s="2"/>
      <c r="G690" s="2"/>
      <c r="H690" s="2"/>
      <c r="I690" s="74"/>
      <c r="J690" s="74"/>
      <c r="K690" s="74"/>
      <c r="L690" s="74"/>
      <c r="M690" s="2"/>
      <c r="N690" s="2"/>
      <c r="O690" s="2"/>
      <c r="P690" s="74"/>
      <c r="Q690" s="2"/>
      <c r="R690" s="2"/>
      <c r="S690" s="76"/>
      <c r="T690" s="2"/>
      <c r="U690" s="62"/>
      <c r="V690" s="62"/>
      <c r="W690" s="62"/>
      <c r="X690" s="62"/>
      <c r="Y690" s="62"/>
      <c r="Z690" s="62"/>
    </row>
    <row r="691" ht="15.75" customHeight="1">
      <c r="A691" s="2"/>
      <c r="B691" s="2"/>
      <c r="C691" s="2"/>
      <c r="D691" s="2"/>
      <c r="E691" s="2"/>
      <c r="F691" s="2"/>
      <c r="G691" s="2"/>
      <c r="H691" s="2"/>
      <c r="I691" s="74"/>
      <c r="J691" s="74"/>
      <c r="K691" s="74"/>
      <c r="L691" s="74"/>
      <c r="M691" s="2"/>
      <c r="N691" s="2"/>
      <c r="O691" s="2"/>
      <c r="P691" s="74"/>
      <c r="Q691" s="2"/>
      <c r="R691" s="2"/>
      <c r="S691" s="76"/>
      <c r="T691" s="2"/>
      <c r="U691" s="62"/>
      <c r="V691" s="62"/>
      <c r="W691" s="62"/>
      <c r="X691" s="62"/>
      <c r="Y691" s="62"/>
      <c r="Z691" s="62"/>
    </row>
    <row r="692" ht="15.75" customHeight="1">
      <c r="A692" s="2"/>
      <c r="B692" s="2"/>
      <c r="C692" s="2"/>
      <c r="D692" s="2"/>
      <c r="E692" s="2"/>
      <c r="F692" s="2"/>
      <c r="G692" s="2"/>
      <c r="H692" s="2"/>
      <c r="I692" s="74"/>
      <c r="J692" s="74"/>
      <c r="K692" s="74"/>
      <c r="L692" s="74"/>
      <c r="M692" s="2"/>
      <c r="N692" s="2"/>
      <c r="O692" s="2"/>
      <c r="P692" s="74"/>
      <c r="Q692" s="2"/>
      <c r="R692" s="2"/>
      <c r="S692" s="76"/>
      <c r="T692" s="2"/>
      <c r="U692" s="62"/>
      <c r="V692" s="62"/>
      <c r="W692" s="62"/>
      <c r="X692" s="62"/>
      <c r="Y692" s="62"/>
      <c r="Z692" s="62"/>
    </row>
    <row r="693" ht="15.75" customHeight="1">
      <c r="A693" s="2"/>
      <c r="B693" s="2"/>
      <c r="C693" s="2"/>
      <c r="D693" s="2"/>
      <c r="E693" s="2"/>
      <c r="F693" s="2"/>
      <c r="G693" s="2"/>
      <c r="H693" s="2"/>
      <c r="I693" s="74"/>
      <c r="J693" s="74"/>
      <c r="K693" s="74"/>
      <c r="L693" s="74"/>
      <c r="M693" s="2"/>
      <c r="N693" s="2"/>
      <c r="O693" s="2"/>
      <c r="P693" s="74"/>
      <c r="Q693" s="2"/>
      <c r="R693" s="2"/>
      <c r="S693" s="76"/>
      <c r="T693" s="2"/>
      <c r="U693" s="62"/>
      <c r="V693" s="62"/>
      <c r="W693" s="62"/>
      <c r="X693" s="62"/>
      <c r="Y693" s="62"/>
      <c r="Z693" s="62"/>
    </row>
    <row r="694" ht="15.75" customHeight="1">
      <c r="A694" s="2"/>
      <c r="B694" s="2"/>
      <c r="C694" s="2"/>
      <c r="D694" s="2"/>
      <c r="E694" s="2"/>
      <c r="F694" s="2"/>
      <c r="G694" s="2"/>
      <c r="H694" s="2"/>
      <c r="I694" s="74"/>
      <c r="J694" s="74"/>
      <c r="K694" s="74"/>
      <c r="L694" s="74"/>
      <c r="M694" s="2"/>
      <c r="N694" s="2"/>
      <c r="O694" s="2"/>
      <c r="P694" s="74"/>
      <c r="Q694" s="2"/>
      <c r="R694" s="2"/>
      <c r="S694" s="76"/>
      <c r="T694" s="2"/>
      <c r="U694" s="62"/>
      <c r="V694" s="62"/>
      <c r="W694" s="62"/>
      <c r="X694" s="62"/>
      <c r="Y694" s="62"/>
      <c r="Z694" s="62"/>
    </row>
    <row r="695" ht="15.75" customHeight="1">
      <c r="A695" s="2"/>
      <c r="B695" s="2"/>
      <c r="C695" s="2"/>
      <c r="D695" s="2"/>
      <c r="E695" s="2"/>
      <c r="F695" s="2"/>
      <c r="G695" s="2"/>
      <c r="H695" s="2"/>
      <c r="I695" s="74"/>
      <c r="J695" s="74"/>
      <c r="K695" s="74"/>
      <c r="L695" s="74"/>
      <c r="M695" s="2"/>
      <c r="N695" s="2"/>
      <c r="O695" s="2"/>
      <c r="P695" s="74"/>
      <c r="Q695" s="2"/>
      <c r="R695" s="2"/>
      <c r="S695" s="76"/>
      <c r="T695" s="2"/>
      <c r="U695" s="62"/>
      <c r="V695" s="62"/>
      <c r="W695" s="62"/>
      <c r="X695" s="62"/>
      <c r="Y695" s="62"/>
      <c r="Z695" s="62"/>
    </row>
    <row r="696" ht="15.75" customHeight="1">
      <c r="A696" s="2"/>
      <c r="B696" s="2"/>
      <c r="C696" s="2"/>
      <c r="D696" s="2"/>
      <c r="E696" s="2"/>
      <c r="F696" s="2"/>
      <c r="G696" s="2"/>
      <c r="H696" s="2"/>
      <c r="I696" s="74"/>
      <c r="J696" s="74"/>
      <c r="K696" s="74"/>
      <c r="L696" s="74"/>
      <c r="M696" s="2"/>
      <c r="N696" s="2"/>
      <c r="O696" s="2"/>
      <c r="P696" s="74"/>
      <c r="Q696" s="2"/>
      <c r="R696" s="2"/>
      <c r="S696" s="76"/>
      <c r="T696" s="2"/>
      <c r="U696" s="62"/>
      <c r="V696" s="62"/>
      <c r="W696" s="62"/>
      <c r="X696" s="62"/>
      <c r="Y696" s="62"/>
      <c r="Z696" s="62"/>
    </row>
    <row r="697" ht="15.75" customHeight="1">
      <c r="A697" s="2"/>
      <c r="B697" s="2"/>
      <c r="C697" s="2"/>
      <c r="D697" s="2"/>
      <c r="E697" s="2"/>
      <c r="F697" s="2"/>
      <c r="G697" s="2"/>
      <c r="H697" s="2"/>
      <c r="I697" s="74"/>
      <c r="J697" s="74"/>
      <c r="K697" s="74"/>
      <c r="L697" s="74"/>
      <c r="M697" s="2"/>
      <c r="N697" s="2"/>
      <c r="O697" s="2"/>
      <c r="P697" s="74"/>
      <c r="Q697" s="2"/>
      <c r="R697" s="2"/>
      <c r="S697" s="76"/>
      <c r="T697" s="2"/>
      <c r="U697" s="62"/>
      <c r="V697" s="62"/>
      <c r="W697" s="62"/>
      <c r="X697" s="62"/>
      <c r="Y697" s="62"/>
      <c r="Z697" s="62"/>
    </row>
    <row r="698" ht="15.75" customHeight="1">
      <c r="A698" s="2"/>
      <c r="B698" s="2"/>
      <c r="C698" s="2"/>
      <c r="D698" s="2"/>
      <c r="E698" s="2"/>
      <c r="F698" s="2"/>
      <c r="G698" s="2"/>
      <c r="H698" s="2"/>
      <c r="I698" s="74"/>
      <c r="J698" s="74"/>
      <c r="K698" s="74"/>
      <c r="L698" s="74"/>
      <c r="M698" s="2"/>
      <c r="N698" s="2"/>
      <c r="O698" s="2"/>
      <c r="P698" s="74"/>
      <c r="Q698" s="2"/>
      <c r="R698" s="2"/>
      <c r="S698" s="76"/>
      <c r="T698" s="2"/>
      <c r="U698" s="62"/>
      <c r="V698" s="62"/>
      <c r="W698" s="62"/>
      <c r="X698" s="62"/>
      <c r="Y698" s="62"/>
      <c r="Z698" s="62"/>
    </row>
    <row r="699" ht="15.75" customHeight="1">
      <c r="A699" s="2"/>
      <c r="B699" s="2"/>
      <c r="C699" s="2"/>
      <c r="D699" s="2"/>
      <c r="E699" s="2"/>
      <c r="F699" s="2"/>
      <c r="G699" s="2"/>
      <c r="H699" s="2"/>
      <c r="I699" s="74"/>
      <c r="J699" s="74"/>
      <c r="K699" s="74"/>
      <c r="L699" s="74"/>
      <c r="M699" s="2"/>
      <c r="N699" s="2"/>
      <c r="O699" s="2"/>
      <c r="P699" s="74"/>
      <c r="Q699" s="2"/>
      <c r="R699" s="2"/>
      <c r="S699" s="76"/>
      <c r="T699" s="2"/>
      <c r="U699" s="62"/>
      <c r="V699" s="62"/>
      <c r="W699" s="62"/>
      <c r="X699" s="62"/>
      <c r="Y699" s="62"/>
      <c r="Z699" s="62"/>
    </row>
    <row r="700" ht="15.75" customHeight="1">
      <c r="A700" s="2"/>
      <c r="B700" s="2"/>
      <c r="C700" s="2"/>
      <c r="D700" s="2"/>
      <c r="E700" s="2"/>
      <c r="F700" s="2"/>
      <c r="G700" s="2"/>
      <c r="H700" s="2"/>
      <c r="I700" s="74"/>
      <c r="J700" s="74"/>
      <c r="K700" s="74"/>
      <c r="L700" s="74"/>
      <c r="M700" s="2"/>
      <c r="N700" s="2"/>
      <c r="O700" s="2"/>
      <c r="P700" s="74"/>
      <c r="Q700" s="2"/>
      <c r="R700" s="2"/>
      <c r="S700" s="76"/>
      <c r="T700" s="2"/>
      <c r="U700" s="62"/>
      <c r="V700" s="62"/>
      <c r="W700" s="62"/>
      <c r="X700" s="62"/>
      <c r="Y700" s="62"/>
      <c r="Z700" s="62"/>
    </row>
    <row r="701" ht="15.75" customHeight="1">
      <c r="A701" s="2"/>
      <c r="B701" s="2"/>
      <c r="C701" s="2"/>
      <c r="D701" s="2"/>
      <c r="E701" s="2"/>
      <c r="F701" s="2"/>
      <c r="G701" s="2"/>
      <c r="H701" s="2"/>
      <c r="I701" s="74"/>
      <c r="J701" s="74"/>
      <c r="K701" s="74"/>
      <c r="L701" s="74"/>
      <c r="M701" s="2"/>
      <c r="N701" s="2"/>
      <c r="O701" s="2"/>
      <c r="P701" s="74"/>
      <c r="Q701" s="2"/>
      <c r="R701" s="2"/>
      <c r="S701" s="76"/>
      <c r="T701" s="2"/>
      <c r="U701" s="62"/>
      <c r="V701" s="62"/>
      <c r="W701" s="62"/>
      <c r="X701" s="62"/>
      <c r="Y701" s="62"/>
      <c r="Z701" s="62"/>
    </row>
    <row r="702" ht="15.75" customHeight="1">
      <c r="A702" s="2"/>
      <c r="B702" s="2"/>
      <c r="C702" s="2"/>
      <c r="D702" s="2"/>
      <c r="E702" s="2"/>
      <c r="F702" s="2"/>
      <c r="G702" s="2"/>
      <c r="H702" s="2"/>
      <c r="I702" s="74"/>
      <c r="J702" s="74"/>
      <c r="K702" s="74"/>
      <c r="L702" s="74"/>
      <c r="M702" s="2"/>
      <c r="N702" s="2"/>
      <c r="O702" s="2"/>
      <c r="P702" s="74"/>
      <c r="Q702" s="2"/>
      <c r="R702" s="2"/>
      <c r="S702" s="76"/>
      <c r="T702" s="2"/>
      <c r="U702" s="62"/>
      <c r="V702" s="62"/>
      <c r="W702" s="62"/>
      <c r="X702" s="62"/>
      <c r="Y702" s="62"/>
      <c r="Z702" s="62"/>
    </row>
    <row r="703" ht="15.75" customHeight="1">
      <c r="A703" s="2"/>
      <c r="B703" s="2"/>
      <c r="C703" s="2"/>
      <c r="D703" s="2"/>
      <c r="E703" s="2"/>
      <c r="F703" s="2"/>
      <c r="G703" s="2"/>
      <c r="H703" s="2"/>
      <c r="I703" s="74"/>
      <c r="J703" s="74"/>
      <c r="K703" s="74"/>
      <c r="L703" s="74"/>
      <c r="M703" s="2"/>
      <c r="N703" s="2"/>
      <c r="O703" s="2"/>
      <c r="P703" s="74"/>
      <c r="Q703" s="2"/>
      <c r="R703" s="2"/>
      <c r="S703" s="76"/>
      <c r="T703" s="2"/>
      <c r="U703" s="62"/>
      <c r="V703" s="62"/>
      <c r="W703" s="62"/>
      <c r="X703" s="62"/>
      <c r="Y703" s="62"/>
      <c r="Z703" s="62"/>
    </row>
    <row r="704" ht="15.75" customHeight="1">
      <c r="A704" s="2"/>
      <c r="B704" s="2"/>
      <c r="C704" s="2"/>
      <c r="D704" s="2"/>
      <c r="E704" s="2"/>
      <c r="F704" s="2"/>
      <c r="G704" s="2"/>
      <c r="H704" s="2"/>
      <c r="I704" s="74"/>
      <c r="J704" s="74"/>
      <c r="K704" s="74"/>
      <c r="L704" s="74"/>
      <c r="M704" s="2"/>
      <c r="N704" s="2"/>
      <c r="O704" s="2"/>
      <c r="P704" s="74"/>
      <c r="Q704" s="2"/>
      <c r="R704" s="2"/>
      <c r="S704" s="76"/>
      <c r="T704" s="2"/>
      <c r="U704" s="62"/>
      <c r="V704" s="62"/>
      <c r="W704" s="62"/>
      <c r="X704" s="62"/>
      <c r="Y704" s="62"/>
      <c r="Z704" s="62"/>
    </row>
    <row r="705" ht="15.75" customHeight="1">
      <c r="A705" s="2"/>
      <c r="B705" s="2"/>
      <c r="C705" s="2"/>
      <c r="D705" s="2"/>
      <c r="E705" s="2"/>
      <c r="F705" s="2"/>
      <c r="G705" s="2"/>
      <c r="H705" s="2"/>
      <c r="I705" s="74"/>
      <c r="J705" s="74"/>
      <c r="K705" s="74"/>
      <c r="L705" s="74"/>
      <c r="M705" s="2"/>
      <c r="N705" s="2"/>
      <c r="O705" s="2"/>
      <c r="P705" s="74"/>
      <c r="Q705" s="2"/>
      <c r="R705" s="2"/>
      <c r="S705" s="76"/>
      <c r="T705" s="2"/>
      <c r="U705" s="62"/>
      <c r="V705" s="62"/>
      <c r="W705" s="62"/>
      <c r="X705" s="62"/>
      <c r="Y705" s="62"/>
      <c r="Z705" s="62"/>
    </row>
    <row r="706" ht="15.75" customHeight="1">
      <c r="A706" s="2"/>
      <c r="B706" s="2"/>
      <c r="C706" s="2"/>
      <c r="D706" s="2"/>
      <c r="E706" s="2"/>
      <c r="F706" s="2"/>
      <c r="G706" s="2"/>
      <c r="H706" s="2"/>
      <c r="I706" s="74"/>
      <c r="J706" s="74"/>
      <c r="K706" s="74"/>
      <c r="L706" s="74"/>
      <c r="M706" s="2"/>
      <c r="N706" s="2"/>
      <c r="O706" s="2"/>
      <c r="P706" s="74"/>
      <c r="Q706" s="2"/>
      <c r="R706" s="2"/>
      <c r="S706" s="76"/>
      <c r="T706" s="2"/>
      <c r="U706" s="62"/>
      <c r="V706" s="62"/>
      <c r="W706" s="62"/>
      <c r="X706" s="62"/>
      <c r="Y706" s="62"/>
      <c r="Z706" s="62"/>
    </row>
    <row r="707" ht="15.75" customHeight="1">
      <c r="A707" s="2"/>
      <c r="B707" s="2"/>
      <c r="C707" s="2"/>
      <c r="D707" s="2"/>
      <c r="E707" s="2"/>
      <c r="F707" s="2"/>
      <c r="G707" s="2"/>
      <c r="H707" s="2"/>
      <c r="I707" s="74"/>
      <c r="J707" s="74"/>
      <c r="K707" s="74"/>
      <c r="L707" s="74"/>
      <c r="M707" s="2"/>
      <c r="N707" s="2"/>
      <c r="O707" s="2"/>
      <c r="P707" s="74"/>
      <c r="Q707" s="2"/>
      <c r="R707" s="2"/>
      <c r="S707" s="76"/>
      <c r="T707" s="2"/>
      <c r="U707" s="62"/>
      <c r="V707" s="62"/>
      <c r="W707" s="62"/>
      <c r="X707" s="62"/>
      <c r="Y707" s="62"/>
      <c r="Z707" s="62"/>
    </row>
    <row r="708" ht="15.75" customHeight="1">
      <c r="A708" s="2"/>
      <c r="B708" s="2"/>
      <c r="C708" s="2"/>
      <c r="D708" s="2"/>
      <c r="E708" s="2"/>
      <c r="F708" s="2"/>
      <c r="G708" s="2"/>
      <c r="H708" s="2"/>
      <c r="I708" s="74"/>
      <c r="J708" s="74"/>
      <c r="K708" s="74"/>
      <c r="L708" s="74"/>
      <c r="M708" s="2"/>
      <c r="N708" s="2"/>
      <c r="O708" s="2"/>
      <c r="P708" s="74"/>
      <c r="Q708" s="2"/>
      <c r="R708" s="2"/>
      <c r="S708" s="76"/>
      <c r="T708" s="2"/>
      <c r="U708" s="62"/>
      <c r="V708" s="62"/>
      <c r="W708" s="62"/>
      <c r="X708" s="62"/>
      <c r="Y708" s="62"/>
      <c r="Z708" s="62"/>
    </row>
    <row r="709" ht="15.75" customHeight="1">
      <c r="A709" s="2"/>
      <c r="B709" s="2"/>
      <c r="C709" s="2"/>
      <c r="D709" s="2"/>
      <c r="E709" s="2"/>
      <c r="F709" s="2"/>
      <c r="G709" s="2"/>
      <c r="H709" s="2"/>
      <c r="I709" s="74"/>
      <c r="J709" s="74"/>
      <c r="K709" s="74"/>
      <c r="L709" s="74"/>
      <c r="M709" s="2"/>
      <c r="N709" s="2"/>
      <c r="O709" s="2"/>
      <c r="P709" s="74"/>
      <c r="Q709" s="2"/>
      <c r="R709" s="2"/>
      <c r="S709" s="76"/>
      <c r="T709" s="2"/>
      <c r="U709" s="62"/>
      <c r="V709" s="62"/>
      <c r="W709" s="62"/>
      <c r="X709" s="62"/>
      <c r="Y709" s="62"/>
      <c r="Z709" s="62"/>
    </row>
    <row r="710" ht="15.75" customHeight="1">
      <c r="A710" s="2"/>
      <c r="B710" s="2"/>
      <c r="C710" s="2"/>
      <c r="D710" s="2"/>
      <c r="E710" s="2"/>
      <c r="F710" s="2"/>
      <c r="G710" s="2"/>
      <c r="H710" s="2"/>
      <c r="I710" s="74"/>
      <c r="J710" s="74"/>
      <c r="K710" s="74"/>
      <c r="L710" s="74"/>
      <c r="M710" s="2"/>
      <c r="N710" s="2"/>
      <c r="O710" s="2"/>
      <c r="P710" s="74"/>
      <c r="Q710" s="2"/>
      <c r="R710" s="2"/>
      <c r="S710" s="76"/>
      <c r="T710" s="2"/>
      <c r="U710" s="62"/>
      <c r="V710" s="62"/>
      <c r="W710" s="62"/>
      <c r="X710" s="62"/>
      <c r="Y710" s="62"/>
      <c r="Z710" s="62"/>
    </row>
    <row r="711" ht="15.75" customHeight="1">
      <c r="A711" s="2"/>
      <c r="B711" s="2"/>
      <c r="C711" s="2"/>
      <c r="D711" s="2"/>
      <c r="E711" s="2"/>
      <c r="F711" s="2"/>
      <c r="G711" s="2"/>
      <c r="H711" s="2"/>
      <c r="I711" s="74"/>
      <c r="J711" s="74"/>
      <c r="K711" s="74"/>
      <c r="L711" s="74"/>
      <c r="M711" s="2"/>
      <c r="N711" s="2"/>
      <c r="O711" s="2"/>
      <c r="P711" s="74"/>
      <c r="Q711" s="2"/>
      <c r="R711" s="2"/>
      <c r="S711" s="76"/>
      <c r="T711" s="2"/>
      <c r="U711" s="62"/>
      <c r="V711" s="62"/>
      <c r="W711" s="62"/>
      <c r="X711" s="62"/>
      <c r="Y711" s="62"/>
      <c r="Z711" s="62"/>
    </row>
    <row r="712" ht="15.75" customHeight="1">
      <c r="A712" s="2"/>
      <c r="B712" s="2"/>
      <c r="C712" s="2"/>
      <c r="D712" s="2"/>
      <c r="E712" s="2"/>
      <c r="F712" s="2"/>
      <c r="G712" s="2"/>
      <c r="H712" s="2"/>
      <c r="I712" s="74"/>
      <c r="J712" s="74"/>
      <c r="K712" s="74"/>
      <c r="L712" s="74"/>
      <c r="M712" s="2"/>
      <c r="N712" s="2"/>
      <c r="O712" s="2"/>
      <c r="P712" s="74"/>
      <c r="Q712" s="2"/>
      <c r="R712" s="2"/>
      <c r="S712" s="76"/>
      <c r="T712" s="2"/>
      <c r="U712" s="62"/>
      <c r="V712" s="62"/>
      <c r="W712" s="62"/>
      <c r="X712" s="62"/>
      <c r="Y712" s="62"/>
      <c r="Z712" s="62"/>
    </row>
    <row r="713" ht="15.75" customHeight="1">
      <c r="A713" s="2"/>
      <c r="B713" s="2"/>
      <c r="C713" s="2"/>
      <c r="D713" s="2"/>
      <c r="E713" s="2"/>
      <c r="F713" s="2"/>
      <c r="G713" s="2"/>
      <c r="H713" s="2"/>
      <c r="I713" s="74"/>
      <c r="J713" s="74"/>
      <c r="K713" s="74"/>
      <c r="L713" s="74"/>
      <c r="M713" s="2"/>
      <c r="N713" s="2"/>
      <c r="O713" s="2"/>
      <c r="P713" s="74"/>
      <c r="Q713" s="2"/>
      <c r="R713" s="2"/>
      <c r="S713" s="76"/>
      <c r="T713" s="2"/>
      <c r="U713" s="62"/>
      <c r="V713" s="62"/>
      <c r="W713" s="62"/>
      <c r="X713" s="62"/>
      <c r="Y713" s="62"/>
      <c r="Z713" s="62"/>
    </row>
    <row r="714" ht="15.75" customHeight="1">
      <c r="A714" s="2"/>
      <c r="B714" s="2"/>
      <c r="C714" s="2"/>
      <c r="D714" s="2"/>
      <c r="E714" s="2"/>
      <c r="F714" s="2"/>
      <c r="G714" s="2"/>
      <c r="H714" s="2"/>
      <c r="I714" s="74"/>
      <c r="J714" s="74"/>
      <c r="K714" s="74"/>
      <c r="L714" s="74"/>
      <c r="M714" s="2"/>
      <c r="N714" s="2"/>
      <c r="O714" s="2"/>
      <c r="P714" s="74"/>
      <c r="Q714" s="2"/>
      <c r="R714" s="2"/>
      <c r="S714" s="76"/>
      <c r="T714" s="2"/>
      <c r="U714" s="62"/>
      <c r="V714" s="62"/>
      <c r="W714" s="62"/>
      <c r="X714" s="62"/>
      <c r="Y714" s="62"/>
      <c r="Z714" s="62"/>
    </row>
    <row r="715" ht="15.75" customHeight="1">
      <c r="A715" s="2"/>
      <c r="B715" s="2"/>
      <c r="C715" s="2"/>
      <c r="D715" s="2"/>
      <c r="E715" s="2"/>
      <c r="F715" s="2"/>
      <c r="G715" s="2"/>
      <c r="H715" s="2"/>
      <c r="I715" s="74"/>
      <c r="J715" s="74"/>
      <c r="K715" s="74"/>
      <c r="L715" s="74"/>
      <c r="M715" s="2"/>
      <c r="N715" s="2"/>
      <c r="O715" s="2"/>
      <c r="P715" s="74"/>
      <c r="Q715" s="2"/>
      <c r="R715" s="2"/>
      <c r="S715" s="76"/>
      <c r="T715" s="2"/>
      <c r="U715" s="62"/>
      <c r="V715" s="62"/>
      <c r="W715" s="62"/>
      <c r="X715" s="62"/>
      <c r="Y715" s="62"/>
      <c r="Z715" s="62"/>
    </row>
    <row r="716" ht="15.75" customHeight="1">
      <c r="A716" s="2"/>
      <c r="B716" s="2"/>
      <c r="C716" s="2"/>
      <c r="D716" s="2"/>
      <c r="E716" s="2"/>
      <c r="F716" s="2"/>
      <c r="G716" s="2"/>
      <c r="H716" s="2"/>
      <c r="I716" s="74"/>
      <c r="J716" s="74"/>
      <c r="K716" s="74"/>
      <c r="L716" s="74"/>
      <c r="M716" s="2"/>
      <c r="N716" s="2"/>
      <c r="O716" s="2"/>
      <c r="P716" s="74"/>
      <c r="Q716" s="2"/>
      <c r="R716" s="2"/>
      <c r="S716" s="76"/>
      <c r="T716" s="2"/>
      <c r="U716" s="62"/>
      <c r="V716" s="62"/>
      <c r="W716" s="62"/>
      <c r="X716" s="62"/>
      <c r="Y716" s="62"/>
      <c r="Z716" s="62"/>
    </row>
    <row r="717" ht="15.75" customHeight="1">
      <c r="A717" s="2"/>
      <c r="B717" s="2"/>
      <c r="C717" s="2"/>
      <c r="D717" s="2"/>
      <c r="E717" s="2"/>
      <c r="F717" s="2"/>
      <c r="G717" s="2"/>
      <c r="H717" s="2"/>
      <c r="I717" s="74"/>
      <c r="J717" s="74"/>
      <c r="K717" s="74"/>
      <c r="L717" s="74"/>
      <c r="M717" s="2"/>
      <c r="N717" s="2"/>
      <c r="O717" s="2"/>
      <c r="P717" s="74"/>
      <c r="Q717" s="2"/>
      <c r="R717" s="2"/>
      <c r="S717" s="76"/>
      <c r="T717" s="2"/>
      <c r="U717" s="62"/>
      <c r="V717" s="62"/>
      <c r="W717" s="62"/>
      <c r="X717" s="62"/>
      <c r="Y717" s="62"/>
      <c r="Z717" s="62"/>
    </row>
    <row r="718" ht="15.75" customHeight="1">
      <c r="A718" s="2"/>
      <c r="B718" s="2"/>
      <c r="C718" s="2"/>
      <c r="D718" s="2"/>
      <c r="E718" s="2"/>
      <c r="F718" s="2"/>
      <c r="G718" s="2"/>
      <c r="H718" s="2"/>
      <c r="I718" s="74"/>
      <c r="J718" s="74"/>
      <c r="K718" s="74"/>
      <c r="L718" s="74"/>
      <c r="M718" s="2"/>
      <c r="N718" s="2"/>
      <c r="O718" s="2"/>
      <c r="P718" s="74"/>
      <c r="Q718" s="2"/>
      <c r="R718" s="2"/>
      <c r="S718" s="76"/>
      <c r="T718" s="2"/>
      <c r="U718" s="62"/>
      <c r="V718" s="62"/>
      <c r="W718" s="62"/>
      <c r="X718" s="62"/>
      <c r="Y718" s="62"/>
      <c r="Z718" s="62"/>
    </row>
    <row r="719" ht="15.75" customHeight="1">
      <c r="A719" s="2"/>
      <c r="B719" s="2"/>
      <c r="C719" s="2"/>
      <c r="D719" s="2"/>
      <c r="E719" s="2"/>
      <c r="F719" s="2"/>
      <c r="G719" s="2"/>
      <c r="H719" s="2"/>
      <c r="I719" s="74"/>
      <c r="J719" s="74"/>
      <c r="K719" s="74"/>
      <c r="L719" s="74"/>
      <c r="M719" s="2"/>
      <c r="N719" s="2"/>
      <c r="O719" s="2"/>
      <c r="P719" s="74"/>
      <c r="Q719" s="2"/>
      <c r="R719" s="2"/>
      <c r="S719" s="76"/>
      <c r="T719" s="2"/>
      <c r="U719" s="62"/>
      <c r="V719" s="62"/>
      <c r="W719" s="62"/>
      <c r="X719" s="62"/>
      <c r="Y719" s="62"/>
      <c r="Z719" s="62"/>
    </row>
    <row r="720" ht="15.75" customHeight="1">
      <c r="A720" s="2"/>
      <c r="B720" s="2"/>
      <c r="C720" s="2"/>
      <c r="D720" s="2"/>
      <c r="E720" s="2"/>
      <c r="F720" s="2"/>
      <c r="G720" s="2"/>
      <c r="H720" s="2"/>
      <c r="I720" s="74"/>
      <c r="J720" s="74"/>
      <c r="K720" s="74"/>
      <c r="L720" s="74"/>
      <c r="M720" s="2"/>
      <c r="N720" s="2"/>
      <c r="O720" s="2"/>
      <c r="P720" s="74"/>
      <c r="Q720" s="2"/>
      <c r="R720" s="2"/>
      <c r="S720" s="76"/>
      <c r="T720" s="2"/>
      <c r="U720" s="62"/>
      <c r="V720" s="62"/>
      <c r="W720" s="62"/>
      <c r="X720" s="62"/>
      <c r="Y720" s="62"/>
      <c r="Z720" s="62"/>
    </row>
    <row r="721" ht="15.75" customHeight="1">
      <c r="A721" s="2"/>
      <c r="B721" s="2"/>
      <c r="C721" s="2"/>
      <c r="D721" s="2"/>
      <c r="E721" s="2"/>
      <c r="F721" s="2"/>
      <c r="G721" s="2"/>
      <c r="H721" s="2"/>
      <c r="I721" s="74"/>
      <c r="J721" s="74"/>
      <c r="K721" s="74"/>
      <c r="L721" s="74"/>
      <c r="M721" s="2"/>
      <c r="N721" s="2"/>
      <c r="O721" s="2"/>
      <c r="P721" s="74"/>
      <c r="Q721" s="2"/>
      <c r="R721" s="2"/>
      <c r="S721" s="76"/>
      <c r="T721" s="2"/>
      <c r="U721" s="62"/>
      <c r="V721" s="62"/>
      <c r="W721" s="62"/>
      <c r="X721" s="62"/>
      <c r="Y721" s="62"/>
      <c r="Z721" s="62"/>
    </row>
    <row r="722" ht="15.75" customHeight="1">
      <c r="A722" s="2"/>
      <c r="B722" s="2"/>
      <c r="C722" s="2"/>
      <c r="D722" s="2"/>
      <c r="E722" s="2"/>
      <c r="F722" s="2"/>
      <c r="G722" s="2"/>
      <c r="H722" s="2"/>
      <c r="I722" s="74"/>
      <c r="J722" s="74"/>
      <c r="K722" s="74"/>
      <c r="L722" s="74"/>
      <c r="M722" s="2"/>
      <c r="N722" s="2"/>
      <c r="O722" s="2"/>
      <c r="P722" s="74"/>
      <c r="Q722" s="2"/>
      <c r="R722" s="2"/>
      <c r="S722" s="76"/>
      <c r="T722" s="2"/>
      <c r="U722" s="62"/>
      <c r="V722" s="62"/>
      <c r="W722" s="62"/>
      <c r="X722" s="62"/>
      <c r="Y722" s="62"/>
      <c r="Z722" s="62"/>
    </row>
    <row r="723" ht="15.75" customHeight="1">
      <c r="A723" s="2"/>
      <c r="B723" s="2"/>
      <c r="C723" s="2"/>
      <c r="D723" s="2"/>
      <c r="E723" s="2"/>
      <c r="F723" s="2"/>
      <c r="G723" s="2"/>
      <c r="H723" s="2"/>
      <c r="I723" s="74"/>
      <c r="J723" s="74"/>
      <c r="K723" s="74"/>
      <c r="L723" s="74"/>
      <c r="M723" s="2"/>
      <c r="N723" s="2"/>
      <c r="O723" s="2"/>
      <c r="P723" s="74"/>
      <c r="Q723" s="2"/>
      <c r="R723" s="2"/>
      <c r="S723" s="76"/>
      <c r="T723" s="2"/>
      <c r="U723" s="62"/>
      <c r="V723" s="62"/>
      <c r="W723" s="62"/>
      <c r="X723" s="62"/>
      <c r="Y723" s="62"/>
      <c r="Z723" s="62"/>
    </row>
    <row r="724" ht="15.75" customHeight="1">
      <c r="A724" s="2"/>
      <c r="B724" s="2"/>
      <c r="C724" s="2"/>
      <c r="D724" s="2"/>
      <c r="E724" s="2"/>
      <c r="F724" s="2"/>
      <c r="G724" s="2"/>
      <c r="H724" s="2"/>
      <c r="I724" s="74"/>
      <c r="J724" s="74"/>
      <c r="K724" s="74"/>
      <c r="L724" s="74"/>
      <c r="M724" s="2"/>
      <c r="N724" s="2"/>
      <c r="O724" s="2"/>
      <c r="P724" s="74"/>
      <c r="Q724" s="2"/>
      <c r="R724" s="2"/>
      <c r="S724" s="76"/>
      <c r="T724" s="2"/>
      <c r="U724" s="62"/>
      <c r="V724" s="62"/>
      <c r="W724" s="62"/>
      <c r="X724" s="62"/>
      <c r="Y724" s="62"/>
      <c r="Z724" s="62"/>
    </row>
    <row r="725" ht="15.75" customHeight="1">
      <c r="A725" s="2"/>
      <c r="B725" s="2"/>
      <c r="C725" s="2"/>
      <c r="D725" s="2"/>
      <c r="E725" s="2"/>
      <c r="F725" s="2"/>
      <c r="G725" s="2"/>
      <c r="H725" s="2"/>
      <c r="I725" s="74"/>
      <c r="J725" s="74"/>
      <c r="K725" s="74"/>
      <c r="L725" s="74"/>
      <c r="M725" s="2"/>
      <c r="N725" s="2"/>
      <c r="O725" s="2"/>
      <c r="P725" s="74"/>
      <c r="Q725" s="2"/>
      <c r="R725" s="2"/>
      <c r="S725" s="76"/>
      <c r="T725" s="2"/>
      <c r="U725" s="62"/>
      <c r="V725" s="62"/>
      <c r="W725" s="62"/>
      <c r="X725" s="62"/>
      <c r="Y725" s="62"/>
      <c r="Z725" s="62"/>
    </row>
    <row r="726" ht="15.75" customHeight="1">
      <c r="A726" s="2"/>
      <c r="B726" s="2"/>
      <c r="C726" s="2"/>
      <c r="D726" s="2"/>
      <c r="E726" s="2"/>
      <c r="F726" s="2"/>
      <c r="G726" s="2"/>
      <c r="H726" s="2"/>
      <c r="I726" s="74"/>
      <c r="J726" s="74"/>
      <c r="K726" s="74"/>
      <c r="L726" s="74"/>
      <c r="M726" s="2"/>
      <c r="N726" s="2"/>
      <c r="O726" s="2"/>
      <c r="P726" s="74"/>
      <c r="Q726" s="2"/>
      <c r="R726" s="2"/>
      <c r="S726" s="76"/>
      <c r="T726" s="2"/>
      <c r="U726" s="62"/>
      <c r="V726" s="62"/>
      <c r="W726" s="62"/>
      <c r="X726" s="62"/>
      <c r="Y726" s="62"/>
      <c r="Z726" s="62"/>
    </row>
    <row r="727" ht="15.75" customHeight="1">
      <c r="A727" s="2"/>
      <c r="B727" s="2"/>
      <c r="C727" s="2"/>
      <c r="D727" s="2"/>
      <c r="E727" s="2"/>
      <c r="F727" s="2"/>
      <c r="G727" s="2"/>
      <c r="H727" s="2"/>
      <c r="I727" s="74"/>
      <c r="J727" s="74"/>
      <c r="K727" s="74"/>
      <c r="L727" s="74"/>
      <c r="M727" s="2"/>
      <c r="N727" s="2"/>
      <c r="O727" s="2"/>
      <c r="P727" s="74"/>
      <c r="Q727" s="2"/>
      <c r="R727" s="2"/>
      <c r="S727" s="76"/>
      <c r="T727" s="2"/>
      <c r="U727" s="62"/>
      <c r="V727" s="62"/>
      <c r="W727" s="62"/>
      <c r="X727" s="62"/>
      <c r="Y727" s="62"/>
      <c r="Z727" s="62"/>
    </row>
    <row r="728" ht="15.75" customHeight="1">
      <c r="A728" s="2"/>
      <c r="B728" s="2"/>
      <c r="C728" s="2"/>
      <c r="D728" s="2"/>
      <c r="E728" s="2"/>
      <c r="F728" s="2"/>
      <c r="G728" s="2"/>
      <c r="H728" s="2"/>
      <c r="I728" s="74"/>
      <c r="J728" s="74"/>
      <c r="K728" s="74"/>
      <c r="L728" s="74"/>
      <c r="M728" s="2"/>
      <c r="N728" s="2"/>
      <c r="O728" s="2"/>
      <c r="P728" s="74"/>
      <c r="Q728" s="2"/>
      <c r="R728" s="2"/>
      <c r="S728" s="76"/>
      <c r="T728" s="2"/>
      <c r="U728" s="62"/>
      <c r="V728" s="62"/>
      <c r="W728" s="62"/>
      <c r="X728" s="62"/>
      <c r="Y728" s="62"/>
      <c r="Z728" s="62"/>
    </row>
    <row r="729" ht="15.75" customHeight="1">
      <c r="A729" s="2"/>
      <c r="B729" s="2"/>
      <c r="C729" s="2"/>
      <c r="D729" s="2"/>
      <c r="E729" s="2"/>
      <c r="F729" s="2"/>
      <c r="G729" s="2"/>
      <c r="H729" s="2"/>
      <c r="I729" s="74"/>
      <c r="J729" s="74"/>
      <c r="K729" s="74"/>
      <c r="L729" s="74"/>
      <c r="M729" s="2"/>
      <c r="N729" s="2"/>
      <c r="O729" s="2"/>
      <c r="P729" s="74"/>
      <c r="Q729" s="2"/>
      <c r="R729" s="2"/>
      <c r="S729" s="76"/>
      <c r="T729" s="2"/>
      <c r="U729" s="62"/>
      <c r="V729" s="62"/>
      <c r="W729" s="62"/>
      <c r="X729" s="62"/>
      <c r="Y729" s="62"/>
      <c r="Z729" s="62"/>
    </row>
    <row r="730" ht="15.75" customHeight="1">
      <c r="A730" s="2"/>
      <c r="B730" s="2"/>
      <c r="C730" s="2"/>
      <c r="D730" s="2"/>
      <c r="E730" s="2"/>
      <c r="F730" s="2"/>
      <c r="G730" s="2"/>
      <c r="H730" s="2"/>
      <c r="I730" s="74"/>
      <c r="J730" s="74"/>
      <c r="K730" s="74"/>
      <c r="L730" s="74"/>
      <c r="M730" s="2"/>
      <c r="N730" s="2"/>
      <c r="O730" s="2"/>
      <c r="P730" s="74"/>
      <c r="Q730" s="2"/>
      <c r="R730" s="2"/>
      <c r="S730" s="76"/>
      <c r="T730" s="2"/>
      <c r="U730" s="62"/>
      <c r="V730" s="62"/>
      <c r="W730" s="62"/>
      <c r="X730" s="62"/>
      <c r="Y730" s="62"/>
      <c r="Z730" s="62"/>
    </row>
    <row r="731" ht="15.75" customHeight="1">
      <c r="A731" s="2"/>
      <c r="B731" s="2"/>
      <c r="C731" s="2"/>
      <c r="D731" s="2"/>
      <c r="E731" s="2"/>
      <c r="F731" s="2"/>
      <c r="G731" s="2"/>
      <c r="H731" s="2"/>
      <c r="I731" s="74"/>
      <c r="J731" s="74"/>
      <c r="K731" s="74"/>
      <c r="L731" s="74"/>
      <c r="M731" s="2"/>
      <c r="N731" s="2"/>
      <c r="O731" s="2"/>
      <c r="P731" s="74"/>
      <c r="Q731" s="2"/>
      <c r="R731" s="2"/>
      <c r="S731" s="76"/>
      <c r="T731" s="2"/>
      <c r="U731" s="62"/>
      <c r="V731" s="62"/>
      <c r="W731" s="62"/>
      <c r="X731" s="62"/>
      <c r="Y731" s="62"/>
      <c r="Z731" s="62"/>
    </row>
    <row r="732" ht="15.75" customHeight="1">
      <c r="A732" s="2"/>
      <c r="B732" s="2"/>
      <c r="C732" s="2"/>
      <c r="D732" s="2"/>
      <c r="E732" s="2"/>
      <c r="F732" s="2"/>
      <c r="G732" s="2"/>
      <c r="H732" s="2"/>
      <c r="I732" s="74"/>
      <c r="J732" s="74"/>
      <c r="K732" s="74"/>
      <c r="L732" s="74"/>
      <c r="M732" s="2"/>
      <c r="N732" s="2"/>
      <c r="O732" s="2"/>
      <c r="P732" s="74"/>
      <c r="Q732" s="2"/>
      <c r="R732" s="2"/>
      <c r="S732" s="76"/>
      <c r="T732" s="2"/>
      <c r="U732" s="62"/>
      <c r="V732" s="62"/>
      <c r="W732" s="62"/>
      <c r="X732" s="62"/>
      <c r="Y732" s="62"/>
      <c r="Z732" s="62"/>
    </row>
    <row r="733" ht="15.75" customHeight="1">
      <c r="A733" s="2"/>
      <c r="B733" s="2"/>
      <c r="C733" s="2"/>
      <c r="D733" s="2"/>
      <c r="E733" s="2"/>
      <c r="F733" s="2"/>
      <c r="G733" s="2"/>
      <c r="H733" s="2"/>
      <c r="I733" s="74"/>
      <c r="J733" s="74"/>
      <c r="K733" s="74"/>
      <c r="L733" s="74"/>
      <c r="M733" s="2"/>
      <c r="N733" s="2"/>
      <c r="O733" s="2"/>
      <c r="P733" s="74"/>
      <c r="Q733" s="2"/>
      <c r="R733" s="2"/>
      <c r="S733" s="76"/>
      <c r="T733" s="2"/>
      <c r="U733" s="62"/>
      <c r="V733" s="62"/>
      <c r="W733" s="62"/>
      <c r="X733" s="62"/>
      <c r="Y733" s="62"/>
      <c r="Z733" s="62"/>
    </row>
    <row r="734" ht="15.75" customHeight="1">
      <c r="A734" s="2"/>
      <c r="B734" s="2"/>
      <c r="C734" s="2"/>
      <c r="D734" s="2"/>
      <c r="E734" s="2"/>
      <c r="F734" s="2"/>
      <c r="G734" s="2"/>
      <c r="H734" s="2"/>
      <c r="I734" s="74"/>
      <c r="J734" s="74"/>
      <c r="K734" s="74"/>
      <c r="L734" s="74"/>
      <c r="M734" s="2"/>
      <c r="N734" s="2"/>
      <c r="O734" s="2"/>
      <c r="P734" s="74"/>
      <c r="Q734" s="2"/>
      <c r="R734" s="2"/>
      <c r="S734" s="76"/>
      <c r="T734" s="2"/>
      <c r="U734" s="62"/>
      <c r="V734" s="62"/>
      <c r="W734" s="62"/>
      <c r="X734" s="62"/>
      <c r="Y734" s="62"/>
      <c r="Z734" s="62"/>
    </row>
    <row r="735" ht="15.75" customHeight="1">
      <c r="A735" s="2"/>
      <c r="B735" s="2"/>
      <c r="C735" s="2"/>
      <c r="D735" s="2"/>
      <c r="E735" s="2"/>
      <c r="F735" s="2"/>
      <c r="G735" s="2"/>
      <c r="H735" s="2"/>
      <c r="I735" s="74"/>
      <c r="J735" s="74"/>
      <c r="K735" s="74"/>
      <c r="L735" s="74"/>
      <c r="M735" s="2"/>
      <c r="N735" s="2"/>
      <c r="O735" s="2"/>
      <c r="P735" s="74"/>
      <c r="Q735" s="2"/>
      <c r="R735" s="2"/>
      <c r="S735" s="76"/>
      <c r="T735" s="2"/>
      <c r="U735" s="62"/>
      <c r="V735" s="62"/>
      <c r="W735" s="62"/>
      <c r="X735" s="62"/>
      <c r="Y735" s="62"/>
      <c r="Z735" s="62"/>
    </row>
    <row r="736" ht="15.75" customHeight="1">
      <c r="A736" s="2"/>
      <c r="B736" s="2"/>
      <c r="C736" s="2"/>
      <c r="D736" s="2"/>
      <c r="E736" s="2"/>
      <c r="F736" s="2"/>
      <c r="G736" s="2"/>
      <c r="H736" s="2"/>
      <c r="I736" s="74"/>
      <c r="J736" s="74"/>
      <c r="K736" s="74"/>
      <c r="L736" s="74"/>
      <c r="M736" s="2"/>
      <c r="N736" s="2"/>
      <c r="O736" s="2"/>
      <c r="P736" s="74"/>
      <c r="Q736" s="2"/>
      <c r="R736" s="2"/>
      <c r="S736" s="76"/>
      <c r="T736" s="2"/>
      <c r="U736" s="62"/>
      <c r="V736" s="62"/>
      <c r="W736" s="62"/>
      <c r="X736" s="62"/>
      <c r="Y736" s="62"/>
      <c r="Z736" s="62"/>
    </row>
    <row r="737" ht="15.75" customHeight="1">
      <c r="A737" s="2"/>
      <c r="B737" s="2"/>
      <c r="C737" s="2"/>
      <c r="D737" s="2"/>
      <c r="E737" s="2"/>
      <c r="F737" s="2"/>
      <c r="G737" s="2"/>
      <c r="H737" s="2"/>
      <c r="I737" s="74"/>
      <c r="J737" s="74"/>
      <c r="K737" s="74"/>
      <c r="L737" s="74"/>
      <c r="M737" s="2"/>
      <c r="N737" s="2"/>
      <c r="O737" s="2"/>
      <c r="P737" s="74"/>
      <c r="Q737" s="2"/>
      <c r="R737" s="2"/>
      <c r="S737" s="76"/>
      <c r="T737" s="2"/>
      <c r="U737" s="62"/>
      <c r="V737" s="62"/>
      <c r="W737" s="62"/>
      <c r="X737" s="62"/>
      <c r="Y737" s="62"/>
      <c r="Z737" s="62"/>
    </row>
    <row r="738" ht="15.75" customHeight="1">
      <c r="A738" s="2"/>
      <c r="B738" s="2"/>
      <c r="C738" s="2"/>
      <c r="D738" s="2"/>
      <c r="E738" s="2"/>
      <c r="F738" s="2"/>
      <c r="G738" s="2"/>
      <c r="H738" s="2"/>
      <c r="I738" s="74"/>
      <c r="J738" s="74"/>
      <c r="K738" s="74"/>
      <c r="L738" s="74"/>
      <c r="M738" s="2"/>
      <c r="N738" s="2"/>
      <c r="O738" s="2"/>
      <c r="P738" s="74"/>
      <c r="Q738" s="2"/>
      <c r="R738" s="2"/>
      <c r="S738" s="76"/>
      <c r="T738" s="2"/>
      <c r="U738" s="62"/>
      <c r="V738" s="62"/>
      <c r="W738" s="62"/>
      <c r="X738" s="62"/>
      <c r="Y738" s="62"/>
      <c r="Z738" s="62"/>
    </row>
    <row r="739" ht="15.75" customHeight="1">
      <c r="A739" s="2"/>
      <c r="B739" s="2"/>
      <c r="C739" s="2"/>
      <c r="D739" s="2"/>
      <c r="E739" s="2"/>
      <c r="F739" s="2"/>
      <c r="G739" s="2"/>
      <c r="H739" s="2"/>
      <c r="I739" s="74"/>
      <c r="J739" s="74"/>
      <c r="K739" s="74"/>
      <c r="L739" s="74"/>
      <c r="M739" s="2"/>
      <c r="N739" s="2"/>
      <c r="O739" s="2"/>
      <c r="P739" s="74"/>
      <c r="Q739" s="2"/>
      <c r="R739" s="2"/>
      <c r="S739" s="76"/>
      <c r="T739" s="2"/>
      <c r="U739" s="62"/>
      <c r="V739" s="62"/>
      <c r="W739" s="62"/>
      <c r="X739" s="62"/>
      <c r="Y739" s="62"/>
      <c r="Z739" s="62"/>
    </row>
    <row r="740" ht="15.75" customHeight="1">
      <c r="A740" s="2"/>
      <c r="B740" s="2"/>
      <c r="C740" s="2"/>
      <c r="D740" s="2"/>
      <c r="E740" s="2"/>
      <c r="F740" s="2"/>
      <c r="G740" s="2"/>
      <c r="H740" s="2"/>
      <c r="I740" s="74"/>
      <c r="J740" s="74"/>
      <c r="K740" s="74"/>
      <c r="L740" s="74"/>
      <c r="M740" s="2"/>
      <c r="N740" s="2"/>
      <c r="O740" s="2"/>
      <c r="P740" s="74"/>
      <c r="Q740" s="2"/>
      <c r="R740" s="2"/>
      <c r="S740" s="76"/>
      <c r="T740" s="2"/>
      <c r="U740" s="62"/>
      <c r="V740" s="62"/>
      <c r="W740" s="62"/>
      <c r="X740" s="62"/>
      <c r="Y740" s="62"/>
      <c r="Z740" s="62"/>
    </row>
    <row r="741" ht="15.75" customHeight="1">
      <c r="A741" s="2"/>
      <c r="B741" s="2"/>
      <c r="C741" s="2"/>
      <c r="D741" s="2"/>
      <c r="E741" s="2"/>
      <c r="F741" s="2"/>
      <c r="G741" s="2"/>
      <c r="H741" s="2"/>
      <c r="I741" s="74"/>
      <c r="J741" s="74"/>
      <c r="K741" s="74"/>
      <c r="L741" s="74"/>
      <c r="M741" s="2"/>
      <c r="N741" s="2"/>
      <c r="O741" s="2"/>
      <c r="P741" s="74"/>
      <c r="Q741" s="2"/>
      <c r="R741" s="2"/>
      <c r="S741" s="76"/>
      <c r="T741" s="2"/>
      <c r="U741" s="62"/>
      <c r="V741" s="62"/>
      <c r="W741" s="62"/>
      <c r="X741" s="62"/>
      <c r="Y741" s="62"/>
      <c r="Z741" s="62"/>
    </row>
    <row r="742" ht="15.75" customHeight="1">
      <c r="A742" s="2"/>
      <c r="B742" s="2"/>
      <c r="C742" s="2"/>
      <c r="D742" s="2"/>
      <c r="E742" s="2"/>
      <c r="F742" s="2"/>
      <c r="G742" s="2"/>
      <c r="H742" s="2"/>
      <c r="I742" s="74"/>
      <c r="J742" s="74"/>
      <c r="K742" s="74"/>
      <c r="L742" s="74"/>
      <c r="M742" s="2"/>
      <c r="N742" s="2"/>
      <c r="O742" s="2"/>
      <c r="P742" s="74"/>
      <c r="Q742" s="2"/>
      <c r="R742" s="2"/>
      <c r="S742" s="76"/>
      <c r="T742" s="2"/>
      <c r="U742" s="62"/>
      <c r="V742" s="62"/>
      <c r="W742" s="62"/>
      <c r="X742" s="62"/>
      <c r="Y742" s="62"/>
      <c r="Z742" s="62"/>
    </row>
    <row r="743" ht="15.75" customHeight="1">
      <c r="A743" s="2"/>
      <c r="B743" s="2"/>
      <c r="C743" s="2"/>
      <c r="D743" s="2"/>
      <c r="E743" s="2"/>
      <c r="F743" s="2"/>
      <c r="G743" s="2"/>
      <c r="H743" s="2"/>
      <c r="I743" s="74"/>
      <c r="J743" s="74"/>
      <c r="K743" s="74"/>
      <c r="L743" s="74"/>
      <c r="M743" s="2"/>
      <c r="N743" s="2"/>
      <c r="O743" s="2"/>
      <c r="P743" s="74"/>
      <c r="Q743" s="2"/>
      <c r="R743" s="2"/>
      <c r="S743" s="76"/>
      <c r="T743" s="2"/>
      <c r="U743" s="62"/>
      <c r="V743" s="62"/>
      <c r="W743" s="62"/>
      <c r="X743" s="62"/>
      <c r="Y743" s="62"/>
      <c r="Z743" s="62"/>
    </row>
    <row r="744" ht="15.75" customHeight="1">
      <c r="A744" s="2"/>
      <c r="B744" s="2"/>
      <c r="C744" s="2"/>
      <c r="D744" s="2"/>
      <c r="E744" s="2"/>
      <c r="F744" s="2"/>
      <c r="G744" s="2"/>
      <c r="H744" s="2"/>
      <c r="I744" s="74"/>
      <c r="J744" s="74"/>
      <c r="K744" s="74"/>
      <c r="L744" s="74"/>
      <c r="M744" s="2"/>
      <c r="N744" s="2"/>
      <c r="O744" s="2"/>
      <c r="P744" s="74"/>
      <c r="Q744" s="2"/>
      <c r="R744" s="2"/>
      <c r="S744" s="76"/>
      <c r="T744" s="2"/>
      <c r="U744" s="62"/>
      <c r="V744" s="62"/>
      <c r="W744" s="62"/>
      <c r="X744" s="62"/>
      <c r="Y744" s="62"/>
      <c r="Z744" s="62"/>
    </row>
    <row r="745" ht="15.75" customHeight="1">
      <c r="A745" s="2"/>
      <c r="B745" s="2"/>
      <c r="C745" s="2"/>
      <c r="D745" s="2"/>
      <c r="E745" s="2"/>
      <c r="F745" s="2"/>
      <c r="G745" s="2"/>
      <c r="H745" s="2"/>
      <c r="I745" s="74"/>
      <c r="J745" s="74"/>
      <c r="K745" s="74"/>
      <c r="L745" s="74"/>
      <c r="M745" s="2"/>
      <c r="N745" s="2"/>
      <c r="O745" s="2"/>
      <c r="P745" s="74"/>
      <c r="Q745" s="2"/>
      <c r="R745" s="2"/>
      <c r="S745" s="76"/>
      <c r="T745" s="2"/>
      <c r="U745" s="62"/>
      <c r="V745" s="62"/>
      <c r="W745" s="62"/>
      <c r="X745" s="62"/>
      <c r="Y745" s="62"/>
      <c r="Z745" s="62"/>
    </row>
    <row r="746" ht="15.75" customHeight="1">
      <c r="A746" s="2"/>
      <c r="B746" s="2"/>
      <c r="C746" s="2"/>
      <c r="D746" s="2"/>
      <c r="E746" s="2"/>
      <c r="F746" s="2"/>
      <c r="G746" s="2"/>
      <c r="H746" s="2"/>
      <c r="I746" s="74"/>
      <c r="J746" s="74"/>
      <c r="K746" s="74"/>
      <c r="L746" s="74"/>
      <c r="M746" s="2"/>
      <c r="N746" s="2"/>
      <c r="O746" s="2"/>
      <c r="P746" s="74"/>
      <c r="Q746" s="2"/>
      <c r="R746" s="2"/>
      <c r="S746" s="76"/>
      <c r="T746" s="2"/>
      <c r="U746" s="62"/>
      <c r="V746" s="62"/>
      <c r="W746" s="62"/>
      <c r="X746" s="62"/>
      <c r="Y746" s="62"/>
      <c r="Z746" s="62"/>
    </row>
    <row r="747" ht="15.75" customHeight="1">
      <c r="A747" s="2"/>
      <c r="B747" s="2"/>
      <c r="C747" s="2"/>
      <c r="D747" s="2"/>
      <c r="E747" s="2"/>
      <c r="F747" s="2"/>
      <c r="G747" s="2"/>
      <c r="H747" s="2"/>
      <c r="I747" s="74"/>
      <c r="J747" s="74"/>
      <c r="K747" s="74"/>
      <c r="L747" s="74"/>
      <c r="M747" s="2"/>
      <c r="N747" s="2"/>
      <c r="O747" s="2"/>
      <c r="P747" s="74"/>
      <c r="Q747" s="2"/>
      <c r="R747" s="2"/>
      <c r="S747" s="76"/>
      <c r="T747" s="2"/>
      <c r="U747" s="62"/>
      <c r="V747" s="62"/>
      <c r="W747" s="62"/>
      <c r="X747" s="62"/>
      <c r="Y747" s="62"/>
      <c r="Z747" s="62"/>
    </row>
    <row r="748" ht="15.75" customHeight="1">
      <c r="A748" s="2"/>
      <c r="B748" s="2"/>
      <c r="C748" s="2"/>
      <c r="D748" s="2"/>
      <c r="E748" s="2"/>
      <c r="F748" s="2"/>
      <c r="G748" s="2"/>
      <c r="H748" s="2"/>
      <c r="I748" s="74"/>
      <c r="J748" s="74"/>
      <c r="K748" s="74"/>
      <c r="L748" s="74"/>
      <c r="M748" s="2"/>
      <c r="N748" s="2"/>
      <c r="O748" s="2"/>
      <c r="P748" s="74"/>
      <c r="Q748" s="2"/>
      <c r="R748" s="2"/>
      <c r="S748" s="76"/>
      <c r="T748" s="2"/>
      <c r="U748" s="62"/>
      <c r="V748" s="62"/>
      <c r="W748" s="62"/>
      <c r="X748" s="62"/>
      <c r="Y748" s="62"/>
      <c r="Z748" s="62"/>
    </row>
    <row r="749" ht="15.75" customHeight="1">
      <c r="A749" s="2"/>
      <c r="B749" s="2"/>
      <c r="C749" s="2"/>
      <c r="D749" s="2"/>
      <c r="E749" s="2"/>
      <c r="F749" s="2"/>
      <c r="G749" s="2"/>
      <c r="H749" s="2"/>
      <c r="I749" s="74"/>
      <c r="J749" s="74"/>
      <c r="K749" s="74"/>
      <c r="L749" s="74"/>
      <c r="M749" s="2"/>
      <c r="N749" s="2"/>
      <c r="O749" s="2"/>
      <c r="P749" s="74"/>
      <c r="Q749" s="2"/>
      <c r="R749" s="2"/>
      <c r="S749" s="76"/>
      <c r="T749" s="2"/>
      <c r="U749" s="62"/>
      <c r="V749" s="62"/>
      <c r="W749" s="62"/>
      <c r="X749" s="62"/>
      <c r="Y749" s="62"/>
      <c r="Z749" s="62"/>
    </row>
    <row r="750" ht="15.75" customHeight="1">
      <c r="A750" s="2"/>
      <c r="B750" s="2"/>
      <c r="C750" s="2"/>
      <c r="D750" s="2"/>
      <c r="E750" s="2"/>
      <c r="F750" s="2"/>
      <c r="G750" s="2"/>
      <c r="H750" s="2"/>
      <c r="I750" s="74"/>
      <c r="J750" s="74"/>
      <c r="K750" s="74"/>
      <c r="L750" s="74"/>
      <c r="M750" s="2"/>
      <c r="N750" s="2"/>
      <c r="O750" s="2"/>
      <c r="P750" s="74"/>
      <c r="Q750" s="2"/>
      <c r="R750" s="2"/>
      <c r="S750" s="76"/>
      <c r="T750" s="2"/>
      <c r="U750" s="62"/>
      <c r="V750" s="62"/>
      <c r="W750" s="62"/>
      <c r="X750" s="62"/>
      <c r="Y750" s="62"/>
      <c r="Z750" s="62"/>
    </row>
    <row r="751" ht="15.75" customHeight="1">
      <c r="A751" s="2"/>
      <c r="B751" s="2"/>
      <c r="C751" s="2"/>
      <c r="D751" s="2"/>
      <c r="E751" s="2"/>
      <c r="F751" s="2"/>
      <c r="G751" s="2"/>
      <c r="H751" s="2"/>
      <c r="I751" s="74"/>
      <c r="J751" s="74"/>
      <c r="K751" s="74"/>
      <c r="L751" s="74"/>
      <c r="M751" s="2"/>
      <c r="N751" s="2"/>
      <c r="O751" s="2"/>
      <c r="P751" s="74"/>
      <c r="Q751" s="2"/>
      <c r="R751" s="2"/>
      <c r="S751" s="76"/>
      <c r="T751" s="2"/>
      <c r="U751" s="62"/>
      <c r="V751" s="62"/>
      <c r="W751" s="62"/>
      <c r="X751" s="62"/>
      <c r="Y751" s="62"/>
      <c r="Z751" s="62"/>
    </row>
    <row r="752" ht="15.75" customHeight="1">
      <c r="A752" s="2"/>
      <c r="B752" s="2"/>
      <c r="C752" s="2"/>
      <c r="D752" s="2"/>
      <c r="E752" s="2"/>
      <c r="F752" s="2"/>
      <c r="G752" s="2"/>
      <c r="H752" s="2"/>
      <c r="I752" s="74"/>
      <c r="J752" s="74"/>
      <c r="K752" s="74"/>
      <c r="L752" s="74"/>
      <c r="M752" s="2"/>
      <c r="N752" s="2"/>
      <c r="O752" s="2"/>
      <c r="P752" s="74"/>
      <c r="Q752" s="2"/>
      <c r="R752" s="2"/>
      <c r="S752" s="76"/>
      <c r="T752" s="2"/>
      <c r="U752" s="62"/>
      <c r="V752" s="62"/>
      <c r="W752" s="62"/>
      <c r="X752" s="62"/>
      <c r="Y752" s="62"/>
      <c r="Z752" s="62"/>
    </row>
    <row r="753" ht="15.75" customHeight="1">
      <c r="A753" s="2"/>
      <c r="B753" s="2"/>
      <c r="C753" s="2"/>
      <c r="D753" s="2"/>
      <c r="E753" s="2"/>
      <c r="F753" s="2"/>
      <c r="G753" s="2"/>
      <c r="H753" s="2"/>
      <c r="I753" s="74"/>
      <c r="J753" s="74"/>
      <c r="K753" s="74"/>
      <c r="L753" s="74"/>
      <c r="M753" s="2"/>
      <c r="N753" s="2"/>
      <c r="O753" s="2"/>
      <c r="P753" s="74"/>
      <c r="Q753" s="2"/>
      <c r="R753" s="2"/>
      <c r="S753" s="76"/>
      <c r="T753" s="2"/>
      <c r="U753" s="62"/>
      <c r="V753" s="62"/>
      <c r="W753" s="62"/>
      <c r="X753" s="62"/>
      <c r="Y753" s="62"/>
      <c r="Z753" s="62"/>
    </row>
    <row r="754" ht="15.75" customHeight="1">
      <c r="A754" s="2"/>
      <c r="B754" s="2"/>
      <c r="C754" s="2"/>
      <c r="D754" s="2"/>
      <c r="E754" s="2"/>
      <c r="F754" s="2"/>
      <c r="G754" s="2"/>
      <c r="H754" s="2"/>
      <c r="I754" s="74"/>
      <c r="J754" s="74"/>
      <c r="K754" s="74"/>
      <c r="L754" s="74"/>
      <c r="M754" s="2"/>
      <c r="N754" s="2"/>
      <c r="O754" s="2"/>
      <c r="P754" s="74"/>
      <c r="Q754" s="2"/>
      <c r="R754" s="2"/>
      <c r="S754" s="76"/>
      <c r="T754" s="2"/>
      <c r="U754" s="62"/>
      <c r="V754" s="62"/>
      <c r="W754" s="62"/>
      <c r="X754" s="62"/>
      <c r="Y754" s="62"/>
      <c r="Z754" s="62"/>
    </row>
    <row r="755" ht="15.75" customHeight="1">
      <c r="A755" s="2"/>
      <c r="B755" s="2"/>
      <c r="C755" s="2"/>
      <c r="D755" s="2"/>
      <c r="E755" s="2"/>
      <c r="F755" s="2"/>
      <c r="G755" s="2"/>
      <c r="H755" s="2"/>
      <c r="I755" s="74"/>
      <c r="J755" s="74"/>
      <c r="K755" s="74"/>
      <c r="L755" s="74"/>
      <c r="M755" s="2"/>
      <c r="N755" s="2"/>
      <c r="O755" s="2"/>
      <c r="P755" s="74"/>
      <c r="Q755" s="2"/>
      <c r="R755" s="2"/>
      <c r="S755" s="76"/>
      <c r="T755" s="2"/>
      <c r="U755" s="62"/>
      <c r="V755" s="62"/>
      <c r="W755" s="62"/>
      <c r="X755" s="62"/>
      <c r="Y755" s="62"/>
      <c r="Z755" s="62"/>
    </row>
    <row r="756" ht="15.75" customHeight="1">
      <c r="A756" s="2"/>
      <c r="B756" s="2"/>
      <c r="C756" s="2"/>
      <c r="D756" s="2"/>
      <c r="E756" s="2"/>
      <c r="F756" s="2"/>
      <c r="G756" s="2"/>
      <c r="H756" s="2"/>
      <c r="I756" s="74"/>
      <c r="J756" s="74"/>
      <c r="K756" s="74"/>
      <c r="L756" s="74"/>
      <c r="M756" s="2"/>
      <c r="N756" s="2"/>
      <c r="O756" s="2"/>
      <c r="P756" s="74"/>
      <c r="Q756" s="2"/>
      <c r="R756" s="2"/>
      <c r="S756" s="76"/>
      <c r="T756" s="2"/>
      <c r="U756" s="62"/>
      <c r="V756" s="62"/>
      <c r="W756" s="62"/>
      <c r="X756" s="62"/>
      <c r="Y756" s="62"/>
      <c r="Z756" s="62"/>
    </row>
    <row r="757" ht="15.75" customHeight="1">
      <c r="A757" s="2"/>
      <c r="B757" s="2"/>
      <c r="C757" s="2"/>
      <c r="D757" s="2"/>
      <c r="E757" s="2"/>
      <c r="F757" s="2"/>
      <c r="G757" s="2"/>
      <c r="H757" s="2"/>
      <c r="I757" s="74"/>
      <c r="J757" s="74"/>
      <c r="K757" s="74"/>
      <c r="L757" s="74"/>
      <c r="M757" s="2"/>
      <c r="N757" s="2"/>
      <c r="O757" s="2"/>
      <c r="P757" s="74"/>
      <c r="Q757" s="2"/>
      <c r="R757" s="2"/>
      <c r="S757" s="76"/>
      <c r="T757" s="2"/>
      <c r="U757" s="62"/>
      <c r="V757" s="62"/>
      <c r="W757" s="62"/>
      <c r="X757" s="62"/>
      <c r="Y757" s="62"/>
      <c r="Z757" s="62"/>
    </row>
    <row r="758" ht="15.75" customHeight="1">
      <c r="A758" s="2"/>
      <c r="B758" s="2"/>
      <c r="C758" s="2"/>
      <c r="D758" s="2"/>
      <c r="E758" s="2"/>
      <c r="F758" s="2"/>
      <c r="G758" s="2"/>
      <c r="H758" s="2"/>
      <c r="I758" s="74"/>
      <c r="J758" s="74"/>
      <c r="K758" s="74"/>
      <c r="L758" s="74"/>
      <c r="M758" s="2"/>
      <c r="N758" s="2"/>
      <c r="O758" s="2"/>
      <c r="P758" s="74"/>
      <c r="Q758" s="2"/>
      <c r="R758" s="2"/>
      <c r="S758" s="76"/>
      <c r="T758" s="2"/>
      <c r="U758" s="62"/>
      <c r="V758" s="62"/>
      <c r="W758" s="62"/>
      <c r="X758" s="62"/>
      <c r="Y758" s="62"/>
      <c r="Z758" s="62"/>
    </row>
    <row r="759" ht="15.75" customHeight="1">
      <c r="A759" s="2"/>
      <c r="B759" s="2"/>
      <c r="C759" s="2"/>
      <c r="D759" s="2"/>
      <c r="E759" s="2"/>
      <c r="F759" s="2"/>
      <c r="G759" s="2"/>
      <c r="H759" s="2"/>
      <c r="I759" s="74"/>
      <c r="J759" s="74"/>
      <c r="K759" s="74"/>
      <c r="L759" s="74"/>
      <c r="M759" s="2"/>
      <c r="N759" s="2"/>
      <c r="O759" s="2"/>
      <c r="P759" s="74"/>
      <c r="Q759" s="2"/>
      <c r="R759" s="2"/>
      <c r="S759" s="76"/>
      <c r="T759" s="2"/>
      <c r="U759" s="62"/>
      <c r="V759" s="62"/>
      <c r="W759" s="62"/>
      <c r="X759" s="62"/>
      <c r="Y759" s="62"/>
      <c r="Z759" s="62"/>
    </row>
    <row r="760" ht="15.75" customHeight="1">
      <c r="A760" s="2"/>
      <c r="B760" s="2"/>
      <c r="C760" s="2"/>
      <c r="D760" s="2"/>
      <c r="E760" s="2"/>
      <c r="F760" s="2"/>
      <c r="G760" s="2"/>
      <c r="H760" s="2"/>
      <c r="I760" s="74"/>
      <c r="J760" s="74"/>
      <c r="K760" s="74"/>
      <c r="L760" s="74"/>
      <c r="M760" s="2"/>
      <c r="N760" s="2"/>
      <c r="O760" s="2"/>
      <c r="P760" s="74"/>
      <c r="Q760" s="2"/>
      <c r="R760" s="2"/>
      <c r="S760" s="76"/>
      <c r="T760" s="2"/>
      <c r="U760" s="62"/>
      <c r="V760" s="62"/>
      <c r="W760" s="62"/>
      <c r="X760" s="62"/>
      <c r="Y760" s="62"/>
      <c r="Z760" s="62"/>
    </row>
    <row r="761" ht="15.75" customHeight="1">
      <c r="A761" s="2"/>
      <c r="B761" s="2"/>
      <c r="C761" s="2"/>
      <c r="D761" s="2"/>
      <c r="E761" s="2"/>
      <c r="F761" s="2"/>
      <c r="G761" s="2"/>
      <c r="H761" s="2"/>
      <c r="I761" s="74"/>
      <c r="J761" s="74"/>
      <c r="K761" s="74"/>
      <c r="L761" s="74"/>
      <c r="M761" s="2"/>
      <c r="N761" s="2"/>
      <c r="O761" s="2"/>
      <c r="P761" s="74"/>
      <c r="Q761" s="2"/>
      <c r="R761" s="2"/>
      <c r="S761" s="76"/>
      <c r="T761" s="2"/>
      <c r="U761" s="62"/>
      <c r="V761" s="62"/>
      <c r="W761" s="62"/>
      <c r="X761" s="62"/>
      <c r="Y761" s="62"/>
      <c r="Z761" s="62"/>
    </row>
    <row r="762" ht="15.75" customHeight="1">
      <c r="A762" s="2"/>
      <c r="B762" s="2"/>
      <c r="C762" s="2"/>
      <c r="D762" s="2"/>
      <c r="E762" s="2"/>
      <c r="F762" s="2"/>
      <c r="G762" s="2"/>
      <c r="H762" s="2"/>
      <c r="I762" s="74"/>
      <c r="J762" s="74"/>
      <c r="K762" s="74"/>
      <c r="L762" s="74"/>
      <c r="M762" s="2"/>
      <c r="N762" s="2"/>
      <c r="O762" s="2"/>
      <c r="P762" s="74"/>
      <c r="Q762" s="2"/>
      <c r="R762" s="2"/>
      <c r="S762" s="76"/>
      <c r="T762" s="2"/>
      <c r="U762" s="62"/>
      <c r="V762" s="62"/>
      <c r="W762" s="62"/>
      <c r="X762" s="62"/>
      <c r="Y762" s="62"/>
      <c r="Z762" s="62"/>
    </row>
    <row r="763" ht="15.75" customHeight="1">
      <c r="A763" s="2"/>
      <c r="B763" s="2"/>
      <c r="C763" s="2"/>
      <c r="D763" s="2"/>
      <c r="E763" s="2"/>
      <c r="F763" s="2"/>
      <c r="G763" s="2"/>
      <c r="H763" s="2"/>
      <c r="I763" s="74"/>
      <c r="J763" s="74"/>
      <c r="K763" s="74"/>
      <c r="L763" s="74"/>
      <c r="M763" s="2"/>
      <c r="N763" s="2"/>
      <c r="O763" s="2"/>
      <c r="P763" s="74"/>
      <c r="Q763" s="2"/>
      <c r="R763" s="2"/>
      <c r="S763" s="76"/>
      <c r="T763" s="2"/>
      <c r="U763" s="62"/>
      <c r="V763" s="62"/>
      <c r="W763" s="62"/>
      <c r="X763" s="62"/>
      <c r="Y763" s="62"/>
      <c r="Z763" s="62"/>
    </row>
    <row r="764" ht="15.75" customHeight="1">
      <c r="A764" s="2"/>
      <c r="B764" s="2"/>
      <c r="C764" s="2"/>
      <c r="D764" s="2"/>
      <c r="E764" s="2"/>
      <c r="F764" s="2"/>
      <c r="G764" s="2"/>
      <c r="H764" s="2"/>
      <c r="I764" s="74"/>
      <c r="J764" s="74"/>
      <c r="K764" s="74"/>
      <c r="L764" s="74"/>
      <c r="M764" s="2"/>
      <c r="N764" s="2"/>
      <c r="O764" s="2"/>
      <c r="P764" s="74"/>
      <c r="Q764" s="2"/>
      <c r="R764" s="2"/>
      <c r="S764" s="76"/>
      <c r="T764" s="2"/>
      <c r="U764" s="62"/>
      <c r="V764" s="62"/>
      <c r="W764" s="62"/>
      <c r="X764" s="62"/>
      <c r="Y764" s="62"/>
      <c r="Z764" s="62"/>
    </row>
    <row r="765" ht="15.75" customHeight="1">
      <c r="A765" s="2"/>
      <c r="B765" s="2"/>
      <c r="C765" s="2"/>
      <c r="D765" s="2"/>
      <c r="E765" s="2"/>
      <c r="F765" s="2"/>
      <c r="G765" s="2"/>
      <c r="H765" s="2"/>
      <c r="I765" s="74"/>
      <c r="J765" s="74"/>
      <c r="K765" s="74"/>
      <c r="L765" s="74"/>
      <c r="M765" s="2"/>
      <c r="N765" s="2"/>
      <c r="O765" s="2"/>
      <c r="P765" s="74"/>
      <c r="Q765" s="2"/>
      <c r="R765" s="2"/>
      <c r="S765" s="76"/>
      <c r="T765" s="2"/>
      <c r="U765" s="62"/>
      <c r="V765" s="62"/>
      <c r="W765" s="62"/>
      <c r="X765" s="62"/>
      <c r="Y765" s="62"/>
      <c r="Z765" s="62"/>
    </row>
    <row r="766" ht="15.75" customHeight="1">
      <c r="A766" s="2"/>
      <c r="B766" s="2"/>
      <c r="C766" s="2"/>
      <c r="D766" s="2"/>
      <c r="E766" s="2"/>
      <c r="F766" s="2"/>
      <c r="G766" s="2"/>
      <c r="H766" s="2"/>
      <c r="I766" s="74"/>
      <c r="J766" s="74"/>
      <c r="K766" s="74"/>
      <c r="L766" s="74"/>
      <c r="M766" s="2"/>
      <c r="N766" s="2"/>
      <c r="O766" s="2"/>
      <c r="P766" s="74"/>
      <c r="Q766" s="2"/>
      <c r="R766" s="2"/>
      <c r="S766" s="76"/>
      <c r="T766" s="2"/>
      <c r="U766" s="62"/>
      <c r="V766" s="62"/>
      <c r="W766" s="62"/>
      <c r="X766" s="62"/>
      <c r="Y766" s="62"/>
      <c r="Z766" s="62"/>
    </row>
    <row r="767" ht="15.75" customHeight="1">
      <c r="A767" s="2"/>
      <c r="B767" s="2"/>
      <c r="C767" s="2"/>
      <c r="D767" s="2"/>
      <c r="E767" s="2"/>
      <c r="F767" s="2"/>
      <c r="G767" s="2"/>
      <c r="H767" s="2"/>
      <c r="I767" s="74"/>
      <c r="J767" s="74"/>
      <c r="K767" s="74"/>
      <c r="L767" s="74"/>
      <c r="M767" s="2"/>
      <c r="N767" s="2"/>
      <c r="O767" s="2"/>
      <c r="P767" s="74"/>
      <c r="Q767" s="2"/>
      <c r="R767" s="2"/>
      <c r="S767" s="76"/>
      <c r="T767" s="2"/>
      <c r="U767" s="62"/>
      <c r="V767" s="62"/>
      <c r="W767" s="62"/>
      <c r="X767" s="62"/>
      <c r="Y767" s="62"/>
      <c r="Z767" s="62"/>
    </row>
    <row r="768" ht="15.75" customHeight="1">
      <c r="A768" s="2"/>
      <c r="B768" s="2"/>
      <c r="C768" s="2"/>
      <c r="D768" s="2"/>
      <c r="E768" s="2"/>
      <c r="F768" s="2"/>
      <c r="G768" s="2"/>
      <c r="H768" s="2"/>
      <c r="I768" s="74"/>
      <c r="J768" s="74"/>
      <c r="K768" s="74"/>
      <c r="L768" s="74"/>
      <c r="M768" s="2"/>
      <c r="N768" s="2"/>
      <c r="O768" s="2"/>
      <c r="P768" s="74"/>
      <c r="Q768" s="2"/>
      <c r="R768" s="2"/>
      <c r="S768" s="76"/>
      <c r="T768" s="2"/>
      <c r="U768" s="62"/>
      <c r="V768" s="62"/>
      <c r="W768" s="62"/>
      <c r="X768" s="62"/>
      <c r="Y768" s="62"/>
      <c r="Z768" s="62"/>
    </row>
    <row r="769" ht="15.75" customHeight="1">
      <c r="A769" s="2"/>
      <c r="B769" s="2"/>
      <c r="C769" s="2"/>
      <c r="D769" s="2"/>
      <c r="E769" s="2"/>
      <c r="F769" s="2"/>
      <c r="G769" s="2"/>
      <c r="H769" s="2"/>
      <c r="I769" s="74"/>
      <c r="J769" s="74"/>
      <c r="K769" s="74"/>
      <c r="L769" s="74"/>
      <c r="M769" s="2"/>
      <c r="N769" s="2"/>
      <c r="O769" s="2"/>
      <c r="P769" s="74"/>
      <c r="Q769" s="2"/>
      <c r="R769" s="2"/>
      <c r="S769" s="76"/>
      <c r="T769" s="2"/>
      <c r="U769" s="62"/>
      <c r="V769" s="62"/>
      <c r="W769" s="62"/>
      <c r="X769" s="62"/>
      <c r="Y769" s="62"/>
      <c r="Z769" s="62"/>
    </row>
    <row r="770" ht="15.75" customHeight="1">
      <c r="A770" s="2"/>
      <c r="B770" s="2"/>
      <c r="C770" s="2"/>
      <c r="D770" s="2"/>
      <c r="E770" s="2"/>
      <c r="F770" s="2"/>
      <c r="G770" s="2"/>
      <c r="H770" s="2"/>
      <c r="I770" s="74"/>
      <c r="J770" s="74"/>
      <c r="K770" s="74"/>
      <c r="L770" s="74"/>
      <c r="M770" s="2"/>
      <c r="N770" s="2"/>
      <c r="O770" s="2"/>
      <c r="P770" s="74"/>
      <c r="Q770" s="2"/>
      <c r="R770" s="2"/>
      <c r="S770" s="76"/>
      <c r="T770" s="2"/>
      <c r="U770" s="62"/>
      <c r="V770" s="62"/>
      <c r="W770" s="62"/>
      <c r="X770" s="62"/>
      <c r="Y770" s="62"/>
      <c r="Z770" s="62"/>
    </row>
    <row r="771" ht="15.75" customHeight="1">
      <c r="A771" s="2"/>
      <c r="B771" s="2"/>
      <c r="C771" s="2"/>
      <c r="D771" s="2"/>
      <c r="E771" s="2"/>
      <c r="F771" s="2"/>
      <c r="G771" s="2"/>
      <c r="H771" s="2"/>
      <c r="I771" s="74"/>
      <c r="J771" s="74"/>
      <c r="K771" s="74"/>
      <c r="L771" s="74"/>
      <c r="M771" s="2"/>
      <c r="N771" s="2"/>
      <c r="O771" s="2"/>
      <c r="P771" s="74"/>
      <c r="Q771" s="2"/>
      <c r="R771" s="2"/>
      <c r="S771" s="76"/>
      <c r="T771" s="2"/>
      <c r="U771" s="62"/>
      <c r="V771" s="62"/>
      <c r="W771" s="62"/>
      <c r="X771" s="62"/>
      <c r="Y771" s="62"/>
      <c r="Z771" s="62"/>
    </row>
    <row r="772" ht="15.75" customHeight="1">
      <c r="A772" s="2"/>
      <c r="B772" s="2"/>
      <c r="C772" s="2"/>
      <c r="D772" s="2"/>
      <c r="E772" s="2"/>
      <c r="F772" s="2"/>
      <c r="G772" s="2"/>
      <c r="H772" s="2"/>
      <c r="I772" s="74"/>
      <c r="J772" s="74"/>
      <c r="K772" s="74"/>
      <c r="L772" s="74"/>
      <c r="M772" s="2"/>
      <c r="N772" s="2"/>
      <c r="O772" s="2"/>
      <c r="P772" s="74"/>
      <c r="Q772" s="2"/>
      <c r="R772" s="2"/>
      <c r="S772" s="76"/>
      <c r="T772" s="2"/>
      <c r="U772" s="62"/>
      <c r="V772" s="62"/>
      <c r="W772" s="62"/>
      <c r="X772" s="62"/>
      <c r="Y772" s="62"/>
      <c r="Z772" s="62"/>
    </row>
    <row r="773" ht="15.75" customHeight="1">
      <c r="A773" s="2"/>
      <c r="B773" s="2"/>
      <c r="C773" s="2"/>
      <c r="D773" s="2"/>
      <c r="E773" s="2"/>
      <c r="F773" s="2"/>
      <c r="G773" s="2"/>
      <c r="H773" s="2"/>
      <c r="I773" s="74"/>
      <c r="J773" s="74"/>
      <c r="K773" s="74"/>
      <c r="L773" s="74"/>
      <c r="M773" s="2"/>
      <c r="N773" s="2"/>
      <c r="O773" s="2"/>
      <c r="P773" s="74"/>
      <c r="Q773" s="2"/>
      <c r="R773" s="2"/>
      <c r="S773" s="76"/>
      <c r="T773" s="2"/>
      <c r="U773" s="62"/>
      <c r="V773" s="62"/>
      <c r="W773" s="62"/>
      <c r="X773" s="62"/>
      <c r="Y773" s="62"/>
      <c r="Z773" s="62"/>
    </row>
    <row r="774" ht="15.75" customHeight="1">
      <c r="A774" s="2"/>
      <c r="B774" s="2"/>
      <c r="C774" s="2"/>
      <c r="D774" s="2"/>
      <c r="E774" s="2"/>
      <c r="F774" s="2"/>
      <c r="G774" s="2"/>
      <c r="H774" s="2"/>
      <c r="I774" s="74"/>
      <c r="J774" s="74"/>
      <c r="K774" s="74"/>
      <c r="L774" s="74"/>
      <c r="M774" s="2"/>
      <c r="N774" s="2"/>
      <c r="O774" s="2"/>
      <c r="P774" s="74"/>
      <c r="Q774" s="2"/>
      <c r="R774" s="2"/>
      <c r="S774" s="76"/>
      <c r="T774" s="2"/>
      <c r="U774" s="62"/>
      <c r="V774" s="62"/>
      <c r="W774" s="62"/>
      <c r="X774" s="62"/>
      <c r="Y774" s="62"/>
      <c r="Z774" s="62"/>
    </row>
    <row r="775" ht="15.75" customHeight="1">
      <c r="A775" s="2"/>
      <c r="B775" s="2"/>
      <c r="C775" s="2"/>
      <c r="D775" s="2"/>
      <c r="E775" s="2"/>
      <c r="F775" s="2"/>
      <c r="G775" s="2"/>
      <c r="H775" s="2"/>
      <c r="I775" s="74"/>
      <c r="J775" s="74"/>
      <c r="K775" s="74"/>
      <c r="L775" s="74"/>
      <c r="M775" s="2"/>
      <c r="N775" s="2"/>
      <c r="O775" s="2"/>
      <c r="P775" s="74"/>
      <c r="Q775" s="2"/>
      <c r="R775" s="2"/>
      <c r="S775" s="76"/>
      <c r="T775" s="2"/>
      <c r="U775" s="62"/>
      <c r="V775" s="62"/>
      <c r="W775" s="62"/>
      <c r="X775" s="62"/>
      <c r="Y775" s="62"/>
      <c r="Z775" s="62"/>
    </row>
    <row r="776" ht="15.75" customHeight="1">
      <c r="A776" s="2"/>
      <c r="B776" s="2"/>
      <c r="C776" s="2"/>
      <c r="D776" s="2"/>
      <c r="E776" s="2"/>
      <c r="F776" s="2"/>
      <c r="G776" s="2"/>
      <c r="H776" s="2"/>
      <c r="I776" s="74"/>
      <c r="J776" s="74"/>
      <c r="K776" s="74"/>
      <c r="L776" s="74"/>
      <c r="M776" s="2"/>
      <c r="N776" s="2"/>
      <c r="O776" s="2"/>
      <c r="P776" s="74"/>
      <c r="Q776" s="2"/>
      <c r="R776" s="2"/>
      <c r="S776" s="76"/>
      <c r="T776" s="2"/>
      <c r="U776" s="62"/>
      <c r="V776" s="62"/>
      <c r="W776" s="62"/>
      <c r="X776" s="62"/>
      <c r="Y776" s="62"/>
      <c r="Z776" s="62"/>
    </row>
    <row r="777" ht="15.75" customHeight="1">
      <c r="A777" s="2"/>
      <c r="B777" s="2"/>
      <c r="C777" s="2"/>
      <c r="D777" s="2"/>
      <c r="E777" s="2"/>
      <c r="F777" s="2"/>
      <c r="G777" s="2"/>
      <c r="H777" s="2"/>
      <c r="I777" s="74"/>
      <c r="J777" s="74"/>
      <c r="K777" s="74"/>
      <c r="L777" s="74"/>
      <c r="M777" s="2"/>
      <c r="N777" s="2"/>
      <c r="O777" s="2"/>
      <c r="P777" s="74"/>
      <c r="Q777" s="2"/>
      <c r="R777" s="2"/>
      <c r="S777" s="76"/>
      <c r="T777" s="2"/>
      <c r="U777" s="62"/>
      <c r="V777" s="62"/>
      <c r="W777" s="62"/>
      <c r="X777" s="62"/>
      <c r="Y777" s="62"/>
      <c r="Z777" s="62"/>
    </row>
    <row r="778" ht="15.75" customHeight="1">
      <c r="A778" s="2"/>
      <c r="B778" s="2"/>
      <c r="C778" s="2"/>
      <c r="D778" s="2"/>
      <c r="E778" s="2"/>
      <c r="F778" s="2"/>
      <c r="G778" s="2"/>
      <c r="H778" s="2"/>
      <c r="I778" s="74"/>
      <c r="J778" s="74"/>
      <c r="K778" s="74"/>
      <c r="L778" s="74"/>
      <c r="M778" s="2"/>
      <c r="N778" s="2"/>
      <c r="O778" s="2"/>
      <c r="P778" s="74"/>
      <c r="Q778" s="2"/>
      <c r="R778" s="2"/>
      <c r="S778" s="76"/>
      <c r="T778" s="2"/>
      <c r="U778" s="62"/>
      <c r="V778" s="62"/>
      <c r="W778" s="62"/>
      <c r="X778" s="62"/>
      <c r="Y778" s="62"/>
      <c r="Z778" s="62"/>
    </row>
    <row r="779" ht="15.75" customHeight="1">
      <c r="A779" s="2"/>
      <c r="B779" s="2"/>
      <c r="C779" s="2"/>
      <c r="D779" s="2"/>
      <c r="E779" s="2"/>
      <c r="F779" s="2"/>
      <c r="G779" s="2"/>
      <c r="H779" s="2"/>
      <c r="I779" s="74"/>
      <c r="J779" s="74"/>
      <c r="K779" s="74"/>
      <c r="L779" s="74"/>
      <c r="M779" s="2"/>
      <c r="N779" s="2"/>
      <c r="O779" s="2"/>
      <c r="P779" s="74"/>
      <c r="Q779" s="2"/>
      <c r="R779" s="2"/>
      <c r="S779" s="76"/>
      <c r="T779" s="2"/>
      <c r="U779" s="62"/>
      <c r="V779" s="62"/>
      <c r="W779" s="62"/>
      <c r="X779" s="62"/>
      <c r="Y779" s="62"/>
      <c r="Z779" s="62"/>
    </row>
    <row r="780" ht="15.75" customHeight="1">
      <c r="A780" s="2"/>
      <c r="B780" s="2"/>
      <c r="C780" s="2"/>
      <c r="D780" s="2"/>
      <c r="E780" s="2"/>
      <c r="F780" s="2"/>
      <c r="G780" s="2"/>
      <c r="H780" s="2"/>
      <c r="I780" s="74"/>
      <c r="J780" s="74"/>
      <c r="K780" s="74"/>
      <c r="L780" s="74"/>
      <c r="M780" s="2"/>
      <c r="N780" s="2"/>
      <c r="O780" s="2"/>
      <c r="P780" s="74"/>
      <c r="Q780" s="2"/>
      <c r="R780" s="2"/>
      <c r="S780" s="76"/>
      <c r="T780" s="2"/>
      <c r="U780" s="62"/>
      <c r="V780" s="62"/>
      <c r="W780" s="62"/>
      <c r="X780" s="62"/>
      <c r="Y780" s="62"/>
      <c r="Z780" s="62"/>
    </row>
    <row r="781" ht="15.75" customHeight="1">
      <c r="A781" s="2"/>
      <c r="B781" s="2"/>
      <c r="C781" s="2"/>
      <c r="D781" s="2"/>
      <c r="E781" s="2"/>
      <c r="F781" s="2"/>
      <c r="G781" s="2"/>
      <c r="H781" s="2"/>
      <c r="I781" s="74"/>
      <c r="J781" s="74"/>
      <c r="K781" s="74"/>
      <c r="L781" s="74"/>
      <c r="M781" s="2"/>
      <c r="N781" s="2"/>
      <c r="O781" s="2"/>
      <c r="P781" s="74"/>
      <c r="Q781" s="2"/>
      <c r="R781" s="2"/>
      <c r="S781" s="76"/>
      <c r="T781" s="2"/>
      <c r="U781" s="62"/>
      <c r="V781" s="62"/>
      <c r="W781" s="62"/>
      <c r="X781" s="62"/>
      <c r="Y781" s="62"/>
      <c r="Z781" s="62"/>
    </row>
    <row r="782" ht="15.75" customHeight="1">
      <c r="A782" s="2"/>
      <c r="B782" s="2"/>
      <c r="C782" s="2"/>
      <c r="D782" s="2"/>
      <c r="E782" s="2"/>
      <c r="F782" s="2"/>
      <c r="G782" s="2"/>
      <c r="H782" s="2"/>
      <c r="I782" s="74"/>
      <c r="J782" s="74"/>
      <c r="K782" s="74"/>
      <c r="L782" s="74"/>
      <c r="M782" s="2"/>
      <c r="N782" s="2"/>
      <c r="O782" s="2"/>
      <c r="P782" s="74"/>
      <c r="Q782" s="2"/>
      <c r="R782" s="2"/>
      <c r="S782" s="76"/>
      <c r="T782" s="2"/>
      <c r="U782" s="62"/>
      <c r="V782" s="62"/>
      <c r="W782" s="62"/>
      <c r="X782" s="62"/>
      <c r="Y782" s="62"/>
      <c r="Z782" s="62"/>
    </row>
    <row r="783" ht="15.75" customHeight="1">
      <c r="A783" s="2"/>
      <c r="B783" s="2"/>
      <c r="C783" s="2"/>
      <c r="D783" s="2"/>
      <c r="E783" s="2"/>
      <c r="F783" s="2"/>
      <c r="G783" s="2"/>
      <c r="H783" s="2"/>
      <c r="I783" s="74"/>
      <c r="J783" s="74"/>
      <c r="K783" s="74"/>
      <c r="L783" s="74"/>
      <c r="M783" s="2"/>
      <c r="N783" s="2"/>
      <c r="O783" s="2"/>
      <c r="P783" s="74"/>
      <c r="Q783" s="2"/>
      <c r="R783" s="2"/>
      <c r="S783" s="76"/>
      <c r="T783" s="2"/>
      <c r="U783" s="62"/>
      <c r="V783" s="62"/>
      <c r="W783" s="62"/>
      <c r="X783" s="62"/>
      <c r="Y783" s="62"/>
      <c r="Z783" s="62"/>
    </row>
    <row r="784" ht="15.75" customHeight="1">
      <c r="A784" s="2"/>
      <c r="B784" s="2"/>
      <c r="C784" s="2"/>
      <c r="D784" s="2"/>
      <c r="E784" s="2"/>
      <c r="F784" s="2"/>
      <c r="G784" s="2"/>
      <c r="H784" s="2"/>
      <c r="I784" s="74"/>
      <c r="J784" s="74"/>
      <c r="K784" s="74"/>
      <c r="L784" s="74"/>
      <c r="M784" s="2"/>
      <c r="N784" s="2"/>
      <c r="O784" s="2"/>
      <c r="P784" s="74"/>
      <c r="Q784" s="2"/>
      <c r="R784" s="2"/>
      <c r="S784" s="76"/>
      <c r="T784" s="2"/>
      <c r="U784" s="62"/>
      <c r="V784" s="62"/>
      <c r="W784" s="62"/>
      <c r="X784" s="62"/>
      <c r="Y784" s="62"/>
      <c r="Z784" s="62"/>
    </row>
    <row r="785" ht="15.75" customHeight="1">
      <c r="A785" s="2"/>
      <c r="B785" s="2"/>
      <c r="C785" s="2"/>
      <c r="D785" s="2"/>
      <c r="E785" s="2"/>
      <c r="F785" s="2"/>
      <c r="G785" s="2"/>
      <c r="H785" s="2"/>
      <c r="I785" s="74"/>
      <c r="J785" s="74"/>
      <c r="K785" s="74"/>
      <c r="L785" s="74"/>
      <c r="M785" s="2"/>
      <c r="N785" s="2"/>
      <c r="O785" s="2"/>
      <c r="P785" s="74"/>
      <c r="Q785" s="2"/>
      <c r="R785" s="2"/>
      <c r="S785" s="76"/>
      <c r="T785" s="2"/>
      <c r="U785" s="62"/>
      <c r="V785" s="62"/>
      <c r="W785" s="62"/>
      <c r="X785" s="62"/>
      <c r="Y785" s="62"/>
      <c r="Z785" s="62"/>
    </row>
    <row r="786" ht="15.75" customHeight="1">
      <c r="A786" s="2"/>
      <c r="B786" s="2"/>
      <c r="C786" s="2"/>
      <c r="D786" s="2"/>
      <c r="E786" s="2"/>
      <c r="F786" s="2"/>
      <c r="G786" s="2"/>
      <c r="H786" s="2"/>
      <c r="I786" s="74"/>
      <c r="J786" s="74"/>
      <c r="K786" s="74"/>
      <c r="L786" s="74"/>
      <c r="M786" s="2"/>
      <c r="N786" s="2"/>
      <c r="O786" s="2"/>
      <c r="P786" s="74"/>
      <c r="Q786" s="2"/>
      <c r="R786" s="2"/>
      <c r="S786" s="76"/>
      <c r="T786" s="2"/>
      <c r="U786" s="62"/>
      <c r="V786" s="62"/>
      <c r="W786" s="62"/>
      <c r="X786" s="62"/>
      <c r="Y786" s="62"/>
      <c r="Z786" s="62"/>
    </row>
    <row r="787" ht="15.75" customHeight="1">
      <c r="A787" s="2"/>
      <c r="B787" s="2"/>
      <c r="C787" s="2"/>
      <c r="D787" s="2"/>
      <c r="E787" s="2"/>
      <c r="F787" s="2"/>
      <c r="G787" s="2"/>
      <c r="H787" s="2"/>
      <c r="I787" s="74"/>
      <c r="J787" s="74"/>
      <c r="K787" s="74"/>
      <c r="L787" s="74"/>
      <c r="M787" s="2"/>
      <c r="N787" s="2"/>
      <c r="O787" s="2"/>
      <c r="P787" s="74"/>
      <c r="Q787" s="2"/>
      <c r="R787" s="2"/>
      <c r="S787" s="76"/>
      <c r="T787" s="2"/>
      <c r="U787" s="62"/>
      <c r="V787" s="62"/>
      <c r="W787" s="62"/>
      <c r="X787" s="62"/>
      <c r="Y787" s="62"/>
      <c r="Z787" s="62"/>
    </row>
    <row r="788" ht="15.75" customHeight="1">
      <c r="A788" s="2"/>
      <c r="B788" s="2"/>
      <c r="C788" s="2"/>
      <c r="D788" s="2"/>
      <c r="E788" s="2"/>
      <c r="F788" s="2"/>
      <c r="G788" s="2"/>
      <c r="H788" s="2"/>
      <c r="I788" s="74"/>
      <c r="J788" s="74"/>
      <c r="K788" s="74"/>
      <c r="L788" s="74"/>
      <c r="M788" s="2"/>
      <c r="N788" s="2"/>
      <c r="O788" s="2"/>
      <c r="P788" s="74"/>
      <c r="Q788" s="2"/>
      <c r="R788" s="2"/>
      <c r="S788" s="76"/>
      <c r="T788" s="2"/>
      <c r="U788" s="62"/>
      <c r="V788" s="62"/>
      <c r="W788" s="62"/>
      <c r="X788" s="62"/>
      <c r="Y788" s="62"/>
      <c r="Z788" s="62"/>
    </row>
    <row r="789" ht="15.75" customHeight="1">
      <c r="A789" s="2"/>
      <c r="B789" s="2"/>
      <c r="C789" s="2"/>
      <c r="D789" s="2"/>
      <c r="E789" s="2"/>
      <c r="F789" s="2"/>
      <c r="G789" s="2"/>
      <c r="H789" s="2"/>
      <c r="I789" s="74"/>
      <c r="J789" s="74"/>
      <c r="K789" s="74"/>
      <c r="L789" s="74"/>
      <c r="M789" s="2"/>
      <c r="N789" s="2"/>
      <c r="O789" s="2"/>
      <c r="P789" s="74"/>
      <c r="Q789" s="2"/>
      <c r="R789" s="2"/>
      <c r="S789" s="76"/>
      <c r="T789" s="2"/>
      <c r="U789" s="62"/>
      <c r="V789" s="62"/>
      <c r="W789" s="62"/>
      <c r="X789" s="62"/>
      <c r="Y789" s="62"/>
      <c r="Z789" s="62"/>
    </row>
    <row r="790" ht="15.75" customHeight="1">
      <c r="A790" s="2"/>
      <c r="B790" s="2"/>
      <c r="C790" s="2"/>
      <c r="D790" s="2"/>
      <c r="E790" s="2"/>
      <c r="F790" s="2"/>
      <c r="G790" s="2"/>
      <c r="H790" s="2"/>
      <c r="I790" s="74"/>
      <c r="J790" s="74"/>
      <c r="K790" s="74"/>
      <c r="L790" s="74"/>
      <c r="M790" s="2"/>
      <c r="N790" s="2"/>
      <c r="O790" s="2"/>
      <c r="P790" s="74"/>
      <c r="Q790" s="2"/>
      <c r="R790" s="2"/>
      <c r="S790" s="76"/>
      <c r="T790" s="2"/>
      <c r="U790" s="62"/>
      <c r="V790" s="62"/>
      <c r="W790" s="62"/>
      <c r="X790" s="62"/>
      <c r="Y790" s="62"/>
      <c r="Z790" s="62"/>
    </row>
    <row r="791" ht="15.75" customHeight="1">
      <c r="A791" s="2"/>
      <c r="B791" s="2"/>
      <c r="C791" s="2"/>
      <c r="D791" s="2"/>
      <c r="E791" s="2"/>
      <c r="F791" s="2"/>
      <c r="G791" s="2"/>
      <c r="H791" s="2"/>
      <c r="I791" s="74"/>
      <c r="J791" s="74"/>
      <c r="K791" s="74"/>
      <c r="L791" s="74"/>
      <c r="M791" s="2"/>
      <c r="N791" s="2"/>
      <c r="O791" s="2"/>
      <c r="P791" s="74"/>
      <c r="Q791" s="2"/>
      <c r="R791" s="2"/>
      <c r="S791" s="76"/>
      <c r="T791" s="2"/>
      <c r="U791" s="62"/>
      <c r="V791" s="62"/>
      <c r="W791" s="62"/>
      <c r="X791" s="62"/>
      <c r="Y791" s="62"/>
      <c r="Z791" s="62"/>
    </row>
    <row r="792" ht="15.75" customHeight="1">
      <c r="A792" s="2"/>
      <c r="B792" s="2"/>
      <c r="C792" s="2"/>
      <c r="D792" s="2"/>
      <c r="E792" s="2"/>
      <c r="F792" s="2"/>
      <c r="G792" s="2"/>
      <c r="H792" s="2"/>
      <c r="I792" s="74"/>
      <c r="J792" s="74"/>
      <c r="K792" s="74"/>
      <c r="L792" s="74"/>
      <c r="M792" s="2"/>
      <c r="N792" s="2"/>
      <c r="O792" s="2"/>
      <c r="P792" s="74"/>
      <c r="Q792" s="2"/>
      <c r="R792" s="2"/>
      <c r="S792" s="76"/>
      <c r="T792" s="2"/>
      <c r="U792" s="62"/>
      <c r="V792" s="62"/>
      <c r="W792" s="62"/>
      <c r="X792" s="62"/>
      <c r="Y792" s="62"/>
      <c r="Z792" s="62"/>
    </row>
    <row r="793" ht="15.75" customHeight="1">
      <c r="A793" s="2"/>
      <c r="B793" s="2"/>
      <c r="C793" s="2"/>
      <c r="D793" s="2"/>
      <c r="E793" s="2"/>
      <c r="F793" s="2"/>
      <c r="G793" s="2"/>
      <c r="H793" s="2"/>
      <c r="I793" s="74"/>
      <c r="J793" s="74"/>
      <c r="K793" s="74"/>
      <c r="L793" s="74"/>
      <c r="M793" s="2"/>
      <c r="N793" s="2"/>
      <c r="O793" s="2"/>
      <c r="P793" s="74"/>
      <c r="Q793" s="2"/>
      <c r="R793" s="2"/>
      <c r="S793" s="76"/>
      <c r="T793" s="2"/>
      <c r="U793" s="62"/>
      <c r="V793" s="62"/>
      <c r="W793" s="62"/>
      <c r="X793" s="62"/>
      <c r="Y793" s="62"/>
      <c r="Z793" s="62"/>
    </row>
    <row r="794" ht="15.75" customHeight="1">
      <c r="A794" s="2"/>
      <c r="B794" s="2"/>
      <c r="C794" s="2"/>
      <c r="D794" s="2"/>
      <c r="E794" s="2"/>
      <c r="F794" s="2"/>
      <c r="G794" s="2"/>
      <c r="H794" s="2"/>
      <c r="I794" s="74"/>
      <c r="J794" s="74"/>
      <c r="K794" s="74"/>
      <c r="L794" s="74"/>
      <c r="M794" s="2"/>
      <c r="N794" s="2"/>
      <c r="O794" s="2"/>
      <c r="P794" s="74"/>
      <c r="Q794" s="2"/>
      <c r="R794" s="2"/>
      <c r="S794" s="76"/>
      <c r="T794" s="2"/>
      <c r="U794" s="62"/>
      <c r="V794" s="62"/>
      <c r="W794" s="62"/>
      <c r="X794" s="62"/>
      <c r="Y794" s="62"/>
      <c r="Z794" s="62"/>
    </row>
    <row r="795" ht="15.75" customHeight="1">
      <c r="A795" s="2"/>
      <c r="B795" s="2"/>
      <c r="C795" s="2"/>
      <c r="D795" s="2"/>
      <c r="E795" s="2"/>
      <c r="F795" s="2"/>
      <c r="G795" s="2"/>
      <c r="H795" s="2"/>
      <c r="I795" s="74"/>
      <c r="J795" s="74"/>
      <c r="K795" s="74"/>
      <c r="L795" s="74"/>
      <c r="M795" s="2"/>
      <c r="N795" s="2"/>
      <c r="O795" s="2"/>
      <c r="P795" s="74"/>
      <c r="Q795" s="2"/>
      <c r="R795" s="2"/>
      <c r="S795" s="76"/>
      <c r="T795" s="2"/>
      <c r="U795" s="62"/>
      <c r="V795" s="62"/>
      <c r="W795" s="62"/>
      <c r="X795" s="62"/>
      <c r="Y795" s="62"/>
      <c r="Z795" s="62"/>
    </row>
    <row r="796" ht="15.75" customHeight="1">
      <c r="A796" s="2"/>
      <c r="B796" s="2"/>
      <c r="C796" s="2"/>
      <c r="D796" s="2"/>
      <c r="E796" s="2"/>
      <c r="F796" s="2"/>
      <c r="G796" s="2"/>
      <c r="H796" s="2"/>
      <c r="I796" s="74"/>
      <c r="J796" s="74"/>
      <c r="K796" s="74"/>
      <c r="L796" s="74"/>
      <c r="M796" s="2"/>
      <c r="N796" s="2"/>
      <c r="O796" s="2"/>
      <c r="P796" s="74"/>
      <c r="Q796" s="2"/>
      <c r="R796" s="2"/>
      <c r="S796" s="76"/>
      <c r="T796" s="2"/>
      <c r="U796" s="62"/>
      <c r="V796" s="62"/>
      <c r="W796" s="62"/>
      <c r="X796" s="62"/>
      <c r="Y796" s="62"/>
      <c r="Z796" s="62"/>
    </row>
    <row r="797" ht="15.75" customHeight="1">
      <c r="A797" s="2"/>
      <c r="B797" s="2"/>
      <c r="C797" s="2"/>
      <c r="D797" s="2"/>
      <c r="E797" s="2"/>
      <c r="F797" s="2"/>
      <c r="G797" s="2"/>
      <c r="H797" s="2"/>
      <c r="I797" s="74"/>
      <c r="J797" s="74"/>
      <c r="K797" s="74"/>
      <c r="L797" s="74"/>
      <c r="M797" s="2"/>
      <c r="N797" s="2"/>
      <c r="O797" s="2"/>
      <c r="P797" s="74"/>
      <c r="Q797" s="2"/>
      <c r="R797" s="2"/>
      <c r="S797" s="76"/>
      <c r="T797" s="2"/>
      <c r="U797" s="62"/>
      <c r="V797" s="62"/>
      <c r="W797" s="62"/>
      <c r="X797" s="62"/>
      <c r="Y797" s="62"/>
      <c r="Z797" s="62"/>
    </row>
    <row r="798" ht="15.75" customHeight="1">
      <c r="A798" s="2"/>
      <c r="B798" s="2"/>
      <c r="C798" s="2"/>
      <c r="D798" s="2"/>
      <c r="E798" s="2"/>
      <c r="F798" s="2"/>
      <c r="G798" s="2"/>
      <c r="H798" s="2"/>
      <c r="I798" s="74"/>
      <c r="J798" s="74"/>
      <c r="K798" s="74"/>
      <c r="L798" s="74"/>
      <c r="M798" s="2"/>
      <c r="N798" s="2"/>
      <c r="O798" s="2"/>
      <c r="P798" s="74"/>
      <c r="Q798" s="2"/>
      <c r="R798" s="2"/>
      <c r="S798" s="76"/>
      <c r="T798" s="2"/>
      <c r="U798" s="62"/>
      <c r="V798" s="62"/>
      <c r="W798" s="62"/>
      <c r="X798" s="62"/>
      <c r="Y798" s="62"/>
      <c r="Z798" s="62"/>
    </row>
    <row r="799" ht="15.75" customHeight="1">
      <c r="A799" s="2"/>
      <c r="B799" s="2"/>
      <c r="C799" s="2"/>
      <c r="D799" s="2"/>
      <c r="E799" s="2"/>
      <c r="F799" s="2"/>
      <c r="G799" s="2"/>
      <c r="H799" s="2"/>
      <c r="I799" s="74"/>
      <c r="J799" s="74"/>
      <c r="K799" s="74"/>
      <c r="L799" s="74"/>
      <c r="M799" s="2"/>
      <c r="N799" s="2"/>
      <c r="O799" s="2"/>
      <c r="P799" s="74"/>
      <c r="Q799" s="2"/>
      <c r="R799" s="2"/>
      <c r="S799" s="76"/>
      <c r="T799" s="2"/>
      <c r="U799" s="62"/>
      <c r="V799" s="62"/>
      <c r="W799" s="62"/>
      <c r="X799" s="62"/>
      <c r="Y799" s="62"/>
      <c r="Z799" s="62"/>
    </row>
    <row r="800" ht="15.75" customHeight="1">
      <c r="A800" s="2"/>
      <c r="B800" s="2"/>
      <c r="C800" s="2"/>
      <c r="D800" s="2"/>
      <c r="E800" s="2"/>
      <c r="F800" s="2"/>
      <c r="G800" s="2"/>
      <c r="H800" s="2"/>
      <c r="I800" s="74"/>
      <c r="J800" s="74"/>
      <c r="K800" s="74"/>
      <c r="L800" s="74"/>
      <c r="M800" s="2"/>
      <c r="N800" s="2"/>
      <c r="O800" s="2"/>
      <c r="P800" s="74"/>
      <c r="Q800" s="2"/>
      <c r="R800" s="2"/>
      <c r="S800" s="76"/>
      <c r="T800" s="2"/>
      <c r="U800" s="62"/>
      <c r="V800" s="62"/>
      <c r="W800" s="62"/>
      <c r="X800" s="62"/>
      <c r="Y800" s="62"/>
      <c r="Z800" s="62"/>
    </row>
    <row r="801" ht="15.75" customHeight="1">
      <c r="A801" s="2"/>
      <c r="B801" s="2"/>
      <c r="C801" s="2"/>
      <c r="D801" s="2"/>
      <c r="E801" s="2"/>
      <c r="F801" s="2"/>
      <c r="G801" s="2"/>
      <c r="H801" s="2"/>
      <c r="I801" s="74"/>
      <c r="J801" s="74"/>
      <c r="K801" s="74"/>
      <c r="L801" s="74"/>
      <c r="M801" s="2"/>
      <c r="N801" s="2"/>
      <c r="O801" s="2"/>
      <c r="P801" s="74"/>
      <c r="Q801" s="2"/>
      <c r="R801" s="2"/>
      <c r="S801" s="76"/>
      <c r="T801" s="2"/>
      <c r="U801" s="62"/>
      <c r="V801" s="62"/>
      <c r="W801" s="62"/>
      <c r="X801" s="62"/>
      <c r="Y801" s="62"/>
      <c r="Z801" s="62"/>
    </row>
    <row r="802" ht="15.75" customHeight="1">
      <c r="A802" s="2"/>
      <c r="B802" s="2"/>
      <c r="C802" s="2"/>
      <c r="D802" s="2"/>
      <c r="E802" s="2"/>
      <c r="F802" s="2"/>
      <c r="G802" s="2"/>
      <c r="H802" s="2"/>
      <c r="I802" s="74"/>
      <c r="J802" s="74"/>
      <c r="K802" s="74"/>
      <c r="L802" s="74"/>
      <c r="M802" s="2"/>
      <c r="N802" s="2"/>
      <c r="O802" s="2"/>
      <c r="P802" s="74"/>
      <c r="Q802" s="2"/>
      <c r="R802" s="2"/>
      <c r="S802" s="76"/>
      <c r="T802" s="2"/>
      <c r="U802" s="62"/>
      <c r="V802" s="62"/>
      <c r="W802" s="62"/>
      <c r="X802" s="62"/>
      <c r="Y802" s="62"/>
      <c r="Z802" s="62"/>
    </row>
    <row r="803" ht="15.75" customHeight="1">
      <c r="A803" s="2"/>
      <c r="B803" s="2"/>
      <c r="C803" s="2"/>
      <c r="D803" s="2"/>
      <c r="E803" s="2"/>
      <c r="F803" s="2"/>
      <c r="G803" s="2"/>
      <c r="H803" s="2"/>
      <c r="I803" s="74"/>
      <c r="J803" s="74"/>
      <c r="K803" s="74"/>
      <c r="L803" s="74"/>
      <c r="M803" s="2"/>
      <c r="N803" s="2"/>
      <c r="O803" s="2"/>
      <c r="P803" s="74"/>
      <c r="Q803" s="2"/>
      <c r="R803" s="2"/>
      <c r="S803" s="76"/>
      <c r="T803" s="2"/>
      <c r="U803" s="62"/>
      <c r="V803" s="62"/>
      <c r="W803" s="62"/>
      <c r="X803" s="62"/>
      <c r="Y803" s="62"/>
      <c r="Z803" s="62"/>
    </row>
    <row r="804" ht="15.75" customHeight="1">
      <c r="A804" s="2"/>
      <c r="B804" s="2"/>
      <c r="C804" s="2"/>
      <c r="D804" s="2"/>
      <c r="E804" s="2"/>
      <c r="F804" s="2"/>
      <c r="G804" s="2"/>
      <c r="H804" s="2"/>
      <c r="I804" s="74"/>
      <c r="J804" s="74"/>
      <c r="K804" s="74"/>
      <c r="L804" s="74"/>
      <c r="M804" s="2"/>
      <c r="N804" s="2"/>
      <c r="O804" s="2"/>
      <c r="P804" s="74"/>
      <c r="Q804" s="2"/>
      <c r="R804" s="2"/>
      <c r="S804" s="76"/>
      <c r="T804" s="2"/>
      <c r="U804" s="62"/>
      <c r="V804" s="62"/>
      <c r="W804" s="62"/>
      <c r="X804" s="62"/>
      <c r="Y804" s="62"/>
      <c r="Z804" s="62"/>
    </row>
    <row r="805" ht="15.75" customHeight="1">
      <c r="A805" s="2"/>
      <c r="B805" s="2"/>
      <c r="C805" s="2"/>
      <c r="D805" s="2"/>
      <c r="E805" s="2"/>
      <c r="F805" s="2"/>
      <c r="G805" s="2"/>
      <c r="H805" s="2"/>
      <c r="I805" s="74"/>
      <c r="J805" s="74"/>
      <c r="K805" s="74"/>
      <c r="L805" s="74"/>
      <c r="M805" s="2"/>
      <c r="N805" s="2"/>
      <c r="O805" s="2"/>
      <c r="P805" s="74"/>
      <c r="Q805" s="2"/>
      <c r="R805" s="2"/>
      <c r="S805" s="76"/>
      <c r="T805" s="2"/>
      <c r="U805" s="62"/>
      <c r="V805" s="62"/>
      <c r="W805" s="62"/>
      <c r="X805" s="62"/>
      <c r="Y805" s="62"/>
      <c r="Z805" s="62"/>
    </row>
    <row r="806" ht="15.75" customHeight="1">
      <c r="A806" s="2"/>
      <c r="B806" s="2"/>
      <c r="C806" s="2"/>
      <c r="D806" s="2"/>
      <c r="E806" s="2"/>
      <c r="F806" s="2"/>
      <c r="G806" s="2"/>
      <c r="H806" s="2"/>
      <c r="I806" s="74"/>
      <c r="J806" s="74"/>
      <c r="K806" s="74"/>
      <c r="L806" s="74"/>
      <c r="M806" s="2"/>
      <c r="N806" s="2"/>
      <c r="O806" s="2"/>
      <c r="P806" s="74"/>
      <c r="Q806" s="2"/>
      <c r="R806" s="2"/>
      <c r="S806" s="76"/>
      <c r="T806" s="2"/>
      <c r="U806" s="62"/>
      <c r="V806" s="62"/>
      <c r="W806" s="62"/>
      <c r="X806" s="62"/>
      <c r="Y806" s="62"/>
      <c r="Z806" s="62"/>
    </row>
    <row r="807" ht="15.75" customHeight="1">
      <c r="A807" s="2"/>
      <c r="B807" s="2"/>
      <c r="C807" s="2"/>
      <c r="D807" s="2"/>
      <c r="E807" s="2"/>
      <c r="F807" s="2"/>
      <c r="G807" s="2"/>
      <c r="H807" s="2"/>
      <c r="I807" s="74"/>
      <c r="J807" s="74"/>
      <c r="K807" s="74"/>
      <c r="L807" s="74"/>
      <c r="M807" s="2"/>
      <c r="N807" s="2"/>
      <c r="O807" s="2"/>
      <c r="P807" s="74"/>
      <c r="Q807" s="2"/>
      <c r="R807" s="2"/>
      <c r="S807" s="76"/>
      <c r="T807" s="2"/>
      <c r="U807" s="62"/>
      <c r="V807" s="62"/>
      <c r="W807" s="62"/>
      <c r="X807" s="62"/>
      <c r="Y807" s="62"/>
      <c r="Z807" s="62"/>
    </row>
    <row r="808" ht="15.75" customHeight="1">
      <c r="A808" s="2"/>
      <c r="B808" s="2"/>
      <c r="C808" s="2"/>
      <c r="D808" s="2"/>
      <c r="E808" s="2"/>
      <c r="F808" s="2"/>
      <c r="G808" s="2"/>
      <c r="H808" s="2"/>
      <c r="I808" s="74"/>
      <c r="J808" s="74"/>
      <c r="K808" s="74"/>
      <c r="L808" s="74"/>
      <c r="M808" s="2"/>
      <c r="N808" s="2"/>
      <c r="O808" s="2"/>
      <c r="P808" s="74"/>
      <c r="Q808" s="2"/>
      <c r="R808" s="2"/>
      <c r="S808" s="76"/>
      <c r="T808" s="2"/>
      <c r="U808" s="62"/>
      <c r="V808" s="62"/>
      <c r="W808" s="62"/>
      <c r="X808" s="62"/>
      <c r="Y808" s="62"/>
      <c r="Z808" s="62"/>
    </row>
    <row r="809" ht="15.75" customHeight="1">
      <c r="A809" s="2"/>
      <c r="B809" s="2"/>
      <c r="C809" s="2"/>
      <c r="D809" s="2"/>
      <c r="E809" s="2"/>
      <c r="F809" s="2"/>
      <c r="G809" s="2"/>
      <c r="H809" s="2"/>
      <c r="I809" s="74"/>
      <c r="J809" s="74"/>
      <c r="K809" s="74"/>
      <c r="L809" s="74"/>
      <c r="M809" s="2"/>
      <c r="N809" s="2"/>
      <c r="O809" s="2"/>
      <c r="P809" s="74"/>
      <c r="Q809" s="2"/>
      <c r="R809" s="2"/>
      <c r="S809" s="76"/>
      <c r="T809" s="2"/>
      <c r="U809" s="62"/>
      <c r="V809" s="62"/>
      <c r="W809" s="62"/>
      <c r="X809" s="62"/>
      <c r="Y809" s="62"/>
      <c r="Z809" s="62"/>
    </row>
    <row r="810" ht="15.75" customHeight="1">
      <c r="A810" s="2"/>
      <c r="B810" s="2"/>
      <c r="C810" s="2"/>
      <c r="D810" s="2"/>
      <c r="E810" s="2"/>
      <c r="F810" s="2"/>
      <c r="G810" s="2"/>
      <c r="H810" s="2"/>
      <c r="I810" s="74"/>
      <c r="J810" s="74"/>
      <c r="K810" s="74"/>
      <c r="L810" s="74"/>
      <c r="M810" s="2"/>
      <c r="N810" s="2"/>
      <c r="O810" s="2"/>
      <c r="P810" s="74"/>
      <c r="Q810" s="2"/>
      <c r="R810" s="2"/>
      <c r="S810" s="76"/>
      <c r="T810" s="2"/>
      <c r="U810" s="62"/>
      <c r="V810" s="62"/>
      <c r="W810" s="62"/>
      <c r="X810" s="62"/>
      <c r="Y810" s="62"/>
      <c r="Z810" s="62"/>
    </row>
    <row r="811" ht="15.75" customHeight="1">
      <c r="A811" s="2"/>
      <c r="B811" s="2"/>
      <c r="C811" s="2"/>
      <c r="D811" s="2"/>
      <c r="E811" s="2"/>
      <c r="F811" s="2"/>
      <c r="G811" s="2"/>
      <c r="H811" s="2"/>
      <c r="I811" s="74"/>
      <c r="J811" s="74"/>
      <c r="K811" s="74"/>
      <c r="L811" s="74"/>
      <c r="M811" s="2"/>
      <c r="N811" s="2"/>
      <c r="O811" s="2"/>
      <c r="P811" s="74"/>
      <c r="Q811" s="2"/>
      <c r="R811" s="2"/>
      <c r="S811" s="76"/>
      <c r="T811" s="2"/>
      <c r="U811" s="62"/>
      <c r="V811" s="62"/>
      <c r="W811" s="62"/>
      <c r="X811" s="62"/>
      <c r="Y811" s="62"/>
      <c r="Z811" s="62"/>
    </row>
    <row r="812" ht="15.75" customHeight="1">
      <c r="A812" s="2"/>
      <c r="B812" s="2"/>
      <c r="C812" s="2"/>
      <c r="D812" s="2"/>
      <c r="E812" s="2"/>
      <c r="F812" s="2"/>
      <c r="G812" s="2"/>
      <c r="H812" s="2"/>
      <c r="I812" s="74"/>
      <c r="J812" s="74"/>
      <c r="K812" s="74"/>
      <c r="L812" s="74"/>
      <c r="M812" s="2"/>
      <c r="N812" s="2"/>
      <c r="O812" s="2"/>
      <c r="P812" s="74"/>
      <c r="Q812" s="2"/>
      <c r="R812" s="2"/>
      <c r="S812" s="76"/>
      <c r="T812" s="2"/>
      <c r="U812" s="62"/>
      <c r="V812" s="62"/>
      <c r="W812" s="62"/>
      <c r="X812" s="62"/>
      <c r="Y812" s="62"/>
      <c r="Z812" s="62"/>
    </row>
    <row r="813" ht="15.75" customHeight="1">
      <c r="A813" s="2"/>
      <c r="B813" s="2"/>
      <c r="C813" s="2"/>
      <c r="D813" s="2"/>
      <c r="E813" s="2"/>
      <c r="F813" s="2"/>
      <c r="G813" s="2"/>
      <c r="H813" s="2"/>
      <c r="I813" s="74"/>
      <c r="J813" s="74"/>
      <c r="K813" s="74"/>
      <c r="L813" s="74"/>
      <c r="M813" s="2"/>
      <c r="N813" s="2"/>
      <c r="O813" s="2"/>
      <c r="P813" s="74"/>
      <c r="Q813" s="2"/>
      <c r="R813" s="2"/>
      <c r="S813" s="76"/>
      <c r="T813" s="2"/>
      <c r="U813" s="62"/>
      <c r="V813" s="62"/>
      <c r="W813" s="62"/>
      <c r="X813" s="62"/>
      <c r="Y813" s="62"/>
      <c r="Z813" s="62"/>
    </row>
    <row r="814" ht="15.75" customHeight="1">
      <c r="A814" s="2"/>
      <c r="B814" s="2"/>
      <c r="C814" s="2"/>
      <c r="D814" s="2"/>
      <c r="E814" s="2"/>
      <c r="F814" s="2"/>
      <c r="G814" s="2"/>
      <c r="H814" s="2"/>
      <c r="I814" s="74"/>
      <c r="J814" s="74"/>
      <c r="K814" s="74"/>
      <c r="L814" s="74"/>
      <c r="M814" s="2"/>
      <c r="N814" s="2"/>
      <c r="O814" s="2"/>
      <c r="P814" s="74"/>
      <c r="Q814" s="2"/>
      <c r="R814" s="2"/>
      <c r="S814" s="76"/>
      <c r="T814" s="2"/>
      <c r="U814" s="62"/>
      <c r="V814" s="62"/>
      <c r="W814" s="62"/>
      <c r="X814" s="62"/>
      <c r="Y814" s="62"/>
      <c r="Z814" s="62"/>
    </row>
    <row r="815" ht="15.75" customHeight="1">
      <c r="A815" s="2"/>
      <c r="B815" s="2"/>
      <c r="C815" s="2"/>
      <c r="D815" s="2"/>
      <c r="E815" s="2"/>
      <c r="F815" s="2"/>
      <c r="G815" s="2"/>
      <c r="H815" s="2"/>
      <c r="I815" s="74"/>
      <c r="J815" s="74"/>
      <c r="K815" s="74"/>
      <c r="L815" s="74"/>
      <c r="M815" s="2"/>
      <c r="N815" s="2"/>
      <c r="O815" s="2"/>
      <c r="P815" s="74"/>
      <c r="Q815" s="2"/>
      <c r="R815" s="2"/>
      <c r="S815" s="76"/>
      <c r="T815" s="2"/>
      <c r="U815" s="62"/>
      <c r="V815" s="62"/>
      <c r="W815" s="62"/>
      <c r="X815" s="62"/>
      <c r="Y815" s="62"/>
      <c r="Z815" s="62"/>
    </row>
    <row r="816" ht="15.75" customHeight="1">
      <c r="A816" s="2"/>
      <c r="B816" s="2"/>
      <c r="C816" s="2"/>
      <c r="D816" s="2"/>
      <c r="E816" s="2"/>
      <c r="F816" s="2"/>
      <c r="G816" s="2"/>
      <c r="H816" s="2"/>
      <c r="I816" s="74"/>
      <c r="J816" s="74"/>
      <c r="K816" s="74"/>
      <c r="L816" s="74"/>
      <c r="M816" s="2"/>
      <c r="N816" s="2"/>
      <c r="O816" s="2"/>
      <c r="P816" s="74"/>
      <c r="Q816" s="2"/>
      <c r="R816" s="2"/>
      <c r="S816" s="76"/>
      <c r="T816" s="2"/>
      <c r="U816" s="62"/>
      <c r="V816" s="62"/>
      <c r="W816" s="62"/>
      <c r="X816" s="62"/>
      <c r="Y816" s="62"/>
      <c r="Z816" s="62"/>
    </row>
    <row r="817" ht="15.75" customHeight="1">
      <c r="A817" s="2"/>
      <c r="B817" s="2"/>
      <c r="C817" s="2"/>
      <c r="D817" s="2"/>
      <c r="E817" s="2"/>
      <c r="F817" s="2"/>
      <c r="G817" s="2"/>
      <c r="H817" s="2"/>
      <c r="I817" s="74"/>
      <c r="J817" s="74"/>
      <c r="K817" s="74"/>
      <c r="L817" s="74"/>
      <c r="M817" s="2"/>
      <c r="N817" s="2"/>
      <c r="O817" s="2"/>
      <c r="P817" s="74"/>
      <c r="Q817" s="2"/>
      <c r="R817" s="2"/>
      <c r="S817" s="76"/>
      <c r="T817" s="2"/>
      <c r="U817" s="62"/>
      <c r="V817" s="62"/>
      <c r="W817" s="62"/>
      <c r="X817" s="62"/>
      <c r="Y817" s="62"/>
      <c r="Z817" s="62"/>
    </row>
    <row r="818" ht="15.75" customHeight="1">
      <c r="A818" s="2"/>
      <c r="B818" s="2"/>
      <c r="C818" s="2"/>
      <c r="D818" s="2"/>
      <c r="E818" s="2"/>
      <c r="F818" s="2"/>
      <c r="G818" s="2"/>
      <c r="H818" s="2"/>
      <c r="I818" s="74"/>
      <c r="J818" s="74"/>
      <c r="K818" s="74"/>
      <c r="L818" s="74"/>
      <c r="M818" s="2"/>
      <c r="N818" s="2"/>
      <c r="O818" s="2"/>
      <c r="P818" s="74"/>
      <c r="Q818" s="2"/>
      <c r="R818" s="2"/>
      <c r="S818" s="76"/>
      <c r="T818" s="2"/>
      <c r="U818" s="62"/>
      <c r="V818" s="62"/>
      <c r="W818" s="62"/>
      <c r="X818" s="62"/>
      <c r="Y818" s="62"/>
      <c r="Z818" s="62"/>
    </row>
    <row r="819" ht="15.75" customHeight="1">
      <c r="A819" s="2"/>
      <c r="B819" s="2"/>
      <c r="C819" s="2"/>
      <c r="D819" s="2"/>
      <c r="E819" s="2"/>
      <c r="F819" s="2"/>
      <c r="G819" s="2"/>
      <c r="H819" s="2"/>
      <c r="I819" s="74"/>
      <c r="J819" s="74"/>
      <c r="K819" s="74"/>
      <c r="L819" s="74"/>
      <c r="M819" s="2"/>
      <c r="N819" s="2"/>
      <c r="O819" s="2"/>
      <c r="P819" s="74"/>
      <c r="Q819" s="2"/>
      <c r="R819" s="2"/>
      <c r="S819" s="76"/>
      <c r="T819" s="2"/>
      <c r="U819" s="62"/>
      <c r="V819" s="62"/>
      <c r="W819" s="62"/>
      <c r="X819" s="62"/>
      <c r="Y819" s="62"/>
      <c r="Z819" s="62"/>
    </row>
    <row r="820" ht="15.75" customHeight="1">
      <c r="A820" s="2"/>
      <c r="B820" s="2"/>
      <c r="C820" s="2"/>
      <c r="D820" s="2"/>
      <c r="E820" s="2"/>
      <c r="F820" s="2"/>
      <c r="G820" s="2"/>
      <c r="H820" s="2"/>
      <c r="I820" s="74"/>
      <c r="J820" s="74"/>
      <c r="K820" s="74"/>
      <c r="L820" s="74"/>
      <c r="M820" s="2"/>
      <c r="N820" s="2"/>
      <c r="O820" s="2"/>
      <c r="P820" s="74"/>
      <c r="Q820" s="2"/>
      <c r="R820" s="2"/>
      <c r="S820" s="76"/>
      <c r="T820" s="2"/>
      <c r="U820" s="62"/>
      <c r="V820" s="62"/>
      <c r="W820" s="62"/>
      <c r="X820" s="62"/>
      <c r="Y820" s="62"/>
      <c r="Z820" s="62"/>
    </row>
    <row r="821" ht="15.75" customHeight="1">
      <c r="A821" s="2"/>
      <c r="B821" s="2"/>
      <c r="C821" s="2"/>
      <c r="D821" s="2"/>
      <c r="E821" s="2"/>
      <c r="F821" s="2"/>
      <c r="G821" s="2"/>
      <c r="H821" s="2"/>
      <c r="I821" s="74"/>
      <c r="J821" s="74"/>
      <c r="K821" s="74"/>
      <c r="L821" s="74"/>
      <c r="M821" s="2"/>
      <c r="N821" s="2"/>
      <c r="O821" s="2"/>
      <c r="P821" s="74"/>
      <c r="Q821" s="2"/>
      <c r="R821" s="2"/>
      <c r="S821" s="76"/>
      <c r="T821" s="2"/>
      <c r="U821" s="62"/>
      <c r="V821" s="62"/>
      <c r="W821" s="62"/>
      <c r="X821" s="62"/>
      <c r="Y821" s="62"/>
      <c r="Z821" s="62"/>
    </row>
    <row r="822" ht="15.75" customHeight="1">
      <c r="A822" s="2"/>
      <c r="B822" s="2"/>
      <c r="C822" s="2"/>
      <c r="D822" s="2"/>
      <c r="E822" s="2"/>
      <c r="F822" s="2"/>
      <c r="G822" s="2"/>
      <c r="H822" s="2"/>
      <c r="I822" s="74"/>
      <c r="J822" s="74"/>
      <c r="K822" s="74"/>
      <c r="L822" s="74"/>
      <c r="M822" s="2"/>
      <c r="N822" s="2"/>
      <c r="O822" s="2"/>
      <c r="P822" s="74"/>
      <c r="Q822" s="2"/>
      <c r="R822" s="2"/>
      <c r="S822" s="76"/>
      <c r="T822" s="2"/>
      <c r="U822" s="62"/>
      <c r="V822" s="62"/>
      <c r="W822" s="62"/>
      <c r="X822" s="62"/>
      <c r="Y822" s="62"/>
      <c r="Z822" s="62"/>
    </row>
    <row r="823" ht="15.75" customHeight="1">
      <c r="A823" s="2"/>
      <c r="B823" s="2"/>
      <c r="C823" s="2"/>
      <c r="D823" s="2"/>
      <c r="E823" s="2"/>
      <c r="F823" s="2"/>
      <c r="G823" s="2"/>
      <c r="H823" s="2"/>
      <c r="I823" s="74"/>
      <c r="J823" s="74"/>
      <c r="K823" s="74"/>
      <c r="L823" s="74"/>
      <c r="M823" s="2"/>
      <c r="N823" s="2"/>
      <c r="O823" s="2"/>
      <c r="P823" s="74"/>
      <c r="Q823" s="2"/>
      <c r="R823" s="2"/>
      <c r="S823" s="76"/>
      <c r="T823" s="2"/>
      <c r="U823" s="62"/>
      <c r="V823" s="62"/>
      <c r="W823" s="62"/>
      <c r="X823" s="62"/>
      <c r="Y823" s="62"/>
      <c r="Z823" s="62"/>
    </row>
    <row r="824" ht="15.75" customHeight="1">
      <c r="A824" s="2"/>
      <c r="B824" s="2"/>
      <c r="C824" s="2"/>
      <c r="D824" s="2"/>
      <c r="E824" s="2"/>
      <c r="F824" s="2"/>
      <c r="G824" s="2"/>
      <c r="H824" s="2"/>
      <c r="I824" s="74"/>
      <c r="J824" s="74"/>
      <c r="K824" s="74"/>
      <c r="L824" s="74"/>
      <c r="M824" s="2"/>
      <c r="N824" s="2"/>
      <c r="O824" s="2"/>
      <c r="P824" s="74"/>
      <c r="Q824" s="2"/>
      <c r="R824" s="2"/>
      <c r="S824" s="76"/>
      <c r="T824" s="2"/>
      <c r="U824" s="62"/>
      <c r="V824" s="62"/>
      <c r="W824" s="62"/>
      <c r="X824" s="62"/>
      <c r="Y824" s="62"/>
      <c r="Z824" s="62"/>
    </row>
    <row r="825" ht="15.75" customHeight="1">
      <c r="A825" s="2"/>
      <c r="B825" s="2"/>
      <c r="C825" s="2"/>
      <c r="D825" s="2"/>
      <c r="E825" s="2"/>
      <c r="F825" s="2"/>
      <c r="G825" s="2"/>
      <c r="H825" s="2"/>
      <c r="I825" s="74"/>
      <c r="J825" s="74"/>
      <c r="K825" s="74"/>
      <c r="L825" s="74"/>
      <c r="M825" s="2"/>
      <c r="N825" s="2"/>
      <c r="O825" s="2"/>
      <c r="P825" s="74"/>
      <c r="Q825" s="2"/>
      <c r="R825" s="2"/>
      <c r="S825" s="76"/>
      <c r="T825" s="2"/>
      <c r="U825" s="62"/>
      <c r="V825" s="62"/>
      <c r="W825" s="62"/>
      <c r="X825" s="62"/>
      <c r="Y825" s="62"/>
      <c r="Z825" s="62"/>
    </row>
    <row r="826" ht="15.75" customHeight="1">
      <c r="A826" s="2"/>
      <c r="B826" s="2"/>
      <c r="C826" s="2"/>
      <c r="D826" s="2"/>
      <c r="E826" s="2"/>
      <c r="F826" s="2"/>
      <c r="G826" s="2"/>
      <c r="H826" s="2"/>
      <c r="I826" s="74"/>
      <c r="J826" s="74"/>
      <c r="K826" s="74"/>
      <c r="L826" s="74"/>
      <c r="M826" s="2"/>
      <c r="N826" s="2"/>
      <c r="O826" s="2"/>
      <c r="P826" s="74"/>
      <c r="Q826" s="2"/>
      <c r="R826" s="2"/>
      <c r="S826" s="76"/>
      <c r="T826" s="2"/>
      <c r="U826" s="62"/>
      <c r="V826" s="62"/>
      <c r="W826" s="62"/>
      <c r="X826" s="62"/>
      <c r="Y826" s="62"/>
      <c r="Z826" s="62"/>
    </row>
    <row r="827" ht="15.75" customHeight="1">
      <c r="A827" s="2"/>
      <c r="B827" s="2"/>
      <c r="C827" s="2"/>
      <c r="D827" s="2"/>
      <c r="E827" s="2"/>
      <c r="F827" s="2"/>
      <c r="G827" s="2"/>
      <c r="H827" s="2"/>
      <c r="I827" s="74"/>
      <c r="J827" s="74"/>
      <c r="K827" s="74"/>
      <c r="L827" s="74"/>
      <c r="M827" s="2"/>
      <c r="N827" s="2"/>
      <c r="O827" s="2"/>
      <c r="P827" s="74"/>
      <c r="Q827" s="2"/>
      <c r="R827" s="2"/>
      <c r="S827" s="76"/>
      <c r="T827" s="2"/>
      <c r="U827" s="62"/>
      <c r="V827" s="62"/>
      <c r="W827" s="62"/>
      <c r="X827" s="62"/>
      <c r="Y827" s="62"/>
      <c r="Z827" s="62"/>
    </row>
    <row r="828" ht="15.75" customHeight="1">
      <c r="A828" s="2"/>
      <c r="B828" s="2"/>
      <c r="C828" s="2"/>
      <c r="D828" s="2"/>
      <c r="E828" s="2"/>
      <c r="F828" s="2"/>
      <c r="G828" s="2"/>
      <c r="H828" s="2"/>
      <c r="I828" s="74"/>
      <c r="J828" s="74"/>
      <c r="K828" s="74"/>
      <c r="L828" s="74"/>
      <c r="M828" s="2"/>
      <c r="N828" s="2"/>
      <c r="O828" s="2"/>
      <c r="P828" s="74"/>
      <c r="Q828" s="2"/>
      <c r="R828" s="2"/>
      <c r="S828" s="76"/>
      <c r="T828" s="2"/>
      <c r="U828" s="62"/>
      <c r="V828" s="62"/>
      <c r="W828" s="62"/>
      <c r="X828" s="62"/>
      <c r="Y828" s="62"/>
      <c r="Z828" s="62"/>
    </row>
    <row r="829" ht="15.75" customHeight="1">
      <c r="A829" s="2"/>
      <c r="B829" s="2"/>
      <c r="C829" s="2"/>
      <c r="D829" s="2"/>
      <c r="E829" s="2"/>
      <c r="F829" s="2"/>
      <c r="G829" s="2"/>
      <c r="H829" s="2"/>
      <c r="I829" s="74"/>
      <c r="J829" s="74"/>
      <c r="K829" s="74"/>
      <c r="L829" s="74"/>
      <c r="M829" s="2"/>
      <c r="N829" s="2"/>
      <c r="O829" s="2"/>
      <c r="P829" s="74"/>
      <c r="Q829" s="2"/>
      <c r="R829" s="2"/>
      <c r="S829" s="76"/>
      <c r="T829" s="2"/>
      <c r="U829" s="62"/>
      <c r="V829" s="62"/>
      <c r="W829" s="62"/>
      <c r="X829" s="62"/>
      <c r="Y829" s="62"/>
      <c r="Z829" s="62"/>
    </row>
    <row r="830" ht="15.75" customHeight="1">
      <c r="A830" s="2"/>
      <c r="B830" s="2"/>
      <c r="C830" s="2"/>
      <c r="D830" s="2"/>
      <c r="E830" s="2"/>
      <c r="F830" s="2"/>
      <c r="G830" s="2"/>
      <c r="H830" s="2"/>
      <c r="I830" s="74"/>
      <c r="J830" s="74"/>
      <c r="K830" s="74"/>
      <c r="L830" s="74"/>
      <c r="M830" s="2"/>
      <c r="N830" s="2"/>
      <c r="O830" s="2"/>
      <c r="P830" s="74"/>
      <c r="Q830" s="2"/>
      <c r="R830" s="2"/>
      <c r="S830" s="76"/>
      <c r="T830" s="2"/>
      <c r="U830" s="62"/>
      <c r="V830" s="62"/>
      <c r="W830" s="62"/>
      <c r="X830" s="62"/>
      <c r="Y830" s="62"/>
      <c r="Z830" s="62"/>
    </row>
    <row r="831" ht="15.75" customHeight="1">
      <c r="A831" s="2"/>
      <c r="B831" s="2"/>
      <c r="C831" s="2"/>
      <c r="D831" s="2"/>
      <c r="E831" s="2"/>
      <c r="F831" s="2"/>
      <c r="G831" s="2"/>
      <c r="H831" s="2"/>
      <c r="I831" s="74"/>
      <c r="J831" s="74"/>
      <c r="K831" s="74"/>
      <c r="L831" s="74"/>
      <c r="M831" s="2"/>
      <c r="N831" s="2"/>
      <c r="O831" s="2"/>
      <c r="P831" s="74"/>
      <c r="Q831" s="2"/>
      <c r="R831" s="2"/>
      <c r="S831" s="76"/>
      <c r="T831" s="2"/>
      <c r="U831" s="62"/>
      <c r="V831" s="62"/>
      <c r="W831" s="62"/>
      <c r="X831" s="62"/>
      <c r="Y831" s="62"/>
      <c r="Z831" s="62"/>
    </row>
    <row r="832" ht="15.75" customHeight="1">
      <c r="A832" s="2"/>
      <c r="B832" s="2"/>
      <c r="C832" s="2"/>
      <c r="D832" s="2"/>
      <c r="E832" s="2"/>
      <c r="F832" s="2"/>
      <c r="G832" s="2"/>
      <c r="H832" s="2"/>
      <c r="I832" s="74"/>
      <c r="J832" s="74"/>
      <c r="K832" s="74"/>
      <c r="L832" s="74"/>
      <c r="M832" s="2"/>
      <c r="N832" s="2"/>
      <c r="O832" s="2"/>
      <c r="P832" s="74"/>
      <c r="Q832" s="2"/>
      <c r="R832" s="2"/>
      <c r="S832" s="76"/>
      <c r="T832" s="2"/>
      <c r="U832" s="62"/>
      <c r="V832" s="62"/>
      <c r="W832" s="62"/>
      <c r="X832" s="62"/>
      <c r="Y832" s="62"/>
      <c r="Z832" s="62"/>
    </row>
    <row r="833" ht="15.75" customHeight="1">
      <c r="A833" s="2"/>
      <c r="B833" s="2"/>
      <c r="C833" s="2"/>
      <c r="D833" s="2"/>
      <c r="E833" s="2"/>
      <c r="F833" s="2"/>
      <c r="G833" s="2"/>
      <c r="H833" s="2"/>
      <c r="I833" s="74"/>
      <c r="J833" s="74"/>
      <c r="K833" s="74"/>
      <c r="L833" s="74"/>
      <c r="M833" s="2"/>
      <c r="N833" s="2"/>
      <c r="O833" s="2"/>
      <c r="P833" s="74"/>
      <c r="Q833" s="2"/>
      <c r="R833" s="2"/>
      <c r="S833" s="76"/>
      <c r="T833" s="2"/>
      <c r="U833" s="62"/>
      <c r="V833" s="62"/>
      <c r="W833" s="62"/>
      <c r="X833" s="62"/>
      <c r="Y833" s="62"/>
      <c r="Z833" s="62"/>
    </row>
    <row r="834" ht="15.75" customHeight="1">
      <c r="A834" s="2"/>
      <c r="B834" s="2"/>
      <c r="C834" s="2"/>
      <c r="D834" s="2"/>
      <c r="E834" s="2"/>
      <c r="F834" s="2"/>
      <c r="G834" s="2"/>
      <c r="H834" s="2"/>
      <c r="I834" s="74"/>
      <c r="J834" s="74"/>
      <c r="K834" s="74"/>
      <c r="L834" s="74"/>
      <c r="M834" s="2"/>
      <c r="N834" s="2"/>
      <c r="O834" s="2"/>
      <c r="P834" s="74"/>
      <c r="Q834" s="2"/>
      <c r="R834" s="2"/>
      <c r="S834" s="76"/>
      <c r="T834" s="2"/>
      <c r="U834" s="62"/>
      <c r="V834" s="62"/>
      <c r="W834" s="62"/>
      <c r="X834" s="62"/>
      <c r="Y834" s="62"/>
      <c r="Z834" s="62"/>
    </row>
    <row r="835" ht="15.75" customHeight="1">
      <c r="A835" s="2"/>
      <c r="B835" s="2"/>
      <c r="C835" s="2"/>
      <c r="D835" s="2"/>
      <c r="E835" s="2"/>
      <c r="F835" s="2"/>
      <c r="G835" s="2"/>
      <c r="H835" s="2"/>
      <c r="I835" s="74"/>
      <c r="J835" s="74"/>
      <c r="K835" s="74"/>
      <c r="L835" s="74"/>
      <c r="M835" s="2"/>
      <c r="N835" s="2"/>
      <c r="O835" s="2"/>
      <c r="P835" s="74"/>
      <c r="Q835" s="2"/>
      <c r="R835" s="2"/>
      <c r="S835" s="76"/>
      <c r="T835" s="2"/>
      <c r="U835" s="62"/>
      <c r="V835" s="62"/>
      <c r="W835" s="62"/>
      <c r="X835" s="62"/>
      <c r="Y835" s="62"/>
      <c r="Z835" s="62"/>
    </row>
    <row r="836" ht="15.75" customHeight="1">
      <c r="A836" s="2"/>
      <c r="B836" s="2"/>
      <c r="C836" s="2"/>
      <c r="D836" s="2"/>
      <c r="E836" s="2"/>
      <c r="F836" s="2"/>
      <c r="G836" s="2"/>
      <c r="H836" s="2"/>
      <c r="I836" s="74"/>
      <c r="J836" s="74"/>
      <c r="K836" s="74"/>
      <c r="L836" s="74"/>
      <c r="M836" s="2"/>
      <c r="N836" s="2"/>
      <c r="O836" s="2"/>
      <c r="P836" s="74"/>
      <c r="Q836" s="2"/>
      <c r="R836" s="2"/>
      <c r="S836" s="76"/>
      <c r="T836" s="2"/>
      <c r="U836" s="62"/>
      <c r="V836" s="62"/>
      <c r="W836" s="62"/>
      <c r="X836" s="62"/>
      <c r="Y836" s="62"/>
      <c r="Z836" s="62"/>
    </row>
    <row r="837" ht="15.75" customHeight="1">
      <c r="A837" s="2"/>
      <c r="B837" s="2"/>
      <c r="C837" s="2"/>
      <c r="D837" s="2"/>
      <c r="E837" s="2"/>
      <c r="F837" s="2"/>
      <c r="G837" s="2"/>
      <c r="H837" s="2"/>
      <c r="I837" s="74"/>
      <c r="J837" s="74"/>
      <c r="K837" s="74"/>
      <c r="L837" s="74"/>
      <c r="M837" s="2"/>
      <c r="N837" s="2"/>
      <c r="O837" s="2"/>
      <c r="P837" s="74"/>
      <c r="Q837" s="2"/>
      <c r="R837" s="2"/>
      <c r="S837" s="76"/>
      <c r="T837" s="2"/>
      <c r="U837" s="62"/>
      <c r="V837" s="62"/>
      <c r="W837" s="62"/>
      <c r="X837" s="62"/>
      <c r="Y837" s="62"/>
      <c r="Z837" s="62"/>
    </row>
    <row r="838" ht="15.75" customHeight="1">
      <c r="A838" s="2"/>
      <c r="B838" s="2"/>
      <c r="C838" s="2"/>
      <c r="D838" s="2"/>
      <c r="E838" s="2"/>
      <c r="F838" s="2"/>
      <c r="G838" s="2"/>
      <c r="H838" s="2"/>
      <c r="I838" s="74"/>
      <c r="J838" s="74"/>
      <c r="K838" s="74"/>
      <c r="L838" s="74"/>
      <c r="M838" s="2"/>
      <c r="N838" s="2"/>
      <c r="O838" s="2"/>
      <c r="P838" s="74"/>
      <c r="Q838" s="2"/>
      <c r="R838" s="2"/>
      <c r="S838" s="76"/>
      <c r="T838" s="2"/>
      <c r="U838" s="62"/>
      <c r="V838" s="62"/>
      <c r="W838" s="62"/>
      <c r="X838" s="62"/>
      <c r="Y838" s="62"/>
      <c r="Z838" s="62"/>
    </row>
    <row r="839" ht="15.75" customHeight="1">
      <c r="A839" s="2"/>
      <c r="B839" s="2"/>
      <c r="C839" s="2"/>
      <c r="D839" s="2"/>
      <c r="E839" s="2"/>
      <c r="F839" s="2"/>
      <c r="G839" s="2"/>
      <c r="H839" s="2"/>
      <c r="I839" s="74"/>
      <c r="J839" s="74"/>
      <c r="K839" s="74"/>
      <c r="L839" s="74"/>
      <c r="M839" s="2"/>
      <c r="N839" s="2"/>
      <c r="O839" s="2"/>
      <c r="P839" s="74"/>
      <c r="Q839" s="2"/>
      <c r="R839" s="2"/>
      <c r="S839" s="76"/>
      <c r="T839" s="2"/>
      <c r="U839" s="62"/>
      <c r="V839" s="62"/>
      <c r="W839" s="62"/>
      <c r="X839" s="62"/>
      <c r="Y839" s="62"/>
      <c r="Z839" s="62"/>
    </row>
    <row r="840" ht="15.75" customHeight="1">
      <c r="A840" s="2"/>
      <c r="B840" s="2"/>
      <c r="C840" s="2"/>
      <c r="D840" s="2"/>
      <c r="E840" s="2"/>
      <c r="F840" s="2"/>
      <c r="G840" s="2"/>
      <c r="H840" s="2"/>
      <c r="I840" s="74"/>
      <c r="J840" s="74"/>
      <c r="K840" s="74"/>
      <c r="L840" s="74"/>
      <c r="M840" s="2"/>
      <c r="N840" s="2"/>
      <c r="O840" s="2"/>
      <c r="P840" s="74"/>
      <c r="Q840" s="2"/>
      <c r="R840" s="2"/>
      <c r="S840" s="76"/>
      <c r="T840" s="2"/>
      <c r="U840" s="62"/>
      <c r="V840" s="62"/>
      <c r="W840" s="62"/>
      <c r="X840" s="62"/>
      <c r="Y840" s="62"/>
      <c r="Z840" s="62"/>
    </row>
    <row r="841" ht="15.75" customHeight="1">
      <c r="A841" s="2"/>
      <c r="B841" s="2"/>
      <c r="C841" s="2"/>
      <c r="D841" s="2"/>
      <c r="E841" s="2"/>
      <c r="F841" s="2"/>
      <c r="G841" s="2"/>
      <c r="H841" s="2"/>
      <c r="I841" s="74"/>
      <c r="J841" s="74"/>
      <c r="K841" s="74"/>
      <c r="L841" s="74"/>
      <c r="M841" s="2"/>
      <c r="N841" s="2"/>
      <c r="O841" s="2"/>
      <c r="P841" s="74"/>
      <c r="Q841" s="2"/>
      <c r="R841" s="2"/>
      <c r="S841" s="76"/>
      <c r="T841" s="2"/>
      <c r="U841" s="62"/>
      <c r="V841" s="62"/>
      <c r="W841" s="62"/>
      <c r="X841" s="62"/>
      <c r="Y841" s="62"/>
      <c r="Z841" s="62"/>
    </row>
    <row r="842" ht="15.75" customHeight="1">
      <c r="A842" s="2"/>
      <c r="B842" s="2"/>
      <c r="C842" s="2"/>
      <c r="D842" s="2"/>
      <c r="E842" s="2"/>
      <c r="F842" s="2"/>
      <c r="G842" s="2"/>
      <c r="H842" s="2"/>
      <c r="I842" s="74"/>
      <c r="J842" s="74"/>
      <c r="K842" s="74"/>
      <c r="L842" s="74"/>
      <c r="M842" s="2"/>
      <c r="N842" s="2"/>
      <c r="O842" s="2"/>
      <c r="P842" s="74"/>
      <c r="Q842" s="2"/>
      <c r="R842" s="2"/>
      <c r="S842" s="76"/>
      <c r="T842" s="2"/>
      <c r="U842" s="62"/>
      <c r="V842" s="62"/>
      <c r="W842" s="62"/>
      <c r="X842" s="62"/>
      <c r="Y842" s="62"/>
      <c r="Z842" s="62"/>
    </row>
    <row r="843" ht="15.75" customHeight="1">
      <c r="A843" s="2"/>
      <c r="B843" s="2"/>
      <c r="C843" s="2"/>
      <c r="D843" s="2"/>
      <c r="E843" s="2"/>
      <c r="F843" s="2"/>
      <c r="G843" s="2"/>
      <c r="H843" s="2"/>
      <c r="I843" s="74"/>
      <c r="J843" s="74"/>
      <c r="K843" s="74"/>
      <c r="L843" s="74"/>
      <c r="M843" s="2"/>
      <c r="N843" s="2"/>
      <c r="O843" s="2"/>
      <c r="P843" s="74"/>
      <c r="Q843" s="2"/>
      <c r="R843" s="2"/>
      <c r="S843" s="76"/>
      <c r="T843" s="2"/>
      <c r="U843" s="62"/>
      <c r="V843" s="62"/>
      <c r="W843" s="62"/>
      <c r="X843" s="62"/>
      <c r="Y843" s="62"/>
      <c r="Z843" s="62"/>
    </row>
    <row r="844" ht="15.75" customHeight="1">
      <c r="A844" s="2"/>
      <c r="B844" s="2"/>
      <c r="C844" s="2"/>
      <c r="D844" s="2"/>
      <c r="E844" s="2"/>
      <c r="F844" s="2"/>
      <c r="G844" s="2"/>
      <c r="H844" s="2"/>
      <c r="I844" s="74"/>
      <c r="J844" s="74"/>
      <c r="K844" s="74"/>
      <c r="L844" s="74"/>
      <c r="M844" s="2"/>
      <c r="N844" s="2"/>
      <c r="O844" s="2"/>
      <c r="P844" s="74"/>
      <c r="Q844" s="2"/>
      <c r="R844" s="2"/>
      <c r="S844" s="76"/>
      <c r="T844" s="2"/>
      <c r="U844" s="62"/>
      <c r="V844" s="62"/>
      <c r="W844" s="62"/>
      <c r="X844" s="62"/>
      <c r="Y844" s="62"/>
      <c r="Z844" s="62"/>
    </row>
    <row r="845" ht="15.75" customHeight="1">
      <c r="A845" s="2"/>
      <c r="B845" s="2"/>
      <c r="C845" s="2"/>
      <c r="D845" s="2"/>
      <c r="E845" s="2"/>
      <c r="F845" s="2"/>
      <c r="G845" s="2"/>
      <c r="H845" s="2"/>
      <c r="I845" s="74"/>
      <c r="J845" s="74"/>
      <c r="K845" s="74"/>
      <c r="L845" s="74"/>
      <c r="M845" s="2"/>
      <c r="N845" s="2"/>
      <c r="O845" s="2"/>
      <c r="P845" s="74"/>
      <c r="Q845" s="2"/>
      <c r="R845" s="2"/>
      <c r="S845" s="76"/>
      <c r="T845" s="2"/>
      <c r="U845" s="62"/>
      <c r="V845" s="62"/>
      <c r="W845" s="62"/>
      <c r="X845" s="62"/>
      <c r="Y845" s="62"/>
      <c r="Z845" s="62"/>
    </row>
    <row r="846" ht="15.75" customHeight="1">
      <c r="A846" s="2"/>
      <c r="B846" s="2"/>
      <c r="C846" s="2"/>
      <c r="D846" s="2"/>
      <c r="E846" s="2"/>
      <c r="F846" s="2"/>
      <c r="G846" s="2"/>
      <c r="H846" s="2"/>
      <c r="I846" s="74"/>
      <c r="J846" s="74"/>
      <c r="K846" s="74"/>
      <c r="L846" s="74"/>
      <c r="M846" s="2"/>
      <c r="N846" s="2"/>
      <c r="O846" s="2"/>
      <c r="P846" s="74"/>
      <c r="Q846" s="2"/>
      <c r="R846" s="2"/>
      <c r="S846" s="76"/>
      <c r="T846" s="2"/>
      <c r="U846" s="62"/>
      <c r="V846" s="62"/>
      <c r="W846" s="62"/>
      <c r="X846" s="62"/>
      <c r="Y846" s="62"/>
      <c r="Z846" s="62"/>
    </row>
    <row r="847" ht="15.75" customHeight="1">
      <c r="A847" s="2"/>
      <c r="B847" s="2"/>
      <c r="C847" s="2"/>
      <c r="D847" s="2"/>
      <c r="E847" s="2"/>
      <c r="F847" s="2"/>
      <c r="G847" s="2"/>
      <c r="H847" s="2"/>
      <c r="I847" s="74"/>
      <c r="J847" s="74"/>
      <c r="K847" s="74"/>
      <c r="L847" s="74"/>
      <c r="M847" s="2"/>
      <c r="N847" s="2"/>
      <c r="O847" s="2"/>
      <c r="P847" s="74"/>
      <c r="Q847" s="2"/>
      <c r="R847" s="2"/>
      <c r="S847" s="76"/>
      <c r="T847" s="2"/>
      <c r="U847" s="62"/>
      <c r="V847" s="62"/>
      <c r="W847" s="62"/>
      <c r="X847" s="62"/>
      <c r="Y847" s="62"/>
      <c r="Z847" s="62"/>
    </row>
    <row r="848" ht="15.75" customHeight="1">
      <c r="A848" s="2"/>
      <c r="B848" s="2"/>
      <c r="C848" s="2"/>
      <c r="D848" s="2"/>
      <c r="E848" s="2"/>
      <c r="F848" s="2"/>
      <c r="G848" s="2"/>
      <c r="H848" s="2"/>
      <c r="I848" s="74"/>
      <c r="J848" s="74"/>
      <c r="K848" s="74"/>
      <c r="L848" s="74"/>
      <c r="M848" s="2"/>
      <c r="N848" s="2"/>
      <c r="O848" s="2"/>
      <c r="P848" s="74"/>
      <c r="Q848" s="2"/>
      <c r="R848" s="2"/>
      <c r="S848" s="76"/>
      <c r="T848" s="2"/>
      <c r="U848" s="62"/>
      <c r="V848" s="62"/>
      <c r="W848" s="62"/>
      <c r="X848" s="62"/>
      <c r="Y848" s="62"/>
      <c r="Z848" s="62"/>
    </row>
    <row r="849" ht="15.75" customHeight="1">
      <c r="A849" s="2"/>
      <c r="B849" s="2"/>
      <c r="C849" s="2"/>
      <c r="D849" s="2"/>
      <c r="E849" s="2"/>
      <c r="F849" s="2"/>
      <c r="G849" s="2"/>
      <c r="H849" s="2"/>
      <c r="I849" s="74"/>
      <c r="J849" s="74"/>
      <c r="K849" s="74"/>
      <c r="L849" s="74"/>
      <c r="M849" s="2"/>
      <c r="N849" s="2"/>
      <c r="O849" s="2"/>
      <c r="P849" s="74"/>
      <c r="Q849" s="2"/>
      <c r="R849" s="2"/>
      <c r="S849" s="76"/>
      <c r="T849" s="2"/>
      <c r="U849" s="62"/>
      <c r="V849" s="62"/>
      <c r="W849" s="62"/>
      <c r="X849" s="62"/>
      <c r="Y849" s="62"/>
      <c r="Z849" s="62"/>
    </row>
    <row r="850" ht="15.75" customHeight="1">
      <c r="A850" s="2"/>
      <c r="B850" s="2"/>
      <c r="C850" s="2"/>
      <c r="D850" s="2"/>
      <c r="E850" s="2"/>
      <c r="F850" s="2"/>
      <c r="G850" s="2"/>
      <c r="H850" s="2"/>
      <c r="I850" s="74"/>
      <c r="J850" s="74"/>
      <c r="K850" s="74"/>
      <c r="L850" s="74"/>
      <c r="M850" s="2"/>
      <c r="N850" s="2"/>
      <c r="O850" s="2"/>
      <c r="P850" s="74"/>
      <c r="Q850" s="2"/>
      <c r="R850" s="2"/>
      <c r="S850" s="76"/>
      <c r="T850" s="2"/>
      <c r="U850" s="62"/>
      <c r="V850" s="62"/>
      <c r="W850" s="62"/>
      <c r="X850" s="62"/>
      <c r="Y850" s="62"/>
      <c r="Z850" s="62"/>
    </row>
    <row r="851" ht="15.75" customHeight="1">
      <c r="A851" s="2"/>
      <c r="B851" s="2"/>
      <c r="C851" s="2"/>
      <c r="D851" s="2"/>
      <c r="E851" s="2"/>
      <c r="F851" s="2"/>
      <c r="G851" s="2"/>
      <c r="H851" s="2"/>
      <c r="I851" s="74"/>
      <c r="J851" s="74"/>
      <c r="K851" s="74"/>
      <c r="L851" s="74"/>
      <c r="M851" s="2"/>
      <c r="N851" s="2"/>
      <c r="O851" s="2"/>
      <c r="P851" s="74"/>
      <c r="Q851" s="2"/>
      <c r="R851" s="2"/>
      <c r="S851" s="76"/>
      <c r="T851" s="2"/>
      <c r="U851" s="62"/>
      <c r="V851" s="62"/>
      <c r="W851" s="62"/>
      <c r="X851" s="62"/>
      <c r="Y851" s="62"/>
      <c r="Z851" s="62"/>
    </row>
    <row r="852" ht="15.75" customHeight="1">
      <c r="A852" s="2"/>
      <c r="B852" s="2"/>
      <c r="C852" s="2"/>
      <c r="D852" s="2"/>
      <c r="E852" s="2"/>
      <c r="F852" s="2"/>
      <c r="G852" s="2"/>
      <c r="H852" s="2"/>
      <c r="I852" s="74"/>
      <c r="J852" s="74"/>
      <c r="K852" s="74"/>
      <c r="L852" s="74"/>
      <c r="M852" s="2"/>
      <c r="N852" s="2"/>
      <c r="O852" s="2"/>
      <c r="P852" s="74"/>
      <c r="Q852" s="2"/>
      <c r="R852" s="2"/>
      <c r="S852" s="76"/>
      <c r="T852" s="2"/>
      <c r="U852" s="62"/>
      <c r="V852" s="62"/>
      <c r="W852" s="62"/>
      <c r="X852" s="62"/>
      <c r="Y852" s="62"/>
      <c r="Z852" s="62"/>
    </row>
    <row r="853" ht="15.75" customHeight="1">
      <c r="A853" s="2"/>
      <c r="B853" s="2"/>
      <c r="C853" s="2"/>
      <c r="D853" s="2"/>
      <c r="E853" s="2"/>
      <c r="F853" s="2"/>
      <c r="G853" s="2"/>
      <c r="H853" s="2"/>
      <c r="I853" s="74"/>
      <c r="J853" s="74"/>
      <c r="K853" s="74"/>
      <c r="L853" s="74"/>
      <c r="M853" s="2"/>
      <c r="N853" s="2"/>
      <c r="O853" s="2"/>
      <c r="P853" s="74"/>
      <c r="Q853" s="2"/>
      <c r="R853" s="2"/>
      <c r="S853" s="76"/>
      <c r="T853" s="2"/>
      <c r="U853" s="62"/>
      <c r="V853" s="62"/>
      <c r="W853" s="62"/>
      <c r="X853" s="62"/>
      <c r="Y853" s="62"/>
      <c r="Z853" s="62"/>
    </row>
    <row r="854" ht="15.75" customHeight="1">
      <c r="A854" s="2"/>
      <c r="B854" s="2"/>
      <c r="C854" s="2"/>
      <c r="D854" s="2"/>
      <c r="E854" s="2"/>
      <c r="F854" s="2"/>
      <c r="G854" s="2"/>
      <c r="H854" s="2"/>
      <c r="I854" s="74"/>
      <c r="J854" s="74"/>
      <c r="K854" s="74"/>
      <c r="L854" s="74"/>
      <c r="M854" s="2"/>
      <c r="N854" s="2"/>
      <c r="O854" s="2"/>
      <c r="P854" s="74"/>
      <c r="Q854" s="2"/>
      <c r="R854" s="2"/>
      <c r="S854" s="76"/>
      <c r="T854" s="2"/>
      <c r="U854" s="62"/>
      <c r="V854" s="62"/>
      <c r="W854" s="62"/>
      <c r="X854" s="62"/>
      <c r="Y854" s="62"/>
      <c r="Z854" s="62"/>
    </row>
    <row r="855" ht="15.75" customHeight="1">
      <c r="A855" s="2"/>
      <c r="B855" s="2"/>
      <c r="C855" s="2"/>
      <c r="D855" s="2"/>
      <c r="E855" s="2"/>
      <c r="F855" s="2"/>
      <c r="G855" s="2"/>
      <c r="H855" s="2"/>
      <c r="I855" s="74"/>
      <c r="J855" s="74"/>
      <c r="K855" s="74"/>
      <c r="L855" s="74"/>
      <c r="M855" s="2"/>
      <c r="N855" s="2"/>
      <c r="O855" s="2"/>
      <c r="P855" s="74"/>
      <c r="Q855" s="2"/>
      <c r="R855" s="2"/>
      <c r="S855" s="76"/>
      <c r="T855" s="2"/>
      <c r="U855" s="62"/>
      <c r="V855" s="62"/>
      <c r="W855" s="62"/>
      <c r="X855" s="62"/>
      <c r="Y855" s="62"/>
      <c r="Z855" s="62"/>
    </row>
    <row r="856" ht="15.75" customHeight="1">
      <c r="A856" s="2"/>
      <c r="B856" s="2"/>
      <c r="C856" s="2"/>
      <c r="D856" s="2"/>
      <c r="E856" s="2"/>
      <c r="F856" s="2"/>
      <c r="G856" s="2"/>
      <c r="H856" s="2"/>
      <c r="I856" s="74"/>
      <c r="J856" s="74"/>
      <c r="K856" s="74"/>
      <c r="L856" s="74"/>
      <c r="M856" s="2"/>
      <c r="N856" s="2"/>
      <c r="O856" s="2"/>
      <c r="P856" s="74"/>
      <c r="Q856" s="2"/>
      <c r="R856" s="2"/>
      <c r="S856" s="76"/>
      <c r="T856" s="2"/>
      <c r="U856" s="62"/>
      <c r="V856" s="62"/>
      <c r="W856" s="62"/>
      <c r="X856" s="62"/>
      <c r="Y856" s="62"/>
      <c r="Z856" s="62"/>
    </row>
    <row r="857" ht="15.75" customHeight="1">
      <c r="A857" s="2"/>
      <c r="B857" s="2"/>
      <c r="C857" s="2"/>
      <c r="D857" s="2"/>
      <c r="E857" s="2"/>
      <c r="F857" s="2"/>
      <c r="G857" s="2"/>
      <c r="H857" s="2"/>
      <c r="I857" s="74"/>
      <c r="J857" s="74"/>
      <c r="K857" s="74"/>
      <c r="L857" s="74"/>
      <c r="M857" s="2"/>
      <c r="N857" s="2"/>
      <c r="O857" s="2"/>
      <c r="P857" s="74"/>
      <c r="Q857" s="2"/>
      <c r="R857" s="2"/>
      <c r="S857" s="76"/>
      <c r="T857" s="2"/>
      <c r="U857" s="62"/>
      <c r="V857" s="62"/>
      <c r="W857" s="62"/>
      <c r="X857" s="62"/>
      <c r="Y857" s="62"/>
      <c r="Z857" s="62"/>
    </row>
    <row r="858" ht="15.75" customHeight="1">
      <c r="A858" s="2"/>
      <c r="B858" s="2"/>
      <c r="C858" s="2"/>
      <c r="D858" s="2"/>
      <c r="E858" s="2"/>
      <c r="F858" s="2"/>
      <c r="G858" s="2"/>
      <c r="H858" s="2"/>
      <c r="I858" s="74"/>
      <c r="J858" s="74"/>
      <c r="K858" s="74"/>
      <c r="L858" s="74"/>
      <c r="M858" s="2"/>
      <c r="N858" s="2"/>
      <c r="O858" s="2"/>
      <c r="P858" s="74"/>
      <c r="Q858" s="2"/>
      <c r="R858" s="2"/>
      <c r="S858" s="76"/>
      <c r="T858" s="2"/>
      <c r="U858" s="62"/>
      <c r="V858" s="62"/>
      <c r="W858" s="62"/>
      <c r="X858" s="62"/>
      <c r="Y858" s="62"/>
      <c r="Z858" s="62"/>
    </row>
    <row r="859" ht="15.75" customHeight="1">
      <c r="A859" s="2"/>
      <c r="B859" s="2"/>
      <c r="C859" s="2"/>
      <c r="D859" s="2"/>
      <c r="E859" s="2"/>
      <c r="F859" s="2"/>
      <c r="G859" s="2"/>
      <c r="H859" s="2"/>
      <c r="I859" s="74"/>
      <c r="J859" s="74"/>
      <c r="K859" s="74"/>
      <c r="L859" s="74"/>
      <c r="M859" s="2"/>
      <c r="N859" s="2"/>
      <c r="O859" s="2"/>
      <c r="P859" s="74"/>
      <c r="Q859" s="2"/>
      <c r="R859" s="2"/>
      <c r="S859" s="76"/>
      <c r="T859" s="2"/>
      <c r="U859" s="62"/>
      <c r="V859" s="62"/>
      <c r="W859" s="62"/>
      <c r="X859" s="62"/>
      <c r="Y859" s="62"/>
      <c r="Z859" s="62"/>
    </row>
    <row r="860" ht="15.75" customHeight="1">
      <c r="A860" s="2"/>
      <c r="B860" s="2"/>
      <c r="C860" s="2"/>
      <c r="D860" s="2"/>
      <c r="E860" s="2"/>
      <c r="F860" s="2"/>
      <c r="G860" s="2"/>
      <c r="H860" s="2"/>
      <c r="I860" s="74"/>
      <c r="J860" s="74"/>
      <c r="K860" s="74"/>
      <c r="L860" s="74"/>
      <c r="M860" s="2"/>
      <c r="N860" s="2"/>
      <c r="O860" s="2"/>
      <c r="P860" s="74"/>
      <c r="Q860" s="2"/>
      <c r="R860" s="2"/>
      <c r="S860" s="76"/>
      <c r="T860" s="2"/>
      <c r="U860" s="62"/>
      <c r="V860" s="62"/>
      <c r="W860" s="62"/>
      <c r="X860" s="62"/>
      <c r="Y860" s="62"/>
      <c r="Z860" s="62"/>
    </row>
    <row r="861" ht="15.75" customHeight="1">
      <c r="A861" s="2"/>
      <c r="B861" s="2"/>
      <c r="C861" s="2"/>
      <c r="D861" s="2"/>
      <c r="E861" s="2"/>
      <c r="F861" s="2"/>
      <c r="G861" s="2"/>
      <c r="H861" s="2"/>
      <c r="I861" s="74"/>
      <c r="J861" s="74"/>
      <c r="K861" s="74"/>
      <c r="L861" s="74"/>
      <c r="M861" s="2"/>
      <c r="N861" s="2"/>
      <c r="O861" s="2"/>
      <c r="P861" s="74"/>
      <c r="Q861" s="2"/>
      <c r="R861" s="2"/>
      <c r="S861" s="76"/>
      <c r="T861" s="2"/>
      <c r="U861" s="62"/>
      <c r="V861" s="62"/>
      <c r="W861" s="62"/>
      <c r="X861" s="62"/>
      <c r="Y861" s="62"/>
      <c r="Z861" s="62"/>
    </row>
    <row r="862" ht="15.75" customHeight="1">
      <c r="A862" s="2"/>
      <c r="B862" s="2"/>
      <c r="C862" s="2"/>
      <c r="D862" s="2"/>
      <c r="E862" s="2"/>
      <c r="F862" s="2"/>
      <c r="G862" s="2"/>
      <c r="H862" s="2"/>
      <c r="I862" s="74"/>
      <c r="J862" s="74"/>
      <c r="K862" s="74"/>
      <c r="L862" s="74"/>
      <c r="M862" s="2"/>
      <c r="N862" s="2"/>
      <c r="O862" s="2"/>
      <c r="P862" s="74"/>
      <c r="Q862" s="2"/>
      <c r="R862" s="2"/>
      <c r="S862" s="76"/>
      <c r="T862" s="2"/>
      <c r="U862" s="62"/>
      <c r="V862" s="62"/>
      <c r="W862" s="62"/>
      <c r="X862" s="62"/>
      <c r="Y862" s="62"/>
      <c r="Z862" s="62"/>
    </row>
    <row r="863" ht="15.75" customHeight="1">
      <c r="A863" s="2"/>
      <c r="B863" s="2"/>
      <c r="C863" s="2"/>
      <c r="D863" s="2"/>
      <c r="E863" s="2"/>
      <c r="F863" s="2"/>
      <c r="G863" s="2"/>
      <c r="H863" s="2"/>
      <c r="I863" s="74"/>
      <c r="J863" s="74"/>
      <c r="K863" s="74"/>
      <c r="L863" s="74"/>
      <c r="M863" s="2"/>
      <c r="N863" s="2"/>
      <c r="O863" s="2"/>
      <c r="P863" s="74"/>
      <c r="Q863" s="2"/>
      <c r="R863" s="2"/>
      <c r="S863" s="76"/>
      <c r="T863" s="2"/>
      <c r="U863" s="62"/>
      <c r="V863" s="62"/>
      <c r="W863" s="62"/>
      <c r="X863" s="62"/>
      <c r="Y863" s="62"/>
      <c r="Z863" s="62"/>
    </row>
    <row r="864" ht="15.75" customHeight="1">
      <c r="A864" s="2"/>
      <c r="B864" s="2"/>
      <c r="C864" s="2"/>
      <c r="D864" s="2"/>
      <c r="E864" s="2"/>
      <c r="F864" s="2"/>
      <c r="G864" s="2"/>
      <c r="H864" s="2"/>
      <c r="I864" s="74"/>
      <c r="J864" s="74"/>
      <c r="K864" s="74"/>
      <c r="L864" s="74"/>
      <c r="M864" s="2"/>
      <c r="N864" s="2"/>
      <c r="O864" s="2"/>
      <c r="P864" s="74"/>
      <c r="Q864" s="2"/>
      <c r="R864" s="2"/>
      <c r="S864" s="76"/>
      <c r="T864" s="2"/>
      <c r="U864" s="62"/>
      <c r="V864" s="62"/>
      <c r="W864" s="62"/>
      <c r="X864" s="62"/>
      <c r="Y864" s="62"/>
      <c r="Z864" s="62"/>
    </row>
    <row r="865" ht="15.75" customHeight="1">
      <c r="A865" s="2"/>
      <c r="B865" s="2"/>
      <c r="C865" s="2"/>
      <c r="D865" s="2"/>
      <c r="E865" s="2"/>
      <c r="F865" s="2"/>
      <c r="G865" s="2"/>
      <c r="H865" s="2"/>
      <c r="I865" s="74"/>
      <c r="J865" s="74"/>
      <c r="K865" s="74"/>
      <c r="L865" s="74"/>
      <c r="M865" s="2"/>
      <c r="N865" s="2"/>
      <c r="O865" s="2"/>
      <c r="P865" s="74"/>
      <c r="Q865" s="2"/>
      <c r="R865" s="2"/>
      <c r="S865" s="76"/>
      <c r="T865" s="2"/>
      <c r="U865" s="62"/>
      <c r="V865" s="62"/>
      <c r="W865" s="62"/>
      <c r="X865" s="62"/>
      <c r="Y865" s="62"/>
      <c r="Z865" s="62"/>
    </row>
    <row r="866" ht="15.75" customHeight="1">
      <c r="A866" s="2"/>
      <c r="B866" s="2"/>
      <c r="C866" s="2"/>
      <c r="D866" s="2"/>
      <c r="E866" s="2"/>
      <c r="F866" s="2"/>
      <c r="G866" s="2"/>
      <c r="H866" s="2"/>
      <c r="I866" s="74"/>
      <c r="J866" s="74"/>
      <c r="K866" s="74"/>
      <c r="L866" s="74"/>
      <c r="M866" s="2"/>
      <c r="N866" s="2"/>
      <c r="O866" s="2"/>
      <c r="P866" s="74"/>
      <c r="Q866" s="2"/>
      <c r="R866" s="2"/>
      <c r="S866" s="76"/>
      <c r="T866" s="2"/>
      <c r="U866" s="62"/>
      <c r="V866" s="62"/>
      <c r="W866" s="62"/>
      <c r="X866" s="62"/>
      <c r="Y866" s="62"/>
      <c r="Z866" s="62"/>
    </row>
    <row r="867" ht="15.75" customHeight="1">
      <c r="A867" s="2"/>
      <c r="B867" s="2"/>
      <c r="C867" s="2"/>
      <c r="D867" s="2"/>
      <c r="E867" s="2"/>
      <c r="F867" s="2"/>
      <c r="G867" s="2"/>
      <c r="H867" s="2"/>
      <c r="I867" s="74"/>
      <c r="J867" s="74"/>
      <c r="K867" s="74"/>
      <c r="L867" s="74"/>
      <c r="M867" s="2"/>
      <c r="N867" s="2"/>
      <c r="O867" s="2"/>
      <c r="P867" s="74"/>
      <c r="Q867" s="2"/>
      <c r="R867" s="2"/>
      <c r="S867" s="76"/>
      <c r="T867" s="2"/>
      <c r="U867" s="62"/>
      <c r="V867" s="62"/>
      <c r="W867" s="62"/>
      <c r="X867" s="62"/>
      <c r="Y867" s="62"/>
      <c r="Z867" s="62"/>
    </row>
    <row r="868" ht="15.75" customHeight="1">
      <c r="A868" s="2"/>
      <c r="B868" s="2"/>
      <c r="C868" s="2"/>
      <c r="D868" s="2"/>
      <c r="E868" s="2"/>
      <c r="F868" s="2"/>
      <c r="G868" s="2"/>
      <c r="H868" s="2"/>
      <c r="I868" s="74"/>
      <c r="J868" s="74"/>
      <c r="K868" s="74"/>
      <c r="L868" s="74"/>
      <c r="M868" s="2"/>
      <c r="N868" s="2"/>
      <c r="O868" s="2"/>
      <c r="P868" s="74"/>
      <c r="Q868" s="2"/>
      <c r="R868" s="2"/>
      <c r="S868" s="76"/>
      <c r="T868" s="2"/>
      <c r="U868" s="62"/>
      <c r="V868" s="62"/>
      <c r="W868" s="62"/>
      <c r="X868" s="62"/>
      <c r="Y868" s="62"/>
      <c r="Z868" s="62"/>
    </row>
    <row r="869" ht="15.75" customHeight="1">
      <c r="A869" s="2"/>
      <c r="B869" s="2"/>
      <c r="C869" s="2"/>
      <c r="D869" s="2"/>
      <c r="E869" s="2"/>
      <c r="F869" s="2"/>
      <c r="G869" s="2"/>
      <c r="H869" s="2"/>
      <c r="I869" s="74"/>
      <c r="J869" s="74"/>
      <c r="K869" s="74"/>
      <c r="L869" s="74"/>
      <c r="M869" s="2"/>
      <c r="N869" s="2"/>
      <c r="O869" s="2"/>
      <c r="P869" s="74"/>
      <c r="Q869" s="2"/>
      <c r="R869" s="2"/>
      <c r="S869" s="76"/>
      <c r="T869" s="2"/>
      <c r="U869" s="62"/>
      <c r="V869" s="62"/>
      <c r="W869" s="62"/>
      <c r="X869" s="62"/>
      <c r="Y869" s="62"/>
      <c r="Z869" s="62"/>
    </row>
    <row r="870" ht="15.75" customHeight="1">
      <c r="A870" s="2"/>
      <c r="B870" s="2"/>
      <c r="C870" s="2"/>
      <c r="D870" s="2"/>
      <c r="E870" s="2"/>
      <c r="F870" s="2"/>
      <c r="G870" s="2"/>
      <c r="H870" s="2"/>
      <c r="I870" s="74"/>
      <c r="J870" s="74"/>
      <c r="K870" s="74"/>
      <c r="L870" s="74"/>
      <c r="M870" s="2"/>
      <c r="N870" s="2"/>
      <c r="O870" s="2"/>
      <c r="P870" s="74"/>
      <c r="Q870" s="2"/>
      <c r="R870" s="2"/>
      <c r="S870" s="76"/>
      <c r="T870" s="2"/>
      <c r="U870" s="62"/>
      <c r="V870" s="62"/>
      <c r="W870" s="62"/>
      <c r="X870" s="62"/>
      <c r="Y870" s="62"/>
      <c r="Z870" s="62"/>
    </row>
    <row r="871" ht="15.75" customHeight="1">
      <c r="A871" s="2"/>
      <c r="B871" s="2"/>
      <c r="C871" s="2"/>
      <c r="D871" s="2"/>
      <c r="E871" s="2"/>
      <c r="F871" s="2"/>
      <c r="G871" s="2"/>
      <c r="H871" s="2"/>
      <c r="I871" s="74"/>
      <c r="J871" s="74"/>
      <c r="K871" s="74"/>
      <c r="L871" s="74"/>
      <c r="M871" s="2"/>
      <c r="N871" s="2"/>
      <c r="O871" s="2"/>
      <c r="P871" s="74"/>
      <c r="Q871" s="2"/>
      <c r="R871" s="2"/>
      <c r="S871" s="76"/>
      <c r="T871" s="2"/>
      <c r="U871" s="62"/>
      <c r="V871" s="62"/>
      <c r="W871" s="62"/>
      <c r="X871" s="62"/>
      <c r="Y871" s="62"/>
      <c r="Z871" s="62"/>
    </row>
    <row r="872" ht="15.75" customHeight="1">
      <c r="A872" s="2"/>
      <c r="B872" s="2"/>
      <c r="C872" s="2"/>
      <c r="D872" s="2"/>
      <c r="E872" s="2"/>
      <c r="F872" s="2"/>
      <c r="G872" s="2"/>
      <c r="H872" s="2"/>
      <c r="I872" s="74"/>
      <c r="J872" s="74"/>
      <c r="K872" s="74"/>
      <c r="L872" s="74"/>
      <c r="M872" s="2"/>
      <c r="N872" s="2"/>
      <c r="O872" s="2"/>
      <c r="P872" s="74"/>
      <c r="Q872" s="2"/>
      <c r="R872" s="2"/>
      <c r="S872" s="76"/>
      <c r="T872" s="2"/>
      <c r="U872" s="62"/>
      <c r="V872" s="62"/>
      <c r="W872" s="62"/>
      <c r="X872" s="62"/>
      <c r="Y872" s="62"/>
      <c r="Z872" s="62"/>
    </row>
    <row r="873" ht="15.75" customHeight="1">
      <c r="A873" s="2"/>
      <c r="B873" s="2"/>
      <c r="C873" s="2"/>
      <c r="D873" s="2"/>
      <c r="E873" s="2"/>
      <c r="F873" s="2"/>
      <c r="G873" s="2"/>
      <c r="H873" s="2"/>
      <c r="I873" s="74"/>
      <c r="J873" s="74"/>
      <c r="K873" s="74"/>
      <c r="L873" s="74"/>
      <c r="M873" s="2"/>
      <c r="N873" s="2"/>
      <c r="O873" s="2"/>
      <c r="P873" s="74"/>
      <c r="Q873" s="2"/>
      <c r="R873" s="2"/>
      <c r="S873" s="76"/>
      <c r="T873" s="2"/>
      <c r="U873" s="62"/>
      <c r="V873" s="62"/>
      <c r="W873" s="62"/>
      <c r="X873" s="62"/>
      <c r="Y873" s="62"/>
      <c r="Z873" s="62"/>
    </row>
    <row r="874" ht="15.75" customHeight="1">
      <c r="A874" s="2"/>
      <c r="B874" s="2"/>
      <c r="C874" s="2"/>
      <c r="D874" s="2"/>
      <c r="E874" s="2"/>
      <c r="F874" s="2"/>
      <c r="G874" s="2"/>
      <c r="H874" s="2"/>
      <c r="I874" s="74"/>
      <c r="J874" s="74"/>
      <c r="K874" s="74"/>
      <c r="L874" s="74"/>
      <c r="M874" s="2"/>
      <c r="N874" s="2"/>
      <c r="O874" s="2"/>
      <c r="P874" s="74"/>
      <c r="Q874" s="2"/>
      <c r="R874" s="2"/>
      <c r="S874" s="76"/>
      <c r="T874" s="2"/>
      <c r="U874" s="62"/>
      <c r="V874" s="62"/>
      <c r="W874" s="62"/>
      <c r="X874" s="62"/>
      <c r="Y874" s="62"/>
      <c r="Z874" s="62"/>
    </row>
    <row r="875" ht="15.75" customHeight="1">
      <c r="A875" s="2"/>
      <c r="B875" s="2"/>
      <c r="C875" s="2"/>
      <c r="D875" s="2"/>
      <c r="E875" s="2"/>
      <c r="F875" s="2"/>
      <c r="G875" s="2"/>
      <c r="H875" s="2"/>
      <c r="I875" s="74"/>
      <c r="J875" s="74"/>
      <c r="K875" s="74"/>
      <c r="L875" s="74"/>
      <c r="M875" s="2"/>
      <c r="N875" s="2"/>
      <c r="O875" s="2"/>
      <c r="P875" s="74"/>
      <c r="Q875" s="2"/>
      <c r="R875" s="2"/>
      <c r="S875" s="76"/>
      <c r="T875" s="2"/>
      <c r="U875" s="62"/>
      <c r="V875" s="62"/>
      <c r="W875" s="62"/>
      <c r="X875" s="62"/>
      <c r="Y875" s="62"/>
      <c r="Z875" s="62"/>
    </row>
    <row r="876" ht="15.75" customHeight="1">
      <c r="A876" s="2"/>
      <c r="B876" s="2"/>
      <c r="C876" s="2"/>
      <c r="D876" s="2"/>
      <c r="E876" s="2"/>
      <c r="F876" s="2"/>
      <c r="G876" s="2"/>
      <c r="H876" s="2"/>
      <c r="I876" s="74"/>
      <c r="J876" s="74"/>
      <c r="K876" s="74"/>
      <c r="L876" s="74"/>
      <c r="M876" s="2"/>
      <c r="N876" s="2"/>
      <c r="O876" s="2"/>
      <c r="P876" s="74"/>
      <c r="Q876" s="2"/>
      <c r="R876" s="2"/>
      <c r="S876" s="76"/>
      <c r="T876" s="2"/>
      <c r="U876" s="62"/>
      <c r="V876" s="62"/>
      <c r="W876" s="62"/>
      <c r="X876" s="62"/>
      <c r="Y876" s="62"/>
      <c r="Z876" s="62"/>
    </row>
    <row r="877" ht="15.75" customHeight="1">
      <c r="A877" s="2"/>
      <c r="B877" s="2"/>
      <c r="C877" s="2"/>
      <c r="D877" s="2"/>
      <c r="E877" s="2"/>
      <c r="F877" s="2"/>
      <c r="G877" s="2"/>
      <c r="H877" s="2"/>
      <c r="I877" s="74"/>
      <c r="J877" s="74"/>
      <c r="K877" s="74"/>
      <c r="L877" s="74"/>
      <c r="M877" s="2"/>
      <c r="N877" s="2"/>
      <c r="O877" s="2"/>
      <c r="P877" s="74"/>
      <c r="Q877" s="2"/>
      <c r="R877" s="2"/>
      <c r="S877" s="76"/>
      <c r="T877" s="2"/>
      <c r="U877" s="62"/>
      <c r="V877" s="62"/>
      <c r="W877" s="62"/>
      <c r="X877" s="62"/>
      <c r="Y877" s="62"/>
      <c r="Z877" s="62"/>
    </row>
    <row r="878" ht="15.75" customHeight="1">
      <c r="A878" s="2"/>
      <c r="B878" s="2"/>
      <c r="C878" s="2"/>
      <c r="D878" s="2"/>
      <c r="E878" s="2"/>
      <c r="F878" s="2"/>
      <c r="G878" s="2"/>
      <c r="H878" s="2"/>
      <c r="I878" s="74"/>
      <c r="J878" s="74"/>
      <c r="K878" s="74"/>
      <c r="L878" s="74"/>
      <c r="M878" s="2"/>
      <c r="N878" s="2"/>
      <c r="O878" s="2"/>
      <c r="P878" s="74"/>
      <c r="Q878" s="2"/>
      <c r="R878" s="2"/>
      <c r="S878" s="76"/>
      <c r="T878" s="2"/>
      <c r="U878" s="62"/>
      <c r="V878" s="62"/>
      <c r="W878" s="62"/>
      <c r="X878" s="62"/>
      <c r="Y878" s="62"/>
      <c r="Z878" s="62"/>
    </row>
    <row r="879" ht="15.75" customHeight="1">
      <c r="A879" s="2"/>
      <c r="B879" s="2"/>
      <c r="C879" s="2"/>
      <c r="D879" s="2"/>
      <c r="E879" s="2"/>
      <c r="F879" s="2"/>
      <c r="G879" s="2"/>
      <c r="H879" s="2"/>
      <c r="I879" s="74"/>
      <c r="J879" s="74"/>
      <c r="K879" s="74"/>
      <c r="L879" s="74"/>
      <c r="M879" s="2"/>
      <c r="N879" s="2"/>
      <c r="O879" s="2"/>
      <c r="P879" s="74"/>
      <c r="Q879" s="2"/>
      <c r="R879" s="2"/>
      <c r="S879" s="76"/>
      <c r="T879" s="2"/>
      <c r="U879" s="62"/>
      <c r="V879" s="62"/>
      <c r="W879" s="62"/>
      <c r="X879" s="62"/>
      <c r="Y879" s="62"/>
      <c r="Z879" s="62"/>
    </row>
    <row r="880" ht="15.75" customHeight="1">
      <c r="A880" s="2"/>
      <c r="B880" s="2"/>
      <c r="C880" s="2"/>
      <c r="D880" s="2"/>
      <c r="E880" s="2"/>
      <c r="F880" s="2"/>
      <c r="G880" s="2"/>
      <c r="H880" s="2"/>
      <c r="I880" s="74"/>
      <c r="J880" s="74"/>
      <c r="K880" s="74"/>
      <c r="L880" s="74"/>
      <c r="M880" s="2"/>
      <c r="N880" s="2"/>
      <c r="O880" s="2"/>
      <c r="P880" s="74"/>
      <c r="Q880" s="2"/>
      <c r="R880" s="2"/>
      <c r="S880" s="76"/>
      <c r="T880" s="2"/>
      <c r="U880" s="62"/>
      <c r="V880" s="62"/>
      <c r="W880" s="62"/>
      <c r="X880" s="62"/>
      <c r="Y880" s="62"/>
      <c r="Z880" s="62"/>
    </row>
    <row r="881" ht="15.75" customHeight="1">
      <c r="A881" s="2"/>
      <c r="B881" s="2"/>
      <c r="C881" s="2"/>
      <c r="D881" s="2"/>
      <c r="E881" s="2"/>
      <c r="F881" s="2"/>
      <c r="G881" s="2"/>
      <c r="H881" s="2"/>
      <c r="I881" s="74"/>
      <c r="J881" s="74"/>
      <c r="K881" s="74"/>
      <c r="L881" s="74"/>
      <c r="M881" s="2"/>
      <c r="N881" s="2"/>
      <c r="O881" s="2"/>
      <c r="P881" s="74"/>
      <c r="Q881" s="2"/>
      <c r="R881" s="2"/>
      <c r="S881" s="76"/>
      <c r="T881" s="2"/>
      <c r="U881" s="62"/>
      <c r="V881" s="62"/>
      <c r="W881" s="62"/>
      <c r="X881" s="62"/>
      <c r="Y881" s="62"/>
      <c r="Z881" s="62"/>
    </row>
    <row r="882" ht="15.75" customHeight="1">
      <c r="A882" s="2"/>
      <c r="B882" s="2"/>
      <c r="C882" s="2"/>
      <c r="D882" s="2"/>
      <c r="E882" s="2"/>
      <c r="F882" s="2"/>
      <c r="G882" s="2"/>
      <c r="H882" s="2"/>
      <c r="I882" s="74"/>
      <c r="J882" s="74"/>
      <c r="K882" s="74"/>
      <c r="L882" s="74"/>
      <c r="M882" s="2"/>
      <c r="N882" s="2"/>
      <c r="O882" s="2"/>
      <c r="P882" s="74"/>
      <c r="Q882" s="2"/>
      <c r="R882" s="2"/>
      <c r="S882" s="76"/>
      <c r="T882" s="2"/>
      <c r="U882" s="62"/>
      <c r="V882" s="62"/>
      <c r="W882" s="62"/>
      <c r="X882" s="62"/>
      <c r="Y882" s="62"/>
      <c r="Z882" s="62"/>
    </row>
    <row r="883" ht="15.75" customHeight="1">
      <c r="A883" s="2"/>
      <c r="B883" s="2"/>
      <c r="C883" s="2"/>
      <c r="D883" s="2"/>
      <c r="E883" s="2"/>
      <c r="F883" s="2"/>
      <c r="G883" s="2"/>
      <c r="H883" s="2"/>
      <c r="I883" s="74"/>
      <c r="J883" s="74"/>
      <c r="K883" s="74"/>
      <c r="L883" s="74"/>
      <c r="M883" s="2"/>
      <c r="N883" s="2"/>
      <c r="O883" s="2"/>
      <c r="P883" s="74"/>
      <c r="Q883" s="2"/>
      <c r="R883" s="2"/>
      <c r="S883" s="76"/>
      <c r="T883" s="2"/>
      <c r="U883" s="62"/>
      <c r="V883" s="62"/>
      <c r="W883" s="62"/>
      <c r="X883" s="62"/>
      <c r="Y883" s="62"/>
      <c r="Z883" s="62"/>
    </row>
    <row r="884" ht="15.75" customHeight="1">
      <c r="A884" s="2"/>
      <c r="B884" s="2"/>
      <c r="C884" s="2"/>
      <c r="D884" s="2"/>
      <c r="E884" s="2"/>
      <c r="F884" s="2"/>
      <c r="G884" s="2"/>
      <c r="H884" s="2"/>
      <c r="I884" s="74"/>
      <c r="J884" s="74"/>
      <c r="K884" s="74"/>
      <c r="L884" s="74"/>
      <c r="M884" s="2"/>
      <c r="N884" s="2"/>
      <c r="O884" s="2"/>
      <c r="P884" s="74"/>
      <c r="Q884" s="2"/>
      <c r="R884" s="2"/>
      <c r="S884" s="76"/>
      <c r="T884" s="2"/>
      <c r="U884" s="62"/>
      <c r="V884" s="62"/>
      <c r="W884" s="62"/>
      <c r="X884" s="62"/>
      <c r="Y884" s="62"/>
      <c r="Z884" s="62"/>
    </row>
    <row r="885" ht="15.75" customHeight="1">
      <c r="A885" s="2"/>
      <c r="B885" s="2"/>
      <c r="C885" s="2"/>
      <c r="D885" s="2"/>
      <c r="E885" s="2"/>
      <c r="F885" s="2"/>
      <c r="G885" s="2"/>
      <c r="H885" s="2"/>
      <c r="I885" s="74"/>
      <c r="J885" s="74"/>
      <c r="K885" s="74"/>
      <c r="L885" s="74"/>
      <c r="M885" s="2"/>
      <c r="N885" s="2"/>
      <c r="O885" s="2"/>
      <c r="P885" s="74"/>
      <c r="Q885" s="2"/>
      <c r="R885" s="2"/>
      <c r="S885" s="76"/>
      <c r="T885" s="2"/>
      <c r="U885" s="62"/>
      <c r="V885" s="62"/>
      <c r="W885" s="62"/>
      <c r="X885" s="62"/>
      <c r="Y885" s="62"/>
      <c r="Z885" s="62"/>
    </row>
    <row r="886" ht="15.75" customHeight="1">
      <c r="A886" s="2"/>
      <c r="B886" s="2"/>
      <c r="C886" s="2"/>
      <c r="D886" s="2"/>
      <c r="E886" s="2"/>
      <c r="F886" s="2"/>
      <c r="G886" s="2"/>
      <c r="H886" s="2"/>
      <c r="I886" s="74"/>
      <c r="J886" s="74"/>
      <c r="K886" s="74"/>
      <c r="L886" s="74"/>
      <c r="M886" s="2"/>
      <c r="N886" s="2"/>
      <c r="O886" s="2"/>
      <c r="P886" s="74"/>
      <c r="Q886" s="2"/>
      <c r="R886" s="2"/>
      <c r="S886" s="76"/>
      <c r="T886" s="2"/>
      <c r="U886" s="62"/>
      <c r="V886" s="62"/>
      <c r="W886" s="62"/>
      <c r="X886" s="62"/>
      <c r="Y886" s="62"/>
      <c r="Z886" s="62"/>
    </row>
    <row r="887" ht="15.75" customHeight="1">
      <c r="A887" s="2"/>
      <c r="B887" s="2"/>
      <c r="C887" s="2"/>
      <c r="D887" s="2"/>
      <c r="E887" s="2"/>
      <c r="F887" s="2"/>
      <c r="G887" s="2"/>
      <c r="H887" s="2"/>
      <c r="I887" s="74"/>
      <c r="J887" s="74"/>
      <c r="K887" s="74"/>
      <c r="L887" s="74"/>
      <c r="M887" s="2"/>
      <c r="N887" s="2"/>
      <c r="O887" s="2"/>
      <c r="P887" s="74"/>
      <c r="Q887" s="2"/>
      <c r="R887" s="2"/>
      <c r="S887" s="76"/>
      <c r="T887" s="2"/>
      <c r="U887" s="62"/>
      <c r="V887" s="62"/>
      <c r="W887" s="62"/>
      <c r="X887" s="62"/>
      <c r="Y887" s="62"/>
      <c r="Z887" s="62"/>
    </row>
    <row r="888" ht="15.75" customHeight="1">
      <c r="A888" s="2"/>
      <c r="B888" s="2"/>
      <c r="C888" s="2"/>
      <c r="D888" s="2"/>
      <c r="E888" s="2"/>
      <c r="F888" s="2"/>
      <c r="G888" s="2"/>
      <c r="H888" s="2"/>
      <c r="I888" s="74"/>
      <c r="J888" s="74"/>
      <c r="K888" s="74"/>
      <c r="L888" s="74"/>
      <c r="M888" s="2"/>
      <c r="N888" s="2"/>
      <c r="O888" s="2"/>
      <c r="P888" s="74"/>
      <c r="Q888" s="2"/>
      <c r="R888" s="2"/>
      <c r="S888" s="76"/>
      <c r="T888" s="2"/>
      <c r="U888" s="62"/>
      <c r="V888" s="62"/>
      <c r="W888" s="62"/>
      <c r="X888" s="62"/>
      <c r="Y888" s="62"/>
      <c r="Z888" s="62"/>
    </row>
    <row r="889" ht="15.75" customHeight="1">
      <c r="A889" s="2"/>
      <c r="B889" s="2"/>
      <c r="C889" s="2"/>
      <c r="D889" s="2"/>
      <c r="E889" s="2"/>
      <c r="F889" s="2"/>
      <c r="G889" s="2"/>
      <c r="H889" s="2"/>
      <c r="I889" s="74"/>
      <c r="J889" s="74"/>
      <c r="K889" s="74"/>
      <c r="L889" s="74"/>
      <c r="M889" s="2"/>
      <c r="N889" s="2"/>
      <c r="O889" s="2"/>
      <c r="P889" s="74"/>
      <c r="Q889" s="2"/>
      <c r="R889" s="2"/>
      <c r="S889" s="76"/>
      <c r="T889" s="2"/>
      <c r="U889" s="62"/>
      <c r="V889" s="62"/>
      <c r="W889" s="62"/>
      <c r="X889" s="62"/>
      <c r="Y889" s="62"/>
      <c r="Z889" s="62"/>
    </row>
    <row r="890" ht="15.75" customHeight="1">
      <c r="A890" s="2"/>
      <c r="B890" s="2"/>
      <c r="C890" s="2"/>
      <c r="D890" s="2"/>
      <c r="E890" s="2"/>
      <c r="F890" s="2"/>
      <c r="G890" s="2"/>
      <c r="H890" s="2"/>
      <c r="I890" s="74"/>
      <c r="J890" s="74"/>
      <c r="K890" s="74"/>
      <c r="L890" s="74"/>
      <c r="M890" s="2"/>
      <c r="N890" s="2"/>
      <c r="O890" s="2"/>
      <c r="P890" s="74"/>
      <c r="Q890" s="2"/>
      <c r="R890" s="2"/>
      <c r="S890" s="76"/>
      <c r="T890" s="2"/>
      <c r="U890" s="62"/>
      <c r="V890" s="62"/>
      <c r="W890" s="62"/>
      <c r="X890" s="62"/>
      <c r="Y890" s="62"/>
      <c r="Z890" s="62"/>
    </row>
    <row r="891" ht="15.75" customHeight="1">
      <c r="A891" s="2"/>
      <c r="B891" s="2"/>
      <c r="C891" s="2"/>
      <c r="D891" s="2"/>
      <c r="E891" s="2"/>
      <c r="F891" s="2"/>
      <c r="G891" s="2"/>
      <c r="H891" s="2"/>
      <c r="I891" s="74"/>
      <c r="J891" s="74"/>
      <c r="K891" s="74"/>
      <c r="L891" s="74"/>
      <c r="M891" s="2"/>
      <c r="N891" s="2"/>
      <c r="O891" s="2"/>
      <c r="P891" s="74"/>
      <c r="Q891" s="2"/>
      <c r="R891" s="2"/>
      <c r="S891" s="76"/>
      <c r="T891" s="2"/>
      <c r="U891" s="62"/>
      <c r="V891" s="62"/>
      <c r="W891" s="62"/>
      <c r="X891" s="62"/>
      <c r="Y891" s="62"/>
      <c r="Z891" s="62"/>
    </row>
    <row r="892" ht="15.75" customHeight="1">
      <c r="A892" s="2"/>
      <c r="B892" s="2"/>
      <c r="C892" s="2"/>
      <c r="D892" s="2"/>
      <c r="E892" s="2"/>
      <c r="F892" s="2"/>
      <c r="G892" s="2"/>
      <c r="H892" s="2"/>
      <c r="I892" s="74"/>
      <c r="J892" s="74"/>
      <c r="K892" s="74"/>
      <c r="L892" s="74"/>
      <c r="M892" s="2"/>
      <c r="N892" s="2"/>
      <c r="O892" s="2"/>
      <c r="P892" s="74"/>
      <c r="Q892" s="2"/>
      <c r="R892" s="2"/>
      <c r="S892" s="76"/>
      <c r="T892" s="2"/>
      <c r="U892" s="62"/>
      <c r="V892" s="62"/>
      <c r="W892" s="62"/>
      <c r="X892" s="62"/>
      <c r="Y892" s="62"/>
      <c r="Z892" s="62"/>
    </row>
    <row r="893" ht="15.75" customHeight="1">
      <c r="A893" s="2"/>
      <c r="B893" s="2"/>
      <c r="C893" s="2"/>
      <c r="D893" s="2"/>
      <c r="E893" s="2"/>
      <c r="F893" s="2"/>
      <c r="G893" s="2"/>
      <c r="H893" s="2"/>
      <c r="I893" s="74"/>
      <c r="J893" s="74"/>
      <c r="K893" s="74"/>
      <c r="L893" s="74"/>
      <c r="M893" s="2"/>
      <c r="N893" s="2"/>
      <c r="O893" s="2"/>
      <c r="P893" s="74"/>
      <c r="Q893" s="2"/>
      <c r="R893" s="2"/>
      <c r="S893" s="76"/>
      <c r="T893" s="2"/>
      <c r="U893" s="62"/>
      <c r="V893" s="62"/>
      <c r="W893" s="62"/>
      <c r="X893" s="62"/>
      <c r="Y893" s="62"/>
      <c r="Z893" s="62"/>
    </row>
    <row r="894" ht="15.75" customHeight="1">
      <c r="A894" s="2"/>
      <c r="B894" s="2"/>
      <c r="C894" s="2"/>
      <c r="D894" s="2"/>
      <c r="E894" s="2"/>
      <c r="F894" s="2"/>
      <c r="G894" s="2"/>
      <c r="H894" s="2"/>
      <c r="I894" s="74"/>
      <c r="J894" s="74"/>
      <c r="K894" s="74"/>
      <c r="L894" s="74"/>
      <c r="M894" s="2"/>
      <c r="N894" s="2"/>
      <c r="O894" s="2"/>
      <c r="P894" s="74"/>
      <c r="Q894" s="2"/>
      <c r="R894" s="2"/>
      <c r="S894" s="76"/>
      <c r="T894" s="2"/>
      <c r="U894" s="62"/>
      <c r="V894" s="62"/>
      <c r="W894" s="62"/>
      <c r="X894" s="62"/>
      <c r="Y894" s="62"/>
      <c r="Z894" s="62"/>
    </row>
    <row r="895" ht="15.75" customHeight="1">
      <c r="A895" s="2"/>
      <c r="B895" s="2"/>
      <c r="C895" s="2"/>
      <c r="D895" s="2"/>
      <c r="E895" s="2"/>
      <c r="F895" s="2"/>
      <c r="G895" s="2"/>
      <c r="H895" s="2"/>
      <c r="I895" s="74"/>
      <c r="J895" s="74"/>
      <c r="K895" s="74"/>
      <c r="L895" s="74"/>
      <c r="M895" s="2"/>
      <c r="N895" s="2"/>
      <c r="O895" s="2"/>
      <c r="P895" s="74"/>
      <c r="Q895" s="2"/>
      <c r="R895" s="2"/>
      <c r="S895" s="76"/>
      <c r="T895" s="2"/>
      <c r="U895" s="62"/>
      <c r="V895" s="62"/>
      <c r="W895" s="62"/>
      <c r="X895" s="62"/>
      <c r="Y895" s="62"/>
      <c r="Z895" s="62"/>
    </row>
    <row r="896" ht="15.75" customHeight="1">
      <c r="A896" s="2"/>
      <c r="B896" s="2"/>
      <c r="C896" s="2"/>
      <c r="D896" s="2"/>
      <c r="E896" s="2"/>
      <c r="F896" s="2"/>
      <c r="G896" s="2"/>
      <c r="H896" s="2"/>
      <c r="I896" s="74"/>
      <c r="J896" s="74"/>
      <c r="K896" s="74"/>
      <c r="L896" s="74"/>
      <c r="M896" s="2"/>
      <c r="N896" s="2"/>
      <c r="O896" s="2"/>
      <c r="P896" s="74"/>
      <c r="Q896" s="2"/>
      <c r="R896" s="2"/>
      <c r="S896" s="76"/>
      <c r="T896" s="2"/>
      <c r="U896" s="62"/>
      <c r="V896" s="62"/>
      <c r="W896" s="62"/>
      <c r="X896" s="62"/>
      <c r="Y896" s="62"/>
      <c r="Z896" s="62"/>
    </row>
    <row r="897" ht="15.75" customHeight="1">
      <c r="A897" s="2"/>
      <c r="B897" s="2"/>
      <c r="C897" s="2"/>
      <c r="D897" s="2"/>
      <c r="E897" s="2"/>
      <c r="F897" s="2"/>
      <c r="G897" s="2"/>
      <c r="H897" s="2"/>
      <c r="I897" s="74"/>
      <c r="J897" s="74"/>
      <c r="K897" s="74"/>
      <c r="L897" s="74"/>
      <c r="M897" s="2"/>
      <c r="N897" s="2"/>
      <c r="O897" s="2"/>
      <c r="P897" s="74"/>
      <c r="Q897" s="2"/>
      <c r="R897" s="2"/>
      <c r="S897" s="76"/>
      <c r="T897" s="2"/>
      <c r="U897" s="62"/>
      <c r="V897" s="62"/>
      <c r="W897" s="62"/>
      <c r="X897" s="62"/>
      <c r="Y897" s="62"/>
      <c r="Z897" s="62"/>
    </row>
    <row r="898" ht="15.75" customHeight="1">
      <c r="A898" s="2"/>
      <c r="B898" s="2"/>
      <c r="C898" s="2"/>
      <c r="D898" s="2"/>
      <c r="E898" s="2"/>
      <c r="F898" s="2"/>
      <c r="G898" s="2"/>
      <c r="H898" s="2"/>
      <c r="I898" s="74"/>
      <c r="J898" s="74"/>
      <c r="K898" s="74"/>
      <c r="L898" s="74"/>
      <c r="M898" s="2"/>
      <c r="N898" s="2"/>
      <c r="O898" s="2"/>
      <c r="P898" s="74"/>
      <c r="Q898" s="2"/>
      <c r="R898" s="2"/>
      <c r="S898" s="76"/>
      <c r="T898" s="2"/>
      <c r="U898" s="62"/>
      <c r="V898" s="62"/>
      <c r="W898" s="62"/>
      <c r="X898" s="62"/>
      <c r="Y898" s="62"/>
      <c r="Z898" s="62"/>
    </row>
    <row r="899" ht="15.75" customHeight="1">
      <c r="A899" s="2"/>
      <c r="B899" s="2"/>
      <c r="C899" s="2"/>
      <c r="D899" s="2"/>
      <c r="E899" s="2"/>
      <c r="F899" s="2"/>
      <c r="G899" s="2"/>
      <c r="H899" s="2"/>
      <c r="I899" s="74"/>
      <c r="J899" s="74"/>
      <c r="K899" s="74"/>
      <c r="L899" s="74"/>
      <c r="M899" s="2"/>
      <c r="N899" s="2"/>
      <c r="O899" s="2"/>
      <c r="P899" s="74"/>
      <c r="Q899" s="2"/>
      <c r="R899" s="2"/>
      <c r="S899" s="76"/>
      <c r="T899" s="2"/>
      <c r="U899" s="62"/>
      <c r="V899" s="62"/>
      <c r="W899" s="62"/>
      <c r="X899" s="62"/>
      <c r="Y899" s="62"/>
      <c r="Z899" s="62"/>
    </row>
    <row r="900" ht="15.75" customHeight="1">
      <c r="A900" s="2"/>
      <c r="B900" s="2"/>
      <c r="C900" s="2"/>
      <c r="D900" s="2"/>
      <c r="E900" s="2"/>
      <c r="F900" s="2"/>
      <c r="G900" s="2"/>
      <c r="H900" s="2"/>
      <c r="I900" s="74"/>
      <c r="J900" s="74"/>
      <c r="K900" s="74"/>
      <c r="L900" s="74"/>
      <c r="M900" s="2"/>
      <c r="N900" s="2"/>
      <c r="O900" s="2"/>
      <c r="P900" s="74"/>
      <c r="Q900" s="2"/>
      <c r="R900" s="2"/>
      <c r="S900" s="76"/>
      <c r="T900" s="2"/>
      <c r="U900" s="62"/>
      <c r="V900" s="62"/>
      <c r="W900" s="62"/>
      <c r="X900" s="62"/>
      <c r="Y900" s="62"/>
      <c r="Z900" s="62"/>
    </row>
    <row r="901" ht="15.75" customHeight="1">
      <c r="A901" s="2"/>
      <c r="B901" s="2"/>
      <c r="C901" s="2"/>
      <c r="D901" s="2"/>
      <c r="E901" s="2"/>
      <c r="F901" s="2"/>
      <c r="G901" s="2"/>
      <c r="H901" s="2"/>
      <c r="I901" s="74"/>
      <c r="J901" s="74"/>
      <c r="K901" s="74"/>
      <c r="L901" s="74"/>
      <c r="M901" s="2"/>
      <c r="N901" s="2"/>
      <c r="O901" s="2"/>
      <c r="P901" s="74"/>
      <c r="Q901" s="2"/>
      <c r="R901" s="2"/>
      <c r="S901" s="76"/>
      <c r="T901" s="2"/>
      <c r="U901" s="62"/>
      <c r="V901" s="62"/>
      <c r="W901" s="62"/>
      <c r="X901" s="62"/>
      <c r="Y901" s="62"/>
      <c r="Z901" s="62"/>
    </row>
    <row r="902" ht="15.75" customHeight="1">
      <c r="A902" s="2"/>
      <c r="B902" s="2"/>
      <c r="C902" s="2"/>
      <c r="D902" s="2"/>
      <c r="E902" s="2"/>
      <c r="F902" s="2"/>
      <c r="G902" s="2"/>
      <c r="H902" s="2"/>
      <c r="I902" s="74"/>
      <c r="J902" s="74"/>
      <c r="K902" s="74"/>
      <c r="L902" s="74"/>
      <c r="M902" s="2"/>
      <c r="N902" s="2"/>
      <c r="O902" s="2"/>
      <c r="P902" s="74"/>
      <c r="Q902" s="2"/>
      <c r="R902" s="2"/>
      <c r="S902" s="76"/>
      <c r="T902" s="2"/>
      <c r="U902" s="62"/>
      <c r="V902" s="62"/>
      <c r="W902" s="62"/>
      <c r="X902" s="62"/>
      <c r="Y902" s="62"/>
      <c r="Z902" s="62"/>
    </row>
    <row r="903" ht="15.75" customHeight="1">
      <c r="A903" s="2"/>
      <c r="B903" s="2"/>
      <c r="C903" s="2"/>
      <c r="D903" s="2"/>
      <c r="E903" s="2"/>
      <c r="F903" s="2"/>
      <c r="G903" s="2"/>
      <c r="H903" s="2"/>
      <c r="I903" s="74"/>
      <c r="J903" s="74"/>
      <c r="K903" s="74"/>
      <c r="L903" s="74"/>
      <c r="M903" s="2"/>
      <c r="N903" s="2"/>
      <c r="O903" s="2"/>
      <c r="P903" s="74"/>
      <c r="Q903" s="2"/>
      <c r="R903" s="2"/>
      <c r="S903" s="76"/>
      <c r="T903" s="2"/>
      <c r="U903" s="62"/>
      <c r="V903" s="62"/>
      <c r="W903" s="62"/>
      <c r="X903" s="62"/>
      <c r="Y903" s="62"/>
      <c r="Z903" s="62"/>
    </row>
    <row r="904" ht="15.75" customHeight="1">
      <c r="A904" s="2"/>
      <c r="B904" s="2"/>
      <c r="C904" s="2"/>
      <c r="D904" s="2"/>
      <c r="E904" s="2"/>
      <c r="F904" s="2"/>
      <c r="G904" s="2"/>
      <c r="H904" s="2"/>
      <c r="I904" s="74"/>
      <c r="J904" s="74"/>
      <c r="K904" s="74"/>
      <c r="L904" s="74"/>
      <c r="M904" s="2"/>
      <c r="N904" s="2"/>
      <c r="O904" s="2"/>
      <c r="P904" s="74"/>
      <c r="Q904" s="2"/>
      <c r="R904" s="2"/>
      <c r="S904" s="76"/>
      <c r="T904" s="2"/>
      <c r="U904" s="62"/>
      <c r="V904" s="62"/>
      <c r="W904" s="62"/>
      <c r="X904" s="62"/>
      <c r="Y904" s="62"/>
      <c r="Z904" s="62"/>
    </row>
    <row r="905" ht="15.75" customHeight="1">
      <c r="A905" s="2"/>
      <c r="B905" s="2"/>
      <c r="C905" s="2"/>
      <c r="D905" s="2"/>
      <c r="E905" s="2"/>
      <c r="F905" s="2"/>
      <c r="G905" s="2"/>
      <c r="H905" s="2"/>
      <c r="I905" s="74"/>
      <c r="J905" s="74"/>
      <c r="K905" s="74"/>
      <c r="L905" s="74"/>
      <c r="M905" s="2"/>
      <c r="N905" s="2"/>
      <c r="O905" s="2"/>
      <c r="P905" s="74"/>
      <c r="Q905" s="2"/>
      <c r="R905" s="2"/>
      <c r="S905" s="76"/>
      <c r="T905" s="2"/>
      <c r="U905" s="62"/>
      <c r="V905" s="62"/>
      <c r="W905" s="62"/>
      <c r="X905" s="62"/>
      <c r="Y905" s="62"/>
      <c r="Z905" s="62"/>
    </row>
    <row r="906" ht="15.75" customHeight="1">
      <c r="A906" s="2"/>
      <c r="B906" s="2"/>
      <c r="C906" s="2"/>
      <c r="D906" s="2"/>
      <c r="E906" s="2"/>
      <c r="F906" s="2"/>
      <c r="G906" s="2"/>
      <c r="H906" s="2"/>
      <c r="I906" s="74"/>
      <c r="J906" s="74"/>
      <c r="K906" s="74"/>
      <c r="L906" s="74"/>
      <c r="M906" s="2"/>
      <c r="N906" s="2"/>
      <c r="O906" s="2"/>
      <c r="P906" s="74"/>
      <c r="Q906" s="2"/>
      <c r="R906" s="2"/>
      <c r="S906" s="76"/>
      <c r="T906" s="2"/>
      <c r="U906" s="62"/>
      <c r="V906" s="62"/>
      <c r="W906" s="62"/>
      <c r="X906" s="62"/>
      <c r="Y906" s="62"/>
      <c r="Z906" s="62"/>
    </row>
    <row r="907" ht="15.75" customHeight="1">
      <c r="A907" s="2"/>
      <c r="B907" s="2"/>
      <c r="C907" s="2"/>
      <c r="D907" s="2"/>
      <c r="E907" s="2"/>
      <c r="F907" s="2"/>
      <c r="G907" s="2"/>
      <c r="H907" s="2"/>
      <c r="I907" s="74"/>
      <c r="J907" s="74"/>
      <c r="K907" s="74"/>
      <c r="L907" s="74"/>
      <c r="M907" s="2"/>
      <c r="N907" s="2"/>
      <c r="O907" s="2"/>
      <c r="P907" s="74"/>
      <c r="Q907" s="2"/>
      <c r="R907" s="2"/>
      <c r="S907" s="76"/>
      <c r="T907" s="2"/>
      <c r="U907" s="62"/>
      <c r="V907" s="62"/>
      <c r="W907" s="62"/>
      <c r="X907" s="62"/>
      <c r="Y907" s="62"/>
      <c r="Z907" s="62"/>
    </row>
    <row r="908" ht="15.75" customHeight="1">
      <c r="A908" s="2"/>
      <c r="B908" s="2"/>
      <c r="C908" s="2"/>
      <c r="D908" s="2"/>
      <c r="E908" s="2"/>
      <c r="F908" s="2"/>
      <c r="G908" s="2"/>
      <c r="H908" s="2"/>
      <c r="I908" s="74"/>
      <c r="J908" s="74"/>
      <c r="K908" s="74"/>
      <c r="L908" s="74"/>
      <c r="M908" s="2"/>
      <c r="N908" s="2"/>
      <c r="O908" s="2"/>
      <c r="P908" s="74"/>
      <c r="Q908" s="2"/>
      <c r="R908" s="2"/>
      <c r="S908" s="76"/>
      <c r="T908" s="2"/>
      <c r="U908" s="62"/>
      <c r="V908" s="62"/>
      <c r="W908" s="62"/>
      <c r="X908" s="62"/>
      <c r="Y908" s="62"/>
      <c r="Z908" s="62"/>
    </row>
    <row r="909" ht="15.75" customHeight="1">
      <c r="A909" s="2"/>
      <c r="B909" s="2"/>
      <c r="C909" s="2"/>
      <c r="D909" s="2"/>
      <c r="E909" s="2"/>
      <c r="F909" s="2"/>
      <c r="G909" s="2"/>
      <c r="H909" s="2"/>
      <c r="I909" s="74"/>
      <c r="J909" s="74"/>
      <c r="K909" s="74"/>
      <c r="L909" s="74"/>
      <c r="M909" s="2"/>
      <c r="N909" s="2"/>
      <c r="O909" s="2"/>
      <c r="P909" s="74"/>
      <c r="Q909" s="2"/>
      <c r="R909" s="2"/>
      <c r="S909" s="76"/>
      <c r="T909" s="2"/>
      <c r="U909" s="62"/>
      <c r="V909" s="62"/>
      <c r="W909" s="62"/>
      <c r="X909" s="62"/>
      <c r="Y909" s="62"/>
      <c r="Z909" s="62"/>
    </row>
    <row r="910" ht="15.75" customHeight="1">
      <c r="A910" s="2"/>
      <c r="B910" s="2"/>
      <c r="C910" s="2"/>
      <c r="D910" s="2"/>
      <c r="E910" s="2"/>
      <c r="F910" s="2"/>
      <c r="G910" s="2"/>
      <c r="H910" s="2"/>
      <c r="I910" s="74"/>
      <c r="J910" s="74"/>
      <c r="K910" s="74"/>
      <c r="L910" s="74"/>
      <c r="M910" s="2"/>
      <c r="N910" s="2"/>
      <c r="O910" s="2"/>
      <c r="P910" s="74"/>
      <c r="Q910" s="2"/>
      <c r="R910" s="2"/>
      <c r="S910" s="76"/>
      <c r="T910" s="2"/>
      <c r="U910" s="62"/>
      <c r="V910" s="62"/>
      <c r="W910" s="62"/>
      <c r="X910" s="62"/>
      <c r="Y910" s="62"/>
      <c r="Z910" s="62"/>
    </row>
    <row r="911" ht="15.75" customHeight="1">
      <c r="A911" s="2"/>
      <c r="B911" s="2"/>
      <c r="C911" s="2"/>
      <c r="D911" s="2"/>
      <c r="E911" s="2"/>
      <c r="F911" s="2"/>
      <c r="G911" s="2"/>
      <c r="H911" s="2"/>
      <c r="I911" s="74"/>
      <c r="J911" s="74"/>
      <c r="K911" s="74"/>
      <c r="L911" s="74"/>
      <c r="M911" s="2"/>
      <c r="N911" s="2"/>
      <c r="O911" s="2"/>
      <c r="P911" s="74"/>
      <c r="Q911" s="2"/>
      <c r="R911" s="2"/>
      <c r="S911" s="76"/>
      <c r="T911" s="2"/>
      <c r="U911" s="62"/>
      <c r="V911" s="62"/>
      <c r="W911" s="62"/>
      <c r="X911" s="62"/>
      <c r="Y911" s="62"/>
      <c r="Z911" s="62"/>
    </row>
    <row r="912" ht="15.75" customHeight="1">
      <c r="A912" s="2"/>
      <c r="B912" s="2"/>
      <c r="C912" s="2"/>
      <c r="D912" s="2"/>
      <c r="E912" s="2"/>
      <c r="F912" s="2"/>
      <c r="G912" s="2"/>
      <c r="H912" s="2"/>
      <c r="I912" s="74"/>
      <c r="J912" s="74"/>
      <c r="K912" s="74"/>
      <c r="L912" s="74"/>
      <c r="M912" s="2"/>
      <c r="N912" s="2"/>
      <c r="O912" s="2"/>
      <c r="P912" s="74"/>
      <c r="Q912" s="2"/>
      <c r="R912" s="2"/>
      <c r="S912" s="76"/>
      <c r="T912" s="2"/>
      <c r="U912" s="62"/>
      <c r="V912" s="62"/>
      <c r="W912" s="62"/>
      <c r="X912" s="62"/>
      <c r="Y912" s="62"/>
      <c r="Z912" s="62"/>
    </row>
    <row r="913" ht="15.75" customHeight="1">
      <c r="A913" s="2"/>
      <c r="B913" s="2"/>
      <c r="C913" s="2"/>
      <c r="D913" s="2"/>
      <c r="E913" s="2"/>
      <c r="F913" s="2"/>
      <c r="G913" s="2"/>
      <c r="H913" s="2"/>
      <c r="I913" s="74"/>
      <c r="J913" s="74"/>
      <c r="K913" s="74"/>
      <c r="L913" s="74"/>
      <c r="M913" s="2"/>
      <c r="N913" s="2"/>
      <c r="O913" s="2"/>
      <c r="P913" s="74"/>
      <c r="Q913" s="2"/>
      <c r="R913" s="2"/>
      <c r="S913" s="76"/>
      <c r="T913" s="2"/>
      <c r="U913" s="62"/>
      <c r="V913" s="62"/>
      <c r="W913" s="62"/>
      <c r="X913" s="62"/>
      <c r="Y913" s="62"/>
      <c r="Z913" s="62"/>
    </row>
    <row r="914" ht="15.75" customHeight="1">
      <c r="A914" s="2"/>
      <c r="B914" s="2"/>
      <c r="C914" s="2"/>
      <c r="D914" s="2"/>
      <c r="E914" s="2"/>
      <c r="F914" s="2"/>
      <c r="G914" s="2"/>
      <c r="H914" s="2"/>
      <c r="I914" s="74"/>
      <c r="J914" s="74"/>
      <c r="K914" s="74"/>
      <c r="L914" s="74"/>
      <c r="M914" s="2"/>
      <c r="N914" s="2"/>
      <c r="O914" s="2"/>
      <c r="P914" s="74"/>
      <c r="Q914" s="2"/>
      <c r="R914" s="2"/>
      <c r="S914" s="76"/>
      <c r="T914" s="2"/>
      <c r="U914" s="62"/>
      <c r="V914" s="62"/>
      <c r="W914" s="62"/>
      <c r="X914" s="62"/>
      <c r="Y914" s="62"/>
      <c r="Z914" s="62"/>
    </row>
    <row r="915" ht="15.75" customHeight="1">
      <c r="A915" s="2"/>
      <c r="B915" s="2"/>
      <c r="C915" s="2"/>
      <c r="D915" s="2"/>
      <c r="E915" s="2"/>
      <c r="F915" s="2"/>
      <c r="G915" s="2"/>
      <c r="H915" s="2"/>
      <c r="I915" s="74"/>
      <c r="J915" s="74"/>
      <c r="K915" s="74"/>
      <c r="L915" s="74"/>
      <c r="M915" s="2"/>
      <c r="N915" s="2"/>
      <c r="O915" s="2"/>
      <c r="P915" s="74"/>
      <c r="Q915" s="2"/>
      <c r="R915" s="2"/>
      <c r="S915" s="76"/>
      <c r="T915" s="2"/>
      <c r="U915" s="62"/>
      <c r="V915" s="62"/>
      <c r="W915" s="62"/>
      <c r="X915" s="62"/>
      <c r="Y915" s="62"/>
      <c r="Z915" s="62"/>
    </row>
    <row r="916" ht="15.75" customHeight="1">
      <c r="A916" s="2"/>
      <c r="B916" s="2"/>
      <c r="C916" s="2"/>
      <c r="D916" s="2"/>
      <c r="E916" s="2"/>
      <c r="F916" s="2"/>
      <c r="G916" s="2"/>
      <c r="H916" s="2"/>
      <c r="I916" s="74"/>
      <c r="J916" s="74"/>
      <c r="K916" s="74"/>
      <c r="L916" s="74"/>
      <c r="M916" s="2"/>
      <c r="N916" s="2"/>
      <c r="O916" s="2"/>
      <c r="P916" s="74"/>
      <c r="Q916" s="2"/>
      <c r="R916" s="2"/>
      <c r="S916" s="76"/>
      <c r="T916" s="2"/>
      <c r="U916" s="62"/>
      <c r="V916" s="62"/>
      <c r="W916" s="62"/>
      <c r="X916" s="62"/>
      <c r="Y916" s="62"/>
      <c r="Z916" s="62"/>
    </row>
    <row r="917" ht="15.75" customHeight="1">
      <c r="A917" s="2"/>
      <c r="B917" s="2"/>
      <c r="C917" s="2"/>
      <c r="D917" s="2"/>
      <c r="E917" s="2"/>
      <c r="F917" s="2"/>
      <c r="G917" s="2"/>
      <c r="H917" s="2"/>
      <c r="I917" s="74"/>
      <c r="J917" s="74"/>
      <c r="K917" s="74"/>
      <c r="L917" s="74"/>
      <c r="M917" s="2"/>
      <c r="N917" s="2"/>
      <c r="O917" s="2"/>
      <c r="P917" s="74"/>
      <c r="Q917" s="2"/>
      <c r="R917" s="2"/>
      <c r="S917" s="76"/>
      <c r="T917" s="2"/>
      <c r="U917" s="62"/>
      <c r="V917" s="62"/>
      <c r="W917" s="62"/>
      <c r="X917" s="62"/>
      <c r="Y917" s="62"/>
      <c r="Z917" s="62"/>
    </row>
    <row r="918" ht="15.75" customHeight="1">
      <c r="A918" s="2"/>
      <c r="B918" s="2"/>
      <c r="C918" s="2"/>
      <c r="D918" s="2"/>
      <c r="E918" s="2"/>
      <c r="F918" s="2"/>
      <c r="G918" s="2"/>
      <c r="H918" s="2"/>
      <c r="I918" s="74"/>
      <c r="J918" s="74"/>
      <c r="K918" s="74"/>
      <c r="L918" s="74"/>
      <c r="M918" s="2"/>
      <c r="N918" s="2"/>
      <c r="O918" s="2"/>
      <c r="P918" s="74"/>
      <c r="Q918" s="2"/>
      <c r="R918" s="2"/>
      <c r="S918" s="76"/>
      <c r="T918" s="2"/>
      <c r="U918" s="62"/>
      <c r="V918" s="62"/>
      <c r="W918" s="62"/>
      <c r="X918" s="62"/>
      <c r="Y918" s="62"/>
      <c r="Z918" s="62"/>
    </row>
    <row r="919" ht="15.75" customHeight="1">
      <c r="A919" s="2"/>
      <c r="B919" s="2"/>
      <c r="C919" s="2"/>
      <c r="D919" s="2"/>
      <c r="E919" s="2"/>
      <c r="F919" s="2"/>
      <c r="G919" s="2"/>
      <c r="H919" s="2"/>
      <c r="I919" s="74"/>
      <c r="J919" s="74"/>
      <c r="K919" s="74"/>
      <c r="L919" s="74"/>
      <c r="M919" s="2"/>
      <c r="N919" s="2"/>
      <c r="O919" s="2"/>
      <c r="P919" s="74"/>
      <c r="Q919" s="2"/>
      <c r="R919" s="2"/>
      <c r="S919" s="76"/>
      <c r="T919" s="2"/>
      <c r="U919" s="62"/>
      <c r="V919" s="62"/>
      <c r="W919" s="62"/>
      <c r="X919" s="62"/>
      <c r="Y919" s="62"/>
      <c r="Z919" s="62"/>
    </row>
    <row r="920" ht="15.75" customHeight="1">
      <c r="A920" s="2"/>
      <c r="B920" s="2"/>
      <c r="C920" s="2"/>
      <c r="D920" s="2"/>
      <c r="E920" s="2"/>
      <c r="F920" s="2"/>
      <c r="G920" s="2"/>
      <c r="H920" s="2"/>
      <c r="I920" s="74"/>
      <c r="J920" s="74"/>
      <c r="K920" s="74"/>
      <c r="L920" s="74"/>
      <c r="M920" s="2"/>
      <c r="N920" s="2"/>
      <c r="O920" s="2"/>
      <c r="P920" s="74"/>
      <c r="Q920" s="2"/>
      <c r="R920" s="2"/>
      <c r="S920" s="76"/>
      <c r="T920" s="2"/>
      <c r="U920" s="62"/>
      <c r="V920" s="62"/>
      <c r="W920" s="62"/>
      <c r="X920" s="62"/>
      <c r="Y920" s="62"/>
      <c r="Z920" s="62"/>
    </row>
    <row r="921" ht="15.75" customHeight="1">
      <c r="A921" s="2"/>
      <c r="B921" s="2"/>
      <c r="C921" s="2"/>
      <c r="D921" s="2"/>
      <c r="E921" s="2"/>
      <c r="F921" s="2"/>
      <c r="G921" s="2"/>
      <c r="H921" s="2"/>
      <c r="I921" s="74"/>
      <c r="J921" s="74"/>
      <c r="K921" s="74"/>
      <c r="L921" s="74"/>
      <c r="M921" s="2"/>
      <c r="N921" s="2"/>
      <c r="O921" s="2"/>
      <c r="P921" s="74"/>
      <c r="Q921" s="2"/>
      <c r="R921" s="2"/>
      <c r="S921" s="76"/>
      <c r="T921" s="2"/>
      <c r="U921" s="62"/>
      <c r="V921" s="62"/>
      <c r="W921" s="62"/>
      <c r="X921" s="62"/>
      <c r="Y921" s="62"/>
      <c r="Z921" s="62"/>
    </row>
    <row r="922" ht="15.75" customHeight="1">
      <c r="A922" s="2"/>
      <c r="B922" s="2"/>
      <c r="C922" s="2"/>
      <c r="D922" s="2"/>
      <c r="E922" s="2"/>
      <c r="F922" s="2"/>
      <c r="G922" s="2"/>
      <c r="H922" s="2"/>
      <c r="I922" s="74"/>
      <c r="J922" s="74"/>
      <c r="K922" s="74"/>
      <c r="L922" s="74"/>
      <c r="M922" s="2"/>
      <c r="N922" s="2"/>
      <c r="O922" s="2"/>
      <c r="P922" s="74"/>
      <c r="Q922" s="2"/>
      <c r="R922" s="2"/>
      <c r="S922" s="76"/>
      <c r="T922" s="2"/>
      <c r="U922" s="62"/>
      <c r="V922" s="62"/>
      <c r="W922" s="62"/>
      <c r="X922" s="62"/>
      <c r="Y922" s="62"/>
      <c r="Z922" s="62"/>
    </row>
    <row r="923" ht="15.75" customHeight="1">
      <c r="A923" s="2"/>
      <c r="B923" s="2"/>
      <c r="C923" s="2"/>
      <c r="D923" s="2"/>
      <c r="E923" s="2"/>
      <c r="F923" s="2"/>
      <c r="G923" s="2"/>
      <c r="H923" s="2"/>
      <c r="I923" s="74"/>
      <c r="J923" s="74"/>
      <c r="K923" s="74"/>
      <c r="L923" s="74"/>
      <c r="M923" s="2"/>
      <c r="N923" s="2"/>
      <c r="O923" s="2"/>
      <c r="P923" s="74"/>
      <c r="Q923" s="2"/>
      <c r="R923" s="2"/>
      <c r="S923" s="76"/>
      <c r="T923" s="2"/>
      <c r="U923" s="62"/>
      <c r="V923" s="62"/>
      <c r="W923" s="62"/>
      <c r="X923" s="62"/>
      <c r="Y923" s="62"/>
      <c r="Z923" s="62"/>
    </row>
    <row r="924" ht="15.75" customHeight="1">
      <c r="A924" s="2"/>
      <c r="B924" s="2"/>
      <c r="C924" s="2"/>
      <c r="D924" s="2"/>
      <c r="E924" s="2"/>
      <c r="F924" s="2"/>
      <c r="G924" s="2"/>
      <c r="H924" s="2"/>
      <c r="I924" s="74"/>
      <c r="J924" s="74"/>
      <c r="K924" s="74"/>
      <c r="L924" s="74"/>
      <c r="M924" s="2"/>
      <c r="N924" s="2"/>
      <c r="O924" s="2"/>
      <c r="P924" s="74"/>
      <c r="Q924" s="2"/>
      <c r="R924" s="2"/>
      <c r="S924" s="76"/>
      <c r="T924" s="2"/>
      <c r="U924" s="62"/>
      <c r="V924" s="62"/>
      <c r="W924" s="62"/>
      <c r="X924" s="62"/>
      <c r="Y924" s="62"/>
      <c r="Z924" s="62"/>
    </row>
    <row r="925" ht="15.75" customHeight="1">
      <c r="A925" s="2"/>
      <c r="B925" s="2"/>
      <c r="C925" s="2"/>
      <c r="D925" s="2"/>
      <c r="E925" s="2"/>
      <c r="F925" s="2"/>
      <c r="G925" s="2"/>
      <c r="H925" s="2"/>
      <c r="I925" s="74"/>
      <c r="J925" s="74"/>
      <c r="K925" s="74"/>
      <c r="L925" s="74"/>
      <c r="M925" s="2"/>
      <c r="N925" s="2"/>
      <c r="O925" s="2"/>
      <c r="P925" s="74"/>
      <c r="Q925" s="2"/>
      <c r="R925" s="2"/>
      <c r="S925" s="76"/>
      <c r="T925" s="2"/>
      <c r="U925" s="62"/>
      <c r="V925" s="62"/>
      <c r="W925" s="62"/>
      <c r="X925" s="62"/>
      <c r="Y925" s="62"/>
      <c r="Z925" s="62"/>
    </row>
    <row r="926" ht="15.75" customHeight="1">
      <c r="A926" s="2"/>
      <c r="B926" s="2"/>
      <c r="C926" s="2"/>
      <c r="D926" s="2"/>
      <c r="E926" s="2"/>
      <c r="F926" s="2"/>
      <c r="G926" s="2"/>
      <c r="H926" s="2"/>
      <c r="I926" s="74"/>
      <c r="J926" s="74"/>
      <c r="K926" s="74"/>
      <c r="L926" s="74"/>
      <c r="M926" s="2"/>
      <c r="N926" s="2"/>
      <c r="O926" s="2"/>
      <c r="P926" s="74"/>
      <c r="Q926" s="2"/>
      <c r="R926" s="2"/>
      <c r="S926" s="76"/>
      <c r="T926" s="2"/>
      <c r="U926" s="62"/>
      <c r="V926" s="62"/>
      <c r="W926" s="62"/>
      <c r="X926" s="62"/>
      <c r="Y926" s="62"/>
      <c r="Z926" s="62"/>
    </row>
    <row r="927" ht="15.75" customHeight="1">
      <c r="A927" s="2"/>
      <c r="B927" s="2"/>
      <c r="C927" s="2"/>
      <c r="D927" s="2"/>
      <c r="E927" s="2"/>
      <c r="F927" s="2"/>
      <c r="G927" s="2"/>
      <c r="H927" s="2"/>
      <c r="I927" s="74"/>
      <c r="J927" s="74"/>
      <c r="K927" s="74"/>
      <c r="L927" s="74"/>
      <c r="M927" s="2"/>
      <c r="N927" s="2"/>
      <c r="O927" s="2"/>
      <c r="P927" s="74"/>
      <c r="Q927" s="2"/>
      <c r="R927" s="2"/>
      <c r="S927" s="76"/>
      <c r="T927" s="2"/>
      <c r="U927" s="62"/>
      <c r="V927" s="62"/>
      <c r="W927" s="62"/>
      <c r="X927" s="62"/>
      <c r="Y927" s="62"/>
      <c r="Z927" s="62"/>
    </row>
    <row r="928" ht="15.75" customHeight="1">
      <c r="A928" s="2"/>
      <c r="B928" s="2"/>
      <c r="C928" s="2"/>
      <c r="D928" s="2"/>
      <c r="E928" s="2"/>
      <c r="F928" s="2"/>
      <c r="G928" s="2"/>
      <c r="H928" s="2"/>
      <c r="I928" s="74"/>
      <c r="J928" s="74"/>
      <c r="K928" s="74"/>
      <c r="L928" s="74"/>
      <c r="M928" s="2"/>
      <c r="N928" s="2"/>
      <c r="O928" s="2"/>
      <c r="P928" s="74"/>
      <c r="Q928" s="2"/>
      <c r="R928" s="2"/>
      <c r="S928" s="76"/>
      <c r="T928" s="2"/>
      <c r="U928" s="62"/>
      <c r="V928" s="62"/>
      <c r="W928" s="62"/>
      <c r="X928" s="62"/>
      <c r="Y928" s="62"/>
      <c r="Z928" s="62"/>
    </row>
    <row r="929" ht="15.75" customHeight="1">
      <c r="A929" s="2"/>
      <c r="B929" s="2"/>
      <c r="C929" s="2"/>
      <c r="D929" s="2"/>
      <c r="E929" s="2"/>
      <c r="F929" s="2"/>
      <c r="G929" s="2"/>
      <c r="H929" s="2"/>
      <c r="I929" s="74"/>
      <c r="J929" s="74"/>
      <c r="K929" s="74"/>
      <c r="L929" s="74"/>
      <c r="M929" s="2"/>
      <c r="N929" s="2"/>
      <c r="O929" s="2"/>
      <c r="P929" s="74"/>
      <c r="Q929" s="2"/>
      <c r="R929" s="2"/>
      <c r="S929" s="76"/>
      <c r="T929" s="2"/>
      <c r="U929" s="62"/>
      <c r="V929" s="62"/>
      <c r="W929" s="62"/>
      <c r="X929" s="62"/>
      <c r="Y929" s="62"/>
      <c r="Z929" s="62"/>
    </row>
    <row r="930" ht="15.75" customHeight="1">
      <c r="A930" s="2"/>
      <c r="B930" s="2"/>
      <c r="C930" s="2"/>
      <c r="D930" s="2"/>
      <c r="E930" s="2"/>
      <c r="F930" s="2"/>
      <c r="G930" s="2"/>
      <c r="H930" s="2"/>
      <c r="I930" s="74"/>
      <c r="J930" s="74"/>
      <c r="K930" s="74"/>
      <c r="L930" s="74"/>
      <c r="M930" s="2"/>
      <c r="N930" s="2"/>
      <c r="O930" s="2"/>
      <c r="P930" s="74"/>
      <c r="Q930" s="2"/>
      <c r="R930" s="2"/>
      <c r="S930" s="76"/>
      <c r="T930" s="2"/>
      <c r="U930" s="62"/>
      <c r="V930" s="62"/>
      <c r="W930" s="62"/>
      <c r="X930" s="62"/>
      <c r="Y930" s="62"/>
      <c r="Z930" s="62"/>
    </row>
    <row r="931" ht="15.75" customHeight="1">
      <c r="A931" s="2"/>
      <c r="B931" s="2"/>
      <c r="C931" s="2"/>
      <c r="D931" s="2"/>
      <c r="E931" s="2"/>
      <c r="F931" s="2"/>
      <c r="G931" s="2"/>
      <c r="H931" s="2"/>
      <c r="I931" s="74"/>
      <c r="J931" s="74"/>
      <c r="K931" s="74"/>
      <c r="L931" s="74"/>
      <c r="M931" s="2"/>
      <c r="N931" s="2"/>
      <c r="O931" s="2"/>
      <c r="P931" s="74"/>
      <c r="Q931" s="2"/>
      <c r="R931" s="2"/>
      <c r="S931" s="76"/>
      <c r="T931" s="2"/>
      <c r="U931" s="62"/>
      <c r="V931" s="62"/>
      <c r="W931" s="62"/>
      <c r="X931" s="62"/>
      <c r="Y931" s="62"/>
      <c r="Z931" s="62"/>
    </row>
    <row r="932" ht="15.75" customHeight="1">
      <c r="A932" s="2"/>
      <c r="B932" s="2"/>
      <c r="C932" s="2"/>
      <c r="D932" s="2"/>
      <c r="E932" s="2"/>
      <c r="F932" s="2"/>
      <c r="G932" s="2"/>
      <c r="H932" s="2"/>
      <c r="I932" s="74"/>
      <c r="J932" s="74"/>
      <c r="K932" s="74"/>
      <c r="L932" s="74"/>
      <c r="M932" s="2"/>
      <c r="N932" s="2"/>
      <c r="O932" s="2"/>
      <c r="P932" s="74"/>
      <c r="Q932" s="2"/>
      <c r="R932" s="2"/>
      <c r="S932" s="76"/>
      <c r="T932" s="2"/>
      <c r="U932" s="62"/>
      <c r="V932" s="62"/>
      <c r="W932" s="62"/>
      <c r="X932" s="62"/>
      <c r="Y932" s="62"/>
      <c r="Z932" s="62"/>
    </row>
    <row r="933" ht="15.75" customHeight="1">
      <c r="A933" s="2"/>
      <c r="B933" s="2"/>
      <c r="C933" s="2"/>
      <c r="D933" s="2"/>
      <c r="E933" s="2"/>
      <c r="F933" s="2"/>
      <c r="G933" s="2"/>
      <c r="H933" s="2"/>
      <c r="I933" s="74"/>
      <c r="J933" s="74"/>
      <c r="K933" s="74"/>
      <c r="L933" s="74"/>
      <c r="M933" s="2"/>
      <c r="N933" s="2"/>
      <c r="O933" s="2"/>
      <c r="P933" s="74"/>
      <c r="Q933" s="2"/>
      <c r="R933" s="2"/>
      <c r="S933" s="76"/>
      <c r="T933" s="2"/>
      <c r="U933" s="62"/>
      <c r="V933" s="62"/>
      <c r="W933" s="62"/>
      <c r="X933" s="62"/>
      <c r="Y933" s="62"/>
      <c r="Z933" s="62"/>
    </row>
    <row r="934" ht="15.75" customHeight="1">
      <c r="A934" s="2"/>
      <c r="B934" s="2"/>
      <c r="C934" s="2"/>
      <c r="D934" s="2"/>
      <c r="E934" s="2"/>
      <c r="F934" s="2"/>
      <c r="G934" s="2"/>
      <c r="H934" s="2"/>
      <c r="I934" s="74"/>
      <c r="J934" s="74"/>
      <c r="K934" s="74"/>
      <c r="L934" s="74"/>
      <c r="M934" s="2"/>
      <c r="N934" s="2"/>
      <c r="O934" s="2"/>
      <c r="P934" s="74"/>
      <c r="Q934" s="2"/>
      <c r="R934" s="2"/>
      <c r="S934" s="76"/>
      <c r="T934" s="2"/>
      <c r="U934" s="62"/>
      <c r="V934" s="62"/>
      <c r="W934" s="62"/>
      <c r="X934" s="62"/>
      <c r="Y934" s="62"/>
      <c r="Z934" s="62"/>
    </row>
    <row r="935" ht="15.75" customHeight="1">
      <c r="A935" s="2"/>
      <c r="B935" s="2"/>
      <c r="C935" s="2"/>
      <c r="D935" s="2"/>
      <c r="E935" s="2"/>
      <c r="F935" s="2"/>
      <c r="G935" s="2"/>
      <c r="H935" s="2"/>
      <c r="I935" s="74"/>
      <c r="J935" s="74"/>
      <c r="K935" s="74"/>
      <c r="L935" s="74"/>
      <c r="M935" s="2"/>
      <c r="N935" s="2"/>
      <c r="O935" s="2"/>
      <c r="P935" s="74"/>
      <c r="Q935" s="2"/>
      <c r="R935" s="2"/>
      <c r="S935" s="76"/>
      <c r="T935" s="2"/>
      <c r="U935" s="62"/>
      <c r="V935" s="62"/>
      <c r="W935" s="62"/>
      <c r="X935" s="62"/>
      <c r="Y935" s="62"/>
      <c r="Z935" s="62"/>
    </row>
    <row r="936" ht="15.75" customHeight="1">
      <c r="A936" s="2"/>
      <c r="B936" s="2"/>
      <c r="C936" s="2"/>
      <c r="D936" s="2"/>
      <c r="E936" s="2"/>
      <c r="F936" s="2"/>
      <c r="G936" s="2"/>
      <c r="H936" s="2"/>
      <c r="I936" s="74"/>
      <c r="J936" s="74"/>
      <c r="K936" s="74"/>
      <c r="L936" s="74"/>
      <c r="M936" s="2"/>
      <c r="N936" s="2"/>
      <c r="O936" s="2"/>
      <c r="P936" s="74"/>
      <c r="Q936" s="2"/>
      <c r="R936" s="2"/>
      <c r="S936" s="76"/>
      <c r="T936" s="2"/>
      <c r="U936" s="62"/>
      <c r="V936" s="62"/>
      <c r="W936" s="62"/>
      <c r="X936" s="62"/>
      <c r="Y936" s="62"/>
      <c r="Z936" s="62"/>
    </row>
    <row r="937" ht="15.75" customHeight="1">
      <c r="A937" s="2"/>
      <c r="B937" s="2"/>
      <c r="C937" s="2"/>
      <c r="D937" s="2"/>
      <c r="E937" s="2"/>
      <c r="F937" s="2"/>
      <c r="G937" s="2"/>
      <c r="H937" s="2"/>
      <c r="I937" s="74"/>
      <c r="J937" s="74"/>
      <c r="K937" s="74"/>
      <c r="L937" s="74"/>
      <c r="M937" s="2"/>
      <c r="N937" s="2"/>
      <c r="O937" s="2"/>
      <c r="P937" s="74"/>
      <c r="Q937" s="2"/>
      <c r="R937" s="2"/>
      <c r="S937" s="76"/>
      <c r="T937" s="2"/>
      <c r="U937" s="62"/>
      <c r="V937" s="62"/>
      <c r="W937" s="62"/>
      <c r="X937" s="62"/>
      <c r="Y937" s="62"/>
      <c r="Z937" s="62"/>
    </row>
    <row r="938" ht="15.75" customHeight="1">
      <c r="A938" s="2"/>
      <c r="B938" s="2"/>
      <c r="C938" s="2"/>
      <c r="D938" s="2"/>
      <c r="E938" s="2"/>
      <c r="F938" s="2"/>
      <c r="G938" s="2"/>
      <c r="H938" s="2"/>
      <c r="I938" s="74"/>
      <c r="J938" s="74"/>
      <c r="K938" s="74"/>
      <c r="L938" s="74"/>
      <c r="M938" s="2"/>
      <c r="N938" s="2"/>
      <c r="O938" s="2"/>
      <c r="P938" s="74"/>
      <c r="Q938" s="2"/>
      <c r="R938" s="2"/>
      <c r="S938" s="76"/>
      <c r="T938" s="2"/>
      <c r="U938" s="62"/>
      <c r="V938" s="62"/>
      <c r="W938" s="62"/>
      <c r="X938" s="62"/>
      <c r="Y938" s="62"/>
      <c r="Z938" s="62"/>
    </row>
    <row r="939" ht="15.75" customHeight="1">
      <c r="A939" s="2"/>
      <c r="B939" s="2"/>
      <c r="C939" s="2"/>
      <c r="D939" s="2"/>
      <c r="E939" s="2"/>
      <c r="F939" s="2"/>
      <c r="G939" s="2"/>
      <c r="H939" s="2"/>
      <c r="I939" s="74"/>
      <c r="J939" s="74"/>
      <c r="K939" s="74"/>
      <c r="L939" s="74"/>
      <c r="M939" s="2"/>
      <c r="N939" s="2"/>
      <c r="O939" s="2"/>
      <c r="P939" s="74"/>
      <c r="Q939" s="2"/>
      <c r="R939" s="2"/>
      <c r="S939" s="76"/>
      <c r="T939" s="2"/>
      <c r="U939" s="62"/>
      <c r="V939" s="62"/>
      <c r="W939" s="62"/>
      <c r="X939" s="62"/>
      <c r="Y939" s="62"/>
      <c r="Z939" s="62"/>
    </row>
    <row r="940" ht="15.75" customHeight="1">
      <c r="A940" s="2"/>
      <c r="B940" s="2"/>
      <c r="C940" s="2"/>
      <c r="D940" s="2"/>
      <c r="E940" s="2"/>
      <c r="F940" s="2"/>
      <c r="G940" s="2"/>
      <c r="H940" s="2"/>
      <c r="I940" s="74"/>
      <c r="J940" s="74"/>
      <c r="K940" s="74"/>
      <c r="L940" s="74"/>
      <c r="M940" s="2"/>
      <c r="N940" s="2"/>
      <c r="O940" s="2"/>
      <c r="P940" s="74"/>
      <c r="Q940" s="2"/>
      <c r="R940" s="2"/>
      <c r="S940" s="76"/>
      <c r="T940" s="2"/>
      <c r="U940" s="62"/>
      <c r="V940" s="62"/>
      <c r="W940" s="62"/>
      <c r="X940" s="62"/>
      <c r="Y940" s="62"/>
      <c r="Z940" s="62"/>
    </row>
    <row r="941" ht="15.75" customHeight="1">
      <c r="A941" s="2"/>
      <c r="B941" s="2"/>
      <c r="C941" s="2"/>
      <c r="D941" s="2"/>
      <c r="E941" s="2"/>
      <c r="F941" s="2"/>
      <c r="G941" s="2"/>
      <c r="H941" s="2"/>
      <c r="I941" s="74"/>
      <c r="J941" s="74"/>
      <c r="K941" s="74"/>
      <c r="L941" s="74"/>
      <c r="M941" s="2"/>
      <c r="N941" s="2"/>
      <c r="O941" s="2"/>
      <c r="P941" s="74"/>
      <c r="Q941" s="2"/>
      <c r="R941" s="2"/>
      <c r="S941" s="76"/>
      <c r="T941" s="2"/>
      <c r="U941" s="62"/>
      <c r="V941" s="62"/>
      <c r="W941" s="62"/>
      <c r="X941" s="62"/>
      <c r="Y941" s="62"/>
      <c r="Z941" s="62"/>
    </row>
    <row r="942" ht="15.75" customHeight="1">
      <c r="A942" s="2"/>
      <c r="B942" s="2"/>
      <c r="C942" s="2"/>
      <c r="D942" s="2"/>
      <c r="E942" s="2"/>
      <c r="F942" s="2"/>
      <c r="G942" s="2"/>
      <c r="H942" s="2"/>
      <c r="I942" s="74"/>
      <c r="J942" s="74"/>
      <c r="K942" s="74"/>
      <c r="L942" s="74"/>
      <c r="M942" s="2"/>
      <c r="N942" s="2"/>
      <c r="O942" s="2"/>
      <c r="P942" s="74"/>
      <c r="Q942" s="2"/>
      <c r="R942" s="2"/>
      <c r="S942" s="76"/>
      <c r="T942" s="2"/>
      <c r="U942" s="62"/>
      <c r="V942" s="62"/>
      <c r="W942" s="62"/>
      <c r="X942" s="62"/>
      <c r="Y942" s="62"/>
      <c r="Z942" s="62"/>
    </row>
    <row r="943" ht="15.75" customHeight="1">
      <c r="A943" s="2"/>
      <c r="B943" s="2"/>
      <c r="C943" s="2"/>
      <c r="D943" s="2"/>
      <c r="E943" s="2"/>
      <c r="F943" s="2"/>
      <c r="G943" s="2"/>
      <c r="H943" s="2"/>
      <c r="I943" s="74"/>
      <c r="J943" s="74"/>
      <c r="K943" s="74"/>
      <c r="L943" s="74"/>
      <c r="M943" s="2"/>
      <c r="N943" s="2"/>
      <c r="O943" s="2"/>
      <c r="P943" s="74"/>
      <c r="Q943" s="2"/>
      <c r="R943" s="2"/>
      <c r="S943" s="76"/>
      <c r="T943" s="2"/>
      <c r="U943" s="62"/>
      <c r="V943" s="62"/>
      <c r="W943" s="62"/>
      <c r="X943" s="62"/>
      <c r="Y943" s="62"/>
      <c r="Z943" s="62"/>
    </row>
    <row r="944" ht="15.75" customHeight="1">
      <c r="A944" s="2"/>
      <c r="B944" s="2"/>
      <c r="C944" s="2"/>
      <c r="D944" s="2"/>
      <c r="E944" s="2"/>
      <c r="F944" s="2"/>
      <c r="G944" s="2"/>
      <c r="H944" s="2"/>
      <c r="I944" s="74"/>
      <c r="J944" s="74"/>
      <c r="K944" s="74"/>
      <c r="L944" s="74"/>
      <c r="M944" s="2"/>
      <c r="N944" s="2"/>
      <c r="O944" s="2"/>
      <c r="P944" s="74"/>
      <c r="Q944" s="2"/>
      <c r="R944" s="2"/>
      <c r="S944" s="76"/>
      <c r="T944" s="2"/>
      <c r="U944" s="62"/>
      <c r="V944" s="62"/>
      <c r="W944" s="62"/>
      <c r="X944" s="62"/>
      <c r="Y944" s="62"/>
      <c r="Z944" s="62"/>
    </row>
    <row r="945" ht="15.75" customHeight="1">
      <c r="A945" s="2"/>
      <c r="B945" s="2"/>
      <c r="C945" s="2"/>
      <c r="D945" s="2"/>
      <c r="E945" s="2"/>
      <c r="F945" s="2"/>
      <c r="G945" s="2"/>
      <c r="H945" s="2"/>
      <c r="I945" s="74"/>
      <c r="J945" s="74"/>
      <c r="K945" s="74"/>
      <c r="L945" s="74"/>
      <c r="M945" s="2"/>
      <c r="N945" s="2"/>
      <c r="O945" s="2"/>
      <c r="P945" s="74"/>
      <c r="Q945" s="2"/>
      <c r="R945" s="2"/>
      <c r="S945" s="76"/>
      <c r="T945" s="2"/>
      <c r="U945" s="62"/>
      <c r="V945" s="62"/>
      <c r="W945" s="62"/>
      <c r="X945" s="62"/>
      <c r="Y945" s="62"/>
      <c r="Z945" s="62"/>
    </row>
    <row r="946" ht="15.75" customHeight="1">
      <c r="A946" s="2"/>
      <c r="B946" s="2"/>
      <c r="C946" s="2"/>
      <c r="D946" s="2"/>
      <c r="E946" s="2"/>
      <c r="F946" s="2"/>
      <c r="G946" s="2"/>
      <c r="H946" s="2"/>
      <c r="I946" s="74"/>
      <c r="J946" s="74"/>
      <c r="K946" s="74"/>
      <c r="L946" s="74"/>
      <c r="M946" s="2"/>
      <c r="N946" s="2"/>
      <c r="O946" s="2"/>
      <c r="P946" s="74"/>
      <c r="Q946" s="2"/>
      <c r="R946" s="2"/>
      <c r="S946" s="76"/>
      <c r="T946" s="2"/>
      <c r="U946" s="62"/>
      <c r="V946" s="62"/>
      <c r="W946" s="62"/>
      <c r="X946" s="62"/>
      <c r="Y946" s="62"/>
      <c r="Z946" s="62"/>
    </row>
    <row r="947" ht="15.75" customHeight="1">
      <c r="A947" s="2"/>
      <c r="B947" s="2"/>
      <c r="C947" s="2"/>
      <c r="D947" s="2"/>
      <c r="E947" s="2"/>
      <c r="F947" s="2"/>
      <c r="G947" s="2"/>
      <c r="H947" s="2"/>
      <c r="I947" s="74"/>
      <c r="J947" s="74"/>
      <c r="K947" s="74"/>
      <c r="L947" s="74"/>
      <c r="M947" s="2"/>
      <c r="N947" s="2"/>
      <c r="O947" s="2"/>
      <c r="P947" s="74"/>
      <c r="Q947" s="2"/>
      <c r="R947" s="2"/>
      <c r="S947" s="76"/>
      <c r="T947" s="2"/>
      <c r="U947" s="62"/>
      <c r="V947" s="62"/>
      <c r="W947" s="62"/>
      <c r="X947" s="62"/>
      <c r="Y947" s="62"/>
      <c r="Z947" s="62"/>
    </row>
    <row r="948" ht="15.75" customHeight="1">
      <c r="A948" s="2"/>
      <c r="B948" s="2"/>
      <c r="C948" s="2"/>
      <c r="D948" s="2"/>
      <c r="E948" s="2"/>
      <c r="F948" s="2"/>
      <c r="G948" s="2"/>
      <c r="H948" s="2"/>
      <c r="I948" s="74"/>
      <c r="J948" s="74"/>
      <c r="K948" s="74"/>
      <c r="L948" s="74"/>
      <c r="M948" s="2"/>
      <c r="N948" s="2"/>
      <c r="O948" s="2"/>
      <c r="P948" s="74"/>
      <c r="Q948" s="2"/>
      <c r="R948" s="2"/>
      <c r="S948" s="76"/>
      <c r="T948" s="2"/>
      <c r="U948" s="62"/>
      <c r="V948" s="62"/>
      <c r="W948" s="62"/>
      <c r="X948" s="62"/>
      <c r="Y948" s="62"/>
      <c r="Z948" s="62"/>
    </row>
    <row r="949" ht="15.75" customHeight="1">
      <c r="A949" s="2"/>
      <c r="B949" s="2"/>
      <c r="C949" s="2"/>
      <c r="D949" s="2"/>
      <c r="E949" s="2"/>
      <c r="F949" s="2"/>
      <c r="G949" s="2"/>
      <c r="H949" s="2"/>
      <c r="I949" s="74"/>
      <c r="J949" s="74"/>
      <c r="K949" s="74"/>
      <c r="L949" s="74"/>
      <c r="M949" s="2"/>
      <c r="N949" s="2"/>
      <c r="O949" s="2"/>
      <c r="P949" s="74"/>
      <c r="Q949" s="2"/>
      <c r="R949" s="2"/>
      <c r="S949" s="76"/>
      <c r="T949" s="2"/>
      <c r="U949" s="62"/>
      <c r="V949" s="62"/>
      <c r="W949" s="62"/>
      <c r="X949" s="62"/>
      <c r="Y949" s="62"/>
      <c r="Z949" s="62"/>
    </row>
    <row r="950" ht="15.75" customHeight="1">
      <c r="A950" s="2"/>
      <c r="B950" s="2"/>
      <c r="C950" s="2"/>
      <c r="D950" s="2"/>
      <c r="E950" s="2"/>
      <c r="F950" s="2"/>
      <c r="G950" s="2"/>
      <c r="H950" s="2"/>
      <c r="I950" s="74"/>
      <c r="J950" s="74"/>
      <c r="K950" s="74"/>
      <c r="L950" s="74"/>
      <c r="M950" s="2"/>
      <c r="N950" s="2"/>
      <c r="O950" s="2"/>
      <c r="P950" s="74"/>
      <c r="Q950" s="2"/>
      <c r="R950" s="2"/>
      <c r="S950" s="76"/>
      <c r="T950" s="2"/>
      <c r="U950" s="62"/>
      <c r="V950" s="62"/>
      <c r="W950" s="62"/>
      <c r="X950" s="62"/>
      <c r="Y950" s="62"/>
      <c r="Z950" s="62"/>
    </row>
    <row r="951" ht="15.75" customHeight="1">
      <c r="A951" s="2"/>
      <c r="B951" s="2"/>
      <c r="C951" s="2"/>
      <c r="D951" s="2"/>
      <c r="E951" s="2"/>
      <c r="F951" s="2"/>
      <c r="G951" s="2"/>
      <c r="H951" s="2"/>
      <c r="I951" s="74"/>
      <c r="J951" s="74"/>
      <c r="K951" s="74"/>
      <c r="L951" s="74"/>
      <c r="M951" s="2"/>
      <c r="N951" s="2"/>
      <c r="O951" s="2"/>
      <c r="P951" s="74"/>
      <c r="Q951" s="2"/>
      <c r="R951" s="2"/>
      <c r="S951" s="76"/>
      <c r="T951" s="2"/>
      <c r="U951" s="62"/>
      <c r="V951" s="62"/>
      <c r="W951" s="62"/>
      <c r="X951" s="62"/>
      <c r="Y951" s="62"/>
      <c r="Z951" s="62"/>
    </row>
    <row r="952" ht="15.75" customHeight="1">
      <c r="A952" s="2"/>
      <c r="B952" s="2"/>
      <c r="C952" s="2"/>
      <c r="D952" s="2"/>
      <c r="E952" s="2"/>
      <c r="F952" s="2"/>
      <c r="G952" s="2"/>
      <c r="H952" s="2"/>
      <c r="I952" s="74"/>
      <c r="J952" s="74"/>
      <c r="K952" s="74"/>
      <c r="L952" s="74"/>
      <c r="M952" s="2"/>
      <c r="N952" s="2"/>
      <c r="O952" s="2"/>
      <c r="P952" s="74"/>
      <c r="Q952" s="2"/>
      <c r="R952" s="2"/>
      <c r="S952" s="76"/>
      <c r="T952" s="2"/>
      <c r="U952" s="62"/>
      <c r="V952" s="62"/>
      <c r="W952" s="62"/>
      <c r="X952" s="62"/>
      <c r="Y952" s="62"/>
      <c r="Z952" s="62"/>
    </row>
    <row r="953" ht="15.75" customHeight="1">
      <c r="A953" s="2"/>
      <c r="B953" s="2"/>
      <c r="C953" s="2"/>
      <c r="D953" s="2"/>
      <c r="E953" s="2"/>
      <c r="F953" s="2"/>
      <c r="G953" s="2"/>
      <c r="H953" s="2"/>
      <c r="I953" s="74"/>
      <c r="J953" s="74"/>
      <c r="K953" s="74"/>
      <c r="L953" s="74"/>
      <c r="M953" s="2"/>
      <c r="N953" s="2"/>
      <c r="O953" s="2"/>
      <c r="P953" s="74"/>
      <c r="Q953" s="2"/>
      <c r="R953" s="2"/>
      <c r="S953" s="76"/>
      <c r="T953" s="2"/>
      <c r="U953" s="62"/>
      <c r="V953" s="62"/>
      <c r="W953" s="62"/>
      <c r="X953" s="62"/>
      <c r="Y953" s="62"/>
      <c r="Z953" s="62"/>
    </row>
    <row r="954" ht="15.75" customHeight="1">
      <c r="A954" s="2"/>
      <c r="B954" s="2"/>
      <c r="C954" s="2"/>
      <c r="D954" s="2"/>
      <c r="E954" s="2"/>
      <c r="F954" s="2"/>
      <c r="G954" s="2"/>
      <c r="H954" s="2"/>
      <c r="I954" s="74"/>
      <c r="J954" s="74"/>
      <c r="K954" s="74"/>
      <c r="L954" s="74"/>
      <c r="M954" s="2"/>
      <c r="N954" s="2"/>
      <c r="O954" s="2"/>
      <c r="P954" s="74"/>
      <c r="Q954" s="2"/>
      <c r="R954" s="2"/>
      <c r="S954" s="76"/>
      <c r="T954" s="2"/>
      <c r="U954" s="62"/>
      <c r="V954" s="62"/>
      <c r="W954" s="62"/>
      <c r="X954" s="62"/>
      <c r="Y954" s="62"/>
      <c r="Z954" s="62"/>
    </row>
    <row r="955" ht="15.75" customHeight="1">
      <c r="A955" s="2"/>
      <c r="B955" s="2"/>
      <c r="C955" s="2"/>
      <c r="D955" s="2"/>
      <c r="E955" s="2"/>
      <c r="F955" s="2"/>
      <c r="G955" s="2"/>
      <c r="H955" s="2"/>
      <c r="I955" s="74"/>
      <c r="J955" s="74"/>
      <c r="K955" s="74"/>
      <c r="L955" s="74"/>
      <c r="M955" s="2"/>
      <c r="N955" s="2"/>
      <c r="O955" s="2"/>
      <c r="P955" s="74"/>
      <c r="Q955" s="2"/>
      <c r="R955" s="2"/>
      <c r="S955" s="76"/>
      <c r="T955" s="2"/>
      <c r="U955" s="62"/>
      <c r="V955" s="62"/>
      <c r="W955" s="62"/>
      <c r="X955" s="62"/>
      <c r="Y955" s="62"/>
      <c r="Z955" s="62"/>
    </row>
    <row r="956" ht="15.75" customHeight="1">
      <c r="A956" s="2"/>
      <c r="B956" s="2"/>
      <c r="C956" s="2"/>
      <c r="D956" s="2"/>
      <c r="E956" s="2"/>
      <c r="F956" s="2"/>
      <c r="G956" s="2"/>
      <c r="H956" s="2"/>
      <c r="I956" s="74"/>
      <c r="J956" s="74"/>
      <c r="K956" s="74"/>
      <c r="L956" s="74"/>
      <c r="M956" s="2"/>
      <c r="N956" s="2"/>
      <c r="O956" s="2"/>
      <c r="P956" s="74"/>
      <c r="Q956" s="2"/>
      <c r="R956" s="2"/>
      <c r="S956" s="76"/>
      <c r="T956" s="2"/>
      <c r="U956" s="62"/>
      <c r="V956" s="62"/>
      <c r="W956" s="62"/>
      <c r="X956" s="62"/>
      <c r="Y956" s="62"/>
      <c r="Z956" s="62"/>
    </row>
    <row r="957" ht="15.75" customHeight="1">
      <c r="A957" s="2"/>
      <c r="B957" s="2"/>
      <c r="C957" s="2"/>
      <c r="D957" s="2"/>
      <c r="E957" s="2"/>
      <c r="F957" s="2"/>
      <c r="G957" s="2"/>
      <c r="H957" s="2"/>
      <c r="I957" s="74"/>
      <c r="J957" s="74"/>
      <c r="K957" s="74"/>
      <c r="L957" s="74"/>
      <c r="M957" s="2"/>
      <c r="N957" s="2"/>
      <c r="O957" s="2"/>
      <c r="P957" s="74"/>
      <c r="Q957" s="2"/>
      <c r="R957" s="2"/>
      <c r="S957" s="76"/>
      <c r="T957" s="2"/>
      <c r="U957" s="62"/>
      <c r="V957" s="62"/>
      <c r="W957" s="62"/>
      <c r="X957" s="62"/>
      <c r="Y957" s="62"/>
      <c r="Z957" s="62"/>
    </row>
    <row r="958" ht="15.75" customHeight="1">
      <c r="A958" s="2"/>
      <c r="B958" s="2"/>
      <c r="C958" s="2"/>
      <c r="D958" s="2"/>
      <c r="E958" s="2"/>
      <c r="F958" s="2"/>
      <c r="G958" s="2"/>
      <c r="H958" s="2"/>
      <c r="I958" s="74"/>
      <c r="J958" s="74"/>
      <c r="K958" s="74"/>
      <c r="L958" s="74"/>
      <c r="M958" s="2"/>
      <c r="N958" s="2"/>
      <c r="O958" s="2"/>
      <c r="P958" s="74"/>
      <c r="Q958" s="2"/>
      <c r="R958" s="2"/>
      <c r="S958" s="76"/>
      <c r="T958" s="2"/>
      <c r="U958" s="62"/>
      <c r="V958" s="62"/>
      <c r="W958" s="62"/>
      <c r="X958" s="62"/>
      <c r="Y958" s="62"/>
      <c r="Z958" s="62"/>
    </row>
    <row r="959" ht="15.75" customHeight="1">
      <c r="A959" s="2"/>
      <c r="B959" s="2"/>
      <c r="C959" s="2"/>
      <c r="D959" s="2"/>
      <c r="E959" s="2"/>
      <c r="F959" s="2"/>
      <c r="G959" s="2"/>
      <c r="H959" s="2"/>
      <c r="I959" s="74"/>
      <c r="J959" s="74"/>
      <c r="K959" s="74"/>
      <c r="L959" s="74"/>
      <c r="M959" s="2"/>
      <c r="N959" s="2"/>
      <c r="O959" s="2"/>
      <c r="P959" s="74"/>
      <c r="Q959" s="2"/>
      <c r="R959" s="2"/>
      <c r="S959" s="76"/>
      <c r="T959" s="2"/>
      <c r="U959" s="62"/>
      <c r="V959" s="62"/>
      <c r="W959" s="62"/>
      <c r="X959" s="62"/>
      <c r="Y959" s="62"/>
      <c r="Z959" s="62"/>
    </row>
    <row r="960" ht="15.75" customHeight="1">
      <c r="A960" s="2"/>
      <c r="B960" s="2"/>
      <c r="C960" s="2"/>
      <c r="D960" s="2"/>
      <c r="E960" s="2"/>
      <c r="F960" s="2"/>
      <c r="G960" s="2"/>
      <c r="H960" s="2"/>
      <c r="I960" s="74"/>
      <c r="J960" s="74"/>
      <c r="K960" s="74"/>
      <c r="L960" s="74"/>
      <c r="M960" s="2"/>
      <c r="N960" s="2"/>
      <c r="O960" s="2"/>
      <c r="P960" s="74"/>
      <c r="Q960" s="2"/>
      <c r="R960" s="2"/>
      <c r="S960" s="76"/>
      <c r="T960" s="2"/>
      <c r="U960" s="62"/>
      <c r="V960" s="62"/>
      <c r="W960" s="62"/>
      <c r="X960" s="62"/>
      <c r="Y960" s="62"/>
      <c r="Z960" s="62"/>
    </row>
    <row r="961" ht="15.75" customHeight="1">
      <c r="A961" s="2"/>
      <c r="B961" s="2"/>
      <c r="C961" s="2"/>
      <c r="D961" s="2"/>
      <c r="E961" s="2"/>
      <c r="F961" s="2"/>
      <c r="G961" s="2"/>
      <c r="H961" s="2"/>
      <c r="I961" s="74"/>
      <c r="J961" s="74"/>
      <c r="K961" s="74"/>
      <c r="L961" s="74"/>
      <c r="M961" s="2"/>
      <c r="N961" s="2"/>
      <c r="O961" s="2"/>
      <c r="P961" s="74"/>
      <c r="Q961" s="2"/>
      <c r="R961" s="2"/>
      <c r="S961" s="76"/>
      <c r="T961" s="2"/>
      <c r="U961" s="62"/>
      <c r="V961" s="62"/>
      <c r="W961" s="62"/>
      <c r="X961" s="62"/>
      <c r="Y961" s="62"/>
      <c r="Z961" s="62"/>
    </row>
    <row r="962" ht="15.75" customHeight="1">
      <c r="A962" s="2"/>
      <c r="B962" s="2"/>
      <c r="C962" s="2"/>
      <c r="D962" s="2"/>
      <c r="E962" s="2"/>
      <c r="F962" s="2"/>
      <c r="G962" s="2"/>
      <c r="H962" s="2"/>
      <c r="I962" s="74"/>
      <c r="J962" s="74"/>
      <c r="K962" s="74"/>
      <c r="L962" s="74"/>
      <c r="M962" s="2"/>
      <c r="N962" s="2"/>
      <c r="O962" s="2"/>
      <c r="P962" s="74"/>
      <c r="Q962" s="2"/>
      <c r="R962" s="2"/>
      <c r="S962" s="76"/>
      <c r="T962" s="2"/>
      <c r="U962" s="62"/>
      <c r="V962" s="62"/>
      <c r="W962" s="62"/>
      <c r="X962" s="62"/>
      <c r="Y962" s="62"/>
      <c r="Z962" s="62"/>
    </row>
    <row r="963" ht="15.75" customHeight="1">
      <c r="A963" s="2"/>
      <c r="B963" s="2"/>
      <c r="C963" s="2"/>
      <c r="D963" s="2"/>
      <c r="E963" s="2"/>
      <c r="F963" s="2"/>
      <c r="G963" s="2"/>
      <c r="H963" s="2"/>
      <c r="I963" s="74"/>
      <c r="J963" s="74"/>
      <c r="K963" s="74"/>
      <c r="L963" s="74"/>
      <c r="M963" s="2"/>
      <c r="N963" s="2"/>
      <c r="O963" s="2"/>
      <c r="P963" s="74"/>
      <c r="Q963" s="2"/>
      <c r="R963" s="2"/>
      <c r="S963" s="76"/>
      <c r="T963" s="2"/>
      <c r="U963" s="62"/>
      <c r="V963" s="62"/>
      <c r="W963" s="62"/>
      <c r="X963" s="62"/>
      <c r="Y963" s="62"/>
      <c r="Z963" s="62"/>
    </row>
    <row r="964" ht="15.75" customHeight="1">
      <c r="A964" s="2"/>
      <c r="B964" s="2"/>
      <c r="C964" s="2"/>
      <c r="D964" s="2"/>
      <c r="E964" s="2"/>
      <c r="F964" s="2"/>
      <c r="G964" s="2"/>
      <c r="H964" s="2"/>
      <c r="I964" s="74"/>
      <c r="J964" s="74"/>
      <c r="K964" s="74"/>
      <c r="L964" s="74"/>
      <c r="M964" s="2"/>
      <c r="N964" s="2"/>
      <c r="O964" s="2"/>
      <c r="P964" s="74"/>
      <c r="Q964" s="2"/>
      <c r="R964" s="2"/>
      <c r="S964" s="76"/>
      <c r="T964" s="2"/>
      <c r="U964" s="62"/>
      <c r="V964" s="62"/>
      <c r="W964" s="62"/>
      <c r="X964" s="62"/>
      <c r="Y964" s="62"/>
      <c r="Z964" s="62"/>
    </row>
    <row r="965" ht="15.75" customHeight="1">
      <c r="A965" s="2"/>
      <c r="B965" s="2"/>
      <c r="C965" s="2"/>
      <c r="D965" s="2"/>
      <c r="E965" s="2"/>
      <c r="F965" s="2"/>
      <c r="G965" s="2"/>
      <c r="H965" s="2"/>
      <c r="I965" s="74"/>
      <c r="J965" s="74"/>
      <c r="K965" s="74"/>
      <c r="L965" s="74"/>
      <c r="M965" s="2"/>
      <c r="N965" s="2"/>
      <c r="O965" s="2"/>
      <c r="P965" s="74"/>
      <c r="Q965" s="2"/>
      <c r="R965" s="2"/>
      <c r="S965" s="76"/>
      <c r="T965" s="2"/>
      <c r="U965" s="62"/>
      <c r="V965" s="62"/>
      <c r="W965" s="62"/>
      <c r="X965" s="62"/>
      <c r="Y965" s="62"/>
      <c r="Z965" s="62"/>
    </row>
    <row r="966" ht="15.75" customHeight="1">
      <c r="A966" s="2"/>
      <c r="B966" s="2"/>
      <c r="C966" s="2"/>
      <c r="D966" s="2"/>
      <c r="E966" s="2"/>
      <c r="F966" s="2"/>
      <c r="G966" s="2"/>
      <c r="H966" s="2"/>
      <c r="I966" s="74"/>
      <c r="J966" s="74"/>
      <c r="K966" s="74"/>
      <c r="L966" s="74"/>
      <c r="M966" s="2"/>
      <c r="N966" s="2"/>
      <c r="O966" s="2"/>
      <c r="P966" s="74"/>
      <c r="Q966" s="2"/>
      <c r="R966" s="2"/>
      <c r="S966" s="76"/>
      <c r="T966" s="2"/>
      <c r="U966" s="62"/>
      <c r="V966" s="62"/>
      <c r="W966" s="62"/>
      <c r="X966" s="62"/>
      <c r="Y966" s="62"/>
      <c r="Z966" s="62"/>
    </row>
    <row r="967" ht="15.75" customHeight="1">
      <c r="A967" s="2"/>
      <c r="B967" s="2"/>
      <c r="C967" s="2"/>
      <c r="D967" s="2"/>
      <c r="E967" s="2"/>
      <c r="F967" s="2"/>
      <c r="G967" s="2"/>
      <c r="H967" s="2"/>
      <c r="I967" s="74"/>
      <c r="J967" s="74"/>
      <c r="K967" s="74"/>
      <c r="L967" s="74"/>
      <c r="M967" s="2"/>
      <c r="N967" s="2"/>
      <c r="O967" s="2"/>
      <c r="P967" s="74"/>
      <c r="Q967" s="2"/>
      <c r="R967" s="2"/>
      <c r="S967" s="76"/>
      <c r="T967" s="2"/>
      <c r="U967" s="62"/>
      <c r="V967" s="62"/>
      <c r="W967" s="62"/>
      <c r="X967" s="62"/>
      <c r="Y967" s="62"/>
      <c r="Z967" s="62"/>
    </row>
    <row r="968" ht="15.75" customHeight="1">
      <c r="A968" s="2"/>
      <c r="B968" s="2"/>
      <c r="C968" s="2"/>
      <c r="D968" s="2"/>
      <c r="E968" s="2"/>
      <c r="F968" s="2"/>
      <c r="G968" s="2"/>
      <c r="H968" s="2"/>
      <c r="I968" s="74"/>
      <c r="J968" s="74"/>
      <c r="K968" s="74"/>
      <c r="L968" s="74"/>
      <c r="M968" s="2"/>
      <c r="N968" s="2"/>
      <c r="O968" s="2"/>
      <c r="P968" s="74"/>
      <c r="Q968" s="2"/>
      <c r="R968" s="2"/>
      <c r="S968" s="76"/>
      <c r="T968" s="2"/>
      <c r="U968" s="62"/>
      <c r="V968" s="62"/>
      <c r="W968" s="62"/>
      <c r="X968" s="62"/>
      <c r="Y968" s="62"/>
      <c r="Z968" s="62"/>
    </row>
    <row r="969" ht="15.75" customHeight="1">
      <c r="A969" s="2"/>
      <c r="B969" s="2"/>
      <c r="C969" s="2"/>
      <c r="D969" s="2"/>
      <c r="E969" s="2"/>
      <c r="F969" s="2"/>
      <c r="G969" s="2"/>
      <c r="H969" s="2"/>
      <c r="I969" s="74"/>
      <c r="J969" s="74"/>
      <c r="K969" s="74"/>
      <c r="L969" s="74"/>
      <c r="M969" s="2"/>
      <c r="N969" s="2"/>
      <c r="O969" s="2"/>
      <c r="P969" s="74"/>
      <c r="Q969" s="2"/>
      <c r="R969" s="2"/>
      <c r="S969" s="76"/>
      <c r="T969" s="2"/>
      <c r="U969" s="62"/>
      <c r="V969" s="62"/>
      <c r="W969" s="62"/>
      <c r="X969" s="62"/>
      <c r="Y969" s="62"/>
      <c r="Z969" s="62"/>
    </row>
    <row r="970" ht="15.75" customHeight="1">
      <c r="A970" s="2"/>
      <c r="B970" s="2"/>
      <c r="C970" s="2"/>
      <c r="D970" s="2"/>
      <c r="E970" s="2"/>
      <c r="F970" s="2"/>
      <c r="G970" s="2"/>
      <c r="H970" s="2"/>
      <c r="I970" s="74"/>
      <c r="J970" s="74"/>
      <c r="K970" s="74"/>
      <c r="L970" s="74"/>
      <c r="M970" s="2"/>
      <c r="N970" s="2"/>
      <c r="O970" s="2"/>
      <c r="P970" s="74"/>
      <c r="Q970" s="2"/>
      <c r="R970" s="2"/>
      <c r="S970" s="76"/>
      <c r="T970" s="2"/>
      <c r="U970" s="62"/>
      <c r="V970" s="62"/>
      <c r="W970" s="62"/>
      <c r="X970" s="62"/>
      <c r="Y970" s="62"/>
      <c r="Z970" s="62"/>
    </row>
    <row r="971" ht="15.75" customHeight="1">
      <c r="A971" s="2"/>
      <c r="B971" s="2"/>
      <c r="C971" s="2"/>
      <c r="D971" s="2"/>
      <c r="E971" s="2"/>
      <c r="F971" s="2"/>
      <c r="G971" s="2"/>
      <c r="H971" s="2"/>
      <c r="I971" s="74"/>
      <c r="J971" s="74"/>
      <c r="K971" s="74"/>
      <c r="L971" s="74"/>
      <c r="M971" s="2"/>
      <c r="N971" s="2"/>
      <c r="O971" s="2"/>
      <c r="P971" s="74"/>
      <c r="Q971" s="2"/>
      <c r="R971" s="2"/>
      <c r="S971" s="76"/>
      <c r="T971" s="2"/>
      <c r="U971" s="62"/>
      <c r="V971" s="62"/>
      <c r="W971" s="62"/>
      <c r="X971" s="62"/>
      <c r="Y971" s="62"/>
      <c r="Z971" s="62"/>
    </row>
    <row r="972" ht="15.75" customHeight="1">
      <c r="A972" s="2"/>
      <c r="B972" s="2"/>
      <c r="C972" s="2"/>
      <c r="D972" s="2"/>
      <c r="E972" s="2"/>
      <c r="F972" s="2"/>
      <c r="G972" s="2"/>
      <c r="H972" s="2"/>
      <c r="I972" s="74"/>
      <c r="J972" s="74"/>
      <c r="K972" s="74"/>
      <c r="L972" s="74"/>
      <c r="M972" s="2"/>
      <c r="N972" s="2"/>
      <c r="O972" s="2"/>
      <c r="P972" s="74"/>
      <c r="Q972" s="2"/>
      <c r="R972" s="2"/>
      <c r="S972" s="76"/>
      <c r="T972" s="2"/>
      <c r="U972" s="62"/>
      <c r="V972" s="62"/>
      <c r="W972" s="62"/>
      <c r="X972" s="62"/>
      <c r="Y972" s="62"/>
      <c r="Z972" s="62"/>
    </row>
    <row r="973" ht="15.75" customHeight="1">
      <c r="A973" s="2"/>
      <c r="B973" s="2"/>
      <c r="C973" s="2"/>
      <c r="D973" s="2"/>
      <c r="E973" s="2"/>
      <c r="F973" s="2"/>
      <c r="G973" s="2"/>
      <c r="H973" s="2"/>
      <c r="I973" s="74"/>
      <c r="J973" s="74"/>
      <c r="K973" s="74"/>
      <c r="L973" s="74"/>
      <c r="M973" s="2"/>
      <c r="N973" s="2"/>
      <c r="O973" s="2"/>
      <c r="P973" s="74"/>
      <c r="Q973" s="2"/>
      <c r="R973" s="2"/>
      <c r="S973" s="76"/>
      <c r="T973" s="2"/>
      <c r="U973" s="62"/>
      <c r="V973" s="62"/>
      <c r="W973" s="62"/>
      <c r="X973" s="62"/>
      <c r="Y973" s="62"/>
      <c r="Z973" s="62"/>
    </row>
    <row r="974" ht="15.75" customHeight="1">
      <c r="A974" s="2"/>
      <c r="B974" s="2"/>
      <c r="C974" s="2"/>
      <c r="D974" s="2"/>
      <c r="E974" s="2"/>
      <c r="F974" s="2"/>
      <c r="G974" s="2"/>
      <c r="H974" s="2"/>
      <c r="I974" s="74"/>
      <c r="J974" s="74"/>
      <c r="K974" s="74"/>
      <c r="L974" s="74"/>
      <c r="M974" s="2"/>
      <c r="N974" s="2"/>
      <c r="O974" s="2"/>
      <c r="P974" s="74"/>
      <c r="Q974" s="2"/>
      <c r="R974" s="2"/>
      <c r="S974" s="76"/>
      <c r="T974" s="2"/>
      <c r="U974" s="62"/>
      <c r="V974" s="62"/>
      <c r="W974" s="62"/>
      <c r="X974" s="62"/>
      <c r="Y974" s="62"/>
      <c r="Z974" s="62"/>
    </row>
    <row r="975" ht="15.75" customHeight="1">
      <c r="A975" s="2"/>
      <c r="B975" s="2"/>
      <c r="C975" s="2"/>
      <c r="D975" s="2"/>
      <c r="E975" s="2"/>
      <c r="F975" s="2"/>
      <c r="G975" s="2"/>
      <c r="H975" s="2"/>
      <c r="I975" s="74"/>
      <c r="J975" s="74"/>
      <c r="K975" s="74"/>
      <c r="L975" s="74"/>
      <c r="M975" s="2"/>
      <c r="N975" s="2"/>
      <c r="O975" s="2"/>
      <c r="P975" s="74"/>
      <c r="Q975" s="2"/>
      <c r="R975" s="2"/>
      <c r="S975" s="76"/>
      <c r="T975" s="2"/>
      <c r="U975" s="62"/>
      <c r="V975" s="62"/>
      <c r="W975" s="62"/>
      <c r="X975" s="62"/>
      <c r="Y975" s="62"/>
      <c r="Z975" s="62"/>
    </row>
    <row r="976" ht="15.75" customHeight="1">
      <c r="A976" s="2"/>
      <c r="B976" s="2"/>
      <c r="C976" s="2"/>
      <c r="D976" s="2"/>
      <c r="E976" s="2"/>
      <c r="F976" s="2"/>
      <c r="G976" s="2"/>
      <c r="H976" s="2"/>
      <c r="I976" s="74"/>
      <c r="J976" s="74"/>
      <c r="K976" s="74"/>
      <c r="L976" s="74"/>
      <c r="M976" s="2"/>
      <c r="N976" s="2"/>
      <c r="O976" s="2"/>
      <c r="P976" s="74"/>
      <c r="Q976" s="2"/>
      <c r="R976" s="2"/>
      <c r="S976" s="76"/>
      <c r="T976" s="2"/>
      <c r="U976" s="62"/>
      <c r="V976" s="62"/>
      <c r="W976" s="62"/>
      <c r="X976" s="62"/>
      <c r="Y976" s="62"/>
      <c r="Z976" s="62"/>
    </row>
    <row r="977" ht="15.75" customHeight="1">
      <c r="A977" s="2"/>
      <c r="B977" s="2"/>
      <c r="C977" s="2"/>
      <c r="D977" s="2"/>
      <c r="E977" s="2"/>
      <c r="F977" s="2"/>
      <c r="G977" s="2"/>
      <c r="H977" s="2"/>
      <c r="I977" s="74"/>
      <c r="J977" s="74"/>
      <c r="K977" s="74"/>
      <c r="L977" s="74"/>
      <c r="M977" s="2"/>
      <c r="N977" s="2"/>
      <c r="O977" s="2"/>
      <c r="P977" s="74"/>
      <c r="Q977" s="2"/>
      <c r="R977" s="2"/>
      <c r="S977" s="76"/>
      <c r="T977" s="2"/>
      <c r="U977" s="62"/>
      <c r="V977" s="62"/>
      <c r="W977" s="62"/>
      <c r="X977" s="62"/>
      <c r="Y977" s="62"/>
      <c r="Z977" s="62"/>
    </row>
    <row r="978" ht="15.75" customHeight="1">
      <c r="A978" s="2"/>
      <c r="B978" s="2"/>
      <c r="C978" s="2"/>
      <c r="D978" s="2"/>
      <c r="E978" s="2"/>
      <c r="F978" s="2"/>
      <c r="G978" s="2"/>
      <c r="H978" s="2"/>
      <c r="I978" s="74"/>
      <c r="J978" s="74"/>
      <c r="K978" s="74"/>
      <c r="L978" s="74"/>
      <c r="M978" s="2"/>
      <c r="N978" s="2"/>
      <c r="O978" s="2"/>
      <c r="P978" s="74"/>
      <c r="Q978" s="2"/>
      <c r="R978" s="2"/>
      <c r="S978" s="76"/>
      <c r="T978" s="2"/>
      <c r="U978" s="62"/>
      <c r="V978" s="62"/>
      <c r="W978" s="62"/>
      <c r="X978" s="62"/>
      <c r="Y978" s="62"/>
      <c r="Z978" s="62"/>
    </row>
    <row r="979" ht="15.75" customHeight="1">
      <c r="A979" s="2"/>
      <c r="B979" s="2"/>
      <c r="C979" s="2"/>
      <c r="D979" s="2"/>
      <c r="E979" s="2"/>
      <c r="F979" s="2"/>
      <c r="G979" s="2"/>
      <c r="H979" s="2"/>
      <c r="I979" s="74"/>
      <c r="J979" s="74"/>
      <c r="K979" s="74"/>
      <c r="L979" s="74"/>
      <c r="M979" s="2"/>
      <c r="N979" s="2"/>
      <c r="O979" s="2"/>
      <c r="P979" s="74"/>
      <c r="Q979" s="2"/>
      <c r="R979" s="2"/>
      <c r="S979" s="76"/>
      <c r="T979" s="2"/>
      <c r="U979" s="62"/>
      <c r="V979" s="62"/>
      <c r="W979" s="62"/>
      <c r="X979" s="62"/>
      <c r="Y979" s="62"/>
      <c r="Z979" s="62"/>
    </row>
    <row r="980" ht="15.75" customHeight="1">
      <c r="A980" s="2"/>
      <c r="B980" s="2"/>
      <c r="C980" s="2"/>
      <c r="D980" s="2"/>
      <c r="E980" s="2"/>
      <c r="F980" s="2"/>
      <c r="G980" s="2"/>
      <c r="H980" s="2"/>
      <c r="I980" s="74"/>
      <c r="J980" s="74"/>
      <c r="K980" s="74"/>
      <c r="L980" s="74"/>
      <c r="M980" s="2"/>
      <c r="N980" s="2"/>
      <c r="O980" s="2"/>
      <c r="P980" s="74"/>
      <c r="Q980" s="2"/>
      <c r="R980" s="2"/>
      <c r="S980" s="76"/>
      <c r="T980" s="2"/>
      <c r="U980" s="62"/>
      <c r="V980" s="62"/>
      <c r="W980" s="62"/>
      <c r="X980" s="62"/>
      <c r="Y980" s="62"/>
      <c r="Z980" s="62"/>
    </row>
    <row r="981" ht="15.75" customHeight="1">
      <c r="A981" s="2"/>
      <c r="B981" s="2"/>
      <c r="C981" s="2"/>
      <c r="D981" s="2"/>
      <c r="E981" s="2"/>
      <c r="F981" s="2"/>
      <c r="G981" s="2"/>
      <c r="H981" s="2"/>
      <c r="I981" s="74"/>
      <c r="J981" s="74"/>
      <c r="K981" s="74"/>
      <c r="L981" s="74"/>
      <c r="M981" s="2"/>
      <c r="N981" s="2"/>
      <c r="O981" s="2"/>
      <c r="P981" s="74"/>
      <c r="Q981" s="2"/>
      <c r="R981" s="2"/>
      <c r="S981" s="76"/>
      <c r="T981" s="2"/>
      <c r="U981" s="62"/>
      <c r="V981" s="62"/>
      <c r="W981" s="62"/>
      <c r="X981" s="62"/>
      <c r="Y981" s="62"/>
      <c r="Z981" s="62"/>
    </row>
    <row r="982" ht="15.75" customHeight="1">
      <c r="A982" s="2"/>
      <c r="B982" s="2"/>
      <c r="C982" s="2"/>
      <c r="D982" s="2"/>
      <c r="E982" s="2"/>
      <c r="F982" s="2"/>
      <c r="G982" s="2"/>
      <c r="H982" s="2"/>
      <c r="I982" s="74"/>
      <c r="J982" s="74"/>
      <c r="K982" s="74"/>
      <c r="L982" s="74"/>
      <c r="M982" s="2"/>
      <c r="N982" s="2"/>
      <c r="O982" s="2"/>
      <c r="P982" s="74"/>
      <c r="Q982" s="2"/>
      <c r="R982" s="2"/>
      <c r="S982" s="76"/>
      <c r="T982" s="2"/>
      <c r="U982" s="62"/>
      <c r="V982" s="62"/>
      <c r="W982" s="62"/>
      <c r="X982" s="62"/>
      <c r="Y982" s="62"/>
      <c r="Z982" s="62"/>
    </row>
    <row r="983" ht="15.75" customHeight="1">
      <c r="A983" s="2"/>
      <c r="B983" s="2"/>
      <c r="C983" s="2"/>
      <c r="D983" s="2"/>
      <c r="E983" s="2"/>
      <c r="F983" s="2"/>
      <c r="G983" s="2"/>
      <c r="H983" s="2"/>
      <c r="I983" s="74"/>
      <c r="J983" s="74"/>
      <c r="K983" s="74"/>
      <c r="L983" s="74"/>
      <c r="M983" s="2"/>
      <c r="N983" s="2"/>
      <c r="O983" s="2"/>
      <c r="P983" s="74"/>
      <c r="Q983" s="2"/>
      <c r="R983" s="2"/>
      <c r="S983" s="76"/>
      <c r="T983" s="2"/>
      <c r="U983" s="62"/>
      <c r="V983" s="62"/>
      <c r="W983" s="62"/>
      <c r="X983" s="62"/>
      <c r="Y983" s="62"/>
      <c r="Z983" s="62"/>
    </row>
    <row r="984" ht="15.75" customHeight="1">
      <c r="A984" s="2"/>
      <c r="B984" s="2"/>
      <c r="C984" s="2"/>
      <c r="D984" s="2"/>
      <c r="E984" s="2"/>
      <c r="F984" s="2"/>
      <c r="G984" s="2"/>
      <c r="H984" s="2"/>
      <c r="I984" s="74"/>
      <c r="J984" s="74"/>
      <c r="K984" s="74"/>
      <c r="L984" s="74"/>
      <c r="M984" s="2"/>
      <c r="N984" s="2"/>
      <c r="O984" s="2"/>
      <c r="P984" s="74"/>
      <c r="Q984" s="2"/>
      <c r="R984" s="2"/>
      <c r="S984" s="76"/>
      <c r="T984" s="2"/>
      <c r="U984" s="62"/>
      <c r="V984" s="62"/>
      <c r="W984" s="62"/>
      <c r="X984" s="62"/>
      <c r="Y984" s="62"/>
      <c r="Z984" s="62"/>
    </row>
    <row r="985" ht="15.75" customHeight="1">
      <c r="A985" s="2"/>
      <c r="B985" s="2"/>
      <c r="C985" s="2"/>
      <c r="D985" s="2"/>
      <c r="E985" s="2"/>
      <c r="F985" s="2"/>
      <c r="G985" s="2"/>
      <c r="H985" s="2"/>
      <c r="I985" s="74"/>
      <c r="J985" s="74"/>
      <c r="K985" s="74"/>
      <c r="L985" s="74"/>
      <c r="M985" s="2"/>
      <c r="N985" s="2"/>
      <c r="O985" s="2"/>
      <c r="P985" s="74"/>
      <c r="Q985" s="2"/>
      <c r="R985" s="2"/>
      <c r="S985" s="76"/>
      <c r="T985" s="2"/>
      <c r="U985" s="62"/>
      <c r="V985" s="62"/>
      <c r="W985" s="62"/>
      <c r="X985" s="62"/>
      <c r="Y985" s="62"/>
      <c r="Z985" s="62"/>
    </row>
    <row r="986" ht="15.75" customHeight="1">
      <c r="A986" s="2"/>
      <c r="B986" s="2"/>
      <c r="C986" s="2"/>
      <c r="D986" s="2"/>
      <c r="E986" s="2"/>
      <c r="F986" s="2"/>
      <c r="G986" s="2"/>
      <c r="H986" s="2"/>
      <c r="I986" s="74"/>
      <c r="J986" s="74"/>
      <c r="K986" s="74"/>
      <c r="L986" s="74"/>
      <c r="M986" s="2"/>
      <c r="N986" s="2"/>
      <c r="O986" s="2"/>
      <c r="P986" s="74"/>
      <c r="Q986" s="2"/>
      <c r="R986" s="2"/>
      <c r="S986" s="76"/>
      <c r="T986" s="2"/>
      <c r="U986" s="62"/>
      <c r="V986" s="62"/>
      <c r="W986" s="62"/>
      <c r="X986" s="62"/>
      <c r="Y986" s="62"/>
      <c r="Z986" s="62"/>
    </row>
    <row r="987" ht="15.75" customHeight="1">
      <c r="A987" s="2"/>
      <c r="B987" s="2"/>
      <c r="C987" s="2"/>
      <c r="D987" s="2"/>
      <c r="E987" s="2"/>
      <c r="F987" s="2"/>
      <c r="G987" s="2"/>
      <c r="H987" s="2"/>
      <c r="I987" s="74"/>
      <c r="J987" s="74"/>
      <c r="K987" s="74"/>
      <c r="L987" s="74"/>
      <c r="M987" s="2"/>
      <c r="N987" s="2"/>
      <c r="O987" s="2"/>
      <c r="P987" s="74"/>
      <c r="Q987" s="2"/>
      <c r="R987" s="2"/>
      <c r="S987" s="76"/>
      <c r="T987" s="2"/>
      <c r="U987" s="62"/>
      <c r="V987" s="62"/>
      <c r="W987" s="62"/>
      <c r="X987" s="62"/>
      <c r="Y987" s="62"/>
      <c r="Z987" s="62"/>
    </row>
    <row r="988" ht="15.75" customHeight="1">
      <c r="A988" s="2"/>
      <c r="B988" s="2"/>
      <c r="C988" s="2"/>
      <c r="D988" s="2"/>
      <c r="E988" s="2"/>
      <c r="F988" s="2"/>
      <c r="G988" s="2"/>
      <c r="H988" s="2"/>
      <c r="I988" s="74"/>
      <c r="J988" s="74"/>
      <c r="K988" s="74"/>
      <c r="L988" s="74"/>
      <c r="M988" s="2"/>
      <c r="N988" s="2"/>
      <c r="O988" s="2"/>
      <c r="P988" s="74"/>
      <c r="Q988" s="2"/>
      <c r="R988" s="2"/>
      <c r="S988" s="76"/>
      <c r="T988" s="2"/>
      <c r="U988" s="62"/>
      <c r="V988" s="62"/>
      <c r="W988" s="62"/>
      <c r="X988" s="62"/>
      <c r="Y988" s="62"/>
      <c r="Z988" s="62"/>
    </row>
    <row r="989" ht="15.75" customHeight="1">
      <c r="A989" s="2"/>
      <c r="B989" s="2"/>
      <c r="C989" s="2"/>
      <c r="D989" s="2"/>
      <c r="E989" s="2"/>
      <c r="F989" s="2"/>
      <c r="G989" s="2"/>
      <c r="H989" s="2"/>
      <c r="I989" s="74"/>
      <c r="J989" s="74"/>
      <c r="K989" s="74"/>
      <c r="L989" s="74"/>
      <c r="M989" s="2"/>
      <c r="N989" s="2"/>
      <c r="O989" s="2"/>
      <c r="P989" s="74"/>
      <c r="Q989" s="2"/>
      <c r="R989" s="2"/>
      <c r="S989" s="76"/>
      <c r="T989" s="2"/>
      <c r="U989" s="62"/>
      <c r="V989" s="62"/>
      <c r="W989" s="62"/>
      <c r="X989" s="62"/>
      <c r="Y989" s="62"/>
      <c r="Z989" s="62"/>
    </row>
    <row r="990" ht="15.75" customHeight="1">
      <c r="A990" s="2"/>
      <c r="B990" s="2"/>
      <c r="C990" s="2"/>
      <c r="D990" s="2"/>
      <c r="E990" s="2"/>
      <c r="F990" s="2"/>
      <c r="G990" s="2"/>
      <c r="H990" s="2"/>
      <c r="I990" s="74"/>
      <c r="J990" s="74"/>
      <c r="K990" s="74"/>
      <c r="L990" s="74"/>
      <c r="M990" s="2"/>
      <c r="N990" s="2"/>
      <c r="O990" s="2"/>
      <c r="P990" s="74"/>
      <c r="Q990" s="2"/>
      <c r="R990" s="2"/>
      <c r="S990" s="76"/>
      <c r="T990" s="2"/>
      <c r="U990" s="62"/>
      <c r="V990" s="62"/>
      <c r="W990" s="62"/>
      <c r="X990" s="62"/>
      <c r="Y990" s="62"/>
      <c r="Z990" s="62"/>
    </row>
    <row r="991" ht="15.75" customHeight="1">
      <c r="A991" s="2"/>
      <c r="B991" s="2"/>
      <c r="C991" s="2"/>
      <c r="D991" s="2"/>
      <c r="E991" s="2"/>
      <c r="F991" s="2"/>
      <c r="G991" s="2"/>
      <c r="H991" s="2"/>
      <c r="I991" s="74"/>
      <c r="J991" s="74"/>
      <c r="K991" s="74"/>
      <c r="L991" s="74"/>
      <c r="M991" s="2"/>
      <c r="N991" s="2"/>
      <c r="O991" s="2"/>
      <c r="P991" s="74"/>
      <c r="Q991" s="2"/>
      <c r="R991" s="2"/>
      <c r="S991" s="76"/>
      <c r="T991" s="2"/>
      <c r="U991" s="62"/>
      <c r="V991" s="62"/>
      <c r="W991" s="62"/>
      <c r="X991" s="62"/>
      <c r="Y991" s="62"/>
      <c r="Z991" s="62"/>
    </row>
    <row r="992" ht="15.75" customHeight="1">
      <c r="A992" s="2"/>
      <c r="B992" s="2"/>
      <c r="C992" s="2"/>
      <c r="D992" s="2"/>
      <c r="E992" s="2"/>
      <c r="F992" s="2"/>
      <c r="G992" s="2"/>
      <c r="H992" s="2"/>
      <c r="I992" s="74"/>
      <c r="J992" s="74"/>
      <c r="K992" s="74"/>
      <c r="L992" s="74"/>
      <c r="M992" s="2"/>
      <c r="N992" s="2"/>
      <c r="O992" s="2"/>
      <c r="P992" s="74"/>
      <c r="Q992" s="2"/>
      <c r="R992" s="2"/>
      <c r="S992" s="76"/>
      <c r="T992" s="2"/>
      <c r="U992" s="62"/>
      <c r="V992" s="62"/>
      <c r="W992" s="62"/>
      <c r="X992" s="62"/>
      <c r="Y992" s="62"/>
      <c r="Z992" s="62"/>
    </row>
    <row r="993" ht="15.75" customHeight="1">
      <c r="A993" s="2"/>
      <c r="B993" s="2"/>
      <c r="C993" s="2"/>
      <c r="D993" s="2"/>
      <c r="E993" s="2"/>
      <c r="F993" s="2"/>
      <c r="G993" s="2"/>
      <c r="H993" s="2"/>
      <c r="I993" s="74"/>
      <c r="J993" s="74"/>
      <c r="K993" s="74"/>
      <c r="L993" s="74"/>
      <c r="M993" s="2"/>
      <c r="N993" s="2"/>
      <c r="O993" s="2"/>
      <c r="P993" s="74"/>
      <c r="Q993" s="2"/>
      <c r="R993" s="2"/>
      <c r="S993" s="76"/>
      <c r="T993" s="2"/>
      <c r="U993" s="62"/>
      <c r="V993" s="62"/>
      <c r="W993" s="62"/>
      <c r="X993" s="62"/>
      <c r="Y993" s="62"/>
      <c r="Z993" s="62"/>
    </row>
    <row r="994" ht="15.75" customHeight="1">
      <c r="A994" s="2"/>
      <c r="B994" s="2"/>
      <c r="C994" s="2"/>
      <c r="D994" s="2"/>
      <c r="E994" s="2"/>
      <c r="F994" s="2"/>
      <c r="G994" s="2"/>
      <c r="H994" s="2"/>
      <c r="I994" s="74"/>
      <c r="J994" s="74"/>
      <c r="K994" s="74"/>
      <c r="L994" s="74"/>
      <c r="M994" s="2"/>
      <c r="N994" s="2"/>
      <c r="O994" s="2"/>
      <c r="P994" s="74"/>
      <c r="Q994" s="2"/>
      <c r="R994" s="2"/>
      <c r="S994" s="76"/>
      <c r="T994" s="2"/>
      <c r="U994" s="62"/>
      <c r="V994" s="62"/>
      <c r="W994" s="62"/>
      <c r="X994" s="62"/>
      <c r="Y994" s="62"/>
      <c r="Z994" s="62"/>
    </row>
    <row r="995" ht="15.75" customHeight="1">
      <c r="A995" s="2"/>
      <c r="B995" s="2"/>
      <c r="C995" s="2"/>
      <c r="D995" s="2"/>
      <c r="E995" s="2"/>
      <c r="F995" s="2"/>
      <c r="G995" s="2"/>
      <c r="H995" s="2"/>
      <c r="I995" s="74"/>
      <c r="J995" s="74"/>
      <c r="K995" s="74"/>
      <c r="L995" s="74"/>
      <c r="M995" s="2"/>
      <c r="N995" s="2"/>
      <c r="O995" s="2"/>
      <c r="P995" s="74"/>
      <c r="Q995" s="2"/>
      <c r="R995" s="2"/>
      <c r="S995" s="76"/>
      <c r="T995" s="2"/>
      <c r="U995" s="62"/>
      <c r="V995" s="62"/>
      <c r="W995" s="62"/>
      <c r="X995" s="62"/>
      <c r="Y995" s="62"/>
      <c r="Z995" s="62"/>
    </row>
    <row r="996" ht="15.75" customHeight="1">
      <c r="A996" s="2"/>
      <c r="B996" s="2"/>
      <c r="C996" s="2"/>
      <c r="D996" s="2"/>
      <c r="E996" s="2"/>
      <c r="F996" s="2"/>
      <c r="G996" s="2"/>
      <c r="H996" s="2"/>
      <c r="I996" s="74"/>
      <c r="J996" s="74"/>
      <c r="K996" s="74"/>
      <c r="L996" s="74"/>
      <c r="M996" s="2"/>
      <c r="N996" s="2"/>
      <c r="O996" s="2"/>
      <c r="P996" s="74"/>
      <c r="Q996" s="2"/>
      <c r="R996" s="2"/>
      <c r="S996" s="76"/>
      <c r="T996" s="2"/>
      <c r="U996" s="62"/>
      <c r="V996" s="62"/>
      <c r="W996" s="62"/>
      <c r="X996" s="62"/>
      <c r="Y996" s="62"/>
      <c r="Z996" s="62"/>
    </row>
    <row r="997" ht="15.75" customHeight="1">
      <c r="A997" s="2"/>
      <c r="B997" s="2"/>
      <c r="C997" s="2"/>
      <c r="D997" s="2"/>
      <c r="E997" s="2"/>
      <c r="F997" s="2"/>
      <c r="G997" s="2"/>
      <c r="H997" s="2"/>
      <c r="I997" s="74"/>
      <c r="J997" s="74"/>
      <c r="K997" s="74"/>
      <c r="L997" s="74"/>
      <c r="M997" s="2"/>
      <c r="N997" s="2"/>
      <c r="O997" s="2"/>
      <c r="P997" s="74"/>
      <c r="Q997" s="2"/>
      <c r="R997" s="2"/>
      <c r="S997" s="76"/>
      <c r="T997" s="2"/>
      <c r="U997" s="62"/>
      <c r="V997" s="62"/>
      <c r="W997" s="62"/>
      <c r="X997" s="62"/>
      <c r="Y997" s="62"/>
      <c r="Z997" s="62"/>
    </row>
    <row r="998" ht="15.75" customHeight="1">
      <c r="A998" s="2"/>
      <c r="B998" s="2"/>
      <c r="C998" s="2"/>
      <c r="D998" s="2"/>
      <c r="E998" s="2"/>
      <c r="F998" s="2"/>
      <c r="G998" s="2"/>
      <c r="H998" s="2"/>
      <c r="I998" s="74"/>
      <c r="J998" s="74"/>
      <c r="K998" s="74"/>
      <c r="L998" s="74"/>
      <c r="M998" s="2"/>
      <c r="N998" s="2"/>
      <c r="O998" s="2"/>
      <c r="P998" s="74"/>
      <c r="Q998" s="2"/>
      <c r="R998" s="2"/>
      <c r="S998" s="76"/>
      <c r="T998" s="2"/>
      <c r="U998" s="62"/>
      <c r="V998" s="62"/>
      <c r="W998" s="62"/>
      <c r="X998" s="62"/>
      <c r="Y998" s="62"/>
      <c r="Z998" s="62"/>
    </row>
    <row r="999" ht="15.75" customHeight="1">
      <c r="A999" s="2"/>
      <c r="B999" s="2"/>
      <c r="C999" s="2"/>
      <c r="D999" s="2"/>
      <c r="E999" s="2"/>
      <c r="F999" s="2"/>
      <c r="G999" s="2"/>
      <c r="H999" s="2"/>
      <c r="I999" s="74"/>
      <c r="J999" s="74"/>
      <c r="K999" s="74"/>
      <c r="L999" s="74"/>
      <c r="M999" s="2"/>
      <c r="N999" s="2"/>
      <c r="O999" s="2"/>
      <c r="P999" s="74"/>
      <c r="Q999" s="2"/>
      <c r="R999" s="2"/>
      <c r="S999" s="76"/>
      <c r="T999" s="2"/>
      <c r="U999" s="62"/>
      <c r="V999" s="62"/>
      <c r="W999" s="62"/>
      <c r="X999" s="62"/>
      <c r="Y999" s="62"/>
      <c r="Z999" s="62"/>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2"/>
      <c r="U1000" s="62"/>
      <c r="V1000" s="62"/>
      <c r="W1000" s="62"/>
      <c r="X1000" s="62"/>
      <c r="Y1000" s="62"/>
      <c r="Z1000" s="62"/>
    </row>
  </sheetData>
  <autoFilter ref="$A$1:$T$124"/>
  <dataValidations>
    <dataValidation type="list" allowBlank="1" showErrorMessage="1" sqref="C2:C49 C51:C108 C110:C124 C126:C1000">
      <formula1>"P0,P1,P2,P3"</formula1>
    </dataValidation>
    <dataValidation type="list" allowBlank="1" showErrorMessage="1" sqref="O22 O27 O30:O31 O36:O37 O41:O45 O47:O49 O51 O53:O56">
      <formula1>"Fixed,In-Progress,Need-Discussion,Duplicate,Rejected,Blocked"</formula1>
    </dataValidation>
    <dataValidation type="list" allowBlank="1" showErrorMessage="1" sqref="O50 O52">
      <formula1>"Resolved,Unresolved,Reopened,Need Discussion"</formula1>
    </dataValidation>
    <dataValidation type="list" allowBlank="1" showErrorMessage="1" sqref="G2:G1000">
      <formula1>"PVT,UAT,HTML/CSS"</formula1>
    </dataValidation>
    <dataValidation type="list" allowBlank="1" showErrorMessage="1" sqref="Q2:Q108 Q110:Q124 Q126:Q1000">
      <formula1>"Open,Hold,Resolved,Reopened,Need Discussion"</formula1>
    </dataValidation>
    <dataValidation type="list" allowBlank="1" showErrorMessage="1" sqref="T2:T1000">
      <formula1>"Fixed,Pending,Reopen"</formula1>
    </dataValidation>
    <dataValidation type="list" allowBlank="1" showErrorMessage="1" sqref="O2:O21 O23:O26 O28:O29 O32:O35 O38:O40 P57 O58:O108 O110:O124 O126:O1000">
      <formula1>"Fixed,In Progress,Need Discussion"</formula1>
    </dataValidation>
  </dataValidations>
  <hyperlinks>
    <hyperlink r:id="rId1" ref="K2"/>
    <hyperlink r:id="rId2" ref="L2"/>
    <hyperlink r:id="rId3" ref="K3"/>
    <hyperlink r:id="rId4" ref="L3"/>
    <hyperlink r:id="rId5" ref="K4"/>
    <hyperlink r:id="rId6" ref="L4"/>
    <hyperlink r:id="rId7" ref="K5"/>
    <hyperlink r:id="rId8" ref="L5"/>
    <hyperlink r:id="rId9" ref="K6"/>
    <hyperlink r:id="rId10" ref="K7"/>
    <hyperlink r:id="rId11" ref="K8"/>
    <hyperlink r:id="rId12" ref="K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K25"/>
    <hyperlink r:id="rId35" ref="L25"/>
    <hyperlink r:id="rId36" ref="K26"/>
    <hyperlink r:id="rId37" ref="L26"/>
    <hyperlink r:id="rId38" ref="K27"/>
    <hyperlink r:id="rId39" ref="K28"/>
    <hyperlink r:id="rId40" ref="K29"/>
    <hyperlink r:id="rId41" ref="K30"/>
    <hyperlink r:id="rId42" ref="K31"/>
    <hyperlink r:id="rId43" ref="L31"/>
    <hyperlink r:id="rId44" ref="K32"/>
    <hyperlink r:id="rId45" ref="K33"/>
    <hyperlink r:id="rId46" ref="L33"/>
    <hyperlink r:id="rId47" ref="K34"/>
    <hyperlink r:id="rId48" ref="L34"/>
    <hyperlink r:id="rId49" ref="K35"/>
    <hyperlink r:id="rId50" ref="L35"/>
    <hyperlink r:id="rId51" ref="K36"/>
    <hyperlink r:id="rId52" ref="L36"/>
    <hyperlink r:id="rId53" ref="S36"/>
    <hyperlink r:id="rId54" ref="K37"/>
    <hyperlink r:id="rId55" ref="L37"/>
    <hyperlink r:id="rId56" ref="K38"/>
    <hyperlink r:id="rId57" ref="K39"/>
    <hyperlink r:id="rId58" ref="L39"/>
    <hyperlink r:id="rId59" ref="K40"/>
    <hyperlink r:id="rId60" ref="K41"/>
    <hyperlink r:id="rId61" ref="K42"/>
    <hyperlink r:id="rId62" ref="K43"/>
    <hyperlink r:id="rId63" ref="K44"/>
    <hyperlink r:id="rId64" ref="L44"/>
    <hyperlink r:id="rId65" ref="K45"/>
    <hyperlink r:id="rId66" ref="K46"/>
    <hyperlink r:id="rId67" ref="K47"/>
    <hyperlink r:id="rId68" ref="K48"/>
    <hyperlink r:id="rId69" ref="K49"/>
    <hyperlink r:id="rId70" ref="K50"/>
    <hyperlink r:id="rId71" ref="K51"/>
    <hyperlink r:id="rId72" ref="K52"/>
    <hyperlink r:id="rId73" ref="K53"/>
    <hyperlink r:id="rId74" ref="L53"/>
    <hyperlink r:id="rId75" ref="K54"/>
    <hyperlink r:id="rId76" ref="K55"/>
    <hyperlink r:id="rId77" ref="K56"/>
    <hyperlink r:id="rId78" ref="K57"/>
    <hyperlink r:id="rId79" ref="K58"/>
    <hyperlink r:id="rId80" ref="K59"/>
    <hyperlink r:id="rId81" ref="L59"/>
    <hyperlink r:id="rId82" ref="K60"/>
    <hyperlink r:id="rId83" ref="L60"/>
    <hyperlink r:id="rId84" ref="K63"/>
    <hyperlink r:id="rId85" ref="L63"/>
    <hyperlink r:id="rId86" ref="K64"/>
    <hyperlink r:id="rId87" ref="K65"/>
    <hyperlink r:id="rId88" ref="K66"/>
    <hyperlink r:id="rId89" ref="K67"/>
    <hyperlink r:id="rId90" ref="K68"/>
    <hyperlink r:id="rId91" ref="K69"/>
    <hyperlink r:id="rId92" ref="K70"/>
    <hyperlink r:id="rId93" ref="K71"/>
    <hyperlink r:id="rId94" ref="K72"/>
    <hyperlink r:id="rId95" ref="K73"/>
    <hyperlink r:id="rId96" ref="K74"/>
    <hyperlink r:id="rId97" ref="K75"/>
    <hyperlink r:id="rId98" ref="K76"/>
    <hyperlink r:id="rId99" ref="K77"/>
    <hyperlink r:id="rId100" ref="K78"/>
    <hyperlink r:id="rId101" ref="K79"/>
    <hyperlink r:id="rId102" ref="K80"/>
    <hyperlink r:id="rId103" ref="K81"/>
    <hyperlink r:id="rId104" ref="K82"/>
    <hyperlink r:id="rId105" ref="K83"/>
    <hyperlink r:id="rId106" ref="L83"/>
    <hyperlink r:id="rId107" ref="K84"/>
    <hyperlink r:id="rId108" ref="K85"/>
    <hyperlink r:id="rId109" ref="K86"/>
    <hyperlink r:id="rId110" ref="K87"/>
    <hyperlink r:id="rId111" ref="K88"/>
    <hyperlink r:id="rId112" ref="L88"/>
    <hyperlink r:id="rId113" ref="K89"/>
    <hyperlink r:id="rId114" ref="L89"/>
    <hyperlink r:id="rId115" ref="K90"/>
    <hyperlink r:id="rId116" ref="K91"/>
    <hyperlink r:id="rId117" ref="K92"/>
    <hyperlink r:id="rId118" ref="K93"/>
    <hyperlink r:id="rId119" ref="K94"/>
    <hyperlink r:id="rId120" ref="K95"/>
    <hyperlink r:id="rId121" ref="K96"/>
    <hyperlink r:id="rId122" ref="K97"/>
    <hyperlink r:id="rId123" ref="K98"/>
    <hyperlink r:id="rId124" ref="K99"/>
    <hyperlink r:id="rId125" ref="K100"/>
    <hyperlink r:id="rId126" ref="K101"/>
    <hyperlink r:id="rId127" ref="K102"/>
    <hyperlink r:id="rId128" ref="K103"/>
    <hyperlink r:id="rId129" ref="K104"/>
    <hyperlink r:id="rId130" ref="K105"/>
    <hyperlink r:id="rId131" ref="K106"/>
    <hyperlink r:id="rId132" ref="K107"/>
    <hyperlink r:id="rId133" ref="K108"/>
    <hyperlink r:id="rId134" ref="K109"/>
    <hyperlink r:id="rId135" ref="L109"/>
    <hyperlink r:id="rId136" ref="K110"/>
    <hyperlink r:id="rId137" ref="K111"/>
    <hyperlink r:id="rId138" ref="L111"/>
    <hyperlink r:id="rId139" ref="K112"/>
    <hyperlink r:id="rId140" ref="L112"/>
    <hyperlink r:id="rId141" ref="K113"/>
  </hyperlinks>
  <printOptions/>
  <pageMargins bottom="0.75" footer="0.0" header="0.0" left="0.7" right="0.7" top="0.75"/>
  <pageSetup orientation="landscape"/>
  <headerFooter>
    <oddFooter>&amp;C_x000D_#000000 SBI Card Restricted</oddFooter>
  </headerFooter>
  <drawing r:id="rId14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75"/>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67" t="s">
        <v>1521</v>
      </c>
    </row>
    <row r="2">
      <c r="A2" s="7" t="s">
        <v>1522</v>
      </c>
      <c r="B2" s="7" t="s">
        <v>1523</v>
      </c>
      <c r="C2" s="7" t="s">
        <v>755</v>
      </c>
      <c r="D2" s="7" t="s">
        <v>907</v>
      </c>
      <c r="E2" s="7" t="s">
        <v>829</v>
      </c>
      <c r="F2" s="7"/>
      <c r="G2" s="7" t="s">
        <v>16</v>
      </c>
      <c r="H2" s="7" t="s">
        <v>1172</v>
      </c>
      <c r="I2" s="33" t="s">
        <v>1524</v>
      </c>
      <c r="J2" s="33" t="s">
        <v>1525</v>
      </c>
      <c r="K2" s="58" t="s">
        <v>1526</v>
      </c>
      <c r="L2" s="58" t="s">
        <v>39</v>
      </c>
      <c r="M2" s="7" t="s">
        <v>913</v>
      </c>
      <c r="N2" s="7" t="s">
        <v>974</v>
      </c>
      <c r="O2" s="7"/>
      <c r="P2" s="33" t="s">
        <v>1527</v>
      </c>
      <c r="Q2" s="15" t="s">
        <v>4</v>
      </c>
      <c r="R2" s="172" t="s">
        <v>1279</v>
      </c>
      <c r="S2" s="150" t="s">
        <v>1528</v>
      </c>
      <c r="T2" s="7" t="s">
        <v>869</v>
      </c>
    </row>
    <row r="3">
      <c r="A3" s="7" t="s">
        <v>1529</v>
      </c>
      <c r="B3" s="7" t="s">
        <v>1523</v>
      </c>
      <c r="C3" s="7" t="s">
        <v>770</v>
      </c>
      <c r="D3" s="7" t="s">
        <v>907</v>
      </c>
      <c r="E3" s="7" t="s">
        <v>1004</v>
      </c>
      <c r="F3" s="7"/>
      <c r="G3" s="7" t="s">
        <v>12</v>
      </c>
      <c r="H3" s="7" t="s">
        <v>1143</v>
      </c>
      <c r="I3" s="33" t="s">
        <v>1530</v>
      </c>
      <c r="J3" s="33" t="s">
        <v>1531</v>
      </c>
      <c r="K3" s="58" t="s">
        <v>1532</v>
      </c>
      <c r="L3" s="33" t="s">
        <v>39</v>
      </c>
      <c r="M3" s="7" t="s">
        <v>913</v>
      </c>
      <c r="N3" s="7"/>
      <c r="O3" s="7"/>
      <c r="P3" s="33"/>
      <c r="Q3" s="15" t="s">
        <v>3</v>
      </c>
      <c r="R3" s="15" t="s">
        <v>1127</v>
      </c>
      <c r="S3" s="150"/>
      <c r="T3" s="20"/>
    </row>
    <row r="4">
      <c r="A4" s="7" t="s">
        <v>1533</v>
      </c>
      <c r="B4" s="7" t="s">
        <v>1534</v>
      </c>
      <c r="C4" s="7" t="s">
        <v>770</v>
      </c>
      <c r="D4" s="7" t="s">
        <v>907</v>
      </c>
      <c r="E4" s="7" t="s">
        <v>756</v>
      </c>
      <c r="F4" s="7"/>
      <c r="G4" s="7" t="s">
        <v>12</v>
      </c>
      <c r="H4" s="7" t="s">
        <v>1031</v>
      </c>
      <c r="I4" s="33" t="s">
        <v>1535</v>
      </c>
      <c r="J4" s="33" t="s">
        <v>1536</v>
      </c>
      <c r="K4" s="58" t="s">
        <v>1537</v>
      </c>
      <c r="L4" s="33" t="s">
        <v>39</v>
      </c>
      <c r="M4" s="7" t="s">
        <v>913</v>
      </c>
      <c r="N4" s="7"/>
      <c r="O4" s="7"/>
      <c r="P4" s="33"/>
      <c r="Q4" s="15" t="s">
        <v>5</v>
      </c>
      <c r="R4" s="172" t="s">
        <v>1538</v>
      </c>
      <c r="S4" s="209" t="s">
        <v>1539</v>
      </c>
      <c r="T4" s="20"/>
    </row>
    <row r="5">
      <c r="A5" s="7" t="s">
        <v>1540</v>
      </c>
      <c r="B5" s="7" t="s">
        <v>1534</v>
      </c>
      <c r="C5" s="7" t="s">
        <v>747</v>
      </c>
      <c r="D5" s="7" t="s">
        <v>907</v>
      </c>
      <c r="E5" s="7" t="s">
        <v>756</v>
      </c>
      <c r="F5" s="7"/>
      <c r="G5" s="7" t="s">
        <v>12</v>
      </c>
      <c r="H5" s="7" t="s">
        <v>1014</v>
      </c>
      <c r="I5" s="33" t="s">
        <v>1541</v>
      </c>
      <c r="J5" s="33" t="s">
        <v>1542</v>
      </c>
      <c r="K5" s="58" t="s">
        <v>1543</v>
      </c>
      <c r="L5" s="58" t="s">
        <v>1544</v>
      </c>
      <c r="M5" s="7" t="s">
        <v>913</v>
      </c>
      <c r="N5" s="7"/>
      <c r="O5" s="7"/>
      <c r="P5" s="33"/>
      <c r="Q5" s="15" t="s">
        <v>3</v>
      </c>
      <c r="R5" s="172">
        <v>46357.0</v>
      </c>
      <c r="S5" s="150"/>
      <c r="T5" s="20"/>
    </row>
    <row r="6">
      <c r="A6" s="7" t="s">
        <v>1545</v>
      </c>
      <c r="B6" s="7" t="s">
        <v>1534</v>
      </c>
      <c r="C6" s="7" t="s">
        <v>770</v>
      </c>
      <c r="D6" s="7" t="s">
        <v>907</v>
      </c>
      <c r="E6" s="7" t="s">
        <v>1004</v>
      </c>
      <c r="F6" s="7"/>
      <c r="G6" s="7" t="s">
        <v>16</v>
      </c>
      <c r="H6" s="7" t="s">
        <v>970</v>
      </c>
      <c r="I6" s="33" t="s">
        <v>1546</v>
      </c>
      <c r="J6" s="33" t="s">
        <v>1547</v>
      </c>
      <c r="K6" s="58" t="s">
        <v>1548</v>
      </c>
      <c r="L6" s="58" t="s">
        <v>1549</v>
      </c>
      <c r="M6" s="7" t="s">
        <v>913</v>
      </c>
      <c r="N6" s="7" t="s">
        <v>974</v>
      </c>
      <c r="O6" s="7"/>
      <c r="P6" s="33"/>
      <c r="Q6" s="15" t="s">
        <v>3</v>
      </c>
      <c r="R6" s="172" t="s">
        <v>1165</v>
      </c>
      <c r="S6" s="150" t="s">
        <v>1550</v>
      </c>
      <c r="T6" s="7" t="s">
        <v>1029</v>
      </c>
      <c r="U6" s="62"/>
      <c r="V6" s="62"/>
      <c r="W6" s="62"/>
      <c r="X6" s="62"/>
      <c r="Y6" s="62"/>
      <c r="Z6" s="62"/>
    </row>
    <row r="7">
      <c r="A7" s="7" t="s">
        <v>1551</v>
      </c>
      <c r="B7" s="7" t="s">
        <v>1534</v>
      </c>
      <c r="C7" s="7" t="s">
        <v>747</v>
      </c>
      <c r="D7" s="7" t="s">
        <v>907</v>
      </c>
      <c r="E7" s="7" t="s">
        <v>768</v>
      </c>
      <c r="F7" s="7"/>
      <c r="G7" s="7" t="s">
        <v>12</v>
      </c>
      <c r="H7" s="7" t="s">
        <v>1552</v>
      </c>
      <c r="I7" s="33" t="s">
        <v>1553</v>
      </c>
      <c r="J7" s="33" t="s">
        <v>1554</v>
      </c>
      <c r="K7" s="58" t="s">
        <v>1555</v>
      </c>
      <c r="L7" s="58" t="s">
        <v>1556</v>
      </c>
      <c r="M7" s="7" t="s">
        <v>913</v>
      </c>
      <c r="N7" s="7"/>
      <c r="O7" s="7"/>
      <c r="P7" s="69"/>
      <c r="Q7" s="15" t="s">
        <v>3</v>
      </c>
      <c r="R7" s="15" t="s">
        <v>1047</v>
      </c>
      <c r="S7" s="150" t="s">
        <v>1557</v>
      </c>
      <c r="T7" s="20"/>
    </row>
    <row r="8">
      <c r="A8" s="7" t="s">
        <v>1558</v>
      </c>
      <c r="B8" s="7" t="s">
        <v>1534</v>
      </c>
      <c r="C8" s="7" t="s">
        <v>770</v>
      </c>
      <c r="D8" s="7" t="s">
        <v>907</v>
      </c>
      <c r="E8" s="7" t="s">
        <v>1559</v>
      </c>
      <c r="F8" s="7" t="s">
        <v>494</v>
      </c>
      <c r="G8" s="7" t="s">
        <v>16</v>
      </c>
      <c r="H8" s="7" t="s">
        <v>970</v>
      </c>
      <c r="I8" s="33" t="s">
        <v>1560</v>
      </c>
      <c r="J8" s="33" t="s">
        <v>1561</v>
      </c>
      <c r="K8" s="58" t="s">
        <v>1562</v>
      </c>
      <c r="L8" s="58" t="s">
        <v>1563</v>
      </c>
      <c r="M8" s="7" t="s">
        <v>913</v>
      </c>
      <c r="N8" s="7" t="s">
        <v>974</v>
      </c>
      <c r="O8" s="15"/>
      <c r="P8" s="69" t="s">
        <v>1564</v>
      </c>
      <c r="Q8" s="30" t="s">
        <v>3</v>
      </c>
      <c r="R8" s="15" t="s">
        <v>1565</v>
      </c>
      <c r="S8" s="209" t="s">
        <v>1566</v>
      </c>
      <c r="T8" s="7" t="s">
        <v>869</v>
      </c>
    </row>
    <row r="9">
      <c r="A9" s="7" t="s">
        <v>1567</v>
      </c>
      <c r="B9" s="130">
        <v>46143.0</v>
      </c>
      <c r="C9" s="7" t="s">
        <v>747</v>
      </c>
      <c r="D9" s="7" t="s">
        <v>907</v>
      </c>
      <c r="E9" s="7" t="s">
        <v>829</v>
      </c>
      <c r="F9" s="7"/>
      <c r="G9" s="7" t="s">
        <v>12</v>
      </c>
      <c r="H9" s="7" t="s">
        <v>1183</v>
      </c>
      <c r="I9" s="33" t="s">
        <v>1568</v>
      </c>
      <c r="J9" s="33" t="s">
        <v>1569</v>
      </c>
      <c r="K9" s="58" t="s">
        <v>1543</v>
      </c>
      <c r="L9" s="33" t="s">
        <v>39</v>
      </c>
      <c r="M9" s="7" t="s">
        <v>913</v>
      </c>
      <c r="N9" s="7"/>
      <c r="O9" s="15"/>
      <c r="P9" s="33"/>
      <c r="Q9" s="30" t="s">
        <v>3</v>
      </c>
      <c r="R9" s="172">
        <v>46357.0</v>
      </c>
      <c r="S9" s="150"/>
      <c r="T9" s="20"/>
    </row>
    <row r="10">
      <c r="A10" s="7" t="s">
        <v>1570</v>
      </c>
      <c r="B10" s="130">
        <v>46143.0</v>
      </c>
      <c r="C10" s="7" t="s">
        <v>770</v>
      </c>
      <c r="D10" s="7" t="s">
        <v>907</v>
      </c>
      <c r="E10" s="7" t="s">
        <v>1050</v>
      </c>
      <c r="F10" s="7" t="s">
        <v>39</v>
      </c>
      <c r="G10" s="7" t="s">
        <v>12</v>
      </c>
      <c r="H10" s="7" t="s">
        <v>1051</v>
      </c>
      <c r="I10" s="33" t="s">
        <v>1052</v>
      </c>
      <c r="J10" s="33" t="s">
        <v>1571</v>
      </c>
      <c r="K10" s="58" t="s">
        <v>1054</v>
      </c>
      <c r="L10" s="33" t="s">
        <v>39</v>
      </c>
      <c r="M10" s="7" t="s">
        <v>913</v>
      </c>
      <c r="N10" s="7"/>
      <c r="O10" s="15"/>
      <c r="P10" s="33"/>
      <c r="Q10" s="30" t="s">
        <v>3</v>
      </c>
      <c r="R10" s="15" t="s">
        <v>1127</v>
      </c>
      <c r="S10" s="150" t="s">
        <v>1572</v>
      </c>
      <c r="T10" s="20"/>
    </row>
    <row r="11">
      <c r="A11" s="7" t="s">
        <v>1573</v>
      </c>
      <c r="B11" s="130">
        <v>46357.0</v>
      </c>
      <c r="C11" s="7" t="s">
        <v>770</v>
      </c>
      <c r="D11" s="7" t="s">
        <v>1574</v>
      </c>
      <c r="E11" s="7" t="s">
        <v>1575</v>
      </c>
      <c r="F11" s="7" t="s">
        <v>39</v>
      </c>
      <c r="G11" s="7" t="s">
        <v>12</v>
      </c>
      <c r="H11" s="7" t="s">
        <v>1576</v>
      </c>
      <c r="I11" s="33" t="s">
        <v>1577</v>
      </c>
      <c r="J11" s="33" t="s">
        <v>1578</v>
      </c>
      <c r="K11" s="58" t="s">
        <v>1579</v>
      </c>
      <c r="L11" s="58" t="s">
        <v>1580</v>
      </c>
      <c r="M11" s="7" t="s">
        <v>913</v>
      </c>
      <c r="N11" s="7"/>
      <c r="O11" s="173"/>
      <c r="P11" s="174"/>
      <c r="Q11" s="15" t="s">
        <v>3</v>
      </c>
      <c r="R11" s="15" t="s">
        <v>1097</v>
      </c>
      <c r="S11" s="150" t="s">
        <v>1098</v>
      </c>
      <c r="T11" s="20"/>
    </row>
    <row r="12">
      <c r="A12" s="7" t="s">
        <v>1581</v>
      </c>
      <c r="B12" s="130">
        <v>46357.0</v>
      </c>
      <c r="C12" s="7" t="s">
        <v>770</v>
      </c>
      <c r="D12" s="7" t="s">
        <v>907</v>
      </c>
      <c r="E12" s="7" t="s">
        <v>1582</v>
      </c>
      <c r="F12" s="7" t="s">
        <v>39</v>
      </c>
      <c r="G12" s="7" t="s">
        <v>12</v>
      </c>
      <c r="H12" s="7" t="s">
        <v>1583</v>
      </c>
      <c r="I12" s="33" t="s">
        <v>1584</v>
      </c>
      <c r="J12" s="33" t="s">
        <v>1585</v>
      </c>
      <c r="K12" s="58" t="s">
        <v>1586</v>
      </c>
      <c r="L12" s="58" t="s">
        <v>1587</v>
      </c>
      <c r="M12" s="7" t="s">
        <v>913</v>
      </c>
      <c r="N12" s="7"/>
      <c r="O12" s="7" t="s">
        <v>1029</v>
      </c>
      <c r="P12" s="33"/>
      <c r="Q12" s="15" t="s">
        <v>3</v>
      </c>
      <c r="R12" s="15" t="s">
        <v>1047</v>
      </c>
      <c r="S12" s="150" t="s">
        <v>1588</v>
      </c>
      <c r="T12" s="20"/>
    </row>
    <row r="13">
      <c r="A13" s="7" t="s">
        <v>1589</v>
      </c>
      <c r="B13" s="130">
        <v>46357.0</v>
      </c>
      <c r="C13" s="7" t="s">
        <v>770</v>
      </c>
      <c r="D13" s="7" t="s">
        <v>907</v>
      </c>
      <c r="E13" s="7" t="s">
        <v>1575</v>
      </c>
      <c r="F13" s="7" t="s">
        <v>39</v>
      </c>
      <c r="G13" s="7" t="s">
        <v>12</v>
      </c>
      <c r="H13" s="7" t="s">
        <v>1110</v>
      </c>
      <c r="I13" s="33" t="s">
        <v>1590</v>
      </c>
      <c r="J13" s="33" t="s">
        <v>1591</v>
      </c>
      <c r="K13" s="58" t="s">
        <v>1592</v>
      </c>
      <c r="L13" s="58" t="s">
        <v>1593</v>
      </c>
      <c r="M13" s="7" t="s">
        <v>913</v>
      </c>
      <c r="N13" s="7"/>
      <c r="O13" s="7"/>
      <c r="P13" s="33"/>
      <c r="Q13" s="15" t="s">
        <v>3</v>
      </c>
      <c r="R13" s="15" t="s">
        <v>1097</v>
      </c>
      <c r="S13" s="150" t="s">
        <v>1098</v>
      </c>
      <c r="T13" s="20"/>
    </row>
    <row r="14">
      <c r="A14" s="7" t="s">
        <v>1594</v>
      </c>
      <c r="B14" s="130">
        <v>46357.0</v>
      </c>
      <c r="C14" s="7" t="s">
        <v>770</v>
      </c>
      <c r="D14" s="7" t="s">
        <v>1085</v>
      </c>
      <c r="E14" s="7" t="s">
        <v>1575</v>
      </c>
      <c r="F14" s="7" t="s">
        <v>39</v>
      </c>
      <c r="G14" s="7" t="s">
        <v>12</v>
      </c>
      <c r="H14" s="7" t="s">
        <v>1086</v>
      </c>
      <c r="I14" s="33" t="s">
        <v>1595</v>
      </c>
      <c r="J14" s="33" t="s">
        <v>1596</v>
      </c>
      <c r="K14" s="58" t="s">
        <v>1597</v>
      </c>
      <c r="L14" s="33" t="s">
        <v>39</v>
      </c>
      <c r="M14" s="7" t="s">
        <v>913</v>
      </c>
      <c r="N14" s="7"/>
      <c r="O14" s="7"/>
      <c r="P14" s="33"/>
      <c r="Q14" s="15" t="s">
        <v>3</v>
      </c>
      <c r="R14" s="15" t="s">
        <v>1097</v>
      </c>
      <c r="S14" s="150" t="s">
        <v>1098</v>
      </c>
      <c r="T14" s="20"/>
    </row>
    <row r="15">
      <c r="A15" s="7" t="s">
        <v>1598</v>
      </c>
      <c r="B15" s="130">
        <v>46357.0</v>
      </c>
      <c r="C15" s="7" t="s">
        <v>747</v>
      </c>
      <c r="D15" s="7" t="s">
        <v>907</v>
      </c>
      <c r="E15" s="7" t="s">
        <v>829</v>
      </c>
      <c r="F15" s="7" t="s">
        <v>39</v>
      </c>
      <c r="G15" s="7" t="s">
        <v>12</v>
      </c>
      <c r="H15" s="7" t="s">
        <v>944</v>
      </c>
      <c r="I15" s="33" t="s">
        <v>1599</v>
      </c>
      <c r="J15" s="69" t="s">
        <v>1600</v>
      </c>
      <c r="K15" s="58" t="s">
        <v>1601</v>
      </c>
      <c r="L15" s="58" t="s">
        <v>1602</v>
      </c>
      <c r="M15" s="7" t="s">
        <v>913</v>
      </c>
      <c r="N15" s="7"/>
      <c r="O15" s="7"/>
      <c r="P15" s="33"/>
      <c r="Q15" s="15" t="s">
        <v>3</v>
      </c>
      <c r="R15" s="15" t="s">
        <v>1097</v>
      </c>
      <c r="S15" s="150" t="s">
        <v>1098</v>
      </c>
      <c r="T15" s="20"/>
    </row>
    <row r="16">
      <c r="A16" s="7" t="s">
        <v>1603</v>
      </c>
      <c r="B16" s="130">
        <v>46357.0</v>
      </c>
      <c r="C16" s="7" t="s">
        <v>770</v>
      </c>
      <c r="D16" s="7" t="s">
        <v>907</v>
      </c>
      <c r="E16" s="7" t="s">
        <v>1575</v>
      </c>
      <c r="F16" s="7" t="s">
        <v>39</v>
      </c>
      <c r="G16" s="7" t="s">
        <v>12</v>
      </c>
      <c r="H16" s="7" t="s">
        <v>944</v>
      </c>
      <c r="I16" s="37" t="s">
        <v>1604</v>
      </c>
      <c r="J16" s="111" t="s">
        <v>1605</v>
      </c>
      <c r="K16" s="46" t="s">
        <v>1606</v>
      </c>
      <c r="L16" s="58" t="s">
        <v>1607</v>
      </c>
      <c r="M16" s="7" t="s">
        <v>913</v>
      </c>
      <c r="N16" s="7"/>
      <c r="O16" s="7"/>
      <c r="P16" s="33"/>
      <c r="Q16" s="15" t="s">
        <v>3</v>
      </c>
      <c r="R16" s="15" t="s">
        <v>1097</v>
      </c>
      <c r="S16" s="150" t="s">
        <v>1098</v>
      </c>
      <c r="T16" s="20"/>
    </row>
    <row r="17">
      <c r="A17" s="7" t="s">
        <v>1608</v>
      </c>
      <c r="B17" s="130">
        <v>46357.0</v>
      </c>
      <c r="C17" s="7" t="s">
        <v>770</v>
      </c>
      <c r="D17" s="7" t="s">
        <v>907</v>
      </c>
      <c r="E17" s="7" t="s">
        <v>1575</v>
      </c>
      <c r="F17" s="7" t="s">
        <v>39</v>
      </c>
      <c r="G17" s="7" t="s">
        <v>12</v>
      </c>
      <c r="H17" s="7" t="s">
        <v>944</v>
      </c>
      <c r="I17" s="37" t="s">
        <v>1609</v>
      </c>
      <c r="J17" s="111" t="s">
        <v>1610</v>
      </c>
      <c r="K17" s="46" t="s">
        <v>1611</v>
      </c>
      <c r="L17" s="58" t="s">
        <v>1612</v>
      </c>
      <c r="M17" s="7" t="s">
        <v>913</v>
      </c>
      <c r="N17" s="7"/>
      <c r="O17" s="7"/>
      <c r="P17" s="33"/>
      <c r="Q17" s="15" t="s">
        <v>3</v>
      </c>
      <c r="R17" s="15" t="s">
        <v>1097</v>
      </c>
      <c r="S17" s="150" t="s">
        <v>1098</v>
      </c>
      <c r="T17" s="20"/>
    </row>
    <row r="18">
      <c r="A18" s="7" t="s">
        <v>1613</v>
      </c>
      <c r="B18" s="130">
        <v>46357.0</v>
      </c>
      <c r="C18" s="7" t="s">
        <v>747</v>
      </c>
      <c r="D18" s="7" t="s">
        <v>907</v>
      </c>
      <c r="E18" s="7" t="s">
        <v>1575</v>
      </c>
      <c r="F18" s="7" t="s">
        <v>39</v>
      </c>
      <c r="G18" s="7" t="s">
        <v>16</v>
      </c>
      <c r="H18" s="7" t="s">
        <v>805</v>
      </c>
      <c r="I18" s="33" t="s">
        <v>1614</v>
      </c>
      <c r="J18" s="174" t="s">
        <v>1615</v>
      </c>
      <c r="K18" s="58" t="s">
        <v>1616</v>
      </c>
      <c r="L18" s="58" t="s">
        <v>1617</v>
      </c>
      <c r="M18" s="7" t="s">
        <v>913</v>
      </c>
      <c r="N18" s="7" t="s">
        <v>974</v>
      </c>
      <c r="O18" s="7"/>
      <c r="P18" s="33"/>
      <c r="Q18" s="15" t="s">
        <v>3</v>
      </c>
      <c r="R18" s="15" t="s">
        <v>1127</v>
      </c>
      <c r="S18" s="150"/>
      <c r="T18" s="20"/>
    </row>
    <row r="19">
      <c r="A19" s="7" t="s">
        <v>1618</v>
      </c>
      <c r="B19" s="130">
        <v>46357.0</v>
      </c>
      <c r="C19" s="7" t="s">
        <v>770</v>
      </c>
      <c r="D19" s="7" t="s">
        <v>907</v>
      </c>
      <c r="E19" s="7" t="s">
        <v>829</v>
      </c>
      <c r="F19" s="7" t="s">
        <v>39</v>
      </c>
      <c r="G19" s="7" t="s">
        <v>12</v>
      </c>
      <c r="H19" s="7" t="s">
        <v>944</v>
      </c>
      <c r="I19" s="33" t="s">
        <v>1619</v>
      </c>
      <c r="J19" s="33" t="s">
        <v>1620</v>
      </c>
      <c r="K19" s="58" t="s">
        <v>1621</v>
      </c>
      <c r="L19" s="58" t="s">
        <v>1622</v>
      </c>
      <c r="M19" s="7" t="s">
        <v>913</v>
      </c>
      <c r="N19" s="7"/>
      <c r="O19" s="7"/>
      <c r="P19" s="33"/>
      <c r="Q19" s="15" t="s">
        <v>3</v>
      </c>
      <c r="R19" s="15" t="s">
        <v>1127</v>
      </c>
      <c r="S19" s="150" t="s">
        <v>1623</v>
      </c>
      <c r="T19" s="20"/>
    </row>
    <row r="20">
      <c r="A20" s="7" t="s">
        <v>1624</v>
      </c>
      <c r="B20" s="130">
        <v>46357.0</v>
      </c>
      <c r="C20" s="7" t="s">
        <v>1625</v>
      </c>
      <c r="D20" s="7" t="s">
        <v>907</v>
      </c>
      <c r="E20" s="7" t="s">
        <v>829</v>
      </c>
      <c r="F20" s="7" t="s">
        <v>39</v>
      </c>
      <c r="G20" s="7" t="s">
        <v>12</v>
      </c>
      <c r="H20" s="7" t="s">
        <v>944</v>
      </c>
      <c r="I20" s="33" t="s">
        <v>1626</v>
      </c>
      <c r="J20" s="33" t="s">
        <v>1627</v>
      </c>
      <c r="K20" s="58" t="s">
        <v>1628</v>
      </c>
      <c r="L20" s="58" t="s">
        <v>1629</v>
      </c>
      <c r="M20" s="7" t="s">
        <v>913</v>
      </c>
      <c r="N20" s="7"/>
      <c r="O20" s="7"/>
      <c r="P20" s="69"/>
      <c r="Q20" s="15" t="s">
        <v>3</v>
      </c>
      <c r="R20" s="15" t="s">
        <v>1127</v>
      </c>
      <c r="S20" s="150" t="s">
        <v>1623</v>
      </c>
      <c r="T20" s="20"/>
    </row>
    <row r="21" ht="15.75" customHeight="1">
      <c r="A21" s="7" t="s">
        <v>1630</v>
      </c>
      <c r="B21" s="7" t="s">
        <v>1127</v>
      </c>
      <c r="C21" s="7" t="s">
        <v>747</v>
      </c>
      <c r="D21" s="7" t="s">
        <v>907</v>
      </c>
      <c r="E21" s="7" t="s">
        <v>1582</v>
      </c>
      <c r="F21" s="7" t="s">
        <v>39</v>
      </c>
      <c r="G21" s="7" t="s">
        <v>12</v>
      </c>
      <c r="H21" s="7" t="s">
        <v>908</v>
      </c>
      <c r="I21" s="33" t="s">
        <v>1631</v>
      </c>
      <c r="J21" s="33" t="s">
        <v>1632</v>
      </c>
      <c r="K21" s="58" t="s">
        <v>1633</v>
      </c>
      <c r="L21" s="58" t="s">
        <v>39</v>
      </c>
      <c r="M21" s="7" t="s">
        <v>913</v>
      </c>
      <c r="N21" s="7" t="s">
        <v>753</v>
      </c>
      <c r="O21" s="15" t="s">
        <v>1029</v>
      </c>
      <c r="P21" s="33" t="s">
        <v>1634</v>
      </c>
      <c r="Q21" s="30" t="s">
        <v>3</v>
      </c>
      <c r="R21" s="172">
        <v>46145.0</v>
      </c>
      <c r="S21" s="150" t="s">
        <v>1635</v>
      </c>
      <c r="T21" s="20"/>
    </row>
    <row r="22" ht="15.75" customHeight="1">
      <c r="A22" s="7" t="s">
        <v>1636</v>
      </c>
      <c r="B22" s="7" t="s">
        <v>1011</v>
      </c>
      <c r="C22" s="7" t="s">
        <v>755</v>
      </c>
      <c r="D22" s="7" t="s">
        <v>907</v>
      </c>
      <c r="E22" s="7" t="s">
        <v>1004</v>
      </c>
      <c r="F22" s="7" t="s">
        <v>39</v>
      </c>
      <c r="G22" s="7" t="s">
        <v>16</v>
      </c>
      <c r="H22" s="7" t="s">
        <v>1637</v>
      </c>
      <c r="I22" s="33" t="s">
        <v>1638</v>
      </c>
      <c r="J22" s="33" t="s">
        <v>1639</v>
      </c>
      <c r="K22" s="58" t="s">
        <v>1640</v>
      </c>
      <c r="L22" s="58" t="s">
        <v>1641</v>
      </c>
      <c r="M22" s="7" t="s">
        <v>913</v>
      </c>
      <c r="N22" s="7" t="s">
        <v>974</v>
      </c>
      <c r="O22" s="15"/>
      <c r="P22" s="174"/>
      <c r="Q22" s="30" t="s">
        <v>3</v>
      </c>
      <c r="R22" s="15" t="s">
        <v>1090</v>
      </c>
      <c r="S22" s="150" t="s">
        <v>1642</v>
      </c>
      <c r="T22" s="7" t="s">
        <v>869</v>
      </c>
    </row>
    <row r="23" ht="15.75" customHeight="1">
      <c r="A23" s="7" t="s">
        <v>1643</v>
      </c>
      <c r="B23" s="7" t="s">
        <v>1011</v>
      </c>
      <c r="C23" s="7" t="s">
        <v>755</v>
      </c>
      <c r="D23" s="7" t="s">
        <v>907</v>
      </c>
      <c r="E23" s="7" t="s">
        <v>756</v>
      </c>
      <c r="F23" s="7" t="s">
        <v>39</v>
      </c>
      <c r="G23" s="7" t="s">
        <v>12</v>
      </c>
      <c r="H23" s="7" t="s">
        <v>1031</v>
      </c>
      <c r="I23" s="33" t="s">
        <v>1644</v>
      </c>
      <c r="J23" s="33" t="s">
        <v>1645</v>
      </c>
      <c r="K23" s="58" t="s">
        <v>1646</v>
      </c>
      <c r="L23" s="33" t="s">
        <v>39</v>
      </c>
      <c r="M23" s="7" t="s">
        <v>913</v>
      </c>
      <c r="N23" s="7"/>
      <c r="O23" s="15"/>
      <c r="P23" s="201" t="s">
        <v>1139</v>
      </c>
      <c r="Q23" s="30" t="s">
        <v>5</v>
      </c>
      <c r="R23" s="172" t="s">
        <v>1538</v>
      </c>
      <c r="S23" s="150" t="s">
        <v>1647</v>
      </c>
      <c r="T23" s="20"/>
    </row>
    <row r="24" ht="15.75" customHeight="1">
      <c r="A24" s="7" t="s">
        <v>1648</v>
      </c>
      <c r="B24" s="7" t="s">
        <v>1011</v>
      </c>
      <c r="C24" s="7" t="s">
        <v>755</v>
      </c>
      <c r="D24" s="7" t="s">
        <v>907</v>
      </c>
      <c r="E24" s="7" t="s">
        <v>829</v>
      </c>
      <c r="F24" s="7" t="s">
        <v>39</v>
      </c>
      <c r="G24" s="7" t="s">
        <v>16</v>
      </c>
      <c r="H24" s="50" t="s">
        <v>1110</v>
      </c>
      <c r="I24" s="174" t="s">
        <v>1649</v>
      </c>
      <c r="J24" s="33" t="s">
        <v>1650</v>
      </c>
      <c r="K24" s="58" t="s">
        <v>1651</v>
      </c>
      <c r="L24" s="33" t="s">
        <v>39</v>
      </c>
      <c r="M24" s="7" t="s">
        <v>913</v>
      </c>
      <c r="N24" s="7" t="s">
        <v>974</v>
      </c>
      <c r="O24" s="15"/>
      <c r="P24" s="33"/>
      <c r="Q24" s="30" t="s">
        <v>3</v>
      </c>
      <c r="R24" s="15" t="s">
        <v>1090</v>
      </c>
      <c r="S24" s="150" t="s">
        <v>1652</v>
      </c>
      <c r="T24" s="7" t="s">
        <v>869</v>
      </c>
    </row>
    <row r="25" ht="15.75" customHeight="1">
      <c r="A25" s="7" t="s">
        <v>1653</v>
      </c>
      <c r="B25" s="7" t="s">
        <v>1160</v>
      </c>
      <c r="C25" s="7" t="s">
        <v>747</v>
      </c>
      <c r="D25" s="7" t="s">
        <v>907</v>
      </c>
      <c r="E25" s="7" t="s">
        <v>829</v>
      </c>
      <c r="F25" s="7" t="s">
        <v>39</v>
      </c>
      <c r="G25" s="7" t="s">
        <v>12</v>
      </c>
      <c r="H25" s="50" t="s">
        <v>1205</v>
      </c>
      <c r="I25" s="174" t="s">
        <v>1654</v>
      </c>
      <c r="J25" s="33" t="s">
        <v>1655</v>
      </c>
      <c r="K25" s="58" t="s">
        <v>1656</v>
      </c>
      <c r="L25" s="33" t="s">
        <v>39</v>
      </c>
      <c r="M25" s="7" t="s">
        <v>913</v>
      </c>
      <c r="N25" s="7" t="s">
        <v>753</v>
      </c>
      <c r="O25" s="15"/>
      <c r="P25" s="33"/>
      <c r="Q25" s="30" t="s">
        <v>4</v>
      </c>
      <c r="R25" s="172" t="s">
        <v>1279</v>
      </c>
      <c r="S25" s="150" t="s">
        <v>1657</v>
      </c>
      <c r="T25" s="7" t="s">
        <v>1029</v>
      </c>
    </row>
    <row r="26" ht="15.75" customHeight="1">
      <c r="A26" s="7" t="s">
        <v>1658</v>
      </c>
      <c r="B26" s="7" t="s">
        <v>1659</v>
      </c>
      <c r="C26" s="7" t="s">
        <v>770</v>
      </c>
      <c r="D26" s="7" t="s">
        <v>907</v>
      </c>
      <c r="E26" s="7" t="s">
        <v>829</v>
      </c>
      <c r="F26" s="7" t="s">
        <v>39</v>
      </c>
      <c r="G26" s="7" t="s">
        <v>16</v>
      </c>
      <c r="H26" s="7" t="s">
        <v>1183</v>
      </c>
      <c r="I26" s="33" t="s">
        <v>1660</v>
      </c>
      <c r="J26" s="33" t="s">
        <v>1661</v>
      </c>
      <c r="K26" s="58" t="s">
        <v>1662</v>
      </c>
      <c r="L26" s="33" t="s">
        <v>39</v>
      </c>
      <c r="M26" s="7" t="s">
        <v>913</v>
      </c>
      <c r="N26" s="7" t="s">
        <v>974</v>
      </c>
      <c r="O26" s="7"/>
      <c r="P26" s="33"/>
      <c r="Q26" s="15" t="s">
        <v>3</v>
      </c>
      <c r="R26" s="172" t="s">
        <v>1090</v>
      </c>
      <c r="S26" s="150" t="s">
        <v>1663</v>
      </c>
      <c r="T26" s="7" t="s">
        <v>1029</v>
      </c>
    </row>
    <row r="27" ht="15.75" customHeight="1">
      <c r="A27" s="7" t="s">
        <v>1664</v>
      </c>
      <c r="B27" s="7" t="s">
        <v>1659</v>
      </c>
      <c r="C27" s="7" t="s">
        <v>747</v>
      </c>
      <c r="D27" s="7" t="s">
        <v>907</v>
      </c>
      <c r="E27" s="7" t="s">
        <v>756</v>
      </c>
      <c r="F27" s="7" t="s">
        <v>39</v>
      </c>
      <c r="G27" s="7" t="s">
        <v>12</v>
      </c>
      <c r="H27" s="7" t="s">
        <v>1031</v>
      </c>
      <c r="I27" s="33" t="s">
        <v>1665</v>
      </c>
      <c r="J27" s="33" t="s">
        <v>1666</v>
      </c>
      <c r="K27" s="58" t="s">
        <v>1667</v>
      </c>
      <c r="L27" s="33" t="s">
        <v>39</v>
      </c>
      <c r="M27" s="7" t="s">
        <v>913</v>
      </c>
      <c r="N27" s="7"/>
      <c r="O27" s="7"/>
      <c r="P27" s="33"/>
      <c r="Q27" s="15" t="s">
        <v>5</v>
      </c>
      <c r="R27" s="172" t="s">
        <v>1538</v>
      </c>
      <c r="S27" s="150" t="s">
        <v>1668</v>
      </c>
      <c r="T27" s="20"/>
    </row>
    <row r="28" ht="15.75" customHeight="1">
      <c r="A28" s="7" t="s">
        <v>1669</v>
      </c>
      <c r="B28" s="7" t="s">
        <v>1659</v>
      </c>
      <c r="C28" s="7" t="s">
        <v>747</v>
      </c>
      <c r="D28" s="7" t="s">
        <v>907</v>
      </c>
      <c r="E28" s="7" t="s">
        <v>756</v>
      </c>
      <c r="F28" s="7" t="s">
        <v>39</v>
      </c>
      <c r="G28" s="7" t="s">
        <v>12</v>
      </c>
      <c r="H28" s="7" t="s">
        <v>1031</v>
      </c>
      <c r="I28" s="33" t="s">
        <v>1670</v>
      </c>
      <c r="J28" s="33" t="s">
        <v>1671</v>
      </c>
      <c r="K28" s="58" t="s">
        <v>1672</v>
      </c>
      <c r="L28" s="33" t="s">
        <v>39</v>
      </c>
      <c r="M28" s="7" t="s">
        <v>913</v>
      </c>
      <c r="N28" s="7"/>
      <c r="O28" s="7"/>
      <c r="P28" s="33"/>
      <c r="Q28" s="15" t="s">
        <v>5</v>
      </c>
      <c r="R28" s="172" t="s">
        <v>1538</v>
      </c>
      <c r="S28" s="150" t="s">
        <v>1668</v>
      </c>
      <c r="T28" s="20"/>
    </row>
    <row r="29" ht="15.75" customHeight="1">
      <c r="A29" s="7" t="s">
        <v>1673</v>
      </c>
      <c r="B29" s="7" t="s">
        <v>1659</v>
      </c>
      <c r="C29" s="7" t="s">
        <v>747</v>
      </c>
      <c r="D29" s="7" t="s">
        <v>907</v>
      </c>
      <c r="E29" s="7" t="s">
        <v>756</v>
      </c>
      <c r="F29" s="7" t="s">
        <v>39</v>
      </c>
      <c r="G29" s="7" t="s">
        <v>12</v>
      </c>
      <c r="H29" s="7" t="s">
        <v>1031</v>
      </c>
      <c r="I29" s="33" t="s">
        <v>1674</v>
      </c>
      <c r="J29" s="33" t="s">
        <v>1675</v>
      </c>
      <c r="K29" s="58" t="s">
        <v>1676</v>
      </c>
      <c r="L29" s="33" t="s">
        <v>39</v>
      </c>
      <c r="M29" s="7" t="s">
        <v>913</v>
      </c>
      <c r="N29" s="7"/>
      <c r="O29" s="7"/>
      <c r="P29" s="33"/>
      <c r="Q29" s="15" t="s">
        <v>5</v>
      </c>
      <c r="R29" s="172" t="s">
        <v>1538</v>
      </c>
      <c r="S29" s="150" t="s">
        <v>1668</v>
      </c>
      <c r="T29" s="20"/>
    </row>
    <row r="30" ht="15.75" customHeight="1">
      <c r="A30" s="7" t="s">
        <v>1677</v>
      </c>
      <c r="B30" s="7" t="s">
        <v>1659</v>
      </c>
      <c r="C30" s="7" t="s">
        <v>770</v>
      </c>
      <c r="D30" s="7" t="s">
        <v>907</v>
      </c>
      <c r="E30" s="7" t="s">
        <v>768</v>
      </c>
      <c r="F30" s="7" t="s">
        <v>39</v>
      </c>
      <c r="G30" s="7" t="s">
        <v>16</v>
      </c>
      <c r="H30" s="7" t="s">
        <v>1005</v>
      </c>
      <c r="I30" s="33" t="s">
        <v>1678</v>
      </c>
      <c r="J30" s="33" t="s">
        <v>1679</v>
      </c>
      <c r="K30" s="58" t="s">
        <v>1680</v>
      </c>
      <c r="L30" s="33" t="s">
        <v>39</v>
      </c>
      <c r="M30" s="7" t="s">
        <v>913</v>
      </c>
      <c r="N30" s="7" t="s">
        <v>753</v>
      </c>
      <c r="O30" s="7"/>
      <c r="P30" s="33"/>
      <c r="Q30" s="15" t="s">
        <v>3</v>
      </c>
      <c r="R30" s="15" t="s">
        <v>1027</v>
      </c>
      <c r="S30" s="150" t="s">
        <v>1681</v>
      </c>
      <c r="T30" s="7" t="s">
        <v>1029</v>
      </c>
    </row>
    <row r="31" ht="15.75" customHeight="1">
      <c r="A31" s="7" t="s">
        <v>1682</v>
      </c>
      <c r="B31" s="7" t="s">
        <v>1659</v>
      </c>
      <c r="C31" s="7" t="s">
        <v>747</v>
      </c>
      <c r="D31" s="7" t="s">
        <v>907</v>
      </c>
      <c r="E31" s="7" t="s">
        <v>768</v>
      </c>
      <c r="F31" s="7" t="s">
        <v>39</v>
      </c>
      <c r="G31" s="7" t="s">
        <v>12</v>
      </c>
      <c r="H31" s="7" t="s">
        <v>1005</v>
      </c>
      <c r="I31" s="33" t="s">
        <v>1683</v>
      </c>
      <c r="J31" s="33" t="s">
        <v>1684</v>
      </c>
      <c r="K31" s="58" t="s">
        <v>1685</v>
      </c>
      <c r="L31" s="33" t="s">
        <v>39</v>
      </c>
      <c r="M31" s="7" t="s">
        <v>913</v>
      </c>
      <c r="N31" s="7" t="s">
        <v>913</v>
      </c>
      <c r="O31" s="7" t="s">
        <v>1029</v>
      </c>
      <c r="P31" s="33"/>
      <c r="Q31" s="15" t="s">
        <v>3</v>
      </c>
      <c r="R31" s="172">
        <v>46114.0</v>
      </c>
      <c r="S31" s="150"/>
      <c r="T31" s="20"/>
    </row>
    <row r="32" ht="15.75" customHeight="1">
      <c r="A32" s="134" t="s">
        <v>1686</v>
      </c>
      <c r="B32" s="134" t="s">
        <v>1047</v>
      </c>
      <c r="C32" s="134" t="s">
        <v>755</v>
      </c>
      <c r="D32" s="134" t="s">
        <v>907</v>
      </c>
      <c r="E32" s="134" t="s">
        <v>829</v>
      </c>
      <c r="F32" s="210" t="s">
        <v>39</v>
      </c>
      <c r="G32" s="7" t="s">
        <v>12</v>
      </c>
      <c r="H32" s="134" t="s">
        <v>1183</v>
      </c>
      <c r="I32" s="111" t="s">
        <v>1687</v>
      </c>
      <c r="J32" s="111" t="s">
        <v>1688</v>
      </c>
      <c r="K32" s="211" t="s">
        <v>1689</v>
      </c>
      <c r="L32" s="193" t="s">
        <v>39</v>
      </c>
      <c r="M32" s="134" t="s">
        <v>913</v>
      </c>
      <c r="N32" s="7" t="s">
        <v>753</v>
      </c>
      <c r="O32" s="134" t="s">
        <v>1029</v>
      </c>
      <c r="P32" s="193" t="s">
        <v>1690</v>
      </c>
      <c r="Q32" s="212" t="s">
        <v>3</v>
      </c>
      <c r="R32" s="172" t="s">
        <v>1074</v>
      </c>
      <c r="S32" s="126" t="s">
        <v>1691</v>
      </c>
      <c r="T32" s="20"/>
    </row>
    <row r="33" ht="15.75" customHeight="1">
      <c r="A33" s="213" t="s">
        <v>1692</v>
      </c>
      <c r="B33" s="213" t="s">
        <v>1034</v>
      </c>
      <c r="C33" s="213" t="s">
        <v>770</v>
      </c>
      <c r="D33" s="213" t="s">
        <v>907</v>
      </c>
      <c r="E33" s="213" t="s">
        <v>1575</v>
      </c>
      <c r="F33" s="214" t="s">
        <v>39</v>
      </c>
      <c r="G33" s="35" t="s">
        <v>16</v>
      </c>
      <c r="H33" s="213" t="s">
        <v>1005</v>
      </c>
      <c r="I33" s="215" t="s">
        <v>1693</v>
      </c>
      <c r="J33" s="215" t="s">
        <v>1694</v>
      </c>
      <c r="K33" s="216" t="s">
        <v>1695</v>
      </c>
      <c r="L33" s="217" t="s">
        <v>39</v>
      </c>
      <c r="M33" s="213" t="s">
        <v>913</v>
      </c>
      <c r="N33" s="35" t="s">
        <v>753</v>
      </c>
      <c r="O33" s="213"/>
      <c r="P33" s="218"/>
      <c r="Q33" s="219" t="s">
        <v>3</v>
      </c>
      <c r="R33" s="36" t="s">
        <v>1027</v>
      </c>
      <c r="S33" s="220" t="s">
        <v>1696</v>
      </c>
      <c r="T33" s="35" t="s">
        <v>869</v>
      </c>
    </row>
    <row r="34" ht="15.75" customHeight="1">
      <c r="A34" s="134" t="s">
        <v>1697</v>
      </c>
      <c r="B34" s="221">
        <v>46055.0</v>
      </c>
      <c r="C34" s="134" t="s">
        <v>770</v>
      </c>
      <c r="D34" s="134" t="s">
        <v>907</v>
      </c>
      <c r="E34" s="134" t="s">
        <v>1004</v>
      </c>
      <c r="F34" s="210" t="s">
        <v>39</v>
      </c>
      <c r="G34" s="7" t="s">
        <v>12</v>
      </c>
      <c r="H34" s="134" t="s">
        <v>1552</v>
      </c>
      <c r="I34" s="111" t="s">
        <v>1698</v>
      </c>
      <c r="J34" s="111" t="s">
        <v>1699</v>
      </c>
      <c r="K34" s="58" t="s">
        <v>1700</v>
      </c>
      <c r="L34" s="58" t="s">
        <v>39</v>
      </c>
      <c r="M34" s="134" t="s">
        <v>913</v>
      </c>
      <c r="N34" s="134" t="s">
        <v>913</v>
      </c>
      <c r="O34" s="134" t="s">
        <v>1029</v>
      </c>
      <c r="P34" s="222"/>
      <c r="Q34" s="134" t="s">
        <v>3</v>
      </c>
      <c r="R34" s="221">
        <v>46144.0</v>
      </c>
      <c r="S34" s="111"/>
      <c r="T34" s="20"/>
    </row>
    <row r="35" ht="15.75" customHeight="1">
      <c r="A35" s="223" t="s">
        <v>1701</v>
      </c>
      <c r="B35" s="224">
        <v>46055.0</v>
      </c>
      <c r="C35" s="223" t="s">
        <v>755</v>
      </c>
      <c r="D35" s="223" t="s">
        <v>907</v>
      </c>
      <c r="E35" s="223" t="s">
        <v>829</v>
      </c>
      <c r="F35" s="225" t="s">
        <v>39</v>
      </c>
      <c r="G35" s="199" t="s">
        <v>12</v>
      </c>
      <c r="H35" s="223" t="s">
        <v>1183</v>
      </c>
      <c r="I35" s="178" t="s">
        <v>1702</v>
      </c>
      <c r="J35" s="178" t="s">
        <v>1703</v>
      </c>
      <c r="K35" s="202" t="s">
        <v>1704</v>
      </c>
      <c r="L35" s="202" t="s">
        <v>1705</v>
      </c>
      <c r="M35" s="223" t="s">
        <v>913</v>
      </c>
      <c r="N35" s="223"/>
      <c r="O35" s="223"/>
      <c r="P35" s="226"/>
      <c r="Q35" s="223" t="s">
        <v>3</v>
      </c>
      <c r="R35" s="224">
        <v>46083.0</v>
      </c>
      <c r="S35" s="178" t="s">
        <v>1706</v>
      </c>
      <c r="T35" s="227"/>
    </row>
    <row r="36" ht="15.75" customHeight="1">
      <c r="A36" s="134" t="s">
        <v>1707</v>
      </c>
      <c r="B36" s="221">
        <v>46114.0</v>
      </c>
      <c r="C36" s="134" t="s">
        <v>755</v>
      </c>
      <c r="D36" s="134" t="s">
        <v>907</v>
      </c>
      <c r="E36" s="134" t="s">
        <v>1575</v>
      </c>
      <c r="F36" s="210" t="s">
        <v>39</v>
      </c>
      <c r="G36" s="7" t="s">
        <v>16</v>
      </c>
      <c r="H36" s="134" t="s">
        <v>970</v>
      </c>
      <c r="I36" s="111" t="s">
        <v>1708</v>
      </c>
      <c r="J36" s="111" t="s">
        <v>1709</v>
      </c>
      <c r="K36" s="58" t="s">
        <v>1710</v>
      </c>
      <c r="L36" s="193" t="s">
        <v>39</v>
      </c>
      <c r="M36" s="134" t="s">
        <v>913</v>
      </c>
      <c r="N36" s="7" t="s">
        <v>753</v>
      </c>
      <c r="O36" s="134"/>
      <c r="P36" s="222"/>
      <c r="Q36" s="134" t="s">
        <v>3</v>
      </c>
      <c r="R36" s="134" t="s">
        <v>1165</v>
      </c>
      <c r="S36" s="111" t="s">
        <v>1711</v>
      </c>
      <c r="T36" s="7" t="s">
        <v>1029</v>
      </c>
    </row>
    <row r="37" ht="15.75" customHeight="1">
      <c r="A37" s="228" t="s">
        <v>1712</v>
      </c>
      <c r="B37" s="229">
        <v>46114.0</v>
      </c>
      <c r="C37" s="228" t="s">
        <v>770</v>
      </c>
      <c r="D37" s="228" t="s">
        <v>907</v>
      </c>
      <c r="E37" s="228" t="s">
        <v>829</v>
      </c>
      <c r="F37" s="230" t="s">
        <v>39</v>
      </c>
      <c r="G37" s="50" t="s">
        <v>12</v>
      </c>
      <c r="H37" s="228" t="s">
        <v>1086</v>
      </c>
      <c r="I37" s="231" t="s">
        <v>1713</v>
      </c>
      <c r="J37" s="231" t="s">
        <v>1714</v>
      </c>
      <c r="K37" s="57" t="s">
        <v>1715</v>
      </c>
      <c r="L37" s="232" t="s">
        <v>1716</v>
      </c>
      <c r="M37" s="228" t="s">
        <v>913</v>
      </c>
      <c r="N37" s="228" t="s">
        <v>753</v>
      </c>
      <c r="O37" s="228"/>
      <c r="P37" s="178" t="s">
        <v>1717</v>
      </c>
      <c r="Q37" s="228" t="s">
        <v>3</v>
      </c>
      <c r="R37" s="228" t="s">
        <v>1090</v>
      </c>
      <c r="S37" s="233" t="s">
        <v>1718</v>
      </c>
      <c r="T37" s="50"/>
    </row>
    <row r="38" ht="15.75" customHeight="1">
      <c r="A38" s="199" t="s">
        <v>1719</v>
      </c>
      <c r="B38" s="200">
        <v>46267.0</v>
      </c>
      <c r="C38" s="199" t="s">
        <v>747</v>
      </c>
      <c r="D38" s="199" t="s">
        <v>907</v>
      </c>
      <c r="E38" s="199" t="s">
        <v>1004</v>
      </c>
      <c r="F38" s="199" t="s">
        <v>39</v>
      </c>
      <c r="G38" s="199" t="s">
        <v>12</v>
      </c>
      <c r="H38" s="234" t="s">
        <v>1086</v>
      </c>
      <c r="I38" s="201" t="s">
        <v>1720</v>
      </c>
      <c r="J38" s="201" t="s">
        <v>1721</v>
      </c>
      <c r="K38" s="202" t="s">
        <v>1722</v>
      </c>
      <c r="L38" s="201" t="s">
        <v>39</v>
      </c>
      <c r="M38" s="199" t="s">
        <v>913</v>
      </c>
      <c r="N38" s="199" t="s">
        <v>753</v>
      </c>
      <c r="O38" s="234" t="s">
        <v>1029</v>
      </c>
      <c r="P38" s="69" t="s">
        <v>1723</v>
      </c>
      <c r="Q38" s="39" t="s">
        <v>3</v>
      </c>
      <c r="R38" s="199" t="s">
        <v>1090</v>
      </c>
      <c r="S38" s="178" t="s">
        <v>1724</v>
      </c>
      <c r="T38" s="53"/>
    </row>
    <row r="39" ht="15.75" customHeight="1">
      <c r="A39" s="35" t="s">
        <v>1725</v>
      </c>
      <c r="B39" s="197">
        <v>46267.0</v>
      </c>
      <c r="C39" s="35" t="s">
        <v>755</v>
      </c>
      <c r="D39" s="35" t="s">
        <v>907</v>
      </c>
      <c r="E39" s="35" t="s">
        <v>1575</v>
      </c>
      <c r="F39" s="35" t="s">
        <v>39</v>
      </c>
      <c r="G39" s="35" t="s">
        <v>12</v>
      </c>
      <c r="H39" s="35" t="s">
        <v>1077</v>
      </c>
      <c r="I39" s="69" t="s">
        <v>1726</v>
      </c>
      <c r="J39" s="69" t="s">
        <v>1727</v>
      </c>
      <c r="K39" s="28" t="s">
        <v>1728</v>
      </c>
      <c r="L39" s="28" t="s">
        <v>1729</v>
      </c>
      <c r="M39" s="35" t="s">
        <v>913</v>
      </c>
      <c r="N39" s="35"/>
      <c r="O39" s="35"/>
      <c r="P39" s="69" t="s">
        <v>1730</v>
      </c>
      <c r="Q39" s="35" t="s">
        <v>5</v>
      </c>
      <c r="R39" s="35" t="s">
        <v>1090</v>
      </c>
      <c r="S39" s="61" t="s">
        <v>1731</v>
      </c>
      <c r="T39" s="35"/>
    </row>
    <row r="40" ht="15.75" customHeight="1">
      <c r="A40" s="7" t="s">
        <v>1732</v>
      </c>
      <c r="B40" s="7" t="s">
        <v>1272</v>
      </c>
      <c r="C40" s="7" t="s">
        <v>770</v>
      </c>
      <c r="D40" s="7" t="s">
        <v>907</v>
      </c>
      <c r="E40" s="7" t="s">
        <v>829</v>
      </c>
      <c r="F40" s="7" t="s">
        <v>39</v>
      </c>
      <c r="G40" s="7" t="s">
        <v>6</v>
      </c>
      <c r="H40" s="7" t="s">
        <v>1086</v>
      </c>
      <c r="I40" s="33" t="s">
        <v>1733</v>
      </c>
      <c r="J40" s="33" t="s">
        <v>1734</v>
      </c>
      <c r="K40" s="33" t="s">
        <v>1735</v>
      </c>
      <c r="L40" s="33" t="s">
        <v>39</v>
      </c>
      <c r="M40" s="7" t="s">
        <v>913</v>
      </c>
      <c r="N40" s="7" t="s">
        <v>913</v>
      </c>
      <c r="O40" s="7"/>
      <c r="P40" s="33"/>
      <c r="Q40" s="7" t="s">
        <v>3</v>
      </c>
      <c r="R40" s="7" t="s">
        <v>1279</v>
      </c>
      <c r="S40" s="32" t="s">
        <v>1736</v>
      </c>
      <c r="T40" s="7"/>
    </row>
    <row r="41" ht="15.75" customHeight="1">
      <c r="A41" s="50" t="s">
        <v>1737</v>
      </c>
      <c r="B41" s="50" t="s">
        <v>1165</v>
      </c>
      <c r="C41" s="50" t="s">
        <v>747</v>
      </c>
      <c r="D41" s="50" t="s">
        <v>907</v>
      </c>
      <c r="E41" s="50" t="s">
        <v>829</v>
      </c>
      <c r="F41" s="50" t="s">
        <v>39</v>
      </c>
      <c r="G41" s="50" t="s">
        <v>12</v>
      </c>
      <c r="H41" s="50" t="s">
        <v>1738</v>
      </c>
      <c r="I41" s="174" t="s">
        <v>1739</v>
      </c>
      <c r="J41" s="174" t="s">
        <v>1740</v>
      </c>
      <c r="K41" s="57" t="s">
        <v>1741</v>
      </c>
      <c r="L41" s="57" t="s">
        <v>1742</v>
      </c>
      <c r="M41" s="50" t="s">
        <v>913</v>
      </c>
      <c r="N41" s="50" t="s">
        <v>913</v>
      </c>
      <c r="O41" s="50"/>
      <c r="P41" s="174" t="s">
        <v>1743</v>
      </c>
      <c r="Q41" s="50" t="s">
        <v>3</v>
      </c>
      <c r="R41" s="50" t="s">
        <v>1279</v>
      </c>
      <c r="S41" s="177" t="s">
        <v>1744</v>
      </c>
      <c r="T41" s="50"/>
    </row>
    <row r="42" ht="15.75" customHeight="1">
      <c r="A42" s="7" t="s">
        <v>1745</v>
      </c>
      <c r="B42" s="7" t="s">
        <v>1565</v>
      </c>
      <c r="C42" s="7" t="s">
        <v>755</v>
      </c>
      <c r="D42" s="7" t="s">
        <v>907</v>
      </c>
      <c r="E42" s="7" t="s">
        <v>1575</v>
      </c>
      <c r="F42" s="7" t="s">
        <v>39</v>
      </c>
      <c r="G42" s="7" t="s">
        <v>12</v>
      </c>
      <c r="H42" s="7" t="s">
        <v>1172</v>
      </c>
      <c r="I42" s="33" t="s">
        <v>1746</v>
      </c>
      <c r="J42" s="33" t="s">
        <v>1747</v>
      </c>
      <c r="K42" s="33" t="s">
        <v>1748</v>
      </c>
      <c r="L42" s="33"/>
      <c r="M42" s="7" t="s">
        <v>913</v>
      </c>
      <c r="N42" s="7" t="s">
        <v>1749</v>
      </c>
      <c r="O42" s="7"/>
      <c r="P42" s="33"/>
      <c r="Q42" s="7" t="s">
        <v>4</v>
      </c>
      <c r="R42" s="130">
        <v>46176.0</v>
      </c>
      <c r="S42" s="150" t="s">
        <v>1750</v>
      </c>
      <c r="T42" s="7"/>
    </row>
    <row r="43" ht="15.75" customHeight="1">
      <c r="A43" s="7" t="s">
        <v>1751</v>
      </c>
      <c r="B43" s="7" t="s">
        <v>1027</v>
      </c>
      <c r="C43" s="7" t="s">
        <v>755</v>
      </c>
      <c r="D43" s="7" t="s">
        <v>907</v>
      </c>
      <c r="E43" s="7" t="s">
        <v>829</v>
      </c>
      <c r="F43" s="7" t="s">
        <v>39</v>
      </c>
      <c r="G43" s="7" t="s">
        <v>16</v>
      </c>
      <c r="H43" s="7" t="s">
        <v>1051</v>
      </c>
      <c r="I43" s="33" t="s">
        <v>1752</v>
      </c>
      <c r="J43" s="33" t="s">
        <v>1753</v>
      </c>
      <c r="K43" s="58" t="s">
        <v>1754</v>
      </c>
      <c r="L43" s="33" t="s">
        <v>39</v>
      </c>
      <c r="M43" s="7" t="s">
        <v>1191</v>
      </c>
      <c r="N43" s="7" t="s">
        <v>974</v>
      </c>
      <c r="O43" s="7" t="s">
        <v>1029</v>
      </c>
      <c r="P43" s="33"/>
      <c r="Q43" s="7" t="s">
        <v>4</v>
      </c>
      <c r="R43" s="7" t="s">
        <v>1279</v>
      </c>
      <c r="S43" s="150" t="s">
        <v>1755</v>
      </c>
      <c r="T43" s="7"/>
    </row>
    <row r="44" ht="15.75" customHeight="1">
      <c r="A44" s="7" t="s">
        <v>1756</v>
      </c>
      <c r="B44" s="7" t="s">
        <v>1027</v>
      </c>
      <c r="C44" s="7" t="s">
        <v>755</v>
      </c>
      <c r="D44" s="7" t="s">
        <v>907</v>
      </c>
      <c r="E44" s="7" t="s">
        <v>1757</v>
      </c>
      <c r="F44" s="7" t="s">
        <v>39</v>
      </c>
      <c r="G44" s="7" t="s">
        <v>16</v>
      </c>
      <c r="H44" s="7" t="s">
        <v>1051</v>
      </c>
      <c r="I44" s="33" t="s">
        <v>1758</v>
      </c>
      <c r="J44" s="33" t="s">
        <v>1759</v>
      </c>
      <c r="K44" s="58" t="s">
        <v>1760</v>
      </c>
      <c r="L44" s="33" t="s">
        <v>39</v>
      </c>
      <c r="M44" s="7" t="s">
        <v>1191</v>
      </c>
      <c r="N44" s="7" t="s">
        <v>974</v>
      </c>
      <c r="O44" s="7" t="s">
        <v>1029</v>
      </c>
      <c r="P44" s="33"/>
      <c r="Q44" s="7" t="s">
        <v>4</v>
      </c>
      <c r="R44" s="7" t="s">
        <v>1279</v>
      </c>
      <c r="S44" s="150" t="s">
        <v>1755</v>
      </c>
      <c r="T44" s="7"/>
    </row>
    <row r="45" ht="15.75" customHeight="1">
      <c r="A45" s="7" t="s">
        <v>1761</v>
      </c>
      <c r="B45" s="130">
        <v>46056.0</v>
      </c>
      <c r="C45" s="7" t="s">
        <v>755</v>
      </c>
      <c r="D45" s="7" t="s">
        <v>907</v>
      </c>
      <c r="E45" s="7" t="s">
        <v>829</v>
      </c>
      <c r="F45" s="7" t="s">
        <v>39</v>
      </c>
      <c r="G45" s="7" t="s">
        <v>16</v>
      </c>
      <c r="H45" s="7" t="s">
        <v>460</v>
      </c>
      <c r="I45" s="33" t="s">
        <v>1762</v>
      </c>
      <c r="J45" s="33" t="s">
        <v>1763</v>
      </c>
      <c r="K45" s="58" t="s">
        <v>1764</v>
      </c>
      <c r="L45" s="33" t="s">
        <v>39</v>
      </c>
      <c r="M45" s="7" t="s">
        <v>913</v>
      </c>
      <c r="N45" s="7" t="s">
        <v>974</v>
      </c>
      <c r="O45" s="7" t="s">
        <v>1029</v>
      </c>
      <c r="P45" s="33"/>
      <c r="Q45" s="7" t="s">
        <v>4</v>
      </c>
      <c r="R45" s="7"/>
      <c r="S45" s="150"/>
      <c r="T45" s="7"/>
    </row>
    <row r="46" ht="15.75" customHeight="1">
      <c r="A46" s="7" t="s">
        <v>1765</v>
      </c>
      <c r="B46" s="130">
        <v>46056.0</v>
      </c>
      <c r="C46" s="7" t="s">
        <v>747</v>
      </c>
      <c r="D46" s="7" t="s">
        <v>907</v>
      </c>
      <c r="E46" s="7" t="s">
        <v>1575</v>
      </c>
      <c r="F46" s="7" t="s">
        <v>39</v>
      </c>
      <c r="G46" s="7" t="s">
        <v>6</v>
      </c>
      <c r="H46" s="7" t="s">
        <v>1051</v>
      </c>
      <c r="I46" s="33" t="s">
        <v>1766</v>
      </c>
      <c r="J46" s="33" t="s">
        <v>1767</v>
      </c>
      <c r="K46" s="58" t="s">
        <v>1768</v>
      </c>
      <c r="L46" s="33" t="s">
        <v>39</v>
      </c>
      <c r="M46" s="7" t="s">
        <v>913</v>
      </c>
      <c r="N46" s="7" t="s">
        <v>753</v>
      </c>
      <c r="O46" s="7"/>
      <c r="P46" s="33"/>
      <c r="Q46" s="7" t="s">
        <v>4</v>
      </c>
      <c r="R46" s="7"/>
      <c r="S46" s="150"/>
      <c r="T46" s="7"/>
    </row>
    <row r="47" ht="15.75" customHeight="1">
      <c r="A47" s="50" t="s">
        <v>1769</v>
      </c>
      <c r="B47" s="235">
        <v>46084.0</v>
      </c>
      <c r="C47" s="50" t="s">
        <v>755</v>
      </c>
      <c r="D47" s="50" t="s">
        <v>907</v>
      </c>
      <c r="E47" s="50" t="s">
        <v>768</v>
      </c>
      <c r="F47" s="50" t="s">
        <v>39</v>
      </c>
      <c r="G47" s="50" t="s">
        <v>16</v>
      </c>
      <c r="H47" s="50" t="s">
        <v>1005</v>
      </c>
      <c r="I47" s="174" t="s">
        <v>1770</v>
      </c>
      <c r="J47" s="174" t="s">
        <v>1771</v>
      </c>
      <c r="K47" s="57" t="s">
        <v>1772</v>
      </c>
      <c r="L47" s="174" t="s">
        <v>39</v>
      </c>
      <c r="M47" s="50" t="s">
        <v>913</v>
      </c>
      <c r="N47" s="50" t="s">
        <v>974</v>
      </c>
      <c r="O47" s="50" t="s">
        <v>1029</v>
      </c>
      <c r="P47" s="174"/>
      <c r="Q47" s="52" t="s">
        <v>4</v>
      </c>
      <c r="R47" s="52"/>
      <c r="S47" s="177"/>
      <c r="T47" s="7"/>
    </row>
    <row r="48" ht="15.75" customHeight="1">
      <c r="A48" s="7" t="s">
        <v>1773</v>
      </c>
      <c r="B48" s="130">
        <v>46268.0</v>
      </c>
      <c r="C48" s="7" t="s">
        <v>747</v>
      </c>
      <c r="D48" s="7" t="s">
        <v>907</v>
      </c>
      <c r="E48" s="7" t="s">
        <v>829</v>
      </c>
      <c r="F48" s="7" t="s">
        <v>39</v>
      </c>
      <c r="G48" s="7" t="s">
        <v>6</v>
      </c>
      <c r="H48" s="7" t="s">
        <v>908</v>
      </c>
      <c r="I48" s="33" t="s">
        <v>1774</v>
      </c>
      <c r="J48" s="33" t="s">
        <v>1775</v>
      </c>
      <c r="K48" s="58" t="s">
        <v>1776</v>
      </c>
      <c r="L48" s="33" t="s">
        <v>39</v>
      </c>
      <c r="M48" s="7" t="s">
        <v>750</v>
      </c>
      <c r="N48" s="7" t="s">
        <v>753</v>
      </c>
      <c r="O48" s="7"/>
      <c r="P48" s="33"/>
      <c r="Q48" s="15" t="s">
        <v>4</v>
      </c>
      <c r="R48" s="172">
        <v>46298.0</v>
      </c>
      <c r="S48" s="150" t="s">
        <v>1777</v>
      </c>
      <c r="T48" s="7"/>
    </row>
    <row r="49" ht="15.75" customHeight="1">
      <c r="A49" s="7" t="s">
        <v>1778</v>
      </c>
      <c r="B49" s="130">
        <v>46268.0</v>
      </c>
      <c r="C49" s="7" t="s">
        <v>755</v>
      </c>
      <c r="D49" s="7" t="s">
        <v>907</v>
      </c>
      <c r="E49" s="7" t="s">
        <v>829</v>
      </c>
      <c r="F49" s="7" t="s">
        <v>39</v>
      </c>
      <c r="G49" s="7" t="s">
        <v>16</v>
      </c>
      <c r="H49" s="7" t="s">
        <v>1779</v>
      </c>
      <c r="I49" s="33" t="s">
        <v>1780</v>
      </c>
      <c r="J49" s="33" t="s">
        <v>1781</v>
      </c>
      <c r="K49" s="58" t="s">
        <v>1782</v>
      </c>
      <c r="L49" s="33" t="s">
        <v>39</v>
      </c>
      <c r="M49" s="7" t="s">
        <v>750</v>
      </c>
      <c r="N49" s="7" t="s">
        <v>974</v>
      </c>
      <c r="O49" s="7"/>
      <c r="P49" s="33"/>
      <c r="Q49" s="15" t="s">
        <v>4</v>
      </c>
      <c r="R49" s="15"/>
      <c r="S49" s="150"/>
      <c r="T49" s="7"/>
    </row>
    <row r="50" ht="15.75" customHeight="1">
      <c r="A50" s="7" t="s">
        <v>1783</v>
      </c>
      <c r="B50" s="130">
        <v>46359.0</v>
      </c>
      <c r="C50" s="7" t="s">
        <v>747</v>
      </c>
      <c r="D50" s="7" t="s">
        <v>907</v>
      </c>
      <c r="E50" s="7" t="s">
        <v>1004</v>
      </c>
      <c r="F50" s="7" t="s">
        <v>39</v>
      </c>
      <c r="G50" s="7" t="s">
        <v>6</v>
      </c>
      <c r="H50" s="7" t="s">
        <v>1051</v>
      </c>
      <c r="I50" s="33" t="s">
        <v>1784</v>
      </c>
      <c r="J50" s="33" t="s">
        <v>1785</v>
      </c>
      <c r="K50" s="58" t="s">
        <v>1786</v>
      </c>
      <c r="L50" s="33" t="s">
        <v>39</v>
      </c>
      <c r="M50" s="7" t="s">
        <v>913</v>
      </c>
      <c r="N50" s="7" t="s">
        <v>753</v>
      </c>
      <c r="O50" s="7"/>
      <c r="P50" s="33"/>
      <c r="Q50" s="15" t="s">
        <v>4</v>
      </c>
      <c r="R50" s="15"/>
      <c r="S50" s="150"/>
      <c r="T50" s="7"/>
    </row>
    <row r="51" ht="15.75" customHeight="1">
      <c r="A51" s="7" t="s">
        <v>1787</v>
      </c>
      <c r="B51" s="130">
        <v>46359.0</v>
      </c>
      <c r="C51" s="7" t="s">
        <v>747</v>
      </c>
      <c r="D51" s="7" t="s">
        <v>907</v>
      </c>
      <c r="E51" s="7" t="s">
        <v>829</v>
      </c>
      <c r="F51" s="7" t="s">
        <v>39</v>
      </c>
      <c r="G51" s="7" t="s">
        <v>12</v>
      </c>
      <c r="H51" s="7" t="s">
        <v>1086</v>
      </c>
      <c r="I51" s="33" t="s">
        <v>1788</v>
      </c>
      <c r="J51" s="33" t="s">
        <v>1789</v>
      </c>
      <c r="K51" s="33" t="s">
        <v>39</v>
      </c>
      <c r="L51" s="58" t="s">
        <v>1790</v>
      </c>
      <c r="M51" s="7" t="s">
        <v>750</v>
      </c>
      <c r="N51" s="7" t="s">
        <v>753</v>
      </c>
      <c r="O51" s="7"/>
      <c r="P51" s="33"/>
      <c r="Q51" s="15" t="s">
        <v>3</v>
      </c>
      <c r="R51" s="15" t="s">
        <v>490</v>
      </c>
      <c r="S51" s="150" t="s">
        <v>1791</v>
      </c>
      <c r="T51" s="7"/>
    </row>
    <row r="52" ht="15.75" customHeight="1">
      <c r="A52" s="7"/>
      <c r="B52" s="130"/>
      <c r="C52" s="7"/>
      <c r="D52" s="7"/>
      <c r="E52" s="7"/>
      <c r="F52" s="7"/>
      <c r="G52" s="7"/>
      <c r="H52" s="7"/>
      <c r="I52" s="33"/>
      <c r="J52" s="33"/>
      <c r="K52" s="33"/>
      <c r="L52" s="33"/>
      <c r="M52" s="7"/>
      <c r="N52" s="7"/>
      <c r="O52" s="7"/>
      <c r="P52" s="33"/>
      <c r="Q52" s="15"/>
      <c r="R52" s="15"/>
      <c r="S52" s="150"/>
      <c r="T52" s="7"/>
    </row>
    <row r="53" ht="15.75" customHeight="1">
      <c r="A53" s="7"/>
      <c r="B53" s="7"/>
      <c r="C53" s="7"/>
      <c r="D53" s="7"/>
      <c r="E53" s="7"/>
      <c r="F53" s="7"/>
      <c r="G53" s="7"/>
      <c r="H53" s="7"/>
      <c r="I53" s="33"/>
      <c r="J53" s="33"/>
      <c r="K53" s="33"/>
      <c r="L53" s="33"/>
      <c r="M53" s="7"/>
      <c r="N53" s="7"/>
      <c r="O53" s="7"/>
      <c r="P53" s="33"/>
      <c r="Q53" s="15"/>
      <c r="R53" s="15"/>
      <c r="S53" s="150"/>
      <c r="T53" s="7"/>
    </row>
    <row r="54" ht="15.75" customHeight="1">
      <c r="A54" s="7"/>
      <c r="B54" s="7"/>
      <c r="C54" s="7"/>
      <c r="D54" s="7"/>
      <c r="E54" s="7"/>
      <c r="F54" s="7"/>
      <c r="G54" s="7"/>
      <c r="H54" s="7"/>
      <c r="I54" s="33"/>
      <c r="J54" s="33"/>
      <c r="K54" s="33"/>
      <c r="L54" s="33"/>
      <c r="M54" s="7"/>
      <c r="N54" s="7"/>
      <c r="O54" s="7"/>
      <c r="P54" s="33"/>
      <c r="Q54" s="15"/>
      <c r="R54" s="15"/>
      <c r="S54" s="150"/>
      <c r="T54" s="7"/>
    </row>
    <row r="55" ht="15.75" customHeight="1">
      <c r="A55" s="7"/>
      <c r="B55" s="7"/>
      <c r="C55" s="7"/>
      <c r="D55" s="7"/>
      <c r="E55" s="7"/>
      <c r="F55" s="7"/>
      <c r="G55" s="7"/>
      <c r="H55" s="7"/>
      <c r="I55" s="33"/>
      <c r="J55" s="33"/>
      <c r="K55" s="33"/>
      <c r="L55" s="33"/>
      <c r="M55" s="7"/>
      <c r="N55" s="7"/>
      <c r="O55" s="7"/>
      <c r="P55" s="33"/>
      <c r="Q55" s="15"/>
      <c r="R55" s="15"/>
      <c r="S55" s="150"/>
      <c r="T55" s="7"/>
    </row>
    <row r="56" ht="15.75" customHeight="1">
      <c r="A56" s="7"/>
      <c r="B56" s="7"/>
      <c r="C56" s="7"/>
      <c r="D56" s="7"/>
      <c r="E56" s="7"/>
      <c r="F56" s="7"/>
      <c r="G56" s="7"/>
      <c r="H56" s="7"/>
      <c r="I56" s="33"/>
      <c r="J56" s="33"/>
      <c r="K56" s="33"/>
      <c r="L56" s="33"/>
      <c r="M56" s="7"/>
      <c r="N56" s="7"/>
      <c r="O56" s="7"/>
      <c r="P56" s="33"/>
      <c r="Q56" s="15"/>
      <c r="R56" s="15"/>
      <c r="S56" s="150"/>
      <c r="T56" s="7"/>
    </row>
    <row r="57" ht="15.75" customHeight="1">
      <c r="A57" s="7"/>
      <c r="B57" s="7"/>
      <c r="C57" s="7"/>
      <c r="D57" s="7"/>
      <c r="E57" s="7"/>
      <c r="F57" s="7"/>
      <c r="G57" s="7"/>
      <c r="H57" s="7"/>
      <c r="I57" s="33"/>
      <c r="J57" s="33"/>
      <c r="K57" s="33"/>
      <c r="L57" s="33"/>
      <c r="M57" s="7"/>
      <c r="N57" s="7"/>
      <c r="O57" s="7"/>
      <c r="P57" s="33"/>
      <c r="Q57" s="15"/>
      <c r="R57" s="15"/>
      <c r="S57" s="150"/>
      <c r="T57" s="7"/>
    </row>
    <row r="58" ht="15.75" customHeight="1">
      <c r="A58" s="7"/>
      <c r="B58" s="7"/>
      <c r="C58" s="7"/>
      <c r="D58" s="7"/>
      <c r="E58" s="7"/>
      <c r="F58" s="7"/>
      <c r="G58" s="7"/>
      <c r="H58" s="7"/>
      <c r="I58" s="33"/>
      <c r="J58" s="33"/>
      <c r="K58" s="33"/>
      <c r="L58" s="33"/>
      <c r="M58" s="7"/>
      <c r="N58" s="7"/>
      <c r="O58" s="7"/>
      <c r="P58" s="33"/>
      <c r="Q58" s="15"/>
      <c r="R58" s="15"/>
      <c r="S58" s="150"/>
      <c r="T58" s="7"/>
    </row>
    <row r="59" ht="15.75" customHeight="1">
      <c r="A59" s="7"/>
      <c r="B59" s="7"/>
      <c r="C59" s="7"/>
      <c r="D59" s="7"/>
      <c r="E59" s="7"/>
      <c r="F59" s="7"/>
      <c r="G59" s="7"/>
      <c r="H59" s="7"/>
      <c r="I59" s="33"/>
      <c r="J59" s="33"/>
      <c r="K59" s="33"/>
      <c r="L59" s="33"/>
      <c r="M59" s="7"/>
      <c r="N59" s="7"/>
      <c r="O59" s="7"/>
      <c r="P59" s="33"/>
      <c r="Q59" s="15"/>
      <c r="R59" s="15"/>
      <c r="S59" s="150"/>
      <c r="T59" s="7"/>
    </row>
    <row r="60" ht="15.75" customHeight="1">
      <c r="A60" s="7"/>
      <c r="B60" s="7"/>
      <c r="C60" s="7"/>
      <c r="D60" s="7"/>
      <c r="E60" s="7"/>
      <c r="F60" s="7"/>
      <c r="G60" s="7"/>
      <c r="H60" s="7"/>
      <c r="I60" s="33"/>
      <c r="J60" s="33"/>
      <c r="K60" s="33"/>
      <c r="L60" s="33"/>
      <c r="M60" s="7"/>
      <c r="N60" s="7"/>
      <c r="O60" s="7"/>
      <c r="P60" s="33"/>
      <c r="Q60" s="15"/>
      <c r="R60" s="15"/>
      <c r="S60" s="150"/>
      <c r="T60" s="7"/>
    </row>
    <row r="61" ht="15.75" customHeight="1">
      <c r="A61" s="7"/>
      <c r="B61" s="7"/>
      <c r="C61" s="7"/>
      <c r="D61" s="7"/>
      <c r="E61" s="7"/>
      <c r="F61" s="7"/>
      <c r="G61" s="7"/>
      <c r="H61" s="7"/>
      <c r="I61" s="33"/>
      <c r="J61" s="33"/>
      <c r="K61" s="33"/>
      <c r="L61" s="33"/>
      <c r="M61" s="7"/>
      <c r="N61" s="7"/>
      <c r="O61" s="7"/>
      <c r="P61" s="33"/>
      <c r="Q61" s="15"/>
      <c r="R61" s="15"/>
      <c r="S61" s="150"/>
      <c r="T61" s="7"/>
    </row>
    <row r="62" ht="15.75" customHeight="1">
      <c r="A62" s="7"/>
      <c r="B62" s="7"/>
      <c r="C62" s="7"/>
      <c r="D62" s="7"/>
      <c r="E62" s="7"/>
      <c r="F62" s="7"/>
      <c r="G62" s="7"/>
      <c r="H62" s="7"/>
      <c r="I62" s="33"/>
      <c r="J62" s="33"/>
      <c r="K62" s="33"/>
      <c r="L62" s="33"/>
      <c r="M62" s="7"/>
      <c r="N62" s="7"/>
      <c r="O62" s="7"/>
      <c r="P62" s="33"/>
      <c r="Q62" s="15"/>
      <c r="R62" s="15"/>
      <c r="S62" s="150"/>
      <c r="T62" s="7"/>
    </row>
    <row r="63" ht="15.75" customHeight="1">
      <c r="A63" s="7"/>
      <c r="B63" s="7"/>
      <c r="C63" s="7"/>
      <c r="D63" s="7"/>
      <c r="E63" s="7"/>
      <c r="F63" s="7"/>
      <c r="G63" s="7"/>
      <c r="H63" s="7"/>
      <c r="I63" s="33"/>
      <c r="J63" s="33"/>
      <c r="K63" s="33"/>
      <c r="L63" s="33"/>
      <c r="M63" s="7"/>
      <c r="N63" s="7"/>
      <c r="O63" s="7"/>
      <c r="P63" s="33"/>
      <c r="Q63" s="15"/>
      <c r="R63" s="15"/>
      <c r="S63" s="150"/>
      <c r="T63" s="7"/>
    </row>
    <row r="64" ht="15.75" customHeight="1">
      <c r="A64" s="7"/>
      <c r="B64" s="7"/>
      <c r="C64" s="7"/>
      <c r="D64" s="7"/>
      <c r="E64" s="7"/>
      <c r="F64" s="7"/>
      <c r="G64" s="7"/>
      <c r="H64" s="7"/>
      <c r="I64" s="33"/>
      <c r="J64" s="33"/>
      <c r="K64" s="33"/>
      <c r="L64" s="33"/>
      <c r="M64" s="7"/>
      <c r="N64" s="7"/>
      <c r="O64" s="7"/>
      <c r="P64" s="33"/>
      <c r="Q64" s="15"/>
      <c r="R64" s="15"/>
      <c r="S64" s="150"/>
      <c r="T64" s="7"/>
    </row>
    <row r="65" ht="15.75" customHeight="1">
      <c r="A65" s="7"/>
      <c r="B65" s="7"/>
      <c r="C65" s="7"/>
      <c r="D65" s="7"/>
      <c r="E65" s="7"/>
      <c r="F65" s="7"/>
      <c r="G65" s="7"/>
      <c r="H65" s="7"/>
      <c r="I65" s="33"/>
      <c r="J65" s="33"/>
      <c r="K65" s="33"/>
      <c r="L65" s="33"/>
      <c r="M65" s="7"/>
      <c r="N65" s="7"/>
      <c r="O65" s="7"/>
      <c r="P65" s="33"/>
      <c r="Q65" s="15"/>
      <c r="R65" s="15"/>
      <c r="S65" s="150"/>
      <c r="T65" s="7"/>
    </row>
    <row r="66" ht="15.75" customHeight="1">
      <c r="A66" s="7"/>
      <c r="B66" s="7"/>
      <c r="C66" s="7"/>
      <c r="D66" s="7"/>
      <c r="E66" s="7"/>
      <c r="F66" s="7"/>
      <c r="G66" s="7"/>
      <c r="H66" s="7"/>
      <c r="I66" s="33"/>
      <c r="J66" s="33"/>
      <c r="K66" s="33"/>
      <c r="L66" s="33"/>
      <c r="M66" s="7"/>
      <c r="N66" s="7"/>
      <c r="O66" s="7"/>
      <c r="P66" s="33"/>
      <c r="Q66" s="15"/>
      <c r="R66" s="15"/>
      <c r="S66" s="150"/>
      <c r="T66" s="7"/>
    </row>
    <row r="67" ht="15.75" customHeight="1">
      <c r="A67" s="7"/>
      <c r="B67" s="7"/>
      <c r="C67" s="7"/>
      <c r="D67" s="7"/>
      <c r="E67" s="7"/>
      <c r="F67" s="7"/>
      <c r="G67" s="7"/>
      <c r="H67" s="7"/>
      <c r="I67" s="33"/>
      <c r="J67" s="33"/>
      <c r="K67" s="33"/>
      <c r="L67" s="33"/>
      <c r="M67" s="7"/>
      <c r="N67" s="7"/>
      <c r="O67" s="7"/>
      <c r="P67" s="33"/>
      <c r="Q67" s="15"/>
      <c r="R67" s="15"/>
      <c r="S67" s="150"/>
      <c r="T67" s="7"/>
    </row>
    <row r="68" ht="15.75" customHeight="1">
      <c r="A68" s="7"/>
      <c r="B68" s="7"/>
      <c r="C68" s="7"/>
      <c r="D68" s="7"/>
      <c r="E68" s="7"/>
      <c r="F68" s="7"/>
      <c r="G68" s="7"/>
      <c r="H68" s="7"/>
      <c r="I68" s="33"/>
      <c r="J68" s="33"/>
      <c r="K68" s="33"/>
      <c r="L68" s="33"/>
      <c r="M68" s="7"/>
      <c r="N68" s="7"/>
      <c r="O68" s="7"/>
      <c r="P68" s="33"/>
      <c r="Q68" s="15"/>
      <c r="R68" s="15"/>
      <c r="S68" s="150"/>
      <c r="T68" s="7"/>
    </row>
    <row r="69" ht="15.75" customHeight="1">
      <c r="A69" s="7"/>
      <c r="B69" s="7"/>
      <c r="C69" s="7"/>
      <c r="D69" s="7"/>
      <c r="E69" s="7"/>
      <c r="F69" s="7"/>
      <c r="G69" s="7"/>
      <c r="H69" s="7"/>
      <c r="I69" s="33"/>
      <c r="J69" s="33"/>
      <c r="K69" s="33"/>
      <c r="L69" s="33"/>
      <c r="M69" s="7"/>
      <c r="N69" s="7"/>
      <c r="O69" s="7"/>
      <c r="P69" s="33"/>
      <c r="Q69" s="15"/>
      <c r="R69" s="15"/>
      <c r="S69" s="150"/>
      <c r="T69" s="7"/>
    </row>
    <row r="70" ht="15.75" customHeight="1">
      <c r="A70" s="7"/>
      <c r="B70" s="7"/>
      <c r="C70" s="7"/>
      <c r="D70" s="7"/>
      <c r="E70" s="7"/>
      <c r="F70" s="7"/>
      <c r="G70" s="7"/>
      <c r="H70" s="7"/>
      <c r="I70" s="33"/>
      <c r="J70" s="33"/>
      <c r="K70" s="33"/>
      <c r="L70" s="33"/>
      <c r="M70" s="7"/>
      <c r="N70" s="7"/>
      <c r="O70" s="7"/>
      <c r="P70" s="33"/>
      <c r="Q70" s="15"/>
      <c r="R70" s="15"/>
      <c r="S70" s="150"/>
      <c r="T70" s="7"/>
    </row>
    <row r="71" ht="15.75" customHeight="1">
      <c r="A71" s="7"/>
      <c r="B71" s="7"/>
      <c r="C71" s="7"/>
      <c r="D71" s="7"/>
      <c r="E71" s="7"/>
      <c r="F71" s="7"/>
      <c r="G71" s="7"/>
      <c r="H71" s="7"/>
      <c r="I71" s="33"/>
      <c r="J71" s="33"/>
      <c r="K71" s="33"/>
      <c r="L71" s="33"/>
      <c r="M71" s="7"/>
      <c r="N71" s="7"/>
      <c r="O71" s="7"/>
      <c r="P71" s="33"/>
      <c r="Q71" s="15"/>
      <c r="R71" s="15"/>
      <c r="S71" s="150"/>
      <c r="T71" s="7"/>
    </row>
    <row r="72" ht="15.75" customHeight="1">
      <c r="A72" s="7"/>
      <c r="B72" s="7"/>
      <c r="C72" s="7"/>
      <c r="D72" s="7"/>
      <c r="E72" s="7"/>
      <c r="F72" s="7"/>
      <c r="G72" s="7"/>
      <c r="H72" s="7"/>
      <c r="I72" s="33"/>
      <c r="J72" s="33"/>
      <c r="K72" s="33"/>
      <c r="L72" s="33"/>
      <c r="M72" s="7"/>
      <c r="N72" s="7"/>
      <c r="O72" s="7"/>
      <c r="P72" s="33"/>
      <c r="Q72" s="15"/>
      <c r="R72" s="15"/>
      <c r="S72" s="150"/>
      <c r="T72" s="7"/>
    </row>
    <row r="73" ht="15.75" customHeight="1">
      <c r="A73" s="7"/>
      <c r="B73" s="7"/>
      <c r="C73" s="7"/>
      <c r="D73" s="7"/>
      <c r="E73" s="7"/>
      <c r="F73" s="7"/>
      <c r="G73" s="7"/>
      <c r="H73" s="7"/>
      <c r="I73" s="33"/>
      <c r="J73" s="33"/>
      <c r="K73" s="33"/>
      <c r="L73" s="33"/>
      <c r="M73" s="7"/>
      <c r="N73" s="7"/>
      <c r="O73" s="7"/>
      <c r="P73" s="33"/>
      <c r="Q73" s="15"/>
      <c r="R73" s="15"/>
      <c r="S73" s="150"/>
      <c r="T73" s="7"/>
    </row>
    <row r="74" ht="15.75" customHeight="1">
      <c r="A74" s="7"/>
      <c r="B74" s="7"/>
      <c r="C74" s="7"/>
      <c r="D74" s="7"/>
      <c r="E74" s="7"/>
      <c r="F74" s="7"/>
      <c r="G74" s="7"/>
      <c r="H74" s="7"/>
      <c r="I74" s="33"/>
      <c r="J74" s="33"/>
      <c r="K74" s="33"/>
      <c r="L74" s="33"/>
      <c r="M74" s="7"/>
      <c r="N74" s="7"/>
      <c r="O74" s="7"/>
      <c r="P74" s="33"/>
      <c r="Q74" s="15"/>
      <c r="R74" s="15"/>
      <c r="S74" s="150"/>
      <c r="T74" s="7"/>
    </row>
    <row r="75" ht="15.75" customHeight="1">
      <c r="A75" s="7"/>
      <c r="B75" s="7"/>
      <c r="C75" s="7"/>
      <c r="D75" s="7"/>
      <c r="E75" s="7"/>
      <c r="F75" s="7"/>
      <c r="G75" s="7"/>
      <c r="H75" s="7"/>
      <c r="I75" s="33"/>
      <c r="J75" s="33"/>
      <c r="K75" s="33"/>
      <c r="L75" s="33"/>
      <c r="M75" s="7"/>
      <c r="N75" s="7"/>
      <c r="O75" s="7"/>
      <c r="P75" s="33"/>
      <c r="Q75" s="15"/>
      <c r="R75" s="15"/>
      <c r="S75" s="150"/>
      <c r="T75" s="7"/>
    </row>
    <row r="76" ht="15.75" customHeight="1">
      <c r="A76" s="7"/>
      <c r="B76" s="7"/>
      <c r="C76" s="7"/>
      <c r="D76" s="7"/>
      <c r="E76" s="7"/>
      <c r="F76" s="7"/>
      <c r="G76" s="7"/>
      <c r="H76" s="7"/>
      <c r="I76" s="33"/>
      <c r="J76" s="33"/>
      <c r="K76" s="33"/>
      <c r="L76" s="33"/>
      <c r="M76" s="7"/>
      <c r="N76" s="7"/>
      <c r="O76" s="7"/>
      <c r="P76" s="33"/>
      <c r="Q76" s="15"/>
      <c r="R76" s="15"/>
      <c r="S76" s="150"/>
      <c r="T76" s="7"/>
    </row>
    <row r="77" ht="15.75" customHeight="1">
      <c r="A77" s="7"/>
      <c r="B77" s="7"/>
      <c r="C77" s="7"/>
      <c r="D77" s="7"/>
      <c r="E77" s="7"/>
      <c r="F77" s="7"/>
      <c r="G77" s="7"/>
      <c r="H77" s="7"/>
      <c r="I77" s="33"/>
      <c r="J77" s="33"/>
      <c r="K77" s="33"/>
      <c r="L77" s="33"/>
      <c r="M77" s="7"/>
      <c r="N77" s="7"/>
      <c r="O77" s="7"/>
      <c r="P77" s="33"/>
      <c r="Q77" s="15"/>
      <c r="R77" s="15"/>
      <c r="S77" s="150"/>
      <c r="T77" s="7"/>
    </row>
    <row r="78" ht="15.75" customHeight="1">
      <c r="A78" s="7"/>
      <c r="B78" s="7"/>
      <c r="C78" s="7"/>
      <c r="D78" s="7"/>
      <c r="E78" s="7"/>
      <c r="F78" s="7"/>
      <c r="G78" s="7"/>
      <c r="H78" s="7"/>
      <c r="I78" s="33"/>
      <c r="J78" s="33"/>
      <c r="K78" s="33"/>
      <c r="L78" s="33"/>
      <c r="M78" s="7"/>
      <c r="N78" s="7"/>
      <c r="O78" s="7"/>
      <c r="P78" s="33"/>
      <c r="Q78" s="15"/>
      <c r="R78" s="15"/>
      <c r="S78" s="150"/>
      <c r="T78" s="7"/>
    </row>
    <row r="79" ht="15.75" customHeight="1">
      <c r="A79" s="7"/>
      <c r="B79" s="7"/>
      <c r="C79" s="7"/>
      <c r="D79" s="7"/>
      <c r="E79" s="7"/>
      <c r="F79" s="7"/>
      <c r="G79" s="7"/>
      <c r="H79" s="7"/>
      <c r="I79" s="33"/>
      <c r="J79" s="33"/>
      <c r="K79" s="33"/>
      <c r="L79" s="33"/>
      <c r="M79" s="7"/>
      <c r="N79" s="7"/>
      <c r="O79" s="7"/>
      <c r="P79" s="33"/>
      <c r="Q79" s="15"/>
      <c r="R79" s="15"/>
      <c r="S79" s="150"/>
      <c r="T79" s="7"/>
    </row>
    <row r="80" ht="15.75" customHeight="1">
      <c r="A80" s="7"/>
      <c r="B80" s="7"/>
      <c r="C80" s="7"/>
      <c r="D80" s="7"/>
      <c r="E80" s="7"/>
      <c r="F80" s="7"/>
      <c r="G80" s="7"/>
      <c r="H80" s="7"/>
      <c r="I80" s="33"/>
      <c r="J80" s="33"/>
      <c r="K80" s="33"/>
      <c r="L80" s="33"/>
      <c r="M80" s="7"/>
      <c r="N80" s="7"/>
      <c r="O80" s="7"/>
      <c r="P80" s="33"/>
      <c r="Q80" s="15"/>
      <c r="R80" s="15"/>
      <c r="S80" s="150"/>
      <c r="T80" s="7"/>
    </row>
    <row r="81" ht="15.75" customHeight="1">
      <c r="A81" s="7"/>
      <c r="B81" s="7"/>
      <c r="C81" s="7"/>
      <c r="D81" s="7"/>
      <c r="E81" s="7"/>
      <c r="F81" s="7"/>
      <c r="G81" s="7"/>
      <c r="H81" s="7"/>
      <c r="I81" s="33"/>
      <c r="J81" s="33"/>
      <c r="K81" s="33"/>
      <c r="L81" s="33"/>
      <c r="M81" s="7"/>
      <c r="N81" s="7"/>
      <c r="O81" s="7"/>
      <c r="P81" s="33"/>
      <c r="Q81" s="15"/>
      <c r="R81" s="15"/>
      <c r="S81" s="150"/>
      <c r="T81" s="7"/>
    </row>
    <row r="82" ht="15.75" customHeight="1">
      <c r="A82" s="7"/>
      <c r="B82" s="7"/>
      <c r="C82" s="7"/>
      <c r="D82" s="7"/>
      <c r="E82" s="7"/>
      <c r="F82" s="7"/>
      <c r="G82" s="7"/>
      <c r="H82" s="7"/>
      <c r="I82" s="33"/>
      <c r="J82" s="33"/>
      <c r="K82" s="33"/>
      <c r="L82" s="33"/>
      <c r="M82" s="7"/>
      <c r="N82" s="7"/>
      <c r="O82" s="7"/>
      <c r="P82" s="33"/>
      <c r="Q82" s="15"/>
      <c r="R82" s="15"/>
      <c r="S82" s="150"/>
      <c r="T82" s="7"/>
    </row>
    <row r="83" ht="15.75" customHeight="1">
      <c r="A83" s="7"/>
      <c r="B83" s="7"/>
      <c r="C83" s="7"/>
      <c r="D83" s="7"/>
      <c r="E83" s="7"/>
      <c r="F83" s="7"/>
      <c r="G83" s="7"/>
      <c r="H83" s="7"/>
      <c r="I83" s="33"/>
      <c r="J83" s="33"/>
      <c r="K83" s="33"/>
      <c r="L83" s="33"/>
      <c r="M83" s="7"/>
      <c r="N83" s="7"/>
      <c r="O83" s="7"/>
      <c r="P83" s="33"/>
      <c r="Q83" s="15"/>
      <c r="R83" s="15"/>
      <c r="S83" s="150"/>
      <c r="T83" s="7"/>
    </row>
    <row r="84" ht="15.75" customHeight="1">
      <c r="A84" s="7"/>
      <c r="B84" s="7"/>
      <c r="C84" s="7"/>
      <c r="D84" s="7"/>
      <c r="E84" s="7"/>
      <c r="F84" s="7"/>
      <c r="G84" s="7"/>
      <c r="H84" s="7"/>
      <c r="I84" s="33"/>
      <c r="J84" s="33"/>
      <c r="K84" s="33"/>
      <c r="L84" s="33"/>
      <c r="M84" s="7"/>
      <c r="N84" s="7"/>
      <c r="O84" s="7"/>
      <c r="P84" s="33"/>
      <c r="Q84" s="15"/>
      <c r="R84" s="15"/>
      <c r="S84" s="150"/>
      <c r="T84" s="7"/>
    </row>
    <row r="85" ht="15.75" customHeight="1">
      <c r="A85" s="7"/>
      <c r="B85" s="7"/>
      <c r="C85" s="7"/>
      <c r="D85" s="7"/>
      <c r="E85" s="7"/>
      <c r="F85" s="7"/>
      <c r="G85" s="7"/>
      <c r="H85" s="7"/>
      <c r="I85" s="33"/>
      <c r="J85" s="33"/>
      <c r="K85" s="33"/>
      <c r="L85" s="33"/>
      <c r="M85" s="7"/>
      <c r="N85" s="7"/>
      <c r="O85" s="7"/>
      <c r="P85" s="33"/>
      <c r="Q85" s="15"/>
      <c r="R85" s="15"/>
      <c r="S85" s="150"/>
      <c r="T85" s="7"/>
    </row>
    <row r="86" ht="15.75" customHeight="1">
      <c r="A86" s="7"/>
      <c r="B86" s="7"/>
      <c r="C86" s="7"/>
      <c r="D86" s="7"/>
      <c r="E86" s="7"/>
      <c r="F86" s="7"/>
      <c r="G86" s="7"/>
      <c r="H86" s="7"/>
      <c r="I86" s="33"/>
      <c r="J86" s="33"/>
      <c r="K86" s="33"/>
      <c r="L86" s="33"/>
      <c r="M86" s="7"/>
      <c r="N86" s="7"/>
      <c r="O86" s="7"/>
      <c r="P86" s="33"/>
      <c r="Q86" s="15"/>
      <c r="R86" s="15"/>
      <c r="S86" s="150"/>
      <c r="T86" s="7"/>
    </row>
    <row r="87" ht="15.75" customHeight="1">
      <c r="A87" s="7"/>
      <c r="B87" s="7"/>
      <c r="C87" s="7"/>
      <c r="D87" s="7"/>
      <c r="E87" s="7"/>
      <c r="F87" s="7"/>
      <c r="G87" s="7"/>
      <c r="H87" s="7"/>
      <c r="I87" s="33"/>
      <c r="J87" s="33"/>
      <c r="K87" s="33"/>
      <c r="L87" s="33"/>
      <c r="M87" s="7"/>
      <c r="N87" s="7"/>
      <c r="O87" s="7"/>
      <c r="P87" s="33"/>
      <c r="Q87" s="15"/>
      <c r="R87" s="15"/>
      <c r="S87" s="150"/>
      <c r="T87" s="7"/>
    </row>
    <row r="88" ht="15.75" customHeight="1">
      <c r="A88" s="7"/>
      <c r="B88" s="7"/>
      <c r="C88" s="7"/>
      <c r="D88" s="7"/>
      <c r="E88" s="7"/>
      <c r="F88" s="7"/>
      <c r="G88" s="7"/>
      <c r="H88" s="7"/>
      <c r="I88" s="33"/>
      <c r="J88" s="33"/>
      <c r="K88" s="33"/>
      <c r="L88" s="33"/>
      <c r="M88" s="7"/>
      <c r="N88" s="7"/>
      <c r="O88" s="7"/>
      <c r="P88" s="33"/>
      <c r="Q88" s="15"/>
      <c r="R88" s="15"/>
      <c r="S88" s="150"/>
      <c r="T88" s="7"/>
    </row>
    <row r="89" ht="15.75" customHeight="1">
      <c r="A89" s="7"/>
      <c r="B89" s="7"/>
      <c r="C89" s="7"/>
      <c r="D89" s="7"/>
      <c r="E89" s="7"/>
      <c r="F89" s="7"/>
      <c r="G89" s="7"/>
      <c r="H89" s="7"/>
      <c r="I89" s="33"/>
      <c r="J89" s="33"/>
      <c r="K89" s="33"/>
      <c r="L89" s="33"/>
      <c r="M89" s="7"/>
      <c r="N89" s="7"/>
      <c r="O89" s="7"/>
      <c r="P89" s="33"/>
      <c r="Q89" s="15"/>
      <c r="R89" s="15"/>
      <c r="S89" s="150"/>
      <c r="T89" s="7"/>
    </row>
    <row r="90" ht="15.75" customHeight="1">
      <c r="A90" s="7"/>
      <c r="B90" s="7"/>
      <c r="C90" s="7"/>
      <c r="D90" s="7"/>
      <c r="E90" s="7"/>
      <c r="F90" s="7"/>
      <c r="G90" s="7"/>
      <c r="H90" s="7"/>
      <c r="I90" s="33"/>
      <c r="J90" s="33"/>
      <c r="K90" s="33"/>
      <c r="L90" s="33"/>
      <c r="M90" s="7"/>
      <c r="N90" s="7"/>
      <c r="O90" s="7"/>
      <c r="P90" s="33"/>
      <c r="Q90" s="15"/>
      <c r="R90" s="15"/>
      <c r="S90" s="150"/>
      <c r="T90" s="7"/>
    </row>
    <row r="91" ht="15.75" customHeight="1">
      <c r="A91" s="7"/>
      <c r="B91" s="7"/>
      <c r="C91" s="7"/>
      <c r="D91" s="7"/>
      <c r="E91" s="7"/>
      <c r="F91" s="7"/>
      <c r="G91" s="7"/>
      <c r="H91" s="7"/>
      <c r="I91" s="33"/>
      <c r="J91" s="33"/>
      <c r="K91" s="33"/>
      <c r="L91" s="33"/>
      <c r="M91" s="7"/>
      <c r="N91" s="7"/>
      <c r="O91" s="7"/>
      <c r="P91" s="33"/>
      <c r="Q91" s="15"/>
      <c r="R91" s="15"/>
      <c r="S91" s="150"/>
      <c r="T91" s="7"/>
    </row>
    <row r="92" ht="15.75" customHeight="1">
      <c r="A92" s="7"/>
      <c r="B92" s="7"/>
      <c r="C92" s="7"/>
      <c r="D92" s="7"/>
      <c r="E92" s="7"/>
      <c r="F92" s="7"/>
      <c r="G92" s="7"/>
      <c r="H92" s="7"/>
      <c r="I92" s="33"/>
      <c r="J92" s="33"/>
      <c r="K92" s="33"/>
      <c r="L92" s="33"/>
      <c r="M92" s="7"/>
      <c r="N92" s="7"/>
      <c r="O92" s="7"/>
      <c r="P92" s="33"/>
      <c r="Q92" s="15"/>
      <c r="R92" s="15"/>
      <c r="S92" s="150"/>
      <c r="T92" s="7"/>
    </row>
    <row r="93" ht="15.75" customHeight="1">
      <c r="A93" s="7"/>
      <c r="B93" s="7"/>
      <c r="C93" s="7"/>
      <c r="D93" s="7"/>
      <c r="E93" s="7"/>
      <c r="F93" s="7"/>
      <c r="G93" s="7"/>
      <c r="H93" s="7"/>
      <c r="I93" s="33"/>
      <c r="J93" s="33"/>
      <c r="K93" s="33"/>
      <c r="L93" s="33"/>
      <c r="M93" s="7"/>
      <c r="N93" s="7"/>
      <c r="O93" s="7"/>
      <c r="P93" s="33"/>
      <c r="Q93" s="15"/>
      <c r="R93" s="15"/>
      <c r="S93" s="150"/>
      <c r="T93" s="7"/>
    </row>
    <row r="94" ht="15.75" customHeight="1">
      <c r="A94" s="7"/>
      <c r="B94" s="7"/>
      <c r="C94" s="7"/>
      <c r="D94" s="7"/>
      <c r="E94" s="7"/>
      <c r="F94" s="7"/>
      <c r="G94" s="7"/>
      <c r="H94" s="7"/>
      <c r="I94" s="33"/>
      <c r="J94" s="33"/>
      <c r="K94" s="33"/>
      <c r="L94" s="33"/>
      <c r="M94" s="7"/>
      <c r="N94" s="7"/>
      <c r="O94" s="7"/>
      <c r="P94" s="33"/>
      <c r="Q94" s="15"/>
      <c r="R94" s="15"/>
      <c r="S94" s="150"/>
      <c r="T94" s="7"/>
    </row>
    <row r="95" ht="15.75" customHeight="1">
      <c r="A95" s="7"/>
      <c r="B95" s="7"/>
      <c r="C95" s="7"/>
      <c r="D95" s="7"/>
      <c r="E95" s="7"/>
      <c r="F95" s="7"/>
      <c r="G95" s="7"/>
      <c r="H95" s="7"/>
      <c r="I95" s="33"/>
      <c r="J95" s="33"/>
      <c r="K95" s="33"/>
      <c r="L95" s="33"/>
      <c r="M95" s="7"/>
      <c r="N95" s="7"/>
      <c r="O95" s="7"/>
      <c r="P95" s="33"/>
      <c r="Q95" s="15"/>
      <c r="R95" s="15"/>
      <c r="S95" s="150"/>
      <c r="T95" s="7"/>
    </row>
    <row r="96" ht="15.75" customHeight="1">
      <c r="A96" s="7"/>
      <c r="B96" s="7"/>
      <c r="C96" s="7"/>
      <c r="D96" s="7"/>
      <c r="E96" s="7"/>
      <c r="F96" s="7"/>
      <c r="G96" s="7"/>
      <c r="H96" s="7"/>
      <c r="I96" s="33"/>
      <c r="J96" s="33"/>
      <c r="K96" s="33"/>
      <c r="L96" s="33"/>
      <c r="M96" s="7"/>
      <c r="N96" s="7"/>
      <c r="O96" s="7"/>
      <c r="P96" s="33"/>
      <c r="Q96" s="15"/>
      <c r="R96" s="15"/>
      <c r="S96" s="150"/>
      <c r="T96" s="7"/>
    </row>
    <row r="97" ht="15.75" customHeight="1">
      <c r="A97" s="7"/>
      <c r="B97" s="7"/>
      <c r="C97" s="7"/>
      <c r="D97" s="7"/>
      <c r="E97" s="7"/>
      <c r="F97" s="7"/>
      <c r="G97" s="7"/>
      <c r="H97" s="7"/>
      <c r="I97" s="33"/>
      <c r="J97" s="33"/>
      <c r="K97" s="33"/>
      <c r="L97" s="33"/>
      <c r="M97" s="7"/>
      <c r="N97" s="7"/>
      <c r="O97" s="7"/>
      <c r="P97" s="33"/>
      <c r="Q97" s="15"/>
      <c r="R97" s="15"/>
      <c r="S97" s="150"/>
      <c r="T97" s="7"/>
    </row>
    <row r="98" ht="15.75" customHeight="1">
      <c r="A98" s="7"/>
      <c r="B98" s="7"/>
      <c r="C98" s="7"/>
      <c r="D98" s="7"/>
      <c r="E98" s="7"/>
      <c r="F98" s="7"/>
      <c r="G98" s="7"/>
      <c r="H98" s="7"/>
      <c r="I98" s="33"/>
      <c r="J98" s="33"/>
      <c r="K98" s="33"/>
      <c r="L98" s="33"/>
      <c r="M98" s="7"/>
      <c r="N98" s="7"/>
      <c r="O98" s="7"/>
      <c r="P98" s="33"/>
      <c r="Q98" s="15"/>
      <c r="R98" s="15"/>
      <c r="S98" s="150"/>
      <c r="T98" s="7"/>
    </row>
    <row r="99" ht="15.75" customHeight="1">
      <c r="A99" s="7"/>
      <c r="B99" s="7"/>
      <c r="C99" s="7"/>
      <c r="D99" s="7"/>
      <c r="E99" s="7"/>
      <c r="F99" s="7"/>
      <c r="G99" s="7"/>
      <c r="H99" s="7"/>
      <c r="I99" s="33"/>
      <c r="J99" s="33"/>
      <c r="K99" s="33"/>
      <c r="L99" s="33"/>
      <c r="M99" s="7"/>
      <c r="N99" s="7"/>
      <c r="O99" s="7"/>
      <c r="P99" s="33"/>
      <c r="Q99" s="15"/>
      <c r="R99" s="15"/>
      <c r="S99" s="150"/>
      <c r="T99" s="7"/>
    </row>
    <row r="100" ht="15.75" customHeight="1">
      <c r="A100" s="7"/>
      <c r="B100" s="7"/>
      <c r="C100" s="7"/>
      <c r="D100" s="7"/>
      <c r="E100" s="7"/>
      <c r="F100" s="7"/>
      <c r="G100" s="7"/>
      <c r="H100" s="7"/>
      <c r="I100" s="33"/>
      <c r="J100" s="33"/>
      <c r="K100" s="33"/>
      <c r="L100" s="33"/>
      <c r="M100" s="7"/>
      <c r="N100" s="7"/>
      <c r="O100" s="7"/>
      <c r="P100" s="33"/>
      <c r="Q100" s="15"/>
      <c r="R100" s="15"/>
      <c r="S100" s="150"/>
      <c r="T100" s="7"/>
    </row>
    <row r="101" ht="15.75" customHeight="1">
      <c r="A101" s="7"/>
      <c r="B101" s="7"/>
      <c r="C101" s="7"/>
      <c r="D101" s="7"/>
      <c r="E101" s="7"/>
      <c r="F101" s="7"/>
      <c r="G101" s="7"/>
      <c r="H101" s="7"/>
      <c r="I101" s="33"/>
      <c r="J101" s="33"/>
      <c r="K101" s="33"/>
      <c r="L101" s="33"/>
      <c r="M101" s="7"/>
      <c r="N101" s="7"/>
      <c r="O101" s="7"/>
      <c r="P101" s="33"/>
      <c r="Q101" s="15"/>
      <c r="R101" s="15"/>
      <c r="S101" s="150"/>
      <c r="T101" s="7"/>
    </row>
    <row r="102" ht="15.75" customHeight="1">
      <c r="A102" s="7"/>
      <c r="B102" s="7"/>
      <c r="C102" s="7"/>
      <c r="D102" s="7"/>
      <c r="E102" s="7"/>
      <c r="F102" s="7"/>
      <c r="G102" s="7"/>
      <c r="H102" s="7"/>
      <c r="I102" s="33"/>
      <c r="J102" s="33"/>
      <c r="K102" s="33"/>
      <c r="L102" s="33"/>
      <c r="M102" s="7"/>
      <c r="N102" s="7"/>
      <c r="O102" s="7"/>
      <c r="P102" s="33"/>
      <c r="Q102" s="15"/>
      <c r="R102" s="15"/>
      <c r="S102" s="150"/>
      <c r="T102" s="7"/>
    </row>
    <row r="103" ht="15.75" customHeight="1">
      <c r="A103" s="7"/>
      <c r="B103" s="7"/>
      <c r="C103" s="7"/>
      <c r="D103" s="7"/>
      <c r="E103" s="7"/>
      <c r="F103" s="7"/>
      <c r="G103" s="7"/>
      <c r="H103" s="7"/>
      <c r="I103" s="33"/>
      <c r="J103" s="33"/>
      <c r="K103" s="33"/>
      <c r="L103" s="33"/>
      <c r="M103" s="7"/>
      <c r="N103" s="7"/>
      <c r="O103" s="7"/>
      <c r="P103" s="33"/>
      <c r="Q103" s="15"/>
      <c r="R103" s="15"/>
      <c r="S103" s="150"/>
      <c r="T103" s="7"/>
    </row>
    <row r="104" ht="15.75" customHeight="1">
      <c r="A104" s="7"/>
      <c r="B104" s="7"/>
      <c r="C104" s="7"/>
      <c r="D104" s="7"/>
      <c r="E104" s="7"/>
      <c r="F104" s="7"/>
      <c r="G104" s="7"/>
      <c r="H104" s="7"/>
      <c r="I104" s="33"/>
      <c r="J104" s="33"/>
      <c r="K104" s="33"/>
      <c r="L104" s="33"/>
      <c r="M104" s="7"/>
      <c r="N104" s="7"/>
      <c r="O104" s="7"/>
      <c r="P104" s="33"/>
      <c r="Q104" s="15"/>
      <c r="R104" s="15"/>
      <c r="S104" s="150"/>
      <c r="T104" s="7"/>
    </row>
    <row r="105" ht="15.75" customHeight="1">
      <c r="A105" s="7"/>
      <c r="B105" s="7"/>
      <c r="C105" s="7"/>
      <c r="D105" s="7"/>
      <c r="E105" s="7"/>
      <c r="F105" s="7"/>
      <c r="G105" s="7"/>
      <c r="H105" s="7"/>
      <c r="I105" s="33"/>
      <c r="J105" s="33"/>
      <c r="K105" s="33"/>
      <c r="L105" s="33"/>
      <c r="M105" s="7"/>
      <c r="N105" s="7"/>
      <c r="O105" s="7"/>
      <c r="P105" s="33"/>
      <c r="Q105" s="15"/>
      <c r="R105" s="15"/>
      <c r="S105" s="150"/>
      <c r="T105" s="7"/>
    </row>
    <row r="106" ht="15.75" customHeight="1">
      <c r="A106" s="7"/>
      <c r="B106" s="7"/>
      <c r="C106" s="7"/>
      <c r="D106" s="7"/>
      <c r="E106" s="7"/>
      <c r="F106" s="7"/>
      <c r="G106" s="7"/>
      <c r="H106" s="7"/>
      <c r="I106" s="33"/>
      <c r="J106" s="33"/>
      <c r="K106" s="33"/>
      <c r="L106" s="33"/>
      <c r="M106" s="7"/>
      <c r="N106" s="7"/>
      <c r="O106" s="7"/>
      <c r="P106" s="33"/>
      <c r="Q106" s="15"/>
      <c r="R106" s="15"/>
      <c r="S106" s="150"/>
      <c r="T106" s="7"/>
    </row>
    <row r="107" ht="15.75" customHeight="1">
      <c r="A107" s="7"/>
      <c r="B107" s="7"/>
      <c r="C107" s="7"/>
      <c r="D107" s="7"/>
      <c r="E107" s="7"/>
      <c r="F107" s="7"/>
      <c r="G107" s="7"/>
      <c r="H107" s="7"/>
      <c r="I107" s="33"/>
      <c r="J107" s="33"/>
      <c r="K107" s="33"/>
      <c r="L107" s="33"/>
      <c r="M107" s="7"/>
      <c r="N107" s="7"/>
      <c r="O107" s="7"/>
      <c r="P107" s="33"/>
      <c r="Q107" s="15"/>
      <c r="R107" s="15"/>
      <c r="S107" s="150"/>
      <c r="T107" s="7"/>
    </row>
    <row r="108" ht="15.75" customHeight="1">
      <c r="A108" s="7"/>
      <c r="B108" s="7"/>
      <c r="C108" s="7"/>
      <c r="D108" s="7"/>
      <c r="E108" s="7"/>
      <c r="F108" s="7"/>
      <c r="G108" s="7"/>
      <c r="H108" s="7"/>
      <c r="I108" s="33"/>
      <c r="J108" s="33"/>
      <c r="K108" s="33"/>
      <c r="L108" s="33"/>
      <c r="M108" s="7"/>
      <c r="N108" s="7"/>
      <c r="O108" s="7"/>
      <c r="P108" s="33"/>
      <c r="Q108" s="15"/>
      <c r="R108" s="15"/>
      <c r="S108" s="150"/>
      <c r="T108" s="7"/>
    </row>
    <row r="109" ht="15.75" customHeight="1">
      <c r="A109" s="7"/>
      <c r="B109" s="7"/>
      <c r="C109" s="7"/>
      <c r="D109" s="7"/>
      <c r="E109" s="7"/>
      <c r="F109" s="7"/>
      <c r="G109" s="7"/>
      <c r="H109" s="7"/>
      <c r="I109" s="33"/>
      <c r="J109" s="33"/>
      <c r="K109" s="33"/>
      <c r="L109" s="33"/>
      <c r="M109" s="7"/>
      <c r="N109" s="7"/>
      <c r="O109" s="7"/>
      <c r="P109" s="33"/>
      <c r="Q109" s="15"/>
      <c r="R109" s="15"/>
      <c r="S109" s="150"/>
      <c r="T109" s="7"/>
    </row>
    <row r="110" ht="15.75" customHeight="1">
      <c r="A110" s="7"/>
      <c r="B110" s="7"/>
      <c r="C110" s="7"/>
      <c r="D110" s="7"/>
      <c r="E110" s="7"/>
      <c r="F110" s="7"/>
      <c r="G110" s="7"/>
      <c r="H110" s="7"/>
      <c r="I110" s="33"/>
      <c r="J110" s="33"/>
      <c r="K110" s="33"/>
      <c r="L110" s="33"/>
      <c r="M110" s="7"/>
      <c r="N110" s="7"/>
      <c r="O110" s="7"/>
      <c r="P110" s="33"/>
      <c r="Q110" s="15"/>
      <c r="R110" s="15"/>
      <c r="S110" s="150"/>
      <c r="T110" s="7"/>
    </row>
    <row r="111" ht="15.75" customHeight="1">
      <c r="A111" s="7"/>
      <c r="B111" s="7"/>
      <c r="C111" s="7"/>
      <c r="D111" s="7"/>
      <c r="E111" s="7"/>
      <c r="F111" s="7"/>
      <c r="G111" s="7"/>
      <c r="H111" s="7"/>
      <c r="I111" s="33"/>
      <c r="J111" s="33"/>
      <c r="K111" s="33"/>
      <c r="L111" s="33"/>
      <c r="M111" s="7"/>
      <c r="N111" s="7"/>
      <c r="O111" s="7"/>
      <c r="P111" s="33"/>
      <c r="Q111" s="15"/>
      <c r="R111" s="15"/>
      <c r="S111" s="150"/>
      <c r="T111" s="7"/>
    </row>
    <row r="112" ht="15.75" customHeight="1">
      <c r="A112" s="7"/>
      <c r="B112" s="7"/>
      <c r="C112" s="7"/>
      <c r="D112" s="7"/>
      <c r="E112" s="7"/>
      <c r="F112" s="7"/>
      <c r="G112" s="7"/>
      <c r="H112" s="7"/>
      <c r="I112" s="33"/>
      <c r="J112" s="33"/>
      <c r="K112" s="33"/>
      <c r="L112" s="33"/>
      <c r="M112" s="7"/>
      <c r="N112" s="7"/>
      <c r="O112" s="7"/>
      <c r="P112" s="33"/>
      <c r="Q112" s="15"/>
      <c r="R112" s="15"/>
      <c r="S112" s="150"/>
      <c r="T112" s="7"/>
    </row>
    <row r="113" ht="15.75" customHeight="1">
      <c r="A113" s="7"/>
      <c r="B113" s="7"/>
      <c r="C113" s="7"/>
      <c r="D113" s="7"/>
      <c r="E113" s="7"/>
      <c r="F113" s="7"/>
      <c r="G113" s="7"/>
      <c r="H113" s="7"/>
      <c r="I113" s="33"/>
      <c r="J113" s="33"/>
      <c r="K113" s="33"/>
      <c r="L113" s="33"/>
      <c r="M113" s="7"/>
      <c r="N113" s="7"/>
      <c r="O113" s="7"/>
      <c r="P113" s="33"/>
      <c r="Q113" s="15"/>
      <c r="R113" s="15"/>
      <c r="S113" s="150"/>
      <c r="T113" s="7"/>
    </row>
    <row r="114" ht="15.75" customHeight="1">
      <c r="A114" s="7"/>
      <c r="B114" s="7"/>
      <c r="C114" s="7"/>
      <c r="D114" s="7"/>
      <c r="E114" s="7"/>
      <c r="F114" s="7"/>
      <c r="G114" s="7"/>
      <c r="H114" s="7"/>
      <c r="I114" s="33"/>
      <c r="J114" s="33"/>
      <c r="K114" s="33"/>
      <c r="L114" s="33"/>
      <c r="M114" s="7"/>
      <c r="N114" s="7"/>
      <c r="O114" s="7"/>
      <c r="P114" s="33"/>
      <c r="Q114" s="15"/>
      <c r="R114" s="15"/>
      <c r="S114" s="150"/>
      <c r="T114" s="7"/>
    </row>
    <row r="115" ht="15.75" customHeight="1">
      <c r="A115" s="7"/>
      <c r="B115" s="7"/>
      <c r="C115" s="7"/>
      <c r="D115" s="7"/>
      <c r="E115" s="7"/>
      <c r="F115" s="7"/>
      <c r="G115" s="7"/>
      <c r="H115" s="7"/>
      <c r="I115" s="33"/>
      <c r="J115" s="33"/>
      <c r="K115" s="33"/>
      <c r="L115" s="33"/>
      <c r="M115" s="7"/>
      <c r="N115" s="7"/>
      <c r="O115" s="7"/>
      <c r="P115" s="33"/>
      <c r="Q115" s="15"/>
      <c r="R115" s="15"/>
      <c r="S115" s="150"/>
      <c r="T115" s="7"/>
    </row>
    <row r="116" ht="15.75" customHeight="1">
      <c r="A116" s="7"/>
      <c r="B116" s="7"/>
      <c r="C116" s="7"/>
      <c r="D116" s="7"/>
      <c r="E116" s="7"/>
      <c r="F116" s="7"/>
      <c r="G116" s="7"/>
      <c r="H116" s="7"/>
      <c r="I116" s="33"/>
      <c r="J116" s="33"/>
      <c r="K116" s="33"/>
      <c r="L116" s="33"/>
      <c r="M116" s="7"/>
      <c r="N116" s="7"/>
      <c r="O116" s="7"/>
      <c r="P116" s="33"/>
      <c r="Q116" s="15"/>
      <c r="R116" s="15"/>
      <c r="S116" s="150"/>
      <c r="T116" s="7"/>
    </row>
    <row r="117" ht="15.75" customHeight="1">
      <c r="A117" s="7"/>
      <c r="B117" s="7"/>
      <c r="C117" s="7"/>
      <c r="D117" s="7"/>
      <c r="E117" s="7"/>
      <c r="F117" s="7"/>
      <c r="G117" s="7"/>
      <c r="H117" s="7"/>
      <c r="I117" s="33"/>
      <c r="J117" s="33"/>
      <c r="K117" s="33"/>
      <c r="L117" s="33"/>
      <c r="M117" s="7"/>
      <c r="N117" s="7"/>
      <c r="O117" s="7"/>
      <c r="P117" s="33"/>
      <c r="Q117" s="15"/>
      <c r="R117" s="15"/>
      <c r="S117" s="150"/>
      <c r="T117" s="7"/>
    </row>
    <row r="118" ht="15.75" customHeight="1">
      <c r="A118" s="7"/>
      <c r="B118" s="7"/>
      <c r="C118" s="7"/>
      <c r="D118" s="7"/>
      <c r="E118" s="7"/>
      <c r="F118" s="7"/>
      <c r="G118" s="7"/>
      <c r="H118" s="7"/>
      <c r="I118" s="33"/>
      <c r="J118" s="33"/>
      <c r="K118" s="33"/>
      <c r="L118" s="33"/>
      <c r="M118" s="7"/>
      <c r="N118" s="7"/>
      <c r="O118" s="7"/>
      <c r="P118" s="33"/>
      <c r="Q118" s="15"/>
      <c r="R118" s="15"/>
      <c r="S118" s="150"/>
      <c r="T118" s="7"/>
    </row>
    <row r="119" ht="15.75" customHeight="1">
      <c r="A119" s="7"/>
      <c r="B119" s="7"/>
      <c r="C119" s="7"/>
      <c r="D119" s="7"/>
      <c r="E119" s="7"/>
      <c r="F119" s="7"/>
      <c r="G119" s="7"/>
      <c r="H119" s="7"/>
      <c r="I119" s="33"/>
      <c r="J119" s="33"/>
      <c r="K119" s="33"/>
      <c r="L119" s="33"/>
      <c r="M119" s="7"/>
      <c r="N119" s="7"/>
      <c r="O119" s="7"/>
      <c r="P119" s="33"/>
      <c r="Q119" s="15"/>
      <c r="R119" s="15"/>
      <c r="S119" s="150"/>
      <c r="T119" s="7"/>
    </row>
    <row r="120" ht="15.75" customHeight="1">
      <c r="A120" s="7"/>
      <c r="B120" s="7"/>
      <c r="C120" s="7"/>
      <c r="D120" s="7"/>
      <c r="E120" s="7"/>
      <c r="F120" s="7"/>
      <c r="G120" s="7"/>
      <c r="H120" s="7"/>
      <c r="I120" s="33"/>
      <c r="J120" s="33"/>
      <c r="K120" s="33"/>
      <c r="L120" s="33"/>
      <c r="M120" s="7"/>
      <c r="N120" s="7"/>
      <c r="O120" s="7"/>
      <c r="P120" s="33"/>
      <c r="Q120" s="15"/>
      <c r="R120" s="15"/>
      <c r="S120" s="150"/>
      <c r="T120" s="7"/>
    </row>
    <row r="121" ht="15.75" customHeight="1">
      <c r="A121" s="7"/>
      <c r="B121" s="7"/>
      <c r="C121" s="7"/>
      <c r="D121" s="7"/>
      <c r="E121" s="7"/>
      <c r="F121" s="7"/>
      <c r="G121" s="7"/>
      <c r="H121" s="7"/>
      <c r="I121" s="33"/>
      <c r="J121" s="33"/>
      <c r="K121" s="33"/>
      <c r="L121" s="33"/>
      <c r="M121" s="7"/>
      <c r="N121" s="7"/>
      <c r="O121" s="7"/>
      <c r="P121" s="33"/>
      <c r="Q121" s="15"/>
      <c r="R121" s="15"/>
      <c r="S121" s="150"/>
      <c r="T121" s="7"/>
    </row>
    <row r="122" ht="15.75" customHeight="1">
      <c r="A122" s="7"/>
      <c r="B122" s="7"/>
      <c r="C122" s="7"/>
      <c r="D122" s="7"/>
      <c r="E122" s="7"/>
      <c r="F122" s="7"/>
      <c r="G122" s="7"/>
      <c r="H122" s="7"/>
      <c r="I122" s="33"/>
      <c r="J122" s="33"/>
      <c r="K122" s="33"/>
      <c r="L122" s="33"/>
      <c r="M122" s="7"/>
      <c r="N122" s="7"/>
      <c r="O122" s="7"/>
      <c r="P122" s="33"/>
      <c r="Q122" s="15"/>
      <c r="R122" s="15"/>
      <c r="S122" s="150"/>
      <c r="T122" s="7"/>
    </row>
    <row r="123" ht="15.75" customHeight="1">
      <c r="A123" s="7"/>
      <c r="B123" s="7"/>
      <c r="C123" s="7"/>
      <c r="D123" s="7"/>
      <c r="E123" s="7"/>
      <c r="F123" s="7"/>
      <c r="G123" s="7"/>
      <c r="H123" s="7"/>
      <c r="I123" s="33"/>
      <c r="J123" s="33"/>
      <c r="K123" s="33"/>
      <c r="L123" s="33"/>
      <c r="M123" s="7"/>
      <c r="N123" s="7"/>
      <c r="O123" s="7"/>
      <c r="P123" s="33"/>
      <c r="Q123" s="15"/>
      <c r="R123" s="15"/>
      <c r="S123" s="150"/>
      <c r="T123" s="7"/>
    </row>
    <row r="124" ht="15.75" customHeight="1">
      <c r="A124" s="7"/>
      <c r="B124" s="7"/>
      <c r="C124" s="7"/>
      <c r="D124" s="7"/>
      <c r="E124" s="7"/>
      <c r="F124" s="7"/>
      <c r="G124" s="7"/>
      <c r="H124" s="7"/>
      <c r="I124" s="33"/>
      <c r="J124" s="33"/>
      <c r="K124" s="33"/>
      <c r="L124" s="33"/>
      <c r="M124" s="7"/>
      <c r="N124" s="7"/>
      <c r="O124" s="7"/>
      <c r="P124" s="33"/>
      <c r="Q124" s="15"/>
      <c r="R124" s="15"/>
      <c r="S124" s="150"/>
      <c r="T124" s="7"/>
    </row>
    <row r="125" ht="15.75" customHeight="1">
      <c r="A125" s="7"/>
      <c r="B125" s="7"/>
      <c r="C125" s="7"/>
      <c r="D125" s="7"/>
      <c r="E125" s="7"/>
      <c r="F125" s="7"/>
      <c r="G125" s="7"/>
      <c r="H125" s="7"/>
      <c r="I125" s="33"/>
      <c r="J125" s="33"/>
      <c r="K125" s="33"/>
      <c r="L125" s="33"/>
      <c r="M125" s="7"/>
      <c r="N125" s="7"/>
      <c r="O125" s="7"/>
      <c r="P125" s="33"/>
      <c r="Q125" s="15"/>
      <c r="R125" s="15"/>
      <c r="S125" s="150"/>
      <c r="T125" s="7"/>
    </row>
    <row r="126" ht="15.75" customHeight="1">
      <c r="A126" s="7"/>
      <c r="B126" s="7"/>
      <c r="C126" s="7"/>
      <c r="D126" s="7"/>
      <c r="E126" s="7"/>
      <c r="F126" s="7"/>
      <c r="G126" s="7"/>
      <c r="H126" s="7"/>
      <c r="I126" s="33"/>
      <c r="J126" s="33"/>
      <c r="K126" s="33"/>
      <c r="L126" s="33"/>
      <c r="M126" s="7"/>
      <c r="N126" s="7"/>
      <c r="O126" s="7"/>
      <c r="P126" s="33"/>
      <c r="Q126" s="15"/>
      <c r="R126" s="15"/>
      <c r="S126" s="150"/>
      <c r="T126" s="7"/>
    </row>
    <row r="127" ht="15.75" customHeight="1">
      <c r="A127" s="7"/>
      <c r="B127" s="7"/>
      <c r="C127" s="7"/>
      <c r="D127" s="7"/>
      <c r="E127" s="7"/>
      <c r="F127" s="7"/>
      <c r="G127" s="7"/>
      <c r="H127" s="7"/>
      <c r="I127" s="33"/>
      <c r="J127" s="33"/>
      <c r="K127" s="33"/>
      <c r="L127" s="33"/>
      <c r="M127" s="7"/>
      <c r="N127" s="7"/>
      <c r="O127" s="7"/>
      <c r="P127" s="33"/>
      <c r="Q127" s="15"/>
      <c r="R127" s="15"/>
      <c r="S127" s="150"/>
      <c r="T127" s="7"/>
    </row>
    <row r="128" ht="15.75" customHeight="1">
      <c r="A128" s="7"/>
      <c r="B128" s="7"/>
      <c r="C128" s="7"/>
      <c r="D128" s="7"/>
      <c r="E128" s="7"/>
      <c r="F128" s="7"/>
      <c r="G128" s="7"/>
      <c r="H128" s="7"/>
      <c r="I128" s="33"/>
      <c r="J128" s="33"/>
      <c r="K128" s="33"/>
      <c r="L128" s="33"/>
      <c r="M128" s="7"/>
      <c r="N128" s="7"/>
      <c r="O128" s="7"/>
      <c r="P128" s="33"/>
      <c r="Q128" s="15"/>
      <c r="R128" s="15"/>
      <c r="S128" s="150"/>
      <c r="T128" s="7"/>
    </row>
    <row r="129" ht="15.75" customHeight="1">
      <c r="A129" s="7"/>
      <c r="B129" s="7"/>
      <c r="C129" s="7"/>
      <c r="D129" s="7"/>
      <c r="E129" s="7"/>
      <c r="F129" s="7"/>
      <c r="G129" s="7"/>
      <c r="H129" s="7"/>
      <c r="I129" s="33"/>
      <c r="J129" s="33"/>
      <c r="K129" s="33"/>
      <c r="L129" s="33"/>
      <c r="M129" s="7"/>
      <c r="N129" s="7"/>
      <c r="O129" s="7"/>
      <c r="P129" s="33"/>
      <c r="Q129" s="15"/>
      <c r="R129" s="15"/>
      <c r="S129" s="150"/>
      <c r="T129" s="7"/>
    </row>
    <row r="130" ht="15.75" customHeight="1">
      <c r="A130" s="7"/>
      <c r="B130" s="7"/>
      <c r="C130" s="7"/>
      <c r="D130" s="7"/>
      <c r="E130" s="7"/>
      <c r="F130" s="7"/>
      <c r="G130" s="7"/>
      <c r="H130" s="7"/>
      <c r="I130" s="33"/>
      <c r="J130" s="33"/>
      <c r="K130" s="33"/>
      <c r="L130" s="33"/>
      <c r="M130" s="7"/>
      <c r="N130" s="7"/>
      <c r="O130" s="7"/>
      <c r="P130" s="33"/>
      <c r="Q130" s="15"/>
      <c r="R130" s="15"/>
      <c r="S130" s="150"/>
      <c r="T130" s="7"/>
    </row>
    <row r="131" ht="15.75" customHeight="1">
      <c r="A131" s="7"/>
      <c r="B131" s="7"/>
      <c r="C131" s="7"/>
      <c r="D131" s="7"/>
      <c r="E131" s="7"/>
      <c r="F131" s="7"/>
      <c r="G131" s="7"/>
      <c r="H131" s="7"/>
      <c r="I131" s="33"/>
      <c r="J131" s="33"/>
      <c r="K131" s="33"/>
      <c r="L131" s="33"/>
      <c r="M131" s="7"/>
      <c r="N131" s="7"/>
      <c r="O131" s="7"/>
      <c r="P131" s="33"/>
      <c r="Q131" s="15"/>
      <c r="R131" s="15"/>
      <c r="S131" s="150"/>
      <c r="T131" s="7"/>
    </row>
    <row r="132" ht="15.75" customHeight="1">
      <c r="A132" s="7"/>
      <c r="B132" s="7"/>
      <c r="C132" s="7"/>
      <c r="D132" s="7"/>
      <c r="E132" s="7"/>
      <c r="F132" s="7"/>
      <c r="G132" s="7"/>
      <c r="H132" s="7"/>
      <c r="I132" s="33"/>
      <c r="J132" s="33"/>
      <c r="K132" s="33"/>
      <c r="L132" s="33"/>
      <c r="M132" s="7"/>
      <c r="N132" s="7"/>
      <c r="O132" s="7"/>
      <c r="P132" s="33"/>
      <c r="Q132" s="15"/>
      <c r="R132" s="15"/>
      <c r="S132" s="150"/>
      <c r="T132" s="7"/>
    </row>
    <row r="133" ht="15.75" customHeight="1">
      <c r="A133" s="7"/>
      <c r="B133" s="7"/>
      <c r="C133" s="7"/>
      <c r="D133" s="7"/>
      <c r="E133" s="7"/>
      <c r="F133" s="7"/>
      <c r="G133" s="7"/>
      <c r="H133" s="7"/>
      <c r="I133" s="33"/>
      <c r="J133" s="33"/>
      <c r="K133" s="33"/>
      <c r="L133" s="33"/>
      <c r="M133" s="7"/>
      <c r="N133" s="7"/>
      <c r="O133" s="7"/>
      <c r="P133" s="33"/>
      <c r="Q133" s="15"/>
      <c r="R133" s="15"/>
      <c r="S133" s="150"/>
      <c r="T133" s="7"/>
    </row>
    <row r="134" ht="15.75" customHeight="1">
      <c r="A134" s="7"/>
      <c r="B134" s="7"/>
      <c r="C134" s="7"/>
      <c r="D134" s="7"/>
      <c r="E134" s="7"/>
      <c r="F134" s="7"/>
      <c r="G134" s="7"/>
      <c r="H134" s="7"/>
      <c r="I134" s="33"/>
      <c r="J134" s="33"/>
      <c r="K134" s="33"/>
      <c r="L134" s="33"/>
      <c r="M134" s="7"/>
      <c r="N134" s="7"/>
      <c r="O134" s="7"/>
      <c r="P134" s="33"/>
      <c r="Q134" s="15"/>
      <c r="R134" s="15"/>
      <c r="S134" s="150"/>
      <c r="T134" s="7"/>
    </row>
    <row r="135" ht="15.75" customHeight="1">
      <c r="A135" s="2"/>
      <c r="B135" s="2"/>
      <c r="C135" s="2"/>
      <c r="D135" s="2"/>
      <c r="E135" s="2"/>
      <c r="F135" s="2"/>
      <c r="G135" s="2"/>
      <c r="H135" s="2"/>
      <c r="I135" s="74"/>
      <c r="J135" s="74"/>
      <c r="K135" s="74"/>
      <c r="L135" s="74"/>
      <c r="M135" s="2"/>
      <c r="N135" s="2"/>
      <c r="O135" s="2"/>
      <c r="P135" s="74"/>
      <c r="Q135" s="2"/>
      <c r="R135" s="2"/>
      <c r="S135" s="76"/>
      <c r="T135" s="2"/>
    </row>
    <row r="136" ht="15.75" customHeight="1">
      <c r="A136" s="2"/>
      <c r="B136" s="2"/>
      <c r="C136" s="2"/>
      <c r="D136" s="2"/>
      <c r="E136" s="2"/>
      <c r="F136" s="2"/>
      <c r="G136" s="2"/>
      <c r="H136" s="2"/>
      <c r="I136" s="74"/>
      <c r="J136" s="74"/>
      <c r="K136" s="74"/>
      <c r="L136" s="74"/>
      <c r="M136" s="2"/>
      <c r="N136" s="2"/>
      <c r="O136" s="2"/>
      <c r="P136" s="74"/>
      <c r="Q136" s="2"/>
      <c r="R136" s="2"/>
      <c r="S136" s="76"/>
      <c r="T136" s="2"/>
    </row>
    <row r="137" ht="15.75" customHeight="1">
      <c r="A137" s="2"/>
      <c r="B137" s="2"/>
      <c r="C137" s="2"/>
      <c r="D137" s="2"/>
      <c r="E137" s="2"/>
      <c r="F137" s="2"/>
      <c r="G137" s="2"/>
      <c r="H137" s="2"/>
      <c r="I137" s="74"/>
      <c r="J137" s="74"/>
      <c r="K137" s="74"/>
      <c r="L137" s="74"/>
      <c r="M137" s="2"/>
      <c r="N137" s="2"/>
      <c r="O137" s="2"/>
      <c r="P137" s="74"/>
      <c r="Q137" s="2"/>
      <c r="R137" s="2"/>
      <c r="S137" s="76"/>
      <c r="T137" s="2"/>
    </row>
    <row r="138" ht="15.75" customHeight="1">
      <c r="A138" s="2"/>
      <c r="B138" s="2"/>
      <c r="C138" s="2"/>
      <c r="D138" s="2"/>
      <c r="E138" s="2"/>
      <c r="F138" s="2"/>
      <c r="G138" s="2"/>
      <c r="H138" s="2"/>
      <c r="I138" s="74"/>
      <c r="J138" s="74"/>
      <c r="K138" s="74"/>
      <c r="L138" s="74"/>
      <c r="M138" s="2"/>
      <c r="N138" s="2"/>
      <c r="O138" s="2"/>
      <c r="P138" s="74"/>
      <c r="Q138" s="2"/>
      <c r="R138" s="2"/>
      <c r="S138" s="76"/>
      <c r="T138" s="2"/>
    </row>
    <row r="139" ht="15.75" customHeight="1">
      <c r="A139" s="2"/>
      <c r="B139" s="2"/>
      <c r="C139" s="2"/>
      <c r="D139" s="2"/>
      <c r="E139" s="2"/>
      <c r="F139" s="2"/>
      <c r="G139" s="2"/>
      <c r="H139" s="2"/>
      <c r="I139" s="74"/>
      <c r="J139" s="74"/>
      <c r="K139" s="74"/>
      <c r="L139" s="74"/>
      <c r="M139" s="2"/>
      <c r="N139" s="2"/>
      <c r="O139" s="2"/>
      <c r="P139" s="74"/>
      <c r="Q139" s="2"/>
      <c r="R139" s="2"/>
      <c r="S139" s="76"/>
      <c r="T139" s="2"/>
    </row>
    <row r="140" ht="15.75" customHeight="1">
      <c r="A140" s="2"/>
      <c r="B140" s="2"/>
      <c r="C140" s="2"/>
      <c r="D140" s="2"/>
      <c r="E140" s="2"/>
      <c r="F140" s="2"/>
      <c r="G140" s="2"/>
      <c r="H140" s="2"/>
      <c r="I140" s="74"/>
      <c r="J140" s="74"/>
      <c r="K140" s="74"/>
      <c r="L140" s="74"/>
      <c r="M140" s="2"/>
      <c r="N140" s="2"/>
      <c r="O140" s="2"/>
      <c r="P140" s="74"/>
      <c r="Q140" s="2"/>
      <c r="R140" s="2"/>
      <c r="S140" s="76"/>
      <c r="T140" s="2"/>
    </row>
    <row r="141" ht="15.75" customHeight="1">
      <c r="A141" s="2"/>
      <c r="B141" s="2"/>
      <c r="C141" s="2"/>
      <c r="D141" s="2"/>
      <c r="E141" s="2"/>
      <c r="F141" s="2"/>
      <c r="G141" s="2"/>
      <c r="H141" s="2"/>
      <c r="I141" s="74"/>
      <c r="J141" s="74"/>
      <c r="K141" s="74"/>
      <c r="L141" s="74"/>
      <c r="M141" s="2"/>
      <c r="N141" s="2"/>
      <c r="O141" s="2"/>
      <c r="P141" s="74"/>
      <c r="Q141" s="2"/>
      <c r="R141" s="2"/>
      <c r="S141" s="76"/>
      <c r="T141" s="2"/>
    </row>
    <row r="142" ht="15.75" customHeight="1">
      <c r="A142" s="2"/>
      <c r="B142" s="2"/>
      <c r="C142" s="2"/>
      <c r="D142" s="2"/>
      <c r="E142" s="2"/>
      <c r="F142" s="2"/>
      <c r="G142" s="2"/>
      <c r="H142" s="2"/>
      <c r="I142" s="74"/>
      <c r="J142" s="74"/>
      <c r="K142" s="74"/>
      <c r="L142" s="74"/>
      <c r="M142" s="2"/>
      <c r="N142" s="2"/>
      <c r="O142" s="2"/>
      <c r="P142" s="74"/>
      <c r="Q142" s="2"/>
      <c r="R142" s="2"/>
      <c r="S142" s="76"/>
      <c r="T142" s="2"/>
    </row>
    <row r="143" ht="15.75" customHeight="1">
      <c r="A143" s="2"/>
      <c r="B143" s="2"/>
      <c r="C143" s="2"/>
      <c r="D143" s="2"/>
      <c r="E143" s="2"/>
      <c r="F143" s="2"/>
      <c r="G143" s="2"/>
      <c r="H143" s="2"/>
      <c r="I143" s="74"/>
      <c r="J143" s="74"/>
      <c r="K143" s="74"/>
      <c r="L143" s="74"/>
      <c r="M143" s="2"/>
      <c r="N143" s="2"/>
      <c r="O143" s="2"/>
      <c r="P143" s="74"/>
      <c r="Q143" s="2"/>
      <c r="R143" s="2"/>
      <c r="S143" s="76"/>
      <c r="T143" s="2"/>
    </row>
    <row r="144" ht="15.75" customHeight="1">
      <c r="A144" s="2"/>
      <c r="B144" s="2"/>
      <c r="C144" s="2"/>
      <c r="D144" s="2"/>
      <c r="E144" s="2"/>
      <c r="F144" s="2"/>
      <c r="G144" s="2"/>
      <c r="H144" s="2"/>
      <c r="I144" s="74"/>
      <c r="J144" s="74"/>
      <c r="K144" s="74"/>
      <c r="L144" s="74"/>
      <c r="M144" s="2"/>
      <c r="N144" s="2"/>
      <c r="O144" s="2"/>
      <c r="P144" s="74"/>
      <c r="Q144" s="2"/>
      <c r="R144" s="2"/>
      <c r="S144" s="76"/>
      <c r="T144" s="2"/>
    </row>
    <row r="145" ht="15.75" customHeight="1">
      <c r="A145" s="2"/>
      <c r="B145" s="2"/>
      <c r="C145" s="2"/>
      <c r="D145" s="2"/>
      <c r="E145" s="2"/>
      <c r="F145" s="2"/>
      <c r="G145" s="2"/>
      <c r="H145" s="2"/>
      <c r="I145" s="74"/>
      <c r="J145" s="74"/>
      <c r="K145" s="74"/>
      <c r="L145" s="74"/>
      <c r="M145" s="2"/>
      <c r="N145" s="2"/>
      <c r="O145" s="2"/>
      <c r="P145" s="74"/>
      <c r="Q145" s="2"/>
      <c r="R145" s="2"/>
      <c r="S145" s="76"/>
      <c r="T145" s="2"/>
    </row>
    <row r="146" ht="15.75" customHeight="1">
      <c r="A146" s="2"/>
      <c r="B146" s="2"/>
      <c r="C146" s="2"/>
      <c r="D146" s="2"/>
      <c r="E146" s="2"/>
      <c r="F146" s="2"/>
      <c r="G146" s="2"/>
      <c r="H146" s="2"/>
      <c r="I146" s="74"/>
      <c r="J146" s="74"/>
      <c r="K146" s="74"/>
      <c r="L146" s="74"/>
      <c r="M146" s="2"/>
      <c r="N146" s="2"/>
      <c r="O146" s="2"/>
      <c r="P146" s="74"/>
      <c r="Q146" s="2"/>
      <c r="R146" s="2"/>
      <c r="S146" s="76"/>
      <c r="T146" s="2"/>
    </row>
    <row r="147" ht="15.75" customHeight="1">
      <c r="A147" s="2"/>
      <c r="B147" s="2"/>
      <c r="C147" s="2"/>
      <c r="D147" s="2"/>
      <c r="E147" s="2"/>
      <c r="F147" s="2"/>
      <c r="G147" s="2"/>
      <c r="H147" s="2"/>
      <c r="I147" s="74"/>
      <c r="J147" s="74"/>
      <c r="K147" s="74"/>
      <c r="L147" s="74"/>
      <c r="M147" s="2"/>
      <c r="N147" s="2"/>
      <c r="O147" s="2"/>
      <c r="P147" s="74"/>
      <c r="Q147" s="2"/>
      <c r="R147" s="2"/>
      <c r="S147" s="76"/>
      <c r="T147" s="2"/>
    </row>
    <row r="148" ht="15.75" customHeight="1">
      <c r="A148" s="2"/>
      <c r="B148" s="2"/>
      <c r="C148" s="2"/>
      <c r="D148" s="2"/>
      <c r="E148" s="2"/>
      <c r="F148" s="2"/>
      <c r="G148" s="2"/>
      <c r="H148" s="2"/>
      <c r="I148" s="74"/>
      <c r="J148" s="74"/>
      <c r="K148" s="74"/>
      <c r="L148" s="74"/>
      <c r="M148" s="2"/>
      <c r="N148" s="2"/>
      <c r="O148" s="2"/>
      <c r="P148" s="74"/>
      <c r="Q148" s="2"/>
      <c r="R148" s="2"/>
      <c r="S148" s="76"/>
      <c r="T148" s="2"/>
    </row>
    <row r="149" ht="15.75" customHeight="1">
      <c r="A149" s="2"/>
      <c r="B149" s="2"/>
      <c r="C149" s="2"/>
      <c r="D149" s="2"/>
      <c r="E149" s="2"/>
      <c r="F149" s="2"/>
      <c r="G149" s="2"/>
      <c r="H149" s="2"/>
      <c r="I149" s="74"/>
      <c r="J149" s="74"/>
      <c r="K149" s="74"/>
      <c r="L149" s="74"/>
      <c r="M149" s="2"/>
      <c r="N149" s="2"/>
      <c r="O149" s="2"/>
      <c r="P149" s="74"/>
      <c r="Q149" s="2"/>
      <c r="R149" s="2"/>
      <c r="S149" s="76"/>
      <c r="T149" s="2"/>
    </row>
    <row r="150" ht="15.75" customHeight="1">
      <c r="A150" s="2"/>
      <c r="B150" s="2"/>
      <c r="C150" s="2"/>
      <c r="D150" s="2"/>
      <c r="E150" s="2"/>
      <c r="F150" s="2"/>
      <c r="G150" s="2"/>
      <c r="H150" s="2"/>
      <c r="I150" s="74"/>
      <c r="J150" s="74"/>
      <c r="K150" s="74"/>
      <c r="L150" s="74"/>
      <c r="M150" s="2"/>
      <c r="N150" s="2"/>
      <c r="O150" s="2"/>
      <c r="P150" s="74"/>
      <c r="Q150" s="2"/>
      <c r="R150" s="2"/>
      <c r="S150" s="76"/>
      <c r="T150" s="2"/>
    </row>
    <row r="151" ht="15.75" customHeight="1">
      <c r="A151" s="2"/>
      <c r="B151" s="2"/>
      <c r="C151" s="2"/>
      <c r="D151" s="2"/>
      <c r="E151" s="2"/>
      <c r="F151" s="2"/>
      <c r="G151" s="2"/>
      <c r="H151" s="2"/>
      <c r="I151" s="74"/>
      <c r="J151" s="74"/>
      <c r="K151" s="74"/>
      <c r="L151" s="74"/>
      <c r="M151" s="2"/>
      <c r="N151" s="2"/>
      <c r="O151" s="2"/>
      <c r="P151" s="74"/>
      <c r="Q151" s="2"/>
      <c r="R151" s="2"/>
      <c r="S151" s="76"/>
      <c r="T151" s="2"/>
    </row>
    <row r="152" ht="15.75" customHeight="1">
      <c r="A152" s="2"/>
      <c r="B152" s="2"/>
      <c r="C152" s="2"/>
      <c r="D152" s="2"/>
      <c r="E152" s="2"/>
      <c r="F152" s="2"/>
      <c r="G152" s="2"/>
      <c r="H152" s="2"/>
      <c r="I152" s="74"/>
      <c r="J152" s="74"/>
      <c r="K152" s="74"/>
      <c r="L152" s="74"/>
      <c r="M152" s="2"/>
      <c r="N152" s="2"/>
      <c r="O152" s="2"/>
      <c r="P152" s="74"/>
      <c r="Q152" s="2"/>
      <c r="R152" s="2"/>
      <c r="S152" s="76"/>
      <c r="T152" s="2"/>
    </row>
    <row r="153" ht="15.75" customHeight="1">
      <c r="A153" s="2"/>
      <c r="B153" s="2"/>
      <c r="C153" s="2"/>
      <c r="D153" s="2"/>
      <c r="E153" s="2"/>
      <c r="F153" s="2"/>
      <c r="G153" s="2"/>
      <c r="H153" s="2"/>
      <c r="I153" s="74"/>
      <c r="J153" s="74"/>
      <c r="K153" s="74"/>
      <c r="L153" s="74"/>
      <c r="M153" s="2"/>
      <c r="N153" s="2"/>
      <c r="O153" s="2"/>
      <c r="P153" s="74"/>
      <c r="Q153" s="2"/>
      <c r="R153" s="2"/>
      <c r="S153" s="76"/>
      <c r="T153" s="2"/>
    </row>
    <row r="154" ht="15.75" customHeight="1">
      <c r="A154" s="2"/>
      <c r="B154" s="2"/>
      <c r="C154" s="2"/>
      <c r="D154" s="2"/>
      <c r="E154" s="2"/>
      <c r="F154" s="2"/>
      <c r="G154" s="2"/>
      <c r="H154" s="2"/>
      <c r="I154" s="74"/>
      <c r="J154" s="74"/>
      <c r="K154" s="74"/>
      <c r="L154" s="74"/>
      <c r="M154" s="2"/>
      <c r="N154" s="2"/>
      <c r="O154" s="2"/>
      <c r="P154" s="74"/>
      <c r="Q154" s="2"/>
      <c r="R154" s="2"/>
      <c r="S154" s="76"/>
      <c r="T154" s="2"/>
    </row>
    <row r="155" ht="15.75" customHeight="1">
      <c r="A155" s="2"/>
      <c r="B155" s="2"/>
      <c r="C155" s="2"/>
      <c r="D155" s="2"/>
      <c r="E155" s="2"/>
      <c r="F155" s="2"/>
      <c r="G155" s="2"/>
      <c r="H155" s="2"/>
      <c r="I155" s="74"/>
      <c r="J155" s="74"/>
      <c r="K155" s="74"/>
      <c r="L155" s="74"/>
      <c r="M155" s="2"/>
      <c r="N155" s="2"/>
      <c r="O155" s="2"/>
      <c r="P155" s="74"/>
      <c r="Q155" s="2"/>
      <c r="R155" s="2"/>
      <c r="S155" s="76"/>
      <c r="T155" s="2"/>
    </row>
    <row r="156" ht="15.75" customHeight="1">
      <c r="A156" s="2"/>
      <c r="B156" s="2"/>
      <c r="C156" s="2"/>
      <c r="D156" s="2"/>
      <c r="E156" s="2"/>
      <c r="F156" s="2"/>
      <c r="G156" s="2"/>
      <c r="H156" s="2"/>
      <c r="I156" s="74"/>
      <c r="J156" s="74"/>
      <c r="K156" s="74"/>
      <c r="L156" s="74"/>
      <c r="M156" s="2"/>
      <c r="N156" s="2"/>
      <c r="O156" s="2"/>
      <c r="P156" s="74"/>
      <c r="Q156" s="2"/>
      <c r="R156" s="2"/>
      <c r="S156" s="76"/>
      <c r="T156" s="2"/>
    </row>
    <row r="157" ht="15.75" customHeight="1">
      <c r="A157" s="2"/>
      <c r="B157" s="2"/>
      <c r="C157" s="2"/>
      <c r="D157" s="2"/>
      <c r="E157" s="2"/>
      <c r="F157" s="2"/>
      <c r="G157" s="2"/>
      <c r="H157" s="2"/>
      <c r="I157" s="74"/>
      <c r="J157" s="74"/>
      <c r="K157" s="74"/>
      <c r="L157" s="74"/>
      <c r="M157" s="2"/>
      <c r="N157" s="2"/>
      <c r="O157" s="2"/>
      <c r="P157" s="74"/>
      <c r="Q157" s="2"/>
      <c r="R157" s="2"/>
      <c r="S157" s="76"/>
      <c r="T157" s="2"/>
    </row>
    <row r="158" ht="15.75" customHeight="1">
      <c r="A158" s="2"/>
      <c r="B158" s="2"/>
      <c r="C158" s="2"/>
      <c r="D158" s="2"/>
      <c r="E158" s="2"/>
      <c r="F158" s="2"/>
      <c r="G158" s="2"/>
      <c r="H158" s="2"/>
      <c r="I158" s="74"/>
      <c r="J158" s="74"/>
      <c r="K158" s="74"/>
      <c r="L158" s="74"/>
      <c r="M158" s="2"/>
      <c r="N158" s="2"/>
      <c r="O158" s="2"/>
      <c r="P158" s="74"/>
      <c r="Q158" s="2"/>
      <c r="R158" s="2"/>
      <c r="S158" s="76"/>
      <c r="T158" s="2"/>
    </row>
    <row r="159" ht="15.75" customHeight="1">
      <c r="A159" s="2"/>
      <c r="B159" s="2"/>
      <c r="C159" s="2"/>
      <c r="D159" s="2"/>
      <c r="E159" s="2"/>
      <c r="F159" s="2"/>
      <c r="G159" s="2"/>
      <c r="H159" s="2"/>
      <c r="I159" s="74"/>
      <c r="J159" s="74"/>
      <c r="K159" s="74"/>
      <c r="L159" s="74"/>
      <c r="M159" s="2"/>
      <c r="N159" s="2"/>
      <c r="O159" s="2"/>
      <c r="P159" s="74"/>
      <c r="Q159" s="2"/>
      <c r="R159" s="2"/>
      <c r="S159" s="76"/>
      <c r="T159" s="2"/>
    </row>
    <row r="160" ht="15.75" customHeight="1">
      <c r="A160" s="2"/>
      <c r="B160" s="2"/>
      <c r="C160" s="2"/>
      <c r="D160" s="2"/>
      <c r="E160" s="2"/>
      <c r="F160" s="2"/>
      <c r="G160" s="2"/>
      <c r="H160" s="2"/>
      <c r="I160" s="74"/>
      <c r="J160" s="74"/>
      <c r="K160" s="74"/>
      <c r="L160" s="74"/>
      <c r="M160" s="2"/>
      <c r="N160" s="2"/>
      <c r="O160" s="2"/>
      <c r="P160" s="74"/>
      <c r="Q160" s="2"/>
      <c r="R160" s="2"/>
      <c r="S160" s="76"/>
      <c r="T160" s="2"/>
    </row>
    <row r="161" ht="15.75" customHeight="1">
      <c r="A161" s="2"/>
      <c r="B161" s="2"/>
      <c r="C161" s="2"/>
      <c r="D161" s="2"/>
      <c r="E161" s="2"/>
      <c r="F161" s="2"/>
      <c r="G161" s="2"/>
      <c r="H161" s="2"/>
      <c r="I161" s="74"/>
      <c r="J161" s="74"/>
      <c r="K161" s="74"/>
      <c r="L161" s="74"/>
      <c r="M161" s="2"/>
      <c r="N161" s="2"/>
      <c r="O161" s="2"/>
      <c r="P161" s="74"/>
      <c r="Q161" s="2"/>
      <c r="R161" s="2"/>
      <c r="S161" s="76"/>
      <c r="T161" s="2"/>
    </row>
    <row r="162" ht="15.75" customHeight="1">
      <c r="A162" s="2"/>
      <c r="B162" s="2"/>
      <c r="C162" s="2"/>
      <c r="D162" s="2"/>
      <c r="E162" s="2"/>
      <c r="F162" s="2"/>
      <c r="G162" s="2"/>
      <c r="H162" s="2"/>
      <c r="I162" s="74"/>
      <c r="J162" s="74"/>
      <c r="K162" s="74"/>
      <c r="L162" s="74"/>
      <c r="M162" s="2"/>
      <c r="N162" s="2"/>
      <c r="O162" s="2"/>
      <c r="P162" s="74"/>
      <c r="Q162" s="2"/>
      <c r="R162" s="2"/>
      <c r="S162" s="76"/>
      <c r="T162" s="2"/>
    </row>
    <row r="163" ht="15.75" customHeight="1">
      <c r="A163" s="2"/>
      <c r="B163" s="2"/>
      <c r="C163" s="2"/>
      <c r="D163" s="2"/>
      <c r="E163" s="2"/>
      <c r="F163" s="2"/>
      <c r="G163" s="2"/>
      <c r="H163" s="2"/>
      <c r="I163" s="74"/>
      <c r="J163" s="74"/>
      <c r="K163" s="74"/>
      <c r="L163" s="74"/>
      <c r="M163" s="2"/>
      <c r="N163" s="2"/>
      <c r="O163" s="2"/>
      <c r="P163" s="74"/>
      <c r="Q163" s="2"/>
      <c r="R163" s="2"/>
      <c r="S163" s="76"/>
      <c r="T163" s="2"/>
    </row>
    <row r="164" ht="15.75" customHeight="1">
      <c r="A164" s="2"/>
      <c r="B164" s="2"/>
      <c r="C164" s="2"/>
      <c r="D164" s="2"/>
      <c r="E164" s="2"/>
      <c r="F164" s="2"/>
      <c r="G164" s="2"/>
      <c r="H164" s="2"/>
      <c r="I164" s="74"/>
      <c r="J164" s="74"/>
      <c r="K164" s="74"/>
      <c r="L164" s="74"/>
      <c r="M164" s="2"/>
      <c r="N164" s="2"/>
      <c r="O164" s="2"/>
      <c r="P164" s="74"/>
      <c r="Q164" s="2"/>
      <c r="R164" s="2"/>
      <c r="S164" s="76"/>
      <c r="T164" s="2"/>
    </row>
    <row r="165" ht="15.75" customHeight="1">
      <c r="A165" s="2"/>
      <c r="B165" s="2"/>
      <c r="C165" s="2"/>
      <c r="D165" s="2"/>
      <c r="E165" s="2"/>
      <c r="F165" s="2"/>
      <c r="G165" s="2"/>
      <c r="H165" s="2"/>
      <c r="I165" s="74"/>
      <c r="J165" s="74"/>
      <c r="K165" s="74"/>
      <c r="L165" s="74"/>
      <c r="M165" s="2"/>
      <c r="N165" s="2"/>
      <c r="O165" s="2"/>
      <c r="P165" s="74"/>
      <c r="Q165" s="2"/>
      <c r="R165" s="2"/>
      <c r="S165" s="76"/>
      <c r="T165" s="2"/>
    </row>
    <row r="166" ht="15.75" customHeight="1">
      <c r="A166" s="2"/>
      <c r="B166" s="2"/>
      <c r="C166" s="2"/>
      <c r="D166" s="2"/>
      <c r="E166" s="2"/>
      <c r="F166" s="2"/>
      <c r="G166" s="2"/>
      <c r="H166" s="2"/>
      <c r="I166" s="74"/>
      <c r="J166" s="74"/>
      <c r="K166" s="74"/>
      <c r="L166" s="74"/>
      <c r="M166" s="2"/>
      <c r="N166" s="2"/>
      <c r="O166" s="2"/>
      <c r="P166" s="74"/>
      <c r="Q166" s="2"/>
      <c r="R166" s="2"/>
      <c r="S166" s="76"/>
      <c r="T166" s="2"/>
    </row>
    <row r="167" ht="15.75" customHeight="1">
      <c r="A167" s="2"/>
      <c r="B167" s="2"/>
      <c r="C167" s="2"/>
      <c r="D167" s="2"/>
      <c r="E167" s="2"/>
      <c r="F167" s="2"/>
      <c r="G167" s="2"/>
      <c r="H167" s="2"/>
      <c r="I167" s="74"/>
      <c r="J167" s="74"/>
      <c r="K167" s="74"/>
      <c r="L167" s="74"/>
      <c r="M167" s="2"/>
      <c r="N167" s="2"/>
      <c r="O167" s="2"/>
      <c r="P167" s="74"/>
      <c r="Q167" s="2"/>
      <c r="R167" s="2"/>
      <c r="S167" s="76"/>
      <c r="T167" s="2"/>
    </row>
    <row r="168" ht="15.75" customHeight="1">
      <c r="A168" s="2"/>
      <c r="B168" s="2"/>
      <c r="C168" s="2"/>
      <c r="D168" s="2"/>
      <c r="E168" s="2"/>
      <c r="F168" s="2"/>
      <c r="G168" s="2"/>
      <c r="H168" s="2"/>
      <c r="I168" s="74"/>
      <c r="J168" s="74"/>
      <c r="K168" s="74"/>
      <c r="L168" s="74"/>
      <c r="M168" s="2"/>
      <c r="N168" s="2"/>
      <c r="O168" s="2"/>
      <c r="P168" s="74"/>
      <c r="Q168" s="2"/>
      <c r="R168" s="2"/>
      <c r="S168" s="76"/>
      <c r="T168" s="2"/>
    </row>
    <row r="169" ht="15.75" customHeight="1">
      <c r="A169" s="2"/>
      <c r="B169" s="2"/>
      <c r="C169" s="2"/>
      <c r="D169" s="2"/>
      <c r="E169" s="2"/>
      <c r="F169" s="2"/>
      <c r="G169" s="2"/>
      <c r="H169" s="2"/>
      <c r="I169" s="74"/>
      <c r="J169" s="74"/>
      <c r="K169" s="74"/>
      <c r="L169" s="74"/>
      <c r="M169" s="2"/>
      <c r="N169" s="2"/>
      <c r="O169" s="2"/>
      <c r="P169" s="74"/>
      <c r="Q169" s="2"/>
      <c r="R169" s="2"/>
      <c r="S169" s="76"/>
      <c r="T169" s="2"/>
    </row>
    <row r="170" ht="15.75" customHeight="1">
      <c r="A170" s="2"/>
      <c r="B170" s="2"/>
      <c r="C170" s="2"/>
      <c r="D170" s="2"/>
      <c r="E170" s="2"/>
      <c r="F170" s="2"/>
      <c r="G170" s="2"/>
      <c r="H170" s="2"/>
      <c r="I170" s="74"/>
      <c r="J170" s="74"/>
      <c r="K170" s="74"/>
      <c r="L170" s="74"/>
      <c r="M170" s="2"/>
      <c r="N170" s="2"/>
      <c r="O170" s="2"/>
      <c r="P170" s="74"/>
      <c r="Q170" s="2"/>
      <c r="R170" s="2"/>
      <c r="S170" s="76"/>
      <c r="T170" s="2"/>
    </row>
    <row r="171" ht="15.75" customHeight="1">
      <c r="A171" s="2"/>
      <c r="B171" s="2"/>
      <c r="C171" s="2"/>
      <c r="D171" s="2"/>
      <c r="E171" s="2"/>
      <c r="F171" s="2"/>
      <c r="G171" s="2"/>
      <c r="H171" s="2"/>
      <c r="I171" s="74"/>
      <c r="J171" s="74"/>
      <c r="K171" s="74"/>
      <c r="L171" s="74"/>
      <c r="M171" s="2"/>
      <c r="N171" s="2"/>
      <c r="O171" s="2"/>
      <c r="P171" s="74"/>
      <c r="Q171" s="2"/>
      <c r="R171" s="2"/>
      <c r="S171" s="76"/>
      <c r="T171" s="2"/>
    </row>
    <row r="172" ht="15.75" customHeight="1">
      <c r="A172" s="2"/>
      <c r="B172" s="2"/>
      <c r="C172" s="2"/>
      <c r="D172" s="2"/>
      <c r="E172" s="2"/>
      <c r="F172" s="2"/>
      <c r="G172" s="2"/>
      <c r="H172" s="2"/>
      <c r="I172" s="74"/>
      <c r="J172" s="74"/>
      <c r="K172" s="74"/>
      <c r="L172" s="74"/>
      <c r="M172" s="2"/>
      <c r="N172" s="2"/>
      <c r="O172" s="2"/>
      <c r="P172" s="74"/>
      <c r="Q172" s="2"/>
      <c r="R172" s="2"/>
      <c r="S172" s="76"/>
      <c r="T172" s="2"/>
    </row>
    <row r="173" ht="15.75" customHeight="1">
      <c r="A173" s="2"/>
      <c r="B173" s="2"/>
      <c r="C173" s="2"/>
      <c r="D173" s="2"/>
      <c r="E173" s="2"/>
      <c r="F173" s="2"/>
      <c r="G173" s="2"/>
      <c r="H173" s="2"/>
      <c r="I173" s="74"/>
      <c r="J173" s="74"/>
      <c r="K173" s="74"/>
      <c r="L173" s="74"/>
      <c r="M173" s="2"/>
      <c r="N173" s="2"/>
      <c r="O173" s="2"/>
      <c r="P173" s="74"/>
      <c r="Q173" s="2"/>
      <c r="R173" s="2"/>
      <c r="S173" s="76"/>
      <c r="T173" s="2"/>
    </row>
    <row r="174" ht="15.75" customHeight="1">
      <c r="A174" s="2"/>
      <c r="B174" s="2"/>
      <c r="C174" s="2"/>
      <c r="D174" s="2"/>
      <c r="E174" s="2"/>
      <c r="F174" s="2"/>
      <c r="G174" s="2"/>
      <c r="H174" s="2"/>
      <c r="I174" s="74"/>
      <c r="J174" s="74"/>
      <c r="K174" s="74"/>
      <c r="L174" s="74"/>
      <c r="M174" s="2"/>
      <c r="N174" s="2"/>
      <c r="O174" s="2"/>
      <c r="P174" s="74"/>
      <c r="Q174" s="2"/>
      <c r="R174" s="2"/>
      <c r="S174" s="76"/>
      <c r="T174" s="2"/>
    </row>
    <row r="175" ht="15.75" customHeight="1">
      <c r="A175" s="2"/>
      <c r="B175" s="2"/>
      <c r="C175" s="2"/>
      <c r="D175" s="2"/>
      <c r="E175" s="2"/>
      <c r="F175" s="2"/>
      <c r="G175" s="2"/>
      <c r="H175" s="2"/>
      <c r="I175" s="74"/>
      <c r="J175" s="74"/>
      <c r="K175" s="74"/>
      <c r="L175" s="74"/>
      <c r="M175" s="2"/>
      <c r="N175" s="2"/>
      <c r="O175" s="2"/>
      <c r="P175" s="74"/>
      <c r="Q175" s="2"/>
      <c r="R175" s="2"/>
      <c r="S175" s="76"/>
      <c r="T175" s="2"/>
    </row>
    <row r="176" ht="15.75" customHeight="1">
      <c r="A176" s="2"/>
      <c r="B176" s="2"/>
      <c r="C176" s="2"/>
      <c r="D176" s="2"/>
      <c r="E176" s="2"/>
      <c r="F176" s="2"/>
      <c r="G176" s="2"/>
      <c r="H176" s="2"/>
      <c r="I176" s="74"/>
      <c r="J176" s="74"/>
      <c r="K176" s="74"/>
      <c r="L176" s="74"/>
      <c r="M176" s="2"/>
      <c r="N176" s="2"/>
      <c r="O176" s="2"/>
      <c r="P176" s="74"/>
      <c r="Q176" s="2"/>
      <c r="R176" s="2"/>
      <c r="S176" s="76"/>
      <c r="T176" s="2"/>
    </row>
    <row r="177" ht="15.75" customHeight="1">
      <c r="A177" s="2"/>
      <c r="B177" s="2"/>
      <c r="C177" s="2"/>
      <c r="D177" s="2"/>
      <c r="E177" s="2"/>
      <c r="F177" s="2"/>
      <c r="G177" s="2"/>
      <c r="H177" s="2"/>
      <c r="I177" s="74"/>
      <c r="J177" s="74"/>
      <c r="K177" s="74"/>
      <c r="L177" s="74"/>
      <c r="M177" s="2"/>
      <c r="N177" s="2"/>
      <c r="O177" s="2"/>
      <c r="P177" s="74"/>
      <c r="Q177" s="2"/>
      <c r="R177" s="2"/>
      <c r="S177" s="76"/>
      <c r="T177" s="2"/>
    </row>
    <row r="178" ht="15.75" customHeight="1">
      <c r="A178" s="2"/>
      <c r="B178" s="2"/>
      <c r="C178" s="2"/>
      <c r="D178" s="2"/>
      <c r="E178" s="2"/>
      <c r="F178" s="2"/>
      <c r="G178" s="2"/>
      <c r="H178" s="2"/>
      <c r="I178" s="74"/>
      <c r="J178" s="74"/>
      <c r="K178" s="74"/>
      <c r="L178" s="74"/>
      <c r="M178" s="2"/>
      <c r="N178" s="2"/>
      <c r="O178" s="2"/>
      <c r="P178" s="74"/>
      <c r="Q178" s="2"/>
      <c r="R178" s="2"/>
      <c r="S178" s="76"/>
      <c r="T178" s="2"/>
    </row>
    <row r="179" ht="15.75" customHeight="1">
      <c r="A179" s="2"/>
      <c r="B179" s="2"/>
      <c r="C179" s="2"/>
      <c r="D179" s="2"/>
      <c r="E179" s="2"/>
      <c r="F179" s="2"/>
      <c r="G179" s="2"/>
      <c r="H179" s="2"/>
      <c r="I179" s="74"/>
      <c r="J179" s="74"/>
      <c r="K179" s="74"/>
      <c r="L179" s="74"/>
      <c r="M179" s="2"/>
      <c r="N179" s="2"/>
      <c r="O179" s="2"/>
      <c r="P179" s="74"/>
      <c r="Q179" s="2"/>
      <c r="R179" s="2"/>
      <c r="S179" s="76"/>
      <c r="T179" s="2"/>
    </row>
    <row r="180" ht="15.75" customHeight="1">
      <c r="A180" s="2"/>
      <c r="B180" s="2"/>
      <c r="C180" s="2"/>
      <c r="D180" s="2"/>
      <c r="E180" s="2"/>
      <c r="F180" s="2"/>
      <c r="G180" s="2"/>
      <c r="H180" s="2"/>
      <c r="I180" s="74"/>
      <c r="J180" s="74"/>
      <c r="K180" s="74"/>
      <c r="L180" s="74"/>
      <c r="M180" s="2"/>
      <c r="N180" s="2"/>
      <c r="O180" s="2"/>
      <c r="P180" s="74"/>
      <c r="Q180" s="2"/>
      <c r="R180" s="2"/>
      <c r="S180" s="76"/>
      <c r="T180" s="2"/>
    </row>
    <row r="181" ht="15.75" customHeight="1">
      <c r="A181" s="2"/>
      <c r="B181" s="2"/>
      <c r="C181" s="2"/>
      <c r="D181" s="2"/>
      <c r="E181" s="2"/>
      <c r="F181" s="2"/>
      <c r="G181" s="2"/>
      <c r="H181" s="2"/>
      <c r="I181" s="74"/>
      <c r="J181" s="74"/>
      <c r="K181" s="74"/>
      <c r="L181" s="74"/>
      <c r="M181" s="2"/>
      <c r="N181" s="2"/>
      <c r="O181" s="2"/>
      <c r="P181" s="74"/>
      <c r="Q181" s="2"/>
      <c r="R181" s="2"/>
      <c r="S181" s="76"/>
      <c r="T181" s="2"/>
    </row>
    <row r="182" ht="15.75" customHeight="1">
      <c r="A182" s="2"/>
      <c r="B182" s="2"/>
      <c r="C182" s="2"/>
      <c r="D182" s="2"/>
      <c r="E182" s="2"/>
      <c r="F182" s="2"/>
      <c r="G182" s="2"/>
      <c r="H182" s="2"/>
      <c r="I182" s="74"/>
      <c r="J182" s="74"/>
      <c r="K182" s="74"/>
      <c r="L182" s="74"/>
      <c r="M182" s="2"/>
      <c r="N182" s="2"/>
      <c r="O182" s="2"/>
      <c r="P182" s="74"/>
      <c r="Q182" s="2"/>
      <c r="R182" s="2"/>
      <c r="S182" s="76"/>
      <c r="T182" s="2"/>
    </row>
    <row r="183" ht="15.75" customHeight="1">
      <c r="A183" s="2"/>
      <c r="B183" s="2"/>
      <c r="C183" s="2"/>
      <c r="D183" s="2"/>
      <c r="E183" s="2"/>
      <c r="F183" s="2"/>
      <c r="G183" s="2"/>
      <c r="H183" s="2"/>
      <c r="I183" s="74"/>
      <c r="J183" s="74"/>
      <c r="K183" s="74"/>
      <c r="L183" s="74"/>
      <c r="M183" s="2"/>
      <c r="N183" s="2"/>
      <c r="O183" s="2"/>
      <c r="P183" s="74"/>
      <c r="Q183" s="2"/>
      <c r="R183" s="2"/>
      <c r="S183" s="76"/>
      <c r="T183" s="2"/>
    </row>
    <row r="184" ht="15.75" customHeight="1">
      <c r="A184" s="2"/>
      <c r="B184" s="2"/>
      <c r="C184" s="2"/>
      <c r="D184" s="2"/>
      <c r="E184" s="2"/>
      <c r="F184" s="2"/>
      <c r="G184" s="2"/>
      <c r="H184" s="2"/>
      <c r="I184" s="74"/>
      <c r="J184" s="74"/>
      <c r="K184" s="74"/>
      <c r="L184" s="74"/>
      <c r="M184" s="2"/>
      <c r="N184" s="2"/>
      <c r="O184" s="2"/>
      <c r="P184" s="74"/>
      <c r="Q184" s="2"/>
      <c r="R184" s="2"/>
      <c r="S184" s="76"/>
      <c r="T184" s="2"/>
    </row>
    <row r="185" ht="15.75" customHeight="1">
      <c r="A185" s="2"/>
      <c r="B185" s="2"/>
      <c r="C185" s="2"/>
      <c r="D185" s="2"/>
      <c r="E185" s="2"/>
      <c r="F185" s="2"/>
      <c r="G185" s="2"/>
      <c r="H185" s="2"/>
      <c r="I185" s="74"/>
      <c r="J185" s="74"/>
      <c r="K185" s="74"/>
      <c r="L185" s="74"/>
      <c r="M185" s="2"/>
      <c r="N185" s="2"/>
      <c r="O185" s="2"/>
      <c r="P185" s="74"/>
      <c r="Q185" s="2"/>
      <c r="R185" s="2"/>
      <c r="S185" s="76"/>
      <c r="T185" s="2"/>
    </row>
    <row r="186" ht="15.75" customHeight="1">
      <c r="A186" s="2"/>
      <c r="B186" s="2"/>
      <c r="C186" s="2"/>
      <c r="D186" s="2"/>
      <c r="E186" s="2"/>
      <c r="F186" s="2"/>
      <c r="G186" s="2"/>
      <c r="H186" s="2"/>
      <c r="I186" s="74"/>
      <c r="J186" s="74"/>
      <c r="K186" s="74"/>
      <c r="L186" s="74"/>
      <c r="M186" s="2"/>
      <c r="N186" s="2"/>
      <c r="O186" s="2"/>
      <c r="P186" s="74"/>
      <c r="Q186" s="2"/>
      <c r="R186" s="2"/>
      <c r="S186" s="76"/>
      <c r="T186" s="2"/>
    </row>
    <row r="187" ht="15.75" customHeight="1">
      <c r="A187" s="2"/>
      <c r="B187" s="2"/>
      <c r="C187" s="2"/>
      <c r="D187" s="2"/>
      <c r="E187" s="2"/>
      <c r="F187" s="2"/>
      <c r="G187" s="2"/>
      <c r="H187" s="2"/>
      <c r="I187" s="74"/>
      <c r="J187" s="74"/>
      <c r="K187" s="74"/>
      <c r="L187" s="74"/>
      <c r="M187" s="2"/>
      <c r="N187" s="2"/>
      <c r="O187" s="2"/>
      <c r="P187" s="74"/>
      <c r="Q187" s="2"/>
      <c r="R187" s="2"/>
      <c r="S187" s="76"/>
      <c r="T187" s="2"/>
    </row>
    <row r="188" ht="15.75" customHeight="1">
      <c r="A188" s="2"/>
      <c r="B188" s="2"/>
      <c r="C188" s="2"/>
      <c r="D188" s="2"/>
      <c r="E188" s="2"/>
      <c r="F188" s="2"/>
      <c r="G188" s="2"/>
      <c r="H188" s="2"/>
      <c r="I188" s="74"/>
      <c r="J188" s="74"/>
      <c r="K188" s="74"/>
      <c r="L188" s="74"/>
      <c r="M188" s="2"/>
      <c r="N188" s="2"/>
      <c r="O188" s="2"/>
      <c r="P188" s="74"/>
      <c r="Q188" s="2"/>
      <c r="R188" s="2"/>
      <c r="S188" s="76"/>
      <c r="T188" s="2"/>
    </row>
    <row r="189" ht="15.75" customHeight="1">
      <c r="A189" s="2"/>
      <c r="B189" s="2"/>
      <c r="C189" s="2"/>
      <c r="D189" s="2"/>
      <c r="E189" s="2"/>
      <c r="F189" s="2"/>
      <c r="G189" s="2"/>
      <c r="H189" s="2"/>
      <c r="I189" s="74"/>
      <c r="J189" s="74"/>
      <c r="K189" s="74"/>
      <c r="L189" s="74"/>
      <c r="M189" s="2"/>
      <c r="N189" s="2"/>
      <c r="O189" s="2"/>
      <c r="P189" s="74"/>
      <c r="Q189" s="2"/>
      <c r="R189" s="2"/>
      <c r="S189" s="76"/>
      <c r="T189" s="2"/>
    </row>
    <row r="190" ht="15.75" customHeight="1">
      <c r="A190" s="2"/>
      <c r="B190" s="2"/>
      <c r="C190" s="2"/>
      <c r="D190" s="2"/>
      <c r="E190" s="2"/>
      <c r="F190" s="2"/>
      <c r="G190" s="2"/>
      <c r="H190" s="2"/>
      <c r="I190" s="74"/>
      <c r="J190" s="74"/>
      <c r="K190" s="74"/>
      <c r="L190" s="74"/>
      <c r="M190" s="2"/>
      <c r="N190" s="2"/>
      <c r="O190" s="2"/>
      <c r="P190" s="74"/>
      <c r="Q190" s="2"/>
      <c r="R190" s="2"/>
      <c r="S190" s="76"/>
      <c r="T190" s="2"/>
    </row>
    <row r="191" ht="15.75" customHeight="1">
      <c r="A191" s="2"/>
      <c r="B191" s="2"/>
      <c r="C191" s="2"/>
      <c r="D191" s="2"/>
      <c r="E191" s="2"/>
      <c r="F191" s="2"/>
      <c r="G191" s="2"/>
      <c r="H191" s="2"/>
      <c r="I191" s="74"/>
      <c r="J191" s="74"/>
      <c r="K191" s="74"/>
      <c r="L191" s="74"/>
      <c r="M191" s="2"/>
      <c r="N191" s="2"/>
      <c r="O191" s="2"/>
      <c r="P191" s="74"/>
      <c r="Q191" s="2"/>
      <c r="R191" s="2"/>
      <c r="S191" s="76"/>
      <c r="T191" s="2"/>
    </row>
    <row r="192" ht="15.75" customHeight="1">
      <c r="A192" s="2"/>
      <c r="B192" s="2"/>
      <c r="C192" s="2"/>
      <c r="D192" s="2"/>
      <c r="E192" s="2"/>
      <c r="F192" s="2"/>
      <c r="G192" s="2"/>
      <c r="H192" s="2"/>
      <c r="I192" s="74"/>
      <c r="J192" s="74"/>
      <c r="K192" s="74"/>
      <c r="L192" s="74"/>
      <c r="M192" s="2"/>
      <c r="N192" s="2"/>
      <c r="O192" s="2"/>
      <c r="P192" s="74"/>
      <c r="Q192" s="2"/>
      <c r="R192" s="2"/>
      <c r="S192" s="76"/>
      <c r="T192" s="2"/>
    </row>
    <row r="193" ht="15.75" customHeight="1">
      <c r="A193" s="2"/>
      <c r="B193" s="2"/>
      <c r="C193" s="2"/>
      <c r="D193" s="2"/>
      <c r="E193" s="2"/>
      <c r="F193" s="2"/>
      <c r="G193" s="2"/>
      <c r="H193" s="2"/>
      <c r="I193" s="74"/>
      <c r="J193" s="74"/>
      <c r="K193" s="74"/>
      <c r="L193" s="74"/>
      <c r="M193" s="2"/>
      <c r="N193" s="2"/>
      <c r="O193" s="2"/>
      <c r="P193" s="74"/>
      <c r="Q193" s="2"/>
      <c r="R193" s="2"/>
      <c r="S193" s="76"/>
      <c r="T193" s="2"/>
    </row>
    <row r="194" ht="15.75" customHeight="1">
      <c r="A194" s="2"/>
      <c r="B194" s="2"/>
      <c r="C194" s="2"/>
      <c r="D194" s="2"/>
      <c r="E194" s="2"/>
      <c r="F194" s="2"/>
      <c r="G194" s="2"/>
      <c r="H194" s="2"/>
      <c r="I194" s="74"/>
      <c r="J194" s="74"/>
      <c r="K194" s="74"/>
      <c r="L194" s="74"/>
      <c r="M194" s="2"/>
      <c r="N194" s="2"/>
      <c r="O194" s="2"/>
      <c r="P194" s="74"/>
      <c r="Q194" s="2"/>
      <c r="R194" s="2"/>
      <c r="S194" s="76"/>
      <c r="T194" s="2"/>
    </row>
    <row r="195" ht="15.75" customHeight="1">
      <c r="A195" s="2"/>
      <c r="B195" s="2"/>
      <c r="C195" s="2"/>
      <c r="D195" s="2"/>
      <c r="E195" s="2"/>
      <c r="F195" s="2"/>
      <c r="G195" s="2"/>
      <c r="H195" s="2"/>
      <c r="I195" s="74"/>
      <c r="J195" s="74"/>
      <c r="K195" s="74"/>
      <c r="L195" s="74"/>
      <c r="M195" s="2"/>
      <c r="N195" s="2"/>
      <c r="O195" s="2"/>
      <c r="P195" s="74"/>
      <c r="Q195" s="2"/>
      <c r="R195" s="2"/>
      <c r="S195" s="76"/>
      <c r="T195" s="2"/>
    </row>
    <row r="196" ht="15.75" customHeight="1">
      <c r="A196" s="2"/>
      <c r="B196" s="2"/>
      <c r="C196" s="2"/>
      <c r="D196" s="2"/>
      <c r="E196" s="2"/>
      <c r="F196" s="2"/>
      <c r="G196" s="2"/>
      <c r="H196" s="2"/>
      <c r="I196" s="74"/>
      <c r="J196" s="74"/>
      <c r="K196" s="74"/>
      <c r="L196" s="74"/>
      <c r="M196" s="2"/>
      <c r="N196" s="2"/>
      <c r="O196" s="2"/>
      <c r="P196" s="74"/>
      <c r="Q196" s="2"/>
      <c r="R196" s="2"/>
      <c r="S196" s="76"/>
      <c r="T196" s="2"/>
    </row>
    <row r="197" ht="15.75" customHeight="1">
      <c r="A197" s="2"/>
      <c r="B197" s="2"/>
      <c r="C197" s="2"/>
      <c r="D197" s="2"/>
      <c r="E197" s="2"/>
      <c r="F197" s="2"/>
      <c r="G197" s="2"/>
      <c r="H197" s="2"/>
      <c r="I197" s="74"/>
      <c r="J197" s="74"/>
      <c r="K197" s="74"/>
      <c r="L197" s="74"/>
      <c r="M197" s="2"/>
      <c r="N197" s="2"/>
      <c r="O197" s="2"/>
      <c r="P197" s="74"/>
      <c r="Q197" s="2"/>
      <c r="R197" s="2"/>
      <c r="S197" s="76"/>
      <c r="T197" s="2"/>
    </row>
    <row r="198" ht="15.75" customHeight="1">
      <c r="A198" s="2"/>
      <c r="B198" s="2"/>
      <c r="C198" s="2"/>
      <c r="D198" s="2"/>
      <c r="E198" s="2"/>
      <c r="F198" s="2"/>
      <c r="G198" s="2"/>
      <c r="H198" s="2"/>
      <c r="I198" s="74"/>
      <c r="J198" s="74"/>
      <c r="K198" s="74"/>
      <c r="L198" s="74"/>
      <c r="M198" s="2"/>
      <c r="N198" s="2"/>
      <c r="O198" s="2"/>
      <c r="P198" s="74"/>
      <c r="Q198" s="2"/>
      <c r="R198" s="2"/>
      <c r="S198" s="76"/>
      <c r="T198" s="2"/>
    </row>
    <row r="199" ht="15.75" customHeight="1">
      <c r="A199" s="2"/>
      <c r="B199" s="2"/>
      <c r="C199" s="2"/>
      <c r="D199" s="2"/>
      <c r="E199" s="2"/>
      <c r="F199" s="2"/>
      <c r="G199" s="2"/>
      <c r="H199" s="2"/>
      <c r="I199" s="74"/>
      <c r="J199" s="74"/>
      <c r="K199" s="74"/>
      <c r="L199" s="74"/>
      <c r="M199" s="2"/>
      <c r="N199" s="2"/>
      <c r="O199" s="2"/>
      <c r="P199" s="74"/>
      <c r="Q199" s="2"/>
      <c r="R199" s="2"/>
      <c r="S199" s="76"/>
      <c r="T199" s="2"/>
    </row>
    <row r="200" ht="15.75" customHeight="1">
      <c r="A200" s="2"/>
      <c r="B200" s="2"/>
      <c r="C200" s="2"/>
      <c r="D200" s="2"/>
      <c r="E200" s="2"/>
      <c r="F200" s="2"/>
      <c r="G200" s="2"/>
      <c r="H200" s="2"/>
      <c r="I200" s="74"/>
      <c r="J200" s="74"/>
      <c r="K200" s="74"/>
      <c r="L200" s="74"/>
      <c r="M200" s="2"/>
      <c r="N200" s="2"/>
      <c r="O200" s="2"/>
      <c r="P200" s="74"/>
      <c r="Q200" s="2"/>
      <c r="R200" s="2"/>
      <c r="S200" s="76"/>
      <c r="T200" s="2"/>
    </row>
    <row r="201" ht="15.75" customHeight="1">
      <c r="A201" s="2"/>
      <c r="B201" s="2"/>
      <c r="C201" s="2"/>
      <c r="D201" s="2"/>
      <c r="E201" s="2"/>
      <c r="F201" s="2"/>
      <c r="G201" s="2"/>
      <c r="H201" s="2"/>
      <c r="I201" s="74"/>
      <c r="J201" s="74"/>
      <c r="K201" s="74"/>
      <c r="L201" s="74"/>
      <c r="M201" s="2"/>
      <c r="N201" s="2"/>
      <c r="O201" s="2"/>
      <c r="P201" s="74"/>
      <c r="Q201" s="2"/>
      <c r="R201" s="2"/>
      <c r="S201" s="76"/>
      <c r="T201" s="2"/>
    </row>
    <row r="202" ht="15.75" customHeight="1">
      <c r="A202" s="2"/>
      <c r="B202" s="2"/>
      <c r="C202" s="2"/>
      <c r="D202" s="2"/>
      <c r="E202" s="2"/>
      <c r="F202" s="2"/>
      <c r="G202" s="2"/>
      <c r="H202" s="2"/>
      <c r="I202" s="74"/>
      <c r="J202" s="74"/>
      <c r="K202" s="74"/>
      <c r="L202" s="74"/>
      <c r="M202" s="2"/>
      <c r="N202" s="2"/>
      <c r="O202" s="2"/>
      <c r="P202" s="74"/>
      <c r="Q202" s="2"/>
      <c r="R202" s="2"/>
      <c r="S202" s="76"/>
      <c r="T202" s="2"/>
    </row>
    <row r="203" ht="15.75" customHeight="1">
      <c r="A203" s="2"/>
      <c r="B203" s="2"/>
      <c r="C203" s="2"/>
      <c r="D203" s="2"/>
      <c r="E203" s="2"/>
      <c r="F203" s="2"/>
      <c r="G203" s="2"/>
      <c r="H203" s="2"/>
      <c r="I203" s="74"/>
      <c r="J203" s="74"/>
      <c r="K203" s="74"/>
      <c r="L203" s="74"/>
      <c r="M203" s="2"/>
      <c r="N203" s="2"/>
      <c r="O203" s="2"/>
      <c r="P203" s="74"/>
      <c r="Q203" s="2"/>
      <c r="R203" s="2"/>
      <c r="S203" s="76"/>
      <c r="T203" s="2"/>
    </row>
    <row r="204" ht="15.75" customHeight="1">
      <c r="A204" s="2"/>
      <c r="B204" s="2"/>
      <c r="C204" s="2"/>
      <c r="D204" s="2"/>
      <c r="E204" s="2"/>
      <c r="F204" s="2"/>
      <c r="G204" s="2"/>
      <c r="H204" s="2"/>
      <c r="I204" s="74"/>
      <c r="J204" s="74"/>
      <c r="K204" s="74"/>
      <c r="L204" s="74"/>
      <c r="M204" s="2"/>
      <c r="N204" s="2"/>
      <c r="O204" s="2"/>
      <c r="P204" s="74"/>
      <c r="Q204" s="2"/>
      <c r="R204" s="2"/>
      <c r="S204" s="76"/>
      <c r="T204" s="2"/>
    </row>
    <row r="205" ht="15.75" customHeight="1">
      <c r="A205" s="2"/>
      <c r="B205" s="2"/>
      <c r="C205" s="2"/>
      <c r="D205" s="2"/>
      <c r="E205" s="2"/>
      <c r="F205" s="2"/>
      <c r="G205" s="2"/>
      <c r="H205" s="2"/>
      <c r="I205" s="74"/>
      <c r="J205" s="74"/>
      <c r="K205" s="74"/>
      <c r="L205" s="74"/>
      <c r="M205" s="2"/>
      <c r="N205" s="2"/>
      <c r="O205" s="2"/>
      <c r="P205" s="74"/>
      <c r="Q205" s="2"/>
      <c r="R205" s="2"/>
      <c r="S205" s="76"/>
      <c r="T205" s="2"/>
    </row>
    <row r="206" ht="15.75" customHeight="1">
      <c r="A206" s="2"/>
      <c r="B206" s="2"/>
      <c r="C206" s="2"/>
      <c r="D206" s="2"/>
      <c r="E206" s="2"/>
      <c r="F206" s="2"/>
      <c r="G206" s="2"/>
      <c r="H206" s="2"/>
      <c r="I206" s="74"/>
      <c r="J206" s="74"/>
      <c r="K206" s="74"/>
      <c r="L206" s="74"/>
      <c r="M206" s="2"/>
      <c r="N206" s="2"/>
      <c r="O206" s="2"/>
      <c r="P206" s="74"/>
      <c r="Q206" s="2"/>
      <c r="R206" s="2"/>
      <c r="S206" s="76"/>
      <c r="T206" s="2"/>
    </row>
    <row r="207" ht="15.75" customHeight="1">
      <c r="A207" s="2"/>
      <c r="B207" s="2"/>
      <c r="C207" s="2"/>
      <c r="D207" s="2"/>
      <c r="E207" s="2"/>
      <c r="F207" s="2"/>
      <c r="G207" s="2"/>
      <c r="H207" s="2"/>
      <c r="I207" s="74"/>
      <c r="J207" s="74"/>
      <c r="K207" s="74"/>
      <c r="L207" s="74"/>
      <c r="M207" s="2"/>
      <c r="N207" s="2"/>
      <c r="O207" s="2"/>
      <c r="P207" s="74"/>
      <c r="Q207" s="2"/>
      <c r="R207" s="2"/>
      <c r="S207" s="76"/>
      <c r="T207" s="2"/>
    </row>
    <row r="208" ht="15.75" customHeight="1">
      <c r="A208" s="2"/>
      <c r="B208" s="2"/>
      <c r="C208" s="2"/>
      <c r="D208" s="2"/>
      <c r="E208" s="2"/>
      <c r="F208" s="2"/>
      <c r="G208" s="2"/>
      <c r="H208" s="2"/>
      <c r="I208" s="74"/>
      <c r="J208" s="74"/>
      <c r="K208" s="74"/>
      <c r="L208" s="74"/>
      <c r="M208" s="2"/>
      <c r="N208" s="2"/>
      <c r="O208" s="2"/>
      <c r="P208" s="74"/>
      <c r="Q208" s="2"/>
      <c r="R208" s="2"/>
      <c r="S208" s="76"/>
      <c r="T208" s="2"/>
    </row>
    <row r="209" ht="15.75" customHeight="1">
      <c r="A209" s="2"/>
      <c r="B209" s="2"/>
      <c r="C209" s="2"/>
      <c r="D209" s="2"/>
      <c r="E209" s="2"/>
      <c r="F209" s="2"/>
      <c r="G209" s="2"/>
      <c r="H209" s="2"/>
      <c r="I209" s="74"/>
      <c r="J209" s="74"/>
      <c r="K209" s="74"/>
      <c r="L209" s="74"/>
      <c r="M209" s="2"/>
      <c r="N209" s="2"/>
      <c r="O209" s="2"/>
      <c r="P209" s="74"/>
      <c r="Q209" s="2"/>
      <c r="R209" s="2"/>
      <c r="S209" s="76"/>
      <c r="T209" s="2"/>
    </row>
    <row r="210" ht="15.75" customHeight="1">
      <c r="A210" s="2"/>
      <c r="B210" s="2"/>
      <c r="C210" s="2"/>
      <c r="D210" s="2"/>
      <c r="E210" s="2"/>
      <c r="F210" s="2"/>
      <c r="G210" s="2"/>
      <c r="H210" s="2"/>
      <c r="I210" s="74"/>
      <c r="J210" s="74"/>
      <c r="K210" s="74"/>
      <c r="L210" s="74"/>
      <c r="M210" s="2"/>
      <c r="N210" s="2"/>
      <c r="O210" s="2"/>
      <c r="P210" s="74"/>
      <c r="Q210" s="2"/>
      <c r="R210" s="2"/>
      <c r="S210" s="76"/>
      <c r="T210" s="2"/>
    </row>
    <row r="211" ht="15.75" customHeight="1">
      <c r="A211" s="2"/>
      <c r="B211" s="2"/>
      <c r="C211" s="2"/>
      <c r="D211" s="2"/>
      <c r="E211" s="2"/>
      <c r="F211" s="2"/>
      <c r="G211" s="2"/>
      <c r="H211" s="2"/>
      <c r="I211" s="74"/>
      <c r="J211" s="74"/>
      <c r="K211" s="74"/>
      <c r="L211" s="74"/>
      <c r="M211" s="2"/>
      <c r="N211" s="2"/>
      <c r="O211" s="2"/>
      <c r="P211" s="74"/>
      <c r="Q211" s="2"/>
      <c r="R211" s="2"/>
      <c r="S211" s="76"/>
      <c r="T211" s="2"/>
    </row>
    <row r="212" ht="15.75" customHeight="1">
      <c r="A212" s="2"/>
      <c r="B212" s="2"/>
      <c r="C212" s="2"/>
      <c r="D212" s="2"/>
      <c r="E212" s="2"/>
      <c r="F212" s="2"/>
      <c r="G212" s="2"/>
      <c r="H212" s="2"/>
      <c r="I212" s="74"/>
      <c r="J212" s="74"/>
      <c r="K212" s="74"/>
      <c r="L212" s="74"/>
      <c r="M212" s="2"/>
      <c r="N212" s="2"/>
      <c r="O212" s="2"/>
      <c r="P212" s="74"/>
      <c r="Q212" s="2"/>
      <c r="R212" s="2"/>
      <c r="S212" s="76"/>
      <c r="T212" s="2"/>
    </row>
    <row r="213" ht="15.75" customHeight="1">
      <c r="A213" s="2"/>
      <c r="B213" s="2"/>
      <c r="C213" s="2"/>
      <c r="D213" s="2"/>
      <c r="E213" s="2"/>
      <c r="F213" s="2"/>
      <c r="G213" s="2"/>
      <c r="H213" s="2"/>
      <c r="I213" s="74"/>
      <c r="J213" s="74"/>
      <c r="K213" s="74"/>
      <c r="L213" s="74"/>
      <c r="M213" s="2"/>
      <c r="N213" s="2"/>
      <c r="O213" s="2"/>
      <c r="P213" s="74"/>
      <c r="Q213" s="2"/>
      <c r="R213" s="2"/>
      <c r="S213" s="76"/>
      <c r="T213" s="2"/>
    </row>
    <row r="214" ht="15.75" customHeight="1">
      <c r="A214" s="2"/>
      <c r="B214" s="2"/>
      <c r="C214" s="2"/>
      <c r="D214" s="2"/>
      <c r="E214" s="2"/>
      <c r="F214" s="2"/>
      <c r="G214" s="2"/>
      <c r="H214" s="2"/>
      <c r="I214" s="74"/>
      <c r="J214" s="74"/>
      <c r="K214" s="74"/>
      <c r="L214" s="74"/>
      <c r="M214" s="2"/>
      <c r="N214" s="2"/>
      <c r="O214" s="2"/>
      <c r="P214" s="74"/>
      <c r="Q214" s="2"/>
      <c r="R214" s="2"/>
      <c r="S214" s="76"/>
      <c r="T214" s="2"/>
    </row>
    <row r="215" ht="15.75" customHeight="1">
      <c r="A215" s="2"/>
      <c r="B215" s="2"/>
      <c r="C215" s="2"/>
      <c r="D215" s="2"/>
      <c r="E215" s="2"/>
      <c r="F215" s="2"/>
      <c r="G215" s="2"/>
      <c r="H215" s="2"/>
      <c r="I215" s="74"/>
      <c r="J215" s="74"/>
      <c r="K215" s="74"/>
      <c r="L215" s="74"/>
      <c r="M215" s="2"/>
      <c r="N215" s="2"/>
      <c r="O215" s="2"/>
      <c r="P215" s="74"/>
      <c r="Q215" s="2"/>
      <c r="R215" s="2"/>
      <c r="S215" s="76"/>
      <c r="T215" s="2"/>
    </row>
    <row r="216" ht="15.75" customHeight="1">
      <c r="A216" s="2"/>
      <c r="B216" s="2"/>
      <c r="C216" s="2"/>
      <c r="D216" s="2"/>
      <c r="E216" s="2"/>
      <c r="F216" s="2"/>
      <c r="G216" s="2"/>
      <c r="H216" s="2"/>
      <c r="I216" s="74"/>
      <c r="J216" s="74"/>
      <c r="K216" s="74"/>
      <c r="L216" s="74"/>
      <c r="M216" s="2"/>
      <c r="N216" s="2"/>
      <c r="O216" s="2"/>
      <c r="P216" s="74"/>
      <c r="Q216" s="2"/>
      <c r="R216" s="2"/>
      <c r="S216" s="76"/>
      <c r="T216" s="2"/>
    </row>
    <row r="217" ht="15.75" customHeight="1">
      <c r="A217" s="2"/>
      <c r="B217" s="2"/>
      <c r="C217" s="2"/>
      <c r="D217" s="2"/>
      <c r="E217" s="2"/>
      <c r="F217" s="2"/>
      <c r="G217" s="2"/>
      <c r="H217" s="2"/>
      <c r="I217" s="74"/>
      <c r="J217" s="74"/>
      <c r="K217" s="74"/>
      <c r="L217" s="74"/>
      <c r="M217" s="2"/>
      <c r="N217" s="2"/>
      <c r="O217" s="2"/>
      <c r="P217" s="74"/>
      <c r="Q217" s="2"/>
      <c r="R217" s="2"/>
      <c r="S217" s="76"/>
      <c r="T217" s="2"/>
    </row>
    <row r="218" ht="15.75" customHeight="1">
      <c r="A218" s="2"/>
      <c r="B218" s="2"/>
      <c r="C218" s="2"/>
      <c r="D218" s="2"/>
      <c r="E218" s="2"/>
      <c r="F218" s="2"/>
      <c r="G218" s="2"/>
      <c r="H218" s="2"/>
      <c r="I218" s="74"/>
      <c r="J218" s="74"/>
      <c r="K218" s="74"/>
      <c r="L218" s="74"/>
      <c r="M218" s="2"/>
      <c r="N218" s="2"/>
      <c r="O218" s="2"/>
      <c r="P218" s="74"/>
      <c r="Q218" s="2"/>
      <c r="R218" s="2"/>
      <c r="S218" s="76"/>
      <c r="T218" s="2"/>
    </row>
    <row r="219" ht="15.75" customHeight="1">
      <c r="A219" s="2"/>
      <c r="B219" s="2"/>
      <c r="C219" s="2"/>
      <c r="D219" s="2"/>
      <c r="E219" s="2"/>
      <c r="F219" s="2"/>
      <c r="G219" s="2"/>
      <c r="H219" s="2"/>
      <c r="I219" s="74"/>
      <c r="J219" s="74"/>
      <c r="K219" s="74"/>
      <c r="L219" s="74"/>
      <c r="M219" s="2"/>
      <c r="N219" s="2"/>
      <c r="O219" s="2"/>
      <c r="P219" s="74"/>
      <c r="Q219" s="2"/>
      <c r="R219" s="2"/>
      <c r="S219" s="76"/>
      <c r="T219" s="2"/>
    </row>
    <row r="220" ht="15.75" customHeight="1">
      <c r="A220" s="2"/>
      <c r="B220" s="2"/>
      <c r="C220" s="2"/>
      <c r="D220" s="2"/>
      <c r="E220" s="2"/>
      <c r="F220" s="2"/>
      <c r="G220" s="2"/>
      <c r="H220" s="2"/>
      <c r="I220" s="74"/>
      <c r="J220" s="74"/>
      <c r="K220" s="74"/>
      <c r="L220" s="74"/>
      <c r="M220" s="2"/>
      <c r="N220" s="2"/>
      <c r="O220" s="2"/>
      <c r="P220" s="74"/>
      <c r="Q220" s="2"/>
      <c r="R220" s="2"/>
      <c r="S220" s="76"/>
      <c r="T220" s="2"/>
    </row>
    <row r="221" ht="15.75" customHeight="1">
      <c r="A221" s="2"/>
      <c r="B221" s="2"/>
      <c r="C221" s="2"/>
      <c r="D221" s="2"/>
      <c r="E221" s="2"/>
      <c r="F221" s="2"/>
      <c r="G221" s="2"/>
      <c r="H221" s="2"/>
      <c r="I221" s="74"/>
      <c r="J221" s="74"/>
      <c r="K221" s="74"/>
      <c r="L221" s="74"/>
      <c r="M221" s="2"/>
      <c r="N221" s="2"/>
      <c r="O221" s="2"/>
      <c r="P221" s="74"/>
      <c r="Q221" s="2"/>
      <c r="R221" s="2"/>
      <c r="S221" s="76"/>
      <c r="T221" s="2"/>
    </row>
    <row r="222" ht="15.75" customHeight="1">
      <c r="A222" s="2"/>
      <c r="B222" s="2"/>
      <c r="C222" s="2"/>
      <c r="D222" s="2"/>
      <c r="E222" s="2"/>
      <c r="F222" s="2"/>
      <c r="G222" s="2"/>
      <c r="H222" s="2"/>
      <c r="I222" s="74"/>
      <c r="J222" s="74"/>
      <c r="K222" s="74"/>
      <c r="L222" s="74"/>
      <c r="M222" s="2"/>
      <c r="N222" s="2"/>
      <c r="O222" s="2"/>
      <c r="P222" s="74"/>
      <c r="Q222" s="2"/>
      <c r="R222" s="2"/>
      <c r="S222" s="76"/>
      <c r="T222" s="2"/>
    </row>
    <row r="223" ht="15.75" customHeight="1">
      <c r="A223" s="2"/>
      <c r="B223" s="2"/>
      <c r="C223" s="2"/>
      <c r="D223" s="2"/>
      <c r="E223" s="2"/>
      <c r="F223" s="2"/>
      <c r="G223" s="2"/>
      <c r="H223" s="2"/>
      <c r="I223" s="74"/>
      <c r="J223" s="74"/>
      <c r="K223" s="74"/>
      <c r="L223" s="74"/>
      <c r="M223" s="2"/>
      <c r="N223" s="2"/>
      <c r="O223" s="2"/>
      <c r="P223" s="74"/>
      <c r="Q223" s="2"/>
      <c r="R223" s="2"/>
      <c r="S223" s="76"/>
      <c r="T223" s="2"/>
    </row>
    <row r="224" ht="15.75" customHeight="1">
      <c r="A224" s="2"/>
      <c r="B224" s="2"/>
      <c r="C224" s="2"/>
      <c r="D224" s="2"/>
      <c r="E224" s="2"/>
      <c r="F224" s="2"/>
      <c r="G224" s="2"/>
      <c r="H224" s="2"/>
      <c r="I224" s="74"/>
      <c r="J224" s="74"/>
      <c r="K224" s="74"/>
      <c r="L224" s="74"/>
      <c r="M224" s="2"/>
      <c r="N224" s="2"/>
      <c r="O224" s="2"/>
      <c r="P224" s="74"/>
      <c r="Q224" s="2"/>
      <c r="R224" s="2"/>
      <c r="S224" s="76"/>
      <c r="T224" s="2"/>
    </row>
    <row r="225" ht="15.75" customHeight="1">
      <c r="A225" s="2"/>
      <c r="B225" s="2"/>
      <c r="C225" s="2"/>
      <c r="D225" s="2"/>
      <c r="E225" s="2"/>
      <c r="F225" s="2"/>
      <c r="G225" s="2"/>
      <c r="H225" s="2"/>
      <c r="I225" s="74"/>
      <c r="J225" s="74"/>
      <c r="K225" s="74"/>
      <c r="L225" s="74"/>
      <c r="M225" s="2"/>
      <c r="N225" s="2"/>
      <c r="O225" s="2"/>
      <c r="P225" s="74"/>
      <c r="Q225" s="2"/>
      <c r="R225" s="2"/>
      <c r="S225" s="76"/>
      <c r="T225" s="2"/>
    </row>
    <row r="226" ht="15.75" customHeight="1">
      <c r="A226" s="2"/>
      <c r="B226" s="2"/>
      <c r="C226" s="2"/>
      <c r="D226" s="2"/>
      <c r="E226" s="2"/>
      <c r="F226" s="2"/>
      <c r="G226" s="2"/>
      <c r="H226" s="2"/>
      <c r="I226" s="74"/>
      <c r="J226" s="74"/>
      <c r="K226" s="74"/>
      <c r="L226" s="74"/>
      <c r="M226" s="2"/>
      <c r="N226" s="2"/>
      <c r="O226" s="2"/>
      <c r="P226" s="74"/>
      <c r="Q226" s="2"/>
      <c r="R226" s="2"/>
      <c r="S226" s="76"/>
      <c r="T226" s="2"/>
    </row>
    <row r="227" ht="15.75" customHeight="1">
      <c r="A227" s="2"/>
      <c r="B227" s="2"/>
      <c r="C227" s="2"/>
      <c r="D227" s="2"/>
      <c r="E227" s="2"/>
      <c r="F227" s="2"/>
      <c r="G227" s="2"/>
      <c r="H227" s="2"/>
      <c r="I227" s="74"/>
      <c r="J227" s="74"/>
      <c r="K227" s="74"/>
      <c r="L227" s="74"/>
      <c r="M227" s="2"/>
      <c r="N227" s="2"/>
      <c r="O227" s="2"/>
      <c r="P227" s="74"/>
      <c r="Q227" s="2"/>
      <c r="R227" s="2"/>
      <c r="S227" s="76"/>
      <c r="T227" s="2"/>
    </row>
    <row r="228" ht="15.75" customHeight="1">
      <c r="A228" s="2"/>
      <c r="B228" s="2"/>
      <c r="C228" s="2"/>
      <c r="D228" s="2"/>
      <c r="E228" s="2"/>
      <c r="F228" s="2"/>
      <c r="G228" s="2"/>
      <c r="H228" s="2"/>
      <c r="I228" s="74"/>
      <c r="J228" s="74"/>
      <c r="K228" s="74"/>
      <c r="L228" s="74"/>
      <c r="M228" s="2"/>
      <c r="N228" s="2"/>
      <c r="O228" s="2"/>
      <c r="P228" s="74"/>
      <c r="Q228" s="2"/>
      <c r="R228" s="2"/>
      <c r="S228" s="76"/>
      <c r="T228" s="2"/>
    </row>
    <row r="229" ht="15.75" customHeight="1">
      <c r="A229" s="2"/>
      <c r="B229" s="2"/>
      <c r="C229" s="2"/>
      <c r="D229" s="2"/>
      <c r="E229" s="2"/>
      <c r="F229" s="2"/>
      <c r="G229" s="2"/>
      <c r="H229" s="2"/>
      <c r="I229" s="74"/>
      <c r="J229" s="74"/>
      <c r="K229" s="74"/>
      <c r="L229" s="74"/>
      <c r="M229" s="2"/>
      <c r="N229" s="2"/>
      <c r="O229" s="2"/>
      <c r="P229" s="74"/>
      <c r="Q229" s="2"/>
      <c r="R229" s="2"/>
      <c r="S229" s="76"/>
      <c r="T229" s="2"/>
    </row>
    <row r="230" ht="15.75" customHeight="1">
      <c r="A230" s="2"/>
      <c r="B230" s="2"/>
      <c r="C230" s="2"/>
      <c r="D230" s="2"/>
      <c r="E230" s="2"/>
      <c r="F230" s="2"/>
      <c r="G230" s="2"/>
      <c r="H230" s="2"/>
      <c r="I230" s="74"/>
      <c r="J230" s="74"/>
      <c r="K230" s="74"/>
      <c r="L230" s="74"/>
      <c r="M230" s="2"/>
      <c r="N230" s="2"/>
      <c r="O230" s="2"/>
      <c r="P230" s="74"/>
      <c r="Q230" s="2"/>
      <c r="R230" s="2"/>
      <c r="S230" s="76"/>
      <c r="T230" s="2"/>
    </row>
    <row r="231" ht="15.75" customHeight="1">
      <c r="A231" s="2"/>
      <c r="B231" s="2"/>
      <c r="C231" s="2"/>
      <c r="D231" s="2"/>
      <c r="E231" s="2"/>
      <c r="F231" s="2"/>
      <c r="G231" s="2"/>
      <c r="H231" s="2"/>
      <c r="I231" s="74"/>
      <c r="J231" s="74"/>
      <c r="K231" s="74"/>
      <c r="L231" s="74"/>
      <c r="M231" s="2"/>
      <c r="N231" s="2"/>
      <c r="O231" s="2"/>
      <c r="P231" s="74"/>
      <c r="Q231" s="2"/>
      <c r="R231" s="2"/>
      <c r="S231" s="76"/>
      <c r="T231" s="2"/>
    </row>
    <row r="232" ht="15.75" customHeight="1">
      <c r="A232" s="2"/>
      <c r="B232" s="2"/>
      <c r="C232" s="2"/>
      <c r="D232" s="2"/>
      <c r="E232" s="2"/>
      <c r="F232" s="2"/>
      <c r="G232" s="2"/>
      <c r="H232" s="2"/>
      <c r="I232" s="74"/>
      <c r="J232" s="74"/>
      <c r="K232" s="74"/>
      <c r="L232" s="74"/>
      <c r="M232" s="2"/>
      <c r="N232" s="2"/>
      <c r="O232" s="2"/>
      <c r="P232" s="74"/>
      <c r="Q232" s="2"/>
      <c r="R232" s="2"/>
      <c r="S232" s="76"/>
      <c r="T232" s="2"/>
    </row>
    <row r="233" ht="15.75" customHeight="1">
      <c r="A233" s="2"/>
      <c r="B233" s="2"/>
      <c r="C233" s="2"/>
      <c r="D233" s="2"/>
      <c r="E233" s="2"/>
      <c r="F233" s="2"/>
      <c r="G233" s="2"/>
      <c r="H233" s="2"/>
      <c r="I233" s="74"/>
      <c r="J233" s="74"/>
      <c r="K233" s="74"/>
      <c r="L233" s="74"/>
      <c r="M233" s="2"/>
      <c r="N233" s="2"/>
      <c r="O233" s="2"/>
      <c r="P233" s="74"/>
      <c r="Q233" s="2"/>
      <c r="R233" s="2"/>
      <c r="S233" s="76"/>
      <c r="T233" s="2"/>
    </row>
    <row r="234" ht="15.75" customHeight="1">
      <c r="A234" s="2"/>
      <c r="B234" s="2"/>
      <c r="C234" s="2"/>
      <c r="D234" s="2"/>
      <c r="E234" s="2"/>
      <c r="F234" s="2"/>
      <c r="G234" s="2"/>
      <c r="H234" s="2"/>
      <c r="I234" s="74"/>
      <c r="J234" s="74"/>
      <c r="K234" s="74"/>
      <c r="L234" s="74"/>
      <c r="M234" s="2"/>
      <c r="N234" s="2"/>
      <c r="O234" s="2"/>
      <c r="P234" s="74"/>
      <c r="Q234" s="2"/>
      <c r="R234" s="2"/>
      <c r="S234" s="76"/>
      <c r="T234" s="2"/>
    </row>
    <row r="235" ht="15.75" customHeight="1">
      <c r="A235" s="2"/>
      <c r="B235" s="2"/>
      <c r="C235" s="2"/>
      <c r="D235" s="2"/>
      <c r="E235" s="2"/>
      <c r="F235" s="2"/>
      <c r="G235" s="2"/>
      <c r="H235" s="2"/>
      <c r="I235" s="74"/>
      <c r="J235" s="74"/>
      <c r="K235" s="74"/>
      <c r="L235" s="74"/>
      <c r="M235" s="2"/>
      <c r="N235" s="2"/>
      <c r="O235" s="2"/>
      <c r="P235" s="74"/>
      <c r="Q235" s="2"/>
      <c r="R235" s="2"/>
      <c r="S235" s="76"/>
      <c r="T235" s="2"/>
    </row>
    <row r="236" ht="15.75" customHeight="1">
      <c r="A236" s="2"/>
      <c r="B236" s="2"/>
      <c r="C236" s="2"/>
      <c r="D236" s="2"/>
      <c r="E236" s="2"/>
      <c r="F236" s="2"/>
      <c r="G236" s="2"/>
      <c r="H236" s="2"/>
      <c r="I236" s="74"/>
      <c r="J236" s="74"/>
      <c r="K236" s="74"/>
      <c r="L236" s="74"/>
      <c r="M236" s="2"/>
      <c r="N236" s="2"/>
      <c r="O236" s="2"/>
      <c r="P236" s="74"/>
      <c r="Q236" s="2"/>
      <c r="R236" s="2"/>
      <c r="S236" s="76"/>
      <c r="T236" s="2"/>
    </row>
    <row r="237" ht="15.75" customHeight="1">
      <c r="A237" s="2"/>
      <c r="B237" s="2"/>
      <c r="C237" s="2"/>
      <c r="D237" s="2"/>
      <c r="E237" s="2"/>
      <c r="F237" s="2"/>
      <c r="G237" s="2"/>
      <c r="H237" s="2"/>
      <c r="I237" s="74"/>
      <c r="J237" s="74"/>
      <c r="K237" s="74"/>
      <c r="L237" s="74"/>
      <c r="M237" s="2"/>
      <c r="N237" s="2"/>
      <c r="O237" s="2"/>
      <c r="P237" s="74"/>
      <c r="Q237" s="2"/>
      <c r="R237" s="2"/>
      <c r="S237" s="76"/>
      <c r="T237" s="2"/>
    </row>
    <row r="238" ht="15.75" customHeight="1">
      <c r="A238" s="2"/>
      <c r="B238" s="2"/>
      <c r="C238" s="2"/>
      <c r="D238" s="2"/>
      <c r="E238" s="2"/>
      <c r="F238" s="2"/>
      <c r="G238" s="2"/>
      <c r="H238" s="2"/>
      <c r="I238" s="74"/>
      <c r="J238" s="74"/>
      <c r="K238" s="74"/>
      <c r="L238" s="74"/>
      <c r="M238" s="2"/>
      <c r="N238" s="2"/>
      <c r="O238" s="2"/>
      <c r="P238" s="74"/>
      <c r="Q238" s="2"/>
      <c r="R238" s="2"/>
      <c r="S238" s="76"/>
      <c r="T238" s="2"/>
    </row>
    <row r="239" ht="15.75" customHeight="1">
      <c r="A239" s="2"/>
      <c r="B239" s="2"/>
      <c r="C239" s="2"/>
      <c r="D239" s="2"/>
      <c r="E239" s="2"/>
      <c r="F239" s="2"/>
      <c r="G239" s="2"/>
      <c r="H239" s="2"/>
      <c r="I239" s="74"/>
      <c r="J239" s="74"/>
      <c r="K239" s="74"/>
      <c r="L239" s="74"/>
      <c r="M239" s="2"/>
      <c r="N239" s="2"/>
      <c r="O239" s="2"/>
      <c r="P239" s="74"/>
      <c r="Q239" s="2"/>
      <c r="R239" s="2"/>
      <c r="S239" s="76"/>
      <c r="T239" s="2"/>
    </row>
    <row r="240" ht="15.75" customHeight="1">
      <c r="A240" s="2"/>
      <c r="B240" s="2"/>
      <c r="C240" s="2"/>
      <c r="D240" s="2"/>
      <c r="E240" s="2"/>
      <c r="F240" s="2"/>
      <c r="G240" s="2"/>
      <c r="H240" s="2"/>
      <c r="I240" s="74"/>
      <c r="J240" s="74"/>
      <c r="K240" s="74"/>
      <c r="L240" s="74"/>
      <c r="M240" s="2"/>
      <c r="N240" s="2"/>
      <c r="O240" s="2"/>
      <c r="P240" s="74"/>
      <c r="Q240" s="2"/>
      <c r="R240" s="2"/>
      <c r="S240" s="76"/>
      <c r="T240" s="2"/>
    </row>
    <row r="241" ht="15.75" customHeight="1">
      <c r="A241" s="2"/>
      <c r="B241" s="2"/>
      <c r="C241" s="2"/>
      <c r="D241" s="2"/>
      <c r="E241" s="2"/>
      <c r="F241" s="2"/>
      <c r="G241" s="2"/>
      <c r="H241" s="2"/>
      <c r="I241" s="74"/>
      <c r="J241" s="74"/>
      <c r="K241" s="74"/>
      <c r="L241" s="74"/>
      <c r="M241" s="2"/>
      <c r="N241" s="2"/>
      <c r="O241" s="2"/>
      <c r="P241" s="74"/>
      <c r="Q241" s="2"/>
      <c r="R241" s="2"/>
      <c r="S241" s="76"/>
      <c r="T241" s="2"/>
    </row>
    <row r="242" ht="15.75" customHeight="1">
      <c r="A242" s="2"/>
      <c r="B242" s="2"/>
      <c r="C242" s="2"/>
      <c r="D242" s="2"/>
      <c r="E242" s="2"/>
      <c r="F242" s="2"/>
      <c r="G242" s="2"/>
      <c r="H242" s="2"/>
      <c r="I242" s="74"/>
      <c r="J242" s="74"/>
      <c r="K242" s="74"/>
      <c r="L242" s="74"/>
      <c r="M242" s="2"/>
      <c r="N242" s="2"/>
      <c r="O242" s="2"/>
      <c r="P242" s="74"/>
      <c r="Q242" s="2"/>
      <c r="R242" s="2"/>
      <c r="S242" s="76"/>
      <c r="T242" s="2"/>
    </row>
    <row r="243" ht="15.75" customHeight="1">
      <c r="A243" s="2"/>
      <c r="B243" s="2"/>
      <c r="C243" s="2"/>
      <c r="D243" s="2"/>
      <c r="E243" s="2"/>
      <c r="F243" s="2"/>
      <c r="G243" s="2"/>
      <c r="H243" s="2"/>
      <c r="I243" s="74"/>
      <c r="J243" s="74"/>
      <c r="K243" s="74"/>
      <c r="L243" s="74"/>
      <c r="M243" s="2"/>
      <c r="N243" s="2"/>
      <c r="O243" s="2"/>
      <c r="P243" s="74"/>
      <c r="Q243" s="2"/>
      <c r="R243" s="2"/>
      <c r="S243" s="76"/>
      <c r="T243" s="2"/>
    </row>
    <row r="244" ht="15.75" customHeight="1">
      <c r="A244" s="2"/>
      <c r="B244" s="2"/>
      <c r="C244" s="2"/>
      <c r="D244" s="2"/>
      <c r="E244" s="2"/>
      <c r="F244" s="2"/>
      <c r="G244" s="2"/>
      <c r="H244" s="2"/>
      <c r="I244" s="74"/>
      <c r="J244" s="74"/>
      <c r="K244" s="74"/>
      <c r="L244" s="74"/>
      <c r="M244" s="2"/>
      <c r="N244" s="2"/>
      <c r="O244" s="2"/>
      <c r="P244" s="74"/>
      <c r="Q244" s="2"/>
      <c r="R244" s="2"/>
      <c r="S244" s="76"/>
      <c r="T244" s="2"/>
    </row>
    <row r="245" ht="15.75" customHeight="1">
      <c r="A245" s="2"/>
      <c r="B245" s="2"/>
      <c r="C245" s="2"/>
      <c r="D245" s="2"/>
      <c r="E245" s="2"/>
      <c r="F245" s="2"/>
      <c r="G245" s="2"/>
      <c r="H245" s="2"/>
      <c r="I245" s="74"/>
      <c r="J245" s="74"/>
      <c r="K245" s="74"/>
      <c r="L245" s="74"/>
      <c r="M245" s="2"/>
      <c r="N245" s="2"/>
      <c r="O245" s="2"/>
      <c r="P245" s="74"/>
      <c r="Q245" s="2"/>
      <c r="R245" s="2"/>
      <c r="S245" s="76"/>
      <c r="T245" s="2"/>
    </row>
    <row r="246" ht="15.75" customHeight="1">
      <c r="A246" s="2"/>
      <c r="B246" s="2"/>
      <c r="C246" s="2"/>
      <c r="D246" s="2"/>
      <c r="E246" s="2"/>
      <c r="F246" s="2"/>
      <c r="G246" s="2"/>
      <c r="H246" s="2"/>
      <c r="I246" s="74"/>
      <c r="J246" s="74"/>
      <c r="K246" s="74"/>
      <c r="L246" s="74"/>
      <c r="M246" s="2"/>
      <c r="N246" s="2"/>
      <c r="O246" s="2"/>
      <c r="P246" s="74"/>
      <c r="Q246" s="2"/>
      <c r="R246" s="2"/>
      <c r="S246" s="76"/>
      <c r="T246" s="2"/>
    </row>
    <row r="247" ht="15.75" customHeight="1">
      <c r="A247" s="2"/>
      <c r="B247" s="2"/>
      <c r="C247" s="2"/>
      <c r="D247" s="2"/>
      <c r="E247" s="2"/>
      <c r="F247" s="2"/>
      <c r="G247" s="2"/>
      <c r="H247" s="2"/>
      <c r="I247" s="74"/>
      <c r="J247" s="74"/>
      <c r="K247" s="74"/>
      <c r="L247" s="74"/>
      <c r="M247" s="2"/>
      <c r="N247" s="2"/>
      <c r="O247" s="2"/>
      <c r="P247" s="74"/>
      <c r="Q247" s="2"/>
      <c r="R247" s="2"/>
      <c r="S247" s="76"/>
      <c r="T247" s="2"/>
    </row>
    <row r="248" ht="15.75" customHeight="1">
      <c r="A248" s="2"/>
      <c r="B248" s="2"/>
      <c r="C248" s="2"/>
      <c r="D248" s="2"/>
      <c r="E248" s="2"/>
      <c r="F248" s="2"/>
      <c r="G248" s="2"/>
      <c r="H248" s="2"/>
      <c r="I248" s="74"/>
      <c r="J248" s="74"/>
      <c r="K248" s="74"/>
      <c r="L248" s="74"/>
      <c r="M248" s="2"/>
      <c r="N248" s="2"/>
      <c r="O248" s="2"/>
      <c r="P248" s="74"/>
      <c r="Q248" s="2"/>
      <c r="R248" s="2"/>
      <c r="S248" s="76"/>
      <c r="T248" s="2"/>
    </row>
    <row r="249" ht="15.75" customHeight="1">
      <c r="A249" s="2"/>
      <c r="B249" s="2"/>
      <c r="C249" s="2"/>
      <c r="D249" s="2"/>
      <c r="E249" s="2"/>
      <c r="F249" s="2"/>
      <c r="G249" s="2"/>
      <c r="H249" s="2"/>
      <c r="I249" s="74"/>
      <c r="J249" s="74"/>
      <c r="K249" s="74"/>
      <c r="L249" s="74"/>
      <c r="M249" s="2"/>
      <c r="N249" s="2"/>
      <c r="O249" s="2"/>
      <c r="P249" s="74"/>
      <c r="Q249" s="2"/>
      <c r="R249" s="2"/>
      <c r="S249" s="76"/>
      <c r="T249" s="2"/>
    </row>
    <row r="250" ht="15.75" customHeight="1">
      <c r="A250" s="2"/>
      <c r="B250" s="2"/>
      <c r="C250" s="2"/>
      <c r="D250" s="2"/>
      <c r="E250" s="2"/>
      <c r="F250" s="2"/>
      <c r="G250" s="2"/>
      <c r="H250" s="2"/>
      <c r="I250" s="74"/>
      <c r="J250" s="74"/>
      <c r="K250" s="74"/>
      <c r="L250" s="74"/>
      <c r="M250" s="2"/>
      <c r="N250" s="2"/>
      <c r="O250" s="2"/>
      <c r="P250" s="74"/>
      <c r="Q250" s="2"/>
      <c r="R250" s="2"/>
      <c r="S250" s="76"/>
      <c r="T250" s="2"/>
    </row>
    <row r="251" ht="15.75" customHeight="1">
      <c r="A251" s="2"/>
      <c r="B251" s="2"/>
      <c r="C251" s="2"/>
      <c r="D251" s="2"/>
      <c r="E251" s="2"/>
      <c r="F251" s="2"/>
      <c r="G251" s="2"/>
      <c r="H251" s="2"/>
      <c r="I251" s="74"/>
      <c r="J251" s="74"/>
      <c r="K251" s="74"/>
      <c r="L251" s="74"/>
      <c r="M251" s="2"/>
      <c r="N251" s="2"/>
      <c r="O251" s="2"/>
      <c r="P251" s="74"/>
      <c r="Q251" s="2"/>
      <c r="R251" s="2"/>
      <c r="S251" s="76"/>
      <c r="T251" s="2"/>
    </row>
    <row r="252" ht="15.75" customHeight="1">
      <c r="A252" s="2"/>
      <c r="B252" s="2"/>
      <c r="C252" s="2"/>
      <c r="D252" s="2"/>
      <c r="E252" s="2"/>
      <c r="F252" s="2"/>
      <c r="G252" s="2"/>
      <c r="H252" s="2"/>
      <c r="I252" s="74"/>
      <c r="J252" s="74"/>
      <c r="K252" s="74"/>
      <c r="L252" s="74"/>
      <c r="M252" s="2"/>
      <c r="N252" s="2"/>
      <c r="O252" s="2"/>
      <c r="P252" s="74"/>
      <c r="Q252" s="2"/>
      <c r="R252" s="2"/>
      <c r="S252" s="76"/>
      <c r="T252" s="2"/>
    </row>
    <row r="253" ht="15.75" customHeight="1">
      <c r="A253" s="2"/>
      <c r="B253" s="2"/>
      <c r="C253" s="2"/>
      <c r="D253" s="2"/>
      <c r="E253" s="2"/>
      <c r="F253" s="2"/>
      <c r="G253" s="2"/>
      <c r="H253" s="2"/>
      <c r="I253" s="74"/>
      <c r="J253" s="74"/>
      <c r="K253" s="74"/>
      <c r="L253" s="74"/>
      <c r="M253" s="2"/>
      <c r="N253" s="2"/>
      <c r="O253" s="2"/>
      <c r="P253" s="74"/>
      <c r="Q253" s="2"/>
      <c r="R253" s="2"/>
      <c r="S253" s="76"/>
      <c r="T253" s="2"/>
    </row>
    <row r="254" ht="15.75" customHeight="1">
      <c r="A254" s="2"/>
      <c r="B254" s="2"/>
      <c r="C254" s="2"/>
      <c r="D254" s="2"/>
      <c r="E254" s="2"/>
      <c r="F254" s="2"/>
      <c r="G254" s="2"/>
      <c r="H254" s="2"/>
      <c r="I254" s="74"/>
      <c r="J254" s="74"/>
      <c r="K254" s="74"/>
      <c r="L254" s="74"/>
      <c r="M254" s="2"/>
      <c r="N254" s="2"/>
      <c r="O254" s="2"/>
      <c r="P254" s="74"/>
      <c r="Q254" s="2"/>
      <c r="R254" s="2"/>
      <c r="S254" s="76"/>
      <c r="T254" s="2"/>
    </row>
    <row r="255" ht="15.75" customHeight="1">
      <c r="A255" s="2"/>
      <c r="B255" s="2"/>
      <c r="C255" s="2"/>
      <c r="D255" s="2"/>
      <c r="E255" s="2"/>
      <c r="F255" s="2"/>
      <c r="G255" s="2"/>
      <c r="H255" s="2"/>
      <c r="I255" s="74"/>
      <c r="J255" s="74"/>
      <c r="K255" s="74"/>
      <c r="L255" s="74"/>
      <c r="M255" s="2"/>
      <c r="N255" s="2"/>
      <c r="O255" s="2"/>
      <c r="P255" s="74"/>
      <c r="Q255" s="2"/>
      <c r="R255" s="2"/>
      <c r="S255" s="76"/>
      <c r="T255" s="2"/>
    </row>
    <row r="256" ht="15.75" customHeight="1">
      <c r="A256" s="2"/>
      <c r="B256" s="2"/>
      <c r="C256" s="2"/>
      <c r="D256" s="2"/>
      <c r="E256" s="2"/>
      <c r="F256" s="2"/>
      <c r="G256" s="2"/>
      <c r="H256" s="2"/>
      <c r="I256" s="74"/>
      <c r="J256" s="74"/>
      <c r="K256" s="74"/>
      <c r="L256" s="74"/>
      <c r="M256" s="2"/>
      <c r="N256" s="2"/>
      <c r="O256" s="2"/>
      <c r="P256" s="74"/>
      <c r="Q256" s="2"/>
      <c r="R256" s="2"/>
      <c r="S256" s="76"/>
      <c r="T256" s="2"/>
    </row>
    <row r="257" ht="15.75" customHeight="1">
      <c r="A257" s="2"/>
      <c r="B257" s="2"/>
      <c r="C257" s="2"/>
      <c r="D257" s="2"/>
      <c r="E257" s="2"/>
      <c r="F257" s="2"/>
      <c r="G257" s="2"/>
      <c r="H257" s="2"/>
      <c r="I257" s="74"/>
      <c r="J257" s="74"/>
      <c r="K257" s="74"/>
      <c r="L257" s="74"/>
      <c r="M257" s="2"/>
      <c r="N257" s="2"/>
      <c r="O257" s="2"/>
      <c r="P257" s="74"/>
      <c r="Q257" s="2"/>
      <c r="R257" s="2"/>
      <c r="S257" s="76"/>
      <c r="T257" s="2"/>
    </row>
    <row r="258" ht="15.75" customHeight="1">
      <c r="A258" s="2"/>
      <c r="B258" s="2"/>
      <c r="C258" s="2"/>
      <c r="D258" s="2"/>
      <c r="E258" s="2"/>
      <c r="F258" s="2"/>
      <c r="G258" s="2"/>
      <c r="H258" s="2"/>
      <c r="I258" s="74"/>
      <c r="J258" s="74"/>
      <c r="K258" s="74"/>
      <c r="L258" s="74"/>
      <c r="M258" s="2"/>
      <c r="N258" s="2"/>
      <c r="O258" s="2"/>
      <c r="P258" s="74"/>
      <c r="Q258" s="2"/>
      <c r="R258" s="2"/>
      <c r="S258" s="76"/>
      <c r="T258" s="2"/>
    </row>
    <row r="259" ht="15.75" customHeight="1">
      <c r="A259" s="2"/>
      <c r="B259" s="2"/>
      <c r="C259" s="2"/>
      <c r="D259" s="2"/>
      <c r="E259" s="2"/>
      <c r="F259" s="2"/>
      <c r="G259" s="2"/>
      <c r="H259" s="2"/>
      <c r="I259" s="74"/>
      <c r="J259" s="74"/>
      <c r="K259" s="74"/>
      <c r="L259" s="74"/>
      <c r="M259" s="2"/>
      <c r="N259" s="2"/>
      <c r="O259" s="2"/>
      <c r="P259" s="74"/>
      <c r="Q259" s="2"/>
      <c r="R259" s="2"/>
      <c r="S259" s="76"/>
      <c r="T259" s="2"/>
    </row>
    <row r="260" ht="15.75" customHeight="1">
      <c r="A260" s="2"/>
      <c r="B260" s="2"/>
      <c r="C260" s="2"/>
      <c r="D260" s="2"/>
      <c r="E260" s="2"/>
      <c r="F260" s="2"/>
      <c r="G260" s="2"/>
      <c r="H260" s="2"/>
      <c r="I260" s="74"/>
      <c r="J260" s="74"/>
      <c r="K260" s="74"/>
      <c r="L260" s="74"/>
      <c r="M260" s="2"/>
      <c r="N260" s="2"/>
      <c r="O260" s="2"/>
      <c r="P260" s="74"/>
      <c r="Q260" s="2"/>
      <c r="R260" s="2"/>
      <c r="S260" s="76"/>
      <c r="T260" s="2"/>
    </row>
    <row r="261" ht="15.75" customHeight="1">
      <c r="A261" s="2"/>
      <c r="B261" s="2"/>
      <c r="C261" s="2"/>
      <c r="D261" s="2"/>
      <c r="E261" s="2"/>
      <c r="F261" s="2"/>
      <c r="G261" s="2"/>
      <c r="H261" s="2"/>
      <c r="I261" s="74"/>
      <c r="J261" s="74"/>
      <c r="K261" s="74"/>
      <c r="L261" s="74"/>
      <c r="M261" s="2"/>
      <c r="N261" s="2"/>
      <c r="O261" s="2"/>
      <c r="P261" s="74"/>
      <c r="Q261" s="2"/>
      <c r="R261" s="2"/>
      <c r="S261" s="76"/>
      <c r="T261" s="2"/>
    </row>
    <row r="262" ht="15.75" customHeight="1">
      <c r="A262" s="2"/>
      <c r="B262" s="2"/>
      <c r="C262" s="2"/>
      <c r="D262" s="2"/>
      <c r="E262" s="2"/>
      <c r="F262" s="2"/>
      <c r="G262" s="2"/>
      <c r="H262" s="2"/>
      <c r="I262" s="74"/>
      <c r="J262" s="74"/>
      <c r="K262" s="74"/>
      <c r="L262" s="74"/>
      <c r="M262" s="2"/>
      <c r="N262" s="2"/>
      <c r="O262" s="2"/>
      <c r="P262" s="74"/>
      <c r="Q262" s="2"/>
      <c r="R262" s="2"/>
      <c r="S262" s="76"/>
      <c r="T262" s="2"/>
    </row>
    <row r="263" ht="15.75" customHeight="1">
      <c r="A263" s="2"/>
      <c r="B263" s="2"/>
      <c r="C263" s="2"/>
      <c r="D263" s="2"/>
      <c r="E263" s="2"/>
      <c r="F263" s="2"/>
      <c r="G263" s="2"/>
      <c r="H263" s="2"/>
      <c r="I263" s="74"/>
      <c r="J263" s="74"/>
      <c r="K263" s="74"/>
      <c r="L263" s="74"/>
      <c r="M263" s="2"/>
      <c r="N263" s="2"/>
      <c r="O263" s="2"/>
      <c r="P263" s="74"/>
      <c r="Q263" s="2"/>
      <c r="R263" s="2"/>
      <c r="S263" s="76"/>
      <c r="T263" s="2"/>
    </row>
    <row r="264" ht="15.75" customHeight="1">
      <c r="A264" s="2"/>
      <c r="B264" s="2"/>
      <c r="C264" s="2"/>
      <c r="D264" s="2"/>
      <c r="E264" s="2"/>
      <c r="F264" s="2"/>
      <c r="G264" s="2"/>
      <c r="H264" s="2"/>
      <c r="I264" s="74"/>
      <c r="J264" s="74"/>
      <c r="K264" s="74"/>
      <c r="L264" s="74"/>
      <c r="M264" s="2"/>
      <c r="N264" s="2"/>
      <c r="O264" s="2"/>
      <c r="P264" s="74"/>
      <c r="Q264" s="2"/>
      <c r="R264" s="2"/>
      <c r="S264" s="76"/>
      <c r="T264" s="2"/>
    </row>
    <row r="265" ht="15.75" customHeight="1">
      <c r="A265" s="2"/>
      <c r="B265" s="2"/>
      <c r="C265" s="2"/>
      <c r="D265" s="2"/>
      <c r="E265" s="2"/>
      <c r="F265" s="2"/>
      <c r="G265" s="2"/>
      <c r="H265" s="2"/>
      <c r="I265" s="74"/>
      <c r="J265" s="74"/>
      <c r="K265" s="74"/>
      <c r="L265" s="74"/>
      <c r="M265" s="2"/>
      <c r="N265" s="2"/>
      <c r="O265" s="2"/>
      <c r="P265" s="74"/>
      <c r="Q265" s="2"/>
      <c r="R265" s="2"/>
      <c r="S265" s="76"/>
      <c r="T265" s="2"/>
    </row>
    <row r="266" ht="15.75" customHeight="1">
      <c r="A266" s="2"/>
      <c r="B266" s="2"/>
      <c r="C266" s="2"/>
      <c r="D266" s="2"/>
      <c r="E266" s="2"/>
      <c r="F266" s="2"/>
      <c r="G266" s="2"/>
      <c r="H266" s="2"/>
      <c r="I266" s="74"/>
      <c r="J266" s="74"/>
      <c r="K266" s="74"/>
      <c r="L266" s="74"/>
      <c r="M266" s="2"/>
      <c r="N266" s="2"/>
      <c r="O266" s="2"/>
      <c r="P266" s="74"/>
      <c r="Q266" s="2"/>
      <c r="R266" s="2"/>
      <c r="S266" s="76"/>
      <c r="T266" s="2"/>
    </row>
    <row r="267" ht="15.75" customHeight="1">
      <c r="A267" s="2"/>
      <c r="B267" s="2"/>
      <c r="C267" s="2"/>
      <c r="D267" s="2"/>
      <c r="E267" s="2"/>
      <c r="F267" s="2"/>
      <c r="G267" s="2"/>
      <c r="H267" s="2"/>
      <c r="I267" s="74"/>
      <c r="J267" s="74"/>
      <c r="K267" s="74"/>
      <c r="L267" s="74"/>
      <c r="M267" s="2"/>
      <c r="N267" s="2"/>
      <c r="O267" s="2"/>
      <c r="P267" s="74"/>
      <c r="Q267" s="2"/>
      <c r="R267" s="2"/>
      <c r="S267" s="76"/>
      <c r="T267" s="2"/>
    </row>
    <row r="268" ht="15.75" customHeight="1">
      <c r="A268" s="2"/>
      <c r="B268" s="2"/>
      <c r="C268" s="2"/>
      <c r="D268" s="2"/>
      <c r="E268" s="2"/>
      <c r="F268" s="2"/>
      <c r="G268" s="2"/>
      <c r="H268" s="2"/>
      <c r="I268" s="74"/>
      <c r="J268" s="74"/>
      <c r="K268" s="74"/>
      <c r="L268" s="74"/>
      <c r="M268" s="2"/>
      <c r="N268" s="2"/>
      <c r="O268" s="2"/>
      <c r="P268" s="74"/>
      <c r="Q268" s="2"/>
      <c r="R268" s="2"/>
      <c r="S268" s="76"/>
      <c r="T268" s="2"/>
    </row>
    <row r="269" ht="15.75" customHeight="1">
      <c r="A269" s="2"/>
      <c r="B269" s="2"/>
      <c r="C269" s="2"/>
      <c r="D269" s="2"/>
      <c r="E269" s="2"/>
      <c r="F269" s="2"/>
      <c r="G269" s="2"/>
      <c r="H269" s="2"/>
      <c r="I269" s="74"/>
      <c r="J269" s="74"/>
      <c r="K269" s="74"/>
      <c r="L269" s="74"/>
      <c r="M269" s="2"/>
      <c r="N269" s="2"/>
      <c r="O269" s="2"/>
      <c r="P269" s="74"/>
      <c r="Q269" s="2"/>
      <c r="R269" s="2"/>
      <c r="S269" s="76"/>
      <c r="T269" s="2"/>
    </row>
    <row r="270" ht="15.75" customHeight="1">
      <c r="A270" s="2"/>
      <c r="B270" s="2"/>
      <c r="C270" s="2"/>
      <c r="D270" s="2"/>
      <c r="E270" s="2"/>
      <c r="F270" s="2"/>
      <c r="G270" s="2"/>
      <c r="H270" s="2"/>
      <c r="I270" s="74"/>
      <c r="J270" s="74"/>
      <c r="K270" s="74"/>
      <c r="L270" s="74"/>
      <c r="M270" s="2"/>
      <c r="N270" s="2"/>
      <c r="O270" s="2"/>
      <c r="P270" s="74"/>
      <c r="Q270" s="2"/>
      <c r="R270" s="2"/>
      <c r="S270" s="76"/>
      <c r="T270" s="2"/>
    </row>
    <row r="271" ht="15.75" customHeight="1">
      <c r="A271" s="2"/>
      <c r="B271" s="2"/>
      <c r="C271" s="2"/>
      <c r="D271" s="2"/>
      <c r="E271" s="2"/>
      <c r="F271" s="2"/>
      <c r="G271" s="2"/>
      <c r="H271" s="2"/>
      <c r="I271" s="74"/>
      <c r="J271" s="74"/>
      <c r="K271" s="74"/>
      <c r="L271" s="74"/>
      <c r="M271" s="2"/>
      <c r="N271" s="2"/>
      <c r="O271" s="2"/>
      <c r="P271" s="74"/>
      <c r="Q271" s="2"/>
      <c r="R271" s="2"/>
      <c r="S271" s="76"/>
      <c r="T271" s="2"/>
    </row>
    <row r="272" ht="15.75" customHeight="1">
      <c r="A272" s="2"/>
      <c r="B272" s="2"/>
      <c r="C272" s="2"/>
      <c r="D272" s="2"/>
      <c r="E272" s="2"/>
      <c r="F272" s="2"/>
      <c r="G272" s="2"/>
      <c r="H272" s="2"/>
      <c r="I272" s="74"/>
      <c r="J272" s="74"/>
      <c r="K272" s="74"/>
      <c r="L272" s="74"/>
      <c r="M272" s="2"/>
      <c r="N272" s="2"/>
      <c r="O272" s="2"/>
      <c r="P272" s="74"/>
      <c r="Q272" s="2"/>
      <c r="R272" s="2"/>
      <c r="S272" s="76"/>
      <c r="T272" s="2"/>
    </row>
    <row r="273" ht="15.75" customHeight="1">
      <c r="A273" s="2"/>
      <c r="B273" s="2"/>
      <c r="C273" s="2"/>
      <c r="D273" s="2"/>
      <c r="E273" s="2"/>
      <c r="F273" s="2"/>
      <c r="G273" s="2"/>
      <c r="H273" s="2"/>
      <c r="I273" s="74"/>
      <c r="J273" s="74"/>
      <c r="K273" s="74"/>
      <c r="L273" s="74"/>
      <c r="M273" s="2"/>
      <c r="N273" s="2"/>
      <c r="O273" s="2"/>
      <c r="P273" s="74"/>
      <c r="Q273" s="2"/>
      <c r="R273" s="2"/>
      <c r="S273" s="76"/>
      <c r="T273" s="2"/>
    </row>
    <row r="274" ht="15.75" customHeight="1">
      <c r="A274" s="2"/>
      <c r="B274" s="2"/>
      <c r="C274" s="2"/>
      <c r="D274" s="2"/>
      <c r="E274" s="2"/>
      <c r="F274" s="2"/>
      <c r="G274" s="2"/>
      <c r="H274" s="2"/>
      <c r="I274" s="74"/>
      <c r="J274" s="74"/>
      <c r="K274" s="74"/>
      <c r="L274" s="74"/>
      <c r="M274" s="2"/>
      <c r="N274" s="2"/>
      <c r="O274" s="2"/>
      <c r="P274" s="74"/>
      <c r="Q274" s="2"/>
      <c r="R274" s="2"/>
      <c r="S274" s="76"/>
      <c r="T274" s="2"/>
    </row>
    <row r="275" ht="15.75" customHeight="1">
      <c r="A275" s="2"/>
      <c r="B275" s="2"/>
      <c r="C275" s="2"/>
      <c r="D275" s="2"/>
      <c r="E275" s="2"/>
      <c r="F275" s="2"/>
      <c r="G275" s="2"/>
      <c r="H275" s="2"/>
      <c r="I275" s="74"/>
      <c r="J275" s="74"/>
      <c r="K275" s="74"/>
      <c r="L275" s="74"/>
      <c r="M275" s="2"/>
      <c r="N275" s="2"/>
      <c r="O275" s="2"/>
      <c r="P275" s="74"/>
      <c r="Q275" s="2"/>
      <c r="R275" s="2"/>
      <c r="S275" s="76"/>
      <c r="T275" s="2"/>
    </row>
    <row r="276" ht="15.75" customHeight="1">
      <c r="A276" s="2"/>
      <c r="B276" s="2"/>
      <c r="C276" s="2"/>
      <c r="D276" s="2"/>
      <c r="E276" s="2"/>
      <c r="F276" s="2"/>
      <c r="G276" s="2"/>
      <c r="H276" s="2"/>
      <c r="I276" s="74"/>
      <c r="J276" s="74"/>
      <c r="K276" s="74"/>
      <c r="L276" s="74"/>
      <c r="M276" s="2"/>
      <c r="N276" s="2"/>
      <c r="O276" s="2"/>
      <c r="P276" s="74"/>
      <c r="Q276" s="2"/>
      <c r="R276" s="2"/>
      <c r="S276" s="76"/>
      <c r="T276" s="2"/>
    </row>
    <row r="277" ht="15.75" customHeight="1">
      <c r="A277" s="2"/>
      <c r="B277" s="2"/>
      <c r="C277" s="2"/>
      <c r="D277" s="2"/>
      <c r="E277" s="2"/>
      <c r="F277" s="2"/>
      <c r="G277" s="2"/>
      <c r="H277" s="2"/>
      <c r="I277" s="74"/>
      <c r="J277" s="74"/>
      <c r="K277" s="74"/>
      <c r="L277" s="74"/>
      <c r="M277" s="2"/>
      <c r="N277" s="2"/>
      <c r="O277" s="2"/>
      <c r="P277" s="74"/>
      <c r="Q277" s="2"/>
      <c r="R277" s="2"/>
      <c r="S277" s="76"/>
      <c r="T277" s="2"/>
    </row>
    <row r="278" ht="15.75" customHeight="1">
      <c r="A278" s="2"/>
      <c r="B278" s="2"/>
      <c r="C278" s="2"/>
      <c r="D278" s="2"/>
      <c r="E278" s="2"/>
      <c r="F278" s="2"/>
      <c r="G278" s="2"/>
      <c r="H278" s="2"/>
      <c r="I278" s="74"/>
      <c r="J278" s="74"/>
      <c r="K278" s="74"/>
      <c r="L278" s="74"/>
      <c r="M278" s="2"/>
      <c r="N278" s="2"/>
      <c r="O278" s="2"/>
      <c r="P278" s="74"/>
      <c r="Q278" s="2"/>
      <c r="R278" s="2"/>
      <c r="S278" s="76"/>
      <c r="T278" s="2"/>
    </row>
    <row r="279" ht="15.75" customHeight="1">
      <c r="A279" s="2"/>
      <c r="B279" s="2"/>
      <c r="C279" s="2"/>
      <c r="D279" s="2"/>
      <c r="E279" s="2"/>
      <c r="F279" s="2"/>
      <c r="G279" s="2"/>
      <c r="H279" s="2"/>
      <c r="I279" s="74"/>
      <c r="J279" s="74"/>
      <c r="K279" s="74"/>
      <c r="L279" s="74"/>
      <c r="M279" s="2"/>
      <c r="N279" s="2"/>
      <c r="O279" s="2"/>
      <c r="P279" s="74"/>
      <c r="Q279" s="2"/>
      <c r="R279" s="2"/>
      <c r="S279" s="76"/>
      <c r="T279" s="2"/>
    </row>
    <row r="280" ht="15.75" customHeight="1">
      <c r="A280" s="2"/>
      <c r="B280" s="2"/>
      <c r="C280" s="2"/>
      <c r="D280" s="2"/>
      <c r="E280" s="2"/>
      <c r="F280" s="2"/>
      <c r="G280" s="2"/>
      <c r="H280" s="2"/>
      <c r="I280" s="74"/>
      <c r="J280" s="74"/>
      <c r="K280" s="74"/>
      <c r="L280" s="74"/>
      <c r="M280" s="2"/>
      <c r="N280" s="2"/>
      <c r="O280" s="2"/>
      <c r="P280" s="74"/>
      <c r="Q280" s="2"/>
      <c r="R280" s="2"/>
      <c r="S280" s="76"/>
      <c r="T280" s="2"/>
    </row>
    <row r="281" ht="15.75" customHeight="1">
      <c r="A281" s="2"/>
      <c r="B281" s="2"/>
      <c r="C281" s="2"/>
      <c r="D281" s="2"/>
      <c r="E281" s="2"/>
      <c r="F281" s="2"/>
      <c r="G281" s="2"/>
      <c r="H281" s="2"/>
      <c r="I281" s="74"/>
      <c r="J281" s="74"/>
      <c r="K281" s="74"/>
      <c r="L281" s="74"/>
      <c r="M281" s="2"/>
      <c r="N281" s="2"/>
      <c r="O281" s="2"/>
      <c r="P281" s="74"/>
      <c r="Q281" s="2"/>
      <c r="R281" s="2"/>
      <c r="S281" s="76"/>
      <c r="T281" s="2"/>
    </row>
    <row r="282" ht="15.75" customHeight="1">
      <c r="A282" s="2"/>
      <c r="B282" s="2"/>
      <c r="C282" s="2"/>
      <c r="D282" s="2"/>
      <c r="E282" s="2"/>
      <c r="F282" s="2"/>
      <c r="G282" s="2"/>
      <c r="H282" s="2"/>
      <c r="I282" s="74"/>
      <c r="J282" s="74"/>
      <c r="K282" s="74"/>
      <c r="L282" s="74"/>
      <c r="M282" s="2"/>
      <c r="N282" s="2"/>
      <c r="O282" s="2"/>
      <c r="P282" s="74"/>
      <c r="Q282" s="2"/>
      <c r="R282" s="2"/>
      <c r="S282" s="76"/>
      <c r="T282" s="2"/>
    </row>
    <row r="283" ht="15.75" customHeight="1">
      <c r="A283" s="2"/>
      <c r="B283" s="2"/>
      <c r="C283" s="2"/>
      <c r="D283" s="2"/>
      <c r="E283" s="2"/>
      <c r="F283" s="2"/>
      <c r="G283" s="2"/>
      <c r="H283" s="2"/>
      <c r="I283" s="74"/>
      <c r="J283" s="74"/>
      <c r="K283" s="74"/>
      <c r="L283" s="74"/>
      <c r="M283" s="2"/>
      <c r="N283" s="2"/>
      <c r="O283" s="2"/>
      <c r="P283" s="74"/>
      <c r="Q283" s="2"/>
      <c r="R283" s="2"/>
      <c r="S283" s="76"/>
      <c r="T283" s="2"/>
    </row>
    <row r="284" ht="15.75" customHeight="1">
      <c r="A284" s="2"/>
      <c r="B284" s="2"/>
      <c r="C284" s="2"/>
      <c r="D284" s="2"/>
      <c r="E284" s="2"/>
      <c r="F284" s="2"/>
      <c r="G284" s="2"/>
      <c r="H284" s="2"/>
      <c r="I284" s="74"/>
      <c r="J284" s="74"/>
      <c r="K284" s="74"/>
      <c r="L284" s="74"/>
      <c r="M284" s="2"/>
      <c r="N284" s="2"/>
      <c r="O284" s="2"/>
      <c r="P284" s="74"/>
      <c r="Q284" s="2"/>
      <c r="R284" s="2"/>
      <c r="S284" s="76"/>
      <c r="T284" s="2"/>
    </row>
    <row r="285" ht="15.75" customHeight="1">
      <c r="A285" s="2"/>
      <c r="B285" s="2"/>
      <c r="C285" s="2"/>
      <c r="D285" s="2"/>
      <c r="E285" s="2"/>
      <c r="F285" s="2"/>
      <c r="G285" s="2"/>
      <c r="H285" s="2"/>
      <c r="I285" s="74"/>
      <c r="J285" s="74"/>
      <c r="K285" s="74"/>
      <c r="L285" s="74"/>
      <c r="M285" s="2"/>
      <c r="N285" s="2"/>
      <c r="O285" s="2"/>
      <c r="P285" s="74"/>
      <c r="Q285" s="2"/>
      <c r="R285" s="2"/>
      <c r="S285" s="76"/>
      <c r="T285" s="2"/>
    </row>
    <row r="286" ht="15.75" customHeight="1">
      <c r="A286" s="2"/>
      <c r="B286" s="2"/>
      <c r="C286" s="2"/>
      <c r="D286" s="2"/>
      <c r="E286" s="2"/>
      <c r="F286" s="2"/>
      <c r="G286" s="2"/>
      <c r="H286" s="2"/>
      <c r="I286" s="74"/>
      <c r="J286" s="74"/>
      <c r="K286" s="74"/>
      <c r="L286" s="74"/>
      <c r="M286" s="2"/>
      <c r="N286" s="2"/>
      <c r="O286" s="2"/>
      <c r="P286" s="74"/>
      <c r="Q286" s="2"/>
      <c r="R286" s="2"/>
      <c r="S286" s="76"/>
      <c r="T286" s="2"/>
    </row>
    <row r="287" ht="15.75" customHeight="1">
      <c r="A287" s="2"/>
      <c r="B287" s="2"/>
      <c r="C287" s="2"/>
      <c r="D287" s="2"/>
      <c r="E287" s="2"/>
      <c r="F287" s="2"/>
      <c r="G287" s="2"/>
      <c r="H287" s="2"/>
      <c r="I287" s="74"/>
      <c r="J287" s="74"/>
      <c r="K287" s="74"/>
      <c r="L287" s="74"/>
      <c r="M287" s="2"/>
      <c r="N287" s="2"/>
      <c r="O287" s="2"/>
      <c r="P287" s="74"/>
      <c r="Q287" s="2"/>
      <c r="R287" s="2"/>
      <c r="S287" s="76"/>
      <c r="T287" s="2"/>
    </row>
    <row r="288" ht="15.75" customHeight="1">
      <c r="A288" s="2"/>
      <c r="B288" s="2"/>
      <c r="C288" s="2"/>
      <c r="D288" s="2"/>
      <c r="E288" s="2"/>
      <c r="F288" s="2"/>
      <c r="G288" s="2"/>
      <c r="H288" s="2"/>
      <c r="I288" s="74"/>
      <c r="J288" s="74"/>
      <c r="K288" s="74"/>
      <c r="L288" s="74"/>
      <c r="M288" s="2"/>
      <c r="N288" s="2"/>
      <c r="O288" s="2"/>
      <c r="P288" s="74"/>
      <c r="Q288" s="2"/>
      <c r="R288" s="2"/>
      <c r="S288" s="76"/>
      <c r="T288" s="2"/>
    </row>
    <row r="289" ht="15.75" customHeight="1">
      <c r="A289" s="2"/>
      <c r="B289" s="2"/>
      <c r="C289" s="2"/>
      <c r="D289" s="2"/>
      <c r="E289" s="2"/>
      <c r="F289" s="2"/>
      <c r="G289" s="2"/>
      <c r="H289" s="2"/>
      <c r="I289" s="74"/>
      <c r="J289" s="74"/>
      <c r="K289" s="74"/>
      <c r="L289" s="74"/>
      <c r="M289" s="2"/>
      <c r="N289" s="2"/>
      <c r="O289" s="2"/>
      <c r="P289" s="74"/>
      <c r="Q289" s="2"/>
      <c r="R289" s="2"/>
      <c r="S289" s="76"/>
      <c r="T289" s="2"/>
    </row>
    <row r="290" ht="15.75" customHeight="1">
      <c r="A290" s="2"/>
      <c r="B290" s="2"/>
      <c r="C290" s="2"/>
      <c r="D290" s="2"/>
      <c r="E290" s="2"/>
      <c r="F290" s="2"/>
      <c r="G290" s="2"/>
      <c r="H290" s="2"/>
      <c r="I290" s="74"/>
      <c r="J290" s="74"/>
      <c r="K290" s="74"/>
      <c r="L290" s="74"/>
      <c r="M290" s="2"/>
      <c r="N290" s="2"/>
      <c r="O290" s="2"/>
      <c r="P290" s="74"/>
      <c r="Q290" s="2"/>
      <c r="R290" s="2"/>
      <c r="S290" s="76"/>
      <c r="T290" s="2"/>
    </row>
    <row r="291" ht="15.75" customHeight="1">
      <c r="A291" s="2"/>
      <c r="B291" s="2"/>
      <c r="C291" s="2"/>
      <c r="D291" s="2"/>
      <c r="E291" s="2"/>
      <c r="F291" s="2"/>
      <c r="G291" s="2"/>
      <c r="H291" s="2"/>
      <c r="I291" s="74"/>
      <c r="J291" s="74"/>
      <c r="K291" s="74"/>
      <c r="L291" s="74"/>
      <c r="M291" s="2"/>
      <c r="N291" s="2"/>
      <c r="O291" s="2"/>
      <c r="P291" s="74"/>
      <c r="Q291" s="2"/>
      <c r="R291" s="2"/>
      <c r="S291" s="76"/>
      <c r="T291" s="2"/>
    </row>
    <row r="292" ht="15.75" customHeight="1">
      <c r="A292" s="2"/>
      <c r="B292" s="2"/>
      <c r="C292" s="2"/>
      <c r="D292" s="2"/>
      <c r="E292" s="2"/>
      <c r="F292" s="2"/>
      <c r="G292" s="2"/>
      <c r="H292" s="2"/>
      <c r="I292" s="74"/>
      <c r="J292" s="74"/>
      <c r="K292" s="74"/>
      <c r="L292" s="74"/>
      <c r="M292" s="2"/>
      <c r="N292" s="2"/>
      <c r="O292" s="2"/>
      <c r="P292" s="74"/>
      <c r="Q292" s="2"/>
      <c r="R292" s="2"/>
      <c r="S292" s="76"/>
      <c r="T292" s="2"/>
    </row>
    <row r="293" ht="15.75" customHeight="1">
      <c r="A293" s="2"/>
      <c r="B293" s="2"/>
      <c r="C293" s="2"/>
      <c r="D293" s="2"/>
      <c r="E293" s="2"/>
      <c r="F293" s="2"/>
      <c r="G293" s="2"/>
      <c r="H293" s="2"/>
      <c r="I293" s="74"/>
      <c r="J293" s="74"/>
      <c r="K293" s="74"/>
      <c r="L293" s="74"/>
      <c r="M293" s="2"/>
      <c r="N293" s="2"/>
      <c r="O293" s="2"/>
      <c r="P293" s="74"/>
      <c r="Q293" s="2"/>
      <c r="R293" s="2"/>
      <c r="S293" s="76"/>
      <c r="T293" s="2"/>
    </row>
    <row r="294" ht="15.75" customHeight="1">
      <c r="A294" s="2"/>
      <c r="B294" s="2"/>
      <c r="C294" s="2"/>
      <c r="D294" s="2"/>
      <c r="E294" s="2"/>
      <c r="F294" s="2"/>
      <c r="G294" s="2"/>
      <c r="H294" s="2"/>
      <c r="I294" s="74"/>
      <c r="J294" s="74"/>
      <c r="K294" s="74"/>
      <c r="L294" s="74"/>
      <c r="M294" s="2"/>
      <c r="N294" s="2"/>
      <c r="O294" s="2"/>
      <c r="P294" s="74"/>
      <c r="Q294" s="2"/>
      <c r="R294" s="2"/>
      <c r="S294" s="76"/>
      <c r="T294" s="2"/>
    </row>
    <row r="295" ht="15.75" customHeight="1">
      <c r="A295" s="2"/>
      <c r="B295" s="2"/>
      <c r="C295" s="2"/>
      <c r="D295" s="2"/>
      <c r="E295" s="2"/>
      <c r="F295" s="2"/>
      <c r="G295" s="2"/>
      <c r="H295" s="2"/>
      <c r="I295" s="74"/>
      <c r="J295" s="74"/>
      <c r="K295" s="74"/>
      <c r="L295" s="74"/>
      <c r="M295" s="2"/>
      <c r="N295" s="2"/>
      <c r="O295" s="2"/>
      <c r="P295" s="74"/>
      <c r="Q295" s="2"/>
      <c r="R295" s="2"/>
      <c r="S295" s="76"/>
      <c r="T295" s="2"/>
    </row>
    <row r="296" ht="15.75" customHeight="1">
      <c r="A296" s="2"/>
      <c r="B296" s="2"/>
      <c r="C296" s="2"/>
      <c r="D296" s="2"/>
      <c r="E296" s="2"/>
      <c r="F296" s="2"/>
      <c r="G296" s="2"/>
      <c r="H296" s="2"/>
      <c r="I296" s="74"/>
      <c r="J296" s="74"/>
      <c r="K296" s="74"/>
      <c r="L296" s="74"/>
      <c r="M296" s="2"/>
      <c r="N296" s="2"/>
      <c r="O296" s="2"/>
      <c r="P296" s="74"/>
      <c r="Q296" s="2"/>
      <c r="R296" s="2"/>
      <c r="S296" s="76"/>
      <c r="T296" s="2"/>
    </row>
    <row r="297" ht="15.75" customHeight="1">
      <c r="A297" s="2"/>
      <c r="B297" s="2"/>
      <c r="C297" s="2"/>
      <c r="D297" s="2"/>
      <c r="E297" s="2"/>
      <c r="F297" s="2"/>
      <c r="G297" s="2"/>
      <c r="H297" s="2"/>
      <c r="I297" s="74"/>
      <c r="J297" s="74"/>
      <c r="K297" s="74"/>
      <c r="L297" s="74"/>
      <c r="M297" s="2"/>
      <c r="N297" s="2"/>
      <c r="O297" s="2"/>
      <c r="P297" s="74"/>
      <c r="Q297" s="2"/>
      <c r="R297" s="2"/>
      <c r="S297" s="76"/>
      <c r="T297" s="2"/>
    </row>
    <row r="298" ht="15.75" customHeight="1">
      <c r="A298" s="2"/>
      <c r="B298" s="2"/>
      <c r="C298" s="2"/>
      <c r="D298" s="2"/>
      <c r="E298" s="2"/>
      <c r="F298" s="2"/>
      <c r="G298" s="2"/>
      <c r="H298" s="2"/>
      <c r="I298" s="74"/>
      <c r="J298" s="74"/>
      <c r="K298" s="74"/>
      <c r="L298" s="74"/>
      <c r="M298" s="2"/>
      <c r="N298" s="2"/>
      <c r="O298" s="2"/>
      <c r="P298" s="74"/>
      <c r="Q298" s="2"/>
      <c r="R298" s="2"/>
      <c r="S298" s="76"/>
      <c r="T298" s="2"/>
    </row>
    <row r="299" ht="15.75" customHeight="1">
      <c r="A299" s="2"/>
      <c r="B299" s="2"/>
      <c r="C299" s="2"/>
      <c r="D299" s="2"/>
      <c r="E299" s="2"/>
      <c r="F299" s="2"/>
      <c r="G299" s="2"/>
      <c r="H299" s="2"/>
      <c r="I299" s="74"/>
      <c r="J299" s="74"/>
      <c r="K299" s="74"/>
      <c r="L299" s="74"/>
      <c r="M299" s="2"/>
      <c r="N299" s="2"/>
      <c r="O299" s="2"/>
      <c r="P299" s="74"/>
      <c r="Q299" s="2"/>
      <c r="R299" s="2"/>
      <c r="S299" s="76"/>
      <c r="T299" s="2"/>
    </row>
    <row r="300" ht="15.75" customHeight="1">
      <c r="A300" s="2"/>
      <c r="B300" s="2"/>
      <c r="C300" s="2"/>
      <c r="D300" s="2"/>
      <c r="E300" s="2"/>
      <c r="F300" s="2"/>
      <c r="G300" s="2"/>
      <c r="H300" s="2"/>
      <c r="I300" s="74"/>
      <c r="J300" s="74"/>
      <c r="K300" s="74"/>
      <c r="L300" s="74"/>
      <c r="M300" s="2"/>
      <c r="N300" s="2"/>
      <c r="O300" s="2"/>
      <c r="P300" s="74"/>
      <c r="Q300" s="2"/>
      <c r="R300" s="2"/>
      <c r="S300" s="76"/>
      <c r="T300" s="2"/>
    </row>
    <row r="301" ht="15.75" customHeight="1">
      <c r="A301" s="2"/>
      <c r="B301" s="2"/>
      <c r="C301" s="2"/>
      <c r="D301" s="2"/>
      <c r="E301" s="2"/>
      <c r="F301" s="2"/>
      <c r="G301" s="2"/>
      <c r="H301" s="2"/>
      <c r="I301" s="74"/>
      <c r="J301" s="74"/>
      <c r="K301" s="74"/>
      <c r="L301" s="74"/>
      <c r="M301" s="2"/>
      <c r="N301" s="2"/>
      <c r="O301" s="2"/>
      <c r="P301" s="74"/>
      <c r="Q301" s="2"/>
      <c r="R301" s="2"/>
      <c r="S301" s="76"/>
      <c r="T301" s="2"/>
    </row>
    <row r="302" ht="15.75" customHeight="1">
      <c r="A302" s="2"/>
      <c r="B302" s="2"/>
      <c r="C302" s="2"/>
      <c r="D302" s="2"/>
      <c r="E302" s="2"/>
      <c r="F302" s="2"/>
      <c r="G302" s="2"/>
      <c r="H302" s="2"/>
      <c r="I302" s="74"/>
      <c r="J302" s="74"/>
      <c r="K302" s="74"/>
      <c r="L302" s="74"/>
      <c r="M302" s="2"/>
      <c r="N302" s="2"/>
      <c r="O302" s="2"/>
      <c r="P302" s="74"/>
      <c r="Q302" s="2"/>
      <c r="R302" s="2"/>
      <c r="S302" s="76"/>
      <c r="T302" s="2"/>
    </row>
    <row r="303" ht="15.75" customHeight="1">
      <c r="A303" s="2"/>
      <c r="B303" s="2"/>
      <c r="C303" s="2"/>
      <c r="D303" s="2"/>
      <c r="E303" s="2"/>
      <c r="F303" s="2"/>
      <c r="G303" s="2"/>
      <c r="H303" s="2"/>
      <c r="I303" s="74"/>
      <c r="J303" s="74"/>
      <c r="K303" s="74"/>
      <c r="L303" s="74"/>
      <c r="M303" s="2"/>
      <c r="N303" s="2"/>
      <c r="O303" s="2"/>
      <c r="P303" s="74"/>
      <c r="Q303" s="2"/>
      <c r="R303" s="2"/>
      <c r="S303" s="76"/>
      <c r="T303" s="2"/>
    </row>
    <row r="304" ht="15.75" customHeight="1">
      <c r="A304" s="2"/>
      <c r="B304" s="2"/>
      <c r="C304" s="2"/>
      <c r="D304" s="2"/>
      <c r="E304" s="2"/>
      <c r="F304" s="2"/>
      <c r="G304" s="2"/>
      <c r="H304" s="2"/>
      <c r="I304" s="74"/>
      <c r="J304" s="74"/>
      <c r="K304" s="74"/>
      <c r="L304" s="74"/>
      <c r="M304" s="2"/>
      <c r="N304" s="2"/>
      <c r="O304" s="2"/>
      <c r="P304" s="74"/>
      <c r="Q304" s="2"/>
      <c r="R304" s="2"/>
      <c r="S304" s="76"/>
      <c r="T304" s="2"/>
    </row>
    <row r="305" ht="15.75" customHeight="1">
      <c r="A305" s="2"/>
      <c r="B305" s="2"/>
      <c r="C305" s="2"/>
      <c r="D305" s="2"/>
      <c r="E305" s="2"/>
      <c r="F305" s="2"/>
      <c r="G305" s="2"/>
      <c r="H305" s="2"/>
      <c r="I305" s="74"/>
      <c r="J305" s="74"/>
      <c r="K305" s="74"/>
      <c r="L305" s="74"/>
      <c r="M305" s="2"/>
      <c r="N305" s="2"/>
      <c r="O305" s="2"/>
      <c r="P305" s="74"/>
      <c r="Q305" s="2"/>
      <c r="R305" s="2"/>
      <c r="S305" s="76"/>
      <c r="T305" s="2"/>
    </row>
    <row r="306" ht="15.75" customHeight="1">
      <c r="A306" s="2"/>
      <c r="B306" s="2"/>
      <c r="C306" s="2"/>
      <c r="D306" s="2"/>
      <c r="E306" s="2"/>
      <c r="F306" s="2"/>
      <c r="G306" s="2"/>
      <c r="H306" s="2"/>
      <c r="I306" s="74"/>
      <c r="J306" s="74"/>
      <c r="K306" s="74"/>
      <c r="L306" s="74"/>
      <c r="M306" s="2"/>
      <c r="N306" s="2"/>
      <c r="O306" s="2"/>
      <c r="P306" s="74"/>
      <c r="Q306" s="2"/>
      <c r="R306" s="2"/>
      <c r="S306" s="76"/>
      <c r="T306" s="2"/>
    </row>
    <row r="307" ht="15.75" customHeight="1">
      <c r="A307" s="2"/>
      <c r="B307" s="2"/>
      <c r="C307" s="2"/>
      <c r="D307" s="2"/>
      <c r="E307" s="2"/>
      <c r="F307" s="2"/>
      <c r="G307" s="2"/>
      <c r="H307" s="2"/>
      <c r="I307" s="74"/>
      <c r="J307" s="74"/>
      <c r="K307" s="74"/>
      <c r="L307" s="74"/>
      <c r="M307" s="2"/>
      <c r="N307" s="2"/>
      <c r="O307" s="2"/>
      <c r="P307" s="74"/>
      <c r="Q307" s="2"/>
      <c r="R307" s="2"/>
      <c r="S307" s="76"/>
      <c r="T307" s="2"/>
    </row>
    <row r="308" ht="15.75" customHeight="1">
      <c r="A308" s="2"/>
      <c r="B308" s="2"/>
      <c r="C308" s="2"/>
      <c r="D308" s="2"/>
      <c r="E308" s="2"/>
      <c r="F308" s="2"/>
      <c r="G308" s="2"/>
      <c r="H308" s="2"/>
      <c r="I308" s="74"/>
      <c r="J308" s="74"/>
      <c r="K308" s="74"/>
      <c r="L308" s="74"/>
      <c r="M308" s="2"/>
      <c r="N308" s="2"/>
      <c r="O308" s="2"/>
      <c r="P308" s="74"/>
      <c r="Q308" s="2"/>
      <c r="R308" s="2"/>
      <c r="S308" s="76"/>
      <c r="T308" s="2"/>
    </row>
    <row r="309" ht="15.75" customHeight="1">
      <c r="A309" s="2"/>
      <c r="B309" s="2"/>
      <c r="C309" s="2"/>
      <c r="D309" s="2"/>
      <c r="E309" s="2"/>
      <c r="F309" s="2"/>
      <c r="G309" s="2"/>
      <c r="H309" s="2"/>
      <c r="I309" s="74"/>
      <c r="J309" s="74"/>
      <c r="K309" s="74"/>
      <c r="L309" s="74"/>
      <c r="M309" s="2"/>
      <c r="N309" s="2"/>
      <c r="O309" s="2"/>
      <c r="P309" s="74"/>
      <c r="Q309" s="2"/>
      <c r="R309" s="2"/>
      <c r="S309" s="76"/>
      <c r="T309" s="2"/>
    </row>
    <row r="310" ht="15.75" customHeight="1">
      <c r="A310" s="2"/>
      <c r="B310" s="2"/>
      <c r="C310" s="2"/>
      <c r="D310" s="2"/>
      <c r="E310" s="2"/>
      <c r="F310" s="2"/>
      <c r="G310" s="2"/>
      <c r="H310" s="2"/>
      <c r="I310" s="74"/>
      <c r="J310" s="74"/>
      <c r="K310" s="74"/>
      <c r="L310" s="74"/>
      <c r="M310" s="2"/>
      <c r="N310" s="2"/>
      <c r="O310" s="2"/>
      <c r="P310" s="74"/>
      <c r="Q310" s="2"/>
      <c r="R310" s="2"/>
      <c r="S310" s="76"/>
      <c r="T310" s="2"/>
    </row>
    <row r="311" ht="15.75" customHeight="1">
      <c r="A311" s="2"/>
      <c r="B311" s="2"/>
      <c r="C311" s="2"/>
      <c r="D311" s="2"/>
      <c r="E311" s="2"/>
      <c r="F311" s="2"/>
      <c r="G311" s="2"/>
      <c r="H311" s="2"/>
      <c r="I311" s="74"/>
      <c r="J311" s="74"/>
      <c r="K311" s="74"/>
      <c r="L311" s="74"/>
      <c r="M311" s="2"/>
      <c r="N311" s="2"/>
      <c r="O311" s="2"/>
      <c r="P311" s="74"/>
      <c r="Q311" s="2"/>
      <c r="R311" s="2"/>
      <c r="S311" s="76"/>
      <c r="T311" s="2"/>
    </row>
    <row r="312" ht="15.75" customHeight="1">
      <c r="A312" s="2"/>
      <c r="B312" s="2"/>
      <c r="C312" s="2"/>
      <c r="D312" s="2"/>
      <c r="E312" s="2"/>
      <c r="F312" s="2"/>
      <c r="G312" s="2"/>
      <c r="H312" s="2"/>
      <c r="I312" s="74"/>
      <c r="J312" s="74"/>
      <c r="K312" s="74"/>
      <c r="L312" s="74"/>
      <c r="M312" s="2"/>
      <c r="N312" s="2"/>
      <c r="O312" s="2"/>
      <c r="P312" s="74"/>
      <c r="Q312" s="2"/>
      <c r="R312" s="2"/>
      <c r="S312" s="76"/>
      <c r="T312" s="2"/>
    </row>
    <row r="313" ht="15.75" customHeight="1">
      <c r="A313" s="2"/>
      <c r="B313" s="2"/>
      <c r="C313" s="2"/>
      <c r="D313" s="2"/>
      <c r="E313" s="2"/>
      <c r="F313" s="2"/>
      <c r="G313" s="2"/>
      <c r="H313" s="2"/>
      <c r="I313" s="74"/>
      <c r="J313" s="74"/>
      <c r="K313" s="74"/>
      <c r="L313" s="74"/>
      <c r="M313" s="2"/>
      <c r="N313" s="2"/>
      <c r="O313" s="2"/>
      <c r="P313" s="74"/>
      <c r="Q313" s="2"/>
      <c r="R313" s="2"/>
      <c r="S313" s="76"/>
      <c r="T313" s="2"/>
    </row>
    <row r="314" ht="15.75" customHeight="1">
      <c r="A314" s="2"/>
      <c r="B314" s="2"/>
      <c r="C314" s="2"/>
      <c r="D314" s="2"/>
      <c r="E314" s="2"/>
      <c r="F314" s="2"/>
      <c r="G314" s="2"/>
      <c r="H314" s="2"/>
      <c r="I314" s="74"/>
      <c r="J314" s="74"/>
      <c r="K314" s="74"/>
      <c r="L314" s="74"/>
      <c r="M314" s="2"/>
      <c r="N314" s="2"/>
      <c r="O314" s="2"/>
      <c r="P314" s="74"/>
      <c r="Q314" s="2"/>
      <c r="R314" s="2"/>
      <c r="S314" s="76"/>
      <c r="T314" s="2"/>
    </row>
    <row r="315" ht="15.75" customHeight="1">
      <c r="A315" s="2"/>
      <c r="B315" s="2"/>
      <c r="C315" s="2"/>
      <c r="D315" s="2"/>
      <c r="E315" s="2"/>
      <c r="F315" s="2"/>
      <c r="G315" s="2"/>
      <c r="H315" s="2"/>
      <c r="I315" s="74"/>
      <c r="J315" s="74"/>
      <c r="K315" s="74"/>
      <c r="L315" s="74"/>
      <c r="M315" s="2"/>
      <c r="N315" s="2"/>
      <c r="O315" s="2"/>
      <c r="P315" s="74"/>
      <c r="Q315" s="2"/>
      <c r="R315" s="2"/>
      <c r="S315" s="76"/>
      <c r="T315" s="2"/>
    </row>
    <row r="316" ht="15.75" customHeight="1">
      <c r="A316" s="2"/>
      <c r="B316" s="2"/>
      <c r="C316" s="2"/>
      <c r="D316" s="2"/>
      <c r="E316" s="2"/>
      <c r="F316" s="2"/>
      <c r="G316" s="2"/>
      <c r="H316" s="2"/>
      <c r="I316" s="74"/>
      <c r="J316" s="74"/>
      <c r="K316" s="74"/>
      <c r="L316" s="74"/>
      <c r="M316" s="2"/>
      <c r="N316" s="2"/>
      <c r="O316" s="2"/>
      <c r="P316" s="74"/>
      <c r="Q316" s="2"/>
      <c r="R316" s="2"/>
      <c r="S316" s="76"/>
      <c r="T316" s="2"/>
    </row>
    <row r="317" ht="15.75" customHeight="1">
      <c r="A317" s="2"/>
      <c r="B317" s="2"/>
      <c r="C317" s="2"/>
      <c r="D317" s="2"/>
      <c r="E317" s="2"/>
      <c r="F317" s="2"/>
      <c r="G317" s="2"/>
      <c r="H317" s="2"/>
      <c r="I317" s="74"/>
      <c r="J317" s="74"/>
      <c r="K317" s="74"/>
      <c r="L317" s="74"/>
      <c r="M317" s="2"/>
      <c r="N317" s="2"/>
      <c r="O317" s="2"/>
      <c r="P317" s="74"/>
      <c r="Q317" s="2"/>
      <c r="R317" s="2"/>
      <c r="S317" s="76"/>
      <c r="T317" s="2"/>
    </row>
    <row r="318" ht="15.75" customHeight="1">
      <c r="A318" s="2"/>
      <c r="B318" s="2"/>
      <c r="C318" s="2"/>
      <c r="D318" s="2"/>
      <c r="E318" s="2"/>
      <c r="F318" s="2"/>
      <c r="G318" s="2"/>
      <c r="H318" s="2"/>
      <c r="I318" s="74"/>
      <c r="J318" s="74"/>
      <c r="K318" s="74"/>
      <c r="L318" s="74"/>
      <c r="M318" s="2"/>
      <c r="N318" s="2"/>
      <c r="O318" s="2"/>
      <c r="P318" s="74"/>
      <c r="Q318" s="2"/>
      <c r="R318" s="2"/>
      <c r="S318" s="76"/>
      <c r="T318" s="2"/>
    </row>
    <row r="319" ht="15.75" customHeight="1">
      <c r="A319" s="2"/>
      <c r="B319" s="2"/>
      <c r="C319" s="2"/>
      <c r="D319" s="2"/>
      <c r="E319" s="2"/>
      <c r="F319" s="2"/>
      <c r="G319" s="2"/>
      <c r="H319" s="2"/>
      <c r="I319" s="74"/>
      <c r="J319" s="74"/>
      <c r="K319" s="74"/>
      <c r="L319" s="74"/>
      <c r="M319" s="2"/>
      <c r="N319" s="2"/>
      <c r="O319" s="2"/>
      <c r="P319" s="74"/>
      <c r="Q319" s="2"/>
      <c r="R319" s="2"/>
      <c r="S319" s="76"/>
      <c r="T319" s="2"/>
    </row>
    <row r="320" ht="15.75" customHeight="1">
      <c r="A320" s="2"/>
      <c r="B320" s="2"/>
      <c r="C320" s="2"/>
      <c r="D320" s="2"/>
      <c r="E320" s="2"/>
      <c r="F320" s="2"/>
      <c r="G320" s="2"/>
      <c r="H320" s="2"/>
      <c r="I320" s="74"/>
      <c r="J320" s="74"/>
      <c r="K320" s="74"/>
      <c r="L320" s="74"/>
      <c r="M320" s="2"/>
      <c r="N320" s="2"/>
      <c r="O320" s="2"/>
      <c r="P320" s="74"/>
      <c r="Q320" s="2"/>
      <c r="R320" s="2"/>
      <c r="S320" s="76"/>
      <c r="T320" s="2"/>
    </row>
    <row r="321" ht="15.75" customHeight="1">
      <c r="A321" s="2"/>
      <c r="B321" s="2"/>
      <c r="C321" s="2"/>
      <c r="D321" s="2"/>
      <c r="E321" s="2"/>
      <c r="F321" s="2"/>
      <c r="G321" s="2"/>
      <c r="H321" s="2"/>
      <c r="I321" s="74"/>
      <c r="J321" s="74"/>
      <c r="K321" s="74"/>
      <c r="L321" s="74"/>
      <c r="M321" s="2"/>
      <c r="N321" s="2"/>
      <c r="O321" s="2"/>
      <c r="P321" s="74"/>
      <c r="Q321" s="2"/>
      <c r="R321" s="2"/>
      <c r="S321" s="76"/>
      <c r="T321" s="2"/>
    </row>
    <row r="322" ht="15.75" customHeight="1">
      <c r="A322" s="2"/>
      <c r="B322" s="2"/>
      <c r="C322" s="2"/>
      <c r="D322" s="2"/>
      <c r="E322" s="2"/>
      <c r="F322" s="2"/>
      <c r="G322" s="2"/>
      <c r="H322" s="2"/>
      <c r="I322" s="74"/>
      <c r="J322" s="74"/>
      <c r="K322" s="74"/>
      <c r="L322" s="74"/>
      <c r="M322" s="2"/>
      <c r="N322" s="2"/>
      <c r="O322" s="2"/>
      <c r="P322" s="74"/>
      <c r="Q322" s="2"/>
      <c r="R322" s="2"/>
      <c r="S322" s="76"/>
      <c r="T322" s="2"/>
    </row>
    <row r="323" ht="15.75" customHeight="1">
      <c r="A323" s="2"/>
      <c r="B323" s="2"/>
      <c r="C323" s="2"/>
      <c r="D323" s="2"/>
      <c r="E323" s="2"/>
      <c r="F323" s="2"/>
      <c r="G323" s="2"/>
      <c r="H323" s="2"/>
      <c r="I323" s="74"/>
      <c r="J323" s="74"/>
      <c r="K323" s="74"/>
      <c r="L323" s="74"/>
      <c r="M323" s="2"/>
      <c r="N323" s="2"/>
      <c r="O323" s="2"/>
      <c r="P323" s="74"/>
      <c r="Q323" s="2"/>
      <c r="R323" s="2"/>
      <c r="S323" s="76"/>
      <c r="T323" s="2"/>
    </row>
    <row r="324" ht="15.75" customHeight="1">
      <c r="A324" s="2"/>
      <c r="B324" s="2"/>
      <c r="C324" s="2"/>
      <c r="D324" s="2"/>
      <c r="E324" s="2"/>
      <c r="F324" s="2"/>
      <c r="G324" s="2"/>
      <c r="H324" s="2"/>
      <c r="I324" s="74"/>
      <c r="J324" s="74"/>
      <c r="K324" s="74"/>
      <c r="L324" s="74"/>
      <c r="M324" s="2"/>
      <c r="N324" s="2"/>
      <c r="O324" s="2"/>
      <c r="P324" s="74"/>
      <c r="Q324" s="2"/>
      <c r="R324" s="2"/>
      <c r="S324" s="76"/>
      <c r="T324" s="2"/>
    </row>
    <row r="325" ht="15.75" customHeight="1">
      <c r="A325" s="2"/>
      <c r="B325" s="2"/>
      <c r="C325" s="2"/>
      <c r="D325" s="2"/>
      <c r="E325" s="2"/>
      <c r="F325" s="2"/>
      <c r="G325" s="2"/>
      <c r="H325" s="2"/>
      <c r="I325" s="74"/>
      <c r="J325" s="74"/>
      <c r="K325" s="74"/>
      <c r="L325" s="74"/>
      <c r="M325" s="2"/>
      <c r="N325" s="2"/>
      <c r="O325" s="2"/>
      <c r="P325" s="74"/>
      <c r="Q325" s="2"/>
      <c r="R325" s="2"/>
      <c r="S325" s="76"/>
      <c r="T325" s="2"/>
    </row>
    <row r="326" ht="15.75" customHeight="1">
      <c r="A326" s="2"/>
      <c r="B326" s="2"/>
      <c r="C326" s="2"/>
      <c r="D326" s="2"/>
      <c r="E326" s="2"/>
      <c r="F326" s="2"/>
      <c r="G326" s="2"/>
      <c r="H326" s="2"/>
      <c r="I326" s="74"/>
      <c r="J326" s="74"/>
      <c r="K326" s="74"/>
      <c r="L326" s="74"/>
      <c r="M326" s="2"/>
      <c r="N326" s="2"/>
      <c r="O326" s="2"/>
      <c r="P326" s="74"/>
      <c r="Q326" s="2"/>
      <c r="R326" s="2"/>
      <c r="S326" s="76"/>
      <c r="T326" s="2"/>
    </row>
    <row r="327" ht="15.75" customHeight="1">
      <c r="A327" s="2"/>
      <c r="B327" s="2"/>
      <c r="C327" s="2"/>
      <c r="D327" s="2"/>
      <c r="E327" s="2"/>
      <c r="F327" s="2"/>
      <c r="G327" s="2"/>
      <c r="H327" s="2"/>
      <c r="I327" s="74"/>
      <c r="J327" s="74"/>
      <c r="K327" s="74"/>
      <c r="L327" s="74"/>
      <c r="M327" s="2"/>
      <c r="N327" s="2"/>
      <c r="O327" s="2"/>
      <c r="P327" s="74"/>
      <c r="Q327" s="2"/>
      <c r="R327" s="2"/>
      <c r="S327" s="76"/>
      <c r="T327" s="2"/>
    </row>
    <row r="328" ht="15.75" customHeight="1">
      <c r="A328" s="2"/>
      <c r="B328" s="2"/>
      <c r="C328" s="2"/>
      <c r="D328" s="2"/>
      <c r="E328" s="2"/>
      <c r="F328" s="2"/>
      <c r="G328" s="2"/>
      <c r="H328" s="2"/>
      <c r="I328" s="74"/>
      <c r="J328" s="74"/>
      <c r="K328" s="74"/>
      <c r="L328" s="74"/>
      <c r="M328" s="2"/>
      <c r="N328" s="2"/>
      <c r="O328" s="2"/>
      <c r="P328" s="74"/>
      <c r="Q328" s="2"/>
      <c r="R328" s="2"/>
      <c r="S328" s="76"/>
      <c r="T328" s="2"/>
    </row>
    <row r="329" ht="15.75" customHeight="1">
      <c r="A329" s="2"/>
      <c r="B329" s="2"/>
      <c r="C329" s="2"/>
      <c r="D329" s="2"/>
      <c r="E329" s="2"/>
      <c r="F329" s="2"/>
      <c r="G329" s="2"/>
      <c r="H329" s="2"/>
      <c r="I329" s="74"/>
      <c r="J329" s="74"/>
      <c r="K329" s="74"/>
      <c r="L329" s="74"/>
      <c r="M329" s="2"/>
      <c r="N329" s="2"/>
      <c r="O329" s="2"/>
      <c r="P329" s="74"/>
      <c r="Q329" s="2"/>
      <c r="R329" s="2"/>
      <c r="S329" s="76"/>
      <c r="T329" s="2"/>
    </row>
    <row r="330" ht="15.75" customHeight="1">
      <c r="A330" s="2"/>
      <c r="B330" s="2"/>
      <c r="C330" s="2"/>
      <c r="D330" s="2"/>
      <c r="E330" s="2"/>
      <c r="F330" s="2"/>
      <c r="G330" s="2"/>
      <c r="H330" s="2"/>
      <c r="I330" s="74"/>
      <c r="J330" s="74"/>
      <c r="K330" s="74"/>
      <c r="L330" s="74"/>
      <c r="M330" s="2"/>
      <c r="N330" s="2"/>
      <c r="O330" s="2"/>
      <c r="P330" s="74"/>
      <c r="Q330" s="2"/>
      <c r="R330" s="2"/>
      <c r="S330" s="76"/>
      <c r="T330" s="2"/>
    </row>
    <row r="331" ht="15.75" customHeight="1">
      <c r="A331" s="2"/>
      <c r="B331" s="2"/>
      <c r="C331" s="2"/>
      <c r="D331" s="2"/>
      <c r="E331" s="2"/>
      <c r="F331" s="2"/>
      <c r="G331" s="2"/>
      <c r="H331" s="2"/>
      <c r="I331" s="74"/>
      <c r="J331" s="74"/>
      <c r="K331" s="74"/>
      <c r="L331" s="74"/>
      <c r="M331" s="2"/>
      <c r="N331" s="2"/>
      <c r="O331" s="2"/>
      <c r="P331" s="74"/>
      <c r="Q331" s="2"/>
      <c r="R331" s="2"/>
      <c r="S331" s="76"/>
      <c r="T331" s="2"/>
    </row>
    <row r="332" ht="15.75" customHeight="1">
      <c r="A332" s="2"/>
      <c r="B332" s="2"/>
      <c r="C332" s="2"/>
      <c r="D332" s="2"/>
      <c r="E332" s="2"/>
      <c r="F332" s="2"/>
      <c r="G332" s="2"/>
      <c r="H332" s="2"/>
      <c r="I332" s="74"/>
      <c r="J332" s="74"/>
      <c r="K332" s="74"/>
      <c r="L332" s="74"/>
      <c r="M332" s="2"/>
      <c r="N332" s="2"/>
      <c r="O332" s="2"/>
      <c r="P332" s="74"/>
      <c r="Q332" s="2"/>
      <c r="R332" s="2"/>
      <c r="S332" s="76"/>
      <c r="T332" s="2"/>
    </row>
    <row r="333" ht="15.75" customHeight="1">
      <c r="A333" s="2"/>
      <c r="B333" s="2"/>
      <c r="C333" s="2"/>
      <c r="D333" s="2"/>
      <c r="E333" s="2"/>
      <c r="F333" s="2"/>
      <c r="G333" s="2"/>
      <c r="H333" s="2"/>
      <c r="I333" s="74"/>
      <c r="J333" s="74"/>
      <c r="K333" s="74"/>
      <c r="L333" s="74"/>
      <c r="M333" s="2"/>
      <c r="N333" s="2"/>
      <c r="O333" s="2"/>
      <c r="P333" s="74"/>
      <c r="Q333" s="2"/>
      <c r="R333" s="2"/>
      <c r="S333" s="76"/>
      <c r="T333" s="2"/>
    </row>
    <row r="334" ht="15.75" customHeight="1">
      <c r="A334" s="2"/>
      <c r="B334" s="2"/>
      <c r="C334" s="2"/>
      <c r="D334" s="2"/>
      <c r="E334" s="2"/>
      <c r="F334" s="2"/>
      <c r="G334" s="2"/>
      <c r="H334" s="2"/>
      <c r="I334" s="74"/>
      <c r="J334" s="74"/>
      <c r="K334" s="74"/>
      <c r="L334" s="74"/>
      <c r="M334" s="2"/>
      <c r="N334" s="2"/>
      <c r="O334" s="2"/>
      <c r="P334" s="74"/>
      <c r="Q334" s="2"/>
      <c r="R334" s="2"/>
      <c r="S334" s="76"/>
      <c r="T334" s="2"/>
    </row>
    <row r="335" ht="15.75" customHeight="1">
      <c r="A335" s="2"/>
      <c r="B335" s="2"/>
      <c r="C335" s="2"/>
      <c r="D335" s="2"/>
      <c r="E335" s="2"/>
      <c r="F335" s="2"/>
      <c r="G335" s="2"/>
      <c r="H335" s="2"/>
      <c r="I335" s="74"/>
      <c r="J335" s="74"/>
      <c r="K335" s="74"/>
      <c r="L335" s="74"/>
      <c r="M335" s="2"/>
      <c r="N335" s="2"/>
      <c r="O335" s="2"/>
      <c r="P335" s="74"/>
      <c r="Q335" s="2"/>
      <c r="R335" s="2"/>
      <c r="S335" s="76"/>
      <c r="T335" s="2"/>
    </row>
    <row r="336" ht="15.75" customHeight="1">
      <c r="A336" s="2"/>
      <c r="B336" s="2"/>
      <c r="C336" s="2"/>
      <c r="D336" s="2"/>
      <c r="E336" s="2"/>
      <c r="F336" s="2"/>
      <c r="G336" s="2"/>
      <c r="H336" s="2"/>
      <c r="I336" s="74"/>
      <c r="J336" s="74"/>
      <c r="K336" s="74"/>
      <c r="L336" s="74"/>
      <c r="M336" s="2"/>
      <c r="N336" s="2"/>
      <c r="O336" s="2"/>
      <c r="P336" s="74"/>
      <c r="Q336" s="2"/>
      <c r="R336" s="2"/>
      <c r="S336" s="76"/>
      <c r="T336" s="2"/>
    </row>
    <row r="337" ht="15.75" customHeight="1">
      <c r="A337" s="2"/>
      <c r="B337" s="2"/>
      <c r="C337" s="2"/>
      <c r="D337" s="2"/>
      <c r="E337" s="2"/>
      <c r="F337" s="2"/>
      <c r="G337" s="2"/>
      <c r="H337" s="2"/>
      <c r="I337" s="74"/>
      <c r="J337" s="74"/>
      <c r="K337" s="74"/>
      <c r="L337" s="74"/>
      <c r="M337" s="2"/>
      <c r="N337" s="2"/>
      <c r="O337" s="2"/>
      <c r="P337" s="74"/>
      <c r="Q337" s="2"/>
      <c r="R337" s="2"/>
      <c r="S337" s="76"/>
      <c r="T337" s="2"/>
    </row>
    <row r="338" ht="15.75" customHeight="1">
      <c r="A338" s="2"/>
      <c r="B338" s="2"/>
      <c r="C338" s="2"/>
      <c r="D338" s="2"/>
      <c r="E338" s="2"/>
      <c r="F338" s="2"/>
      <c r="G338" s="2"/>
      <c r="H338" s="2"/>
      <c r="I338" s="74"/>
      <c r="J338" s="74"/>
      <c r="K338" s="74"/>
      <c r="L338" s="74"/>
      <c r="M338" s="2"/>
      <c r="N338" s="2"/>
      <c r="O338" s="2"/>
      <c r="P338" s="74"/>
      <c r="Q338" s="2"/>
      <c r="R338" s="2"/>
      <c r="S338" s="76"/>
      <c r="T338" s="2"/>
    </row>
    <row r="339" ht="15.75" customHeight="1">
      <c r="A339" s="2"/>
      <c r="B339" s="2"/>
      <c r="C339" s="2"/>
      <c r="D339" s="2"/>
      <c r="E339" s="2"/>
      <c r="F339" s="2"/>
      <c r="G339" s="2"/>
      <c r="H339" s="2"/>
      <c r="I339" s="74"/>
      <c r="J339" s="74"/>
      <c r="K339" s="74"/>
      <c r="L339" s="74"/>
      <c r="M339" s="2"/>
      <c r="N339" s="2"/>
      <c r="O339" s="2"/>
      <c r="P339" s="74"/>
      <c r="Q339" s="2"/>
      <c r="R339" s="2"/>
      <c r="S339" s="76"/>
      <c r="T339" s="2"/>
    </row>
    <row r="340" ht="15.75" customHeight="1">
      <c r="A340" s="2"/>
      <c r="B340" s="2"/>
      <c r="C340" s="2"/>
      <c r="D340" s="2"/>
      <c r="E340" s="2"/>
      <c r="F340" s="2"/>
      <c r="G340" s="2"/>
      <c r="H340" s="2"/>
      <c r="I340" s="74"/>
      <c r="J340" s="74"/>
      <c r="K340" s="74"/>
      <c r="L340" s="74"/>
      <c r="M340" s="2"/>
      <c r="N340" s="2"/>
      <c r="O340" s="2"/>
      <c r="P340" s="74"/>
      <c r="Q340" s="2"/>
      <c r="R340" s="2"/>
      <c r="S340" s="76"/>
      <c r="T340" s="2"/>
    </row>
    <row r="341" ht="15.75" customHeight="1">
      <c r="A341" s="2"/>
      <c r="B341" s="2"/>
      <c r="C341" s="2"/>
      <c r="D341" s="2"/>
      <c r="E341" s="2"/>
      <c r="F341" s="2"/>
      <c r="G341" s="2"/>
      <c r="H341" s="2"/>
      <c r="I341" s="74"/>
      <c r="J341" s="74"/>
      <c r="K341" s="74"/>
      <c r="L341" s="74"/>
      <c r="M341" s="2"/>
      <c r="N341" s="2"/>
      <c r="O341" s="2"/>
      <c r="P341" s="74"/>
      <c r="Q341" s="2"/>
      <c r="R341" s="2"/>
      <c r="S341" s="76"/>
      <c r="T341" s="2"/>
    </row>
    <row r="342" ht="15.75" customHeight="1">
      <c r="A342" s="2"/>
      <c r="B342" s="2"/>
      <c r="C342" s="2"/>
      <c r="D342" s="2"/>
      <c r="E342" s="2"/>
      <c r="F342" s="2"/>
      <c r="G342" s="2"/>
      <c r="H342" s="2"/>
      <c r="I342" s="74"/>
      <c r="J342" s="74"/>
      <c r="K342" s="74"/>
      <c r="L342" s="74"/>
      <c r="M342" s="2"/>
      <c r="N342" s="2"/>
      <c r="O342" s="2"/>
      <c r="P342" s="74"/>
      <c r="Q342" s="2"/>
      <c r="R342" s="2"/>
      <c r="S342" s="76"/>
      <c r="T342" s="2"/>
    </row>
    <row r="343" ht="15.75" customHeight="1">
      <c r="A343" s="2"/>
      <c r="B343" s="2"/>
      <c r="C343" s="2"/>
      <c r="D343" s="2"/>
      <c r="E343" s="2"/>
      <c r="F343" s="2"/>
      <c r="G343" s="2"/>
      <c r="H343" s="2"/>
      <c r="I343" s="74"/>
      <c r="J343" s="74"/>
      <c r="K343" s="74"/>
      <c r="L343" s="74"/>
      <c r="M343" s="2"/>
      <c r="N343" s="2"/>
      <c r="O343" s="2"/>
      <c r="P343" s="74"/>
      <c r="Q343" s="2"/>
      <c r="R343" s="2"/>
      <c r="S343" s="76"/>
      <c r="T343" s="2"/>
    </row>
    <row r="344" ht="15.75" customHeight="1">
      <c r="A344" s="2"/>
      <c r="B344" s="2"/>
      <c r="C344" s="2"/>
      <c r="D344" s="2"/>
      <c r="E344" s="2"/>
      <c r="F344" s="2"/>
      <c r="G344" s="2"/>
      <c r="H344" s="2"/>
      <c r="I344" s="74"/>
      <c r="J344" s="74"/>
      <c r="K344" s="74"/>
      <c r="L344" s="74"/>
      <c r="M344" s="2"/>
      <c r="N344" s="2"/>
      <c r="O344" s="2"/>
      <c r="P344" s="74"/>
      <c r="Q344" s="2"/>
      <c r="R344" s="2"/>
      <c r="S344" s="76"/>
      <c r="T344" s="2"/>
    </row>
    <row r="345" ht="15.75" customHeight="1">
      <c r="A345" s="2"/>
      <c r="B345" s="2"/>
      <c r="C345" s="2"/>
      <c r="D345" s="2"/>
      <c r="E345" s="2"/>
      <c r="F345" s="2"/>
      <c r="G345" s="2"/>
      <c r="H345" s="2"/>
      <c r="I345" s="74"/>
      <c r="J345" s="74"/>
      <c r="K345" s="74"/>
      <c r="L345" s="74"/>
      <c r="M345" s="2"/>
      <c r="N345" s="2"/>
      <c r="O345" s="2"/>
      <c r="P345" s="74"/>
      <c r="Q345" s="2"/>
      <c r="R345" s="2"/>
      <c r="S345" s="76"/>
      <c r="T345" s="2"/>
    </row>
    <row r="346" ht="15.75" customHeight="1">
      <c r="A346" s="2"/>
      <c r="B346" s="2"/>
      <c r="C346" s="2"/>
      <c r="D346" s="2"/>
      <c r="E346" s="2"/>
      <c r="F346" s="2"/>
      <c r="G346" s="2"/>
      <c r="H346" s="2"/>
      <c r="I346" s="74"/>
      <c r="J346" s="74"/>
      <c r="K346" s="74"/>
      <c r="L346" s="74"/>
      <c r="M346" s="2"/>
      <c r="N346" s="2"/>
      <c r="O346" s="2"/>
      <c r="P346" s="74"/>
      <c r="Q346" s="2"/>
      <c r="R346" s="2"/>
      <c r="S346" s="76"/>
      <c r="T346" s="2"/>
    </row>
    <row r="347" ht="15.75" customHeight="1">
      <c r="A347" s="2"/>
      <c r="B347" s="2"/>
      <c r="C347" s="2"/>
      <c r="D347" s="2"/>
      <c r="E347" s="2"/>
      <c r="F347" s="2"/>
      <c r="G347" s="2"/>
      <c r="H347" s="2"/>
      <c r="I347" s="74"/>
      <c r="J347" s="74"/>
      <c r="K347" s="74"/>
      <c r="L347" s="74"/>
      <c r="M347" s="2"/>
      <c r="N347" s="2"/>
      <c r="O347" s="2"/>
      <c r="P347" s="74"/>
      <c r="Q347" s="2"/>
      <c r="R347" s="2"/>
      <c r="S347" s="76"/>
      <c r="T347" s="2"/>
    </row>
    <row r="348" ht="15.75" customHeight="1">
      <c r="A348" s="2"/>
      <c r="B348" s="2"/>
      <c r="C348" s="2"/>
      <c r="D348" s="2"/>
      <c r="E348" s="2"/>
      <c r="F348" s="2"/>
      <c r="G348" s="2"/>
      <c r="H348" s="2"/>
      <c r="I348" s="74"/>
      <c r="J348" s="74"/>
      <c r="K348" s="74"/>
      <c r="L348" s="74"/>
      <c r="M348" s="2"/>
      <c r="N348" s="2"/>
      <c r="O348" s="2"/>
      <c r="P348" s="74"/>
      <c r="Q348" s="2"/>
      <c r="R348" s="2"/>
      <c r="S348" s="76"/>
      <c r="T348" s="2"/>
    </row>
    <row r="349" ht="15.75" customHeight="1">
      <c r="A349" s="2"/>
      <c r="B349" s="2"/>
      <c r="C349" s="2"/>
      <c r="D349" s="2"/>
      <c r="E349" s="2"/>
      <c r="F349" s="2"/>
      <c r="G349" s="2"/>
      <c r="H349" s="2"/>
      <c r="I349" s="74"/>
      <c r="J349" s="74"/>
      <c r="K349" s="74"/>
      <c r="L349" s="74"/>
      <c r="M349" s="2"/>
      <c r="N349" s="2"/>
      <c r="O349" s="2"/>
      <c r="P349" s="74"/>
      <c r="Q349" s="2"/>
      <c r="R349" s="2"/>
      <c r="S349" s="76"/>
      <c r="T349" s="2"/>
    </row>
    <row r="350" ht="15.75" customHeight="1">
      <c r="A350" s="2"/>
      <c r="B350" s="2"/>
      <c r="C350" s="2"/>
      <c r="D350" s="2"/>
      <c r="E350" s="2"/>
      <c r="F350" s="2"/>
      <c r="G350" s="2"/>
      <c r="H350" s="2"/>
      <c r="I350" s="74"/>
      <c r="J350" s="74"/>
      <c r="K350" s="74"/>
      <c r="L350" s="74"/>
      <c r="M350" s="2"/>
      <c r="N350" s="2"/>
      <c r="O350" s="2"/>
      <c r="P350" s="74"/>
      <c r="Q350" s="2"/>
      <c r="R350" s="2"/>
      <c r="S350" s="76"/>
      <c r="T350" s="2"/>
    </row>
    <row r="351" ht="15.75" customHeight="1">
      <c r="A351" s="2"/>
      <c r="B351" s="2"/>
      <c r="C351" s="2"/>
      <c r="D351" s="2"/>
      <c r="E351" s="2"/>
      <c r="F351" s="2"/>
      <c r="G351" s="2"/>
      <c r="H351" s="2"/>
      <c r="I351" s="74"/>
      <c r="J351" s="74"/>
      <c r="K351" s="74"/>
      <c r="L351" s="74"/>
      <c r="M351" s="2"/>
      <c r="N351" s="2"/>
      <c r="O351" s="2"/>
      <c r="P351" s="74"/>
      <c r="Q351" s="2"/>
      <c r="R351" s="2"/>
      <c r="S351" s="76"/>
      <c r="T351" s="2"/>
    </row>
    <row r="352" ht="15.75" customHeight="1">
      <c r="A352" s="2"/>
      <c r="B352" s="2"/>
      <c r="C352" s="2"/>
      <c r="D352" s="2"/>
      <c r="E352" s="2"/>
      <c r="F352" s="2"/>
      <c r="G352" s="2"/>
      <c r="H352" s="2"/>
      <c r="I352" s="74"/>
      <c r="J352" s="74"/>
      <c r="K352" s="74"/>
      <c r="L352" s="74"/>
      <c r="M352" s="2"/>
      <c r="N352" s="2"/>
      <c r="O352" s="2"/>
      <c r="P352" s="74"/>
      <c r="Q352" s="2"/>
      <c r="R352" s="2"/>
      <c r="S352" s="76"/>
      <c r="T352" s="2"/>
    </row>
    <row r="353" ht="15.75" customHeight="1">
      <c r="A353" s="2"/>
      <c r="B353" s="2"/>
      <c r="C353" s="2"/>
      <c r="D353" s="2"/>
      <c r="E353" s="2"/>
      <c r="F353" s="2"/>
      <c r="G353" s="2"/>
      <c r="H353" s="2"/>
      <c r="I353" s="74"/>
      <c r="J353" s="74"/>
      <c r="K353" s="74"/>
      <c r="L353" s="74"/>
      <c r="M353" s="2"/>
      <c r="N353" s="2"/>
      <c r="O353" s="2"/>
      <c r="P353" s="74"/>
      <c r="Q353" s="2"/>
      <c r="R353" s="2"/>
      <c r="S353" s="76"/>
      <c r="T353" s="2"/>
    </row>
    <row r="354" ht="15.75" customHeight="1">
      <c r="A354" s="2"/>
      <c r="B354" s="2"/>
      <c r="C354" s="2"/>
      <c r="D354" s="2"/>
      <c r="E354" s="2"/>
      <c r="F354" s="2"/>
      <c r="G354" s="2"/>
      <c r="H354" s="2"/>
      <c r="I354" s="74"/>
      <c r="J354" s="74"/>
      <c r="K354" s="74"/>
      <c r="L354" s="74"/>
      <c r="M354" s="2"/>
      <c r="N354" s="2"/>
      <c r="O354" s="2"/>
      <c r="P354" s="74"/>
      <c r="Q354" s="2"/>
      <c r="R354" s="2"/>
      <c r="S354" s="76"/>
      <c r="T354" s="2"/>
    </row>
    <row r="355" ht="15.75" customHeight="1">
      <c r="A355" s="2"/>
      <c r="B355" s="2"/>
      <c r="C355" s="2"/>
      <c r="D355" s="2"/>
      <c r="E355" s="2"/>
      <c r="F355" s="2"/>
      <c r="G355" s="2"/>
      <c r="H355" s="2"/>
      <c r="I355" s="74"/>
      <c r="J355" s="74"/>
      <c r="K355" s="74"/>
      <c r="L355" s="74"/>
      <c r="M355" s="2"/>
      <c r="N355" s="2"/>
      <c r="O355" s="2"/>
      <c r="P355" s="74"/>
      <c r="Q355" s="2"/>
      <c r="R355" s="2"/>
      <c r="S355" s="76"/>
      <c r="T355" s="2"/>
    </row>
    <row r="356" ht="15.75" customHeight="1">
      <c r="A356" s="2"/>
      <c r="B356" s="2"/>
      <c r="C356" s="2"/>
      <c r="D356" s="2"/>
      <c r="E356" s="2"/>
      <c r="F356" s="2"/>
      <c r="G356" s="2"/>
      <c r="H356" s="2"/>
      <c r="I356" s="74"/>
      <c r="J356" s="74"/>
      <c r="K356" s="74"/>
      <c r="L356" s="74"/>
      <c r="M356" s="2"/>
      <c r="N356" s="2"/>
      <c r="O356" s="2"/>
      <c r="P356" s="74"/>
      <c r="Q356" s="2"/>
      <c r="R356" s="2"/>
      <c r="S356" s="76"/>
      <c r="T356" s="2"/>
    </row>
    <row r="357" ht="15.75" customHeight="1">
      <c r="A357" s="2"/>
      <c r="B357" s="2"/>
      <c r="C357" s="2"/>
      <c r="D357" s="2"/>
      <c r="E357" s="2"/>
      <c r="F357" s="2"/>
      <c r="G357" s="2"/>
      <c r="H357" s="2"/>
      <c r="I357" s="74"/>
      <c r="J357" s="74"/>
      <c r="K357" s="74"/>
      <c r="L357" s="74"/>
      <c r="M357" s="2"/>
      <c r="N357" s="2"/>
      <c r="O357" s="2"/>
      <c r="P357" s="74"/>
      <c r="Q357" s="2"/>
      <c r="R357" s="2"/>
      <c r="S357" s="76"/>
      <c r="T357" s="2"/>
    </row>
    <row r="358" ht="15.75" customHeight="1">
      <c r="A358" s="2"/>
      <c r="B358" s="2"/>
      <c r="C358" s="2"/>
      <c r="D358" s="2"/>
      <c r="E358" s="2"/>
      <c r="F358" s="2"/>
      <c r="G358" s="2"/>
      <c r="H358" s="2"/>
      <c r="I358" s="74"/>
      <c r="J358" s="74"/>
      <c r="K358" s="74"/>
      <c r="L358" s="74"/>
      <c r="M358" s="2"/>
      <c r="N358" s="2"/>
      <c r="O358" s="2"/>
      <c r="P358" s="74"/>
      <c r="Q358" s="2"/>
      <c r="R358" s="2"/>
      <c r="S358" s="76"/>
      <c r="T358" s="2"/>
    </row>
    <row r="359" ht="15.75" customHeight="1">
      <c r="A359" s="2"/>
      <c r="B359" s="2"/>
      <c r="C359" s="2"/>
      <c r="D359" s="2"/>
      <c r="E359" s="2"/>
      <c r="F359" s="2"/>
      <c r="G359" s="2"/>
      <c r="H359" s="2"/>
      <c r="I359" s="74"/>
      <c r="J359" s="74"/>
      <c r="K359" s="74"/>
      <c r="L359" s="74"/>
      <c r="M359" s="2"/>
      <c r="N359" s="2"/>
      <c r="O359" s="2"/>
      <c r="P359" s="74"/>
      <c r="Q359" s="2"/>
      <c r="R359" s="2"/>
      <c r="S359" s="76"/>
      <c r="T359" s="2"/>
    </row>
    <row r="360" ht="15.75" customHeight="1">
      <c r="A360" s="2"/>
      <c r="B360" s="2"/>
      <c r="C360" s="2"/>
      <c r="D360" s="2"/>
      <c r="E360" s="2"/>
      <c r="F360" s="2"/>
      <c r="G360" s="2"/>
      <c r="H360" s="2"/>
      <c r="I360" s="74"/>
      <c r="J360" s="74"/>
      <c r="K360" s="74"/>
      <c r="L360" s="74"/>
      <c r="M360" s="2"/>
      <c r="N360" s="2"/>
      <c r="O360" s="2"/>
      <c r="P360" s="74"/>
      <c r="Q360" s="2"/>
      <c r="R360" s="2"/>
      <c r="S360" s="76"/>
      <c r="T360" s="2"/>
    </row>
    <row r="361" ht="15.75" customHeight="1">
      <c r="A361" s="2"/>
      <c r="B361" s="2"/>
      <c r="C361" s="2"/>
      <c r="D361" s="2"/>
      <c r="E361" s="2"/>
      <c r="F361" s="2"/>
      <c r="G361" s="2"/>
      <c r="H361" s="2"/>
      <c r="I361" s="74"/>
      <c r="J361" s="74"/>
      <c r="K361" s="74"/>
      <c r="L361" s="74"/>
      <c r="M361" s="2"/>
      <c r="N361" s="2"/>
      <c r="O361" s="2"/>
      <c r="P361" s="74"/>
      <c r="Q361" s="2"/>
      <c r="R361" s="2"/>
      <c r="S361" s="76"/>
      <c r="T361" s="2"/>
    </row>
    <row r="362" ht="15.75" customHeight="1">
      <c r="A362" s="2"/>
      <c r="B362" s="2"/>
      <c r="C362" s="2"/>
      <c r="D362" s="2"/>
      <c r="E362" s="2"/>
      <c r="F362" s="2"/>
      <c r="G362" s="2"/>
      <c r="H362" s="2"/>
      <c r="I362" s="74"/>
      <c r="J362" s="74"/>
      <c r="K362" s="74"/>
      <c r="L362" s="74"/>
      <c r="M362" s="2"/>
      <c r="N362" s="2"/>
      <c r="O362" s="2"/>
      <c r="P362" s="74"/>
      <c r="Q362" s="2"/>
      <c r="R362" s="2"/>
      <c r="S362" s="76"/>
      <c r="T362" s="2"/>
    </row>
    <row r="363" ht="15.75" customHeight="1">
      <c r="A363" s="2"/>
      <c r="B363" s="2"/>
      <c r="C363" s="2"/>
      <c r="D363" s="2"/>
      <c r="E363" s="2"/>
      <c r="F363" s="2"/>
      <c r="G363" s="2"/>
      <c r="H363" s="2"/>
      <c r="I363" s="74"/>
      <c r="J363" s="74"/>
      <c r="K363" s="74"/>
      <c r="L363" s="74"/>
      <c r="M363" s="2"/>
      <c r="N363" s="2"/>
      <c r="O363" s="2"/>
      <c r="P363" s="74"/>
      <c r="Q363" s="2"/>
      <c r="R363" s="2"/>
      <c r="S363" s="76"/>
      <c r="T363" s="2"/>
    </row>
    <row r="364" ht="15.75" customHeight="1">
      <c r="A364" s="2"/>
      <c r="B364" s="2"/>
      <c r="C364" s="2"/>
      <c r="D364" s="2"/>
      <c r="E364" s="2"/>
      <c r="F364" s="2"/>
      <c r="G364" s="2"/>
      <c r="H364" s="2"/>
      <c r="I364" s="74"/>
      <c r="J364" s="74"/>
      <c r="K364" s="74"/>
      <c r="L364" s="74"/>
      <c r="M364" s="2"/>
      <c r="N364" s="2"/>
      <c r="O364" s="2"/>
      <c r="P364" s="74"/>
      <c r="Q364" s="2"/>
      <c r="R364" s="2"/>
      <c r="S364" s="76"/>
      <c r="T364" s="2"/>
    </row>
    <row r="365" ht="15.75" customHeight="1">
      <c r="A365" s="2"/>
      <c r="B365" s="2"/>
      <c r="C365" s="2"/>
      <c r="D365" s="2"/>
      <c r="E365" s="2"/>
      <c r="F365" s="2"/>
      <c r="G365" s="2"/>
      <c r="H365" s="2"/>
      <c r="I365" s="74"/>
      <c r="J365" s="74"/>
      <c r="K365" s="74"/>
      <c r="L365" s="74"/>
      <c r="M365" s="2"/>
      <c r="N365" s="2"/>
      <c r="O365" s="2"/>
      <c r="P365" s="74"/>
      <c r="Q365" s="2"/>
      <c r="R365" s="2"/>
      <c r="S365" s="76"/>
      <c r="T365" s="2"/>
    </row>
    <row r="366" ht="15.75" customHeight="1">
      <c r="A366" s="2"/>
      <c r="B366" s="2"/>
      <c r="C366" s="2"/>
      <c r="D366" s="2"/>
      <c r="E366" s="2"/>
      <c r="F366" s="2"/>
      <c r="G366" s="2"/>
      <c r="H366" s="2"/>
      <c r="I366" s="74"/>
      <c r="J366" s="74"/>
      <c r="K366" s="74"/>
      <c r="L366" s="74"/>
      <c r="M366" s="2"/>
      <c r="N366" s="2"/>
      <c r="O366" s="2"/>
      <c r="P366" s="74"/>
      <c r="Q366" s="2"/>
      <c r="R366" s="2"/>
      <c r="S366" s="76"/>
      <c r="T366" s="2"/>
    </row>
    <row r="367" ht="15.75" customHeight="1">
      <c r="A367" s="2"/>
      <c r="B367" s="2"/>
      <c r="C367" s="2"/>
      <c r="D367" s="2"/>
      <c r="E367" s="2"/>
      <c r="F367" s="2"/>
      <c r="G367" s="2"/>
      <c r="H367" s="2"/>
      <c r="I367" s="74"/>
      <c r="J367" s="74"/>
      <c r="K367" s="74"/>
      <c r="L367" s="74"/>
      <c r="M367" s="2"/>
      <c r="N367" s="2"/>
      <c r="O367" s="2"/>
      <c r="P367" s="74"/>
      <c r="Q367" s="2"/>
      <c r="R367" s="2"/>
      <c r="S367" s="76"/>
      <c r="T367" s="2"/>
    </row>
    <row r="368" ht="15.75" customHeight="1">
      <c r="A368" s="2"/>
      <c r="B368" s="2"/>
      <c r="C368" s="2"/>
      <c r="D368" s="2"/>
      <c r="E368" s="2"/>
      <c r="F368" s="2"/>
      <c r="G368" s="2"/>
      <c r="H368" s="2"/>
      <c r="I368" s="74"/>
      <c r="J368" s="74"/>
      <c r="K368" s="74"/>
      <c r="L368" s="74"/>
      <c r="M368" s="2"/>
      <c r="N368" s="2"/>
      <c r="O368" s="2"/>
      <c r="P368" s="74"/>
      <c r="Q368" s="2"/>
      <c r="R368" s="2"/>
      <c r="S368" s="76"/>
      <c r="T368" s="2"/>
    </row>
    <row r="369" ht="15.75" customHeight="1">
      <c r="A369" s="2"/>
      <c r="B369" s="2"/>
      <c r="C369" s="2"/>
      <c r="D369" s="2"/>
      <c r="E369" s="2"/>
      <c r="F369" s="2"/>
      <c r="G369" s="2"/>
      <c r="H369" s="2"/>
      <c r="I369" s="74"/>
      <c r="J369" s="74"/>
      <c r="K369" s="74"/>
      <c r="L369" s="74"/>
      <c r="M369" s="2"/>
      <c r="N369" s="2"/>
      <c r="O369" s="2"/>
      <c r="P369" s="74"/>
      <c r="Q369" s="2"/>
      <c r="R369" s="2"/>
      <c r="S369" s="76"/>
      <c r="T369" s="2"/>
    </row>
    <row r="370" ht="15.75" customHeight="1">
      <c r="A370" s="2"/>
      <c r="B370" s="2"/>
      <c r="C370" s="2"/>
      <c r="D370" s="2"/>
      <c r="E370" s="2"/>
      <c r="F370" s="2"/>
      <c r="G370" s="2"/>
      <c r="H370" s="2"/>
      <c r="I370" s="74"/>
      <c r="J370" s="74"/>
      <c r="K370" s="74"/>
      <c r="L370" s="74"/>
      <c r="M370" s="2"/>
      <c r="N370" s="2"/>
      <c r="O370" s="2"/>
      <c r="P370" s="74"/>
      <c r="Q370" s="2"/>
      <c r="R370" s="2"/>
      <c r="S370" s="76"/>
      <c r="T370" s="2"/>
    </row>
    <row r="371" ht="15.75" customHeight="1">
      <c r="A371" s="2"/>
      <c r="B371" s="2"/>
      <c r="C371" s="2"/>
      <c r="D371" s="2"/>
      <c r="E371" s="2"/>
      <c r="F371" s="2"/>
      <c r="G371" s="2"/>
      <c r="H371" s="2"/>
      <c r="I371" s="74"/>
      <c r="J371" s="74"/>
      <c r="K371" s="74"/>
      <c r="L371" s="74"/>
      <c r="M371" s="2"/>
      <c r="N371" s="2"/>
      <c r="O371" s="2"/>
      <c r="P371" s="74"/>
      <c r="Q371" s="2"/>
      <c r="R371" s="2"/>
      <c r="S371" s="76"/>
      <c r="T371" s="2"/>
    </row>
    <row r="372" ht="15.75" customHeight="1">
      <c r="A372" s="2"/>
      <c r="B372" s="2"/>
      <c r="C372" s="2"/>
      <c r="D372" s="2"/>
      <c r="E372" s="2"/>
      <c r="F372" s="2"/>
      <c r="G372" s="2"/>
      <c r="H372" s="2"/>
      <c r="I372" s="74"/>
      <c r="J372" s="74"/>
      <c r="K372" s="74"/>
      <c r="L372" s="74"/>
      <c r="M372" s="2"/>
      <c r="N372" s="2"/>
      <c r="O372" s="2"/>
      <c r="P372" s="74"/>
      <c r="Q372" s="2"/>
      <c r="R372" s="2"/>
      <c r="S372" s="76"/>
      <c r="T372" s="2"/>
    </row>
    <row r="373" ht="15.75" customHeight="1">
      <c r="A373" s="2"/>
      <c r="B373" s="2"/>
      <c r="C373" s="2"/>
      <c r="D373" s="2"/>
      <c r="E373" s="2"/>
      <c r="F373" s="2"/>
      <c r="G373" s="2"/>
      <c r="H373" s="2"/>
      <c r="I373" s="74"/>
      <c r="J373" s="74"/>
      <c r="K373" s="74"/>
      <c r="L373" s="74"/>
      <c r="M373" s="2"/>
      <c r="N373" s="2"/>
      <c r="O373" s="2"/>
      <c r="P373" s="74"/>
      <c r="Q373" s="2"/>
      <c r="R373" s="2"/>
      <c r="S373" s="76"/>
      <c r="T373" s="2"/>
    </row>
    <row r="374" ht="15.75" customHeight="1">
      <c r="A374" s="2"/>
      <c r="B374" s="2"/>
      <c r="C374" s="2"/>
      <c r="D374" s="2"/>
      <c r="E374" s="2"/>
      <c r="F374" s="2"/>
      <c r="G374" s="2"/>
      <c r="H374" s="2"/>
      <c r="I374" s="74"/>
      <c r="J374" s="74"/>
      <c r="K374" s="74"/>
      <c r="L374" s="74"/>
      <c r="M374" s="2"/>
      <c r="N374" s="2"/>
      <c r="O374" s="2"/>
      <c r="P374" s="74"/>
      <c r="Q374" s="2"/>
      <c r="R374" s="2"/>
      <c r="S374" s="76"/>
      <c r="T374" s="2"/>
    </row>
    <row r="375" ht="15.75" customHeight="1">
      <c r="A375" s="2"/>
      <c r="B375" s="2"/>
      <c r="C375" s="2"/>
      <c r="D375" s="2"/>
      <c r="E375" s="2"/>
      <c r="F375" s="2"/>
      <c r="G375" s="2"/>
      <c r="H375" s="2"/>
      <c r="I375" s="74"/>
      <c r="J375" s="74"/>
      <c r="K375" s="74"/>
      <c r="L375" s="74"/>
      <c r="M375" s="2"/>
      <c r="N375" s="2"/>
      <c r="O375" s="2"/>
      <c r="P375" s="74"/>
      <c r="Q375" s="2"/>
      <c r="R375" s="2"/>
      <c r="S375" s="76"/>
      <c r="T375" s="2"/>
    </row>
    <row r="376" ht="15.75" customHeight="1">
      <c r="A376" s="2"/>
      <c r="B376" s="2"/>
      <c r="C376" s="2"/>
      <c r="D376" s="2"/>
      <c r="E376" s="2"/>
      <c r="F376" s="2"/>
      <c r="G376" s="2"/>
      <c r="H376" s="2"/>
      <c r="I376" s="74"/>
      <c r="J376" s="74"/>
      <c r="K376" s="74"/>
      <c r="L376" s="74"/>
      <c r="M376" s="2"/>
      <c r="N376" s="2"/>
      <c r="O376" s="2"/>
      <c r="P376" s="74"/>
      <c r="Q376" s="2"/>
      <c r="R376" s="2"/>
      <c r="S376" s="76"/>
      <c r="T376" s="2"/>
    </row>
    <row r="377" ht="15.75" customHeight="1">
      <c r="A377" s="2"/>
      <c r="B377" s="2"/>
      <c r="C377" s="2"/>
      <c r="D377" s="2"/>
      <c r="E377" s="2"/>
      <c r="F377" s="2"/>
      <c r="G377" s="2"/>
      <c r="H377" s="2"/>
      <c r="I377" s="74"/>
      <c r="J377" s="74"/>
      <c r="K377" s="74"/>
      <c r="L377" s="74"/>
      <c r="M377" s="2"/>
      <c r="N377" s="2"/>
      <c r="O377" s="2"/>
      <c r="P377" s="74"/>
      <c r="Q377" s="2"/>
      <c r="R377" s="2"/>
      <c r="S377" s="76"/>
      <c r="T377" s="2"/>
    </row>
    <row r="378" ht="15.75" customHeight="1">
      <c r="A378" s="2"/>
      <c r="B378" s="2"/>
      <c r="C378" s="2"/>
      <c r="D378" s="2"/>
      <c r="E378" s="2"/>
      <c r="F378" s="2"/>
      <c r="G378" s="2"/>
      <c r="H378" s="2"/>
      <c r="I378" s="74"/>
      <c r="J378" s="74"/>
      <c r="K378" s="74"/>
      <c r="L378" s="74"/>
      <c r="M378" s="2"/>
      <c r="N378" s="2"/>
      <c r="O378" s="2"/>
      <c r="P378" s="74"/>
      <c r="Q378" s="2"/>
      <c r="R378" s="2"/>
      <c r="S378" s="76"/>
      <c r="T378" s="2"/>
    </row>
    <row r="379" ht="15.75" customHeight="1">
      <c r="A379" s="2"/>
      <c r="B379" s="2"/>
      <c r="C379" s="2"/>
      <c r="D379" s="2"/>
      <c r="E379" s="2"/>
      <c r="F379" s="2"/>
      <c r="G379" s="2"/>
      <c r="H379" s="2"/>
      <c r="I379" s="74"/>
      <c r="J379" s="74"/>
      <c r="K379" s="74"/>
      <c r="L379" s="74"/>
      <c r="M379" s="2"/>
      <c r="N379" s="2"/>
      <c r="O379" s="2"/>
      <c r="P379" s="74"/>
      <c r="Q379" s="2"/>
      <c r="R379" s="2"/>
      <c r="S379" s="76"/>
      <c r="T379" s="2"/>
    </row>
    <row r="380" ht="15.75" customHeight="1">
      <c r="A380" s="2"/>
      <c r="B380" s="2"/>
      <c r="C380" s="2"/>
      <c r="D380" s="2"/>
      <c r="E380" s="2"/>
      <c r="F380" s="2"/>
      <c r="G380" s="2"/>
      <c r="H380" s="2"/>
      <c r="I380" s="74"/>
      <c r="J380" s="74"/>
      <c r="K380" s="74"/>
      <c r="L380" s="74"/>
      <c r="M380" s="2"/>
      <c r="N380" s="2"/>
      <c r="O380" s="2"/>
      <c r="P380" s="74"/>
      <c r="Q380" s="2"/>
      <c r="R380" s="2"/>
      <c r="S380" s="76"/>
      <c r="T380" s="2"/>
    </row>
    <row r="381" ht="15.75" customHeight="1">
      <c r="A381" s="2"/>
      <c r="B381" s="2"/>
      <c r="C381" s="2"/>
      <c r="D381" s="2"/>
      <c r="E381" s="2"/>
      <c r="F381" s="2"/>
      <c r="G381" s="2"/>
      <c r="H381" s="2"/>
      <c r="I381" s="74"/>
      <c r="J381" s="74"/>
      <c r="K381" s="74"/>
      <c r="L381" s="74"/>
      <c r="M381" s="2"/>
      <c r="N381" s="2"/>
      <c r="O381" s="2"/>
      <c r="P381" s="74"/>
      <c r="Q381" s="2"/>
      <c r="R381" s="2"/>
      <c r="S381" s="76"/>
      <c r="T381" s="2"/>
    </row>
    <row r="382" ht="15.75" customHeight="1">
      <c r="A382" s="2"/>
      <c r="B382" s="2"/>
      <c r="C382" s="2"/>
      <c r="D382" s="2"/>
      <c r="E382" s="2"/>
      <c r="F382" s="2"/>
      <c r="G382" s="2"/>
      <c r="H382" s="2"/>
      <c r="I382" s="74"/>
      <c r="J382" s="74"/>
      <c r="K382" s="74"/>
      <c r="L382" s="74"/>
      <c r="M382" s="2"/>
      <c r="N382" s="2"/>
      <c r="O382" s="2"/>
      <c r="P382" s="74"/>
      <c r="Q382" s="2"/>
      <c r="R382" s="2"/>
      <c r="S382" s="76"/>
      <c r="T382" s="2"/>
    </row>
    <row r="383" ht="15.75" customHeight="1">
      <c r="A383" s="2"/>
      <c r="B383" s="2"/>
      <c r="C383" s="2"/>
      <c r="D383" s="2"/>
      <c r="E383" s="2"/>
      <c r="F383" s="2"/>
      <c r="G383" s="2"/>
      <c r="H383" s="2"/>
      <c r="I383" s="74"/>
      <c r="J383" s="74"/>
      <c r="K383" s="74"/>
      <c r="L383" s="74"/>
      <c r="M383" s="2"/>
      <c r="N383" s="2"/>
      <c r="O383" s="2"/>
      <c r="P383" s="74"/>
      <c r="Q383" s="2"/>
      <c r="R383" s="2"/>
      <c r="S383" s="76"/>
      <c r="T383" s="2"/>
    </row>
    <row r="384" ht="15.75" customHeight="1">
      <c r="A384" s="2"/>
      <c r="B384" s="2"/>
      <c r="C384" s="2"/>
      <c r="D384" s="2"/>
      <c r="E384" s="2"/>
      <c r="F384" s="2"/>
      <c r="G384" s="2"/>
      <c r="H384" s="2"/>
      <c r="I384" s="74"/>
      <c r="J384" s="74"/>
      <c r="K384" s="74"/>
      <c r="L384" s="74"/>
      <c r="M384" s="2"/>
      <c r="N384" s="2"/>
      <c r="O384" s="2"/>
      <c r="P384" s="74"/>
      <c r="Q384" s="2"/>
      <c r="R384" s="2"/>
      <c r="S384" s="76"/>
      <c r="T384" s="2"/>
    </row>
    <row r="385" ht="15.75" customHeight="1">
      <c r="A385" s="2"/>
      <c r="B385" s="2"/>
      <c r="C385" s="2"/>
      <c r="D385" s="2"/>
      <c r="E385" s="2"/>
      <c r="F385" s="2"/>
      <c r="G385" s="2"/>
      <c r="H385" s="2"/>
      <c r="I385" s="74"/>
      <c r="J385" s="74"/>
      <c r="K385" s="74"/>
      <c r="L385" s="74"/>
      <c r="M385" s="2"/>
      <c r="N385" s="2"/>
      <c r="O385" s="2"/>
      <c r="P385" s="74"/>
      <c r="Q385" s="2"/>
      <c r="R385" s="2"/>
      <c r="S385" s="76"/>
      <c r="T385" s="2"/>
    </row>
    <row r="386" ht="15.75" customHeight="1">
      <c r="A386" s="2"/>
      <c r="B386" s="2"/>
      <c r="C386" s="2"/>
      <c r="D386" s="2"/>
      <c r="E386" s="2"/>
      <c r="F386" s="2"/>
      <c r="G386" s="2"/>
      <c r="H386" s="2"/>
      <c r="I386" s="74"/>
      <c r="J386" s="74"/>
      <c r="K386" s="74"/>
      <c r="L386" s="74"/>
      <c r="M386" s="2"/>
      <c r="N386" s="2"/>
      <c r="O386" s="2"/>
      <c r="P386" s="74"/>
      <c r="Q386" s="2"/>
      <c r="R386" s="2"/>
      <c r="S386" s="76"/>
      <c r="T386" s="2"/>
    </row>
    <row r="387" ht="15.75" customHeight="1">
      <c r="A387" s="2"/>
      <c r="B387" s="2"/>
      <c r="C387" s="2"/>
      <c r="D387" s="2"/>
      <c r="E387" s="2"/>
      <c r="F387" s="2"/>
      <c r="G387" s="2"/>
      <c r="H387" s="2"/>
      <c r="I387" s="74"/>
      <c r="J387" s="74"/>
      <c r="K387" s="74"/>
      <c r="L387" s="74"/>
      <c r="M387" s="2"/>
      <c r="N387" s="2"/>
      <c r="O387" s="2"/>
      <c r="P387" s="74"/>
      <c r="Q387" s="2"/>
      <c r="R387" s="2"/>
      <c r="S387" s="76"/>
      <c r="T387" s="2"/>
    </row>
    <row r="388" ht="15.75" customHeight="1">
      <c r="A388" s="2"/>
      <c r="B388" s="2"/>
      <c r="C388" s="2"/>
      <c r="D388" s="2"/>
      <c r="E388" s="2"/>
      <c r="F388" s="2"/>
      <c r="G388" s="2"/>
      <c r="H388" s="2"/>
      <c r="I388" s="74"/>
      <c r="J388" s="74"/>
      <c r="K388" s="74"/>
      <c r="L388" s="74"/>
      <c r="M388" s="2"/>
      <c r="N388" s="2"/>
      <c r="O388" s="2"/>
      <c r="P388" s="74"/>
      <c r="Q388" s="2"/>
      <c r="R388" s="2"/>
      <c r="S388" s="76"/>
      <c r="T388" s="2"/>
    </row>
    <row r="389" ht="15.75" customHeight="1">
      <c r="A389" s="2"/>
      <c r="B389" s="2"/>
      <c r="C389" s="2"/>
      <c r="D389" s="2"/>
      <c r="E389" s="2"/>
      <c r="F389" s="2"/>
      <c r="G389" s="2"/>
      <c r="H389" s="2"/>
      <c r="I389" s="74"/>
      <c r="J389" s="74"/>
      <c r="K389" s="74"/>
      <c r="L389" s="74"/>
      <c r="M389" s="2"/>
      <c r="N389" s="2"/>
      <c r="O389" s="2"/>
      <c r="P389" s="74"/>
      <c r="Q389" s="2"/>
      <c r="R389" s="2"/>
      <c r="S389" s="76"/>
      <c r="T389" s="2"/>
    </row>
    <row r="390" ht="15.75" customHeight="1">
      <c r="A390" s="2"/>
      <c r="B390" s="2"/>
      <c r="C390" s="2"/>
      <c r="D390" s="2"/>
      <c r="E390" s="2"/>
      <c r="F390" s="2"/>
      <c r="G390" s="2"/>
      <c r="H390" s="2"/>
      <c r="I390" s="74"/>
      <c r="J390" s="74"/>
      <c r="K390" s="74"/>
      <c r="L390" s="74"/>
      <c r="M390" s="2"/>
      <c r="N390" s="2"/>
      <c r="O390" s="2"/>
      <c r="P390" s="74"/>
      <c r="Q390" s="2"/>
      <c r="R390" s="2"/>
      <c r="S390" s="76"/>
      <c r="T390" s="2"/>
    </row>
    <row r="391" ht="15.75" customHeight="1">
      <c r="A391" s="2"/>
      <c r="B391" s="2"/>
      <c r="C391" s="2"/>
      <c r="D391" s="2"/>
      <c r="E391" s="2"/>
      <c r="F391" s="2"/>
      <c r="G391" s="2"/>
      <c r="H391" s="2"/>
      <c r="I391" s="74"/>
      <c r="J391" s="74"/>
      <c r="K391" s="74"/>
      <c r="L391" s="74"/>
      <c r="M391" s="2"/>
      <c r="N391" s="2"/>
      <c r="O391" s="2"/>
      <c r="P391" s="74"/>
      <c r="Q391" s="2"/>
      <c r="R391" s="2"/>
      <c r="S391" s="76"/>
      <c r="T391" s="2"/>
    </row>
    <row r="392" ht="15.75" customHeight="1">
      <c r="A392" s="2"/>
      <c r="B392" s="2"/>
      <c r="C392" s="2"/>
      <c r="D392" s="2"/>
      <c r="E392" s="2"/>
      <c r="F392" s="2"/>
      <c r="G392" s="2"/>
      <c r="H392" s="2"/>
      <c r="I392" s="74"/>
      <c r="J392" s="74"/>
      <c r="K392" s="74"/>
      <c r="L392" s="74"/>
      <c r="M392" s="2"/>
      <c r="N392" s="2"/>
      <c r="O392" s="2"/>
      <c r="P392" s="74"/>
      <c r="Q392" s="2"/>
      <c r="R392" s="2"/>
      <c r="S392" s="76"/>
      <c r="T392" s="2"/>
    </row>
    <row r="393" ht="15.75" customHeight="1">
      <c r="A393" s="2"/>
      <c r="B393" s="2"/>
      <c r="C393" s="2"/>
      <c r="D393" s="2"/>
      <c r="E393" s="2"/>
      <c r="F393" s="2"/>
      <c r="G393" s="2"/>
      <c r="H393" s="2"/>
      <c r="I393" s="74"/>
      <c r="J393" s="74"/>
      <c r="K393" s="74"/>
      <c r="L393" s="74"/>
      <c r="M393" s="2"/>
      <c r="N393" s="2"/>
      <c r="O393" s="2"/>
      <c r="P393" s="74"/>
      <c r="Q393" s="2"/>
      <c r="R393" s="2"/>
      <c r="S393" s="76"/>
      <c r="T393" s="2"/>
    </row>
    <row r="394" ht="15.75" customHeight="1">
      <c r="A394" s="2"/>
      <c r="B394" s="2"/>
      <c r="C394" s="2"/>
      <c r="D394" s="2"/>
      <c r="E394" s="2"/>
      <c r="F394" s="2"/>
      <c r="G394" s="2"/>
      <c r="H394" s="2"/>
      <c r="I394" s="74"/>
      <c r="J394" s="74"/>
      <c r="K394" s="74"/>
      <c r="L394" s="74"/>
      <c r="M394" s="2"/>
      <c r="N394" s="2"/>
      <c r="O394" s="2"/>
      <c r="P394" s="74"/>
      <c r="Q394" s="2"/>
      <c r="R394" s="2"/>
      <c r="S394" s="76"/>
      <c r="T394" s="2"/>
    </row>
    <row r="395" ht="15.75" customHeight="1">
      <c r="A395" s="2"/>
      <c r="B395" s="2"/>
      <c r="C395" s="2"/>
      <c r="D395" s="2"/>
      <c r="E395" s="2"/>
      <c r="F395" s="2"/>
      <c r="G395" s="2"/>
      <c r="H395" s="2"/>
      <c r="I395" s="74"/>
      <c r="J395" s="74"/>
      <c r="K395" s="74"/>
      <c r="L395" s="74"/>
      <c r="M395" s="2"/>
      <c r="N395" s="2"/>
      <c r="O395" s="2"/>
      <c r="P395" s="74"/>
      <c r="Q395" s="2"/>
      <c r="R395" s="2"/>
      <c r="S395" s="76"/>
      <c r="T395" s="2"/>
    </row>
    <row r="396" ht="15.75" customHeight="1">
      <c r="A396" s="2"/>
      <c r="B396" s="2"/>
      <c r="C396" s="2"/>
      <c r="D396" s="2"/>
      <c r="E396" s="2"/>
      <c r="F396" s="2"/>
      <c r="G396" s="2"/>
      <c r="H396" s="2"/>
      <c r="I396" s="74"/>
      <c r="J396" s="74"/>
      <c r="K396" s="74"/>
      <c r="L396" s="74"/>
      <c r="M396" s="2"/>
      <c r="N396" s="2"/>
      <c r="O396" s="2"/>
      <c r="P396" s="74"/>
      <c r="Q396" s="2"/>
      <c r="R396" s="2"/>
      <c r="S396" s="76"/>
      <c r="T396" s="2"/>
    </row>
    <row r="397" ht="15.75" customHeight="1">
      <c r="A397" s="2"/>
      <c r="B397" s="2"/>
      <c r="C397" s="2"/>
      <c r="D397" s="2"/>
      <c r="E397" s="2"/>
      <c r="F397" s="2"/>
      <c r="G397" s="2"/>
      <c r="H397" s="2"/>
      <c r="I397" s="74"/>
      <c r="J397" s="74"/>
      <c r="K397" s="74"/>
      <c r="L397" s="74"/>
      <c r="M397" s="2"/>
      <c r="N397" s="2"/>
      <c r="O397" s="2"/>
      <c r="P397" s="74"/>
      <c r="Q397" s="2"/>
      <c r="R397" s="2"/>
      <c r="S397" s="76"/>
      <c r="T397" s="2"/>
    </row>
    <row r="398" ht="15.75" customHeight="1">
      <c r="A398" s="2"/>
      <c r="B398" s="2"/>
      <c r="C398" s="2"/>
      <c r="D398" s="2"/>
      <c r="E398" s="2"/>
      <c r="F398" s="2"/>
      <c r="G398" s="2"/>
      <c r="H398" s="2"/>
      <c r="I398" s="74"/>
      <c r="J398" s="74"/>
      <c r="K398" s="74"/>
      <c r="L398" s="74"/>
      <c r="M398" s="2"/>
      <c r="N398" s="2"/>
      <c r="O398" s="2"/>
      <c r="P398" s="74"/>
      <c r="Q398" s="2"/>
      <c r="R398" s="2"/>
      <c r="S398" s="76"/>
      <c r="T398" s="2"/>
    </row>
    <row r="399" ht="15.75" customHeight="1">
      <c r="A399" s="2"/>
      <c r="B399" s="2"/>
      <c r="C399" s="2"/>
      <c r="D399" s="2"/>
      <c r="E399" s="2"/>
      <c r="F399" s="2"/>
      <c r="G399" s="2"/>
      <c r="H399" s="2"/>
      <c r="I399" s="74"/>
      <c r="J399" s="74"/>
      <c r="K399" s="74"/>
      <c r="L399" s="74"/>
      <c r="M399" s="2"/>
      <c r="N399" s="2"/>
      <c r="O399" s="2"/>
      <c r="P399" s="74"/>
      <c r="Q399" s="2"/>
      <c r="R399" s="2"/>
      <c r="S399" s="76"/>
      <c r="T399" s="2"/>
    </row>
    <row r="400" ht="15.75" customHeight="1">
      <c r="A400" s="2"/>
      <c r="B400" s="2"/>
      <c r="C400" s="2"/>
      <c r="D400" s="2"/>
      <c r="E400" s="2"/>
      <c r="F400" s="2"/>
      <c r="G400" s="2"/>
      <c r="H400" s="2"/>
      <c r="I400" s="74"/>
      <c r="J400" s="74"/>
      <c r="K400" s="74"/>
      <c r="L400" s="74"/>
      <c r="M400" s="2"/>
      <c r="N400" s="2"/>
      <c r="O400" s="2"/>
      <c r="P400" s="74"/>
      <c r="Q400" s="2"/>
      <c r="R400" s="2"/>
      <c r="S400" s="76"/>
      <c r="T400" s="2"/>
    </row>
    <row r="401" ht="15.75" customHeight="1">
      <c r="A401" s="2"/>
      <c r="B401" s="2"/>
      <c r="C401" s="2"/>
      <c r="D401" s="2"/>
      <c r="E401" s="2"/>
      <c r="F401" s="2"/>
      <c r="G401" s="2"/>
      <c r="H401" s="2"/>
      <c r="I401" s="74"/>
      <c r="J401" s="74"/>
      <c r="K401" s="74"/>
      <c r="L401" s="74"/>
      <c r="M401" s="2"/>
      <c r="N401" s="2"/>
      <c r="O401" s="2"/>
      <c r="P401" s="74"/>
      <c r="Q401" s="2"/>
      <c r="R401" s="2"/>
      <c r="S401" s="76"/>
      <c r="T401" s="2"/>
    </row>
    <row r="402" ht="15.75" customHeight="1">
      <c r="A402" s="2"/>
      <c r="B402" s="2"/>
      <c r="C402" s="2"/>
      <c r="D402" s="2"/>
      <c r="E402" s="2"/>
      <c r="F402" s="2"/>
      <c r="G402" s="2"/>
      <c r="H402" s="2"/>
      <c r="I402" s="74"/>
      <c r="J402" s="74"/>
      <c r="K402" s="74"/>
      <c r="L402" s="74"/>
      <c r="M402" s="2"/>
      <c r="N402" s="2"/>
      <c r="O402" s="2"/>
      <c r="P402" s="74"/>
      <c r="Q402" s="2"/>
      <c r="R402" s="2"/>
      <c r="S402" s="76"/>
      <c r="T402" s="2"/>
    </row>
    <row r="403" ht="15.75" customHeight="1">
      <c r="A403" s="2"/>
      <c r="B403" s="2"/>
      <c r="C403" s="2"/>
      <c r="D403" s="2"/>
      <c r="E403" s="2"/>
      <c r="F403" s="2"/>
      <c r="G403" s="2"/>
      <c r="H403" s="2"/>
      <c r="I403" s="74"/>
      <c r="J403" s="74"/>
      <c r="K403" s="74"/>
      <c r="L403" s="74"/>
      <c r="M403" s="2"/>
      <c r="N403" s="2"/>
      <c r="O403" s="2"/>
      <c r="P403" s="74"/>
      <c r="Q403" s="2"/>
      <c r="R403" s="2"/>
      <c r="S403" s="76"/>
      <c r="T403" s="2"/>
    </row>
    <row r="404" ht="15.75" customHeight="1">
      <c r="A404" s="2"/>
      <c r="B404" s="2"/>
      <c r="C404" s="2"/>
      <c r="D404" s="2"/>
      <c r="E404" s="2"/>
      <c r="F404" s="2"/>
      <c r="G404" s="2"/>
      <c r="H404" s="2"/>
      <c r="I404" s="74"/>
      <c r="J404" s="74"/>
      <c r="K404" s="74"/>
      <c r="L404" s="74"/>
      <c r="M404" s="2"/>
      <c r="N404" s="2"/>
      <c r="O404" s="2"/>
      <c r="P404" s="74"/>
      <c r="Q404" s="2"/>
      <c r="R404" s="2"/>
      <c r="S404" s="76"/>
      <c r="T404" s="2"/>
    </row>
    <row r="405" ht="15.75" customHeight="1">
      <c r="A405" s="2"/>
      <c r="B405" s="2"/>
      <c r="C405" s="2"/>
      <c r="D405" s="2"/>
      <c r="E405" s="2"/>
      <c r="F405" s="2"/>
      <c r="G405" s="2"/>
      <c r="H405" s="2"/>
      <c r="I405" s="74"/>
      <c r="J405" s="74"/>
      <c r="K405" s="74"/>
      <c r="L405" s="74"/>
      <c r="M405" s="2"/>
      <c r="N405" s="2"/>
      <c r="O405" s="2"/>
      <c r="P405" s="74"/>
      <c r="Q405" s="2"/>
      <c r="R405" s="2"/>
      <c r="S405" s="76"/>
      <c r="T405" s="2"/>
    </row>
    <row r="406" ht="15.75" customHeight="1">
      <c r="A406" s="2"/>
      <c r="B406" s="2"/>
      <c r="C406" s="2"/>
      <c r="D406" s="2"/>
      <c r="E406" s="2"/>
      <c r="F406" s="2"/>
      <c r="G406" s="2"/>
      <c r="H406" s="2"/>
      <c r="I406" s="74"/>
      <c r="J406" s="74"/>
      <c r="K406" s="74"/>
      <c r="L406" s="74"/>
      <c r="M406" s="2"/>
      <c r="N406" s="2"/>
      <c r="O406" s="2"/>
      <c r="P406" s="74"/>
      <c r="Q406" s="2"/>
      <c r="R406" s="2"/>
      <c r="S406" s="76"/>
      <c r="T406" s="2"/>
    </row>
    <row r="407" ht="15.75" customHeight="1">
      <c r="A407" s="2"/>
      <c r="B407" s="2"/>
      <c r="C407" s="2"/>
      <c r="D407" s="2"/>
      <c r="E407" s="2"/>
      <c r="F407" s="2"/>
      <c r="G407" s="2"/>
      <c r="H407" s="2"/>
      <c r="I407" s="74"/>
      <c r="J407" s="74"/>
      <c r="K407" s="74"/>
      <c r="L407" s="74"/>
      <c r="M407" s="2"/>
      <c r="N407" s="2"/>
      <c r="O407" s="2"/>
      <c r="P407" s="74"/>
      <c r="Q407" s="2"/>
      <c r="R407" s="2"/>
      <c r="S407" s="76"/>
      <c r="T407" s="2"/>
    </row>
    <row r="408" ht="15.75" customHeight="1">
      <c r="A408" s="2"/>
      <c r="B408" s="2"/>
      <c r="C408" s="2"/>
      <c r="D408" s="2"/>
      <c r="E408" s="2"/>
      <c r="F408" s="2"/>
      <c r="G408" s="2"/>
      <c r="H408" s="2"/>
      <c r="I408" s="74"/>
      <c r="J408" s="74"/>
      <c r="K408" s="74"/>
      <c r="L408" s="74"/>
      <c r="M408" s="2"/>
      <c r="N408" s="2"/>
      <c r="O408" s="2"/>
      <c r="P408" s="74"/>
      <c r="Q408" s="2"/>
      <c r="R408" s="2"/>
      <c r="S408" s="76"/>
      <c r="T408" s="2"/>
    </row>
    <row r="409" ht="15.75" customHeight="1">
      <c r="A409" s="2"/>
      <c r="B409" s="2"/>
      <c r="C409" s="2"/>
      <c r="D409" s="2"/>
      <c r="E409" s="2"/>
      <c r="F409" s="2"/>
      <c r="G409" s="2"/>
      <c r="H409" s="2"/>
      <c r="I409" s="74"/>
      <c r="J409" s="74"/>
      <c r="K409" s="74"/>
      <c r="L409" s="74"/>
      <c r="M409" s="2"/>
      <c r="N409" s="2"/>
      <c r="O409" s="2"/>
      <c r="P409" s="74"/>
      <c r="Q409" s="2"/>
      <c r="R409" s="2"/>
      <c r="S409" s="76"/>
      <c r="T409" s="2"/>
    </row>
    <row r="410" ht="15.75" customHeight="1">
      <c r="A410" s="2"/>
      <c r="B410" s="2"/>
      <c r="C410" s="2"/>
      <c r="D410" s="2"/>
      <c r="E410" s="2"/>
      <c r="F410" s="2"/>
      <c r="G410" s="2"/>
      <c r="H410" s="2"/>
      <c r="I410" s="74"/>
      <c r="J410" s="74"/>
      <c r="K410" s="74"/>
      <c r="L410" s="74"/>
      <c r="M410" s="2"/>
      <c r="N410" s="2"/>
      <c r="O410" s="2"/>
      <c r="P410" s="74"/>
      <c r="Q410" s="2"/>
      <c r="R410" s="2"/>
      <c r="S410" s="76"/>
      <c r="T410" s="2"/>
    </row>
    <row r="411" ht="15.75" customHeight="1">
      <c r="A411" s="2"/>
      <c r="B411" s="2"/>
      <c r="C411" s="2"/>
      <c r="D411" s="2"/>
      <c r="E411" s="2"/>
      <c r="F411" s="2"/>
      <c r="G411" s="2"/>
      <c r="H411" s="2"/>
      <c r="I411" s="74"/>
      <c r="J411" s="74"/>
      <c r="K411" s="74"/>
      <c r="L411" s="74"/>
      <c r="M411" s="2"/>
      <c r="N411" s="2"/>
      <c r="O411" s="2"/>
      <c r="P411" s="74"/>
      <c r="Q411" s="2"/>
      <c r="R411" s="2"/>
      <c r="S411" s="76"/>
      <c r="T411" s="2"/>
    </row>
    <row r="412" ht="15.75" customHeight="1">
      <c r="A412" s="2"/>
      <c r="B412" s="2"/>
      <c r="C412" s="2"/>
      <c r="D412" s="2"/>
      <c r="E412" s="2"/>
      <c r="F412" s="2"/>
      <c r="G412" s="2"/>
      <c r="H412" s="2"/>
      <c r="I412" s="74"/>
      <c r="J412" s="74"/>
      <c r="K412" s="74"/>
      <c r="L412" s="74"/>
      <c r="M412" s="2"/>
      <c r="N412" s="2"/>
      <c r="O412" s="2"/>
      <c r="P412" s="74"/>
      <c r="Q412" s="2"/>
      <c r="R412" s="2"/>
      <c r="S412" s="76"/>
      <c r="T412" s="2"/>
    </row>
    <row r="413" ht="15.75" customHeight="1">
      <c r="A413" s="2"/>
      <c r="B413" s="2"/>
      <c r="C413" s="2"/>
      <c r="D413" s="2"/>
      <c r="E413" s="2"/>
      <c r="F413" s="2"/>
      <c r="G413" s="2"/>
      <c r="H413" s="2"/>
      <c r="I413" s="74"/>
      <c r="J413" s="74"/>
      <c r="K413" s="74"/>
      <c r="L413" s="74"/>
      <c r="M413" s="2"/>
      <c r="N413" s="2"/>
      <c r="O413" s="2"/>
      <c r="P413" s="74"/>
      <c r="Q413" s="2"/>
      <c r="R413" s="2"/>
      <c r="S413" s="76"/>
      <c r="T413" s="2"/>
    </row>
    <row r="414" ht="15.75" customHeight="1">
      <c r="A414" s="2"/>
      <c r="B414" s="2"/>
      <c r="C414" s="2"/>
      <c r="D414" s="2"/>
      <c r="E414" s="2"/>
      <c r="F414" s="2"/>
      <c r="G414" s="2"/>
      <c r="H414" s="2"/>
      <c r="I414" s="74"/>
      <c r="J414" s="74"/>
      <c r="K414" s="74"/>
      <c r="L414" s="74"/>
      <c r="M414" s="2"/>
      <c r="N414" s="2"/>
      <c r="O414" s="2"/>
      <c r="P414" s="74"/>
      <c r="Q414" s="2"/>
      <c r="R414" s="2"/>
      <c r="S414" s="76"/>
      <c r="T414" s="2"/>
    </row>
    <row r="415" ht="15.75" customHeight="1">
      <c r="A415" s="2"/>
      <c r="B415" s="2"/>
      <c r="C415" s="2"/>
      <c r="D415" s="2"/>
      <c r="E415" s="2"/>
      <c r="F415" s="2"/>
      <c r="G415" s="2"/>
      <c r="H415" s="2"/>
      <c r="I415" s="74"/>
      <c r="J415" s="74"/>
      <c r="K415" s="74"/>
      <c r="L415" s="74"/>
      <c r="M415" s="2"/>
      <c r="N415" s="2"/>
      <c r="O415" s="2"/>
      <c r="P415" s="74"/>
      <c r="Q415" s="2"/>
      <c r="R415" s="2"/>
      <c r="S415" s="76"/>
      <c r="T415" s="2"/>
    </row>
    <row r="416" ht="15.75" customHeight="1">
      <c r="A416" s="2"/>
      <c r="B416" s="2"/>
      <c r="C416" s="2"/>
      <c r="D416" s="2"/>
      <c r="E416" s="2"/>
      <c r="F416" s="2"/>
      <c r="G416" s="2"/>
      <c r="H416" s="2"/>
      <c r="I416" s="74"/>
      <c r="J416" s="74"/>
      <c r="K416" s="74"/>
      <c r="L416" s="74"/>
      <c r="M416" s="2"/>
      <c r="N416" s="2"/>
      <c r="O416" s="2"/>
      <c r="P416" s="74"/>
      <c r="Q416" s="2"/>
      <c r="R416" s="2"/>
      <c r="S416" s="76"/>
      <c r="T416" s="2"/>
    </row>
    <row r="417" ht="15.75" customHeight="1">
      <c r="A417" s="2"/>
      <c r="B417" s="2"/>
      <c r="C417" s="2"/>
      <c r="D417" s="2"/>
      <c r="E417" s="2"/>
      <c r="F417" s="2"/>
      <c r="G417" s="2"/>
      <c r="H417" s="2"/>
      <c r="I417" s="74"/>
      <c r="J417" s="74"/>
      <c r="K417" s="74"/>
      <c r="L417" s="74"/>
      <c r="M417" s="2"/>
      <c r="N417" s="2"/>
      <c r="O417" s="2"/>
      <c r="P417" s="74"/>
      <c r="Q417" s="2"/>
      <c r="R417" s="2"/>
      <c r="S417" s="76"/>
      <c r="T417" s="2"/>
    </row>
    <row r="418" ht="15.75" customHeight="1">
      <c r="A418" s="2"/>
      <c r="B418" s="2"/>
      <c r="C418" s="2"/>
      <c r="D418" s="2"/>
      <c r="E418" s="2"/>
      <c r="F418" s="2"/>
      <c r="G418" s="2"/>
      <c r="H418" s="2"/>
      <c r="I418" s="74"/>
      <c r="J418" s="74"/>
      <c r="K418" s="74"/>
      <c r="L418" s="74"/>
      <c r="M418" s="2"/>
      <c r="N418" s="2"/>
      <c r="O418" s="2"/>
      <c r="P418" s="74"/>
      <c r="Q418" s="2"/>
      <c r="R418" s="2"/>
      <c r="S418" s="76"/>
      <c r="T418" s="2"/>
    </row>
    <row r="419" ht="15.75" customHeight="1">
      <c r="A419" s="2"/>
      <c r="B419" s="2"/>
      <c r="C419" s="2"/>
      <c r="D419" s="2"/>
      <c r="E419" s="2"/>
      <c r="F419" s="2"/>
      <c r="G419" s="2"/>
      <c r="H419" s="2"/>
      <c r="I419" s="74"/>
      <c r="J419" s="74"/>
      <c r="K419" s="74"/>
      <c r="L419" s="74"/>
      <c r="M419" s="2"/>
      <c r="N419" s="2"/>
      <c r="O419" s="2"/>
      <c r="P419" s="74"/>
      <c r="Q419" s="2"/>
      <c r="R419" s="2"/>
      <c r="S419" s="76"/>
      <c r="T419" s="2"/>
    </row>
    <row r="420" ht="15.75" customHeight="1">
      <c r="A420" s="2"/>
      <c r="B420" s="2"/>
      <c r="C420" s="2"/>
      <c r="D420" s="2"/>
      <c r="E420" s="2"/>
      <c r="F420" s="2"/>
      <c r="G420" s="2"/>
      <c r="H420" s="2"/>
      <c r="I420" s="74"/>
      <c r="J420" s="74"/>
      <c r="K420" s="74"/>
      <c r="L420" s="74"/>
      <c r="M420" s="2"/>
      <c r="N420" s="2"/>
      <c r="O420" s="2"/>
      <c r="P420" s="74"/>
      <c r="Q420" s="2"/>
      <c r="R420" s="2"/>
      <c r="S420" s="76"/>
      <c r="T420" s="2"/>
    </row>
    <row r="421" ht="15.75" customHeight="1">
      <c r="A421" s="2"/>
      <c r="B421" s="2"/>
      <c r="C421" s="2"/>
      <c r="D421" s="2"/>
      <c r="E421" s="2"/>
      <c r="F421" s="2"/>
      <c r="G421" s="2"/>
      <c r="H421" s="2"/>
      <c r="I421" s="74"/>
      <c r="J421" s="74"/>
      <c r="K421" s="74"/>
      <c r="L421" s="74"/>
      <c r="M421" s="2"/>
      <c r="N421" s="2"/>
      <c r="O421" s="2"/>
      <c r="P421" s="74"/>
      <c r="Q421" s="2"/>
      <c r="R421" s="2"/>
      <c r="S421" s="76"/>
      <c r="T421" s="2"/>
    </row>
    <row r="422" ht="15.75" customHeight="1">
      <c r="A422" s="2"/>
      <c r="B422" s="2"/>
      <c r="C422" s="2"/>
      <c r="D422" s="2"/>
      <c r="E422" s="2"/>
      <c r="F422" s="2"/>
      <c r="G422" s="2"/>
      <c r="H422" s="2"/>
      <c r="I422" s="74"/>
      <c r="J422" s="74"/>
      <c r="K422" s="74"/>
      <c r="L422" s="74"/>
      <c r="M422" s="2"/>
      <c r="N422" s="2"/>
      <c r="O422" s="2"/>
      <c r="P422" s="74"/>
      <c r="Q422" s="2"/>
      <c r="R422" s="2"/>
      <c r="S422" s="76"/>
      <c r="T422" s="2"/>
    </row>
    <row r="423" ht="15.75" customHeight="1">
      <c r="A423" s="2"/>
      <c r="B423" s="2"/>
      <c r="C423" s="2"/>
      <c r="D423" s="2"/>
      <c r="E423" s="2"/>
      <c r="F423" s="2"/>
      <c r="G423" s="2"/>
      <c r="H423" s="2"/>
      <c r="I423" s="74"/>
      <c r="J423" s="74"/>
      <c r="K423" s="74"/>
      <c r="L423" s="74"/>
      <c r="M423" s="2"/>
      <c r="N423" s="2"/>
      <c r="O423" s="2"/>
      <c r="P423" s="74"/>
      <c r="Q423" s="2"/>
      <c r="R423" s="2"/>
      <c r="S423" s="76"/>
      <c r="T423" s="2"/>
    </row>
    <row r="424" ht="15.75" customHeight="1">
      <c r="A424" s="2"/>
      <c r="B424" s="2"/>
      <c r="C424" s="2"/>
      <c r="D424" s="2"/>
      <c r="E424" s="2"/>
      <c r="F424" s="2"/>
      <c r="G424" s="2"/>
      <c r="H424" s="2"/>
      <c r="I424" s="74"/>
      <c r="J424" s="74"/>
      <c r="K424" s="74"/>
      <c r="L424" s="74"/>
      <c r="M424" s="2"/>
      <c r="N424" s="2"/>
      <c r="O424" s="2"/>
      <c r="P424" s="74"/>
      <c r="Q424" s="2"/>
      <c r="R424" s="2"/>
      <c r="S424" s="76"/>
      <c r="T424" s="2"/>
    </row>
    <row r="425" ht="15.75" customHeight="1">
      <c r="A425" s="2"/>
      <c r="B425" s="2"/>
      <c r="C425" s="2"/>
      <c r="D425" s="2"/>
      <c r="E425" s="2"/>
      <c r="F425" s="2"/>
      <c r="G425" s="2"/>
      <c r="H425" s="2"/>
      <c r="I425" s="74"/>
      <c r="J425" s="74"/>
      <c r="K425" s="74"/>
      <c r="L425" s="74"/>
      <c r="M425" s="2"/>
      <c r="N425" s="2"/>
      <c r="O425" s="2"/>
      <c r="P425" s="74"/>
      <c r="Q425" s="2"/>
      <c r="R425" s="2"/>
      <c r="S425" s="76"/>
      <c r="T425" s="2"/>
    </row>
    <row r="426" ht="15.75" customHeight="1">
      <c r="A426" s="2"/>
      <c r="B426" s="2"/>
      <c r="C426" s="2"/>
      <c r="D426" s="2"/>
      <c r="E426" s="2"/>
      <c r="F426" s="2"/>
      <c r="G426" s="2"/>
      <c r="H426" s="2"/>
      <c r="I426" s="74"/>
      <c r="J426" s="74"/>
      <c r="K426" s="74"/>
      <c r="L426" s="74"/>
      <c r="M426" s="2"/>
      <c r="N426" s="2"/>
      <c r="O426" s="2"/>
      <c r="P426" s="74"/>
      <c r="Q426" s="2"/>
      <c r="R426" s="2"/>
      <c r="S426" s="76"/>
      <c r="T426" s="2"/>
    </row>
    <row r="427" ht="15.75" customHeight="1">
      <c r="A427" s="2"/>
      <c r="B427" s="2"/>
      <c r="C427" s="2"/>
      <c r="D427" s="2"/>
      <c r="E427" s="2"/>
      <c r="F427" s="2"/>
      <c r="G427" s="2"/>
      <c r="H427" s="2"/>
      <c r="I427" s="74"/>
      <c r="J427" s="74"/>
      <c r="K427" s="74"/>
      <c r="L427" s="74"/>
      <c r="M427" s="2"/>
      <c r="N427" s="2"/>
      <c r="O427" s="2"/>
      <c r="P427" s="74"/>
      <c r="Q427" s="2"/>
      <c r="R427" s="2"/>
      <c r="S427" s="76"/>
      <c r="T427" s="2"/>
    </row>
    <row r="428" ht="15.75" customHeight="1">
      <c r="A428" s="2"/>
      <c r="B428" s="2"/>
      <c r="C428" s="2"/>
      <c r="D428" s="2"/>
      <c r="E428" s="2"/>
      <c r="F428" s="2"/>
      <c r="G428" s="2"/>
      <c r="H428" s="2"/>
      <c r="I428" s="74"/>
      <c r="J428" s="74"/>
      <c r="K428" s="74"/>
      <c r="L428" s="74"/>
      <c r="M428" s="2"/>
      <c r="N428" s="2"/>
      <c r="O428" s="2"/>
      <c r="P428" s="74"/>
      <c r="Q428" s="2"/>
      <c r="R428" s="2"/>
      <c r="S428" s="76"/>
      <c r="T428" s="2"/>
    </row>
    <row r="429" ht="15.75" customHeight="1">
      <c r="A429" s="2"/>
      <c r="B429" s="2"/>
      <c r="C429" s="2"/>
      <c r="D429" s="2"/>
      <c r="E429" s="2"/>
      <c r="F429" s="2"/>
      <c r="G429" s="2"/>
      <c r="H429" s="2"/>
      <c r="I429" s="74"/>
      <c r="J429" s="74"/>
      <c r="K429" s="74"/>
      <c r="L429" s="74"/>
      <c r="M429" s="2"/>
      <c r="N429" s="2"/>
      <c r="O429" s="2"/>
      <c r="P429" s="74"/>
      <c r="Q429" s="2"/>
      <c r="R429" s="2"/>
      <c r="S429" s="76"/>
      <c r="T429" s="2"/>
    </row>
    <row r="430" ht="15.75" customHeight="1">
      <c r="A430" s="2"/>
      <c r="B430" s="2"/>
      <c r="C430" s="2"/>
      <c r="D430" s="2"/>
      <c r="E430" s="2"/>
      <c r="F430" s="2"/>
      <c r="G430" s="2"/>
      <c r="H430" s="2"/>
      <c r="I430" s="74"/>
      <c r="J430" s="74"/>
      <c r="K430" s="74"/>
      <c r="L430" s="74"/>
      <c r="M430" s="2"/>
      <c r="N430" s="2"/>
      <c r="O430" s="2"/>
      <c r="P430" s="74"/>
      <c r="Q430" s="2"/>
      <c r="R430" s="2"/>
      <c r="S430" s="76"/>
      <c r="T430" s="2"/>
    </row>
    <row r="431" ht="15.75" customHeight="1">
      <c r="A431" s="2"/>
      <c r="B431" s="2"/>
      <c r="C431" s="2"/>
      <c r="D431" s="2"/>
      <c r="E431" s="2"/>
      <c r="F431" s="2"/>
      <c r="G431" s="2"/>
      <c r="H431" s="2"/>
      <c r="I431" s="74"/>
      <c r="J431" s="74"/>
      <c r="K431" s="74"/>
      <c r="L431" s="74"/>
      <c r="M431" s="2"/>
      <c r="N431" s="2"/>
      <c r="O431" s="2"/>
      <c r="P431" s="74"/>
      <c r="Q431" s="2"/>
      <c r="R431" s="2"/>
      <c r="S431" s="76"/>
      <c r="T431" s="2"/>
    </row>
    <row r="432" ht="15.75" customHeight="1">
      <c r="A432" s="2"/>
      <c r="B432" s="2"/>
      <c r="C432" s="2"/>
      <c r="D432" s="2"/>
      <c r="E432" s="2"/>
      <c r="F432" s="2"/>
      <c r="G432" s="2"/>
      <c r="H432" s="2"/>
      <c r="I432" s="74"/>
      <c r="J432" s="74"/>
      <c r="K432" s="74"/>
      <c r="L432" s="74"/>
      <c r="M432" s="2"/>
      <c r="N432" s="2"/>
      <c r="O432" s="2"/>
      <c r="P432" s="74"/>
      <c r="Q432" s="2"/>
      <c r="R432" s="2"/>
      <c r="S432" s="76"/>
      <c r="T432" s="2"/>
    </row>
    <row r="433" ht="15.75" customHeight="1">
      <c r="A433" s="2"/>
      <c r="B433" s="2"/>
      <c r="C433" s="2"/>
      <c r="D433" s="2"/>
      <c r="E433" s="2"/>
      <c r="F433" s="2"/>
      <c r="G433" s="2"/>
      <c r="H433" s="2"/>
      <c r="I433" s="74"/>
      <c r="J433" s="74"/>
      <c r="K433" s="74"/>
      <c r="L433" s="74"/>
      <c r="M433" s="2"/>
      <c r="N433" s="2"/>
      <c r="O433" s="2"/>
      <c r="P433" s="74"/>
      <c r="Q433" s="2"/>
      <c r="R433" s="2"/>
      <c r="S433" s="76"/>
      <c r="T433" s="2"/>
    </row>
    <row r="434" ht="15.75" customHeight="1">
      <c r="A434" s="2"/>
      <c r="B434" s="2"/>
      <c r="C434" s="2"/>
      <c r="D434" s="2"/>
      <c r="E434" s="2"/>
      <c r="F434" s="2"/>
      <c r="G434" s="2"/>
      <c r="H434" s="2"/>
      <c r="I434" s="74"/>
      <c r="J434" s="74"/>
      <c r="K434" s="74"/>
      <c r="L434" s="74"/>
      <c r="M434" s="2"/>
      <c r="N434" s="2"/>
      <c r="O434" s="2"/>
      <c r="P434" s="74"/>
      <c r="Q434" s="2"/>
      <c r="R434" s="2"/>
      <c r="S434" s="76"/>
      <c r="T434" s="2"/>
    </row>
    <row r="435" ht="15.75" customHeight="1">
      <c r="A435" s="2"/>
      <c r="B435" s="2"/>
      <c r="C435" s="2"/>
      <c r="D435" s="2"/>
      <c r="E435" s="2"/>
      <c r="F435" s="2"/>
      <c r="G435" s="2"/>
      <c r="H435" s="2"/>
      <c r="I435" s="74"/>
      <c r="J435" s="74"/>
      <c r="K435" s="74"/>
      <c r="L435" s="74"/>
      <c r="M435" s="2"/>
      <c r="N435" s="2"/>
      <c r="O435" s="2"/>
      <c r="P435" s="74"/>
      <c r="Q435" s="2"/>
      <c r="R435" s="2"/>
      <c r="S435" s="76"/>
      <c r="T435" s="2"/>
    </row>
    <row r="436" ht="15.75" customHeight="1">
      <c r="A436" s="2"/>
      <c r="B436" s="2"/>
      <c r="C436" s="2"/>
      <c r="D436" s="2"/>
      <c r="E436" s="2"/>
      <c r="F436" s="2"/>
      <c r="G436" s="2"/>
      <c r="H436" s="2"/>
      <c r="I436" s="74"/>
      <c r="J436" s="74"/>
      <c r="K436" s="74"/>
      <c r="L436" s="74"/>
      <c r="M436" s="2"/>
      <c r="N436" s="2"/>
      <c r="O436" s="2"/>
      <c r="P436" s="74"/>
      <c r="Q436" s="2"/>
      <c r="R436" s="2"/>
      <c r="S436" s="76"/>
      <c r="T436" s="2"/>
    </row>
    <row r="437" ht="15.75" customHeight="1">
      <c r="A437" s="2"/>
      <c r="B437" s="2"/>
      <c r="C437" s="2"/>
      <c r="D437" s="2"/>
      <c r="E437" s="2"/>
      <c r="F437" s="2"/>
      <c r="G437" s="2"/>
      <c r="H437" s="2"/>
      <c r="I437" s="74"/>
      <c r="J437" s="74"/>
      <c r="K437" s="74"/>
      <c r="L437" s="74"/>
      <c r="M437" s="2"/>
      <c r="N437" s="2"/>
      <c r="O437" s="2"/>
      <c r="P437" s="74"/>
      <c r="Q437" s="2"/>
      <c r="R437" s="2"/>
      <c r="S437" s="76"/>
      <c r="T437" s="2"/>
    </row>
    <row r="438" ht="15.75" customHeight="1">
      <c r="A438" s="2"/>
      <c r="B438" s="2"/>
      <c r="C438" s="2"/>
      <c r="D438" s="2"/>
      <c r="E438" s="2"/>
      <c r="F438" s="2"/>
      <c r="G438" s="2"/>
      <c r="H438" s="2"/>
      <c r="I438" s="74"/>
      <c r="J438" s="74"/>
      <c r="K438" s="74"/>
      <c r="L438" s="74"/>
      <c r="M438" s="2"/>
      <c r="N438" s="2"/>
      <c r="O438" s="2"/>
      <c r="P438" s="74"/>
      <c r="Q438" s="2"/>
      <c r="R438" s="2"/>
      <c r="S438" s="76"/>
      <c r="T438" s="2"/>
    </row>
    <row r="439" ht="15.75" customHeight="1">
      <c r="A439" s="2"/>
      <c r="B439" s="2"/>
      <c r="C439" s="2"/>
      <c r="D439" s="2"/>
      <c r="E439" s="2"/>
      <c r="F439" s="2"/>
      <c r="G439" s="2"/>
      <c r="H439" s="2"/>
      <c r="I439" s="74"/>
      <c r="J439" s="74"/>
      <c r="K439" s="74"/>
      <c r="L439" s="74"/>
      <c r="M439" s="2"/>
      <c r="N439" s="2"/>
      <c r="O439" s="2"/>
      <c r="P439" s="74"/>
      <c r="Q439" s="2"/>
      <c r="R439" s="2"/>
      <c r="S439" s="76"/>
      <c r="T439" s="2"/>
    </row>
    <row r="440" ht="15.75" customHeight="1">
      <c r="A440" s="2"/>
      <c r="B440" s="2"/>
      <c r="C440" s="2"/>
      <c r="D440" s="2"/>
      <c r="E440" s="2"/>
      <c r="F440" s="2"/>
      <c r="G440" s="2"/>
      <c r="H440" s="2"/>
      <c r="I440" s="74"/>
      <c r="J440" s="74"/>
      <c r="K440" s="74"/>
      <c r="L440" s="74"/>
      <c r="M440" s="2"/>
      <c r="N440" s="2"/>
      <c r="O440" s="2"/>
      <c r="P440" s="74"/>
      <c r="Q440" s="2"/>
      <c r="R440" s="2"/>
      <c r="S440" s="76"/>
      <c r="T440" s="2"/>
    </row>
    <row r="441" ht="15.75" customHeight="1">
      <c r="A441" s="2"/>
      <c r="B441" s="2"/>
      <c r="C441" s="2"/>
      <c r="D441" s="2"/>
      <c r="E441" s="2"/>
      <c r="F441" s="2"/>
      <c r="G441" s="2"/>
      <c r="H441" s="2"/>
      <c r="I441" s="74"/>
      <c r="J441" s="74"/>
      <c r="K441" s="74"/>
      <c r="L441" s="74"/>
      <c r="M441" s="2"/>
      <c r="N441" s="2"/>
      <c r="O441" s="2"/>
      <c r="P441" s="74"/>
      <c r="Q441" s="2"/>
      <c r="R441" s="2"/>
      <c r="S441" s="76"/>
      <c r="T441" s="2"/>
    </row>
    <row r="442" ht="15.75" customHeight="1">
      <c r="A442" s="2"/>
      <c r="B442" s="2"/>
      <c r="C442" s="2"/>
      <c r="D442" s="2"/>
      <c r="E442" s="2"/>
      <c r="F442" s="2"/>
      <c r="G442" s="2"/>
      <c r="H442" s="2"/>
      <c r="I442" s="74"/>
      <c r="J442" s="74"/>
      <c r="K442" s="74"/>
      <c r="L442" s="74"/>
      <c r="M442" s="2"/>
      <c r="N442" s="2"/>
      <c r="O442" s="2"/>
      <c r="P442" s="74"/>
      <c r="Q442" s="2"/>
      <c r="R442" s="2"/>
      <c r="S442" s="76"/>
      <c r="T442" s="2"/>
    </row>
    <row r="443" ht="15.75" customHeight="1">
      <c r="A443" s="2"/>
      <c r="B443" s="2"/>
      <c r="C443" s="2"/>
      <c r="D443" s="2"/>
      <c r="E443" s="2"/>
      <c r="F443" s="2"/>
      <c r="G443" s="2"/>
      <c r="H443" s="2"/>
      <c r="I443" s="74"/>
      <c r="J443" s="74"/>
      <c r="K443" s="74"/>
      <c r="L443" s="74"/>
      <c r="M443" s="2"/>
      <c r="N443" s="2"/>
      <c r="O443" s="2"/>
      <c r="P443" s="74"/>
      <c r="Q443" s="2"/>
      <c r="R443" s="2"/>
      <c r="S443" s="76"/>
      <c r="T443" s="2"/>
    </row>
    <row r="444" ht="15.75" customHeight="1">
      <c r="A444" s="2"/>
      <c r="B444" s="2"/>
      <c r="C444" s="2"/>
      <c r="D444" s="2"/>
      <c r="E444" s="2"/>
      <c r="F444" s="2"/>
      <c r="G444" s="2"/>
      <c r="H444" s="2"/>
      <c r="I444" s="74"/>
      <c r="J444" s="74"/>
      <c r="K444" s="74"/>
      <c r="L444" s="74"/>
      <c r="M444" s="2"/>
      <c r="N444" s="2"/>
      <c r="O444" s="2"/>
      <c r="P444" s="74"/>
      <c r="Q444" s="2"/>
      <c r="R444" s="2"/>
      <c r="S444" s="76"/>
      <c r="T444" s="2"/>
    </row>
    <row r="445" ht="15.75" customHeight="1">
      <c r="A445" s="2"/>
      <c r="B445" s="2"/>
      <c r="C445" s="2"/>
      <c r="D445" s="2"/>
      <c r="E445" s="2"/>
      <c r="F445" s="2"/>
      <c r="G445" s="2"/>
      <c r="H445" s="2"/>
      <c r="I445" s="74"/>
      <c r="J445" s="74"/>
      <c r="K445" s="74"/>
      <c r="L445" s="74"/>
      <c r="M445" s="2"/>
      <c r="N445" s="2"/>
      <c r="O445" s="2"/>
      <c r="P445" s="74"/>
      <c r="Q445" s="2"/>
      <c r="R445" s="2"/>
      <c r="S445" s="76"/>
      <c r="T445" s="2"/>
    </row>
    <row r="446" ht="15.75" customHeight="1">
      <c r="A446" s="2"/>
      <c r="B446" s="2"/>
      <c r="C446" s="2"/>
      <c r="D446" s="2"/>
      <c r="E446" s="2"/>
      <c r="F446" s="2"/>
      <c r="G446" s="2"/>
      <c r="H446" s="2"/>
      <c r="I446" s="74"/>
      <c r="J446" s="74"/>
      <c r="K446" s="74"/>
      <c r="L446" s="74"/>
      <c r="M446" s="2"/>
      <c r="N446" s="2"/>
      <c r="O446" s="2"/>
      <c r="P446" s="74"/>
      <c r="Q446" s="2"/>
      <c r="R446" s="2"/>
      <c r="S446" s="76"/>
      <c r="T446" s="2"/>
    </row>
    <row r="447" ht="15.75" customHeight="1">
      <c r="A447" s="2"/>
      <c r="B447" s="2"/>
      <c r="C447" s="2"/>
      <c r="D447" s="2"/>
      <c r="E447" s="2"/>
      <c r="F447" s="2"/>
      <c r="G447" s="2"/>
      <c r="H447" s="2"/>
      <c r="I447" s="74"/>
      <c r="J447" s="74"/>
      <c r="K447" s="74"/>
      <c r="L447" s="74"/>
      <c r="M447" s="2"/>
      <c r="N447" s="2"/>
      <c r="O447" s="2"/>
      <c r="P447" s="74"/>
      <c r="Q447" s="2"/>
      <c r="R447" s="2"/>
      <c r="S447" s="76"/>
      <c r="T447" s="2"/>
    </row>
    <row r="448" ht="15.75" customHeight="1">
      <c r="A448" s="2"/>
      <c r="B448" s="2"/>
      <c r="C448" s="2"/>
      <c r="D448" s="2"/>
      <c r="E448" s="2"/>
      <c r="F448" s="2"/>
      <c r="G448" s="2"/>
      <c r="H448" s="2"/>
      <c r="I448" s="74"/>
      <c r="J448" s="74"/>
      <c r="K448" s="74"/>
      <c r="L448" s="74"/>
      <c r="M448" s="2"/>
      <c r="N448" s="2"/>
      <c r="O448" s="2"/>
      <c r="P448" s="74"/>
      <c r="Q448" s="2"/>
      <c r="R448" s="2"/>
      <c r="S448" s="76"/>
      <c r="T448" s="2"/>
    </row>
    <row r="449" ht="15.75" customHeight="1">
      <c r="A449" s="2"/>
      <c r="B449" s="2"/>
      <c r="C449" s="2"/>
      <c r="D449" s="2"/>
      <c r="E449" s="2"/>
      <c r="F449" s="2"/>
      <c r="G449" s="2"/>
      <c r="H449" s="2"/>
      <c r="I449" s="74"/>
      <c r="J449" s="74"/>
      <c r="K449" s="74"/>
      <c r="L449" s="74"/>
      <c r="M449" s="2"/>
      <c r="N449" s="2"/>
      <c r="O449" s="2"/>
      <c r="P449" s="74"/>
      <c r="Q449" s="2"/>
      <c r="R449" s="2"/>
      <c r="S449" s="76"/>
      <c r="T449" s="2"/>
    </row>
    <row r="450" ht="15.75" customHeight="1">
      <c r="A450" s="2"/>
      <c r="B450" s="2"/>
      <c r="C450" s="2"/>
      <c r="D450" s="2"/>
      <c r="E450" s="2"/>
      <c r="F450" s="2"/>
      <c r="G450" s="2"/>
      <c r="H450" s="2"/>
      <c r="I450" s="74"/>
      <c r="J450" s="74"/>
      <c r="K450" s="74"/>
      <c r="L450" s="74"/>
      <c r="M450" s="2"/>
      <c r="N450" s="2"/>
      <c r="O450" s="2"/>
      <c r="P450" s="74"/>
      <c r="Q450" s="2"/>
      <c r="R450" s="2"/>
      <c r="S450" s="76"/>
      <c r="T450" s="2"/>
    </row>
    <row r="451" ht="15.75" customHeight="1">
      <c r="A451" s="2"/>
      <c r="B451" s="2"/>
      <c r="C451" s="2"/>
      <c r="D451" s="2"/>
      <c r="E451" s="2"/>
      <c r="F451" s="2"/>
      <c r="G451" s="2"/>
      <c r="H451" s="2"/>
      <c r="I451" s="74"/>
      <c r="J451" s="74"/>
      <c r="K451" s="74"/>
      <c r="L451" s="74"/>
      <c r="M451" s="2"/>
      <c r="N451" s="2"/>
      <c r="O451" s="2"/>
      <c r="P451" s="74"/>
      <c r="Q451" s="2"/>
      <c r="R451" s="2"/>
      <c r="S451" s="76"/>
      <c r="T451" s="2"/>
    </row>
    <row r="452" ht="15.75" customHeight="1">
      <c r="A452" s="2"/>
      <c r="B452" s="2"/>
      <c r="C452" s="2"/>
      <c r="D452" s="2"/>
      <c r="E452" s="2"/>
      <c r="F452" s="2"/>
      <c r="G452" s="2"/>
      <c r="H452" s="2"/>
      <c r="I452" s="74"/>
      <c r="J452" s="74"/>
      <c r="K452" s="74"/>
      <c r="L452" s="74"/>
      <c r="M452" s="2"/>
      <c r="N452" s="2"/>
      <c r="O452" s="2"/>
      <c r="P452" s="74"/>
      <c r="Q452" s="2"/>
      <c r="R452" s="2"/>
      <c r="S452" s="76"/>
      <c r="T452" s="2"/>
    </row>
    <row r="453" ht="15.75" customHeight="1">
      <c r="A453" s="2"/>
      <c r="B453" s="2"/>
      <c r="C453" s="2"/>
      <c r="D453" s="2"/>
      <c r="E453" s="2"/>
      <c r="F453" s="2"/>
      <c r="G453" s="2"/>
      <c r="H453" s="2"/>
      <c r="I453" s="74"/>
      <c r="J453" s="74"/>
      <c r="K453" s="74"/>
      <c r="L453" s="74"/>
      <c r="M453" s="2"/>
      <c r="N453" s="2"/>
      <c r="O453" s="2"/>
      <c r="P453" s="74"/>
      <c r="Q453" s="2"/>
      <c r="R453" s="2"/>
      <c r="S453" s="76"/>
      <c r="T453" s="2"/>
    </row>
    <row r="454" ht="15.75" customHeight="1">
      <c r="A454" s="2"/>
      <c r="B454" s="2"/>
      <c r="C454" s="2"/>
      <c r="D454" s="2"/>
      <c r="E454" s="2"/>
      <c r="F454" s="2"/>
      <c r="G454" s="2"/>
      <c r="H454" s="2"/>
      <c r="I454" s="74"/>
      <c r="J454" s="74"/>
      <c r="K454" s="74"/>
      <c r="L454" s="74"/>
      <c r="M454" s="2"/>
      <c r="N454" s="2"/>
      <c r="O454" s="2"/>
      <c r="P454" s="74"/>
      <c r="Q454" s="2"/>
      <c r="R454" s="2"/>
      <c r="S454" s="76"/>
      <c r="T454" s="2"/>
    </row>
    <row r="455" ht="15.75" customHeight="1">
      <c r="A455" s="2"/>
      <c r="B455" s="2"/>
      <c r="C455" s="2"/>
      <c r="D455" s="2"/>
      <c r="E455" s="2"/>
      <c r="F455" s="2"/>
      <c r="G455" s="2"/>
      <c r="H455" s="2"/>
      <c r="I455" s="74"/>
      <c r="J455" s="74"/>
      <c r="K455" s="74"/>
      <c r="L455" s="74"/>
      <c r="M455" s="2"/>
      <c r="N455" s="2"/>
      <c r="O455" s="2"/>
      <c r="P455" s="74"/>
      <c r="Q455" s="2"/>
      <c r="R455" s="2"/>
      <c r="S455" s="76"/>
      <c r="T455" s="2"/>
    </row>
    <row r="456" ht="15.75" customHeight="1">
      <c r="A456" s="2"/>
      <c r="B456" s="2"/>
      <c r="C456" s="2"/>
      <c r="D456" s="2"/>
      <c r="E456" s="2"/>
      <c r="F456" s="2"/>
      <c r="G456" s="2"/>
      <c r="H456" s="2"/>
      <c r="I456" s="74"/>
      <c r="J456" s="74"/>
      <c r="K456" s="74"/>
      <c r="L456" s="74"/>
      <c r="M456" s="2"/>
      <c r="N456" s="2"/>
      <c r="O456" s="2"/>
      <c r="P456" s="74"/>
      <c r="Q456" s="2"/>
      <c r="R456" s="2"/>
      <c r="S456" s="76"/>
      <c r="T456" s="2"/>
    </row>
    <row r="457" ht="15.75" customHeight="1">
      <c r="A457" s="2"/>
      <c r="B457" s="2"/>
      <c r="C457" s="2"/>
      <c r="D457" s="2"/>
      <c r="E457" s="2"/>
      <c r="F457" s="2"/>
      <c r="G457" s="2"/>
      <c r="H457" s="2"/>
      <c r="I457" s="74"/>
      <c r="J457" s="74"/>
      <c r="K457" s="74"/>
      <c r="L457" s="74"/>
      <c r="M457" s="2"/>
      <c r="N457" s="2"/>
      <c r="O457" s="2"/>
      <c r="P457" s="74"/>
      <c r="Q457" s="2"/>
      <c r="R457" s="2"/>
      <c r="S457" s="76"/>
      <c r="T457" s="2"/>
    </row>
    <row r="458" ht="15.75" customHeight="1">
      <c r="A458" s="2"/>
      <c r="B458" s="2"/>
      <c r="C458" s="2"/>
      <c r="D458" s="2"/>
      <c r="E458" s="2"/>
      <c r="F458" s="2"/>
      <c r="G458" s="2"/>
      <c r="H458" s="2"/>
      <c r="I458" s="74"/>
      <c r="J458" s="74"/>
      <c r="K458" s="74"/>
      <c r="L458" s="74"/>
      <c r="M458" s="2"/>
      <c r="N458" s="2"/>
      <c r="O458" s="2"/>
      <c r="P458" s="74"/>
      <c r="Q458" s="2"/>
      <c r="R458" s="2"/>
      <c r="S458" s="76"/>
      <c r="T458" s="2"/>
    </row>
    <row r="459" ht="15.75" customHeight="1">
      <c r="A459" s="2"/>
      <c r="B459" s="2"/>
      <c r="C459" s="2"/>
      <c r="D459" s="2"/>
      <c r="E459" s="2"/>
      <c r="F459" s="2"/>
      <c r="G459" s="2"/>
      <c r="H459" s="2"/>
      <c r="I459" s="74"/>
      <c r="J459" s="74"/>
      <c r="K459" s="74"/>
      <c r="L459" s="74"/>
      <c r="M459" s="2"/>
      <c r="N459" s="2"/>
      <c r="O459" s="2"/>
      <c r="P459" s="74"/>
      <c r="Q459" s="2"/>
      <c r="R459" s="2"/>
      <c r="S459" s="76"/>
      <c r="T459" s="2"/>
    </row>
    <row r="460" ht="15.75" customHeight="1">
      <c r="A460" s="2"/>
      <c r="B460" s="2"/>
      <c r="C460" s="2"/>
      <c r="D460" s="2"/>
      <c r="E460" s="2"/>
      <c r="F460" s="2"/>
      <c r="G460" s="2"/>
      <c r="H460" s="2"/>
      <c r="I460" s="74"/>
      <c r="J460" s="74"/>
      <c r="K460" s="74"/>
      <c r="L460" s="74"/>
      <c r="M460" s="2"/>
      <c r="N460" s="2"/>
      <c r="O460" s="2"/>
      <c r="P460" s="74"/>
      <c r="Q460" s="2"/>
      <c r="R460" s="2"/>
      <c r="S460" s="76"/>
      <c r="T460" s="2"/>
    </row>
    <row r="461" ht="15.75" customHeight="1">
      <c r="A461" s="2"/>
      <c r="B461" s="2"/>
      <c r="C461" s="2"/>
      <c r="D461" s="2"/>
      <c r="E461" s="2"/>
      <c r="F461" s="2"/>
      <c r="G461" s="2"/>
      <c r="H461" s="2"/>
      <c r="I461" s="74"/>
      <c r="J461" s="74"/>
      <c r="K461" s="74"/>
      <c r="L461" s="74"/>
      <c r="M461" s="2"/>
      <c r="N461" s="2"/>
      <c r="O461" s="2"/>
      <c r="P461" s="74"/>
      <c r="Q461" s="2"/>
      <c r="R461" s="2"/>
      <c r="S461" s="76"/>
      <c r="T461" s="2"/>
    </row>
    <row r="462" ht="15.75" customHeight="1">
      <c r="A462" s="2"/>
      <c r="B462" s="2"/>
      <c r="C462" s="2"/>
      <c r="D462" s="2"/>
      <c r="E462" s="2"/>
      <c r="F462" s="2"/>
      <c r="G462" s="2"/>
      <c r="H462" s="2"/>
      <c r="I462" s="74"/>
      <c r="J462" s="74"/>
      <c r="K462" s="74"/>
      <c r="L462" s="74"/>
      <c r="M462" s="2"/>
      <c r="N462" s="2"/>
      <c r="O462" s="2"/>
      <c r="P462" s="74"/>
      <c r="Q462" s="2"/>
      <c r="R462" s="2"/>
      <c r="S462" s="76"/>
      <c r="T462" s="2"/>
    </row>
    <row r="463" ht="15.75" customHeight="1">
      <c r="A463" s="2"/>
      <c r="B463" s="2"/>
      <c r="C463" s="2"/>
      <c r="D463" s="2"/>
      <c r="E463" s="2"/>
      <c r="F463" s="2"/>
      <c r="G463" s="2"/>
      <c r="H463" s="2"/>
      <c r="I463" s="74"/>
      <c r="J463" s="74"/>
      <c r="K463" s="74"/>
      <c r="L463" s="74"/>
      <c r="M463" s="2"/>
      <c r="N463" s="2"/>
      <c r="O463" s="2"/>
      <c r="P463" s="74"/>
      <c r="Q463" s="2"/>
      <c r="R463" s="2"/>
      <c r="S463" s="76"/>
      <c r="T463" s="2"/>
    </row>
    <row r="464" ht="15.75" customHeight="1">
      <c r="A464" s="2"/>
      <c r="B464" s="2"/>
      <c r="C464" s="2"/>
      <c r="D464" s="2"/>
      <c r="E464" s="2"/>
      <c r="F464" s="2"/>
      <c r="G464" s="2"/>
      <c r="H464" s="2"/>
      <c r="I464" s="74"/>
      <c r="J464" s="74"/>
      <c r="K464" s="74"/>
      <c r="L464" s="74"/>
      <c r="M464" s="2"/>
      <c r="N464" s="2"/>
      <c r="O464" s="2"/>
      <c r="P464" s="74"/>
      <c r="Q464" s="2"/>
      <c r="R464" s="2"/>
      <c r="S464" s="76"/>
      <c r="T464" s="2"/>
    </row>
    <row r="465" ht="15.75" customHeight="1">
      <c r="A465" s="2"/>
      <c r="B465" s="2"/>
      <c r="C465" s="2"/>
      <c r="D465" s="2"/>
      <c r="E465" s="2"/>
      <c r="F465" s="2"/>
      <c r="G465" s="2"/>
      <c r="H465" s="2"/>
      <c r="I465" s="74"/>
      <c r="J465" s="74"/>
      <c r="K465" s="74"/>
      <c r="L465" s="74"/>
      <c r="M465" s="2"/>
      <c r="N465" s="2"/>
      <c r="O465" s="2"/>
      <c r="P465" s="74"/>
      <c r="Q465" s="2"/>
      <c r="R465" s="2"/>
      <c r="S465" s="76"/>
      <c r="T465" s="2"/>
    </row>
    <row r="466" ht="15.75" customHeight="1">
      <c r="A466" s="2"/>
      <c r="B466" s="2"/>
      <c r="C466" s="2"/>
      <c r="D466" s="2"/>
      <c r="E466" s="2"/>
      <c r="F466" s="2"/>
      <c r="G466" s="2"/>
      <c r="H466" s="2"/>
      <c r="I466" s="74"/>
      <c r="J466" s="74"/>
      <c r="K466" s="74"/>
      <c r="L466" s="74"/>
      <c r="M466" s="2"/>
      <c r="N466" s="2"/>
      <c r="O466" s="2"/>
      <c r="P466" s="74"/>
      <c r="Q466" s="2"/>
      <c r="R466" s="2"/>
      <c r="S466" s="76"/>
      <c r="T466" s="2"/>
    </row>
    <row r="467" ht="15.75" customHeight="1">
      <c r="A467" s="2"/>
      <c r="B467" s="2"/>
      <c r="C467" s="2"/>
      <c r="D467" s="2"/>
      <c r="E467" s="2"/>
      <c r="F467" s="2"/>
      <c r="G467" s="2"/>
      <c r="H467" s="2"/>
      <c r="I467" s="74"/>
      <c r="J467" s="74"/>
      <c r="K467" s="74"/>
      <c r="L467" s="74"/>
      <c r="M467" s="2"/>
      <c r="N467" s="2"/>
      <c r="O467" s="2"/>
      <c r="P467" s="74"/>
      <c r="Q467" s="2"/>
      <c r="R467" s="2"/>
      <c r="S467" s="76"/>
      <c r="T467" s="2"/>
    </row>
    <row r="468" ht="15.75" customHeight="1">
      <c r="A468" s="2"/>
      <c r="B468" s="2"/>
      <c r="C468" s="2"/>
      <c r="D468" s="2"/>
      <c r="E468" s="2"/>
      <c r="F468" s="2"/>
      <c r="G468" s="2"/>
      <c r="H468" s="2"/>
      <c r="I468" s="74"/>
      <c r="J468" s="74"/>
      <c r="K468" s="74"/>
      <c r="L468" s="74"/>
      <c r="M468" s="2"/>
      <c r="N468" s="2"/>
      <c r="O468" s="2"/>
      <c r="P468" s="74"/>
      <c r="Q468" s="2"/>
      <c r="R468" s="2"/>
      <c r="S468" s="76"/>
      <c r="T468" s="2"/>
    </row>
    <row r="469" ht="15.75" customHeight="1">
      <c r="A469" s="2"/>
      <c r="B469" s="2"/>
      <c r="C469" s="2"/>
      <c r="D469" s="2"/>
      <c r="E469" s="2"/>
      <c r="F469" s="2"/>
      <c r="G469" s="2"/>
      <c r="H469" s="2"/>
      <c r="I469" s="74"/>
      <c r="J469" s="74"/>
      <c r="K469" s="74"/>
      <c r="L469" s="74"/>
      <c r="M469" s="2"/>
      <c r="N469" s="2"/>
      <c r="O469" s="2"/>
      <c r="P469" s="74"/>
      <c r="Q469" s="2"/>
      <c r="R469" s="2"/>
      <c r="S469" s="76"/>
      <c r="T469" s="2"/>
    </row>
    <row r="470" ht="15.75" customHeight="1">
      <c r="A470" s="2"/>
      <c r="B470" s="2"/>
      <c r="C470" s="2"/>
      <c r="D470" s="2"/>
      <c r="E470" s="2"/>
      <c r="F470" s="2"/>
      <c r="G470" s="2"/>
      <c r="H470" s="2"/>
      <c r="I470" s="74"/>
      <c r="J470" s="74"/>
      <c r="K470" s="74"/>
      <c r="L470" s="74"/>
      <c r="M470" s="2"/>
      <c r="N470" s="2"/>
      <c r="O470" s="2"/>
      <c r="P470" s="74"/>
      <c r="Q470" s="2"/>
      <c r="R470" s="2"/>
      <c r="S470" s="76"/>
      <c r="T470" s="2"/>
    </row>
    <row r="471" ht="15.75" customHeight="1">
      <c r="A471" s="2"/>
      <c r="B471" s="2"/>
      <c r="C471" s="2"/>
      <c r="D471" s="2"/>
      <c r="E471" s="2"/>
      <c r="F471" s="2"/>
      <c r="G471" s="2"/>
      <c r="H471" s="2"/>
      <c r="I471" s="74"/>
      <c r="J471" s="74"/>
      <c r="K471" s="74"/>
      <c r="L471" s="74"/>
      <c r="M471" s="2"/>
      <c r="N471" s="2"/>
      <c r="O471" s="2"/>
      <c r="P471" s="74"/>
      <c r="Q471" s="2"/>
      <c r="R471" s="2"/>
      <c r="S471" s="76"/>
      <c r="T471" s="2"/>
    </row>
    <row r="472" ht="15.75" customHeight="1">
      <c r="A472" s="2"/>
      <c r="B472" s="2"/>
      <c r="C472" s="2"/>
      <c r="D472" s="2"/>
      <c r="E472" s="2"/>
      <c r="F472" s="2"/>
      <c r="G472" s="2"/>
      <c r="H472" s="2"/>
      <c r="I472" s="74"/>
      <c r="J472" s="74"/>
      <c r="K472" s="74"/>
      <c r="L472" s="74"/>
      <c r="M472" s="2"/>
      <c r="N472" s="2"/>
      <c r="O472" s="2"/>
      <c r="P472" s="74"/>
      <c r="Q472" s="2"/>
      <c r="R472" s="2"/>
      <c r="S472" s="76"/>
      <c r="T472" s="2"/>
    </row>
    <row r="473" ht="15.75" customHeight="1">
      <c r="A473" s="2"/>
      <c r="B473" s="2"/>
      <c r="C473" s="2"/>
      <c r="D473" s="2"/>
      <c r="E473" s="2"/>
      <c r="F473" s="2"/>
      <c r="G473" s="2"/>
      <c r="H473" s="2"/>
      <c r="I473" s="74"/>
      <c r="J473" s="74"/>
      <c r="K473" s="74"/>
      <c r="L473" s="74"/>
      <c r="M473" s="2"/>
      <c r="N473" s="2"/>
      <c r="O473" s="2"/>
      <c r="P473" s="74"/>
      <c r="Q473" s="2"/>
      <c r="R473" s="2"/>
      <c r="S473" s="76"/>
      <c r="T473" s="2"/>
    </row>
    <row r="474" ht="15.75" customHeight="1">
      <c r="A474" s="2"/>
      <c r="B474" s="2"/>
      <c r="C474" s="2"/>
      <c r="D474" s="2"/>
      <c r="E474" s="2"/>
      <c r="F474" s="2"/>
      <c r="G474" s="2"/>
      <c r="H474" s="2"/>
      <c r="I474" s="74"/>
      <c r="J474" s="74"/>
      <c r="K474" s="74"/>
      <c r="L474" s="74"/>
      <c r="M474" s="2"/>
      <c r="N474" s="2"/>
      <c r="O474" s="2"/>
      <c r="P474" s="74"/>
      <c r="Q474" s="2"/>
      <c r="R474" s="2"/>
      <c r="S474" s="76"/>
      <c r="T474" s="2"/>
    </row>
    <row r="475" ht="15.75" customHeight="1">
      <c r="A475" s="2"/>
      <c r="B475" s="2"/>
      <c r="C475" s="2"/>
      <c r="D475" s="2"/>
      <c r="E475" s="2"/>
      <c r="F475" s="2"/>
      <c r="G475" s="2"/>
      <c r="H475" s="2"/>
      <c r="I475" s="74"/>
      <c r="J475" s="74"/>
      <c r="K475" s="74"/>
      <c r="L475" s="74"/>
      <c r="M475" s="2"/>
      <c r="N475" s="2"/>
      <c r="O475" s="2"/>
      <c r="P475" s="74"/>
      <c r="Q475" s="2"/>
      <c r="R475" s="2"/>
      <c r="S475" s="76"/>
      <c r="T475" s="2"/>
    </row>
    <row r="476" ht="15.75" customHeight="1">
      <c r="A476" s="2"/>
      <c r="B476" s="2"/>
      <c r="C476" s="2"/>
      <c r="D476" s="2"/>
      <c r="E476" s="2"/>
      <c r="F476" s="2"/>
      <c r="G476" s="2"/>
      <c r="H476" s="2"/>
      <c r="I476" s="74"/>
      <c r="J476" s="74"/>
      <c r="K476" s="74"/>
      <c r="L476" s="74"/>
      <c r="M476" s="2"/>
      <c r="N476" s="2"/>
      <c r="O476" s="2"/>
      <c r="P476" s="74"/>
      <c r="Q476" s="2"/>
      <c r="R476" s="2"/>
      <c r="S476" s="76"/>
      <c r="T476" s="2"/>
    </row>
    <row r="477" ht="15.75" customHeight="1">
      <c r="A477" s="2"/>
      <c r="B477" s="2"/>
      <c r="C477" s="2"/>
      <c r="D477" s="2"/>
      <c r="E477" s="2"/>
      <c r="F477" s="2"/>
      <c r="G477" s="2"/>
      <c r="H477" s="2"/>
      <c r="I477" s="74"/>
      <c r="J477" s="74"/>
      <c r="K477" s="74"/>
      <c r="L477" s="74"/>
      <c r="M477" s="2"/>
      <c r="N477" s="2"/>
      <c r="O477" s="2"/>
      <c r="P477" s="74"/>
      <c r="Q477" s="2"/>
      <c r="R477" s="2"/>
      <c r="S477" s="76"/>
      <c r="T477" s="2"/>
    </row>
    <row r="478" ht="15.75" customHeight="1">
      <c r="A478" s="2"/>
      <c r="B478" s="2"/>
      <c r="C478" s="2"/>
      <c r="D478" s="2"/>
      <c r="E478" s="2"/>
      <c r="F478" s="2"/>
      <c r="G478" s="2"/>
      <c r="H478" s="2"/>
      <c r="I478" s="74"/>
      <c r="J478" s="74"/>
      <c r="K478" s="74"/>
      <c r="L478" s="74"/>
      <c r="M478" s="2"/>
      <c r="N478" s="2"/>
      <c r="O478" s="2"/>
      <c r="P478" s="74"/>
      <c r="Q478" s="2"/>
      <c r="R478" s="2"/>
      <c r="S478" s="76"/>
      <c r="T478" s="2"/>
    </row>
    <row r="479" ht="15.75" customHeight="1">
      <c r="A479" s="2"/>
      <c r="B479" s="2"/>
      <c r="C479" s="2"/>
      <c r="D479" s="2"/>
      <c r="E479" s="2"/>
      <c r="F479" s="2"/>
      <c r="G479" s="2"/>
      <c r="H479" s="2"/>
      <c r="I479" s="74"/>
      <c r="J479" s="74"/>
      <c r="K479" s="74"/>
      <c r="L479" s="74"/>
      <c r="M479" s="2"/>
      <c r="N479" s="2"/>
      <c r="O479" s="2"/>
      <c r="P479" s="74"/>
      <c r="Q479" s="2"/>
      <c r="R479" s="2"/>
      <c r="S479" s="76"/>
      <c r="T479" s="2"/>
    </row>
    <row r="480" ht="15.75" customHeight="1">
      <c r="A480" s="2"/>
      <c r="B480" s="2"/>
      <c r="C480" s="2"/>
      <c r="D480" s="2"/>
      <c r="E480" s="2"/>
      <c r="F480" s="2"/>
      <c r="G480" s="2"/>
      <c r="H480" s="2"/>
      <c r="I480" s="74"/>
      <c r="J480" s="74"/>
      <c r="K480" s="74"/>
      <c r="L480" s="74"/>
      <c r="M480" s="2"/>
      <c r="N480" s="2"/>
      <c r="O480" s="2"/>
      <c r="P480" s="74"/>
      <c r="Q480" s="2"/>
      <c r="R480" s="2"/>
      <c r="S480" s="76"/>
      <c r="T480" s="2"/>
    </row>
    <row r="481" ht="15.75" customHeight="1">
      <c r="A481" s="2"/>
      <c r="B481" s="2"/>
      <c r="C481" s="2"/>
      <c r="D481" s="2"/>
      <c r="E481" s="2"/>
      <c r="F481" s="2"/>
      <c r="G481" s="2"/>
      <c r="H481" s="2"/>
      <c r="I481" s="74"/>
      <c r="J481" s="74"/>
      <c r="K481" s="74"/>
      <c r="L481" s="74"/>
      <c r="M481" s="2"/>
      <c r="N481" s="2"/>
      <c r="O481" s="2"/>
      <c r="P481" s="74"/>
      <c r="Q481" s="2"/>
      <c r="R481" s="2"/>
      <c r="S481" s="76"/>
      <c r="T481" s="2"/>
    </row>
    <row r="482" ht="15.75" customHeight="1">
      <c r="A482" s="2"/>
      <c r="B482" s="2"/>
      <c r="C482" s="2"/>
      <c r="D482" s="2"/>
      <c r="E482" s="2"/>
      <c r="F482" s="2"/>
      <c r="G482" s="2"/>
      <c r="H482" s="2"/>
      <c r="I482" s="74"/>
      <c r="J482" s="74"/>
      <c r="K482" s="74"/>
      <c r="L482" s="74"/>
      <c r="M482" s="2"/>
      <c r="N482" s="2"/>
      <c r="O482" s="2"/>
      <c r="P482" s="74"/>
      <c r="Q482" s="2"/>
      <c r="R482" s="2"/>
      <c r="S482" s="76"/>
      <c r="T482" s="2"/>
    </row>
    <row r="483" ht="15.75" customHeight="1">
      <c r="A483" s="2"/>
      <c r="B483" s="2"/>
      <c r="C483" s="2"/>
      <c r="D483" s="2"/>
      <c r="E483" s="2"/>
      <c r="F483" s="2"/>
      <c r="G483" s="2"/>
      <c r="H483" s="2"/>
      <c r="I483" s="74"/>
      <c r="J483" s="74"/>
      <c r="K483" s="74"/>
      <c r="L483" s="74"/>
      <c r="M483" s="2"/>
      <c r="N483" s="2"/>
      <c r="O483" s="2"/>
      <c r="P483" s="74"/>
      <c r="Q483" s="2"/>
      <c r="R483" s="2"/>
      <c r="S483" s="76"/>
      <c r="T483" s="2"/>
    </row>
    <row r="484" ht="15.75" customHeight="1">
      <c r="A484" s="2"/>
      <c r="B484" s="2"/>
      <c r="C484" s="2"/>
      <c r="D484" s="2"/>
      <c r="E484" s="2"/>
      <c r="F484" s="2"/>
      <c r="G484" s="2"/>
      <c r="H484" s="2"/>
      <c r="I484" s="74"/>
      <c r="J484" s="74"/>
      <c r="K484" s="74"/>
      <c r="L484" s="74"/>
      <c r="M484" s="2"/>
      <c r="N484" s="2"/>
      <c r="O484" s="2"/>
      <c r="P484" s="74"/>
      <c r="Q484" s="2"/>
      <c r="R484" s="2"/>
      <c r="S484" s="76"/>
      <c r="T484" s="2"/>
    </row>
    <row r="485" ht="15.75" customHeight="1">
      <c r="A485" s="2"/>
      <c r="B485" s="2"/>
      <c r="C485" s="2"/>
      <c r="D485" s="2"/>
      <c r="E485" s="2"/>
      <c r="F485" s="2"/>
      <c r="G485" s="2"/>
      <c r="H485" s="2"/>
      <c r="I485" s="74"/>
      <c r="J485" s="74"/>
      <c r="K485" s="74"/>
      <c r="L485" s="74"/>
      <c r="M485" s="2"/>
      <c r="N485" s="2"/>
      <c r="O485" s="2"/>
      <c r="P485" s="74"/>
      <c r="Q485" s="2"/>
      <c r="R485" s="2"/>
      <c r="S485" s="76"/>
      <c r="T485" s="2"/>
    </row>
    <row r="486" ht="15.75" customHeight="1">
      <c r="A486" s="2"/>
      <c r="B486" s="2"/>
      <c r="C486" s="2"/>
      <c r="D486" s="2"/>
      <c r="E486" s="2"/>
      <c r="F486" s="2"/>
      <c r="G486" s="2"/>
      <c r="H486" s="2"/>
      <c r="I486" s="74"/>
      <c r="J486" s="74"/>
      <c r="K486" s="74"/>
      <c r="L486" s="74"/>
      <c r="M486" s="2"/>
      <c r="N486" s="2"/>
      <c r="O486" s="2"/>
      <c r="P486" s="74"/>
      <c r="Q486" s="2"/>
      <c r="R486" s="2"/>
      <c r="S486" s="76"/>
      <c r="T486" s="2"/>
    </row>
    <row r="487" ht="15.75" customHeight="1">
      <c r="A487" s="2"/>
      <c r="B487" s="2"/>
      <c r="C487" s="2"/>
      <c r="D487" s="2"/>
      <c r="E487" s="2"/>
      <c r="F487" s="2"/>
      <c r="G487" s="2"/>
      <c r="H487" s="2"/>
      <c r="I487" s="74"/>
      <c r="J487" s="74"/>
      <c r="K487" s="74"/>
      <c r="L487" s="74"/>
      <c r="M487" s="2"/>
      <c r="N487" s="2"/>
      <c r="O487" s="2"/>
      <c r="P487" s="74"/>
      <c r="Q487" s="2"/>
      <c r="R487" s="2"/>
      <c r="S487" s="76"/>
      <c r="T487" s="2"/>
    </row>
    <row r="488" ht="15.75" customHeight="1">
      <c r="A488" s="2"/>
      <c r="B488" s="2"/>
      <c r="C488" s="2"/>
      <c r="D488" s="2"/>
      <c r="E488" s="2"/>
      <c r="F488" s="2"/>
      <c r="G488" s="2"/>
      <c r="H488" s="2"/>
      <c r="I488" s="74"/>
      <c r="J488" s="74"/>
      <c r="K488" s="74"/>
      <c r="L488" s="74"/>
      <c r="M488" s="2"/>
      <c r="N488" s="2"/>
      <c r="O488" s="2"/>
      <c r="P488" s="74"/>
      <c r="Q488" s="2"/>
      <c r="R488" s="2"/>
      <c r="S488" s="76"/>
      <c r="T488" s="2"/>
    </row>
    <row r="489" ht="15.75" customHeight="1">
      <c r="A489" s="2"/>
      <c r="B489" s="2"/>
      <c r="C489" s="2"/>
      <c r="D489" s="2"/>
      <c r="E489" s="2"/>
      <c r="F489" s="2"/>
      <c r="G489" s="2"/>
      <c r="H489" s="2"/>
      <c r="I489" s="74"/>
      <c r="J489" s="74"/>
      <c r="K489" s="74"/>
      <c r="L489" s="74"/>
      <c r="M489" s="2"/>
      <c r="N489" s="2"/>
      <c r="O489" s="2"/>
      <c r="P489" s="74"/>
      <c r="Q489" s="2"/>
      <c r="R489" s="2"/>
      <c r="S489" s="76"/>
      <c r="T489" s="2"/>
    </row>
    <row r="490" ht="15.75" customHeight="1">
      <c r="A490" s="2"/>
      <c r="B490" s="2"/>
      <c r="C490" s="2"/>
      <c r="D490" s="2"/>
      <c r="E490" s="2"/>
      <c r="F490" s="2"/>
      <c r="G490" s="2"/>
      <c r="H490" s="2"/>
      <c r="I490" s="74"/>
      <c r="J490" s="74"/>
      <c r="K490" s="74"/>
      <c r="L490" s="74"/>
      <c r="M490" s="2"/>
      <c r="N490" s="2"/>
      <c r="O490" s="2"/>
      <c r="P490" s="74"/>
      <c r="Q490" s="2"/>
      <c r="R490" s="2"/>
      <c r="S490" s="76"/>
      <c r="T490" s="2"/>
    </row>
    <row r="491" ht="15.75" customHeight="1">
      <c r="A491" s="2"/>
      <c r="B491" s="2"/>
      <c r="C491" s="2"/>
      <c r="D491" s="2"/>
      <c r="E491" s="2"/>
      <c r="F491" s="2"/>
      <c r="G491" s="2"/>
      <c r="H491" s="2"/>
      <c r="I491" s="74"/>
      <c r="J491" s="74"/>
      <c r="K491" s="74"/>
      <c r="L491" s="74"/>
      <c r="M491" s="2"/>
      <c r="N491" s="2"/>
      <c r="O491" s="2"/>
      <c r="P491" s="74"/>
      <c r="Q491" s="2"/>
      <c r="R491" s="2"/>
      <c r="S491" s="76"/>
      <c r="T491" s="2"/>
    </row>
    <row r="492" ht="15.75" customHeight="1">
      <c r="A492" s="2"/>
      <c r="B492" s="2"/>
      <c r="C492" s="2"/>
      <c r="D492" s="2"/>
      <c r="E492" s="2"/>
      <c r="F492" s="2"/>
      <c r="G492" s="2"/>
      <c r="H492" s="2"/>
      <c r="I492" s="74"/>
      <c r="J492" s="74"/>
      <c r="K492" s="74"/>
      <c r="L492" s="74"/>
      <c r="M492" s="2"/>
      <c r="N492" s="2"/>
      <c r="O492" s="2"/>
      <c r="P492" s="74"/>
      <c r="Q492" s="2"/>
      <c r="R492" s="2"/>
      <c r="S492" s="76"/>
      <c r="T492" s="2"/>
    </row>
    <row r="493" ht="15.75" customHeight="1">
      <c r="A493" s="2"/>
      <c r="B493" s="2"/>
      <c r="C493" s="2"/>
      <c r="D493" s="2"/>
      <c r="E493" s="2"/>
      <c r="F493" s="2"/>
      <c r="G493" s="2"/>
      <c r="H493" s="2"/>
      <c r="I493" s="74"/>
      <c r="J493" s="74"/>
      <c r="K493" s="74"/>
      <c r="L493" s="74"/>
      <c r="M493" s="2"/>
      <c r="N493" s="2"/>
      <c r="O493" s="2"/>
      <c r="P493" s="74"/>
      <c r="Q493" s="2"/>
      <c r="R493" s="2"/>
      <c r="S493" s="76"/>
      <c r="T493" s="2"/>
    </row>
    <row r="494" ht="15.75" customHeight="1">
      <c r="A494" s="2"/>
      <c r="B494" s="2"/>
      <c r="C494" s="2"/>
      <c r="D494" s="2"/>
      <c r="E494" s="2"/>
      <c r="F494" s="2"/>
      <c r="G494" s="2"/>
      <c r="H494" s="2"/>
      <c r="I494" s="74"/>
      <c r="J494" s="74"/>
      <c r="K494" s="74"/>
      <c r="L494" s="74"/>
      <c r="M494" s="2"/>
      <c r="N494" s="2"/>
      <c r="O494" s="2"/>
      <c r="P494" s="74"/>
      <c r="Q494" s="2"/>
      <c r="R494" s="2"/>
      <c r="S494" s="76"/>
      <c r="T494" s="2"/>
    </row>
    <row r="495" ht="15.75" customHeight="1">
      <c r="A495" s="2"/>
      <c r="B495" s="2"/>
      <c r="C495" s="2"/>
      <c r="D495" s="2"/>
      <c r="E495" s="2"/>
      <c r="F495" s="2"/>
      <c r="G495" s="2"/>
      <c r="H495" s="2"/>
      <c r="I495" s="74"/>
      <c r="J495" s="74"/>
      <c r="K495" s="74"/>
      <c r="L495" s="74"/>
      <c r="M495" s="2"/>
      <c r="N495" s="2"/>
      <c r="O495" s="2"/>
      <c r="P495" s="74"/>
      <c r="Q495" s="2"/>
      <c r="R495" s="2"/>
      <c r="S495" s="76"/>
      <c r="T495" s="2"/>
    </row>
    <row r="496" ht="15.75" customHeight="1">
      <c r="A496" s="2"/>
      <c r="B496" s="2"/>
      <c r="C496" s="2"/>
      <c r="D496" s="2"/>
      <c r="E496" s="2"/>
      <c r="F496" s="2"/>
      <c r="G496" s="2"/>
      <c r="H496" s="2"/>
      <c r="I496" s="74"/>
      <c r="J496" s="74"/>
      <c r="K496" s="74"/>
      <c r="L496" s="74"/>
      <c r="M496" s="2"/>
      <c r="N496" s="2"/>
      <c r="O496" s="2"/>
      <c r="P496" s="74"/>
      <c r="Q496" s="2"/>
      <c r="R496" s="2"/>
      <c r="S496" s="76"/>
      <c r="T496" s="2"/>
    </row>
    <row r="497" ht="15.75" customHeight="1">
      <c r="A497" s="2"/>
      <c r="B497" s="2"/>
      <c r="C497" s="2"/>
      <c r="D497" s="2"/>
      <c r="E497" s="2"/>
      <c r="F497" s="2"/>
      <c r="G497" s="2"/>
      <c r="H497" s="2"/>
      <c r="I497" s="74"/>
      <c r="J497" s="74"/>
      <c r="K497" s="74"/>
      <c r="L497" s="74"/>
      <c r="M497" s="2"/>
      <c r="N497" s="2"/>
      <c r="O497" s="2"/>
      <c r="P497" s="74"/>
      <c r="Q497" s="2"/>
      <c r="R497" s="2"/>
      <c r="S497" s="76"/>
      <c r="T497" s="2"/>
    </row>
    <row r="498" ht="15.75" customHeight="1">
      <c r="A498" s="2"/>
      <c r="B498" s="2"/>
      <c r="C498" s="2"/>
      <c r="D498" s="2"/>
      <c r="E498" s="2"/>
      <c r="F498" s="2"/>
      <c r="G498" s="2"/>
      <c r="H498" s="2"/>
      <c r="I498" s="74"/>
      <c r="J498" s="74"/>
      <c r="K498" s="74"/>
      <c r="L498" s="74"/>
      <c r="M498" s="2"/>
      <c r="N498" s="2"/>
      <c r="O498" s="2"/>
      <c r="P498" s="74"/>
      <c r="Q498" s="2"/>
      <c r="R498" s="2"/>
      <c r="S498" s="76"/>
      <c r="T498" s="2"/>
    </row>
    <row r="499" ht="15.75" customHeight="1">
      <c r="A499" s="2"/>
      <c r="B499" s="2"/>
      <c r="C499" s="2"/>
      <c r="D499" s="2"/>
      <c r="E499" s="2"/>
      <c r="F499" s="2"/>
      <c r="G499" s="2"/>
      <c r="H499" s="2"/>
      <c r="I499" s="74"/>
      <c r="J499" s="74"/>
      <c r="K499" s="74"/>
      <c r="L499" s="74"/>
      <c r="M499" s="2"/>
      <c r="N499" s="2"/>
      <c r="O499" s="2"/>
      <c r="P499" s="74"/>
      <c r="Q499" s="2"/>
      <c r="R499" s="2"/>
      <c r="S499" s="76"/>
      <c r="T499" s="2"/>
    </row>
    <row r="500" ht="15.75" customHeight="1">
      <c r="A500" s="2"/>
      <c r="B500" s="2"/>
      <c r="C500" s="2"/>
      <c r="D500" s="2"/>
      <c r="E500" s="2"/>
      <c r="F500" s="2"/>
      <c r="G500" s="2"/>
      <c r="H500" s="2"/>
      <c r="I500" s="74"/>
      <c r="J500" s="74"/>
      <c r="K500" s="74"/>
      <c r="L500" s="74"/>
      <c r="M500" s="2"/>
      <c r="N500" s="2"/>
      <c r="O500" s="2"/>
      <c r="P500" s="74"/>
      <c r="Q500" s="2"/>
      <c r="R500" s="2"/>
      <c r="S500" s="76"/>
      <c r="T500" s="2"/>
    </row>
    <row r="501" ht="15.75" customHeight="1">
      <c r="A501" s="2"/>
      <c r="B501" s="2"/>
      <c r="C501" s="2"/>
      <c r="D501" s="2"/>
      <c r="E501" s="2"/>
      <c r="F501" s="2"/>
      <c r="G501" s="2"/>
      <c r="H501" s="2"/>
      <c r="I501" s="74"/>
      <c r="J501" s="74"/>
      <c r="K501" s="74"/>
      <c r="L501" s="74"/>
      <c r="M501" s="2"/>
      <c r="N501" s="2"/>
      <c r="O501" s="2"/>
      <c r="P501" s="74"/>
      <c r="Q501" s="2"/>
      <c r="R501" s="2"/>
      <c r="S501" s="76"/>
      <c r="T501" s="2"/>
    </row>
    <row r="502" ht="15.75" customHeight="1">
      <c r="A502" s="2"/>
      <c r="B502" s="2"/>
      <c r="C502" s="2"/>
      <c r="D502" s="2"/>
      <c r="E502" s="2"/>
      <c r="F502" s="2"/>
      <c r="G502" s="2"/>
      <c r="H502" s="2"/>
      <c r="I502" s="74"/>
      <c r="J502" s="74"/>
      <c r="K502" s="74"/>
      <c r="L502" s="74"/>
      <c r="M502" s="2"/>
      <c r="N502" s="2"/>
      <c r="O502" s="2"/>
      <c r="P502" s="74"/>
      <c r="Q502" s="2"/>
      <c r="R502" s="2"/>
      <c r="S502" s="76"/>
      <c r="T502" s="2"/>
    </row>
    <row r="503" ht="15.75" customHeight="1">
      <c r="A503" s="2"/>
      <c r="B503" s="2"/>
      <c r="C503" s="2"/>
      <c r="D503" s="2"/>
      <c r="E503" s="2"/>
      <c r="F503" s="2"/>
      <c r="G503" s="2"/>
      <c r="H503" s="2"/>
      <c r="I503" s="74"/>
      <c r="J503" s="74"/>
      <c r="K503" s="74"/>
      <c r="L503" s="74"/>
      <c r="M503" s="2"/>
      <c r="N503" s="2"/>
      <c r="O503" s="2"/>
      <c r="P503" s="74"/>
      <c r="Q503" s="2"/>
      <c r="R503" s="2"/>
      <c r="S503" s="76"/>
      <c r="T503" s="2"/>
    </row>
    <row r="504" ht="15.75" customHeight="1">
      <c r="A504" s="2"/>
      <c r="B504" s="2"/>
      <c r="C504" s="2"/>
      <c r="D504" s="2"/>
      <c r="E504" s="2"/>
      <c r="F504" s="2"/>
      <c r="G504" s="2"/>
      <c r="H504" s="2"/>
      <c r="I504" s="74"/>
      <c r="J504" s="74"/>
      <c r="K504" s="74"/>
      <c r="L504" s="74"/>
      <c r="M504" s="2"/>
      <c r="N504" s="2"/>
      <c r="O504" s="2"/>
      <c r="P504" s="74"/>
      <c r="Q504" s="2"/>
      <c r="R504" s="2"/>
      <c r="S504" s="76"/>
      <c r="T504" s="2"/>
    </row>
    <row r="505" ht="15.75" customHeight="1">
      <c r="A505" s="2"/>
      <c r="B505" s="2"/>
      <c r="C505" s="2"/>
      <c r="D505" s="2"/>
      <c r="E505" s="2"/>
      <c r="F505" s="2"/>
      <c r="G505" s="2"/>
      <c r="H505" s="2"/>
      <c r="I505" s="74"/>
      <c r="J505" s="74"/>
      <c r="K505" s="74"/>
      <c r="L505" s="74"/>
      <c r="M505" s="2"/>
      <c r="N505" s="2"/>
      <c r="O505" s="2"/>
      <c r="P505" s="74"/>
      <c r="Q505" s="2"/>
      <c r="R505" s="2"/>
      <c r="S505" s="76"/>
      <c r="T505" s="2"/>
    </row>
    <row r="506" ht="15.75" customHeight="1">
      <c r="A506" s="2"/>
      <c r="B506" s="2"/>
      <c r="C506" s="2"/>
      <c r="D506" s="2"/>
      <c r="E506" s="2"/>
      <c r="F506" s="2"/>
      <c r="G506" s="2"/>
      <c r="H506" s="2"/>
      <c r="I506" s="74"/>
      <c r="J506" s="74"/>
      <c r="K506" s="74"/>
      <c r="L506" s="74"/>
      <c r="M506" s="2"/>
      <c r="N506" s="2"/>
      <c r="O506" s="2"/>
      <c r="P506" s="74"/>
      <c r="Q506" s="2"/>
      <c r="R506" s="2"/>
      <c r="S506" s="76"/>
      <c r="T506" s="2"/>
    </row>
    <row r="507" ht="15.75" customHeight="1">
      <c r="A507" s="2"/>
      <c r="B507" s="2"/>
      <c r="C507" s="2"/>
      <c r="D507" s="2"/>
      <c r="E507" s="2"/>
      <c r="F507" s="2"/>
      <c r="G507" s="2"/>
      <c r="H507" s="2"/>
      <c r="I507" s="74"/>
      <c r="J507" s="74"/>
      <c r="K507" s="74"/>
      <c r="L507" s="74"/>
      <c r="M507" s="2"/>
      <c r="N507" s="2"/>
      <c r="O507" s="2"/>
      <c r="P507" s="74"/>
      <c r="Q507" s="2"/>
      <c r="R507" s="2"/>
      <c r="S507" s="76"/>
      <c r="T507" s="2"/>
    </row>
    <row r="508" ht="15.75" customHeight="1">
      <c r="A508" s="2"/>
      <c r="B508" s="2"/>
      <c r="C508" s="2"/>
      <c r="D508" s="2"/>
      <c r="E508" s="2"/>
      <c r="F508" s="2"/>
      <c r="G508" s="2"/>
      <c r="H508" s="2"/>
      <c r="I508" s="74"/>
      <c r="J508" s="74"/>
      <c r="K508" s="74"/>
      <c r="L508" s="74"/>
      <c r="M508" s="2"/>
      <c r="N508" s="2"/>
      <c r="O508" s="2"/>
      <c r="P508" s="74"/>
      <c r="Q508" s="2"/>
      <c r="R508" s="2"/>
      <c r="S508" s="76"/>
      <c r="T508" s="2"/>
    </row>
    <row r="509" ht="15.75" customHeight="1">
      <c r="A509" s="2"/>
      <c r="B509" s="2"/>
      <c r="C509" s="2"/>
      <c r="D509" s="2"/>
      <c r="E509" s="2"/>
      <c r="F509" s="2"/>
      <c r="G509" s="2"/>
      <c r="H509" s="2"/>
      <c r="I509" s="74"/>
      <c r="J509" s="74"/>
      <c r="K509" s="74"/>
      <c r="L509" s="74"/>
      <c r="M509" s="2"/>
      <c r="N509" s="2"/>
      <c r="O509" s="2"/>
      <c r="P509" s="74"/>
      <c r="Q509" s="2"/>
      <c r="R509" s="2"/>
      <c r="S509" s="76"/>
      <c r="T509" s="2"/>
    </row>
    <row r="510" ht="15.75" customHeight="1">
      <c r="A510" s="2"/>
      <c r="B510" s="2"/>
      <c r="C510" s="2"/>
      <c r="D510" s="2"/>
      <c r="E510" s="2"/>
      <c r="F510" s="2"/>
      <c r="G510" s="2"/>
      <c r="H510" s="2"/>
      <c r="I510" s="74"/>
      <c r="J510" s="74"/>
      <c r="K510" s="74"/>
      <c r="L510" s="74"/>
      <c r="M510" s="2"/>
      <c r="N510" s="2"/>
      <c r="O510" s="2"/>
      <c r="P510" s="74"/>
      <c r="Q510" s="2"/>
      <c r="R510" s="2"/>
      <c r="S510" s="76"/>
      <c r="T510" s="2"/>
    </row>
    <row r="511" ht="15.75" customHeight="1">
      <c r="A511" s="2"/>
      <c r="B511" s="2"/>
      <c r="C511" s="2"/>
      <c r="D511" s="2"/>
      <c r="E511" s="2"/>
      <c r="F511" s="2"/>
      <c r="G511" s="2"/>
      <c r="H511" s="2"/>
      <c r="I511" s="74"/>
      <c r="J511" s="74"/>
      <c r="K511" s="74"/>
      <c r="L511" s="74"/>
      <c r="M511" s="2"/>
      <c r="N511" s="2"/>
      <c r="O511" s="2"/>
      <c r="P511" s="74"/>
      <c r="Q511" s="2"/>
      <c r="R511" s="2"/>
      <c r="S511" s="76"/>
      <c r="T511" s="2"/>
    </row>
    <row r="512" ht="15.75" customHeight="1">
      <c r="A512" s="2"/>
      <c r="B512" s="2"/>
      <c r="C512" s="2"/>
      <c r="D512" s="2"/>
      <c r="E512" s="2"/>
      <c r="F512" s="2"/>
      <c r="G512" s="2"/>
      <c r="H512" s="2"/>
      <c r="I512" s="74"/>
      <c r="J512" s="74"/>
      <c r="K512" s="74"/>
      <c r="L512" s="74"/>
      <c r="M512" s="2"/>
      <c r="N512" s="2"/>
      <c r="O512" s="2"/>
      <c r="P512" s="74"/>
      <c r="Q512" s="2"/>
      <c r="R512" s="2"/>
      <c r="S512" s="76"/>
      <c r="T512" s="2"/>
    </row>
    <row r="513" ht="15.75" customHeight="1">
      <c r="A513" s="2"/>
      <c r="B513" s="2"/>
      <c r="C513" s="2"/>
      <c r="D513" s="2"/>
      <c r="E513" s="2"/>
      <c r="F513" s="2"/>
      <c r="G513" s="2"/>
      <c r="H513" s="2"/>
      <c r="I513" s="74"/>
      <c r="J513" s="74"/>
      <c r="K513" s="74"/>
      <c r="L513" s="74"/>
      <c r="M513" s="2"/>
      <c r="N513" s="2"/>
      <c r="O513" s="2"/>
      <c r="P513" s="74"/>
      <c r="Q513" s="2"/>
      <c r="R513" s="2"/>
      <c r="S513" s="76"/>
      <c r="T513" s="2"/>
    </row>
    <row r="514" ht="15.75" customHeight="1">
      <c r="A514" s="2"/>
      <c r="B514" s="2"/>
      <c r="C514" s="2"/>
      <c r="D514" s="2"/>
      <c r="E514" s="2"/>
      <c r="F514" s="2"/>
      <c r="G514" s="2"/>
      <c r="H514" s="2"/>
      <c r="I514" s="74"/>
      <c r="J514" s="74"/>
      <c r="K514" s="74"/>
      <c r="L514" s="74"/>
      <c r="M514" s="2"/>
      <c r="N514" s="2"/>
      <c r="O514" s="2"/>
      <c r="P514" s="74"/>
      <c r="Q514" s="2"/>
      <c r="R514" s="2"/>
      <c r="S514" s="76"/>
      <c r="T514" s="2"/>
    </row>
    <row r="515" ht="15.75" customHeight="1">
      <c r="A515" s="2"/>
      <c r="B515" s="2"/>
      <c r="C515" s="2"/>
      <c r="D515" s="2"/>
      <c r="E515" s="2"/>
      <c r="F515" s="2"/>
      <c r="G515" s="2"/>
      <c r="H515" s="2"/>
      <c r="I515" s="74"/>
      <c r="J515" s="74"/>
      <c r="K515" s="74"/>
      <c r="L515" s="74"/>
      <c r="M515" s="2"/>
      <c r="N515" s="2"/>
      <c r="O515" s="2"/>
      <c r="P515" s="74"/>
      <c r="Q515" s="2"/>
      <c r="R515" s="2"/>
      <c r="S515" s="76"/>
      <c r="T515" s="2"/>
    </row>
    <row r="516" ht="15.75" customHeight="1">
      <c r="A516" s="2"/>
      <c r="B516" s="2"/>
      <c r="C516" s="2"/>
      <c r="D516" s="2"/>
      <c r="E516" s="2"/>
      <c r="F516" s="2"/>
      <c r="G516" s="2"/>
      <c r="H516" s="2"/>
      <c r="I516" s="74"/>
      <c r="J516" s="74"/>
      <c r="K516" s="74"/>
      <c r="L516" s="74"/>
      <c r="M516" s="2"/>
      <c r="N516" s="2"/>
      <c r="O516" s="2"/>
      <c r="P516" s="74"/>
      <c r="Q516" s="2"/>
      <c r="R516" s="2"/>
      <c r="S516" s="76"/>
      <c r="T516" s="2"/>
    </row>
    <row r="517" ht="15.75" customHeight="1">
      <c r="A517" s="2"/>
      <c r="B517" s="2"/>
      <c r="C517" s="2"/>
      <c r="D517" s="2"/>
      <c r="E517" s="2"/>
      <c r="F517" s="2"/>
      <c r="G517" s="2"/>
      <c r="H517" s="2"/>
      <c r="I517" s="74"/>
      <c r="J517" s="74"/>
      <c r="K517" s="74"/>
      <c r="L517" s="74"/>
      <c r="M517" s="2"/>
      <c r="N517" s="2"/>
      <c r="O517" s="2"/>
      <c r="P517" s="74"/>
      <c r="Q517" s="2"/>
      <c r="R517" s="2"/>
      <c r="S517" s="76"/>
      <c r="T517" s="2"/>
    </row>
    <row r="518" ht="15.75" customHeight="1">
      <c r="A518" s="2"/>
      <c r="B518" s="2"/>
      <c r="C518" s="2"/>
      <c r="D518" s="2"/>
      <c r="E518" s="2"/>
      <c r="F518" s="2"/>
      <c r="G518" s="2"/>
      <c r="H518" s="2"/>
      <c r="I518" s="74"/>
      <c r="J518" s="74"/>
      <c r="K518" s="74"/>
      <c r="L518" s="74"/>
      <c r="M518" s="2"/>
      <c r="N518" s="2"/>
      <c r="O518" s="2"/>
      <c r="P518" s="74"/>
      <c r="Q518" s="2"/>
      <c r="R518" s="2"/>
      <c r="S518" s="76"/>
      <c r="T518" s="2"/>
    </row>
    <row r="519" ht="15.75" customHeight="1">
      <c r="A519" s="2"/>
      <c r="B519" s="2"/>
      <c r="C519" s="2"/>
      <c r="D519" s="2"/>
      <c r="E519" s="2"/>
      <c r="F519" s="2"/>
      <c r="G519" s="2"/>
      <c r="H519" s="2"/>
      <c r="I519" s="74"/>
      <c r="J519" s="74"/>
      <c r="K519" s="74"/>
      <c r="L519" s="74"/>
      <c r="M519" s="2"/>
      <c r="N519" s="2"/>
      <c r="O519" s="2"/>
      <c r="P519" s="74"/>
      <c r="Q519" s="2"/>
      <c r="R519" s="2"/>
      <c r="S519" s="76"/>
      <c r="T519" s="2"/>
    </row>
    <row r="520" ht="15.75" customHeight="1">
      <c r="A520" s="2"/>
      <c r="B520" s="2"/>
      <c r="C520" s="2"/>
      <c r="D520" s="2"/>
      <c r="E520" s="2"/>
      <c r="F520" s="2"/>
      <c r="G520" s="2"/>
      <c r="H520" s="2"/>
      <c r="I520" s="74"/>
      <c r="J520" s="74"/>
      <c r="K520" s="74"/>
      <c r="L520" s="74"/>
      <c r="M520" s="2"/>
      <c r="N520" s="2"/>
      <c r="O520" s="2"/>
      <c r="P520" s="74"/>
      <c r="Q520" s="2"/>
      <c r="R520" s="2"/>
      <c r="S520" s="76"/>
      <c r="T520" s="2"/>
    </row>
    <row r="521" ht="15.75" customHeight="1">
      <c r="A521" s="2"/>
      <c r="B521" s="2"/>
      <c r="C521" s="2"/>
      <c r="D521" s="2"/>
      <c r="E521" s="2"/>
      <c r="F521" s="2"/>
      <c r="G521" s="2"/>
      <c r="H521" s="2"/>
      <c r="I521" s="74"/>
      <c r="J521" s="74"/>
      <c r="K521" s="74"/>
      <c r="L521" s="74"/>
      <c r="M521" s="2"/>
      <c r="N521" s="2"/>
      <c r="O521" s="2"/>
      <c r="P521" s="74"/>
      <c r="Q521" s="2"/>
      <c r="R521" s="2"/>
      <c r="S521" s="76"/>
      <c r="T521" s="2"/>
    </row>
    <row r="522" ht="15.75" customHeight="1">
      <c r="A522" s="2"/>
      <c r="B522" s="2"/>
      <c r="C522" s="2"/>
      <c r="D522" s="2"/>
      <c r="E522" s="2"/>
      <c r="F522" s="2"/>
      <c r="G522" s="2"/>
      <c r="H522" s="2"/>
      <c r="I522" s="74"/>
      <c r="J522" s="74"/>
      <c r="K522" s="74"/>
      <c r="L522" s="74"/>
      <c r="M522" s="2"/>
      <c r="N522" s="2"/>
      <c r="O522" s="2"/>
      <c r="P522" s="74"/>
      <c r="Q522" s="2"/>
      <c r="R522" s="2"/>
      <c r="S522" s="76"/>
      <c r="T522" s="2"/>
    </row>
    <row r="523" ht="15.75" customHeight="1">
      <c r="A523" s="2"/>
      <c r="B523" s="2"/>
      <c r="C523" s="2"/>
      <c r="D523" s="2"/>
      <c r="E523" s="2"/>
      <c r="F523" s="2"/>
      <c r="G523" s="2"/>
      <c r="H523" s="2"/>
      <c r="I523" s="74"/>
      <c r="J523" s="74"/>
      <c r="K523" s="74"/>
      <c r="L523" s="74"/>
      <c r="M523" s="2"/>
      <c r="N523" s="2"/>
      <c r="O523" s="2"/>
      <c r="P523" s="74"/>
      <c r="Q523" s="2"/>
      <c r="R523" s="2"/>
      <c r="S523" s="76"/>
      <c r="T523" s="2"/>
    </row>
    <row r="524" ht="15.75" customHeight="1">
      <c r="A524" s="2"/>
      <c r="B524" s="2"/>
      <c r="C524" s="2"/>
      <c r="D524" s="2"/>
      <c r="E524" s="2"/>
      <c r="F524" s="2"/>
      <c r="G524" s="2"/>
      <c r="H524" s="2"/>
      <c r="I524" s="74"/>
      <c r="J524" s="74"/>
      <c r="K524" s="74"/>
      <c r="L524" s="74"/>
      <c r="M524" s="2"/>
      <c r="N524" s="2"/>
      <c r="O524" s="2"/>
      <c r="P524" s="74"/>
      <c r="Q524" s="2"/>
      <c r="R524" s="2"/>
      <c r="S524" s="76"/>
      <c r="T524" s="2"/>
    </row>
    <row r="525" ht="15.75" customHeight="1">
      <c r="A525" s="2"/>
      <c r="B525" s="2"/>
      <c r="C525" s="2"/>
      <c r="D525" s="2"/>
      <c r="E525" s="2"/>
      <c r="F525" s="2"/>
      <c r="G525" s="2"/>
      <c r="H525" s="2"/>
      <c r="I525" s="74"/>
      <c r="J525" s="74"/>
      <c r="K525" s="74"/>
      <c r="L525" s="74"/>
      <c r="M525" s="2"/>
      <c r="N525" s="2"/>
      <c r="O525" s="2"/>
      <c r="P525" s="74"/>
      <c r="Q525" s="2"/>
      <c r="R525" s="2"/>
      <c r="S525" s="76"/>
      <c r="T525" s="2"/>
    </row>
    <row r="526" ht="15.75" customHeight="1">
      <c r="A526" s="2"/>
      <c r="B526" s="2"/>
      <c r="C526" s="2"/>
      <c r="D526" s="2"/>
      <c r="E526" s="2"/>
      <c r="F526" s="2"/>
      <c r="G526" s="2"/>
      <c r="H526" s="2"/>
      <c r="I526" s="74"/>
      <c r="J526" s="74"/>
      <c r="K526" s="74"/>
      <c r="L526" s="74"/>
      <c r="M526" s="2"/>
      <c r="N526" s="2"/>
      <c r="O526" s="2"/>
      <c r="P526" s="74"/>
      <c r="Q526" s="2"/>
      <c r="R526" s="2"/>
      <c r="S526" s="76"/>
      <c r="T526" s="2"/>
    </row>
    <row r="527" ht="15.75" customHeight="1">
      <c r="A527" s="2"/>
      <c r="B527" s="2"/>
      <c r="C527" s="2"/>
      <c r="D527" s="2"/>
      <c r="E527" s="2"/>
      <c r="F527" s="2"/>
      <c r="G527" s="2"/>
      <c r="H527" s="2"/>
      <c r="I527" s="74"/>
      <c r="J527" s="74"/>
      <c r="K527" s="74"/>
      <c r="L527" s="74"/>
      <c r="M527" s="2"/>
      <c r="N527" s="2"/>
      <c r="O527" s="2"/>
      <c r="P527" s="74"/>
      <c r="Q527" s="2"/>
      <c r="R527" s="2"/>
      <c r="S527" s="76"/>
      <c r="T527" s="2"/>
    </row>
    <row r="528" ht="15.75" customHeight="1">
      <c r="A528" s="2"/>
      <c r="B528" s="2"/>
      <c r="C528" s="2"/>
      <c r="D528" s="2"/>
      <c r="E528" s="2"/>
      <c r="F528" s="2"/>
      <c r="G528" s="2"/>
      <c r="H528" s="2"/>
      <c r="I528" s="74"/>
      <c r="J528" s="74"/>
      <c r="K528" s="74"/>
      <c r="L528" s="74"/>
      <c r="M528" s="2"/>
      <c r="N528" s="2"/>
      <c r="O528" s="2"/>
      <c r="P528" s="74"/>
      <c r="Q528" s="2"/>
      <c r="R528" s="2"/>
      <c r="S528" s="76"/>
      <c r="T528" s="2"/>
    </row>
    <row r="529" ht="15.75" customHeight="1">
      <c r="A529" s="2"/>
      <c r="B529" s="2"/>
      <c r="C529" s="2"/>
      <c r="D529" s="2"/>
      <c r="E529" s="2"/>
      <c r="F529" s="2"/>
      <c r="G529" s="2"/>
      <c r="H529" s="2"/>
      <c r="I529" s="74"/>
      <c r="J529" s="74"/>
      <c r="K529" s="74"/>
      <c r="L529" s="74"/>
      <c r="M529" s="2"/>
      <c r="N529" s="2"/>
      <c r="O529" s="2"/>
      <c r="P529" s="74"/>
      <c r="Q529" s="2"/>
      <c r="R529" s="2"/>
      <c r="S529" s="76"/>
      <c r="T529" s="2"/>
    </row>
    <row r="530" ht="15.75" customHeight="1">
      <c r="A530" s="2"/>
      <c r="B530" s="2"/>
      <c r="C530" s="2"/>
      <c r="D530" s="2"/>
      <c r="E530" s="2"/>
      <c r="F530" s="2"/>
      <c r="G530" s="2"/>
      <c r="H530" s="2"/>
      <c r="I530" s="74"/>
      <c r="J530" s="74"/>
      <c r="K530" s="74"/>
      <c r="L530" s="74"/>
      <c r="M530" s="2"/>
      <c r="N530" s="2"/>
      <c r="O530" s="2"/>
      <c r="P530" s="74"/>
      <c r="Q530" s="2"/>
      <c r="R530" s="2"/>
      <c r="S530" s="76"/>
      <c r="T530" s="2"/>
    </row>
    <row r="531" ht="15.75" customHeight="1">
      <c r="A531" s="2"/>
      <c r="B531" s="2"/>
      <c r="C531" s="2"/>
      <c r="D531" s="2"/>
      <c r="E531" s="2"/>
      <c r="F531" s="2"/>
      <c r="G531" s="2"/>
      <c r="H531" s="2"/>
      <c r="I531" s="74"/>
      <c r="J531" s="74"/>
      <c r="K531" s="74"/>
      <c r="L531" s="74"/>
      <c r="M531" s="2"/>
      <c r="N531" s="2"/>
      <c r="O531" s="2"/>
      <c r="P531" s="74"/>
      <c r="Q531" s="2"/>
      <c r="R531" s="2"/>
      <c r="S531" s="76"/>
      <c r="T531" s="2"/>
    </row>
    <row r="532" ht="15.75" customHeight="1">
      <c r="A532" s="2"/>
      <c r="B532" s="2"/>
      <c r="C532" s="2"/>
      <c r="D532" s="2"/>
      <c r="E532" s="2"/>
      <c r="F532" s="2"/>
      <c r="G532" s="2"/>
      <c r="H532" s="2"/>
      <c r="I532" s="74"/>
      <c r="J532" s="74"/>
      <c r="K532" s="74"/>
      <c r="L532" s="74"/>
      <c r="M532" s="2"/>
      <c r="N532" s="2"/>
      <c r="O532" s="2"/>
      <c r="P532" s="74"/>
      <c r="Q532" s="2"/>
      <c r="R532" s="2"/>
      <c r="S532" s="76"/>
      <c r="T532" s="2"/>
    </row>
    <row r="533" ht="15.75" customHeight="1">
      <c r="A533" s="2"/>
      <c r="B533" s="2"/>
      <c r="C533" s="2"/>
      <c r="D533" s="2"/>
      <c r="E533" s="2"/>
      <c r="F533" s="2"/>
      <c r="G533" s="2"/>
      <c r="H533" s="2"/>
      <c r="I533" s="74"/>
      <c r="J533" s="74"/>
      <c r="K533" s="74"/>
      <c r="L533" s="74"/>
      <c r="M533" s="2"/>
      <c r="N533" s="2"/>
      <c r="O533" s="2"/>
      <c r="P533" s="74"/>
      <c r="Q533" s="2"/>
      <c r="R533" s="2"/>
      <c r="S533" s="76"/>
      <c r="T533" s="2"/>
    </row>
    <row r="534" ht="15.75" customHeight="1">
      <c r="A534" s="2"/>
      <c r="B534" s="2"/>
      <c r="C534" s="2"/>
      <c r="D534" s="2"/>
      <c r="E534" s="2"/>
      <c r="F534" s="2"/>
      <c r="G534" s="2"/>
      <c r="H534" s="2"/>
      <c r="I534" s="74"/>
      <c r="J534" s="74"/>
      <c r="K534" s="74"/>
      <c r="L534" s="74"/>
      <c r="M534" s="2"/>
      <c r="N534" s="2"/>
      <c r="O534" s="2"/>
      <c r="P534" s="74"/>
      <c r="Q534" s="2"/>
      <c r="R534" s="2"/>
      <c r="S534" s="76"/>
      <c r="T534" s="2"/>
    </row>
    <row r="535" ht="15.75" customHeight="1">
      <c r="A535" s="2"/>
      <c r="B535" s="2"/>
      <c r="C535" s="2"/>
      <c r="D535" s="2"/>
      <c r="E535" s="2"/>
      <c r="F535" s="2"/>
      <c r="G535" s="2"/>
      <c r="H535" s="2"/>
      <c r="I535" s="74"/>
      <c r="J535" s="74"/>
      <c r="K535" s="74"/>
      <c r="L535" s="74"/>
      <c r="M535" s="2"/>
      <c r="N535" s="2"/>
      <c r="O535" s="2"/>
      <c r="P535" s="74"/>
      <c r="Q535" s="2"/>
      <c r="R535" s="2"/>
      <c r="S535" s="76"/>
      <c r="T535" s="2"/>
    </row>
    <row r="536" ht="15.75" customHeight="1">
      <c r="A536" s="2"/>
      <c r="B536" s="2"/>
      <c r="C536" s="2"/>
      <c r="D536" s="2"/>
      <c r="E536" s="2"/>
      <c r="F536" s="2"/>
      <c r="G536" s="2"/>
      <c r="H536" s="2"/>
      <c r="I536" s="74"/>
      <c r="J536" s="74"/>
      <c r="K536" s="74"/>
      <c r="L536" s="74"/>
      <c r="M536" s="2"/>
      <c r="N536" s="2"/>
      <c r="O536" s="2"/>
      <c r="P536" s="74"/>
      <c r="Q536" s="2"/>
      <c r="R536" s="2"/>
      <c r="S536" s="76"/>
      <c r="T536" s="2"/>
    </row>
    <row r="537" ht="15.75" customHeight="1">
      <c r="A537" s="2"/>
      <c r="B537" s="2"/>
      <c r="C537" s="2"/>
      <c r="D537" s="2"/>
      <c r="E537" s="2"/>
      <c r="F537" s="2"/>
      <c r="G537" s="2"/>
      <c r="H537" s="2"/>
      <c r="I537" s="74"/>
      <c r="J537" s="74"/>
      <c r="K537" s="74"/>
      <c r="L537" s="74"/>
      <c r="M537" s="2"/>
      <c r="N537" s="2"/>
      <c r="O537" s="2"/>
      <c r="P537" s="74"/>
      <c r="Q537" s="2"/>
      <c r="R537" s="2"/>
      <c r="S537" s="76"/>
      <c r="T537" s="2"/>
    </row>
    <row r="538" ht="15.75" customHeight="1">
      <c r="A538" s="2"/>
      <c r="B538" s="2"/>
      <c r="C538" s="2"/>
      <c r="D538" s="2"/>
      <c r="E538" s="2"/>
      <c r="F538" s="2"/>
      <c r="G538" s="2"/>
      <c r="H538" s="2"/>
      <c r="I538" s="74"/>
      <c r="J538" s="74"/>
      <c r="K538" s="74"/>
      <c r="L538" s="74"/>
      <c r="M538" s="2"/>
      <c r="N538" s="2"/>
      <c r="O538" s="2"/>
      <c r="P538" s="74"/>
      <c r="Q538" s="2"/>
      <c r="R538" s="2"/>
      <c r="S538" s="76"/>
      <c r="T538" s="2"/>
    </row>
    <row r="539" ht="15.75" customHeight="1">
      <c r="A539" s="2"/>
      <c r="B539" s="2"/>
      <c r="C539" s="2"/>
      <c r="D539" s="2"/>
      <c r="E539" s="2"/>
      <c r="F539" s="2"/>
      <c r="G539" s="2"/>
      <c r="H539" s="2"/>
      <c r="I539" s="74"/>
      <c r="J539" s="74"/>
      <c r="K539" s="74"/>
      <c r="L539" s="74"/>
      <c r="M539" s="2"/>
      <c r="N539" s="2"/>
      <c r="O539" s="2"/>
      <c r="P539" s="74"/>
      <c r="Q539" s="2"/>
      <c r="R539" s="2"/>
      <c r="S539" s="76"/>
      <c r="T539" s="2"/>
    </row>
    <row r="540" ht="15.75" customHeight="1">
      <c r="A540" s="2"/>
      <c r="B540" s="2"/>
      <c r="C540" s="2"/>
      <c r="D540" s="2"/>
      <c r="E540" s="2"/>
      <c r="F540" s="2"/>
      <c r="G540" s="2"/>
      <c r="H540" s="2"/>
      <c r="I540" s="74"/>
      <c r="J540" s="74"/>
      <c r="K540" s="74"/>
      <c r="L540" s="74"/>
      <c r="M540" s="2"/>
      <c r="N540" s="2"/>
      <c r="O540" s="2"/>
      <c r="P540" s="74"/>
      <c r="Q540" s="2"/>
      <c r="R540" s="2"/>
      <c r="S540" s="76"/>
      <c r="T540" s="2"/>
    </row>
    <row r="541" ht="15.75" customHeight="1">
      <c r="A541" s="2"/>
      <c r="B541" s="2"/>
      <c r="C541" s="2"/>
      <c r="D541" s="2"/>
      <c r="E541" s="2"/>
      <c r="F541" s="2"/>
      <c r="G541" s="2"/>
      <c r="H541" s="2"/>
      <c r="I541" s="74"/>
      <c r="J541" s="74"/>
      <c r="K541" s="74"/>
      <c r="L541" s="74"/>
      <c r="M541" s="2"/>
      <c r="N541" s="2"/>
      <c r="O541" s="2"/>
      <c r="P541" s="74"/>
      <c r="Q541" s="2"/>
      <c r="R541" s="2"/>
      <c r="S541" s="76"/>
      <c r="T541" s="2"/>
    </row>
    <row r="542" ht="15.75" customHeight="1">
      <c r="A542" s="2"/>
      <c r="B542" s="2"/>
      <c r="C542" s="2"/>
      <c r="D542" s="2"/>
      <c r="E542" s="2"/>
      <c r="F542" s="2"/>
      <c r="G542" s="2"/>
      <c r="H542" s="2"/>
      <c r="I542" s="74"/>
      <c r="J542" s="74"/>
      <c r="K542" s="74"/>
      <c r="L542" s="74"/>
      <c r="M542" s="2"/>
      <c r="N542" s="2"/>
      <c r="O542" s="2"/>
      <c r="P542" s="74"/>
      <c r="Q542" s="2"/>
      <c r="R542" s="2"/>
      <c r="S542" s="76"/>
      <c r="T542" s="2"/>
    </row>
    <row r="543" ht="15.75" customHeight="1">
      <c r="A543" s="2"/>
      <c r="B543" s="2"/>
      <c r="C543" s="2"/>
      <c r="D543" s="2"/>
      <c r="E543" s="2"/>
      <c r="F543" s="2"/>
      <c r="G543" s="2"/>
      <c r="H543" s="2"/>
      <c r="I543" s="74"/>
      <c r="J543" s="74"/>
      <c r="K543" s="74"/>
      <c r="L543" s="74"/>
      <c r="M543" s="2"/>
      <c r="N543" s="2"/>
      <c r="O543" s="2"/>
      <c r="P543" s="74"/>
      <c r="Q543" s="2"/>
      <c r="R543" s="2"/>
      <c r="S543" s="76"/>
      <c r="T543" s="2"/>
    </row>
    <row r="544" ht="15.75" customHeight="1">
      <c r="A544" s="2"/>
      <c r="B544" s="2"/>
      <c r="C544" s="2"/>
      <c r="D544" s="2"/>
      <c r="E544" s="2"/>
      <c r="F544" s="2"/>
      <c r="G544" s="2"/>
      <c r="H544" s="2"/>
      <c r="I544" s="74"/>
      <c r="J544" s="74"/>
      <c r="K544" s="74"/>
      <c r="L544" s="74"/>
      <c r="M544" s="2"/>
      <c r="N544" s="2"/>
      <c r="O544" s="2"/>
      <c r="P544" s="74"/>
      <c r="Q544" s="2"/>
      <c r="R544" s="2"/>
      <c r="S544" s="76"/>
      <c r="T544" s="2"/>
    </row>
    <row r="545" ht="15.75" customHeight="1">
      <c r="A545" s="2"/>
      <c r="B545" s="2"/>
      <c r="C545" s="2"/>
      <c r="D545" s="2"/>
      <c r="E545" s="2"/>
      <c r="F545" s="2"/>
      <c r="G545" s="2"/>
      <c r="H545" s="2"/>
      <c r="I545" s="74"/>
      <c r="J545" s="74"/>
      <c r="K545" s="74"/>
      <c r="L545" s="74"/>
      <c r="M545" s="2"/>
      <c r="N545" s="2"/>
      <c r="O545" s="2"/>
      <c r="P545" s="74"/>
      <c r="Q545" s="2"/>
      <c r="R545" s="2"/>
      <c r="S545" s="76"/>
      <c r="T545" s="2"/>
    </row>
    <row r="546" ht="15.75" customHeight="1">
      <c r="A546" s="2"/>
      <c r="B546" s="2"/>
      <c r="C546" s="2"/>
      <c r="D546" s="2"/>
      <c r="E546" s="2"/>
      <c r="F546" s="2"/>
      <c r="G546" s="2"/>
      <c r="H546" s="2"/>
      <c r="I546" s="74"/>
      <c r="J546" s="74"/>
      <c r="K546" s="74"/>
      <c r="L546" s="74"/>
      <c r="M546" s="2"/>
      <c r="N546" s="2"/>
      <c r="O546" s="2"/>
      <c r="P546" s="74"/>
      <c r="Q546" s="2"/>
      <c r="R546" s="2"/>
      <c r="S546" s="76"/>
      <c r="T546" s="2"/>
    </row>
    <row r="547" ht="15.75" customHeight="1">
      <c r="A547" s="2"/>
      <c r="B547" s="2"/>
      <c r="C547" s="2"/>
      <c r="D547" s="2"/>
      <c r="E547" s="2"/>
      <c r="F547" s="2"/>
      <c r="G547" s="2"/>
      <c r="H547" s="2"/>
      <c r="I547" s="74"/>
      <c r="J547" s="74"/>
      <c r="K547" s="74"/>
      <c r="L547" s="74"/>
      <c r="M547" s="2"/>
      <c r="N547" s="2"/>
      <c r="O547" s="2"/>
      <c r="P547" s="74"/>
      <c r="Q547" s="2"/>
      <c r="R547" s="2"/>
      <c r="S547" s="76"/>
      <c r="T547" s="2"/>
    </row>
    <row r="548" ht="15.75" customHeight="1">
      <c r="A548" s="2"/>
      <c r="B548" s="2"/>
      <c r="C548" s="2"/>
      <c r="D548" s="2"/>
      <c r="E548" s="2"/>
      <c r="F548" s="2"/>
      <c r="G548" s="2"/>
      <c r="H548" s="2"/>
      <c r="I548" s="74"/>
      <c r="J548" s="74"/>
      <c r="K548" s="74"/>
      <c r="L548" s="74"/>
      <c r="M548" s="2"/>
      <c r="N548" s="2"/>
      <c r="O548" s="2"/>
      <c r="P548" s="74"/>
      <c r="Q548" s="2"/>
      <c r="R548" s="2"/>
      <c r="S548" s="76"/>
      <c r="T548" s="2"/>
    </row>
    <row r="549" ht="15.75" customHeight="1">
      <c r="A549" s="2"/>
      <c r="B549" s="2"/>
      <c r="C549" s="2"/>
      <c r="D549" s="2"/>
      <c r="E549" s="2"/>
      <c r="F549" s="2"/>
      <c r="G549" s="2"/>
      <c r="H549" s="2"/>
      <c r="I549" s="74"/>
      <c r="J549" s="74"/>
      <c r="K549" s="74"/>
      <c r="L549" s="74"/>
      <c r="M549" s="2"/>
      <c r="N549" s="2"/>
      <c r="O549" s="2"/>
      <c r="P549" s="74"/>
      <c r="Q549" s="2"/>
      <c r="R549" s="2"/>
      <c r="S549" s="76"/>
      <c r="T549" s="2"/>
    </row>
    <row r="550" ht="15.75" customHeight="1">
      <c r="A550" s="2"/>
      <c r="B550" s="2"/>
      <c r="C550" s="2"/>
      <c r="D550" s="2"/>
      <c r="E550" s="2"/>
      <c r="F550" s="2"/>
      <c r="G550" s="2"/>
      <c r="H550" s="2"/>
      <c r="I550" s="74"/>
      <c r="J550" s="74"/>
      <c r="K550" s="74"/>
      <c r="L550" s="74"/>
      <c r="M550" s="2"/>
      <c r="N550" s="2"/>
      <c r="O550" s="2"/>
      <c r="P550" s="74"/>
      <c r="Q550" s="2"/>
      <c r="R550" s="2"/>
      <c r="S550" s="76"/>
      <c r="T550" s="2"/>
    </row>
    <row r="551" ht="15.75" customHeight="1">
      <c r="A551" s="2"/>
      <c r="B551" s="2"/>
      <c r="C551" s="2"/>
      <c r="D551" s="2"/>
      <c r="E551" s="2"/>
      <c r="F551" s="2"/>
      <c r="G551" s="2"/>
      <c r="H551" s="2"/>
      <c r="I551" s="74"/>
      <c r="J551" s="74"/>
      <c r="K551" s="74"/>
      <c r="L551" s="74"/>
      <c r="M551" s="2"/>
      <c r="N551" s="2"/>
      <c r="O551" s="2"/>
      <c r="P551" s="74"/>
      <c r="Q551" s="2"/>
      <c r="R551" s="2"/>
      <c r="S551" s="76"/>
      <c r="T551" s="2"/>
    </row>
    <row r="552" ht="15.75" customHeight="1">
      <c r="A552" s="2"/>
      <c r="B552" s="2"/>
      <c r="C552" s="2"/>
      <c r="D552" s="2"/>
      <c r="E552" s="2"/>
      <c r="F552" s="2"/>
      <c r="G552" s="2"/>
      <c r="H552" s="2"/>
      <c r="I552" s="74"/>
      <c r="J552" s="74"/>
      <c r="K552" s="74"/>
      <c r="L552" s="74"/>
      <c r="M552" s="2"/>
      <c r="N552" s="2"/>
      <c r="O552" s="2"/>
      <c r="P552" s="74"/>
      <c r="Q552" s="2"/>
      <c r="R552" s="2"/>
      <c r="S552" s="76"/>
      <c r="T552" s="2"/>
    </row>
    <row r="553" ht="15.75" customHeight="1">
      <c r="A553" s="2"/>
      <c r="B553" s="2"/>
      <c r="C553" s="2"/>
      <c r="D553" s="2"/>
      <c r="E553" s="2"/>
      <c r="F553" s="2"/>
      <c r="G553" s="2"/>
      <c r="H553" s="2"/>
      <c r="I553" s="74"/>
      <c r="J553" s="74"/>
      <c r="K553" s="74"/>
      <c r="L553" s="74"/>
      <c r="M553" s="2"/>
      <c r="N553" s="2"/>
      <c r="O553" s="2"/>
      <c r="P553" s="74"/>
      <c r="Q553" s="2"/>
      <c r="R553" s="2"/>
      <c r="S553" s="76"/>
      <c r="T553" s="2"/>
    </row>
    <row r="554" ht="15.75" customHeight="1">
      <c r="A554" s="2"/>
      <c r="B554" s="2"/>
      <c r="C554" s="2"/>
      <c r="D554" s="2"/>
      <c r="E554" s="2"/>
      <c r="F554" s="2"/>
      <c r="G554" s="2"/>
      <c r="H554" s="2"/>
      <c r="I554" s="74"/>
      <c r="J554" s="74"/>
      <c r="K554" s="74"/>
      <c r="L554" s="74"/>
      <c r="M554" s="2"/>
      <c r="N554" s="2"/>
      <c r="O554" s="2"/>
      <c r="P554" s="74"/>
      <c r="Q554" s="2"/>
      <c r="R554" s="2"/>
      <c r="S554" s="76"/>
      <c r="T554" s="2"/>
    </row>
    <row r="555" ht="15.75" customHeight="1">
      <c r="A555" s="2"/>
      <c r="B555" s="2"/>
      <c r="C555" s="2"/>
      <c r="D555" s="2"/>
      <c r="E555" s="2"/>
      <c r="F555" s="2"/>
      <c r="G555" s="2"/>
      <c r="H555" s="2"/>
      <c r="I555" s="74"/>
      <c r="J555" s="74"/>
      <c r="K555" s="74"/>
      <c r="L555" s="74"/>
      <c r="M555" s="2"/>
      <c r="N555" s="2"/>
      <c r="O555" s="2"/>
      <c r="P555" s="74"/>
      <c r="Q555" s="2"/>
      <c r="R555" s="2"/>
      <c r="S555" s="76"/>
      <c r="T555" s="2"/>
    </row>
    <row r="556" ht="15.75" customHeight="1">
      <c r="A556" s="2"/>
      <c r="B556" s="2"/>
      <c r="C556" s="2"/>
      <c r="D556" s="2"/>
      <c r="E556" s="2"/>
      <c r="F556" s="2"/>
      <c r="G556" s="2"/>
      <c r="H556" s="2"/>
      <c r="I556" s="74"/>
      <c r="J556" s="74"/>
      <c r="K556" s="74"/>
      <c r="L556" s="74"/>
      <c r="M556" s="2"/>
      <c r="N556" s="2"/>
      <c r="O556" s="2"/>
      <c r="P556" s="74"/>
      <c r="Q556" s="2"/>
      <c r="R556" s="2"/>
      <c r="S556" s="76"/>
      <c r="T556" s="2"/>
    </row>
    <row r="557" ht="15.75" customHeight="1">
      <c r="A557" s="2"/>
      <c r="B557" s="2"/>
      <c r="C557" s="2"/>
      <c r="D557" s="2"/>
      <c r="E557" s="2"/>
      <c r="F557" s="2"/>
      <c r="G557" s="2"/>
      <c r="H557" s="2"/>
      <c r="I557" s="74"/>
      <c r="J557" s="74"/>
      <c r="K557" s="74"/>
      <c r="L557" s="74"/>
      <c r="M557" s="2"/>
      <c r="N557" s="2"/>
      <c r="O557" s="2"/>
      <c r="P557" s="74"/>
      <c r="Q557" s="2"/>
      <c r="R557" s="2"/>
      <c r="S557" s="76"/>
      <c r="T557" s="2"/>
    </row>
    <row r="558" ht="15.75" customHeight="1">
      <c r="A558" s="2"/>
      <c r="B558" s="2"/>
      <c r="C558" s="2"/>
      <c r="D558" s="2"/>
      <c r="E558" s="2"/>
      <c r="F558" s="2"/>
      <c r="G558" s="2"/>
      <c r="H558" s="2"/>
      <c r="I558" s="74"/>
      <c r="J558" s="74"/>
      <c r="K558" s="74"/>
      <c r="L558" s="74"/>
      <c r="M558" s="2"/>
      <c r="N558" s="2"/>
      <c r="O558" s="2"/>
      <c r="P558" s="74"/>
      <c r="Q558" s="2"/>
      <c r="R558" s="2"/>
      <c r="S558" s="76"/>
      <c r="T558" s="2"/>
    </row>
    <row r="559" ht="15.75" customHeight="1">
      <c r="A559" s="2"/>
      <c r="B559" s="2"/>
      <c r="C559" s="2"/>
      <c r="D559" s="2"/>
      <c r="E559" s="2"/>
      <c r="F559" s="2"/>
      <c r="G559" s="2"/>
      <c r="H559" s="2"/>
      <c r="I559" s="74"/>
      <c r="J559" s="74"/>
      <c r="K559" s="74"/>
      <c r="L559" s="74"/>
      <c r="M559" s="2"/>
      <c r="N559" s="2"/>
      <c r="O559" s="2"/>
      <c r="P559" s="74"/>
      <c r="Q559" s="2"/>
      <c r="R559" s="2"/>
      <c r="S559" s="76"/>
      <c r="T559" s="2"/>
    </row>
    <row r="560" ht="15.75" customHeight="1">
      <c r="A560" s="2"/>
      <c r="B560" s="2"/>
      <c r="C560" s="2"/>
      <c r="D560" s="2"/>
      <c r="E560" s="2"/>
      <c r="F560" s="2"/>
      <c r="G560" s="2"/>
      <c r="H560" s="2"/>
      <c r="I560" s="74"/>
      <c r="J560" s="74"/>
      <c r="K560" s="74"/>
      <c r="L560" s="74"/>
      <c r="M560" s="2"/>
      <c r="N560" s="2"/>
      <c r="O560" s="2"/>
      <c r="P560" s="74"/>
      <c r="Q560" s="2"/>
      <c r="R560" s="2"/>
      <c r="S560" s="76"/>
      <c r="T560" s="2"/>
    </row>
    <row r="561" ht="15.75" customHeight="1">
      <c r="A561" s="2"/>
      <c r="B561" s="2"/>
      <c r="C561" s="2"/>
      <c r="D561" s="2"/>
      <c r="E561" s="2"/>
      <c r="F561" s="2"/>
      <c r="G561" s="2"/>
      <c r="H561" s="2"/>
      <c r="I561" s="74"/>
      <c r="J561" s="74"/>
      <c r="K561" s="74"/>
      <c r="L561" s="74"/>
      <c r="M561" s="2"/>
      <c r="N561" s="2"/>
      <c r="O561" s="2"/>
      <c r="P561" s="74"/>
      <c r="Q561" s="2"/>
      <c r="R561" s="2"/>
      <c r="S561" s="76"/>
      <c r="T561" s="2"/>
    </row>
    <row r="562" ht="15.75" customHeight="1">
      <c r="A562" s="2"/>
      <c r="B562" s="2"/>
      <c r="C562" s="2"/>
      <c r="D562" s="2"/>
      <c r="E562" s="2"/>
      <c r="F562" s="2"/>
      <c r="G562" s="2"/>
      <c r="H562" s="2"/>
      <c r="I562" s="74"/>
      <c r="J562" s="74"/>
      <c r="K562" s="74"/>
      <c r="L562" s="74"/>
      <c r="M562" s="2"/>
      <c r="N562" s="2"/>
      <c r="O562" s="2"/>
      <c r="P562" s="74"/>
      <c r="Q562" s="2"/>
      <c r="R562" s="2"/>
      <c r="S562" s="76"/>
      <c r="T562" s="2"/>
    </row>
    <row r="563" ht="15.75" customHeight="1">
      <c r="A563" s="2"/>
      <c r="B563" s="2"/>
      <c r="C563" s="2"/>
      <c r="D563" s="2"/>
      <c r="E563" s="2"/>
      <c r="F563" s="2"/>
      <c r="G563" s="2"/>
      <c r="H563" s="2"/>
      <c r="I563" s="74"/>
      <c r="J563" s="74"/>
      <c r="K563" s="74"/>
      <c r="L563" s="74"/>
      <c r="M563" s="2"/>
      <c r="N563" s="2"/>
      <c r="O563" s="2"/>
      <c r="P563" s="74"/>
      <c r="Q563" s="2"/>
      <c r="R563" s="2"/>
      <c r="S563" s="76"/>
      <c r="T563" s="2"/>
    </row>
    <row r="564" ht="15.75" customHeight="1">
      <c r="A564" s="2"/>
      <c r="B564" s="2"/>
      <c r="C564" s="2"/>
      <c r="D564" s="2"/>
      <c r="E564" s="2"/>
      <c r="F564" s="2"/>
      <c r="G564" s="2"/>
      <c r="H564" s="2"/>
      <c r="I564" s="74"/>
      <c r="J564" s="74"/>
      <c r="K564" s="74"/>
      <c r="L564" s="74"/>
      <c r="M564" s="2"/>
      <c r="N564" s="2"/>
      <c r="O564" s="2"/>
      <c r="P564" s="74"/>
      <c r="Q564" s="2"/>
      <c r="R564" s="2"/>
      <c r="S564" s="76"/>
      <c r="T564" s="2"/>
    </row>
    <row r="565" ht="15.75" customHeight="1">
      <c r="A565" s="2"/>
      <c r="B565" s="2"/>
      <c r="C565" s="2"/>
      <c r="D565" s="2"/>
      <c r="E565" s="2"/>
      <c r="F565" s="2"/>
      <c r="G565" s="2"/>
      <c r="H565" s="2"/>
      <c r="I565" s="74"/>
      <c r="J565" s="74"/>
      <c r="K565" s="74"/>
      <c r="L565" s="74"/>
      <c r="M565" s="2"/>
      <c r="N565" s="2"/>
      <c r="O565" s="2"/>
      <c r="P565" s="74"/>
      <c r="Q565" s="2"/>
      <c r="R565" s="2"/>
      <c r="S565" s="76"/>
      <c r="T565" s="2"/>
    </row>
    <row r="566" ht="15.75" customHeight="1">
      <c r="A566" s="2"/>
      <c r="B566" s="2"/>
      <c r="C566" s="2"/>
      <c r="D566" s="2"/>
      <c r="E566" s="2"/>
      <c r="F566" s="2"/>
      <c r="G566" s="2"/>
      <c r="H566" s="2"/>
      <c r="I566" s="74"/>
      <c r="J566" s="74"/>
      <c r="K566" s="74"/>
      <c r="L566" s="74"/>
      <c r="M566" s="2"/>
      <c r="N566" s="2"/>
      <c r="O566" s="2"/>
      <c r="P566" s="74"/>
      <c r="Q566" s="2"/>
      <c r="R566" s="2"/>
      <c r="S566" s="76"/>
      <c r="T566" s="2"/>
    </row>
    <row r="567" ht="15.75" customHeight="1">
      <c r="A567" s="2"/>
      <c r="B567" s="2"/>
      <c r="C567" s="2"/>
      <c r="D567" s="2"/>
      <c r="E567" s="2"/>
      <c r="F567" s="2"/>
      <c r="G567" s="2"/>
      <c r="H567" s="2"/>
      <c r="I567" s="74"/>
      <c r="J567" s="74"/>
      <c r="K567" s="74"/>
      <c r="L567" s="74"/>
      <c r="M567" s="2"/>
      <c r="N567" s="2"/>
      <c r="O567" s="2"/>
      <c r="P567" s="74"/>
      <c r="Q567" s="2"/>
      <c r="R567" s="2"/>
      <c r="S567" s="76"/>
      <c r="T567" s="2"/>
    </row>
    <row r="568" ht="15.75" customHeight="1">
      <c r="A568" s="2"/>
      <c r="B568" s="2"/>
      <c r="C568" s="2"/>
      <c r="D568" s="2"/>
      <c r="E568" s="2"/>
      <c r="F568" s="2"/>
      <c r="G568" s="2"/>
      <c r="H568" s="2"/>
      <c r="I568" s="74"/>
      <c r="J568" s="74"/>
      <c r="K568" s="74"/>
      <c r="L568" s="74"/>
      <c r="M568" s="2"/>
      <c r="N568" s="2"/>
      <c r="O568" s="2"/>
      <c r="P568" s="74"/>
      <c r="Q568" s="2"/>
      <c r="R568" s="2"/>
      <c r="S568" s="76"/>
      <c r="T568" s="2"/>
    </row>
    <row r="569" ht="15.75" customHeight="1">
      <c r="A569" s="2"/>
      <c r="B569" s="2"/>
      <c r="C569" s="2"/>
      <c r="D569" s="2"/>
      <c r="E569" s="2"/>
      <c r="F569" s="2"/>
      <c r="G569" s="2"/>
      <c r="H569" s="2"/>
      <c r="I569" s="74"/>
      <c r="J569" s="74"/>
      <c r="K569" s="74"/>
      <c r="L569" s="74"/>
      <c r="M569" s="2"/>
      <c r="N569" s="2"/>
      <c r="O569" s="2"/>
      <c r="P569" s="74"/>
      <c r="Q569" s="2"/>
      <c r="R569" s="2"/>
      <c r="S569" s="76"/>
      <c r="T569" s="2"/>
    </row>
    <row r="570" ht="15.75" customHeight="1">
      <c r="A570" s="2"/>
      <c r="B570" s="2"/>
      <c r="C570" s="2"/>
      <c r="D570" s="2"/>
      <c r="E570" s="2"/>
      <c r="F570" s="2"/>
      <c r="G570" s="2"/>
      <c r="H570" s="2"/>
      <c r="I570" s="74"/>
      <c r="J570" s="74"/>
      <c r="K570" s="74"/>
      <c r="L570" s="74"/>
      <c r="M570" s="2"/>
      <c r="N570" s="2"/>
      <c r="O570" s="2"/>
      <c r="P570" s="74"/>
      <c r="Q570" s="2"/>
      <c r="R570" s="2"/>
      <c r="S570" s="76"/>
      <c r="T570" s="2"/>
    </row>
    <row r="571" ht="15.75" customHeight="1">
      <c r="A571" s="2"/>
      <c r="B571" s="2"/>
      <c r="C571" s="2"/>
      <c r="D571" s="2"/>
      <c r="E571" s="2"/>
      <c r="F571" s="2"/>
      <c r="G571" s="2"/>
      <c r="H571" s="2"/>
      <c r="I571" s="74"/>
      <c r="J571" s="74"/>
      <c r="K571" s="74"/>
      <c r="L571" s="74"/>
      <c r="M571" s="2"/>
      <c r="N571" s="2"/>
      <c r="O571" s="2"/>
      <c r="P571" s="74"/>
      <c r="Q571" s="2"/>
      <c r="R571" s="2"/>
      <c r="S571" s="76"/>
      <c r="T571" s="2"/>
    </row>
    <row r="572" ht="15.75" customHeight="1">
      <c r="A572" s="2"/>
      <c r="B572" s="2"/>
      <c r="C572" s="2"/>
      <c r="D572" s="2"/>
      <c r="E572" s="2"/>
      <c r="F572" s="2"/>
      <c r="G572" s="2"/>
      <c r="H572" s="2"/>
      <c r="I572" s="74"/>
      <c r="J572" s="74"/>
      <c r="K572" s="74"/>
      <c r="L572" s="74"/>
      <c r="M572" s="2"/>
      <c r="N572" s="2"/>
      <c r="O572" s="2"/>
      <c r="P572" s="74"/>
      <c r="Q572" s="2"/>
      <c r="R572" s="2"/>
      <c r="S572" s="76"/>
      <c r="T572" s="2"/>
    </row>
    <row r="573" ht="15.75" customHeight="1">
      <c r="A573" s="2"/>
      <c r="B573" s="2"/>
      <c r="C573" s="2"/>
      <c r="D573" s="2"/>
      <c r="E573" s="2"/>
      <c r="F573" s="2"/>
      <c r="G573" s="2"/>
      <c r="H573" s="2"/>
      <c r="I573" s="74"/>
      <c r="J573" s="74"/>
      <c r="K573" s="74"/>
      <c r="L573" s="74"/>
      <c r="M573" s="2"/>
      <c r="N573" s="2"/>
      <c r="O573" s="2"/>
      <c r="P573" s="74"/>
      <c r="Q573" s="2"/>
      <c r="R573" s="2"/>
      <c r="S573" s="76"/>
      <c r="T573" s="2"/>
    </row>
    <row r="574" ht="15.75" customHeight="1">
      <c r="A574" s="2"/>
      <c r="B574" s="2"/>
      <c r="C574" s="2"/>
      <c r="D574" s="2"/>
      <c r="E574" s="2"/>
      <c r="F574" s="2"/>
      <c r="G574" s="2"/>
      <c r="H574" s="2"/>
      <c r="I574" s="74"/>
      <c r="J574" s="74"/>
      <c r="K574" s="74"/>
      <c r="L574" s="74"/>
      <c r="M574" s="2"/>
      <c r="N574" s="2"/>
      <c r="O574" s="2"/>
      <c r="P574" s="74"/>
      <c r="Q574" s="2"/>
      <c r="R574" s="2"/>
      <c r="S574" s="76"/>
      <c r="T574" s="2"/>
    </row>
    <row r="575" ht="15.75" customHeight="1">
      <c r="A575" s="2"/>
      <c r="B575" s="2"/>
      <c r="C575" s="2"/>
      <c r="D575" s="2"/>
      <c r="E575" s="2"/>
      <c r="F575" s="2"/>
      <c r="G575" s="2"/>
      <c r="H575" s="2"/>
      <c r="I575" s="74"/>
      <c r="J575" s="74"/>
      <c r="K575" s="74"/>
      <c r="L575" s="74"/>
      <c r="M575" s="2"/>
      <c r="N575" s="2"/>
      <c r="O575" s="2"/>
      <c r="P575" s="74"/>
      <c r="Q575" s="2"/>
      <c r="R575" s="2"/>
      <c r="S575" s="76"/>
      <c r="T575" s="2"/>
    </row>
    <row r="576" ht="15.75" customHeight="1">
      <c r="A576" s="2"/>
      <c r="B576" s="2"/>
      <c r="C576" s="2"/>
      <c r="D576" s="2"/>
      <c r="E576" s="2"/>
      <c r="F576" s="2"/>
      <c r="G576" s="2"/>
      <c r="H576" s="2"/>
      <c r="I576" s="74"/>
      <c r="J576" s="74"/>
      <c r="K576" s="74"/>
      <c r="L576" s="74"/>
      <c r="M576" s="2"/>
      <c r="N576" s="2"/>
      <c r="O576" s="2"/>
      <c r="P576" s="74"/>
      <c r="Q576" s="2"/>
      <c r="R576" s="2"/>
      <c r="S576" s="76"/>
      <c r="T576" s="2"/>
    </row>
    <row r="577" ht="15.75" customHeight="1">
      <c r="A577" s="2"/>
      <c r="B577" s="2"/>
      <c r="C577" s="2"/>
      <c r="D577" s="2"/>
      <c r="E577" s="2"/>
      <c r="F577" s="2"/>
      <c r="G577" s="2"/>
      <c r="H577" s="2"/>
      <c r="I577" s="74"/>
      <c r="J577" s="74"/>
      <c r="K577" s="74"/>
      <c r="L577" s="74"/>
      <c r="M577" s="2"/>
      <c r="N577" s="2"/>
      <c r="O577" s="2"/>
      <c r="P577" s="74"/>
      <c r="Q577" s="2"/>
      <c r="R577" s="2"/>
      <c r="S577" s="76"/>
      <c r="T577" s="2"/>
    </row>
    <row r="578" ht="15.75" customHeight="1">
      <c r="A578" s="2"/>
      <c r="B578" s="2"/>
      <c r="C578" s="2"/>
      <c r="D578" s="2"/>
      <c r="E578" s="2"/>
      <c r="F578" s="2"/>
      <c r="G578" s="2"/>
      <c r="H578" s="2"/>
      <c r="I578" s="74"/>
      <c r="J578" s="74"/>
      <c r="K578" s="74"/>
      <c r="L578" s="74"/>
      <c r="M578" s="2"/>
      <c r="N578" s="2"/>
      <c r="O578" s="2"/>
      <c r="P578" s="74"/>
      <c r="Q578" s="2"/>
      <c r="R578" s="2"/>
      <c r="S578" s="76"/>
      <c r="T578" s="2"/>
    </row>
    <row r="579" ht="15.75" customHeight="1">
      <c r="A579" s="2"/>
      <c r="B579" s="2"/>
      <c r="C579" s="2"/>
      <c r="D579" s="2"/>
      <c r="E579" s="2"/>
      <c r="F579" s="2"/>
      <c r="G579" s="2"/>
      <c r="H579" s="2"/>
      <c r="I579" s="74"/>
      <c r="J579" s="74"/>
      <c r="K579" s="74"/>
      <c r="L579" s="74"/>
      <c r="M579" s="2"/>
      <c r="N579" s="2"/>
      <c r="O579" s="2"/>
      <c r="P579" s="74"/>
      <c r="Q579" s="2"/>
      <c r="R579" s="2"/>
      <c r="S579" s="76"/>
      <c r="T579" s="2"/>
    </row>
    <row r="580" ht="15.75" customHeight="1">
      <c r="A580" s="2"/>
      <c r="B580" s="2"/>
      <c r="C580" s="2"/>
      <c r="D580" s="2"/>
      <c r="E580" s="2"/>
      <c r="F580" s="2"/>
      <c r="G580" s="2"/>
      <c r="H580" s="2"/>
      <c r="I580" s="74"/>
      <c r="J580" s="74"/>
      <c r="K580" s="74"/>
      <c r="L580" s="74"/>
      <c r="M580" s="2"/>
      <c r="N580" s="2"/>
      <c r="O580" s="2"/>
      <c r="P580" s="74"/>
      <c r="Q580" s="2"/>
      <c r="R580" s="2"/>
      <c r="S580" s="76"/>
      <c r="T580" s="2"/>
    </row>
    <row r="581" ht="15.75" customHeight="1">
      <c r="A581" s="2"/>
      <c r="B581" s="2"/>
      <c r="C581" s="2"/>
      <c r="D581" s="2"/>
      <c r="E581" s="2"/>
      <c r="F581" s="2"/>
      <c r="G581" s="2"/>
      <c r="H581" s="2"/>
      <c r="I581" s="74"/>
      <c r="J581" s="74"/>
      <c r="K581" s="74"/>
      <c r="L581" s="74"/>
      <c r="M581" s="2"/>
      <c r="N581" s="2"/>
      <c r="O581" s="2"/>
      <c r="P581" s="74"/>
      <c r="Q581" s="2"/>
      <c r="R581" s="2"/>
      <c r="S581" s="76"/>
      <c r="T581" s="2"/>
    </row>
    <row r="582" ht="15.75" customHeight="1">
      <c r="A582" s="2"/>
      <c r="B582" s="2"/>
      <c r="C582" s="2"/>
      <c r="D582" s="2"/>
      <c r="E582" s="2"/>
      <c r="F582" s="2"/>
      <c r="G582" s="2"/>
      <c r="H582" s="2"/>
      <c r="I582" s="74"/>
      <c r="J582" s="74"/>
      <c r="K582" s="74"/>
      <c r="L582" s="74"/>
      <c r="M582" s="2"/>
      <c r="N582" s="2"/>
      <c r="O582" s="2"/>
      <c r="P582" s="74"/>
      <c r="Q582" s="2"/>
      <c r="R582" s="2"/>
      <c r="S582" s="76"/>
      <c r="T582" s="2"/>
    </row>
    <row r="583" ht="15.75" customHeight="1">
      <c r="A583" s="2"/>
      <c r="B583" s="2"/>
      <c r="C583" s="2"/>
      <c r="D583" s="2"/>
      <c r="E583" s="2"/>
      <c r="F583" s="2"/>
      <c r="G583" s="2"/>
      <c r="H583" s="2"/>
      <c r="I583" s="74"/>
      <c r="J583" s="74"/>
      <c r="K583" s="74"/>
      <c r="L583" s="74"/>
      <c r="M583" s="2"/>
      <c r="N583" s="2"/>
      <c r="O583" s="2"/>
      <c r="P583" s="74"/>
      <c r="Q583" s="2"/>
      <c r="R583" s="2"/>
      <c r="S583" s="76"/>
      <c r="T583" s="2"/>
    </row>
    <row r="584" ht="15.75" customHeight="1">
      <c r="A584" s="2"/>
      <c r="B584" s="2"/>
      <c r="C584" s="2"/>
      <c r="D584" s="2"/>
      <c r="E584" s="2"/>
      <c r="F584" s="2"/>
      <c r="G584" s="2"/>
      <c r="H584" s="2"/>
      <c r="I584" s="74"/>
      <c r="J584" s="74"/>
      <c r="K584" s="74"/>
      <c r="L584" s="74"/>
      <c r="M584" s="2"/>
      <c r="N584" s="2"/>
      <c r="O584" s="2"/>
      <c r="P584" s="74"/>
      <c r="Q584" s="2"/>
      <c r="R584" s="2"/>
      <c r="S584" s="76"/>
      <c r="T584" s="2"/>
    </row>
    <row r="585" ht="15.75" customHeight="1">
      <c r="A585" s="2"/>
      <c r="B585" s="2"/>
      <c r="C585" s="2"/>
      <c r="D585" s="2"/>
      <c r="E585" s="2"/>
      <c r="F585" s="2"/>
      <c r="G585" s="2"/>
      <c r="H585" s="2"/>
      <c r="I585" s="74"/>
      <c r="J585" s="74"/>
      <c r="K585" s="74"/>
      <c r="L585" s="74"/>
      <c r="M585" s="2"/>
      <c r="N585" s="2"/>
      <c r="O585" s="2"/>
      <c r="P585" s="74"/>
      <c r="Q585" s="2"/>
      <c r="R585" s="2"/>
      <c r="S585" s="76"/>
      <c r="T585" s="2"/>
    </row>
    <row r="586" ht="15.75" customHeight="1">
      <c r="A586" s="2"/>
      <c r="B586" s="2"/>
      <c r="C586" s="2"/>
      <c r="D586" s="2"/>
      <c r="E586" s="2"/>
      <c r="F586" s="2"/>
      <c r="G586" s="2"/>
      <c r="H586" s="2"/>
      <c r="I586" s="74"/>
      <c r="J586" s="74"/>
      <c r="K586" s="74"/>
      <c r="L586" s="74"/>
      <c r="M586" s="2"/>
      <c r="N586" s="2"/>
      <c r="O586" s="2"/>
      <c r="P586" s="74"/>
      <c r="Q586" s="2"/>
      <c r="R586" s="2"/>
      <c r="S586" s="76"/>
      <c r="T586" s="2"/>
    </row>
    <row r="587" ht="15.75" customHeight="1">
      <c r="A587" s="2"/>
      <c r="B587" s="2"/>
      <c r="C587" s="2"/>
      <c r="D587" s="2"/>
      <c r="E587" s="2"/>
      <c r="F587" s="2"/>
      <c r="G587" s="2"/>
      <c r="H587" s="2"/>
      <c r="I587" s="74"/>
      <c r="J587" s="74"/>
      <c r="K587" s="74"/>
      <c r="L587" s="74"/>
      <c r="M587" s="2"/>
      <c r="N587" s="2"/>
      <c r="O587" s="2"/>
      <c r="P587" s="74"/>
      <c r="Q587" s="2"/>
      <c r="R587" s="2"/>
      <c r="S587" s="76"/>
      <c r="T587" s="2"/>
    </row>
    <row r="588" ht="15.75" customHeight="1">
      <c r="A588" s="2"/>
      <c r="B588" s="2"/>
      <c r="C588" s="2"/>
      <c r="D588" s="2"/>
      <c r="E588" s="2"/>
      <c r="F588" s="2"/>
      <c r="G588" s="2"/>
      <c r="H588" s="2"/>
      <c r="I588" s="74"/>
      <c r="J588" s="74"/>
      <c r="K588" s="74"/>
      <c r="L588" s="74"/>
      <c r="M588" s="2"/>
      <c r="N588" s="2"/>
      <c r="O588" s="2"/>
      <c r="P588" s="74"/>
      <c r="Q588" s="2"/>
      <c r="R588" s="2"/>
      <c r="S588" s="76"/>
      <c r="T588" s="2"/>
    </row>
    <row r="589" ht="15.75" customHeight="1">
      <c r="A589" s="2"/>
      <c r="B589" s="2"/>
      <c r="C589" s="2"/>
      <c r="D589" s="2"/>
      <c r="E589" s="2"/>
      <c r="F589" s="2"/>
      <c r="G589" s="2"/>
      <c r="H589" s="2"/>
      <c r="I589" s="74"/>
      <c r="J589" s="74"/>
      <c r="K589" s="74"/>
      <c r="L589" s="74"/>
      <c r="M589" s="2"/>
      <c r="N589" s="2"/>
      <c r="O589" s="2"/>
      <c r="P589" s="74"/>
      <c r="Q589" s="2"/>
      <c r="R589" s="2"/>
      <c r="S589" s="76"/>
      <c r="T589" s="2"/>
    </row>
    <row r="590" ht="15.75" customHeight="1">
      <c r="A590" s="2"/>
      <c r="B590" s="2"/>
      <c r="C590" s="2"/>
      <c r="D590" s="2"/>
      <c r="E590" s="2"/>
      <c r="F590" s="2"/>
      <c r="G590" s="2"/>
      <c r="H590" s="2"/>
      <c r="I590" s="74"/>
      <c r="J590" s="74"/>
      <c r="K590" s="74"/>
      <c r="L590" s="74"/>
      <c r="M590" s="2"/>
      <c r="N590" s="2"/>
      <c r="O590" s="2"/>
      <c r="P590" s="74"/>
      <c r="Q590" s="2"/>
      <c r="R590" s="2"/>
      <c r="S590" s="76"/>
      <c r="T590" s="2"/>
    </row>
    <row r="591" ht="15.75" customHeight="1">
      <c r="A591" s="2"/>
      <c r="B591" s="2"/>
      <c r="C591" s="2"/>
      <c r="D591" s="2"/>
      <c r="E591" s="2"/>
      <c r="F591" s="2"/>
      <c r="G591" s="2"/>
      <c r="H591" s="2"/>
      <c r="I591" s="74"/>
      <c r="J591" s="74"/>
      <c r="K591" s="74"/>
      <c r="L591" s="74"/>
      <c r="M591" s="2"/>
      <c r="N591" s="2"/>
      <c r="O591" s="2"/>
      <c r="P591" s="74"/>
      <c r="Q591" s="2"/>
      <c r="R591" s="2"/>
      <c r="S591" s="76"/>
      <c r="T591" s="2"/>
    </row>
    <row r="592" ht="15.75" customHeight="1">
      <c r="A592" s="2"/>
      <c r="B592" s="2"/>
      <c r="C592" s="2"/>
      <c r="D592" s="2"/>
      <c r="E592" s="2"/>
      <c r="F592" s="2"/>
      <c r="G592" s="2"/>
      <c r="H592" s="2"/>
      <c r="I592" s="74"/>
      <c r="J592" s="74"/>
      <c r="K592" s="74"/>
      <c r="L592" s="74"/>
      <c r="M592" s="2"/>
      <c r="N592" s="2"/>
      <c r="O592" s="2"/>
      <c r="P592" s="74"/>
      <c r="Q592" s="2"/>
      <c r="R592" s="2"/>
      <c r="S592" s="76"/>
      <c r="T592" s="2"/>
    </row>
    <row r="593" ht="15.75" customHeight="1">
      <c r="A593" s="2"/>
      <c r="B593" s="2"/>
      <c r="C593" s="2"/>
      <c r="D593" s="2"/>
      <c r="E593" s="2"/>
      <c r="F593" s="2"/>
      <c r="G593" s="2"/>
      <c r="H593" s="2"/>
      <c r="I593" s="74"/>
      <c r="J593" s="74"/>
      <c r="K593" s="74"/>
      <c r="L593" s="74"/>
      <c r="M593" s="2"/>
      <c r="N593" s="2"/>
      <c r="O593" s="2"/>
      <c r="P593" s="74"/>
      <c r="Q593" s="2"/>
      <c r="R593" s="2"/>
      <c r="S593" s="76"/>
      <c r="T593" s="2"/>
    </row>
    <row r="594" ht="15.75" customHeight="1">
      <c r="A594" s="2"/>
      <c r="B594" s="2"/>
      <c r="C594" s="2"/>
      <c r="D594" s="2"/>
      <c r="E594" s="2"/>
      <c r="F594" s="2"/>
      <c r="G594" s="2"/>
      <c r="H594" s="2"/>
      <c r="I594" s="74"/>
      <c r="J594" s="74"/>
      <c r="K594" s="74"/>
      <c r="L594" s="74"/>
      <c r="M594" s="2"/>
      <c r="N594" s="2"/>
      <c r="O594" s="2"/>
      <c r="P594" s="74"/>
      <c r="Q594" s="2"/>
      <c r="R594" s="2"/>
      <c r="S594" s="76"/>
      <c r="T594" s="2"/>
    </row>
    <row r="595" ht="15.75" customHeight="1">
      <c r="A595" s="2"/>
      <c r="B595" s="2"/>
      <c r="C595" s="2"/>
      <c r="D595" s="2"/>
      <c r="E595" s="2"/>
      <c r="F595" s="2"/>
      <c r="G595" s="2"/>
      <c r="H595" s="2"/>
      <c r="I595" s="74"/>
      <c r="J595" s="74"/>
      <c r="K595" s="74"/>
      <c r="L595" s="74"/>
      <c r="M595" s="2"/>
      <c r="N595" s="2"/>
      <c r="O595" s="2"/>
      <c r="P595" s="74"/>
      <c r="Q595" s="2"/>
      <c r="R595" s="2"/>
      <c r="S595" s="76"/>
      <c r="T595" s="2"/>
    </row>
    <row r="596" ht="15.75" customHeight="1">
      <c r="A596" s="2"/>
      <c r="B596" s="2"/>
      <c r="C596" s="2"/>
      <c r="D596" s="2"/>
      <c r="E596" s="2"/>
      <c r="F596" s="2"/>
      <c r="G596" s="2"/>
      <c r="H596" s="2"/>
      <c r="I596" s="74"/>
      <c r="J596" s="74"/>
      <c r="K596" s="74"/>
      <c r="L596" s="74"/>
      <c r="M596" s="2"/>
      <c r="N596" s="2"/>
      <c r="O596" s="2"/>
      <c r="P596" s="74"/>
      <c r="Q596" s="2"/>
      <c r="R596" s="2"/>
      <c r="S596" s="76"/>
      <c r="T596" s="2"/>
    </row>
    <row r="597" ht="15.75" customHeight="1">
      <c r="A597" s="2"/>
      <c r="B597" s="2"/>
      <c r="C597" s="2"/>
      <c r="D597" s="2"/>
      <c r="E597" s="2"/>
      <c r="F597" s="2"/>
      <c r="G597" s="2"/>
      <c r="H597" s="2"/>
      <c r="I597" s="74"/>
      <c r="J597" s="74"/>
      <c r="K597" s="74"/>
      <c r="L597" s="74"/>
      <c r="M597" s="2"/>
      <c r="N597" s="2"/>
      <c r="O597" s="2"/>
      <c r="P597" s="74"/>
      <c r="Q597" s="2"/>
      <c r="R597" s="2"/>
      <c r="S597" s="76"/>
      <c r="T597" s="2"/>
    </row>
    <row r="598" ht="15.75" customHeight="1">
      <c r="A598" s="2"/>
      <c r="B598" s="2"/>
      <c r="C598" s="2"/>
      <c r="D598" s="2"/>
      <c r="E598" s="2"/>
      <c r="F598" s="2"/>
      <c r="G598" s="2"/>
      <c r="H598" s="2"/>
      <c r="I598" s="74"/>
      <c r="J598" s="74"/>
      <c r="K598" s="74"/>
      <c r="L598" s="74"/>
      <c r="M598" s="2"/>
      <c r="N598" s="2"/>
      <c r="O598" s="2"/>
      <c r="P598" s="74"/>
      <c r="Q598" s="2"/>
      <c r="R598" s="2"/>
      <c r="S598" s="76"/>
      <c r="T598" s="2"/>
    </row>
    <row r="599" ht="15.75" customHeight="1">
      <c r="A599" s="2"/>
      <c r="B599" s="2"/>
      <c r="C599" s="2"/>
      <c r="D599" s="2"/>
      <c r="E599" s="2"/>
      <c r="F599" s="2"/>
      <c r="G599" s="2"/>
      <c r="H599" s="2"/>
      <c r="I599" s="74"/>
      <c r="J599" s="74"/>
      <c r="K599" s="74"/>
      <c r="L599" s="74"/>
      <c r="M599" s="2"/>
      <c r="N599" s="2"/>
      <c r="O599" s="2"/>
      <c r="P599" s="74"/>
      <c r="Q599" s="2"/>
      <c r="R599" s="2"/>
      <c r="S599" s="76"/>
      <c r="T599" s="2"/>
    </row>
    <row r="600" ht="15.75" customHeight="1">
      <c r="A600" s="2"/>
      <c r="B600" s="2"/>
      <c r="C600" s="2"/>
      <c r="D600" s="2"/>
      <c r="E600" s="2"/>
      <c r="F600" s="2"/>
      <c r="G600" s="2"/>
      <c r="H600" s="2"/>
      <c r="I600" s="74"/>
      <c r="J600" s="74"/>
      <c r="K600" s="74"/>
      <c r="L600" s="74"/>
      <c r="M600" s="2"/>
      <c r="N600" s="2"/>
      <c r="O600" s="2"/>
      <c r="P600" s="74"/>
      <c r="Q600" s="2"/>
      <c r="R600" s="2"/>
      <c r="S600" s="76"/>
      <c r="T600" s="2"/>
    </row>
    <row r="601" ht="15.75" customHeight="1">
      <c r="A601" s="2"/>
      <c r="B601" s="2"/>
      <c r="C601" s="2"/>
      <c r="D601" s="2"/>
      <c r="E601" s="2"/>
      <c r="F601" s="2"/>
      <c r="G601" s="2"/>
      <c r="H601" s="2"/>
      <c r="I601" s="74"/>
      <c r="J601" s="74"/>
      <c r="K601" s="74"/>
      <c r="L601" s="74"/>
      <c r="M601" s="2"/>
      <c r="N601" s="2"/>
      <c r="O601" s="2"/>
      <c r="P601" s="74"/>
      <c r="Q601" s="2"/>
      <c r="R601" s="2"/>
      <c r="S601" s="76"/>
      <c r="T601" s="2"/>
    </row>
    <row r="602" ht="15.75" customHeight="1">
      <c r="A602" s="2"/>
      <c r="B602" s="2"/>
      <c r="C602" s="2"/>
      <c r="D602" s="2"/>
      <c r="E602" s="2"/>
      <c r="F602" s="2"/>
      <c r="G602" s="2"/>
      <c r="H602" s="2"/>
      <c r="I602" s="74"/>
      <c r="J602" s="74"/>
      <c r="K602" s="74"/>
      <c r="L602" s="74"/>
      <c r="M602" s="2"/>
      <c r="N602" s="2"/>
      <c r="O602" s="2"/>
      <c r="P602" s="74"/>
      <c r="Q602" s="2"/>
      <c r="R602" s="2"/>
      <c r="S602" s="76"/>
      <c r="T602" s="2"/>
    </row>
    <row r="603" ht="15.75" customHeight="1">
      <c r="A603" s="2"/>
      <c r="B603" s="2"/>
      <c r="C603" s="2"/>
      <c r="D603" s="2"/>
      <c r="E603" s="2"/>
      <c r="F603" s="2"/>
      <c r="G603" s="2"/>
      <c r="H603" s="2"/>
      <c r="I603" s="74"/>
      <c r="J603" s="74"/>
      <c r="K603" s="74"/>
      <c r="L603" s="74"/>
      <c r="M603" s="2"/>
      <c r="N603" s="2"/>
      <c r="O603" s="2"/>
      <c r="P603" s="74"/>
      <c r="Q603" s="2"/>
      <c r="R603" s="2"/>
      <c r="S603" s="76"/>
      <c r="T603" s="2"/>
    </row>
    <row r="604" ht="15.75" customHeight="1">
      <c r="A604" s="2"/>
      <c r="B604" s="2"/>
      <c r="C604" s="2"/>
      <c r="D604" s="2"/>
      <c r="E604" s="2"/>
      <c r="F604" s="2"/>
      <c r="G604" s="2"/>
      <c r="H604" s="2"/>
      <c r="I604" s="74"/>
      <c r="J604" s="74"/>
      <c r="K604" s="74"/>
      <c r="L604" s="74"/>
      <c r="M604" s="2"/>
      <c r="N604" s="2"/>
      <c r="O604" s="2"/>
      <c r="P604" s="74"/>
      <c r="Q604" s="2"/>
      <c r="R604" s="2"/>
      <c r="S604" s="76"/>
      <c r="T604" s="2"/>
    </row>
    <row r="605" ht="15.75" customHeight="1">
      <c r="A605" s="2"/>
      <c r="B605" s="2"/>
      <c r="C605" s="2"/>
      <c r="D605" s="2"/>
      <c r="E605" s="2"/>
      <c r="F605" s="2"/>
      <c r="G605" s="2"/>
      <c r="H605" s="2"/>
      <c r="I605" s="74"/>
      <c r="J605" s="74"/>
      <c r="K605" s="74"/>
      <c r="L605" s="74"/>
      <c r="M605" s="2"/>
      <c r="N605" s="2"/>
      <c r="O605" s="2"/>
      <c r="P605" s="74"/>
      <c r="Q605" s="2"/>
      <c r="R605" s="2"/>
      <c r="S605" s="76"/>
      <c r="T605" s="2"/>
    </row>
    <row r="606" ht="15.75" customHeight="1">
      <c r="A606" s="2"/>
      <c r="B606" s="2"/>
      <c r="C606" s="2"/>
      <c r="D606" s="2"/>
      <c r="E606" s="2"/>
      <c r="F606" s="2"/>
      <c r="G606" s="2"/>
      <c r="H606" s="2"/>
      <c r="I606" s="74"/>
      <c r="J606" s="74"/>
      <c r="K606" s="74"/>
      <c r="L606" s="74"/>
      <c r="M606" s="2"/>
      <c r="N606" s="2"/>
      <c r="O606" s="2"/>
      <c r="P606" s="74"/>
      <c r="Q606" s="2"/>
      <c r="R606" s="2"/>
      <c r="S606" s="76"/>
      <c r="T606" s="2"/>
    </row>
    <row r="607" ht="15.75" customHeight="1">
      <c r="A607" s="2"/>
      <c r="B607" s="2"/>
      <c r="C607" s="2"/>
      <c r="D607" s="2"/>
      <c r="E607" s="2"/>
      <c r="F607" s="2"/>
      <c r="G607" s="2"/>
      <c r="H607" s="2"/>
      <c r="I607" s="74"/>
      <c r="J607" s="74"/>
      <c r="K607" s="74"/>
      <c r="L607" s="74"/>
      <c r="M607" s="2"/>
      <c r="N607" s="2"/>
      <c r="O607" s="2"/>
      <c r="P607" s="74"/>
      <c r="Q607" s="2"/>
      <c r="R607" s="2"/>
      <c r="S607" s="76"/>
      <c r="T607" s="2"/>
    </row>
    <row r="608" ht="15.75" customHeight="1">
      <c r="A608" s="2"/>
      <c r="B608" s="2"/>
      <c r="C608" s="2"/>
      <c r="D608" s="2"/>
      <c r="E608" s="2"/>
      <c r="F608" s="2"/>
      <c r="G608" s="2"/>
      <c r="H608" s="2"/>
      <c r="I608" s="74"/>
      <c r="J608" s="74"/>
      <c r="K608" s="74"/>
      <c r="L608" s="74"/>
      <c r="M608" s="2"/>
      <c r="N608" s="2"/>
      <c r="O608" s="2"/>
      <c r="P608" s="74"/>
      <c r="Q608" s="2"/>
      <c r="R608" s="2"/>
      <c r="S608" s="76"/>
      <c r="T608" s="2"/>
    </row>
    <row r="609" ht="15.75" customHeight="1">
      <c r="A609" s="2"/>
      <c r="B609" s="2"/>
      <c r="C609" s="2"/>
      <c r="D609" s="2"/>
      <c r="E609" s="2"/>
      <c r="F609" s="2"/>
      <c r="G609" s="2"/>
      <c r="H609" s="2"/>
      <c r="I609" s="74"/>
      <c r="J609" s="74"/>
      <c r="K609" s="74"/>
      <c r="L609" s="74"/>
      <c r="M609" s="2"/>
      <c r="N609" s="2"/>
      <c r="O609" s="2"/>
      <c r="P609" s="74"/>
      <c r="Q609" s="2"/>
      <c r="R609" s="2"/>
      <c r="S609" s="76"/>
      <c r="T609" s="2"/>
    </row>
    <row r="610" ht="15.75" customHeight="1">
      <c r="A610" s="2"/>
      <c r="B610" s="2"/>
      <c r="C610" s="2"/>
      <c r="D610" s="2"/>
      <c r="E610" s="2"/>
      <c r="F610" s="2"/>
      <c r="G610" s="2"/>
      <c r="H610" s="2"/>
      <c r="I610" s="74"/>
      <c r="J610" s="74"/>
      <c r="K610" s="74"/>
      <c r="L610" s="74"/>
      <c r="M610" s="2"/>
      <c r="N610" s="2"/>
      <c r="O610" s="2"/>
      <c r="P610" s="74"/>
      <c r="Q610" s="2"/>
      <c r="R610" s="2"/>
      <c r="S610" s="76"/>
      <c r="T610" s="2"/>
    </row>
    <row r="611" ht="15.75" customHeight="1">
      <c r="A611" s="2"/>
      <c r="B611" s="2"/>
      <c r="C611" s="2"/>
      <c r="D611" s="2"/>
      <c r="E611" s="2"/>
      <c r="F611" s="2"/>
      <c r="G611" s="2"/>
      <c r="H611" s="2"/>
      <c r="I611" s="74"/>
      <c r="J611" s="74"/>
      <c r="K611" s="74"/>
      <c r="L611" s="74"/>
      <c r="M611" s="2"/>
      <c r="N611" s="2"/>
      <c r="O611" s="2"/>
      <c r="P611" s="74"/>
      <c r="Q611" s="2"/>
      <c r="R611" s="2"/>
      <c r="S611" s="76"/>
      <c r="T611" s="2"/>
    </row>
    <row r="612" ht="15.75" customHeight="1">
      <c r="A612" s="2"/>
      <c r="B612" s="2"/>
      <c r="C612" s="2"/>
      <c r="D612" s="2"/>
      <c r="E612" s="2"/>
      <c r="F612" s="2"/>
      <c r="G612" s="2"/>
      <c r="H612" s="2"/>
      <c r="I612" s="74"/>
      <c r="J612" s="74"/>
      <c r="K612" s="74"/>
      <c r="L612" s="74"/>
      <c r="M612" s="2"/>
      <c r="N612" s="2"/>
      <c r="O612" s="2"/>
      <c r="P612" s="74"/>
      <c r="Q612" s="2"/>
      <c r="R612" s="2"/>
      <c r="S612" s="76"/>
      <c r="T612" s="2"/>
    </row>
    <row r="613" ht="15.75" customHeight="1">
      <c r="A613" s="2"/>
      <c r="B613" s="2"/>
      <c r="C613" s="2"/>
      <c r="D613" s="2"/>
      <c r="E613" s="2"/>
      <c r="F613" s="2"/>
      <c r="G613" s="2"/>
      <c r="H613" s="2"/>
      <c r="I613" s="74"/>
      <c r="J613" s="74"/>
      <c r="K613" s="74"/>
      <c r="L613" s="74"/>
      <c r="M613" s="2"/>
      <c r="N613" s="2"/>
      <c r="O613" s="2"/>
      <c r="P613" s="74"/>
      <c r="Q613" s="2"/>
      <c r="R613" s="2"/>
      <c r="S613" s="76"/>
      <c r="T613" s="2"/>
    </row>
    <row r="614" ht="15.75" customHeight="1">
      <c r="A614" s="2"/>
      <c r="B614" s="2"/>
      <c r="C614" s="2"/>
      <c r="D614" s="2"/>
      <c r="E614" s="2"/>
      <c r="F614" s="2"/>
      <c r="G614" s="2"/>
      <c r="H614" s="2"/>
      <c r="I614" s="74"/>
      <c r="J614" s="74"/>
      <c r="K614" s="74"/>
      <c r="L614" s="74"/>
      <c r="M614" s="2"/>
      <c r="N614" s="2"/>
      <c r="O614" s="2"/>
      <c r="P614" s="74"/>
      <c r="Q614" s="2"/>
      <c r="R614" s="2"/>
      <c r="S614" s="76"/>
      <c r="T614" s="2"/>
    </row>
    <row r="615" ht="15.75" customHeight="1">
      <c r="A615" s="2"/>
      <c r="B615" s="2"/>
      <c r="C615" s="2"/>
      <c r="D615" s="2"/>
      <c r="E615" s="2"/>
      <c r="F615" s="2"/>
      <c r="G615" s="2"/>
      <c r="H615" s="2"/>
      <c r="I615" s="74"/>
      <c r="J615" s="74"/>
      <c r="K615" s="74"/>
      <c r="L615" s="74"/>
      <c r="M615" s="2"/>
      <c r="N615" s="2"/>
      <c r="O615" s="2"/>
      <c r="P615" s="74"/>
      <c r="Q615" s="2"/>
      <c r="R615" s="2"/>
      <c r="S615" s="76"/>
      <c r="T615" s="2"/>
    </row>
    <row r="616" ht="15.75" customHeight="1">
      <c r="A616" s="2"/>
      <c r="B616" s="2"/>
      <c r="C616" s="2"/>
      <c r="D616" s="2"/>
      <c r="E616" s="2"/>
      <c r="F616" s="2"/>
      <c r="G616" s="2"/>
      <c r="H616" s="2"/>
      <c r="I616" s="74"/>
      <c r="J616" s="74"/>
      <c r="K616" s="74"/>
      <c r="L616" s="74"/>
      <c r="M616" s="2"/>
      <c r="N616" s="2"/>
      <c r="O616" s="2"/>
      <c r="P616" s="74"/>
      <c r="Q616" s="2"/>
      <c r="R616" s="2"/>
      <c r="S616" s="76"/>
      <c r="T616" s="2"/>
    </row>
    <row r="617" ht="15.75" customHeight="1">
      <c r="A617" s="2"/>
      <c r="B617" s="2"/>
      <c r="C617" s="2"/>
      <c r="D617" s="2"/>
      <c r="E617" s="2"/>
      <c r="F617" s="2"/>
      <c r="G617" s="2"/>
      <c r="H617" s="2"/>
      <c r="I617" s="74"/>
      <c r="J617" s="74"/>
      <c r="K617" s="74"/>
      <c r="L617" s="74"/>
      <c r="M617" s="2"/>
      <c r="N617" s="2"/>
      <c r="O617" s="2"/>
      <c r="P617" s="74"/>
      <c r="Q617" s="2"/>
      <c r="R617" s="2"/>
      <c r="S617" s="76"/>
      <c r="T617" s="2"/>
    </row>
    <row r="618" ht="15.75" customHeight="1">
      <c r="A618" s="2"/>
      <c r="B618" s="2"/>
      <c r="C618" s="2"/>
      <c r="D618" s="2"/>
      <c r="E618" s="2"/>
      <c r="F618" s="2"/>
      <c r="G618" s="2"/>
      <c r="H618" s="2"/>
      <c r="I618" s="74"/>
      <c r="J618" s="74"/>
      <c r="K618" s="74"/>
      <c r="L618" s="74"/>
      <c r="M618" s="2"/>
      <c r="N618" s="2"/>
      <c r="O618" s="2"/>
      <c r="P618" s="74"/>
      <c r="Q618" s="2"/>
      <c r="R618" s="2"/>
      <c r="S618" s="76"/>
      <c r="T618" s="2"/>
    </row>
    <row r="619" ht="15.75" customHeight="1">
      <c r="A619" s="2"/>
      <c r="B619" s="2"/>
      <c r="C619" s="2"/>
      <c r="D619" s="2"/>
      <c r="E619" s="2"/>
      <c r="F619" s="2"/>
      <c r="G619" s="2"/>
      <c r="H619" s="2"/>
      <c r="I619" s="74"/>
      <c r="J619" s="74"/>
      <c r="K619" s="74"/>
      <c r="L619" s="74"/>
      <c r="M619" s="2"/>
      <c r="N619" s="2"/>
      <c r="O619" s="2"/>
      <c r="P619" s="74"/>
      <c r="Q619" s="2"/>
      <c r="R619" s="2"/>
      <c r="S619" s="76"/>
      <c r="T619" s="2"/>
    </row>
    <row r="620" ht="15.75" customHeight="1">
      <c r="A620" s="2"/>
      <c r="B620" s="2"/>
      <c r="C620" s="2"/>
      <c r="D620" s="2"/>
      <c r="E620" s="2"/>
      <c r="F620" s="2"/>
      <c r="G620" s="2"/>
      <c r="H620" s="2"/>
      <c r="I620" s="74"/>
      <c r="J620" s="74"/>
      <c r="K620" s="74"/>
      <c r="L620" s="74"/>
      <c r="M620" s="2"/>
      <c r="N620" s="2"/>
      <c r="O620" s="2"/>
      <c r="P620" s="74"/>
      <c r="Q620" s="2"/>
      <c r="R620" s="2"/>
      <c r="S620" s="76"/>
      <c r="T620" s="2"/>
    </row>
    <row r="621" ht="15.75" customHeight="1">
      <c r="A621" s="2"/>
      <c r="B621" s="2"/>
      <c r="C621" s="2"/>
      <c r="D621" s="2"/>
      <c r="E621" s="2"/>
      <c r="F621" s="2"/>
      <c r="G621" s="2"/>
      <c r="H621" s="2"/>
      <c r="I621" s="74"/>
      <c r="J621" s="74"/>
      <c r="K621" s="74"/>
      <c r="L621" s="74"/>
      <c r="M621" s="2"/>
      <c r="N621" s="2"/>
      <c r="O621" s="2"/>
      <c r="P621" s="74"/>
      <c r="Q621" s="2"/>
      <c r="R621" s="2"/>
      <c r="S621" s="76"/>
      <c r="T621" s="2"/>
    </row>
    <row r="622" ht="15.75" customHeight="1">
      <c r="A622" s="2"/>
      <c r="B622" s="2"/>
      <c r="C622" s="2"/>
      <c r="D622" s="2"/>
      <c r="E622" s="2"/>
      <c r="F622" s="2"/>
      <c r="G622" s="2"/>
      <c r="H622" s="2"/>
      <c r="I622" s="74"/>
      <c r="J622" s="74"/>
      <c r="K622" s="74"/>
      <c r="L622" s="74"/>
      <c r="M622" s="2"/>
      <c r="N622" s="2"/>
      <c r="O622" s="2"/>
      <c r="P622" s="74"/>
      <c r="Q622" s="2"/>
      <c r="R622" s="2"/>
      <c r="S622" s="76"/>
      <c r="T622" s="2"/>
    </row>
    <row r="623" ht="15.75" customHeight="1">
      <c r="A623" s="2"/>
      <c r="B623" s="2"/>
      <c r="C623" s="2"/>
      <c r="D623" s="2"/>
      <c r="E623" s="2"/>
      <c r="F623" s="2"/>
      <c r="G623" s="2"/>
      <c r="H623" s="2"/>
      <c r="I623" s="74"/>
      <c r="J623" s="74"/>
      <c r="K623" s="74"/>
      <c r="L623" s="74"/>
      <c r="M623" s="2"/>
      <c r="N623" s="2"/>
      <c r="O623" s="2"/>
      <c r="P623" s="74"/>
      <c r="Q623" s="2"/>
      <c r="R623" s="2"/>
      <c r="S623" s="76"/>
      <c r="T623" s="2"/>
    </row>
    <row r="624" ht="15.75" customHeight="1">
      <c r="A624" s="2"/>
      <c r="B624" s="2"/>
      <c r="C624" s="2"/>
      <c r="D624" s="2"/>
      <c r="E624" s="2"/>
      <c r="F624" s="2"/>
      <c r="G624" s="2"/>
      <c r="H624" s="2"/>
      <c r="I624" s="74"/>
      <c r="J624" s="74"/>
      <c r="K624" s="74"/>
      <c r="L624" s="74"/>
      <c r="M624" s="2"/>
      <c r="N624" s="2"/>
      <c r="O624" s="2"/>
      <c r="P624" s="74"/>
      <c r="Q624" s="2"/>
      <c r="R624" s="2"/>
      <c r="S624" s="76"/>
      <c r="T624" s="2"/>
    </row>
    <row r="625" ht="15.75" customHeight="1">
      <c r="A625" s="2"/>
      <c r="B625" s="2"/>
      <c r="C625" s="2"/>
      <c r="D625" s="2"/>
      <c r="E625" s="2"/>
      <c r="F625" s="2"/>
      <c r="G625" s="2"/>
      <c r="H625" s="2"/>
      <c r="I625" s="74"/>
      <c r="J625" s="74"/>
      <c r="K625" s="74"/>
      <c r="L625" s="74"/>
      <c r="M625" s="2"/>
      <c r="N625" s="2"/>
      <c r="O625" s="2"/>
      <c r="P625" s="74"/>
      <c r="Q625" s="2"/>
      <c r="R625" s="2"/>
      <c r="S625" s="76"/>
      <c r="T625" s="2"/>
    </row>
    <row r="626" ht="15.75" customHeight="1">
      <c r="A626" s="2"/>
      <c r="B626" s="2"/>
      <c r="C626" s="2"/>
      <c r="D626" s="2"/>
      <c r="E626" s="2"/>
      <c r="F626" s="2"/>
      <c r="G626" s="2"/>
      <c r="H626" s="2"/>
      <c r="I626" s="74"/>
      <c r="J626" s="74"/>
      <c r="K626" s="74"/>
      <c r="L626" s="74"/>
      <c r="M626" s="2"/>
      <c r="N626" s="2"/>
      <c r="O626" s="2"/>
      <c r="P626" s="74"/>
      <c r="Q626" s="2"/>
      <c r="R626" s="2"/>
      <c r="S626" s="76"/>
      <c r="T626" s="2"/>
    </row>
    <row r="627" ht="15.75" customHeight="1">
      <c r="A627" s="2"/>
      <c r="B627" s="2"/>
      <c r="C627" s="2"/>
      <c r="D627" s="2"/>
      <c r="E627" s="2"/>
      <c r="F627" s="2"/>
      <c r="G627" s="2"/>
      <c r="H627" s="2"/>
      <c r="I627" s="74"/>
      <c r="J627" s="74"/>
      <c r="K627" s="74"/>
      <c r="L627" s="74"/>
      <c r="M627" s="2"/>
      <c r="N627" s="2"/>
      <c r="O627" s="2"/>
      <c r="P627" s="74"/>
      <c r="Q627" s="2"/>
      <c r="R627" s="2"/>
      <c r="S627" s="76"/>
      <c r="T627" s="2"/>
    </row>
    <row r="628" ht="15.75" customHeight="1">
      <c r="A628" s="2"/>
      <c r="B628" s="2"/>
      <c r="C628" s="2"/>
      <c r="D628" s="2"/>
      <c r="E628" s="2"/>
      <c r="F628" s="2"/>
      <c r="G628" s="2"/>
      <c r="H628" s="2"/>
      <c r="I628" s="74"/>
      <c r="J628" s="74"/>
      <c r="K628" s="74"/>
      <c r="L628" s="74"/>
      <c r="M628" s="2"/>
      <c r="N628" s="2"/>
      <c r="O628" s="2"/>
      <c r="P628" s="74"/>
      <c r="Q628" s="2"/>
      <c r="R628" s="2"/>
      <c r="S628" s="76"/>
      <c r="T628" s="2"/>
    </row>
    <row r="629" ht="15.75" customHeight="1">
      <c r="A629" s="2"/>
      <c r="B629" s="2"/>
      <c r="C629" s="2"/>
      <c r="D629" s="2"/>
      <c r="E629" s="2"/>
      <c r="F629" s="2"/>
      <c r="G629" s="2"/>
      <c r="H629" s="2"/>
      <c r="I629" s="74"/>
      <c r="J629" s="74"/>
      <c r="K629" s="74"/>
      <c r="L629" s="74"/>
      <c r="M629" s="2"/>
      <c r="N629" s="2"/>
      <c r="O629" s="2"/>
      <c r="P629" s="74"/>
      <c r="Q629" s="2"/>
      <c r="R629" s="2"/>
      <c r="S629" s="76"/>
      <c r="T629" s="2"/>
    </row>
    <row r="630" ht="15.75" customHeight="1">
      <c r="A630" s="2"/>
      <c r="B630" s="2"/>
      <c r="C630" s="2"/>
      <c r="D630" s="2"/>
      <c r="E630" s="2"/>
      <c r="F630" s="2"/>
      <c r="G630" s="2"/>
      <c r="H630" s="2"/>
      <c r="I630" s="74"/>
      <c r="J630" s="74"/>
      <c r="K630" s="74"/>
      <c r="L630" s="74"/>
      <c r="M630" s="2"/>
      <c r="N630" s="2"/>
      <c r="O630" s="2"/>
      <c r="P630" s="74"/>
      <c r="Q630" s="2"/>
      <c r="R630" s="2"/>
      <c r="S630" s="76"/>
      <c r="T630" s="2"/>
    </row>
    <row r="631" ht="15.75" customHeight="1">
      <c r="A631" s="2"/>
      <c r="B631" s="2"/>
      <c r="C631" s="2"/>
      <c r="D631" s="2"/>
      <c r="E631" s="2"/>
      <c r="F631" s="2"/>
      <c r="G631" s="2"/>
      <c r="H631" s="2"/>
      <c r="I631" s="74"/>
      <c r="J631" s="74"/>
      <c r="K631" s="74"/>
      <c r="L631" s="74"/>
      <c r="M631" s="2"/>
      <c r="N631" s="2"/>
      <c r="O631" s="2"/>
      <c r="P631" s="74"/>
      <c r="Q631" s="2"/>
      <c r="R631" s="2"/>
      <c r="S631" s="76"/>
      <c r="T631" s="2"/>
    </row>
    <row r="632" ht="15.75" customHeight="1">
      <c r="A632" s="2"/>
      <c r="B632" s="2"/>
      <c r="C632" s="2"/>
      <c r="D632" s="2"/>
      <c r="E632" s="2"/>
      <c r="F632" s="2"/>
      <c r="G632" s="2"/>
      <c r="H632" s="2"/>
      <c r="I632" s="74"/>
      <c r="J632" s="74"/>
      <c r="K632" s="74"/>
      <c r="L632" s="74"/>
      <c r="M632" s="2"/>
      <c r="N632" s="2"/>
      <c r="O632" s="2"/>
      <c r="P632" s="74"/>
      <c r="Q632" s="2"/>
      <c r="R632" s="2"/>
      <c r="S632" s="76"/>
      <c r="T632" s="2"/>
    </row>
    <row r="633" ht="15.75" customHeight="1">
      <c r="A633" s="2"/>
      <c r="B633" s="2"/>
      <c r="C633" s="2"/>
      <c r="D633" s="2"/>
      <c r="E633" s="2"/>
      <c r="F633" s="2"/>
      <c r="G633" s="2"/>
      <c r="H633" s="2"/>
      <c r="I633" s="74"/>
      <c r="J633" s="74"/>
      <c r="K633" s="74"/>
      <c r="L633" s="74"/>
      <c r="M633" s="2"/>
      <c r="N633" s="2"/>
      <c r="O633" s="2"/>
      <c r="P633" s="74"/>
      <c r="Q633" s="2"/>
      <c r="R633" s="2"/>
      <c r="S633" s="76"/>
      <c r="T633" s="2"/>
    </row>
    <row r="634" ht="15.75" customHeight="1">
      <c r="A634" s="2"/>
      <c r="B634" s="2"/>
      <c r="C634" s="2"/>
      <c r="D634" s="2"/>
      <c r="E634" s="2"/>
      <c r="F634" s="2"/>
      <c r="G634" s="2"/>
      <c r="H634" s="2"/>
      <c r="I634" s="74"/>
      <c r="J634" s="74"/>
      <c r="K634" s="74"/>
      <c r="L634" s="74"/>
      <c r="M634" s="2"/>
      <c r="N634" s="2"/>
      <c r="O634" s="2"/>
      <c r="P634" s="74"/>
      <c r="Q634" s="2"/>
      <c r="R634" s="2"/>
      <c r="S634" s="76"/>
      <c r="T634" s="2"/>
    </row>
    <row r="635" ht="15.75" customHeight="1">
      <c r="A635" s="2"/>
      <c r="B635" s="2"/>
      <c r="C635" s="2"/>
      <c r="D635" s="2"/>
      <c r="E635" s="2"/>
      <c r="F635" s="2"/>
      <c r="G635" s="2"/>
      <c r="H635" s="2"/>
      <c r="I635" s="74"/>
      <c r="J635" s="74"/>
      <c r="K635" s="74"/>
      <c r="L635" s="74"/>
      <c r="M635" s="2"/>
      <c r="N635" s="2"/>
      <c r="O635" s="2"/>
      <c r="P635" s="74"/>
      <c r="Q635" s="2"/>
      <c r="R635" s="2"/>
      <c r="S635" s="76"/>
      <c r="T635" s="2"/>
    </row>
    <row r="636" ht="15.75" customHeight="1">
      <c r="A636" s="2"/>
      <c r="B636" s="2"/>
      <c r="C636" s="2"/>
      <c r="D636" s="2"/>
      <c r="E636" s="2"/>
      <c r="F636" s="2"/>
      <c r="G636" s="2"/>
      <c r="H636" s="2"/>
      <c r="I636" s="74"/>
      <c r="J636" s="74"/>
      <c r="K636" s="74"/>
      <c r="L636" s="74"/>
      <c r="M636" s="2"/>
      <c r="N636" s="2"/>
      <c r="O636" s="2"/>
      <c r="P636" s="74"/>
      <c r="Q636" s="2"/>
      <c r="R636" s="2"/>
      <c r="S636" s="76"/>
      <c r="T636" s="2"/>
    </row>
    <row r="637" ht="15.75" customHeight="1">
      <c r="A637" s="2"/>
      <c r="B637" s="2"/>
      <c r="C637" s="2"/>
      <c r="D637" s="2"/>
      <c r="E637" s="2"/>
      <c r="F637" s="2"/>
      <c r="G637" s="2"/>
      <c r="H637" s="2"/>
      <c r="I637" s="74"/>
      <c r="J637" s="74"/>
      <c r="K637" s="74"/>
      <c r="L637" s="74"/>
      <c r="M637" s="2"/>
      <c r="N637" s="2"/>
      <c r="O637" s="2"/>
      <c r="P637" s="74"/>
      <c r="Q637" s="2"/>
      <c r="R637" s="2"/>
      <c r="S637" s="76"/>
      <c r="T637" s="2"/>
    </row>
    <row r="638" ht="15.75" customHeight="1">
      <c r="A638" s="2"/>
      <c r="B638" s="2"/>
      <c r="C638" s="2"/>
      <c r="D638" s="2"/>
      <c r="E638" s="2"/>
      <c r="F638" s="2"/>
      <c r="G638" s="2"/>
      <c r="H638" s="2"/>
      <c r="I638" s="74"/>
      <c r="J638" s="74"/>
      <c r="K638" s="74"/>
      <c r="L638" s="74"/>
      <c r="M638" s="2"/>
      <c r="N638" s="2"/>
      <c r="O638" s="2"/>
      <c r="P638" s="74"/>
      <c r="Q638" s="2"/>
      <c r="R638" s="2"/>
      <c r="S638" s="76"/>
      <c r="T638" s="2"/>
    </row>
    <row r="639" ht="15.75" customHeight="1">
      <c r="A639" s="2"/>
      <c r="B639" s="2"/>
      <c r="C639" s="2"/>
      <c r="D639" s="2"/>
      <c r="E639" s="2"/>
      <c r="F639" s="2"/>
      <c r="G639" s="2"/>
      <c r="H639" s="2"/>
      <c r="I639" s="74"/>
      <c r="J639" s="74"/>
      <c r="K639" s="74"/>
      <c r="L639" s="74"/>
      <c r="M639" s="2"/>
      <c r="N639" s="2"/>
      <c r="O639" s="2"/>
      <c r="P639" s="74"/>
      <c r="Q639" s="2"/>
      <c r="R639" s="2"/>
      <c r="S639" s="76"/>
      <c r="T639" s="2"/>
    </row>
    <row r="640" ht="15.75" customHeight="1">
      <c r="A640" s="2"/>
      <c r="B640" s="2"/>
      <c r="C640" s="2"/>
      <c r="D640" s="2"/>
      <c r="E640" s="2"/>
      <c r="F640" s="2"/>
      <c r="G640" s="2"/>
      <c r="H640" s="2"/>
      <c r="I640" s="74"/>
      <c r="J640" s="74"/>
      <c r="K640" s="74"/>
      <c r="L640" s="74"/>
      <c r="M640" s="2"/>
      <c r="N640" s="2"/>
      <c r="O640" s="2"/>
      <c r="P640" s="74"/>
      <c r="Q640" s="2"/>
      <c r="R640" s="2"/>
      <c r="S640" s="76"/>
      <c r="T640" s="2"/>
    </row>
    <row r="641" ht="15.75" customHeight="1">
      <c r="A641" s="2"/>
      <c r="B641" s="2"/>
      <c r="C641" s="2"/>
      <c r="D641" s="2"/>
      <c r="E641" s="2"/>
      <c r="F641" s="2"/>
      <c r="G641" s="2"/>
      <c r="H641" s="2"/>
      <c r="I641" s="74"/>
      <c r="J641" s="74"/>
      <c r="K641" s="74"/>
      <c r="L641" s="74"/>
      <c r="M641" s="2"/>
      <c r="N641" s="2"/>
      <c r="O641" s="2"/>
      <c r="P641" s="74"/>
      <c r="Q641" s="2"/>
      <c r="R641" s="2"/>
      <c r="S641" s="76"/>
      <c r="T641" s="2"/>
    </row>
    <row r="642" ht="15.75" customHeight="1">
      <c r="A642" s="2"/>
      <c r="B642" s="2"/>
      <c r="C642" s="2"/>
      <c r="D642" s="2"/>
      <c r="E642" s="2"/>
      <c r="F642" s="2"/>
      <c r="G642" s="2"/>
      <c r="H642" s="2"/>
      <c r="I642" s="74"/>
      <c r="J642" s="74"/>
      <c r="K642" s="74"/>
      <c r="L642" s="74"/>
      <c r="M642" s="2"/>
      <c r="N642" s="2"/>
      <c r="O642" s="2"/>
      <c r="P642" s="74"/>
      <c r="Q642" s="2"/>
      <c r="R642" s="2"/>
      <c r="S642" s="76"/>
      <c r="T642" s="2"/>
    </row>
    <row r="643" ht="15.75" customHeight="1">
      <c r="A643" s="2"/>
      <c r="B643" s="2"/>
      <c r="C643" s="2"/>
      <c r="D643" s="2"/>
      <c r="E643" s="2"/>
      <c r="F643" s="2"/>
      <c r="G643" s="2"/>
      <c r="H643" s="2"/>
      <c r="I643" s="74"/>
      <c r="J643" s="74"/>
      <c r="K643" s="74"/>
      <c r="L643" s="74"/>
      <c r="M643" s="2"/>
      <c r="N643" s="2"/>
      <c r="O643" s="2"/>
      <c r="P643" s="74"/>
      <c r="Q643" s="2"/>
      <c r="R643" s="2"/>
      <c r="S643" s="76"/>
      <c r="T643" s="2"/>
    </row>
    <row r="644" ht="15.75" customHeight="1">
      <c r="A644" s="2"/>
      <c r="B644" s="2"/>
      <c r="C644" s="2"/>
      <c r="D644" s="2"/>
      <c r="E644" s="2"/>
      <c r="F644" s="2"/>
      <c r="G644" s="2"/>
      <c r="H644" s="2"/>
      <c r="I644" s="74"/>
      <c r="J644" s="74"/>
      <c r="K644" s="74"/>
      <c r="L644" s="74"/>
      <c r="M644" s="2"/>
      <c r="N644" s="2"/>
      <c r="O644" s="2"/>
      <c r="P644" s="74"/>
      <c r="Q644" s="2"/>
      <c r="R644" s="2"/>
      <c r="S644" s="76"/>
      <c r="T644" s="2"/>
    </row>
    <row r="645" ht="15.75" customHeight="1">
      <c r="A645" s="2"/>
      <c r="B645" s="2"/>
      <c r="C645" s="2"/>
      <c r="D645" s="2"/>
      <c r="E645" s="2"/>
      <c r="F645" s="2"/>
      <c r="G645" s="2"/>
      <c r="H645" s="2"/>
      <c r="I645" s="74"/>
      <c r="J645" s="74"/>
      <c r="K645" s="74"/>
      <c r="L645" s="74"/>
      <c r="M645" s="2"/>
      <c r="N645" s="2"/>
      <c r="O645" s="2"/>
      <c r="P645" s="74"/>
      <c r="Q645" s="2"/>
      <c r="R645" s="2"/>
      <c r="S645" s="76"/>
      <c r="T645" s="2"/>
    </row>
    <row r="646" ht="15.75" customHeight="1">
      <c r="A646" s="2"/>
      <c r="B646" s="2"/>
      <c r="C646" s="2"/>
      <c r="D646" s="2"/>
      <c r="E646" s="2"/>
      <c r="F646" s="2"/>
      <c r="G646" s="2"/>
      <c r="H646" s="2"/>
      <c r="I646" s="74"/>
      <c r="J646" s="74"/>
      <c r="K646" s="74"/>
      <c r="L646" s="74"/>
      <c r="M646" s="2"/>
      <c r="N646" s="2"/>
      <c r="O646" s="2"/>
      <c r="P646" s="74"/>
      <c r="Q646" s="2"/>
      <c r="R646" s="2"/>
      <c r="S646" s="76"/>
      <c r="T646" s="2"/>
    </row>
    <row r="647" ht="15.75" customHeight="1">
      <c r="A647" s="2"/>
      <c r="B647" s="2"/>
      <c r="C647" s="2"/>
      <c r="D647" s="2"/>
      <c r="E647" s="2"/>
      <c r="F647" s="2"/>
      <c r="G647" s="2"/>
      <c r="H647" s="2"/>
      <c r="I647" s="74"/>
      <c r="J647" s="74"/>
      <c r="K647" s="74"/>
      <c r="L647" s="74"/>
      <c r="M647" s="2"/>
      <c r="N647" s="2"/>
      <c r="O647" s="2"/>
      <c r="P647" s="74"/>
      <c r="Q647" s="2"/>
      <c r="R647" s="2"/>
      <c r="S647" s="76"/>
      <c r="T647" s="2"/>
    </row>
    <row r="648" ht="15.75" customHeight="1">
      <c r="A648" s="2"/>
      <c r="B648" s="2"/>
      <c r="C648" s="2"/>
      <c r="D648" s="2"/>
      <c r="E648" s="2"/>
      <c r="F648" s="2"/>
      <c r="G648" s="2"/>
      <c r="H648" s="2"/>
      <c r="I648" s="74"/>
      <c r="J648" s="74"/>
      <c r="K648" s="74"/>
      <c r="L648" s="74"/>
      <c r="M648" s="2"/>
      <c r="N648" s="2"/>
      <c r="O648" s="2"/>
      <c r="P648" s="74"/>
      <c r="Q648" s="2"/>
      <c r="R648" s="2"/>
      <c r="S648" s="76"/>
      <c r="T648" s="2"/>
    </row>
    <row r="649" ht="15.75" customHeight="1">
      <c r="A649" s="2"/>
      <c r="B649" s="2"/>
      <c r="C649" s="2"/>
      <c r="D649" s="2"/>
      <c r="E649" s="2"/>
      <c r="F649" s="2"/>
      <c r="G649" s="2"/>
      <c r="H649" s="2"/>
      <c r="I649" s="74"/>
      <c r="J649" s="74"/>
      <c r="K649" s="74"/>
      <c r="L649" s="74"/>
      <c r="M649" s="2"/>
      <c r="N649" s="2"/>
      <c r="O649" s="2"/>
      <c r="P649" s="74"/>
      <c r="Q649" s="2"/>
      <c r="R649" s="2"/>
      <c r="S649" s="76"/>
      <c r="T649" s="2"/>
    </row>
    <row r="650" ht="15.75" customHeight="1">
      <c r="A650" s="2"/>
      <c r="B650" s="2"/>
      <c r="C650" s="2"/>
      <c r="D650" s="2"/>
      <c r="E650" s="2"/>
      <c r="F650" s="2"/>
      <c r="G650" s="2"/>
      <c r="H650" s="2"/>
      <c r="I650" s="74"/>
      <c r="J650" s="74"/>
      <c r="K650" s="74"/>
      <c r="L650" s="74"/>
      <c r="M650" s="2"/>
      <c r="N650" s="2"/>
      <c r="O650" s="2"/>
      <c r="P650" s="74"/>
      <c r="Q650" s="2"/>
      <c r="R650" s="2"/>
      <c r="S650" s="76"/>
      <c r="T650" s="2"/>
    </row>
    <row r="651" ht="15.75" customHeight="1">
      <c r="A651" s="2"/>
      <c r="B651" s="2"/>
      <c r="C651" s="2"/>
      <c r="D651" s="2"/>
      <c r="E651" s="2"/>
      <c r="F651" s="2"/>
      <c r="G651" s="2"/>
      <c r="H651" s="2"/>
      <c r="I651" s="74"/>
      <c r="J651" s="74"/>
      <c r="K651" s="74"/>
      <c r="L651" s="74"/>
      <c r="M651" s="2"/>
      <c r="N651" s="2"/>
      <c r="O651" s="2"/>
      <c r="P651" s="74"/>
      <c r="Q651" s="2"/>
      <c r="R651" s="2"/>
      <c r="S651" s="76"/>
      <c r="T651" s="2"/>
    </row>
    <row r="652" ht="15.75" customHeight="1">
      <c r="A652" s="2"/>
      <c r="B652" s="2"/>
      <c r="C652" s="2"/>
      <c r="D652" s="2"/>
      <c r="E652" s="2"/>
      <c r="F652" s="2"/>
      <c r="G652" s="2"/>
      <c r="H652" s="2"/>
      <c r="I652" s="74"/>
      <c r="J652" s="74"/>
      <c r="K652" s="74"/>
      <c r="L652" s="74"/>
      <c r="M652" s="2"/>
      <c r="N652" s="2"/>
      <c r="O652" s="2"/>
      <c r="P652" s="74"/>
      <c r="Q652" s="2"/>
      <c r="R652" s="2"/>
      <c r="S652" s="76"/>
      <c r="T652" s="2"/>
    </row>
    <row r="653" ht="15.75" customHeight="1">
      <c r="A653" s="2"/>
      <c r="B653" s="2"/>
      <c r="C653" s="2"/>
      <c r="D653" s="2"/>
      <c r="E653" s="2"/>
      <c r="F653" s="2"/>
      <c r="G653" s="2"/>
      <c r="H653" s="2"/>
      <c r="I653" s="74"/>
      <c r="J653" s="74"/>
      <c r="K653" s="74"/>
      <c r="L653" s="74"/>
      <c r="M653" s="2"/>
      <c r="N653" s="2"/>
      <c r="O653" s="2"/>
      <c r="P653" s="74"/>
      <c r="Q653" s="2"/>
      <c r="R653" s="2"/>
      <c r="S653" s="76"/>
      <c r="T653" s="2"/>
    </row>
    <row r="654" ht="15.75" customHeight="1">
      <c r="A654" s="2"/>
      <c r="B654" s="2"/>
      <c r="C654" s="2"/>
      <c r="D654" s="2"/>
      <c r="E654" s="2"/>
      <c r="F654" s="2"/>
      <c r="G654" s="2"/>
      <c r="H654" s="2"/>
      <c r="I654" s="74"/>
      <c r="J654" s="74"/>
      <c r="K654" s="74"/>
      <c r="L654" s="74"/>
      <c r="M654" s="2"/>
      <c r="N654" s="2"/>
      <c r="O654" s="2"/>
      <c r="P654" s="74"/>
      <c r="Q654" s="2"/>
      <c r="R654" s="2"/>
      <c r="S654" s="76"/>
      <c r="T654" s="2"/>
    </row>
    <row r="655" ht="15.75" customHeight="1">
      <c r="A655" s="2"/>
      <c r="B655" s="2"/>
      <c r="C655" s="2"/>
      <c r="D655" s="2"/>
      <c r="E655" s="2"/>
      <c r="F655" s="2"/>
      <c r="G655" s="2"/>
      <c r="H655" s="2"/>
      <c r="I655" s="74"/>
      <c r="J655" s="74"/>
      <c r="K655" s="74"/>
      <c r="L655" s="74"/>
      <c r="M655" s="2"/>
      <c r="N655" s="2"/>
      <c r="O655" s="2"/>
      <c r="P655" s="74"/>
      <c r="Q655" s="2"/>
      <c r="R655" s="2"/>
      <c r="S655" s="76"/>
      <c r="T655" s="2"/>
    </row>
    <row r="656" ht="15.75" customHeight="1">
      <c r="A656" s="2"/>
      <c r="B656" s="2"/>
      <c r="C656" s="2"/>
      <c r="D656" s="2"/>
      <c r="E656" s="2"/>
      <c r="F656" s="2"/>
      <c r="G656" s="2"/>
      <c r="H656" s="2"/>
      <c r="I656" s="74"/>
      <c r="J656" s="74"/>
      <c r="K656" s="74"/>
      <c r="L656" s="74"/>
      <c r="M656" s="2"/>
      <c r="N656" s="2"/>
      <c r="O656" s="2"/>
      <c r="P656" s="74"/>
      <c r="Q656" s="2"/>
      <c r="R656" s="2"/>
      <c r="S656" s="76"/>
      <c r="T656" s="2"/>
    </row>
    <row r="657" ht="15.75" customHeight="1">
      <c r="A657" s="2"/>
      <c r="B657" s="2"/>
      <c r="C657" s="2"/>
      <c r="D657" s="2"/>
      <c r="E657" s="2"/>
      <c r="F657" s="2"/>
      <c r="G657" s="2"/>
      <c r="H657" s="2"/>
      <c r="I657" s="74"/>
      <c r="J657" s="74"/>
      <c r="K657" s="74"/>
      <c r="L657" s="74"/>
      <c r="M657" s="2"/>
      <c r="N657" s="2"/>
      <c r="O657" s="2"/>
      <c r="P657" s="74"/>
      <c r="Q657" s="2"/>
      <c r="R657" s="2"/>
      <c r="S657" s="76"/>
      <c r="T657" s="2"/>
    </row>
    <row r="658" ht="15.75" customHeight="1">
      <c r="A658" s="2"/>
      <c r="B658" s="2"/>
      <c r="C658" s="2"/>
      <c r="D658" s="2"/>
      <c r="E658" s="2"/>
      <c r="F658" s="2"/>
      <c r="G658" s="2"/>
      <c r="H658" s="2"/>
      <c r="I658" s="74"/>
      <c r="J658" s="74"/>
      <c r="K658" s="74"/>
      <c r="L658" s="74"/>
      <c r="M658" s="2"/>
      <c r="N658" s="2"/>
      <c r="O658" s="2"/>
      <c r="P658" s="74"/>
      <c r="Q658" s="2"/>
      <c r="R658" s="2"/>
      <c r="S658" s="76"/>
      <c r="T658" s="2"/>
    </row>
    <row r="659" ht="15.75" customHeight="1">
      <c r="A659" s="2"/>
      <c r="B659" s="2"/>
      <c r="C659" s="2"/>
      <c r="D659" s="2"/>
      <c r="E659" s="2"/>
      <c r="F659" s="2"/>
      <c r="G659" s="2"/>
      <c r="H659" s="2"/>
      <c r="I659" s="74"/>
      <c r="J659" s="74"/>
      <c r="K659" s="74"/>
      <c r="L659" s="74"/>
      <c r="M659" s="2"/>
      <c r="N659" s="2"/>
      <c r="O659" s="2"/>
      <c r="P659" s="74"/>
      <c r="Q659" s="2"/>
      <c r="R659" s="2"/>
      <c r="S659" s="76"/>
      <c r="T659" s="2"/>
    </row>
    <row r="660" ht="15.75" customHeight="1">
      <c r="A660" s="2"/>
      <c r="B660" s="2"/>
      <c r="C660" s="2"/>
      <c r="D660" s="2"/>
      <c r="E660" s="2"/>
      <c r="F660" s="2"/>
      <c r="G660" s="2"/>
      <c r="H660" s="2"/>
      <c r="I660" s="74"/>
      <c r="J660" s="74"/>
      <c r="K660" s="74"/>
      <c r="L660" s="74"/>
      <c r="M660" s="2"/>
      <c r="N660" s="2"/>
      <c r="O660" s="2"/>
      <c r="P660" s="74"/>
      <c r="Q660" s="2"/>
      <c r="R660" s="2"/>
      <c r="S660" s="76"/>
      <c r="T660" s="2"/>
    </row>
    <row r="661" ht="15.75" customHeight="1">
      <c r="A661" s="2"/>
      <c r="B661" s="2"/>
      <c r="C661" s="2"/>
      <c r="D661" s="2"/>
      <c r="E661" s="2"/>
      <c r="F661" s="2"/>
      <c r="G661" s="2"/>
      <c r="H661" s="2"/>
      <c r="I661" s="74"/>
      <c r="J661" s="74"/>
      <c r="K661" s="74"/>
      <c r="L661" s="74"/>
      <c r="M661" s="2"/>
      <c r="N661" s="2"/>
      <c r="O661" s="2"/>
      <c r="P661" s="74"/>
      <c r="Q661" s="2"/>
      <c r="R661" s="2"/>
      <c r="S661" s="76"/>
      <c r="T661" s="2"/>
    </row>
    <row r="662" ht="15.75" customHeight="1">
      <c r="A662" s="2"/>
      <c r="B662" s="2"/>
      <c r="C662" s="2"/>
      <c r="D662" s="2"/>
      <c r="E662" s="2"/>
      <c r="F662" s="2"/>
      <c r="G662" s="2"/>
      <c r="H662" s="2"/>
      <c r="I662" s="74"/>
      <c r="J662" s="74"/>
      <c r="K662" s="74"/>
      <c r="L662" s="74"/>
      <c r="M662" s="2"/>
      <c r="N662" s="2"/>
      <c r="O662" s="2"/>
      <c r="P662" s="74"/>
      <c r="Q662" s="2"/>
      <c r="R662" s="2"/>
      <c r="S662" s="76"/>
      <c r="T662" s="2"/>
    </row>
    <row r="663" ht="15.75" customHeight="1">
      <c r="A663" s="2"/>
      <c r="B663" s="2"/>
      <c r="C663" s="2"/>
      <c r="D663" s="2"/>
      <c r="E663" s="2"/>
      <c r="F663" s="2"/>
      <c r="G663" s="2"/>
      <c r="H663" s="2"/>
      <c r="I663" s="74"/>
      <c r="J663" s="74"/>
      <c r="K663" s="74"/>
      <c r="L663" s="74"/>
      <c r="M663" s="2"/>
      <c r="N663" s="2"/>
      <c r="O663" s="2"/>
      <c r="P663" s="74"/>
      <c r="Q663" s="2"/>
      <c r="R663" s="2"/>
      <c r="S663" s="76"/>
      <c r="T663" s="2"/>
    </row>
    <row r="664" ht="15.75" customHeight="1">
      <c r="A664" s="2"/>
      <c r="B664" s="2"/>
      <c r="C664" s="2"/>
      <c r="D664" s="2"/>
      <c r="E664" s="2"/>
      <c r="F664" s="2"/>
      <c r="G664" s="2"/>
      <c r="H664" s="2"/>
      <c r="I664" s="74"/>
      <c r="J664" s="74"/>
      <c r="K664" s="74"/>
      <c r="L664" s="74"/>
      <c r="M664" s="2"/>
      <c r="N664" s="2"/>
      <c r="O664" s="2"/>
      <c r="P664" s="74"/>
      <c r="Q664" s="2"/>
      <c r="R664" s="2"/>
      <c r="S664" s="76"/>
      <c r="T664" s="2"/>
    </row>
    <row r="665" ht="15.75" customHeight="1">
      <c r="A665" s="2"/>
      <c r="B665" s="2"/>
      <c r="C665" s="2"/>
      <c r="D665" s="2"/>
      <c r="E665" s="2"/>
      <c r="F665" s="2"/>
      <c r="G665" s="2"/>
      <c r="H665" s="2"/>
      <c r="I665" s="74"/>
      <c r="J665" s="74"/>
      <c r="K665" s="74"/>
      <c r="L665" s="74"/>
      <c r="M665" s="2"/>
      <c r="N665" s="2"/>
      <c r="O665" s="2"/>
      <c r="P665" s="74"/>
      <c r="Q665" s="2"/>
      <c r="R665" s="2"/>
      <c r="S665" s="76"/>
      <c r="T665" s="2"/>
    </row>
    <row r="666" ht="15.75" customHeight="1">
      <c r="A666" s="2"/>
      <c r="B666" s="2"/>
      <c r="C666" s="2"/>
      <c r="D666" s="2"/>
      <c r="E666" s="2"/>
      <c r="F666" s="2"/>
      <c r="G666" s="2"/>
      <c r="H666" s="2"/>
      <c r="I666" s="74"/>
      <c r="J666" s="74"/>
      <c r="K666" s="74"/>
      <c r="L666" s="74"/>
      <c r="M666" s="2"/>
      <c r="N666" s="2"/>
      <c r="O666" s="2"/>
      <c r="P666" s="74"/>
      <c r="Q666" s="2"/>
      <c r="R666" s="2"/>
      <c r="S666" s="76"/>
      <c r="T666" s="2"/>
    </row>
    <row r="667" ht="15.75" customHeight="1">
      <c r="A667" s="2"/>
      <c r="B667" s="2"/>
      <c r="C667" s="2"/>
      <c r="D667" s="2"/>
      <c r="E667" s="2"/>
      <c r="F667" s="2"/>
      <c r="G667" s="2"/>
      <c r="H667" s="2"/>
      <c r="I667" s="74"/>
      <c r="J667" s="74"/>
      <c r="K667" s="74"/>
      <c r="L667" s="74"/>
      <c r="M667" s="2"/>
      <c r="N667" s="2"/>
      <c r="O667" s="2"/>
      <c r="P667" s="74"/>
      <c r="Q667" s="2"/>
      <c r="R667" s="2"/>
      <c r="S667" s="76"/>
      <c r="T667" s="2"/>
    </row>
    <row r="668" ht="15.75" customHeight="1">
      <c r="A668" s="2"/>
      <c r="B668" s="2"/>
      <c r="C668" s="2"/>
      <c r="D668" s="2"/>
      <c r="E668" s="2"/>
      <c r="F668" s="2"/>
      <c r="G668" s="2"/>
      <c r="H668" s="2"/>
      <c r="I668" s="74"/>
      <c r="J668" s="74"/>
      <c r="K668" s="74"/>
      <c r="L668" s="74"/>
      <c r="M668" s="2"/>
      <c r="N668" s="2"/>
      <c r="O668" s="2"/>
      <c r="P668" s="74"/>
      <c r="Q668" s="2"/>
      <c r="R668" s="2"/>
      <c r="S668" s="76"/>
      <c r="T668" s="2"/>
    </row>
    <row r="669" ht="15.75" customHeight="1">
      <c r="A669" s="2"/>
      <c r="B669" s="2"/>
      <c r="C669" s="2"/>
      <c r="D669" s="2"/>
      <c r="E669" s="2"/>
      <c r="F669" s="2"/>
      <c r="G669" s="2"/>
      <c r="H669" s="2"/>
      <c r="I669" s="74"/>
      <c r="J669" s="74"/>
      <c r="K669" s="74"/>
      <c r="L669" s="74"/>
      <c r="M669" s="2"/>
      <c r="N669" s="2"/>
      <c r="O669" s="2"/>
      <c r="P669" s="74"/>
      <c r="Q669" s="2"/>
      <c r="R669" s="2"/>
      <c r="S669" s="76"/>
      <c r="T669" s="2"/>
    </row>
    <row r="670" ht="15.75" customHeight="1">
      <c r="A670" s="2"/>
      <c r="B670" s="2"/>
      <c r="C670" s="2"/>
      <c r="D670" s="2"/>
      <c r="E670" s="2"/>
      <c r="F670" s="2"/>
      <c r="G670" s="2"/>
      <c r="H670" s="2"/>
      <c r="I670" s="74"/>
      <c r="J670" s="74"/>
      <c r="K670" s="74"/>
      <c r="L670" s="74"/>
      <c r="M670" s="2"/>
      <c r="N670" s="2"/>
      <c r="O670" s="2"/>
      <c r="P670" s="74"/>
      <c r="Q670" s="2"/>
      <c r="R670" s="2"/>
      <c r="S670" s="76"/>
      <c r="T670" s="2"/>
    </row>
    <row r="671" ht="15.75" customHeight="1">
      <c r="A671" s="2"/>
      <c r="B671" s="2"/>
      <c r="C671" s="2"/>
      <c r="D671" s="2"/>
      <c r="E671" s="2"/>
      <c r="F671" s="2"/>
      <c r="G671" s="2"/>
      <c r="H671" s="2"/>
      <c r="I671" s="74"/>
      <c r="J671" s="74"/>
      <c r="K671" s="74"/>
      <c r="L671" s="74"/>
      <c r="M671" s="2"/>
      <c r="N671" s="2"/>
      <c r="O671" s="2"/>
      <c r="P671" s="74"/>
      <c r="Q671" s="2"/>
      <c r="R671" s="2"/>
      <c r="S671" s="76"/>
      <c r="T671" s="2"/>
    </row>
    <row r="672" ht="15.75" customHeight="1">
      <c r="A672" s="2"/>
      <c r="B672" s="2"/>
      <c r="C672" s="2"/>
      <c r="D672" s="2"/>
      <c r="E672" s="2"/>
      <c r="F672" s="2"/>
      <c r="G672" s="2"/>
      <c r="H672" s="2"/>
      <c r="I672" s="74"/>
      <c r="J672" s="74"/>
      <c r="K672" s="74"/>
      <c r="L672" s="74"/>
      <c r="M672" s="2"/>
      <c r="N672" s="2"/>
      <c r="O672" s="2"/>
      <c r="P672" s="74"/>
      <c r="Q672" s="2"/>
      <c r="R672" s="2"/>
      <c r="S672" s="76"/>
      <c r="T672" s="2"/>
    </row>
    <row r="673" ht="15.75" customHeight="1">
      <c r="A673" s="2"/>
      <c r="B673" s="2"/>
      <c r="C673" s="2"/>
      <c r="D673" s="2"/>
      <c r="E673" s="2"/>
      <c r="F673" s="2"/>
      <c r="G673" s="2"/>
      <c r="H673" s="2"/>
      <c r="I673" s="74"/>
      <c r="J673" s="74"/>
      <c r="K673" s="74"/>
      <c r="L673" s="74"/>
      <c r="M673" s="2"/>
      <c r="N673" s="2"/>
      <c r="O673" s="2"/>
      <c r="P673" s="74"/>
      <c r="Q673" s="2"/>
      <c r="R673" s="2"/>
      <c r="S673" s="76"/>
      <c r="T673" s="2"/>
    </row>
    <row r="674" ht="15.75" customHeight="1">
      <c r="A674" s="2"/>
      <c r="B674" s="2"/>
      <c r="C674" s="2"/>
      <c r="D674" s="2"/>
      <c r="E674" s="2"/>
      <c r="F674" s="2"/>
      <c r="G674" s="2"/>
      <c r="H674" s="2"/>
      <c r="I674" s="74"/>
      <c r="J674" s="74"/>
      <c r="K674" s="74"/>
      <c r="L674" s="74"/>
      <c r="M674" s="2"/>
      <c r="N674" s="2"/>
      <c r="O674" s="2"/>
      <c r="P674" s="74"/>
      <c r="Q674" s="2"/>
      <c r="R674" s="2"/>
      <c r="S674" s="76"/>
      <c r="T674" s="2"/>
    </row>
    <row r="675" ht="15.75" customHeight="1">
      <c r="A675" s="2"/>
      <c r="B675" s="2"/>
      <c r="C675" s="2"/>
      <c r="D675" s="2"/>
      <c r="E675" s="2"/>
      <c r="F675" s="2"/>
      <c r="G675" s="2"/>
      <c r="H675" s="2"/>
      <c r="I675" s="74"/>
      <c r="J675" s="74"/>
      <c r="K675" s="74"/>
      <c r="L675" s="74"/>
      <c r="M675" s="2"/>
      <c r="N675" s="2"/>
      <c r="O675" s="2"/>
      <c r="P675" s="74"/>
      <c r="Q675" s="2"/>
      <c r="R675" s="2"/>
      <c r="S675" s="76"/>
      <c r="T675" s="2"/>
    </row>
    <row r="676" ht="15.75" customHeight="1">
      <c r="A676" s="2"/>
      <c r="B676" s="2"/>
      <c r="C676" s="2"/>
      <c r="D676" s="2"/>
      <c r="E676" s="2"/>
      <c r="F676" s="2"/>
      <c r="G676" s="2"/>
      <c r="H676" s="2"/>
      <c r="I676" s="74"/>
      <c r="J676" s="74"/>
      <c r="K676" s="74"/>
      <c r="L676" s="74"/>
      <c r="M676" s="2"/>
      <c r="N676" s="2"/>
      <c r="O676" s="2"/>
      <c r="P676" s="74"/>
      <c r="Q676" s="2"/>
      <c r="R676" s="2"/>
      <c r="S676" s="76"/>
      <c r="T676" s="2"/>
    </row>
    <row r="677" ht="15.75" customHeight="1">
      <c r="A677" s="2"/>
      <c r="B677" s="2"/>
      <c r="C677" s="2"/>
      <c r="D677" s="2"/>
      <c r="E677" s="2"/>
      <c r="F677" s="2"/>
      <c r="G677" s="2"/>
      <c r="H677" s="2"/>
      <c r="I677" s="74"/>
      <c r="J677" s="74"/>
      <c r="K677" s="74"/>
      <c r="L677" s="74"/>
      <c r="M677" s="2"/>
      <c r="N677" s="2"/>
      <c r="O677" s="2"/>
      <c r="P677" s="74"/>
      <c r="Q677" s="2"/>
      <c r="R677" s="2"/>
      <c r="S677" s="76"/>
      <c r="T677" s="2"/>
    </row>
    <row r="678" ht="15.75" customHeight="1">
      <c r="A678" s="2"/>
      <c r="B678" s="2"/>
      <c r="C678" s="2"/>
      <c r="D678" s="2"/>
      <c r="E678" s="2"/>
      <c r="F678" s="2"/>
      <c r="G678" s="2"/>
      <c r="H678" s="2"/>
      <c r="I678" s="74"/>
      <c r="J678" s="74"/>
      <c r="K678" s="74"/>
      <c r="L678" s="74"/>
      <c r="M678" s="2"/>
      <c r="N678" s="2"/>
      <c r="O678" s="2"/>
      <c r="P678" s="74"/>
      <c r="Q678" s="2"/>
      <c r="R678" s="2"/>
      <c r="S678" s="76"/>
      <c r="T678" s="2"/>
    </row>
    <row r="679" ht="15.75" customHeight="1">
      <c r="A679" s="2"/>
      <c r="B679" s="2"/>
      <c r="C679" s="2"/>
      <c r="D679" s="2"/>
      <c r="E679" s="2"/>
      <c r="F679" s="2"/>
      <c r="G679" s="2"/>
      <c r="H679" s="2"/>
      <c r="I679" s="74"/>
      <c r="J679" s="74"/>
      <c r="K679" s="74"/>
      <c r="L679" s="74"/>
      <c r="M679" s="2"/>
      <c r="N679" s="2"/>
      <c r="O679" s="2"/>
      <c r="P679" s="74"/>
      <c r="Q679" s="2"/>
      <c r="R679" s="2"/>
      <c r="S679" s="76"/>
      <c r="T679" s="2"/>
    </row>
    <row r="680" ht="15.75" customHeight="1">
      <c r="A680" s="2"/>
      <c r="B680" s="2"/>
      <c r="C680" s="2"/>
      <c r="D680" s="2"/>
      <c r="E680" s="2"/>
      <c r="F680" s="2"/>
      <c r="G680" s="2"/>
      <c r="H680" s="2"/>
      <c r="I680" s="74"/>
      <c r="J680" s="74"/>
      <c r="K680" s="74"/>
      <c r="L680" s="74"/>
      <c r="M680" s="2"/>
      <c r="N680" s="2"/>
      <c r="O680" s="2"/>
      <c r="P680" s="74"/>
      <c r="Q680" s="2"/>
      <c r="R680" s="2"/>
      <c r="S680" s="76"/>
      <c r="T680" s="2"/>
    </row>
    <row r="681" ht="15.75" customHeight="1">
      <c r="A681" s="2"/>
      <c r="B681" s="2"/>
      <c r="C681" s="2"/>
      <c r="D681" s="2"/>
      <c r="E681" s="2"/>
      <c r="F681" s="2"/>
      <c r="G681" s="2"/>
      <c r="H681" s="2"/>
      <c r="I681" s="74"/>
      <c r="J681" s="74"/>
      <c r="K681" s="74"/>
      <c r="L681" s="74"/>
      <c r="M681" s="2"/>
      <c r="N681" s="2"/>
      <c r="O681" s="2"/>
      <c r="P681" s="74"/>
      <c r="Q681" s="2"/>
      <c r="R681" s="2"/>
      <c r="S681" s="76"/>
      <c r="T681" s="2"/>
    </row>
    <row r="682" ht="15.75" customHeight="1">
      <c r="A682" s="2"/>
      <c r="B682" s="2"/>
      <c r="C682" s="2"/>
      <c r="D682" s="2"/>
      <c r="E682" s="2"/>
      <c r="F682" s="2"/>
      <c r="G682" s="2"/>
      <c r="H682" s="2"/>
      <c r="I682" s="74"/>
      <c r="J682" s="74"/>
      <c r="K682" s="74"/>
      <c r="L682" s="74"/>
      <c r="M682" s="2"/>
      <c r="N682" s="2"/>
      <c r="O682" s="2"/>
      <c r="P682" s="74"/>
      <c r="Q682" s="2"/>
      <c r="R682" s="2"/>
      <c r="S682" s="76"/>
      <c r="T682" s="2"/>
    </row>
    <row r="683" ht="15.75" customHeight="1">
      <c r="A683" s="2"/>
      <c r="B683" s="2"/>
      <c r="C683" s="2"/>
      <c r="D683" s="2"/>
      <c r="E683" s="2"/>
      <c r="F683" s="2"/>
      <c r="G683" s="2"/>
      <c r="H683" s="2"/>
      <c r="I683" s="74"/>
      <c r="J683" s="74"/>
      <c r="K683" s="74"/>
      <c r="L683" s="74"/>
      <c r="M683" s="2"/>
      <c r="N683" s="2"/>
      <c r="O683" s="2"/>
      <c r="P683" s="74"/>
      <c r="Q683" s="2"/>
      <c r="R683" s="2"/>
      <c r="S683" s="76"/>
      <c r="T683" s="2"/>
    </row>
    <row r="684" ht="15.75" customHeight="1">
      <c r="A684" s="2"/>
      <c r="B684" s="2"/>
      <c r="C684" s="2"/>
      <c r="D684" s="2"/>
      <c r="E684" s="2"/>
      <c r="F684" s="2"/>
      <c r="G684" s="2"/>
      <c r="H684" s="2"/>
      <c r="I684" s="74"/>
      <c r="J684" s="74"/>
      <c r="K684" s="74"/>
      <c r="L684" s="74"/>
      <c r="M684" s="2"/>
      <c r="N684" s="2"/>
      <c r="O684" s="2"/>
      <c r="P684" s="74"/>
      <c r="Q684" s="2"/>
      <c r="R684" s="2"/>
      <c r="S684" s="76"/>
      <c r="T684" s="2"/>
    </row>
    <row r="685" ht="15.75" customHeight="1">
      <c r="A685" s="2"/>
      <c r="B685" s="2"/>
      <c r="C685" s="2"/>
      <c r="D685" s="2"/>
      <c r="E685" s="2"/>
      <c r="F685" s="2"/>
      <c r="G685" s="2"/>
      <c r="H685" s="2"/>
      <c r="I685" s="74"/>
      <c r="J685" s="74"/>
      <c r="K685" s="74"/>
      <c r="L685" s="74"/>
      <c r="M685" s="2"/>
      <c r="N685" s="2"/>
      <c r="O685" s="2"/>
      <c r="P685" s="74"/>
      <c r="Q685" s="2"/>
      <c r="R685" s="2"/>
      <c r="S685" s="76"/>
      <c r="T685" s="2"/>
    </row>
    <row r="686" ht="15.75" customHeight="1">
      <c r="A686" s="2"/>
      <c r="B686" s="2"/>
      <c r="C686" s="2"/>
      <c r="D686" s="2"/>
      <c r="E686" s="2"/>
      <c r="F686" s="2"/>
      <c r="G686" s="2"/>
      <c r="H686" s="2"/>
      <c r="I686" s="74"/>
      <c r="J686" s="74"/>
      <c r="K686" s="74"/>
      <c r="L686" s="74"/>
      <c r="M686" s="2"/>
      <c r="N686" s="2"/>
      <c r="O686" s="2"/>
      <c r="P686" s="74"/>
      <c r="Q686" s="2"/>
      <c r="R686" s="2"/>
      <c r="S686" s="76"/>
      <c r="T686" s="2"/>
    </row>
    <row r="687" ht="15.75" customHeight="1">
      <c r="A687" s="2"/>
      <c r="B687" s="2"/>
      <c r="C687" s="2"/>
      <c r="D687" s="2"/>
      <c r="E687" s="2"/>
      <c r="F687" s="2"/>
      <c r="G687" s="2"/>
      <c r="H687" s="2"/>
      <c r="I687" s="74"/>
      <c r="J687" s="74"/>
      <c r="K687" s="74"/>
      <c r="L687" s="74"/>
      <c r="M687" s="2"/>
      <c r="N687" s="2"/>
      <c r="O687" s="2"/>
      <c r="P687" s="74"/>
      <c r="Q687" s="2"/>
      <c r="R687" s="2"/>
      <c r="S687" s="76"/>
      <c r="T687" s="2"/>
    </row>
    <row r="688" ht="15.75" customHeight="1">
      <c r="A688" s="2"/>
      <c r="B688" s="2"/>
      <c r="C688" s="2"/>
      <c r="D688" s="2"/>
      <c r="E688" s="2"/>
      <c r="F688" s="2"/>
      <c r="G688" s="2"/>
      <c r="H688" s="2"/>
      <c r="I688" s="74"/>
      <c r="J688" s="74"/>
      <c r="K688" s="74"/>
      <c r="L688" s="74"/>
      <c r="M688" s="2"/>
      <c r="N688" s="2"/>
      <c r="O688" s="2"/>
      <c r="P688" s="74"/>
      <c r="Q688" s="2"/>
      <c r="R688" s="2"/>
      <c r="S688" s="76"/>
      <c r="T688" s="2"/>
    </row>
    <row r="689" ht="15.75" customHeight="1">
      <c r="A689" s="2"/>
      <c r="B689" s="2"/>
      <c r="C689" s="2"/>
      <c r="D689" s="2"/>
      <c r="E689" s="2"/>
      <c r="F689" s="2"/>
      <c r="G689" s="2"/>
      <c r="H689" s="2"/>
      <c r="I689" s="74"/>
      <c r="J689" s="74"/>
      <c r="K689" s="74"/>
      <c r="L689" s="74"/>
      <c r="M689" s="2"/>
      <c r="N689" s="2"/>
      <c r="O689" s="2"/>
      <c r="P689" s="74"/>
      <c r="Q689" s="2"/>
      <c r="R689" s="2"/>
      <c r="S689" s="76"/>
      <c r="T689" s="2"/>
    </row>
    <row r="690" ht="15.75" customHeight="1">
      <c r="A690" s="2"/>
      <c r="B690" s="2"/>
      <c r="C690" s="2"/>
      <c r="D690" s="2"/>
      <c r="E690" s="2"/>
      <c r="F690" s="2"/>
      <c r="G690" s="2"/>
      <c r="H690" s="2"/>
      <c r="I690" s="74"/>
      <c r="J690" s="74"/>
      <c r="K690" s="74"/>
      <c r="L690" s="74"/>
      <c r="M690" s="2"/>
      <c r="N690" s="2"/>
      <c r="O690" s="2"/>
      <c r="P690" s="74"/>
      <c r="Q690" s="2"/>
      <c r="R690" s="2"/>
      <c r="S690" s="76"/>
      <c r="T690" s="2"/>
    </row>
    <row r="691" ht="15.75" customHeight="1">
      <c r="A691" s="2"/>
      <c r="B691" s="2"/>
      <c r="C691" s="2"/>
      <c r="D691" s="2"/>
      <c r="E691" s="2"/>
      <c r="F691" s="2"/>
      <c r="G691" s="2"/>
      <c r="H691" s="2"/>
      <c r="I691" s="74"/>
      <c r="J691" s="74"/>
      <c r="K691" s="74"/>
      <c r="L691" s="74"/>
      <c r="M691" s="2"/>
      <c r="N691" s="2"/>
      <c r="O691" s="2"/>
      <c r="P691" s="74"/>
      <c r="Q691" s="2"/>
      <c r="R691" s="2"/>
      <c r="S691" s="76"/>
      <c r="T691" s="2"/>
    </row>
    <row r="692" ht="15.75" customHeight="1">
      <c r="A692" s="2"/>
      <c r="B692" s="2"/>
      <c r="C692" s="2"/>
      <c r="D692" s="2"/>
      <c r="E692" s="2"/>
      <c r="F692" s="2"/>
      <c r="G692" s="2"/>
      <c r="H692" s="2"/>
      <c r="I692" s="74"/>
      <c r="J692" s="74"/>
      <c r="K692" s="74"/>
      <c r="L692" s="74"/>
      <c r="M692" s="2"/>
      <c r="N692" s="2"/>
      <c r="O692" s="2"/>
      <c r="P692" s="74"/>
      <c r="Q692" s="2"/>
      <c r="R692" s="2"/>
      <c r="S692" s="76"/>
      <c r="T692" s="2"/>
    </row>
    <row r="693" ht="15.75" customHeight="1">
      <c r="A693" s="2"/>
      <c r="B693" s="2"/>
      <c r="C693" s="2"/>
      <c r="D693" s="2"/>
      <c r="E693" s="2"/>
      <c r="F693" s="2"/>
      <c r="G693" s="2"/>
      <c r="H693" s="2"/>
      <c r="I693" s="74"/>
      <c r="J693" s="74"/>
      <c r="K693" s="74"/>
      <c r="L693" s="74"/>
      <c r="M693" s="2"/>
      <c r="N693" s="2"/>
      <c r="O693" s="2"/>
      <c r="P693" s="74"/>
      <c r="Q693" s="2"/>
      <c r="R693" s="2"/>
      <c r="S693" s="76"/>
      <c r="T693" s="2"/>
    </row>
    <row r="694" ht="15.75" customHeight="1">
      <c r="A694" s="2"/>
      <c r="B694" s="2"/>
      <c r="C694" s="2"/>
      <c r="D694" s="2"/>
      <c r="E694" s="2"/>
      <c r="F694" s="2"/>
      <c r="G694" s="2"/>
      <c r="H694" s="2"/>
      <c r="I694" s="74"/>
      <c r="J694" s="74"/>
      <c r="K694" s="74"/>
      <c r="L694" s="74"/>
      <c r="M694" s="2"/>
      <c r="N694" s="2"/>
      <c r="O694" s="2"/>
      <c r="P694" s="74"/>
      <c r="Q694" s="2"/>
      <c r="R694" s="2"/>
      <c r="S694" s="76"/>
      <c r="T694" s="2"/>
    </row>
    <row r="695" ht="15.75" customHeight="1">
      <c r="A695" s="2"/>
      <c r="B695" s="2"/>
      <c r="C695" s="2"/>
      <c r="D695" s="2"/>
      <c r="E695" s="2"/>
      <c r="F695" s="2"/>
      <c r="G695" s="2"/>
      <c r="H695" s="2"/>
      <c r="I695" s="74"/>
      <c r="J695" s="74"/>
      <c r="K695" s="74"/>
      <c r="L695" s="74"/>
      <c r="M695" s="2"/>
      <c r="N695" s="2"/>
      <c r="O695" s="2"/>
      <c r="P695" s="74"/>
      <c r="Q695" s="2"/>
      <c r="R695" s="2"/>
      <c r="S695" s="76"/>
      <c r="T695" s="2"/>
    </row>
    <row r="696" ht="15.75" customHeight="1">
      <c r="A696" s="2"/>
      <c r="B696" s="2"/>
      <c r="C696" s="2"/>
      <c r="D696" s="2"/>
      <c r="E696" s="2"/>
      <c r="F696" s="2"/>
      <c r="G696" s="2"/>
      <c r="H696" s="2"/>
      <c r="I696" s="74"/>
      <c r="J696" s="74"/>
      <c r="K696" s="74"/>
      <c r="L696" s="74"/>
      <c r="M696" s="2"/>
      <c r="N696" s="2"/>
      <c r="O696" s="2"/>
      <c r="P696" s="74"/>
      <c r="Q696" s="2"/>
      <c r="R696" s="2"/>
      <c r="S696" s="76"/>
      <c r="T696" s="2"/>
    </row>
    <row r="697" ht="15.75" customHeight="1">
      <c r="A697" s="2"/>
      <c r="B697" s="2"/>
      <c r="C697" s="2"/>
      <c r="D697" s="2"/>
      <c r="E697" s="2"/>
      <c r="F697" s="2"/>
      <c r="G697" s="2"/>
      <c r="H697" s="2"/>
      <c r="I697" s="74"/>
      <c r="J697" s="74"/>
      <c r="K697" s="74"/>
      <c r="L697" s="74"/>
      <c r="M697" s="2"/>
      <c r="N697" s="2"/>
      <c r="O697" s="2"/>
      <c r="P697" s="74"/>
      <c r="Q697" s="2"/>
      <c r="R697" s="2"/>
      <c r="S697" s="76"/>
      <c r="T697" s="2"/>
    </row>
    <row r="698" ht="15.75" customHeight="1">
      <c r="A698" s="2"/>
      <c r="B698" s="2"/>
      <c r="C698" s="2"/>
      <c r="D698" s="2"/>
      <c r="E698" s="2"/>
      <c r="F698" s="2"/>
      <c r="G698" s="2"/>
      <c r="H698" s="2"/>
      <c r="I698" s="74"/>
      <c r="J698" s="74"/>
      <c r="K698" s="74"/>
      <c r="L698" s="74"/>
      <c r="M698" s="2"/>
      <c r="N698" s="2"/>
      <c r="O698" s="2"/>
      <c r="P698" s="74"/>
      <c r="Q698" s="2"/>
      <c r="R698" s="2"/>
      <c r="S698" s="76"/>
      <c r="T698" s="2"/>
    </row>
    <row r="699" ht="15.75" customHeight="1">
      <c r="A699" s="2"/>
      <c r="B699" s="2"/>
      <c r="C699" s="2"/>
      <c r="D699" s="2"/>
      <c r="E699" s="2"/>
      <c r="F699" s="2"/>
      <c r="G699" s="2"/>
      <c r="H699" s="2"/>
      <c r="I699" s="74"/>
      <c r="J699" s="74"/>
      <c r="K699" s="74"/>
      <c r="L699" s="74"/>
      <c r="M699" s="2"/>
      <c r="N699" s="2"/>
      <c r="O699" s="2"/>
      <c r="P699" s="74"/>
      <c r="Q699" s="2"/>
      <c r="R699" s="2"/>
      <c r="S699" s="76"/>
      <c r="T699" s="2"/>
    </row>
    <row r="700" ht="15.75" customHeight="1">
      <c r="A700" s="2"/>
      <c r="B700" s="2"/>
      <c r="C700" s="2"/>
      <c r="D700" s="2"/>
      <c r="E700" s="2"/>
      <c r="F700" s="2"/>
      <c r="G700" s="2"/>
      <c r="H700" s="2"/>
      <c r="I700" s="74"/>
      <c r="J700" s="74"/>
      <c r="K700" s="74"/>
      <c r="L700" s="74"/>
      <c r="M700" s="2"/>
      <c r="N700" s="2"/>
      <c r="O700" s="2"/>
      <c r="P700" s="74"/>
      <c r="Q700" s="2"/>
      <c r="R700" s="2"/>
      <c r="S700" s="76"/>
      <c r="T700" s="2"/>
    </row>
    <row r="701" ht="15.75" customHeight="1">
      <c r="A701" s="2"/>
      <c r="B701" s="2"/>
      <c r="C701" s="2"/>
      <c r="D701" s="2"/>
      <c r="E701" s="2"/>
      <c r="F701" s="2"/>
      <c r="G701" s="2"/>
      <c r="H701" s="2"/>
      <c r="I701" s="74"/>
      <c r="J701" s="74"/>
      <c r="K701" s="74"/>
      <c r="L701" s="74"/>
      <c r="M701" s="2"/>
      <c r="N701" s="2"/>
      <c r="O701" s="2"/>
      <c r="P701" s="74"/>
      <c r="Q701" s="2"/>
      <c r="R701" s="2"/>
      <c r="S701" s="76"/>
      <c r="T701" s="2"/>
    </row>
    <row r="702" ht="15.75" customHeight="1">
      <c r="A702" s="2"/>
      <c r="B702" s="2"/>
      <c r="C702" s="2"/>
      <c r="D702" s="2"/>
      <c r="E702" s="2"/>
      <c r="F702" s="2"/>
      <c r="G702" s="2"/>
      <c r="H702" s="2"/>
      <c r="I702" s="74"/>
      <c r="J702" s="74"/>
      <c r="K702" s="74"/>
      <c r="L702" s="74"/>
      <c r="M702" s="2"/>
      <c r="N702" s="2"/>
      <c r="O702" s="2"/>
      <c r="P702" s="74"/>
      <c r="Q702" s="2"/>
      <c r="R702" s="2"/>
      <c r="S702" s="76"/>
      <c r="T702" s="2"/>
    </row>
    <row r="703" ht="15.75" customHeight="1">
      <c r="A703" s="2"/>
      <c r="B703" s="2"/>
      <c r="C703" s="2"/>
      <c r="D703" s="2"/>
      <c r="E703" s="2"/>
      <c r="F703" s="2"/>
      <c r="G703" s="2"/>
      <c r="H703" s="2"/>
      <c r="I703" s="74"/>
      <c r="J703" s="74"/>
      <c r="K703" s="74"/>
      <c r="L703" s="74"/>
      <c r="M703" s="2"/>
      <c r="N703" s="2"/>
      <c r="O703" s="2"/>
      <c r="P703" s="74"/>
      <c r="Q703" s="2"/>
      <c r="R703" s="2"/>
      <c r="S703" s="76"/>
      <c r="T703" s="2"/>
    </row>
    <row r="704" ht="15.75" customHeight="1">
      <c r="A704" s="2"/>
      <c r="B704" s="2"/>
      <c r="C704" s="2"/>
      <c r="D704" s="2"/>
      <c r="E704" s="2"/>
      <c r="F704" s="2"/>
      <c r="G704" s="2"/>
      <c r="H704" s="2"/>
      <c r="I704" s="74"/>
      <c r="J704" s="74"/>
      <c r="K704" s="74"/>
      <c r="L704" s="74"/>
      <c r="M704" s="2"/>
      <c r="N704" s="2"/>
      <c r="O704" s="2"/>
      <c r="P704" s="74"/>
      <c r="Q704" s="2"/>
      <c r="R704" s="2"/>
      <c r="S704" s="76"/>
      <c r="T704" s="2"/>
    </row>
    <row r="705" ht="15.75" customHeight="1">
      <c r="A705" s="2"/>
      <c r="B705" s="2"/>
      <c r="C705" s="2"/>
      <c r="D705" s="2"/>
      <c r="E705" s="2"/>
      <c r="F705" s="2"/>
      <c r="G705" s="2"/>
      <c r="H705" s="2"/>
      <c r="I705" s="74"/>
      <c r="J705" s="74"/>
      <c r="K705" s="74"/>
      <c r="L705" s="74"/>
      <c r="M705" s="2"/>
      <c r="N705" s="2"/>
      <c r="O705" s="2"/>
      <c r="P705" s="74"/>
      <c r="Q705" s="2"/>
      <c r="R705" s="2"/>
      <c r="S705" s="76"/>
      <c r="T705" s="2"/>
    </row>
    <row r="706" ht="15.75" customHeight="1">
      <c r="A706" s="2"/>
      <c r="B706" s="2"/>
      <c r="C706" s="2"/>
      <c r="D706" s="2"/>
      <c r="E706" s="2"/>
      <c r="F706" s="2"/>
      <c r="G706" s="2"/>
      <c r="H706" s="2"/>
      <c r="I706" s="74"/>
      <c r="J706" s="74"/>
      <c r="K706" s="74"/>
      <c r="L706" s="74"/>
      <c r="M706" s="2"/>
      <c r="N706" s="2"/>
      <c r="O706" s="2"/>
      <c r="P706" s="74"/>
      <c r="Q706" s="2"/>
      <c r="R706" s="2"/>
      <c r="S706" s="76"/>
      <c r="T706" s="2"/>
    </row>
    <row r="707" ht="15.75" customHeight="1">
      <c r="A707" s="2"/>
      <c r="B707" s="2"/>
      <c r="C707" s="2"/>
      <c r="D707" s="2"/>
      <c r="E707" s="2"/>
      <c r="F707" s="2"/>
      <c r="G707" s="2"/>
      <c r="H707" s="2"/>
      <c r="I707" s="74"/>
      <c r="J707" s="74"/>
      <c r="K707" s="74"/>
      <c r="L707" s="74"/>
      <c r="M707" s="2"/>
      <c r="N707" s="2"/>
      <c r="O707" s="2"/>
      <c r="P707" s="74"/>
      <c r="Q707" s="2"/>
      <c r="R707" s="2"/>
      <c r="S707" s="76"/>
      <c r="T707" s="2"/>
    </row>
    <row r="708" ht="15.75" customHeight="1">
      <c r="A708" s="2"/>
      <c r="B708" s="2"/>
      <c r="C708" s="2"/>
      <c r="D708" s="2"/>
      <c r="E708" s="2"/>
      <c r="F708" s="2"/>
      <c r="G708" s="2"/>
      <c r="H708" s="2"/>
      <c r="I708" s="74"/>
      <c r="J708" s="74"/>
      <c r="K708" s="74"/>
      <c r="L708" s="74"/>
      <c r="M708" s="2"/>
      <c r="N708" s="2"/>
      <c r="O708" s="2"/>
      <c r="P708" s="74"/>
      <c r="Q708" s="2"/>
      <c r="R708" s="2"/>
      <c r="S708" s="76"/>
      <c r="T708" s="2"/>
    </row>
    <row r="709" ht="15.75" customHeight="1">
      <c r="A709" s="2"/>
      <c r="B709" s="2"/>
      <c r="C709" s="2"/>
      <c r="D709" s="2"/>
      <c r="E709" s="2"/>
      <c r="F709" s="2"/>
      <c r="G709" s="2"/>
      <c r="H709" s="2"/>
      <c r="I709" s="74"/>
      <c r="J709" s="74"/>
      <c r="K709" s="74"/>
      <c r="L709" s="74"/>
      <c r="M709" s="2"/>
      <c r="N709" s="2"/>
      <c r="O709" s="2"/>
      <c r="P709" s="74"/>
      <c r="Q709" s="2"/>
      <c r="R709" s="2"/>
      <c r="S709" s="76"/>
      <c r="T709" s="2"/>
    </row>
    <row r="710" ht="15.75" customHeight="1">
      <c r="A710" s="2"/>
      <c r="B710" s="2"/>
      <c r="C710" s="2"/>
      <c r="D710" s="2"/>
      <c r="E710" s="2"/>
      <c r="F710" s="2"/>
      <c r="G710" s="2"/>
      <c r="H710" s="2"/>
      <c r="I710" s="74"/>
      <c r="J710" s="74"/>
      <c r="K710" s="74"/>
      <c r="L710" s="74"/>
      <c r="M710" s="2"/>
      <c r="N710" s="2"/>
      <c r="O710" s="2"/>
      <c r="P710" s="74"/>
      <c r="Q710" s="2"/>
      <c r="R710" s="2"/>
      <c r="S710" s="76"/>
      <c r="T710" s="2"/>
    </row>
    <row r="711" ht="15.75" customHeight="1">
      <c r="A711" s="2"/>
      <c r="B711" s="2"/>
      <c r="C711" s="2"/>
      <c r="D711" s="2"/>
      <c r="E711" s="2"/>
      <c r="F711" s="2"/>
      <c r="G711" s="2"/>
      <c r="H711" s="2"/>
      <c r="I711" s="74"/>
      <c r="J711" s="74"/>
      <c r="K711" s="74"/>
      <c r="L711" s="74"/>
      <c r="M711" s="2"/>
      <c r="N711" s="2"/>
      <c r="O711" s="2"/>
      <c r="P711" s="74"/>
      <c r="Q711" s="2"/>
      <c r="R711" s="2"/>
      <c r="S711" s="76"/>
      <c r="T711" s="2"/>
    </row>
    <row r="712" ht="15.75" customHeight="1">
      <c r="A712" s="2"/>
      <c r="B712" s="2"/>
      <c r="C712" s="2"/>
      <c r="D712" s="2"/>
      <c r="E712" s="2"/>
      <c r="F712" s="2"/>
      <c r="G712" s="2"/>
      <c r="H712" s="2"/>
      <c r="I712" s="74"/>
      <c r="J712" s="74"/>
      <c r="K712" s="74"/>
      <c r="L712" s="74"/>
      <c r="M712" s="2"/>
      <c r="N712" s="2"/>
      <c r="O712" s="2"/>
      <c r="P712" s="74"/>
      <c r="Q712" s="2"/>
      <c r="R712" s="2"/>
      <c r="S712" s="76"/>
      <c r="T712" s="2"/>
    </row>
    <row r="713" ht="15.75" customHeight="1">
      <c r="A713" s="2"/>
      <c r="B713" s="2"/>
      <c r="C713" s="2"/>
      <c r="D713" s="2"/>
      <c r="E713" s="2"/>
      <c r="F713" s="2"/>
      <c r="G713" s="2"/>
      <c r="H713" s="2"/>
      <c r="I713" s="74"/>
      <c r="J713" s="74"/>
      <c r="K713" s="74"/>
      <c r="L713" s="74"/>
      <c r="M713" s="2"/>
      <c r="N713" s="2"/>
      <c r="O713" s="2"/>
      <c r="P713" s="74"/>
      <c r="Q713" s="2"/>
      <c r="R713" s="2"/>
      <c r="S713" s="76"/>
      <c r="T713" s="2"/>
    </row>
    <row r="714" ht="15.75" customHeight="1">
      <c r="A714" s="2"/>
      <c r="B714" s="2"/>
      <c r="C714" s="2"/>
      <c r="D714" s="2"/>
      <c r="E714" s="2"/>
      <c r="F714" s="2"/>
      <c r="G714" s="2"/>
      <c r="H714" s="2"/>
      <c r="I714" s="74"/>
      <c r="J714" s="74"/>
      <c r="K714" s="74"/>
      <c r="L714" s="74"/>
      <c r="M714" s="2"/>
      <c r="N714" s="2"/>
      <c r="O714" s="2"/>
      <c r="P714" s="74"/>
      <c r="Q714" s="2"/>
      <c r="R714" s="2"/>
      <c r="S714" s="76"/>
      <c r="T714" s="2"/>
    </row>
    <row r="715" ht="15.75" customHeight="1">
      <c r="A715" s="2"/>
      <c r="B715" s="2"/>
      <c r="C715" s="2"/>
      <c r="D715" s="2"/>
      <c r="E715" s="2"/>
      <c r="F715" s="2"/>
      <c r="G715" s="2"/>
      <c r="H715" s="2"/>
      <c r="I715" s="74"/>
      <c r="J715" s="74"/>
      <c r="K715" s="74"/>
      <c r="L715" s="74"/>
      <c r="M715" s="2"/>
      <c r="N715" s="2"/>
      <c r="O715" s="2"/>
      <c r="P715" s="74"/>
      <c r="Q715" s="2"/>
      <c r="R715" s="2"/>
      <c r="S715" s="76"/>
      <c r="T715" s="2"/>
    </row>
    <row r="716" ht="15.75" customHeight="1">
      <c r="A716" s="2"/>
      <c r="B716" s="2"/>
      <c r="C716" s="2"/>
      <c r="D716" s="2"/>
      <c r="E716" s="2"/>
      <c r="F716" s="2"/>
      <c r="G716" s="2"/>
      <c r="H716" s="2"/>
      <c r="I716" s="74"/>
      <c r="J716" s="74"/>
      <c r="K716" s="74"/>
      <c r="L716" s="74"/>
      <c r="M716" s="2"/>
      <c r="N716" s="2"/>
      <c r="O716" s="2"/>
      <c r="P716" s="74"/>
      <c r="Q716" s="2"/>
      <c r="R716" s="2"/>
      <c r="S716" s="76"/>
      <c r="T716" s="2"/>
    </row>
    <row r="717" ht="15.75" customHeight="1">
      <c r="A717" s="2"/>
      <c r="B717" s="2"/>
      <c r="C717" s="2"/>
      <c r="D717" s="2"/>
      <c r="E717" s="2"/>
      <c r="F717" s="2"/>
      <c r="G717" s="2"/>
      <c r="H717" s="2"/>
      <c r="I717" s="74"/>
      <c r="J717" s="74"/>
      <c r="K717" s="74"/>
      <c r="L717" s="74"/>
      <c r="M717" s="2"/>
      <c r="N717" s="2"/>
      <c r="O717" s="2"/>
      <c r="P717" s="74"/>
      <c r="Q717" s="2"/>
      <c r="R717" s="2"/>
      <c r="S717" s="76"/>
      <c r="T717" s="2"/>
    </row>
    <row r="718" ht="15.75" customHeight="1">
      <c r="A718" s="2"/>
      <c r="B718" s="2"/>
      <c r="C718" s="2"/>
      <c r="D718" s="2"/>
      <c r="E718" s="2"/>
      <c r="F718" s="2"/>
      <c r="G718" s="2"/>
      <c r="H718" s="2"/>
      <c r="I718" s="74"/>
      <c r="J718" s="74"/>
      <c r="K718" s="74"/>
      <c r="L718" s="74"/>
      <c r="M718" s="2"/>
      <c r="N718" s="2"/>
      <c r="O718" s="2"/>
      <c r="P718" s="74"/>
      <c r="Q718" s="2"/>
      <c r="R718" s="2"/>
      <c r="S718" s="76"/>
      <c r="T718" s="2"/>
    </row>
    <row r="719" ht="15.75" customHeight="1">
      <c r="A719" s="2"/>
      <c r="B719" s="2"/>
      <c r="C719" s="2"/>
      <c r="D719" s="2"/>
      <c r="E719" s="2"/>
      <c r="F719" s="2"/>
      <c r="G719" s="2"/>
      <c r="H719" s="2"/>
      <c r="I719" s="74"/>
      <c r="J719" s="74"/>
      <c r="K719" s="74"/>
      <c r="L719" s="74"/>
      <c r="M719" s="2"/>
      <c r="N719" s="2"/>
      <c r="O719" s="2"/>
      <c r="P719" s="74"/>
      <c r="Q719" s="2"/>
      <c r="R719" s="2"/>
      <c r="S719" s="76"/>
      <c r="T719" s="2"/>
    </row>
    <row r="720" ht="15.75" customHeight="1">
      <c r="A720" s="2"/>
      <c r="B720" s="2"/>
      <c r="C720" s="2"/>
      <c r="D720" s="2"/>
      <c r="E720" s="2"/>
      <c r="F720" s="2"/>
      <c r="G720" s="2"/>
      <c r="H720" s="2"/>
      <c r="I720" s="74"/>
      <c r="J720" s="74"/>
      <c r="K720" s="74"/>
      <c r="L720" s="74"/>
      <c r="M720" s="2"/>
      <c r="N720" s="2"/>
      <c r="O720" s="2"/>
      <c r="P720" s="74"/>
      <c r="Q720" s="2"/>
      <c r="R720" s="2"/>
      <c r="S720" s="76"/>
      <c r="T720" s="2"/>
    </row>
    <row r="721" ht="15.75" customHeight="1">
      <c r="A721" s="2"/>
      <c r="B721" s="2"/>
      <c r="C721" s="2"/>
      <c r="D721" s="2"/>
      <c r="E721" s="2"/>
      <c r="F721" s="2"/>
      <c r="G721" s="2"/>
      <c r="H721" s="2"/>
      <c r="I721" s="74"/>
      <c r="J721" s="74"/>
      <c r="K721" s="74"/>
      <c r="L721" s="74"/>
      <c r="M721" s="2"/>
      <c r="N721" s="2"/>
      <c r="O721" s="2"/>
      <c r="P721" s="74"/>
      <c r="Q721" s="2"/>
      <c r="R721" s="2"/>
      <c r="S721" s="76"/>
      <c r="T721" s="2"/>
    </row>
    <row r="722" ht="15.75" customHeight="1">
      <c r="A722" s="2"/>
      <c r="B722" s="2"/>
      <c r="C722" s="2"/>
      <c r="D722" s="2"/>
      <c r="E722" s="2"/>
      <c r="F722" s="2"/>
      <c r="G722" s="2"/>
      <c r="H722" s="2"/>
      <c r="I722" s="74"/>
      <c r="J722" s="74"/>
      <c r="K722" s="74"/>
      <c r="L722" s="74"/>
      <c r="M722" s="2"/>
      <c r="N722" s="2"/>
      <c r="O722" s="2"/>
      <c r="P722" s="74"/>
      <c r="Q722" s="2"/>
      <c r="R722" s="2"/>
      <c r="S722" s="76"/>
      <c r="T722" s="2"/>
    </row>
    <row r="723" ht="15.75" customHeight="1">
      <c r="A723" s="2"/>
      <c r="B723" s="2"/>
      <c r="C723" s="2"/>
      <c r="D723" s="2"/>
      <c r="E723" s="2"/>
      <c r="F723" s="2"/>
      <c r="G723" s="2"/>
      <c r="H723" s="2"/>
      <c r="I723" s="74"/>
      <c r="J723" s="74"/>
      <c r="K723" s="74"/>
      <c r="L723" s="74"/>
      <c r="M723" s="2"/>
      <c r="N723" s="2"/>
      <c r="O723" s="2"/>
      <c r="P723" s="74"/>
      <c r="Q723" s="2"/>
      <c r="R723" s="2"/>
      <c r="S723" s="76"/>
      <c r="T723" s="2"/>
    </row>
    <row r="724" ht="15.75" customHeight="1">
      <c r="A724" s="2"/>
      <c r="B724" s="2"/>
      <c r="C724" s="2"/>
      <c r="D724" s="2"/>
      <c r="E724" s="2"/>
      <c r="F724" s="2"/>
      <c r="G724" s="2"/>
      <c r="H724" s="2"/>
      <c r="I724" s="74"/>
      <c r="J724" s="74"/>
      <c r="K724" s="74"/>
      <c r="L724" s="74"/>
      <c r="M724" s="2"/>
      <c r="N724" s="2"/>
      <c r="O724" s="2"/>
      <c r="P724" s="74"/>
      <c r="Q724" s="2"/>
      <c r="R724" s="2"/>
      <c r="S724" s="76"/>
      <c r="T724" s="2"/>
    </row>
    <row r="725" ht="15.75" customHeight="1">
      <c r="A725" s="2"/>
      <c r="B725" s="2"/>
      <c r="C725" s="2"/>
      <c r="D725" s="2"/>
      <c r="E725" s="2"/>
      <c r="F725" s="2"/>
      <c r="G725" s="2"/>
      <c r="H725" s="2"/>
      <c r="I725" s="74"/>
      <c r="J725" s="74"/>
      <c r="K725" s="74"/>
      <c r="L725" s="74"/>
      <c r="M725" s="2"/>
      <c r="N725" s="2"/>
      <c r="O725" s="2"/>
      <c r="P725" s="74"/>
      <c r="Q725" s="2"/>
      <c r="R725" s="2"/>
      <c r="S725" s="76"/>
      <c r="T725" s="2"/>
    </row>
    <row r="726" ht="15.75" customHeight="1">
      <c r="A726" s="2"/>
      <c r="B726" s="2"/>
      <c r="C726" s="2"/>
      <c r="D726" s="2"/>
      <c r="E726" s="2"/>
      <c r="F726" s="2"/>
      <c r="G726" s="2"/>
      <c r="H726" s="2"/>
      <c r="I726" s="74"/>
      <c r="J726" s="74"/>
      <c r="K726" s="74"/>
      <c r="L726" s="74"/>
      <c r="M726" s="2"/>
      <c r="N726" s="2"/>
      <c r="O726" s="2"/>
      <c r="P726" s="74"/>
      <c r="Q726" s="2"/>
      <c r="R726" s="2"/>
      <c r="S726" s="76"/>
      <c r="T726" s="2"/>
    </row>
    <row r="727" ht="15.75" customHeight="1">
      <c r="A727" s="2"/>
      <c r="B727" s="2"/>
      <c r="C727" s="2"/>
      <c r="D727" s="2"/>
      <c r="E727" s="2"/>
      <c r="F727" s="2"/>
      <c r="G727" s="2"/>
      <c r="H727" s="2"/>
      <c r="I727" s="74"/>
      <c r="J727" s="74"/>
      <c r="K727" s="74"/>
      <c r="L727" s="74"/>
      <c r="M727" s="2"/>
      <c r="N727" s="2"/>
      <c r="O727" s="2"/>
      <c r="P727" s="74"/>
      <c r="Q727" s="2"/>
      <c r="R727" s="2"/>
      <c r="S727" s="76"/>
      <c r="T727" s="2"/>
    </row>
    <row r="728" ht="15.75" customHeight="1">
      <c r="A728" s="2"/>
      <c r="B728" s="2"/>
      <c r="C728" s="2"/>
      <c r="D728" s="2"/>
      <c r="E728" s="2"/>
      <c r="F728" s="2"/>
      <c r="G728" s="2"/>
      <c r="H728" s="2"/>
      <c r="I728" s="74"/>
      <c r="J728" s="74"/>
      <c r="K728" s="74"/>
      <c r="L728" s="74"/>
      <c r="M728" s="2"/>
      <c r="N728" s="2"/>
      <c r="O728" s="2"/>
      <c r="P728" s="74"/>
      <c r="Q728" s="2"/>
      <c r="R728" s="2"/>
      <c r="S728" s="76"/>
      <c r="T728" s="2"/>
    </row>
    <row r="729" ht="15.75" customHeight="1">
      <c r="A729" s="2"/>
      <c r="B729" s="2"/>
      <c r="C729" s="2"/>
      <c r="D729" s="2"/>
      <c r="E729" s="2"/>
      <c r="F729" s="2"/>
      <c r="G729" s="2"/>
      <c r="H729" s="2"/>
      <c r="I729" s="74"/>
      <c r="J729" s="74"/>
      <c r="K729" s="74"/>
      <c r="L729" s="74"/>
      <c r="M729" s="2"/>
      <c r="N729" s="2"/>
      <c r="O729" s="2"/>
      <c r="P729" s="74"/>
      <c r="Q729" s="2"/>
      <c r="R729" s="2"/>
      <c r="S729" s="76"/>
      <c r="T729" s="2"/>
    </row>
    <row r="730" ht="15.75" customHeight="1">
      <c r="A730" s="2"/>
      <c r="B730" s="2"/>
      <c r="C730" s="2"/>
      <c r="D730" s="2"/>
      <c r="E730" s="2"/>
      <c r="F730" s="2"/>
      <c r="G730" s="2"/>
      <c r="H730" s="2"/>
      <c r="I730" s="74"/>
      <c r="J730" s="74"/>
      <c r="K730" s="74"/>
      <c r="L730" s="74"/>
      <c r="M730" s="2"/>
      <c r="N730" s="2"/>
      <c r="O730" s="2"/>
      <c r="P730" s="74"/>
      <c r="Q730" s="2"/>
      <c r="R730" s="2"/>
      <c r="S730" s="76"/>
      <c r="T730" s="2"/>
    </row>
    <row r="731" ht="15.75" customHeight="1">
      <c r="A731" s="2"/>
      <c r="B731" s="2"/>
      <c r="C731" s="2"/>
      <c r="D731" s="2"/>
      <c r="E731" s="2"/>
      <c r="F731" s="2"/>
      <c r="G731" s="2"/>
      <c r="H731" s="2"/>
      <c r="I731" s="74"/>
      <c r="J731" s="74"/>
      <c r="K731" s="74"/>
      <c r="L731" s="74"/>
      <c r="M731" s="2"/>
      <c r="N731" s="2"/>
      <c r="O731" s="2"/>
      <c r="P731" s="74"/>
      <c r="Q731" s="2"/>
      <c r="R731" s="2"/>
      <c r="S731" s="76"/>
      <c r="T731" s="2"/>
    </row>
    <row r="732" ht="15.75" customHeight="1">
      <c r="A732" s="2"/>
      <c r="B732" s="2"/>
      <c r="C732" s="2"/>
      <c r="D732" s="2"/>
      <c r="E732" s="2"/>
      <c r="F732" s="2"/>
      <c r="G732" s="2"/>
      <c r="H732" s="2"/>
      <c r="I732" s="74"/>
      <c r="J732" s="74"/>
      <c r="K732" s="74"/>
      <c r="L732" s="74"/>
      <c r="M732" s="2"/>
      <c r="N732" s="2"/>
      <c r="O732" s="2"/>
      <c r="P732" s="74"/>
      <c r="Q732" s="2"/>
      <c r="R732" s="2"/>
      <c r="S732" s="76"/>
      <c r="T732" s="2"/>
    </row>
    <row r="733" ht="15.75" customHeight="1">
      <c r="A733" s="2"/>
      <c r="B733" s="2"/>
      <c r="C733" s="2"/>
      <c r="D733" s="2"/>
      <c r="E733" s="2"/>
      <c r="F733" s="2"/>
      <c r="G733" s="2"/>
      <c r="H733" s="2"/>
      <c r="I733" s="74"/>
      <c r="J733" s="74"/>
      <c r="K733" s="74"/>
      <c r="L733" s="74"/>
      <c r="M733" s="2"/>
      <c r="N733" s="2"/>
      <c r="O733" s="2"/>
      <c r="P733" s="74"/>
      <c r="Q733" s="2"/>
      <c r="R733" s="2"/>
      <c r="S733" s="76"/>
      <c r="T733" s="2"/>
    </row>
    <row r="734" ht="15.75" customHeight="1">
      <c r="A734" s="2"/>
      <c r="B734" s="2"/>
      <c r="C734" s="2"/>
      <c r="D734" s="2"/>
      <c r="E734" s="2"/>
      <c r="F734" s="2"/>
      <c r="G734" s="2"/>
      <c r="H734" s="2"/>
      <c r="I734" s="74"/>
      <c r="J734" s="74"/>
      <c r="K734" s="74"/>
      <c r="L734" s="74"/>
      <c r="M734" s="2"/>
      <c r="N734" s="2"/>
      <c r="O734" s="2"/>
      <c r="P734" s="74"/>
      <c r="Q734" s="2"/>
      <c r="R734" s="2"/>
      <c r="S734" s="76"/>
      <c r="T734" s="2"/>
    </row>
    <row r="735" ht="15.75" customHeight="1">
      <c r="A735" s="2"/>
      <c r="B735" s="2"/>
      <c r="C735" s="2"/>
      <c r="D735" s="2"/>
      <c r="E735" s="2"/>
      <c r="F735" s="2"/>
      <c r="G735" s="2"/>
      <c r="H735" s="2"/>
      <c r="I735" s="74"/>
      <c r="J735" s="74"/>
      <c r="K735" s="74"/>
      <c r="L735" s="74"/>
      <c r="M735" s="2"/>
      <c r="N735" s="2"/>
      <c r="O735" s="2"/>
      <c r="P735" s="74"/>
      <c r="Q735" s="2"/>
      <c r="R735" s="2"/>
      <c r="S735" s="76"/>
      <c r="T735" s="2"/>
    </row>
    <row r="736" ht="15.75" customHeight="1">
      <c r="A736" s="2"/>
      <c r="B736" s="2"/>
      <c r="C736" s="2"/>
      <c r="D736" s="2"/>
      <c r="E736" s="2"/>
      <c r="F736" s="2"/>
      <c r="G736" s="2"/>
      <c r="H736" s="2"/>
      <c r="I736" s="74"/>
      <c r="J736" s="74"/>
      <c r="K736" s="74"/>
      <c r="L736" s="74"/>
      <c r="M736" s="2"/>
      <c r="N736" s="2"/>
      <c r="O736" s="2"/>
      <c r="P736" s="74"/>
      <c r="Q736" s="2"/>
      <c r="R736" s="2"/>
      <c r="S736" s="76"/>
      <c r="T736" s="2"/>
    </row>
    <row r="737" ht="15.75" customHeight="1">
      <c r="A737" s="2"/>
      <c r="B737" s="2"/>
      <c r="C737" s="2"/>
      <c r="D737" s="2"/>
      <c r="E737" s="2"/>
      <c r="F737" s="2"/>
      <c r="G737" s="2"/>
      <c r="H737" s="2"/>
      <c r="I737" s="74"/>
      <c r="J737" s="74"/>
      <c r="K737" s="74"/>
      <c r="L737" s="74"/>
      <c r="M737" s="2"/>
      <c r="N737" s="2"/>
      <c r="O737" s="2"/>
      <c r="P737" s="74"/>
      <c r="Q737" s="2"/>
      <c r="R737" s="2"/>
      <c r="S737" s="76"/>
      <c r="T737" s="2"/>
    </row>
    <row r="738" ht="15.75" customHeight="1">
      <c r="A738" s="2"/>
      <c r="B738" s="2"/>
      <c r="C738" s="2"/>
      <c r="D738" s="2"/>
      <c r="E738" s="2"/>
      <c r="F738" s="2"/>
      <c r="G738" s="2"/>
      <c r="H738" s="2"/>
      <c r="I738" s="74"/>
      <c r="J738" s="74"/>
      <c r="K738" s="74"/>
      <c r="L738" s="74"/>
      <c r="M738" s="2"/>
      <c r="N738" s="2"/>
      <c r="O738" s="2"/>
      <c r="P738" s="74"/>
      <c r="Q738" s="2"/>
      <c r="R738" s="2"/>
      <c r="S738" s="76"/>
      <c r="T738" s="2"/>
    </row>
    <row r="739" ht="15.75" customHeight="1">
      <c r="A739" s="2"/>
      <c r="B739" s="2"/>
      <c r="C739" s="2"/>
      <c r="D739" s="2"/>
      <c r="E739" s="2"/>
      <c r="F739" s="2"/>
      <c r="G739" s="2"/>
      <c r="H739" s="2"/>
      <c r="I739" s="74"/>
      <c r="J739" s="74"/>
      <c r="K739" s="74"/>
      <c r="L739" s="74"/>
      <c r="M739" s="2"/>
      <c r="N739" s="2"/>
      <c r="O739" s="2"/>
      <c r="P739" s="74"/>
      <c r="Q739" s="2"/>
      <c r="R739" s="2"/>
      <c r="S739" s="76"/>
      <c r="T739" s="2"/>
    </row>
    <row r="740" ht="15.75" customHeight="1">
      <c r="A740" s="2"/>
      <c r="B740" s="2"/>
      <c r="C740" s="2"/>
      <c r="D740" s="2"/>
      <c r="E740" s="2"/>
      <c r="F740" s="2"/>
      <c r="G740" s="2"/>
      <c r="H740" s="2"/>
      <c r="I740" s="74"/>
      <c r="J740" s="74"/>
      <c r="K740" s="74"/>
      <c r="L740" s="74"/>
      <c r="M740" s="2"/>
      <c r="N740" s="2"/>
      <c r="O740" s="2"/>
      <c r="P740" s="74"/>
      <c r="Q740" s="2"/>
      <c r="R740" s="2"/>
      <c r="S740" s="76"/>
      <c r="T740" s="2"/>
    </row>
    <row r="741" ht="15.75" customHeight="1">
      <c r="A741" s="2"/>
      <c r="B741" s="2"/>
      <c r="C741" s="2"/>
      <c r="D741" s="2"/>
      <c r="E741" s="2"/>
      <c r="F741" s="2"/>
      <c r="G741" s="2"/>
      <c r="H741" s="2"/>
      <c r="I741" s="74"/>
      <c r="J741" s="74"/>
      <c r="K741" s="74"/>
      <c r="L741" s="74"/>
      <c r="M741" s="2"/>
      <c r="N741" s="2"/>
      <c r="O741" s="2"/>
      <c r="P741" s="74"/>
      <c r="Q741" s="2"/>
      <c r="R741" s="2"/>
      <c r="S741" s="76"/>
      <c r="T741" s="2"/>
    </row>
    <row r="742" ht="15.75" customHeight="1">
      <c r="A742" s="2"/>
      <c r="B742" s="2"/>
      <c r="C742" s="2"/>
      <c r="D742" s="2"/>
      <c r="E742" s="2"/>
      <c r="F742" s="2"/>
      <c r="G742" s="2"/>
      <c r="H742" s="2"/>
      <c r="I742" s="74"/>
      <c r="J742" s="74"/>
      <c r="K742" s="74"/>
      <c r="L742" s="74"/>
      <c r="M742" s="2"/>
      <c r="N742" s="2"/>
      <c r="O742" s="2"/>
      <c r="P742" s="74"/>
      <c r="Q742" s="2"/>
      <c r="R742" s="2"/>
      <c r="S742" s="76"/>
      <c r="T742" s="2"/>
    </row>
    <row r="743" ht="15.75" customHeight="1">
      <c r="A743" s="2"/>
      <c r="B743" s="2"/>
      <c r="C743" s="2"/>
      <c r="D743" s="2"/>
      <c r="E743" s="2"/>
      <c r="F743" s="2"/>
      <c r="G743" s="2"/>
      <c r="H743" s="2"/>
      <c r="I743" s="74"/>
      <c r="J743" s="74"/>
      <c r="K743" s="74"/>
      <c r="L743" s="74"/>
      <c r="M743" s="2"/>
      <c r="N743" s="2"/>
      <c r="O743" s="2"/>
      <c r="P743" s="74"/>
      <c r="Q743" s="2"/>
      <c r="R743" s="2"/>
      <c r="S743" s="76"/>
      <c r="T743" s="2"/>
    </row>
    <row r="744" ht="15.75" customHeight="1">
      <c r="A744" s="2"/>
      <c r="B744" s="2"/>
      <c r="C744" s="2"/>
      <c r="D744" s="2"/>
      <c r="E744" s="2"/>
      <c r="F744" s="2"/>
      <c r="G744" s="2"/>
      <c r="H744" s="2"/>
      <c r="I744" s="74"/>
      <c r="J744" s="74"/>
      <c r="K744" s="74"/>
      <c r="L744" s="74"/>
      <c r="M744" s="2"/>
      <c r="N744" s="2"/>
      <c r="O744" s="2"/>
      <c r="P744" s="74"/>
      <c r="Q744" s="2"/>
      <c r="R744" s="2"/>
      <c r="S744" s="76"/>
      <c r="T744" s="2"/>
    </row>
    <row r="745" ht="15.75" customHeight="1">
      <c r="A745" s="2"/>
      <c r="B745" s="2"/>
      <c r="C745" s="2"/>
      <c r="D745" s="2"/>
      <c r="E745" s="2"/>
      <c r="F745" s="2"/>
      <c r="G745" s="2"/>
      <c r="H745" s="2"/>
      <c r="I745" s="74"/>
      <c r="J745" s="74"/>
      <c r="K745" s="74"/>
      <c r="L745" s="74"/>
      <c r="M745" s="2"/>
      <c r="N745" s="2"/>
      <c r="O745" s="2"/>
      <c r="P745" s="74"/>
      <c r="Q745" s="2"/>
      <c r="R745" s="2"/>
      <c r="S745" s="76"/>
      <c r="T745" s="2"/>
    </row>
    <row r="746" ht="15.75" customHeight="1">
      <c r="A746" s="2"/>
      <c r="B746" s="2"/>
      <c r="C746" s="2"/>
      <c r="D746" s="2"/>
      <c r="E746" s="2"/>
      <c r="F746" s="2"/>
      <c r="G746" s="2"/>
      <c r="H746" s="2"/>
      <c r="I746" s="74"/>
      <c r="J746" s="74"/>
      <c r="K746" s="74"/>
      <c r="L746" s="74"/>
      <c r="M746" s="2"/>
      <c r="N746" s="2"/>
      <c r="O746" s="2"/>
      <c r="P746" s="74"/>
      <c r="Q746" s="2"/>
      <c r="R746" s="2"/>
      <c r="S746" s="76"/>
      <c r="T746" s="2"/>
    </row>
    <row r="747" ht="15.75" customHeight="1">
      <c r="A747" s="2"/>
      <c r="B747" s="2"/>
      <c r="C747" s="2"/>
      <c r="D747" s="2"/>
      <c r="E747" s="2"/>
      <c r="F747" s="2"/>
      <c r="G747" s="2"/>
      <c r="H747" s="2"/>
      <c r="I747" s="74"/>
      <c r="J747" s="74"/>
      <c r="K747" s="74"/>
      <c r="L747" s="74"/>
      <c r="M747" s="2"/>
      <c r="N747" s="2"/>
      <c r="O747" s="2"/>
      <c r="P747" s="74"/>
      <c r="Q747" s="2"/>
      <c r="R747" s="2"/>
      <c r="S747" s="76"/>
      <c r="T747" s="2"/>
    </row>
    <row r="748" ht="15.75" customHeight="1">
      <c r="A748" s="2"/>
      <c r="B748" s="2"/>
      <c r="C748" s="2"/>
      <c r="D748" s="2"/>
      <c r="E748" s="2"/>
      <c r="F748" s="2"/>
      <c r="G748" s="2"/>
      <c r="H748" s="2"/>
      <c r="I748" s="74"/>
      <c r="J748" s="74"/>
      <c r="K748" s="74"/>
      <c r="L748" s="74"/>
      <c r="M748" s="2"/>
      <c r="N748" s="2"/>
      <c r="O748" s="2"/>
      <c r="P748" s="74"/>
      <c r="Q748" s="2"/>
      <c r="R748" s="2"/>
      <c r="S748" s="76"/>
      <c r="T748" s="2"/>
    </row>
    <row r="749" ht="15.75" customHeight="1">
      <c r="A749" s="2"/>
      <c r="B749" s="2"/>
      <c r="C749" s="2"/>
      <c r="D749" s="2"/>
      <c r="E749" s="2"/>
      <c r="F749" s="2"/>
      <c r="G749" s="2"/>
      <c r="H749" s="2"/>
      <c r="I749" s="74"/>
      <c r="J749" s="74"/>
      <c r="K749" s="74"/>
      <c r="L749" s="74"/>
      <c r="M749" s="2"/>
      <c r="N749" s="2"/>
      <c r="O749" s="2"/>
      <c r="P749" s="74"/>
      <c r="Q749" s="2"/>
      <c r="R749" s="2"/>
      <c r="S749" s="76"/>
      <c r="T749" s="2"/>
    </row>
    <row r="750" ht="15.75" customHeight="1">
      <c r="A750" s="2"/>
      <c r="B750" s="2"/>
      <c r="C750" s="2"/>
      <c r="D750" s="2"/>
      <c r="E750" s="2"/>
      <c r="F750" s="2"/>
      <c r="G750" s="2"/>
      <c r="H750" s="2"/>
      <c r="I750" s="74"/>
      <c r="J750" s="74"/>
      <c r="K750" s="74"/>
      <c r="L750" s="74"/>
      <c r="M750" s="2"/>
      <c r="N750" s="2"/>
      <c r="O750" s="2"/>
      <c r="P750" s="74"/>
      <c r="Q750" s="2"/>
      <c r="R750" s="2"/>
      <c r="S750" s="76"/>
      <c r="T750" s="2"/>
    </row>
    <row r="751" ht="15.75" customHeight="1">
      <c r="A751" s="2"/>
      <c r="B751" s="2"/>
      <c r="C751" s="2"/>
      <c r="D751" s="2"/>
      <c r="E751" s="2"/>
      <c r="F751" s="2"/>
      <c r="G751" s="2"/>
      <c r="H751" s="2"/>
      <c r="I751" s="74"/>
      <c r="J751" s="74"/>
      <c r="K751" s="74"/>
      <c r="L751" s="74"/>
      <c r="M751" s="2"/>
      <c r="N751" s="2"/>
      <c r="O751" s="2"/>
      <c r="P751" s="74"/>
      <c r="Q751" s="2"/>
      <c r="R751" s="2"/>
      <c r="S751" s="76"/>
      <c r="T751" s="2"/>
    </row>
    <row r="752" ht="15.75" customHeight="1">
      <c r="A752" s="2"/>
      <c r="B752" s="2"/>
      <c r="C752" s="2"/>
      <c r="D752" s="2"/>
      <c r="E752" s="2"/>
      <c r="F752" s="2"/>
      <c r="G752" s="2"/>
      <c r="H752" s="2"/>
      <c r="I752" s="74"/>
      <c r="J752" s="74"/>
      <c r="K752" s="74"/>
      <c r="L752" s="74"/>
      <c r="M752" s="2"/>
      <c r="N752" s="2"/>
      <c r="O752" s="2"/>
      <c r="P752" s="74"/>
      <c r="Q752" s="2"/>
      <c r="R752" s="2"/>
      <c r="S752" s="76"/>
      <c r="T752" s="2"/>
    </row>
    <row r="753" ht="15.75" customHeight="1">
      <c r="A753" s="2"/>
      <c r="B753" s="2"/>
      <c r="C753" s="2"/>
      <c r="D753" s="2"/>
      <c r="E753" s="2"/>
      <c r="F753" s="2"/>
      <c r="G753" s="2"/>
      <c r="H753" s="2"/>
      <c r="I753" s="74"/>
      <c r="J753" s="74"/>
      <c r="K753" s="74"/>
      <c r="L753" s="74"/>
      <c r="M753" s="2"/>
      <c r="N753" s="2"/>
      <c r="O753" s="2"/>
      <c r="P753" s="74"/>
      <c r="Q753" s="2"/>
      <c r="R753" s="2"/>
      <c r="S753" s="76"/>
      <c r="T753" s="2"/>
    </row>
    <row r="754" ht="15.75" customHeight="1">
      <c r="A754" s="2"/>
      <c r="B754" s="2"/>
      <c r="C754" s="2"/>
      <c r="D754" s="2"/>
      <c r="E754" s="2"/>
      <c r="F754" s="2"/>
      <c r="G754" s="2"/>
      <c r="H754" s="2"/>
      <c r="I754" s="74"/>
      <c r="J754" s="74"/>
      <c r="K754" s="74"/>
      <c r="L754" s="74"/>
      <c r="M754" s="2"/>
      <c r="N754" s="2"/>
      <c r="O754" s="2"/>
      <c r="P754" s="74"/>
      <c r="Q754" s="2"/>
      <c r="R754" s="2"/>
      <c r="S754" s="76"/>
      <c r="T754" s="2"/>
    </row>
    <row r="755" ht="15.75" customHeight="1">
      <c r="A755" s="2"/>
      <c r="B755" s="2"/>
      <c r="C755" s="2"/>
      <c r="D755" s="2"/>
      <c r="E755" s="2"/>
      <c r="F755" s="2"/>
      <c r="G755" s="2"/>
      <c r="H755" s="2"/>
      <c r="I755" s="74"/>
      <c r="J755" s="74"/>
      <c r="K755" s="74"/>
      <c r="L755" s="74"/>
      <c r="M755" s="2"/>
      <c r="N755" s="2"/>
      <c r="O755" s="2"/>
      <c r="P755" s="74"/>
      <c r="Q755" s="2"/>
      <c r="R755" s="2"/>
      <c r="S755" s="76"/>
      <c r="T755" s="2"/>
    </row>
    <row r="756" ht="15.75" customHeight="1">
      <c r="A756" s="2"/>
      <c r="B756" s="2"/>
      <c r="C756" s="2"/>
      <c r="D756" s="2"/>
      <c r="E756" s="2"/>
      <c r="F756" s="2"/>
      <c r="G756" s="2"/>
      <c r="H756" s="2"/>
      <c r="I756" s="74"/>
      <c r="J756" s="74"/>
      <c r="K756" s="74"/>
      <c r="L756" s="74"/>
      <c r="M756" s="2"/>
      <c r="N756" s="2"/>
      <c r="O756" s="2"/>
      <c r="P756" s="74"/>
      <c r="Q756" s="2"/>
      <c r="R756" s="2"/>
      <c r="S756" s="76"/>
      <c r="T756" s="2"/>
    </row>
    <row r="757" ht="15.75" customHeight="1">
      <c r="A757" s="2"/>
      <c r="B757" s="2"/>
      <c r="C757" s="2"/>
      <c r="D757" s="2"/>
      <c r="E757" s="2"/>
      <c r="F757" s="2"/>
      <c r="G757" s="2"/>
      <c r="H757" s="2"/>
      <c r="I757" s="74"/>
      <c r="J757" s="74"/>
      <c r="K757" s="74"/>
      <c r="L757" s="74"/>
      <c r="M757" s="2"/>
      <c r="N757" s="2"/>
      <c r="O757" s="2"/>
      <c r="P757" s="74"/>
      <c r="Q757" s="2"/>
      <c r="R757" s="2"/>
      <c r="S757" s="76"/>
      <c r="T757" s="2"/>
    </row>
    <row r="758" ht="15.75" customHeight="1">
      <c r="A758" s="2"/>
      <c r="B758" s="2"/>
      <c r="C758" s="2"/>
      <c r="D758" s="2"/>
      <c r="E758" s="2"/>
      <c r="F758" s="2"/>
      <c r="G758" s="2"/>
      <c r="H758" s="2"/>
      <c r="I758" s="74"/>
      <c r="J758" s="74"/>
      <c r="K758" s="74"/>
      <c r="L758" s="74"/>
      <c r="M758" s="2"/>
      <c r="N758" s="2"/>
      <c r="O758" s="2"/>
      <c r="P758" s="74"/>
      <c r="Q758" s="2"/>
      <c r="R758" s="2"/>
      <c r="S758" s="76"/>
      <c r="T758" s="2"/>
    </row>
    <row r="759" ht="15.75" customHeight="1">
      <c r="A759" s="2"/>
      <c r="B759" s="2"/>
      <c r="C759" s="2"/>
      <c r="D759" s="2"/>
      <c r="E759" s="2"/>
      <c r="F759" s="2"/>
      <c r="G759" s="2"/>
      <c r="H759" s="2"/>
      <c r="I759" s="74"/>
      <c r="J759" s="74"/>
      <c r="K759" s="74"/>
      <c r="L759" s="74"/>
      <c r="M759" s="2"/>
      <c r="N759" s="2"/>
      <c r="O759" s="2"/>
      <c r="P759" s="74"/>
      <c r="Q759" s="2"/>
      <c r="R759" s="2"/>
      <c r="S759" s="76"/>
      <c r="T759" s="2"/>
    </row>
    <row r="760" ht="15.75" customHeight="1">
      <c r="A760" s="2"/>
      <c r="B760" s="2"/>
      <c r="C760" s="2"/>
      <c r="D760" s="2"/>
      <c r="E760" s="2"/>
      <c r="F760" s="2"/>
      <c r="G760" s="2"/>
      <c r="H760" s="2"/>
      <c r="I760" s="74"/>
      <c r="J760" s="74"/>
      <c r="K760" s="74"/>
      <c r="L760" s="74"/>
      <c r="M760" s="2"/>
      <c r="N760" s="2"/>
      <c r="O760" s="2"/>
      <c r="P760" s="74"/>
      <c r="Q760" s="2"/>
      <c r="R760" s="2"/>
      <c r="S760" s="76"/>
      <c r="T760" s="2"/>
    </row>
    <row r="761" ht="15.75" customHeight="1">
      <c r="A761" s="2"/>
      <c r="B761" s="2"/>
      <c r="C761" s="2"/>
      <c r="D761" s="2"/>
      <c r="E761" s="2"/>
      <c r="F761" s="2"/>
      <c r="G761" s="2"/>
      <c r="H761" s="2"/>
      <c r="I761" s="74"/>
      <c r="J761" s="74"/>
      <c r="K761" s="74"/>
      <c r="L761" s="74"/>
      <c r="M761" s="2"/>
      <c r="N761" s="2"/>
      <c r="O761" s="2"/>
      <c r="P761" s="74"/>
      <c r="Q761" s="2"/>
      <c r="R761" s="2"/>
      <c r="S761" s="76"/>
      <c r="T761" s="2"/>
    </row>
    <row r="762" ht="15.75" customHeight="1">
      <c r="A762" s="2"/>
      <c r="B762" s="2"/>
      <c r="C762" s="2"/>
      <c r="D762" s="2"/>
      <c r="E762" s="2"/>
      <c r="F762" s="2"/>
      <c r="G762" s="2"/>
      <c r="H762" s="2"/>
      <c r="I762" s="74"/>
      <c r="J762" s="74"/>
      <c r="K762" s="74"/>
      <c r="L762" s="74"/>
      <c r="M762" s="2"/>
      <c r="N762" s="2"/>
      <c r="O762" s="2"/>
      <c r="P762" s="74"/>
      <c r="Q762" s="2"/>
      <c r="R762" s="2"/>
      <c r="S762" s="76"/>
      <c r="T762" s="2"/>
    </row>
    <row r="763" ht="15.75" customHeight="1">
      <c r="A763" s="2"/>
      <c r="B763" s="2"/>
      <c r="C763" s="2"/>
      <c r="D763" s="2"/>
      <c r="E763" s="2"/>
      <c r="F763" s="2"/>
      <c r="G763" s="2"/>
      <c r="H763" s="2"/>
      <c r="I763" s="74"/>
      <c r="J763" s="74"/>
      <c r="K763" s="74"/>
      <c r="L763" s="74"/>
      <c r="M763" s="2"/>
      <c r="N763" s="2"/>
      <c r="O763" s="2"/>
      <c r="P763" s="74"/>
      <c r="Q763" s="2"/>
      <c r="R763" s="2"/>
      <c r="S763" s="76"/>
      <c r="T763" s="2"/>
    </row>
    <row r="764" ht="15.75" customHeight="1">
      <c r="A764" s="2"/>
      <c r="B764" s="2"/>
      <c r="C764" s="2"/>
      <c r="D764" s="2"/>
      <c r="E764" s="2"/>
      <c r="F764" s="2"/>
      <c r="G764" s="2"/>
      <c r="H764" s="2"/>
      <c r="I764" s="74"/>
      <c r="J764" s="74"/>
      <c r="K764" s="74"/>
      <c r="L764" s="74"/>
      <c r="M764" s="2"/>
      <c r="N764" s="2"/>
      <c r="O764" s="2"/>
      <c r="P764" s="74"/>
      <c r="Q764" s="2"/>
      <c r="R764" s="2"/>
      <c r="S764" s="76"/>
      <c r="T764" s="2"/>
    </row>
    <row r="765" ht="15.75" customHeight="1">
      <c r="A765" s="2"/>
      <c r="B765" s="2"/>
      <c r="C765" s="2"/>
      <c r="D765" s="2"/>
      <c r="E765" s="2"/>
      <c r="F765" s="2"/>
      <c r="G765" s="2"/>
      <c r="H765" s="2"/>
      <c r="I765" s="74"/>
      <c r="J765" s="74"/>
      <c r="K765" s="74"/>
      <c r="L765" s="74"/>
      <c r="M765" s="2"/>
      <c r="N765" s="2"/>
      <c r="O765" s="2"/>
      <c r="P765" s="74"/>
      <c r="Q765" s="2"/>
      <c r="R765" s="2"/>
      <c r="S765" s="76"/>
      <c r="T765" s="2"/>
    </row>
    <row r="766" ht="15.75" customHeight="1">
      <c r="A766" s="2"/>
      <c r="B766" s="2"/>
      <c r="C766" s="2"/>
      <c r="D766" s="2"/>
      <c r="E766" s="2"/>
      <c r="F766" s="2"/>
      <c r="G766" s="2"/>
      <c r="H766" s="2"/>
      <c r="I766" s="74"/>
      <c r="J766" s="74"/>
      <c r="K766" s="74"/>
      <c r="L766" s="74"/>
      <c r="M766" s="2"/>
      <c r="N766" s="2"/>
      <c r="O766" s="2"/>
      <c r="P766" s="74"/>
      <c r="Q766" s="2"/>
      <c r="R766" s="2"/>
      <c r="S766" s="76"/>
      <c r="T766" s="2"/>
    </row>
    <row r="767" ht="15.75" customHeight="1">
      <c r="A767" s="2"/>
      <c r="B767" s="2"/>
      <c r="C767" s="2"/>
      <c r="D767" s="2"/>
      <c r="E767" s="2"/>
      <c r="F767" s="2"/>
      <c r="G767" s="2"/>
      <c r="H767" s="2"/>
      <c r="I767" s="74"/>
      <c r="J767" s="74"/>
      <c r="K767" s="74"/>
      <c r="L767" s="74"/>
      <c r="M767" s="2"/>
      <c r="N767" s="2"/>
      <c r="O767" s="2"/>
      <c r="P767" s="74"/>
      <c r="Q767" s="2"/>
      <c r="R767" s="2"/>
      <c r="S767" s="76"/>
      <c r="T767" s="2"/>
    </row>
    <row r="768" ht="15.75" customHeight="1">
      <c r="A768" s="2"/>
      <c r="B768" s="2"/>
      <c r="C768" s="2"/>
      <c r="D768" s="2"/>
      <c r="E768" s="2"/>
      <c r="F768" s="2"/>
      <c r="G768" s="2"/>
      <c r="H768" s="2"/>
      <c r="I768" s="74"/>
      <c r="J768" s="74"/>
      <c r="K768" s="74"/>
      <c r="L768" s="74"/>
      <c r="M768" s="2"/>
      <c r="N768" s="2"/>
      <c r="O768" s="2"/>
      <c r="P768" s="74"/>
      <c r="Q768" s="2"/>
      <c r="R768" s="2"/>
      <c r="S768" s="76"/>
      <c r="T768" s="2"/>
    </row>
    <row r="769" ht="15.75" customHeight="1">
      <c r="A769" s="2"/>
      <c r="B769" s="2"/>
      <c r="C769" s="2"/>
      <c r="D769" s="2"/>
      <c r="E769" s="2"/>
      <c r="F769" s="2"/>
      <c r="G769" s="2"/>
      <c r="H769" s="2"/>
      <c r="I769" s="74"/>
      <c r="J769" s="74"/>
      <c r="K769" s="74"/>
      <c r="L769" s="74"/>
      <c r="M769" s="2"/>
      <c r="N769" s="2"/>
      <c r="O769" s="2"/>
      <c r="P769" s="74"/>
      <c r="Q769" s="2"/>
      <c r="R769" s="2"/>
      <c r="S769" s="76"/>
      <c r="T769" s="2"/>
    </row>
    <row r="770" ht="15.75" customHeight="1">
      <c r="A770" s="2"/>
      <c r="B770" s="2"/>
      <c r="C770" s="2"/>
      <c r="D770" s="2"/>
      <c r="E770" s="2"/>
      <c r="F770" s="2"/>
      <c r="G770" s="2"/>
      <c r="H770" s="2"/>
      <c r="I770" s="74"/>
      <c r="J770" s="74"/>
      <c r="K770" s="74"/>
      <c r="L770" s="74"/>
      <c r="M770" s="2"/>
      <c r="N770" s="2"/>
      <c r="O770" s="2"/>
      <c r="P770" s="74"/>
      <c r="Q770" s="2"/>
      <c r="R770" s="2"/>
      <c r="S770" s="76"/>
      <c r="T770" s="2"/>
    </row>
    <row r="771" ht="15.75" customHeight="1">
      <c r="A771" s="2"/>
      <c r="B771" s="2"/>
      <c r="C771" s="2"/>
      <c r="D771" s="2"/>
      <c r="E771" s="2"/>
      <c r="F771" s="2"/>
      <c r="G771" s="2"/>
      <c r="H771" s="2"/>
      <c r="I771" s="74"/>
      <c r="J771" s="74"/>
      <c r="K771" s="74"/>
      <c r="L771" s="74"/>
      <c r="M771" s="2"/>
      <c r="N771" s="2"/>
      <c r="O771" s="2"/>
      <c r="P771" s="74"/>
      <c r="Q771" s="2"/>
      <c r="R771" s="2"/>
      <c r="S771" s="76"/>
      <c r="T771" s="2"/>
    </row>
    <row r="772" ht="15.75" customHeight="1">
      <c r="A772" s="2"/>
      <c r="B772" s="2"/>
      <c r="C772" s="2"/>
      <c r="D772" s="2"/>
      <c r="E772" s="2"/>
      <c r="F772" s="2"/>
      <c r="G772" s="2"/>
      <c r="H772" s="2"/>
      <c r="I772" s="74"/>
      <c r="J772" s="74"/>
      <c r="K772" s="74"/>
      <c r="L772" s="74"/>
      <c r="M772" s="2"/>
      <c r="N772" s="2"/>
      <c r="O772" s="2"/>
      <c r="P772" s="74"/>
      <c r="Q772" s="2"/>
      <c r="R772" s="2"/>
      <c r="S772" s="76"/>
      <c r="T772" s="2"/>
    </row>
    <row r="773" ht="15.75" customHeight="1">
      <c r="A773" s="2"/>
      <c r="B773" s="2"/>
      <c r="C773" s="2"/>
      <c r="D773" s="2"/>
      <c r="E773" s="2"/>
      <c r="F773" s="2"/>
      <c r="G773" s="2"/>
      <c r="H773" s="2"/>
      <c r="I773" s="74"/>
      <c r="J773" s="74"/>
      <c r="K773" s="74"/>
      <c r="L773" s="74"/>
      <c r="M773" s="2"/>
      <c r="N773" s="2"/>
      <c r="O773" s="2"/>
      <c r="P773" s="74"/>
      <c r="Q773" s="2"/>
      <c r="R773" s="2"/>
      <c r="S773" s="76"/>
      <c r="T773" s="2"/>
    </row>
    <row r="774" ht="15.75" customHeight="1">
      <c r="A774" s="2"/>
      <c r="B774" s="2"/>
      <c r="C774" s="2"/>
      <c r="D774" s="2"/>
      <c r="E774" s="2"/>
      <c r="F774" s="2"/>
      <c r="G774" s="2"/>
      <c r="H774" s="2"/>
      <c r="I774" s="74"/>
      <c r="J774" s="74"/>
      <c r="K774" s="74"/>
      <c r="L774" s="74"/>
      <c r="M774" s="2"/>
      <c r="N774" s="2"/>
      <c r="O774" s="2"/>
      <c r="P774" s="74"/>
      <c r="Q774" s="2"/>
      <c r="R774" s="2"/>
      <c r="S774" s="76"/>
      <c r="T774" s="2"/>
    </row>
    <row r="775" ht="15.75" customHeight="1">
      <c r="A775" s="2"/>
      <c r="B775" s="2"/>
      <c r="C775" s="2"/>
      <c r="D775" s="2"/>
      <c r="E775" s="2"/>
      <c r="F775" s="2"/>
      <c r="G775" s="2"/>
      <c r="H775" s="2"/>
      <c r="I775" s="74"/>
      <c r="J775" s="74"/>
      <c r="K775" s="74"/>
      <c r="L775" s="74"/>
      <c r="M775" s="2"/>
      <c r="N775" s="2"/>
      <c r="O775" s="2"/>
      <c r="P775" s="74"/>
      <c r="Q775" s="2"/>
      <c r="R775" s="2"/>
      <c r="S775" s="76"/>
      <c r="T775" s="2"/>
    </row>
    <row r="776" ht="15.75" customHeight="1">
      <c r="A776" s="2"/>
      <c r="B776" s="2"/>
      <c r="C776" s="2"/>
      <c r="D776" s="2"/>
      <c r="E776" s="2"/>
      <c r="F776" s="2"/>
      <c r="G776" s="2"/>
      <c r="H776" s="2"/>
      <c r="I776" s="74"/>
      <c r="J776" s="74"/>
      <c r="K776" s="74"/>
      <c r="L776" s="74"/>
      <c r="M776" s="2"/>
      <c r="N776" s="2"/>
      <c r="O776" s="2"/>
      <c r="P776" s="74"/>
      <c r="Q776" s="2"/>
      <c r="R776" s="2"/>
      <c r="S776" s="76"/>
      <c r="T776" s="2"/>
    </row>
    <row r="777" ht="15.75" customHeight="1">
      <c r="A777" s="2"/>
      <c r="B777" s="2"/>
      <c r="C777" s="2"/>
      <c r="D777" s="2"/>
      <c r="E777" s="2"/>
      <c r="F777" s="2"/>
      <c r="G777" s="2"/>
      <c r="H777" s="2"/>
      <c r="I777" s="74"/>
      <c r="J777" s="74"/>
      <c r="K777" s="74"/>
      <c r="L777" s="74"/>
      <c r="M777" s="2"/>
      <c r="N777" s="2"/>
      <c r="O777" s="2"/>
      <c r="P777" s="74"/>
      <c r="Q777" s="2"/>
      <c r="R777" s="2"/>
      <c r="S777" s="76"/>
      <c r="T777" s="2"/>
    </row>
    <row r="778" ht="15.75" customHeight="1">
      <c r="A778" s="2"/>
      <c r="B778" s="2"/>
      <c r="C778" s="2"/>
      <c r="D778" s="2"/>
      <c r="E778" s="2"/>
      <c r="F778" s="2"/>
      <c r="G778" s="2"/>
      <c r="H778" s="2"/>
      <c r="I778" s="74"/>
      <c r="J778" s="74"/>
      <c r="K778" s="74"/>
      <c r="L778" s="74"/>
      <c r="M778" s="2"/>
      <c r="N778" s="2"/>
      <c r="O778" s="2"/>
      <c r="P778" s="74"/>
      <c r="Q778" s="2"/>
      <c r="R778" s="2"/>
      <c r="S778" s="76"/>
      <c r="T778" s="2"/>
    </row>
    <row r="779" ht="15.75" customHeight="1">
      <c r="A779" s="2"/>
      <c r="B779" s="2"/>
      <c r="C779" s="2"/>
      <c r="D779" s="2"/>
      <c r="E779" s="2"/>
      <c r="F779" s="2"/>
      <c r="G779" s="2"/>
      <c r="H779" s="2"/>
      <c r="I779" s="74"/>
      <c r="J779" s="74"/>
      <c r="K779" s="74"/>
      <c r="L779" s="74"/>
      <c r="M779" s="2"/>
      <c r="N779" s="2"/>
      <c r="O779" s="2"/>
      <c r="P779" s="74"/>
      <c r="Q779" s="2"/>
      <c r="R779" s="2"/>
      <c r="S779" s="76"/>
      <c r="T779" s="2"/>
    </row>
    <row r="780" ht="15.75" customHeight="1">
      <c r="A780" s="2"/>
      <c r="B780" s="2"/>
      <c r="C780" s="2"/>
      <c r="D780" s="2"/>
      <c r="E780" s="2"/>
      <c r="F780" s="2"/>
      <c r="G780" s="2"/>
      <c r="H780" s="2"/>
      <c r="I780" s="74"/>
      <c r="J780" s="74"/>
      <c r="K780" s="74"/>
      <c r="L780" s="74"/>
      <c r="M780" s="2"/>
      <c r="N780" s="2"/>
      <c r="O780" s="2"/>
      <c r="P780" s="74"/>
      <c r="Q780" s="2"/>
      <c r="R780" s="2"/>
      <c r="S780" s="76"/>
      <c r="T780" s="2"/>
    </row>
    <row r="781" ht="15.75" customHeight="1">
      <c r="A781" s="2"/>
      <c r="B781" s="2"/>
      <c r="C781" s="2"/>
      <c r="D781" s="2"/>
      <c r="E781" s="2"/>
      <c r="F781" s="2"/>
      <c r="G781" s="2"/>
      <c r="H781" s="2"/>
      <c r="I781" s="74"/>
      <c r="J781" s="74"/>
      <c r="K781" s="74"/>
      <c r="L781" s="74"/>
      <c r="M781" s="2"/>
      <c r="N781" s="2"/>
      <c r="O781" s="2"/>
      <c r="P781" s="74"/>
      <c r="Q781" s="2"/>
      <c r="R781" s="2"/>
      <c r="S781" s="76"/>
      <c r="T781" s="2"/>
    </row>
    <row r="782" ht="15.75" customHeight="1">
      <c r="A782" s="2"/>
      <c r="B782" s="2"/>
      <c r="C782" s="2"/>
      <c r="D782" s="2"/>
      <c r="E782" s="2"/>
      <c r="F782" s="2"/>
      <c r="G782" s="2"/>
      <c r="H782" s="2"/>
      <c r="I782" s="74"/>
      <c r="J782" s="74"/>
      <c r="K782" s="74"/>
      <c r="L782" s="74"/>
      <c r="M782" s="2"/>
      <c r="N782" s="2"/>
      <c r="O782" s="2"/>
      <c r="P782" s="74"/>
      <c r="Q782" s="2"/>
      <c r="R782" s="2"/>
      <c r="S782" s="76"/>
      <c r="T782" s="2"/>
    </row>
    <row r="783" ht="15.75" customHeight="1">
      <c r="A783" s="2"/>
      <c r="B783" s="2"/>
      <c r="C783" s="2"/>
      <c r="D783" s="2"/>
      <c r="E783" s="2"/>
      <c r="F783" s="2"/>
      <c r="G783" s="2"/>
      <c r="H783" s="2"/>
      <c r="I783" s="74"/>
      <c r="J783" s="74"/>
      <c r="K783" s="74"/>
      <c r="L783" s="74"/>
      <c r="M783" s="2"/>
      <c r="N783" s="2"/>
      <c r="O783" s="2"/>
      <c r="P783" s="74"/>
      <c r="Q783" s="2"/>
      <c r="R783" s="2"/>
      <c r="S783" s="76"/>
      <c r="T783" s="2"/>
    </row>
    <row r="784" ht="15.75" customHeight="1">
      <c r="A784" s="2"/>
      <c r="B784" s="2"/>
      <c r="C784" s="2"/>
      <c r="D784" s="2"/>
      <c r="E784" s="2"/>
      <c r="F784" s="2"/>
      <c r="G784" s="2"/>
      <c r="H784" s="2"/>
      <c r="I784" s="74"/>
      <c r="J784" s="74"/>
      <c r="K784" s="74"/>
      <c r="L784" s="74"/>
      <c r="M784" s="2"/>
      <c r="N784" s="2"/>
      <c r="O784" s="2"/>
      <c r="P784" s="74"/>
      <c r="Q784" s="2"/>
      <c r="R784" s="2"/>
      <c r="S784" s="76"/>
      <c r="T784" s="2"/>
    </row>
    <row r="785" ht="15.75" customHeight="1">
      <c r="A785" s="2"/>
      <c r="B785" s="2"/>
      <c r="C785" s="2"/>
      <c r="D785" s="2"/>
      <c r="E785" s="2"/>
      <c r="F785" s="2"/>
      <c r="G785" s="2"/>
      <c r="H785" s="2"/>
      <c r="I785" s="74"/>
      <c r="J785" s="74"/>
      <c r="K785" s="74"/>
      <c r="L785" s="74"/>
      <c r="M785" s="2"/>
      <c r="N785" s="2"/>
      <c r="O785" s="2"/>
      <c r="P785" s="74"/>
      <c r="Q785" s="2"/>
      <c r="R785" s="2"/>
      <c r="S785" s="76"/>
      <c r="T785" s="2"/>
    </row>
    <row r="786" ht="15.75" customHeight="1">
      <c r="A786" s="2"/>
      <c r="B786" s="2"/>
      <c r="C786" s="2"/>
      <c r="D786" s="2"/>
      <c r="E786" s="2"/>
      <c r="F786" s="2"/>
      <c r="G786" s="2"/>
      <c r="H786" s="2"/>
      <c r="I786" s="74"/>
      <c r="J786" s="74"/>
      <c r="K786" s="74"/>
      <c r="L786" s="74"/>
      <c r="M786" s="2"/>
      <c r="N786" s="2"/>
      <c r="O786" s="2"/>
      <c r="P786" s="74"/>
      <c r="Q786" s="2"/>
      <c r="R786" s="2"/>
      <c r="S786" s="76"/>
      <c r="T786" s="2"/>
    </row>
    <row r="787" ht="15.75" customHeight="1">
      <c r="A787" s="2"/>
      <c r="B787" s="2"/>
      <c r="C787" s="2"/>
      <c r="D787" s="2"/>
      <c r="E787" s="2"/>
      <c r="F787" s="2"/>
      <c r="G787" s="2"/>
      <c r="H787" s="2"/>
      <c r="I787" s="74"/>
      <c r="J787" s="74"/>
      <c r="K787" s="74"/>
      <c r="L787" s="74"/>
      <c r="M787" s="2"/>
      <c r="N787" s="2"/>
      <c r="O787" s="2"/>
      <c r="P787" s="74"/>
      <c r="Q787" s="2"/>
      <c r="R787" s="2"/>
      <c r="S787" s="76"/>
      <c r="T787" s="2"/>
    </row>
    <row r="788" ht="15.75" customHeight="1">
      <c r="A788" s="2"/>
      <c r="B788" s="2"/>
      <c r="C788" s="2"/>
      <c r="D788" s="2"/>
      <c r="E788" s="2"/>
      <c r="F788" s="2"/>
      <c r="G788" s="2"/>
      <c r="H788" s="2"/>
      <c r="I788" s="74"/>
      <c r="J788" s="74"/>
      <c r="K788" s="74"/>
      <c r="L788" s="74"/>
      <c r="M788" s="2"/>
      <c r="N788" s="2"/>
      <c r="O788" s="2"/>
      <c r="P788" s="74"/>
      <c r="Q788" s="2"/>
      <c r="R788" s="2"/>
      <c r="S788" s="76"/>
      <c r="T788" s="2"/>
    </row>
    <row r="789" ht="15.75" customHeight="1">
      <c r="A789" s="2"/>
      <c r="B789" s="2"/>
      <c r="C789" s="2"/>
      <c r="D789" s="2"/>
      <c r="E789" s="2"/>
      <c r="F789" s="2"/>
      <c r="G789" s="2"/>
      <c r="H789" s="2"/>
      <c r="I789" s="74"/>
      <c r="J789" s="74"/>
      <c r="K789" s="74"/>
      <c r="L789" s="74"/>
      <c r="M789" s="2"/>
      <c r="N789" s="2"/>
      <c r="O789" s="2"/>
      <c r="P789" s="74"/>
      <c r="Q789" s="2"/>
      <c r="R789" s="2"/>
      <c r="S789" s="76"/>
      <c r="T789" s="2"/>
    </row>
    <row r="790" ht="15.75" customHeight="1">
      <c r="A790" s="2"/>
      <c r="B790" s="2"/>
      <c r="C790" s="2"/>
      <c r="D790" s="2"/>
      <c r="E790" s="2"/>
      <c r="F790" s="2"/>
      <c r="G790" s="2"/>
      <c r="H790" s="2"/>
      <c r="I790" s="74"/>
      <c r="J790" s="74"/>
      <c r="K790" s="74"/>
      <c r="L790" s="74"/>
      <c r="M790" s="2"/>
      <c r="N790" s="2"/>
      <c r="O790" s="2"/>
      <c r="P790" s="74"/>
      <c r="Q790" s="2"/>
      <c r="R790" s="2"/>
      <c r="S790" s="76"/>
      <c r="T790" s="2"/>
    </row>
    <row r="791" ht="15.75" customHeight="1">
      <c r="A791" s="2"/>
      <c r="B791" s="2"/>
      <c r="C791" s="2"/>
      <c r="D791" s="2"/>
      <c r="E791" s="2"/>
      <c r="F791" s="2"/>
      <c r="G791" s="2"/>
      <c r="H791" s="2"/>
      <c r="I791" s="74"/>
      <c r="J791" s="74"/>
      <c r="K791" s="74"/>
      <c r="L791" s="74"/>
      <c r="M791" s="2"/>
      <c r="N791" s="2"/>
      <c r="O791" s="2"/>
      <c r="P791" s="74"/>
      <c r="Q791" s="2"/>
      <c r="R791" s="2"/>
      <c r="S791" s="76"/>
      <c r="T791" s="2"/>
    </row>
    <row r="792" ht="15.75" customHeight="1">
      <c r="A792" s="2"/>
      <c r="B792" s="2"/>
      <c r="C792" s="2"/>
      <c r="D792" s="2"/>
      <c r="E792" s="2"/>
      <c r="F792" s="2"/>
      <c r="G792" s="2"/>
      <c r="H792" s="2"/>
      <c r="I792" s="74"/>
      <c r="J792" s="74"/>
      <c r="K792" s="74"/>
      <c r="L792" s="74"/>
      <c r="M792" s="2"/>
      <c r="N792" s="2"/>
      <c r="O792" s="2"/>
      <c r="P792" s="74"/>
      <c r="Q792" s="2"/>
      <c r="R792" s="2"/>
      <c r="S792" s="76"/>
      <c r="T792" s="2"/>
    </row>
    <row r="793" ht="15.75" customHeight="1">
      <c r="A793" s="2"/>
      <c r="B793" s="2"/>
      <c r="C793" s="2"/>
      <c r="D793" s="2"/>
      <c r="E793" s="2"/>
      <c r="F793" s="2"/>
      <c r="G793" s="2"/>
      <c r="H793" s="2"/>
      <c r="I793" s="74"/>
      <c r="J793" s="74"/>
      <c r="K793" s="74"/>
      <c r="L793" s="74"/>
      <c r="M793" s="2"/>
      <c r="N793" s="2"/>
      <c r="O793" s="2"/>
      <c r="P793" s="74"/>
      <c r="Q793" s="2"/>
      <c r="R793" s="2"/>
      <c r="S793" s="76"/>
      <c r="T793" s="2"/>
    </row>
    <row r="794" ht="15.75" customHeight="1">
      <c r="A794" s="2"/>
      <c r="B794" s="2"/>
      <c r="C794" s="2"/>
      <c r="D794" s="2"/>
      <c r="E794" s="2"/>
      <c r="F794" s="2"/>
      <c r="G794" s="2"/>
      <c r="H794" s="2"/>
      <c r="I794" s="74"/>
      <c r="J794" s="74"/>
      <c r="K794" s="74"/>
      <c r="L794" s="74"/>
      <c r="M794" s="2"/>
      <c r="N794" s="2"/>
      <c r="O794" s="2"/>
      <c r="P794" s="74"/>
      <c r="Q794" s="2"/>
      <c r="R794" s="2"/>
      <c r="S794" s="76"/>
      <c r="T794" s="2"/>
    </row>
    <row r="795" ht="15.75" customHeight="1">
      <c r="A795" s="2"/>
      <c r="B795" s="2"/>
      <c r="C795" s="2"/>
      <c r="D795" s="2"/>
      <c r="E795" s="2"/>
      <c r="F795" s="2"/>
      <c r="G795" s="2"/>
      <c r="H795" s="2"/>
      <c r="I795" s="74"/>
      <c r="J795" s="74"/>
      <c r="K795" s="74"/>
      <c r="L795" s="74"/>
      <c r="M795" s="2"/>
      <c r="N795" s="2"/>
      <c r="O795" s="2"/>
      <c r="P795" s="74"/>
      <c r="Q795" s="2"/>
      <c r="R795" s="2"/>
      <c r="S795" s="76"/>
      <c r="T795" s="2"/>
    </row>
    <row r="796" ht="15.75" customHeight="1">
      <c r="A796" s="2"/>
      <c r="B796" s="2"/>
      <c r="C796" s="2"/>
      <c r="D796" s="2"/>
      <c r="E796" s="2"/>
      <c r="F796" s="2"/>
      <c r="G796" s="2"/>
      <c r="H796" s="2"/>
      <c r="I796" s="74"/>
      <c r="J796" s="74"/>
      <c r="K796" s="74"/>
      <c r="L796" s="74"/>
      <c r="M796" s="2"/>
      <c r="N796" s="2"/>
      <c r="O796" s="2"/>
      <c r="P796" s="74"/>
      <c r="Q796" s="2"/>
      <c r="R796" s="2"/>
      <c r="S796" s="76"/>
      <c r="T796" s="2"/>
    </row>
    <row r="797" ht="15.75" customHeight="1">
      <c r="A797" s="2"/>
      <c r="B797" s="2"/>
      <c r="C797" s="2"/>
      <c r="D797" s="2"/>
      <c r="E797" s="2"/>
      <c r="F797" s="2"/>
      <c r="G797" s="2"/>
      <c r="H797" s="2"/>
      <c r="I797" s="74"/>
      <c r="J797" s="74"/>
      <c r="K797" s="74"/>
      <c r="L797" s="74"/>
      <c r="M797" s="2"/>
      <c r="N797" s="2"/>
      <c r="O797" s="2"/>
      <c r="P797" s="74"/>
      <c r="Q797" s="2"/>
      <c r="R797" s="2"/>
      <c r="S797" s="76"/>
      <c r="T797" s="2"/>
    </row>
    <row r="798" ht="15.75" customHeight="1">
      <c r="A798" s="2"/>
      <c r="B798" s="2"/>
      <c r="C798" s="2"/>
      <c r="D798" s="2"/>
      <c r="E798" s="2"/>
      <c r="F798" s="2"/>
      <c r="G798" s="2"/>
      <c r="H798" s="2"/>
      <c r="I798" s="74"/>
      <c r="J798" s="74"/>
      <c r="K798" s="74"/>
      <c r="L798" s="74"/>
      <c r="M798" s="2"/>
      <c r="N798" s="2"/>
      <c r="O798" s="2"/>
      <c r="P798" s="74"/>
      <c r="Q798" s="2"/>
      <c r="R798" s="2"/>
      <c r="S798" s="76"/>
      <c r="T798" s="2"/>
    </row>
    <row r="799" ht="15.75" customHeight="1">
      <c r="A799" s="2"/>
      <c r="B799" s="2"/>
      <c r="C799" s="2"/>
      <c r="D799" s="2"/>
      <c r="E799" s="2"/>
      <c r="F799" s="2"/>
      <c r="G799" s="2"/>
      <c r="H799" s="2"/>
      <c r="I799" s="74"/>
      <c r="J799" s="74"/>
      <c r="K799" s="74"/>
      <c r="L799" s="74"/>
      <c r="M799" s="2"/>
      <c r="N799" s="2"/>
      <c r="O799" s="2"/>
      <c r="P799" s="74"/>
      <c r="Q799" s="2"/>
      <c r="R799" s="2"/>
      <c r="S799" s="76"/>
      <c r="T799" s="2"/>
    </row>
    <row r="800" ht="15.75" customHeight="1">
      <c r="A800" s="2"/>
      <c r="B800" s="2"/>
      <c r="C800" s="2"/>
      <c r="D800" s="2"/>
      <c r="E800" s="2"/>
      <c r="F800" s="2"/>
      <c r="G800" s="2"/>
      <c r="H800" s="2"/>
      <c r="I800" s="74"/>
      <c r="J800" s="74"/>
      <c r="K800" s="74"/>
      <c r="L800" s="74"/>
      <c r="M800" s="2"/>
      <c r="N800" s="2"/>
      <c r="O800" s="2"/>
      <c r="P800" s="74"/>
      <c r="Q800" s="2"/>
      <c r="R800" s="2"/>
      <c r="S800" s="76"/>
      <c r="T800" s="2"/>
    </row>
    <row r="801" ht="15.75" customHeight="1">
      <c r="A801" s="2"/>
      <c r="B801" s="2"/>
      <c r="C801" s="2"/>
      <c r="D801" s="2"/>
      <c r="E801" s="2"/>
      <c r="F801" s="2"/>
      <c r="G801" s="2"/>
      <c r="H801" s="2"/>
      <c r="I801" s="74"/>
      <c r="J801" s="74"/>
      <c r="K801" s="74"/>
      <c r="L801" s="74"/>
      <c r="M801" s="2"/>
      <c r="N801" s="2"/>
      <c r="O801" s="2"/>
      <c r="P801" s="74"/>
      <c r="Q801" s="2"/>
      <c r="R801" s="2"/>
      <c r="S801" s="76"/>
      <c r="T801" s="2"/>
    </row>
    <row r="802" ht="15.75" customHeight="1">
      <c r="A802" s="2"/>
      <c r="B802" s="2"/>
      <c r="C802" s="2"/>
      <c r="D802" s="2"/>
      <c r="E802" s="2"/>
      <c r="F802" s="2"/>
      <c r="G802" s="2"/>
      <c r="H802" s="2"/>
      <c r="I802" s="74"/>
      <c r="J802" s="74"/>
      <c r="K802" s="74"/>
      <c r="L802" s="74"/>
      <c r="M802" s="2"/>
      <c r="N802" s="2"/>
      <c r="O802" s="2"/>
      <c r="P802" s="74"/>
      <c r="Q802" s="2"/>
      <c r="R802" s="2"/>
      <c r="S802" s="76"/>
      <c r="T802" s="2"/>
    </row>
    <row r="803" ht="15.75" customHeight="1">
      <c r="A803" s="2"/>
      <c r="B803" s="2"/>
      <c r="C803" s="2"/>
      <c r="D803" s="2"/>
      <c r="E803" s="2"/>
      <c r="F803" s="2"/>
      <c r="G803" s="2"/>
      <c r="H803" s="2"/>
      <c r="I803" s="74"/>
      <c r="J803" s="74"/>
      <c r="K803" s="74"/>
      <c r="L803" s="74"/>
      <c r="M803" s="2"/>
      <c r="N803" s="2"/>
      <c r="O803" s="2"/>
      <c r="P803" s="74"/>
      <c r="Q803" s="2"/>
      <c r="R803" s="2"/>
      <c r="S803" s="76"/>
      <c r="T803" s="2"/>
    </row>
    <row r="804" ht="15.75" customHeight="1">
      <c r="A804" s="2"/>
      <c r="B804" s="2"/>
      <c r="C804" s="2"/>
      <c r="D804" s="2"/>
      <c r="E804" s="2"/>
      <c r="F804" s="2"/>
      <c r="G804" s="2"/>
      <c r="H804" s="2"/>
      <c r="I804" s="74"/>
      <c r="J804" s="74"/>
      <c r="K804" s="74"/>
      <c r="L804" s="74"/>
      <c r="M804" s="2"/>
      <c r="N804" s="2"/>
      <c r="O804" s="2"/>
      <c r="P804" s="74"/>
      <c r="Q804" s="2"/>
      <c r="R804" s="2"/>
      <c r="S804" s="76"/>
      <c r="T804" s="2"/>
    </row>
    <row r="805" ht="15.75" customHeight="1">
      <c r="A805" s="2"/>
      <c r="B805" s="2"/>
      <c r="C805" s="2"/>
      <c r="D805" s="2"/>
      <c r="E805" s="2"/>
      <c r="F805" s="2"/>
      <c r="G805" s="2"/>
      <c r="H805" s="2"/>
      <c r="I805" s="74"/>
      <c r="J805" s="74"/>
      <c r="K805" s="74"/>
      <c r="L805" s="74"/>
      <c r="M805" s="2"/>
      <c r="N805" s="2"/>
      <c r="O805" s="2"/>
      <c r="P805" s="74"/>
      <c r="Q805" s="2"/>
      <c r="R805" s="2"/>
      <c r="S805" s="76"/>
      <c r="T805" s="2"/>
    </row>
    <row r="806" ht="15.75" customHeight="1">
      <c r="A806" s="2"/>
      <c r="B806" s="2"/>
      <c r="C806" s="2"/>
      <c r="D806" s="2"/>
      <c r="E806" s="2"/>
      <c r="F806" s="2"/>
      <c r="G806" s="2"/>
      <c r="H806" s="2"/>
      <c r="I806" s="74"/>
      <c r="J806" s="74"/>
      <c r="K806" s="74"/>
      <c r="L806" s="74"/>
      <c r="M806" s="2"/>
      <c r="N806" s="2"/>
      <c r="O806" s="2"/>
      <c r="P806" s="74"/>
      <c r="Q806" s="2"/>
      <c r="R806" s="2"/>
      <c r="S806" s="76"/>
      <c r="T806" s="2"/>
    </row>
    <row r="807" ht="15.75" customHeight="1">
      <c r="A807" s="2"/>
      <c r="B807" s="2"/>
      <c r="C807" s="2"/>
      <c r="D807" s="2"/>
      <c r="E807" s="2"/>
      <c r="F807" s="2"/>
      <c r="G807" s="2"/>
      <c r="H807" s="2"/>
      <c r="I807" s="74"/>
      <c r="J807" s="74"/>
      <c r="K807" s="74"/>
      <c r="L807" s="74"/>
      <c r="M807" s="2"/>
      <c r="N807" s="2"/>
      <c r="O807" s="2"/>
      <c r="P807" s="74"/>
      <c r="Q807" s="2"/>
      <c r="R807" s="2"/>
      <c r="S807" s="76"/>
      <c r="T807" s="2"/>
    </row>
    <row r="808" ht="15.75" customHeight="1">
      <c r="A808" s="2"/>
      <c r="B808" s="2"/>
      <c r="C808" s="2"/>
      <c r="D808" s="2"/>
      <c r="E808" s="2"/>
      <c r="F808" s="2"/>
      <c r="G808" s="2"/>
      <c r="H808" s="2"/>
      <c r="I808" s="74"/>
      <c r="J808" s="74"/>
      <c r="K808" s="74"/>
      <c r="L808" s="74"/>
      <c r="M808" s="2"/>
      <c r="N808" s="2"/>
      <c r="O808" s="2"/>
      <c r="P808" s="74"/>
      <c r="Q808" s="2"/>
      <c r="R808" s="2"/>
      <c r="S808" s="76"/>
      <c r="T808" s="2"/>
    </row>
    <row r="809" ht="15.75" customHeight="1">
      <c r="A809" s="2"/>
      <c r="B809" s="2"/>
      <c r="C809" s="2"/>
      <c r="D809" s="2"/>
      <c r="E809" s="2"/>
      <c r="F809" s="2"/>
      <c r="G809" s="2"/>
      <c r="H809" s="2"/>
      <c r="I809" s="74"/>
      <c r="J809" s="74"/>
      <c r="K809" s="74"/>
      <c r="L809" s="74"/>
      <c r="M809" s="2"/>
      <c r="N809" s="2"/>
      <c r="O809" s="2"/>
      <c r="P809" s="74"/>
      <c r="Q809" s="2"/>
      <c r="R809" s="2"/>
      <c r="S809" s="76"/>
      <c r="T809" s="2"/>
    </row>
    <row r="810" ht="15.75" customHeight="1">
      <c r="A810" s="2"/>
      <c r="B810" s="2"/>
      <c r="C810" s="2"/>
      <c r="D810" s="2"/>
      <c r="E810" s="2"/>
      <c r="F810" s="2"/>
      <c r="G810" s="2"/>
      <c r="H810" s="2"/>
      <c r="I810" s="74"/>
      <c r="J810" s="74"/>
      <c r="K810" s="74"/>
      <c r="L810" s="74"/>
      <c r="M810" s="2"/>
      <c r="N810" s="2"/>
      <c r="O810" s="2"/>
      <c r="P810" s="74"/>
      <c r="Q810" s="2"/>
      <c r="R810" s="2"/>
      <c r="S810" s="76"/>
      <c r="T810" s="2"/>
    </row>
    <row r="811" ht="15.75" customHeight="1">
      <c r="A811" s="2"/>
      <c r="B811" s="2"/>
      <c r="C811" s="2"/>
      <c r="D811" s="2"/>
      <c r="E811" s="2"/>
      <c r="F811" s="2"/>
      <c r="G811" s="2"/>
      <c r="H811" s="2"/>
      <c r="I811" s="74"/>
      <c r="J811" s="74"/>
      <c r="K811" s="74"/>
      <c r="L811" s="74"/>
      <c r="M811" s="2"/>
      <c r="N811" s="2"/>
      <c r="O811" s="2"/>
      <c r="P811" s="74"/>
      <c r="Q811" s="2"/>
      <c r="R811" s="2"/>
      <c r="S811" s="76"/>
      <c r="T811" s="2"/>
    </row>
    <row r="812" ht="15.75" customHeight="1">
      <c r="A812" s="2"/>
      <c r="B812" s="2"/>
      <c r="C812" s="2"/>
      <c r="D812" s="2"/>
      <c r="E812" s="2"/>
      <c r="F812" s="2"/>
      <c r="G812" s="2"/>
      <c r="H812" s="2"/>
      <c r="I812" s="74"/>
      <c r="J812" s="74"/>
      <c r="K812" s="74"/>
      <c r="L812" s="74"/>
      <c r="M812" s="2"/>
      <c r="N812" s="2"/>
      <c r="O812" s="2"/>
      <c r="P812" s="74"/>
      <c r="Q812" s="2"/>
      <c r="R812" s="2"/>
      <c r="S812" s="76"/>
      <c r="T812" s="2"/>
    </row>
    <row r="813" ht="15.75" customHeight="1">
      <c r="A813" s="2"/>
      <c r="B813" s="2"/>
      <c r="C813" s="2"/>
      <c r="D813" s="2"/>
      <c r="E813" s="2"/>
      <c r="F813" s="2"/>
      <c r="G813" s="2"/>
      <c r="H813" s="2"/>
      <c r="I813" s="74"/>
      <c r="J813" s="74"/>
      <c r="K813" s="74"/>
      <c r="L813" s="74"/>
      <c r="M813" s="2"/>
      <c r="N813" s="2"/>
      <c r="O813" s="2"/>
      <c r="P813" s="74"/>
      <c r="Q813" s="2"/>
      <c r="R813" s="2"/>
      <c r="S813" s="76"/>
      <c r="T813" s="2"/>
    </row>
    <row r="814" ht="15.75" customHeight="1">
      <c r="A814" s="2"/>
      <c r="B814" s="2"/>
      <c r="C814" s="2"/>
      <c r="D814" s="2"/>
      <c r="E814" s="2"/>
      <c r="F814" s="2"/>
      <c r="G814" s="2"/>
      <c r="H814" s="2"/>
      <c r="I814" s="74"/>
      <c r="J814" s="74"/>
      <c r="K814" s="74"/>
      <c r="L814" s="74"/>
      <c r="M814" s="2"/>
      <c r="N814" s="2"/>
      <c r="O814" s="2"/>
      <c r="P814" s="74"/>
      <c r="Q814" s="2"/>
      <c r="R814" s="2"/>
      <c r="S814" s="76"/>
      <c r="T814" s="2"/>
    </row>
    <row r="815" ht="15.75" customHeight="1">
      <c r="A815" s="2"/>
      <c r="B815" s="2"/>
      <c r="C815" s="2"/>
      <c r="D815" s="2"/>
      <c r="E815" s="2"/>
      <c r="F815" s="2"/>
      <c r="G815" s="2"/>
      <c r="H815" s="2"/>
      <c r="I815" s="74"/>
      <c r="J815" s="74"/>
      <c r="K815" s="74"/>
      <c r="L815" s="74"/>
      <c r="M815" s="2"/>
      <c r="N815" s="2"/>
      <c r="O815" s="2"/>
      <c r="P815" s="74"/>
      <c r="Q815" s="2"/>
      <c r="R815" s="2"/>
      <c r="S815" s="76"/>
      <c r="T815" s="2"/>
    </row>
    <row r="816" ht="15.75" customHeight="1">
      <c r="A816" s="2"/>
      <c r="B816" s="2"/>
      <c r="C816" s="2"/>
      <c r="D816" s="2"/>
      <c r="E816" s="2"/>
      <c r="F816" s="2"/>
      <c r="G816" s="2"/>
      <c r="H816" s="2"/>
      <c r="I816" s="74"/>
      <c r="J816" s="74"/>
      <c r="K816" s="74"/>
      <c r="L816" s="74"/>
      <c r="M816" s="2"/>
      <c r="N816" s="2"/>
      <c r="O816" s="2"/>
      <c r="P816" s="74"/>
      <c r="Q816" s="2"/>
      <c r="R816" s="2"/>
      <c r="S816" s="76"/>
      <c r="T816" s="2"/>
    </row>
    <row r="817" ht="15.75" customHeight="1">
      <c r="A817" s="2"/>
      <c r="B817" s="2"/>
      <c r="C817" s="2"/>
      <c r="D817" s="2"/>
      <c r="E817" s="2"/>
      <c r="F817" s="2"/>
      <c r="G817" s="2"/>
      <c r="H817" s="2"/>
      <c r="I817" s="74"/>
      <c r="J817" s="74"/>
      <c r="K817" s="74"/>
      <c r="L817" s="74"/>
      <c r="M817" s="2"/>
      <c r="N817" s="2"/>
      <c r="O817" s="2"/>
      <c r="P817" s="74"/>
      <c r="Q817" s="2"/>
      <c r="R817" s="2"/>
      <c r="S817" s="76"/>
      <c r="T817" s="2"/>
    </row>
    <row r="818" ht="15.75" customHeight="1">
      <c r="A818" s="2"/>
      <c r="B818" s="2"/>
      <c r="C818" s="2"/>
      <c r="D818" s="2"/>
      <c r="E818" s="2"/>
      <c r="F818" s="2"/>
      <c r="G818" s="2"/>
      <c r="H818" s="2"/>
      <c r="I818" s="74"/>
      <c r="J818" s="74"/>
      <c r="K818" s="74"/>
      <c r="L818" s="74"/>
      <c r="M818" s="2"/>
      <c r="N818" s="2"/>
      <c r="O818" s="2"/>
      <c r="P818" s="74"/>
      <c r="Q818" s="2"/>
      <c r="R818" s="2"/>
      <c r="S818" s="76"/>
      <c r="T818" s="2"/>
    </row>
    <row r="819" ht="15.75" customHeight="1">
      <c r="A819" s="2"/>
      <c r="B819" s="2"/>
      <c r="C819" s="2"/>
      <c r="D819" s="2"/>
      <c r="E819" s="2"/>
      <c r="F819" s="2"/>
      <c r="G819" s="2"/>
      <c r="H819" s="2"/>
      <c r="I819" s="74"/>
      <c r="J819" s="74"/>
      <c r="K819" s="74"/>
      <c r="L819" s="74"/>
      <c r="M819" s="2"/>
      <c r="N819" s="2"/>
      <c r="O819" s="2"/>
      <c r="P819" s="74"/>
      <c r="Q819" s="2"/>
      <c r="R819" s="2"/>
      <c r="S819" s="76"/>
      <c r="T819" s="2"/>
    </row>
    <row r="820" ht="15.75" customHeight="1">
      <c r="A820" s="2"/>
      <c r="B820" s="2"/>
      <c r="C820" s="2"/>
      <c r="D820" s="2"/>
      <c r="E820" s="2"/>
      <c r="F820" s="2"/>
      <c r="G820" s="2"/>
      <c r="H820" s="2"/>
      <c r="I820" s="74"/>
      <c r="J820" s="74"/>
      <c r="K820" s="74"/>
      <c r="L820" s="74"/>
      <c r="M820" s="2"/>
      <c r="N820" s="2"/>
      <c r="O820" s="2"/>
      <c r="P820" s="74"/>
      <c r="Q820" s="2"/>
      <c r="R820" s="2"/>
      <c r="S820" s="76"/>
      <c r="T820" s="2"/>
    </row>
    <row r="821" ht="15.75" customHeight="1">
      <c r="A821" s="2"/>
      <c r="B821" s="2"/>
      <c r="C821" s="2"/>
      <c r="D821" s="2"/>
      <c r="E821" s="2"/>
      <c r="F821" s="2"/>
      <c r="G821" s="2"/>
      <c r="H821" s="2"/>
      <c r="I821" s="74"/>
      <c r="J821" s="74"/>
      <c r="K821" s="74"/>
      <c r="L821" s="74"/>
      <c r="M821" s="2"/>
      <c r="N821" s="2"/>
      <c r="O821" s="2"/>
      <c r="P821" s="74"/>
      <c r="Q821" s="2"/>
      <c r="R821" s="2"/>
      <c r="S821" s="76"/>
      <c r="T821" s="2"/>
    </row>
    <row r="822" ht="15.75" customHeight="1">
      <c r="A822" s="2"/>
      <c r="B822" s="2"/>
      <c r="C822" s="2"/>
      <c r="D822" s="2"/>
      <c r="E822" s="2"/>
      <c r="F822" s="2"/>
      <c r="G822" s="2"/>
      <c r="H822" s="2"/>
      <c r="I822" s="74"/>
      <c r="J822" s="74"/>
      <c r="K822" s="74"/>
      <c r="L822" s="74"/>
      <c r="M822" s="2"/>
      <c r="N822" s="2"/>
      <c r="O822" s="2"/>
      <c r="P822" s="74"/>
      <c r="Q822" s="2"/>
      <c r="R822" s="2"/>
      <c r="S822" s="76"/>
      <c r="T822" s="2"/>
    </row>
    <row r="823" ht="15.75" customHeight="1">
      <c r="A823" s="2"/>
      <c r="B823" s="2"/>
      <c r="C823" s="2"/>
      <c r="D823" s="2"/>
      <c r="E823" s="2"/>
      <c r="F823" s="2"/>
      <c r="G823" s="2"/>
      <c r="H823" s="2"/>
      <c r="I823" s="74"/>
      <c r="J823" s="74"/>
      <c r="K823" s="74"/>
      <c r="L823" s="74"/>
      <c r="M823" s="2"/>
      <c r="N823" s="2"/>
      <c r="O823" s="2"/>
      <c r="P823" s="74"/>
      <c r="Q823" s="2"/>
      <c r="R823" s="2"/>
      <c r="S823" s="76"/>
      <c r="T823" s="2"/>
    </row>
    <row r="824" ht="15.75" customHeight="1">
      <c r="A824" s="2"/>
      <c r="B824" s="2"/>
      <c r="C824" s="2"/>
      <c r="D824" s="2"/>
      <c r="E824" s="2"/>
      <c r="F824" s="2"/>
      <c r="G824" s="2"/>
      <c r="H824" s="2"/>
      <c r="I824" s="74"/>
      <c r="J824" s="74"/>
      <c r="K824" s="74"/>
      <c r="L824" s="74"/>
      <c r="M824" s="2"/>
      <c r="N824" s="2"/>
      <c r="O824" s="2"/>
      <c r="P824" s="74"/>
      <c r="Q824" s="2"/>
      <c r="R824" s="2"/>
      <c r="S824" s="76"/>
      <c r="T824" s="2"/>
    </row>
    <row r="825" ht="15.75" customHeight="1">
      <c r="A825" s="2"/>
      <c r="B825" s="2"/>
      <c r="C825" s="2"/>
      <c r="D825" s="2"/>
      <c r="E825" s="2"/>
      <c r="F825" s="2"/>
      <c r="G825" s="2"/>
      <c r="H825" s="2"/>
      <c r="I825" s="74"/>
      <c r="J825" s="74"/>
      <c r="K825" s="74"/>
      <c r="L825" s="74"/>
      <c r="M825" s="2"/>
      <c r="N825" s="2"/>
      <c r="O825" s="2"/>
      <c r="P825" s="74"/>
      <c r="Q825" s="2"/>
      <c r="R825" s="2"/>
      <c r="S825" s="76"/>
      <c r="T825" s="2"/>
    </row>
    <row r="826" ht="15.75" customHeight="1">
      <c r="A826" s="2"/>
      <c r="B826" s="2"/>
      <c r="C826" s="2"/>
      <c r="D826" s="2"/>
      <c r="E826" s="2"/>
      <c r="F826" s="2"/>
      <c r="G826" s="2"/>
      <c r="H826" s="2"/>
      <c r="I826" s="74"/>
      <c r="J826" s="74"/>
      <c r="K826" s="74"/>
      <c r="L826" s="74"/>
      <c r="M826" s="2"/>
      <c r="N826" s="2"/>
      <c r="O826" s="2"/>
      <c r="P826" s="74"/>
      <c r="Q826" s="2"/>
      <c r="R826" s="2"/>
      <c r="S826" s="76"/>
      <c r="T826" s="2"/>
    </row>
    <row r="827" ht="15.75" customHeight="1">
      <c r="A827" s="2"/>
      <c r="B827" s="2"/>
      <c r="C827" s="2"/>
      <c r="D827" s="2"/>
      <c r="E827" s="2"/>
      <c r="F827" s="2"/>
      <c r="G827" s="2"/>
      <c r="H827" s="2"/>
      <c r="I827" s="74"/>
      <c r="J827" s="74"/>
      <c r="K827" s="74"/>
      <c r="L827" s="74"/>
      <c r="M827" s="2"/>
      <c r="N827" s="2"/>
      <c r="O827" s="2"/>
      <c r="P827" s="74"/>
      <c r="Q827" s="2"/>
      <c r="R827" s="2"/>
      <c r="S827" s="76"/>
      <c r="T827" s="2"/>
    </row>
    <row r="828" ht="15.75" customHeight="1">
      <c r="A828" s="2"/>
      <c r="B828" s="2"/>
      <c r="C828" s="2"/>
      <c r="D828" s="2"/>
      <c r="E828" s="2"/>
      <c r="F828" s="2"/>
      <c r="G828" s="2"/>
      <c r="H828" s="2"/>
      <c r="I828" s="74"/>
      <c r="J828" s="74"/>
      <c r="K828" s="74"/>
      <c r="L828" s="74"/>
      <c r="M828" s="2"/>
      <c r="N828" s="2"/>
      <c r="O828" s="2"/>
      <c r="P828" s="74"/>
      <c r="Q828" s="2"/>
      <c r="R828" s="2"/>
      <c r="S828" s="76"/>
      <c r="T828" s="2"/>
    </row>
    <row r="829" ht="15.75" customHeight="1">
      <c r="A829" s="2"/>
      <c r="B829" s="2"/>
      <c r="C829" s="2"/>
      <c r="D829" s="2"/>
      <c r="E829" s="2"/>
      <c r="F829" s="2"/>
      <c r="G829" s="2"/>
      <c r="H829" s="2"/>
      <c r="I829" s="74"/>
      <c r="J829" s="74"/>
      <c r="K829" s="74"/>
      <c r="L829" s="74"/>
      <c r="M829" s="2"/>
      <c r="N829" s="2"/>
      <c r="O829" s="2"/>
      <c r="P829" s="74"/>
      <c r="Q829" s="2"/>
      <c r="R829" s="2"/>
      <c r="S829" s="76"/>
      <c r="T829" s="2"/>
    </row>
    <row r="830" ht="15.75" customHeight="1">
      <c r="A830" s="2"/>
      <c r="B830" s="2"/>
      <c r="C830" s="2"/>
      <c r="D830" s="2"/>
      <c r="E830" s="2"/>
      <c r="F830" s="2"/>
      <c r="G830" s="2"/>
      <c r="H830" s="2"/>
      <c r="I830" s="74"/>
      <c r="J830" s="74"/>
      <c r="K830" s="74"/>
      <c r="L830" s="74"/>
      <c r="M830" s="2"/>
      <c r="N830" s="2"/>
      <c r="O830" s="2"/>
      <c r="P830" s="74"/>
      <c r="Q830" s="2"/>
      <c r="R830" s="2"/>
      <c r="S830" s="76"/>
      <c r="T830" s="2"/>
    </row>
    <row r="831" ht="15.75" customHeight="1">
      <c r="A831" s="2"/>
      <c r="B831" s="2"/>
      <c r="C831" s="2"/>
      <c r="D831" s="2"/>
      <c r="E831" s="2"/>
      <c r="F831" s="2"/>
      <c r="G831" s="2"/>
      <c r="H831" s="2"/>
      <c r="I831" s="74"/>
      <c r="J831" s="74"/>
      <c r="K831" s="74"/>
      <c r="L831" s="74"/>
      <c r="M831" s="2"/>
      <c r="N831" s="2"/>
      <c r="O831" s="2"/>
      <c r="P831" s="74"/>
      <c r="Q831" s="2"/>
      <c r="R831" s="2"/>
      <c r="S831" s="76"/>
      <c r="T831" s="2"/>
    </row>
    <row r="832" ht="15.75" customHeight="1">
      <c r="A832" s="2"/>
      <c r="B832" s="2"/>
      <c r="C832" s="2"/>
      <c r="D832" s="2"/>
      <c r="E832" s="2"/>
      <c r="F832" s="2"/>
      <c r="G832" s="2"/>
      <c r="H832" s="2"/>
      <c r="I832" s="74"/>
      <c r="J832" s="74"/>
      <c r="K832" s="74"/>
      <c r="L832" s="74"/>
      <c r="M832" s="2"/>
      <c r="N832" s="2"/>
      <c r="O832" s="2"/>
      <c r="P832" s="74"/>
      <c r="Q832" s="2"/>
      <c r="R832" s="2"/>
      <c r="S832" s="76"/>
      <c r="T832" s="2"/>
    </row>
    <row r="833" ht="15.75" customHeight="1">
      <c r="A833" s="2"/>
      <c r="B833" s="2"/>
      <c r="C833" s="2"/>
      <c r="D833" s="2"/>
      <c r="E833" s="2"/>
      <c r="F833" s="2"/>
      <c r="G833" s="2"/>
      <c r="H833" s="2"/>
      <c r="I833" s="74"/>
      <c r="J833" s="74"/>
      <c r="K833" s="74"/>
      <c r="L833" s="74"/>
      <c r="M833" s="2"/>
      <c r="N833" s="2"/>
      <c r="O833" s="2"/>
      <c r="P833" s="74"/>
      <c r="Q833" s="2"/>
      <c r="R833" s="2"/>
      <c r="S833" s="76"/>
      <c r="T833" s="2"/>
    </row>
    <row r="834" ht="15.75" customHeight="1">
      <c r="A834" s="2"/>
      <c r="B834" s="2"/>
      <c r="C834" s="2"/>
      <c r="D834" s="2"/>
      <c r="E834" s="2"/>
      <c r="F834" s="2"/>
      <c r="G834" s="2"/>
      <c r="H834" s="2"/>
      <c r="I834" s="74"/>
      <c r="J834" s="74"/>
      <c r="K834" s="74"/>
      <c r="L834" s="74"/>
      <c r="M834" s="2"/>
      <c r="N834" s="2"/>
      <c r="O834" s="2"/>
      <c r="P834" s="74"/>
      <c r="Q834" s="2"/>
      <c r="R834" s="2"/>
      <c r="S834" s="76"/>
      <c r="T834" s="2"/>
    </row>
    <row r="835" ht="15.75" customHeight="1">
      <c r="A835" s="2"/>
      <c r="B835" s="2"/>
      <c r="C835" s="2"/>
      <c r="D835" s="2"/>
      <c r="E835" s="2"/>
      <c r="F835" s="2"/>
      <c r="G835" s="2"/>
      <c r="H835" s="2"/>
      <c r="I835" s="74"/>
      <c r="J835" s="74"/>
      <c r="K835" s="74"/>
      <c r="L835" s="74"/>
      <c r="M835" s="2"/>
      <c r="N835" s="2"/>
      <c r="O835" s="2"/>
      <c r="P835" s="74"/>
      <c r="Q835" s="2"/>
      <c r="R835" s="2"/>
      <c r="S835" s="76"/>
      <c r="T835" s="2"/>
    </row>
    <row r="836" ht="15.75" customHeight="1">
      <c r="A836" s="2"/>
      <c r="B836" s="2"/>
      <c r="C836" s="2"/>
      <c r="D836" s="2"/>
      <c r="E836" s="2"/>
      <c r="F836" s="2"/>
      <c r="G836" s="2"/>
      <c r="H836" s="2"/>
      <c r="I836" s="74"/>
      <c r="J836" s="74"/>
      <c r="K836" s="74"/>
      <c r="L836" s="74"/>
      <c r="M836" s="2"/>
      <c r="N836" s="2"/>
      <c r="O836" s="2"/>
      <c r="P836" s="74"/>
      <c r="Q836" s="2"/>
      <c r="R836" s="2"/>
      <c r="S836" s="76"/>
      <c r="T836" s="2"/>
    </row>
    <row r="837" ht="15.75" customHeight="1">
      <c r="A837" s="2"/>
      <c r="B837" s="2"/>
      <c r="C837" s="2"/>
      <c r="D837" s="2"/>
      <c r="E837" s="2"/>
      <c r="F837" s="2"/>
      <c r="G837" s="2"/>
      <c r="H837" s="2"/>
      <c r="I837" s="74"/>
      <c r="J837" s="74"/>
      <c r="K837" s="74"/>
      <c r="L837" s="74"/>
      <c r="M837" s="2"/>
      <c r="N837" s="2"/>
      <c r="O837" s="2"/>
      <c r="P837" s="74"/>
      <c r="Q837" s="2"/>
      <c r="R837" s="2"/>
      <c r="S837" s="76"/>
      <c r="T837" s="2"/>
    </row>
    <row r="838" ht="15.75" customHeight="1">
      <c r="A838" s="2"/>
      <c r="B838" s="2"/>
      <c r="C838" s="2"/>
      <c r="D838" s="2"/>
      <c r="E838" s="2"/>
      <c r="F838" s="2"/>
      <c r="G838" s="2"/>
      <c r="H838" s="2"/>
      <c r="I838" s="74"/>
      <c r="J838" s="74"/>
      <c r="K838" s="74"/>
      <c r="L838" s="74"/>
      <c r="M838" s="2"/>
      <c r="N838" s="2"/>
      <c r="O838" s="2"/>
      <c r="P838" s="74"/>
      <c r="Q838" s="2"/>
      <c r="R838" s="2"/>
      <c r="S838" s="76"/>
      <c r="T838" s="2"/>
    </row>
    <row r="839" ht="15.75" customHeight="1">
      <c r="A839" s="2"/>
      <c r="B839" s="2"/>
      <c r="C839" s="2"/>
      <c r="D839" s="2"/>
      <c r="E839" s="2"/>
      <c r="F839" s="2"/>
      <c r="G839" s="2"/>
      <c r="H839" s="2"/>
      <c r="I839" s="74"/>
      <c r="J839" s="74"/>
      <c r="K839" s="74"/>
      <c r="L839" s="74"/>
      <c r="M839" s="2"/>
      <c r="N839" s="2"/>
      <c r="O839" s="2"/>
      <c r="P839" s="74"/>
      <c r="Q839" s="2"/>
      <c r="R839" s="2"/>
      <c r="S839" s="76"/>
      <c r="T839" s="2"/>
    </row>
    <row r="840" ht="15.75" customHeight="1">
      <c r="A840" s="2"/>
      <c r="B840" s="2"/>
      <c r="C840" s="2"/>
      <c r="D840" s="2"/>
      <c r="E840" s="2"/>
      <c r="F840" s="2"/>
      <c r="G840" s="2"/>
      <c r="H840" s="2"/>
      <c r="I840" s="74"/>
      <c r="J840" s="74"/>
      <c r="K840" s="74"/>
      <c r="L840" s="74"/>
      <c r="M840" s="2"/>
      <c r="N840" s="2"/>
      <c r="O840" s="2"/>
      <c r="P840" s="74"/>
      <c r="Q840" s="2"/>
      <c r="R840" s="2"/>
      <c r="S840" s="76"/>
      <c r="T840" s="2"/>
    </row>
    <row r="841" ht="15.75" customHeight="1">
      <c r="A841" s="2"/>
      <c r="B841" s="2"/>
      <c r="C841" s="2"/>
      <c r="D841" s="2"/>
      <c r="E841" s="2"/>
      <c r="F841" s="2"/>
      <c r="G841" s="2"/>
      <c r="H841" s="2"/>
      <c r="I841" s="74"/>
      <c r="J841" s="74"/>
      <c r="K841" s="74"/>
      <c r="L841" s="74"/>
      <c r="M841" s="2"/>
      <c r="N841" s="2"/>
      <c r="O841" s="2"/>
      <c r="P841" s="74"/>
      <c r="Q841" s="2"/>
      <c r="R841" s="2"/>
      <c r="S841" s="76"/>
      <c r="T841" s="2"/>
    </row>
    <row r="842" ht="15.75" customHeight="1">
      <c r="A842" s="2"/>
      <c r="B842" s="2"/>
      <c r="C842" s="2"/>
      <c r="D842" s="2"/>
      <c r="E842" s="2"/>
      <c r="F842" s="2"/>
      <c r="G842" s="2"/>
      <c r="H842" s="2"/>
      <c r="I842" s="74"/>
      <c r="J842" s="74"/>
      <c r="K842" s="74"/>
      <c r="L842" s="74"/>
      <c r="M842" s="2"/>
      <c r="N842" s="2"/>
      <c r="O842" s="2"/>
      <c r="P842" s="74"/>
      <c r="Q842" s="2"/>
      <c r="R842" s="2"/>
      <c r="S842" s="76"/>
      <c r="T842" s="2"/>
    </row>
    <row r="843" ht="15.75" customHeight="1">
      <c r="A843" s="2"/>
      <c r="B843" s="2"/>
      <c r="C843" s="2"/>
      <c r="D843" s="2"/>
      <c r="E843" s="2"/>
      <c r="F843" s="2"/>
      <c r="G843" s="2"/>
      <c r="H843" s="2"/>
      <c r="I843" s="74"/>
      <c r="J843" s="74"/>
      <c r="K843" s="74"/>
      <c r="L843" s="74"/>
      <c r="M843" s="2"/>
      <c r="N843" s="2"/>
      <c r="O843" s="2"/>
      <c r="P843" s="74"/>
      <c r="Q843" s="2"/>
      <c r="R843" s="2"/>
      <c r="S843" s="76"/>
      <c r="T843" s="2"/>
    </row>
    <row r="844" ht="15.75" customHeight="1">
      <c r="A844" s="2"/>
      <c r="B844" s="2"/>
      <c r="C844" s="2"/>
      <c r="D844" s="2"/>
      <c r="E844" s="2"/>
      <c r="F844" s="2"/>
      <c r="G844" s="2"/>
      <c r="H844" s="2"/>
      <c r="I844" s="74"/>
      <c r="J844" s="74"/>
      <c r="K844" s="74"/>
      <c r="L844" s="74"/>
      <c r="M844" s="2"/>
      <c r="N844" s="2"/>
      <c r="O844" s="2"/>
      <c r="P844" s="74"/>
      <c r="Q844" s="2"/>
      <c r="R844" s="2"/>
      <c r="S844" s="76"/>
      <c r="T844" s="2"/>
    </row>
    <row r="845" ht="15.75" customHeight="1">
      <c r="A845" s="2"/>
      <c r="B845" s="2"/>
      <c r="C845" s="2"/>
      <c r="D845" s="2"/>
      <c r="E845" s="2"/>
      <c r="F845" s="2"/>
      <c r="G845" s="2"/>
      <c r="H845" s="2"/>
      <c r="I845" s="74"/>
      <c r="J845" s="74"/>
      <c r="K845" s="74"/>
      <c r="L845" s="74"/>
      <c r="M845" s="2"/>
      <c r="N845" s="2"/>
      <c r="O845" s="2"/>
      <c r="P845" s="74"/>
      <c r="Q845" s="2"/>
      <c r="R845" s="2"/>
      <c r="S845" s="76"/>
      <c r="T845" s="2"/>
    </row>
    <row r="846" ht="15.75" customHeight="1">
      <c r="A846" s="2"/>
      <c r="B846" s="2"/>
      <c r="C846" s="2"/>
      <c r="D846" s="2"/>
      <c r="E846" s="2"/>
      <c r="F846" s="2"/>
      <c r="G846" s="2"/>
      <c r="H846" s="2"/>
      <c r="I846" s="74"/>
      <c r="J846" s="74"/>
      <c r="K846" s="74"/>
      <c r="L846" s="74"/>
      <c r="M846" s="2"/>
      <c r="N846" s="2"/>
      <c r="O846" s="2"/>
      <c r="P846" s="74"/>
      <c r="Q846" s="2"/>
      <c r="R846" s="2"/>
      <c r="S846" s="76"/>
      <c r="T846" s="2"/>
    </row>
    <row r="847" ht="15.75" customHeight="1">
      <c r="A847" s="2"/>
      <c r="B847" s="2"/>
      <c r="C847" s="2"/>
      <c r="D847" s="2"/>
      <c r="E847" s="2"/>
      <c r="F847" s="2"/>
      <c r="G847" s="2"/>
      <c r="H847" s="2"/>
      <c r="I847" s="74"/>
      <c r="J847" s="74"/>
      <c r="K847" s="74"/>
      <c r="L847" s="74"/>
      <c r="M847" s="2"/>
      <c r="N847" s="2"/>
      <c r="O847" s="2"/>
      <c r="P847" s="74"/>
      <c r="Q847" s="2"/>
      <c r="R847" s="2"/>
      <c r="S847" s="76"/>
      <c r="T847" s="2"/>
    </row>
    <row r="848" ht="15.75" customHeight="1">
      <c r="A848" s="2"/>
      <c r="B848" s="2"/>
      <c r="C848" s="2"/>
      <c r="D848" s="2"/>
      <c r="E848" s="2"/>
      <c r="F848" s="2"/>
      <c r="G848" s="2"/>
      <c r="H848" s="2"/>
      <c r="I848" s="74"/>
      <c r="J848" s="74"/>
      <c r="K848" s="74"/>
      <c r="L848" s="74"/>
      <c r="M848" s="2"/>
      <c r="N848" s="2"/>
      <c r="O848" s="2"/>
      <c r="P848" s="74"/>
      <c r="Q848" s="2"/>
      <c r="R848" s="2"/>
      <c r="S848" s="76"/>
      <c r="T848" s="2"/>
    </row>
    <row r="849" ht="15.75" customHeight="1">
      <c r="A849" s="2"/>
      <c r="B849" s="2"/>
      <c r="C849" s="2"/>
      <c r="D849" s="2"/>
      <c r="E849" s="2"/>
      <c r="F849" s="2"/>
      <c r="G849" s="2"/>
      <c r="H849" s="2"/>
      <c r="I849" s="74"/>
      <c r="J849" s="74"/>
      <c r="K849" s="74"/>
      <c r="L849" s="74"/>
      <c r="M849" s="2"/>
      <c r="N849" s="2"/>
      <c r="O849" s="2"/>
      <c r="P849" s="74"/>
      <c r="Q849" s="2"/>
      <c r="R849" s="2"/>
      <c r="S849" s="76"/>
      <c r="T849" s="2"/>
    </row>
    <row r="850" ht="15.75" customHeight="1">
      <c r="A850" s="2"/>
      <c r="B850" s="2"/>
      <c r="C850" s="2"/>
      <c r="D850" s="2"/>
      <c r="E850" s="2"/>
      <c r="F850" s="2"/>
      <c r="G850" s="2"/>
      <c r="H850" s="2"/>
      <c r="I850" s="74"/>
      <c r="J850" s="74"/>
      <c r="K850" s="74"/>
      <c r="L850" s="74"/>
      <c r="M850" s="2"/>
      <c r="N850" s="2"/>
      <c r="O850" s="2"/>
      <c r="P850" s="74"/>
      <c r="Q850" s="2"/>
      <c r="R850" s="2"/>
      <c r="S850" s="76"/>
      <c r="T850" s="2"/>
    </row>
    <row r="851" ht="15.75" customHeight="1">
      <c r="A851" s="2"/>
      <c r="B851" s="2"/>
      <c r="C851" s="2"/>
      <c r="D851" s="2"/>
      <c r="E851" s="2"/>
      <c r="F851" s="2"/>
      <c r="G851" s="2"/>
      <c r="H851" s="2"/>
      <c r="I851" s="74"/>
      <c r="J851" s="74"/>
      <c r="K851" s="74"/>
      <c r="L851" s="74"/>
      <c r="M851" s="2"/>
      <c r="N851" s="2"/>
      <c r="O851" s="2"/>
      <c r="P851" s="74"/>
      <c r="Q851" s="2"/>
      <c r="R851" s="2"/>
      <c r="S851" s="76"/>
      <c r="T851" s="2"/>
    </row>
    <row r="852" ht="15.75" customHeight="1">
      <c r="A852" s="2"/>
      <c r="B852" s="2"/>
      <c r="C852" s="2"/>
      <c r="D852" s="2"/>
      <c r="E852" s="2"/>
      <c r="F852" s="2"/>
      <c r="G852" s="2"/>
      <c r="H852" s="2"/>
      <c r="I852" s="74"/>
      <c r="J852" s="74"/>
      <c r="K852" s="74"/>
      <c r="L852" s="74"/>
      <c r="M852" s="2"/>
      <c r="N852" s="2"/>
      <c r="O852" s="2"/>
      <c r="P852" s="74"/>
      <c r="Q852" s="2"/>
      <c r="R852" s="2"/>
      <c r="S852" s="76"/>
      <c r="T852" s="2"/>
    </row>
    <row r="853" ht="15.75" customHeight="1">
      <c r="A853" s="2"/>
      <c r="B853" s="2"/>
      <c r="C853" s="2"/>
      <c r="D853" s="2"/>
      <c r="E853" s="2"/>
      <c r="F853" s="2"/>
      <c r="G853" s="2"/>
      <c r="H853" s="2"/>
      <c r="I853" s="74"/>
      <c r="J853" s="74"/>
      <c r="K853" s="74"/>
      <c r="L853" s="74"/>
      <c r="M853" s="2"/>
      <c r="N853" s="2"/>
      <c r="O853" s="2"/>
      <c r="P853" s="74"/>
      <c r="Q853" s="2"/>
      <c r="R853" s="2"/>
      <c r="S853" s="76"/>
      <c r="T853" s="2"/>
    </row>
    <row r="854" ht="15.75" customHeight="1">
      <c r="A854" s="2"/>
      <c r="B854" s="2"/>
      <c r="C854" s="2"/>
      <c r="D854" s="2"/>
      <c r="E854" s="2"/>
      <c r="F854" s="2"/>
      <c r="G854" s="2"/>
      <c r="H854" s="2"/>
      <c r="I854" s="74"/>
      <c r="J854" s="74"/>
      <c r="K854" s="74"/>
      <c r="L854" s="74"/>
      <c r="M854" s="2"/>
      <c r="N854" s="2"/>
      <c r="O854" s="2"/>
      <c r="P854" s="74"/>
      <c r="Q854" s="2"/>
      <c r="R854" s="2"/>
      <c r="S854" s="76"/>
      <c r="T854" s="2"/>
    </row>
    <row r="855" ht="15.75" customHeight="1">
      <c r="A855" s="2"/>
      <c r="B855" s="2"/>
      <c r="C855" s="2"/>
      <c r="D855" s="2"/>
      <c r="E855" s="2"/>
      <c r="F855" s="2"/>
      <c r="G855" s="2"/>
      <c r="H855" s="2"/>
      <c r="I855" s="74"/>
      <c r="J855" s="74"/>
      <c r="K855" s="74"/>
      <c r="L855" s="74"/>
      <c r="M855" s="2"/>
      <c r="N855" s="2"/>
      <c r="O855" s="2"/>
      <c r="P855" s="74"/>
      <c r="Q855" s="2"/>
      <c r="R855" s="2"/>
      <c r="S855" s="76"/>
      <c r="T855" s="2"/>
    </row>
    <row r="856" ht="15.75" customHeight="1">
      <c r="A856" s="2"/>
      <c r="B856" s="2"/>
      <c r="C856" s="2"/>
      <c r="D856" s="2"/>
      <c r="E856" s="2"/>
      <c r="F856" s="2"/>
      <c r="G856" s="2"/>
      <c r="H856" s="2"/>
      <c r="I856" s="74"/>
      <c r="J856" s="74"/>
      <c r="K856" s="74"/>
      <c r="L856" s="74"/>
      <c r="M856" s="2"/>
      <c r="N856" s="2"/>
      <c r="O856" s="2"/>
      <c r="P856" s="74"/>
      <c r="Q856" s="2"/>
      <c r="R856" s="2"/>
      <c r="S856" s="76"/>
      <c r="T856" s="2"/>
    </row>
    <row r="857" ht="15.75" customHeight="1">
      <c r="A857" s="2"/>
      <c r="B857" s="2"/>
      <c r="C857" s="2"/>
      <c r="D857" s="2"/>
      <c r="E857" s="2"/>
      <c r="F857" s="2"/>
      <c r="G857" s="2"/>
      <c r="H857" s="2"/>
      <c r="I857" s="74"/>
      <c r="J857" s="74"/>
      <c r="K857" s="74"/>
      <c r="L857" s="74"/>
      <c r="M857" s="2"/>
      <c r="N857" s="2"/>
      <c r="O857" s="2"/>
      <c r="P857" s="74"/>
      <c r="Q857" s="2"/>
      <c r="R857" s="2"/>
      <c r="S857" s="76"/>
      <c r="T857" s="2"/>
    </row>
    <row r="858" ht="15.75" customHeight="1">
      <c r="A858" s="2"/>
      <c r="B858" s="2"/>
      <c r="C858" s="2"/>
      <c r="D858" s="2"/>
      <c r="E858" s="2"/>
      <c r="F858" s="2"/>
      <c r="G858" s="2"/>
      <c r="H858" s="2"/>
      <c r="I858" s="74"/>
      <c r="J858" s="74"/>
      <c r="K858" s="74"/>
      <c r="L858" s="74"/>
      <c r="M858" s="2"/>
      <c r="N858" s="2"/>
      <c r="O858" s="2"/>
      <c r="P858" s="74"/>
      <c r="Q858" s="2"/>
      <c r="R858" s="2"/>
      <c r="S858" s="76"/>
      <c r="T858" s="2"/>
    </row>
    <row r="859" ht="15.75" customHeight="1">
      <c r="A859" s="2"/>
      <c r="B859" s="2"/>
      <c r="C859" s="2"/>
      <c r="D859" s="2"/>
      <c r="E859" s="2"/>
      <c r="F859" s="2"/>
      <c r="G859" s="2"/>
      <c r="H859" s="2"/>
      <c r="I859" s="74"/>
      <c r="J859" s="74"/>
      <c r="K859" s="74"/>
      <c r="L859" s="74"/>
      <c r="M859" s="2"/>
      <c r="N859" s="2"/>
      <c r="O859" s="2"/>
      <c r="P859" s="74"/>
      <c r="Q859" s="2"/>
      <c r="R859" s="2"/>
      <c r="S859" s="76"/>
      <c r="T859" s="2"/>
    </row>
    <row r="860" ht="15.75" customHeight="1">
      <c r="A860" s="2"/>
      <c r="B860" s="2"/>
      <c r="C860" s="2"/>
      <c r="D860" s="2"/>
      <c r="E860" s="2"/>
      <c r="F860" s="2"/>
      <c r="G860" s="2"/>
      <c r="H860" s="2"/>
      <c r="I860" s="74"/>
      <c r="J860" s="74"/>
      <c r="K860" s="74"/>
      <c r="L860" s="74"/>
      <c r="M860" s="2"/>
      <c r="N860" s="2"/>
      <c r="O860" s="2"/>
      <c r="P860" s="74"/>
      <c r="Q860" s="2"/>
      <c r="R860" s="2"/>
      <c r="S860" s="76"/>
      <c r="T860" s="2"/>
    </row>
    <row r="861" ht="15.75" customHeight="1">
      <c r="A861" s="2"/>
      <c r="B861" s="2"/>
      <c r="C861" s="2"/>
      <c r="D861" s="2"/>
      <c r="E861" s="2"/>
      <c r="F861" s="2"/>
      <c r="G861" s="2"/>
      <c r="H861" s="2"/>
      <c r="I861" s="74"/>
      <c r="J861" s="74"/>
      <c r="K861" s="74"/>
      <c r="L861" s="74"/>
      <c r="M861" s="2"/>
      <c r="N861" s="2"/>
      <c r="O861" s="2"/>
      <c r="P861" s="74"/>
      <c r="Q861" s="2"/>
      <c r="R861" s="2"/>
      <c r="S861" s="76"/>
      <c r="T861" s="2"/>
    </row>
    <row r="862" ht="15.75" customHeight="1">
      <c r="A862" s="2"/>
      <c r="B862" s="2"/>
      <c r="C862" s="2"/>
      <c r="D862" s="2"/>
      <c r="E862" s="2"/>
      <c r="F862" s="2"/>
      <c r="G862" s="2"/>
      <c r="H862" s="2"/>
      <c r="I862" s="74"/>
      <c r="J862" s="74"/>
      <c r="K862" s="74"/>
      <c r="L862" s="74"/>
      <c r="M862" s="2"/>
      <c r="N862" s="2"/>
      <c r="O862" s="2"/>
      <c r="P862" s="74"/>
      <c r="Q862" s="2"/>
      <c r="R862" s="2"/>
      <c r="S862" s="76"/>
      <c r="T862" s="2"/>
    </row>
    <row r="863" ht="15.75" customHeight="1">
      <c r="A863" s="2"/>
      <c r="B863" s="2"/>
      <c r="C863" s="2"/>
      <c r="D863" s="2"/>
      <c r="E863" s="2"/>
      <c r="F863" s="2"/>
      <c r="G863" s="2"/>
      <c r="H863" s="2"/>
      <c r="I863" s="74"/>
      <c r="J863" s="74"/>
      <c r="K863" s="74"/>
      <c r="L863" s="74"/>
      <c r="M863" s="2"/>
      <c r="N863" s="2"/>
      <c r="O863" s="2"/>
      <c r="P863" s="74"/>
      <c r="Q863" s="2"/>
      <c r="R863" s="2"/>
      <c r="S863" s="76"/>
      <c r="T863" s="2"/>
    </row>
    <row r="864" ht="15.75" customHeight="1">
      <c r="A864" s="2"/>
      <c r="B864" s="2"/>
      <c r="C864" s="2"/>
      <c r="D864" s="2"/>
      <c r="E864" s="2"/>
      <c r="F864" s="2"/>
      <c r="G864" s="2"/>
      <c r="H864" s="2"/>
      <c r="I864" s="74"/>
      <c r="J864" s="74"/>
      <c r="K864" s="74"/>
      <c r="L864" s="74"/>
      <c r="M864" s="2"/>
      <c r="N864" s="2"/>
      <c r="O864" s="2"/>
      <c r="P864" s="74"/>
      <c r="Q864" s="2"/>
      <c r="R864" s="2"/>
      <c r="S864" s="76"/>
      <c r="T864" s="2"/>
    </row>
    <row r="865" ht="15.75" customHeight="1">
      <c r="A865" s="2"/>
      <c r="B865" s="2"/>
      <c r="C865" s="2"/>
      <c r="D865" s="2"/>
      <c r="E865" s="2"/>
      <c r="F865" s="2"/>
      <c r="G865" s="2"/>
      <c r="H865" s="2"/>
      <c r="I865" s="74"/>
      <c r="J865" s="74"/>
      <c r="K865" s="74"/>
      <c r="L865" s="74"/>
      <c r="M865" s="2"/>
      <c r="N865" s="2"/>
      <c r="O865" s="2"/>
      <c r="P865" s="74"/>
      <c r="Q865" s="2"/>
      <c r="R865" s="2"/>
      <c r="S865" s="76"/>
      <c r="T865" s="2"/>
    </row>
    <row r="866" ht="15.75" customHeight="1">
      <c r="A866" s="2"/>
      <c r="B866" s="2"/>
      <c r="C866" s="2"/>
      <c r="D866" s="2"/>
      <c r="E866" s="2"/>
      <c r="F866" s="2"/>
      <c r="G866" s="2"/>
      <c r="H866" s="2"/>
      <c r="I866" s="74"/>
      <c r="J866" s="74"/>
      <c r="K866" s="74"/>
      <c r="L866" s="74"/>
      <c r="M866" s="2"/>
      <c r="N866" s="2"/>
      <c r="O866" s="2"/>
      <c r="P866" s="74"/>
      <c r="Q866" s="2"/>
      <c r="R866" s="2"/>
      <c r="S866" s="76"/>
      <c r="T866" s="2"/>
    </row>
    <row r="867" ht="15.75" customHeight="1">
      <c r="A867" s="2"/>
      <c r="B867" s="2"/>
      <c r="C867" s="2"/>
      <c r="D867" s="2"/>
      <c r="E867" s="2"/>
      <c r="F867" s="2"/>
      <c r="G867" s="2"/>
      <c r="H867" s="2"/>
      <c r="I867" s="74"/>
      <c r="J867" s="74"/>
      <c r="K867" s="74"/>
      <c r="L867" s="74"/>
      <c r="M867" s="2"/>
      <c r="N867" s="2"/>
      <c r="O867" s="2"/>
      <c r="P867" s="74"/>
      <c r="Q867" s="2"/>
      <c r="R867" s="2"/>
      <c r="S867" s="76"/>
      <c r="T867" s="2"/>
    </row>
    <row r="868" ht="15.75" customHeight="1">
      <c r="A868" s="2"/>
      <c r="B868" s="2"/>
      <c r="C868" s="2"/>
      <c r="D868" s="2"/>
      <c r="E868" s="2"/>
      <c r="F868" s="2"/>
      <c r="G868" s="2"/>
      <c r="H868" s="2"/>
      <c r="I868" s="74"/>
      <c r="J868" s="74"/>
      <c r="K868" s="74"/>
      <c r="L868" s="74"/>
      <c r="M868" s="2"/>
      <c r="N868" s="2"/>
      <c r="O868" s="2"/>
      <c r="P868" s="74"/>
      <c r="Q868" s="2"/>
      <c r="R868" s="2"/>
      <c r="S868" s="76"/>
      <c r="T868" s="2"/>
    </row>
    <row r="869" ht="15.75" customHeight="1">
      <c r="A869" s="2"/>
      <c r="B869" s="2"/>
      <c r="C869" s="2"/>
      <c r="D869" s="2"/>
      <c r="E869" s="2"/>
      <c r="F869" s="2"/>
      <c r="G869" s="2"/>
      <c r="H869" s="2"/>
      <c r="I869" s="74"/>
      <c r="J869" s="74"/>
      <c r="K869" s="74"/>
      <c r="L869" s="74"/>
      <c r="M869" s="2"/>
      <c r="N869" s="2"/>
      <c r="O869" s="2"/>
      <c r="P869" s="74"/>
      <c r="Q869" s="2"/>
      <c r="R869" s="2"/>
      <c r="S869" s="76"/>
      <c r="T869" s="2"/>
    </row>
    <row r="870" ht="15.75" customHeight="1">
      <c r="A870" s="2"/>
      <c r="B870" s="2"/>
      <c r="C870" s="2"/>
      <c r="D870" s="2"/>
      <c r="E870" s="2"/>
      <c r="F870" s="2"/>
      <c r="G870" s="2"/>
      <c r="H870" s="2"/>
      <c r="I870" s="74"/>
      <c r="J870" s="74"/>
      <c r="K870" s="74"/>
      <c r="L870" s="74"/>
      <c r="M870" s="2"/>
      <c r="N870" s="2"/>
      <c r="O870" s="2"/>
      <c r="P870" s="74"/>
      <c r="Q870" s="2"/>
      <c r="R870" s="2"/>
      <c r="S870" s="76"/>
      <c r="T870" s="2"/>
    </row>
    <row r="871" ht="15.75" customHeight="1">
      <c r="A871" s="2"/>
      <c r="B871" s="2"/>
      <c r="C871" s="2"/>
      <c r="D871" s="2"/>
      <c r="E871" s="2"/>
      <c r="F871" s="2"/>
      <c r="G871" s="2"/>
      <c r="H871" s="2"/>
      <c r="I871" s="74"/>
      <c r="J871" s="74"/>
      <c r="K871" s="74"/>
      <c r="L871" s="74"/>
      <c r="M871" s="2"/>
      <c r="N871" s="2"/>
      <c r="O871" s="2"/>
      <c r="P871" s="74"/>
      <c r="Q871" s="2"/>
      <c r="R871" s="2"/>
      <c r="S871" s="76"/>
      <c r="T871" s="2"/>
    </row>
    <row r="872" ht="15.75" customHeight="1">
      <c r="A872" s="2"/>
      <c r="B872" s="2"/>
      <c r="C872" s="2"/>
      <c r="D872" s="2"/>
      <c r="E872" s="2"/>
      <c r="F872" s="2"/>
      <c r="G872" s="2"/>
      <c r="H872" s="2"/>
      <c r="I872" s="74"/>
      <c r="J872" s="74"/>
      <c r="K872" s="74"/>
      <c r="L872" s="74"/>
      <c r="M872" s="2"/>
      <c r="N872" s="2"/>
      <c r="O872" s="2"/>
      <c r="P872" s="74"/>
      <c r="Q872" s="2"/>
      <c r="R872" s="2"/>
      <c r="S872" s="76"/>
      <c r="T872" s="2"/>
    </row>
    <row r="873" ht="15.75" customHeight="1">
      <c r="A873" s="2"/>
      <c r="B873" s="2"/>
      <c r="C873" s="2"/>
      <c r="D873" s="2"/>
      <c r="E873" s="2"/>
      <c r="F873" s="2"/>
      <c r="G873" s="2"/>
      <c r="H873" s="2"/>
      <c r="I873" s="74"/>
      <c r="J873" s="74"/>
      <c r="K873" s="74"/>
      <c r="L873" s="74"/>
      <c r="M873" s="2"/>
      <c r="N873" s="2"/>
      <c r="O873" s="2"/>
      <c r="P873" s="74"/>
      <c r="Q873" s="2"/>
      <c r="R873" s="2"/>
      <c r="S873" s="76"/>
      <c r="T873" s="2"/>
    </row>
    <row r="874" ht="15.75" customHeight="1">
      <c r="A874" s="2"/>
      <c r="B874" s="2"/>
      <c r="C874" s="2"/>
      <c r="D874" s="2"/>
      <c r="E874" s="2"/>
      <c r="F874" s="2"/>
      <c r="G874" s="2"/>
      <c r="H874" s="2"/>
      <c r="I874" s="74"/>
      <c r="J874" s="74"/>
      <c r="K874" s="74"/>
      <c r="L874" s="74"/>
      <c r="M874" s="2"/>
      <c r="N874" s="2"/>
      <c r="O874" s="2"/>
      <c r="P874" s="74"/>
      <c r="Q874" s="2"/>
      <c r="R874" s="2"/>
      <c r="S874" s="76"/>
      <c r="T874" s="2"/>
    </row>
    <row r="875" ht="15.75" customHeight="1">
      <c r="A875" s="2"/>
      <c r="B875" s="2"/>
      <c r="C875" s="2"/>
      <c r="D875" s="2"/>
      <c r="E875" s="2"/>
      <c r="F875" s="2"/>
      <c r="G875" s="2"/>
      <c r="H875" s="2"/>
      <c r="I875" s="74"/>
      <c r="J875" s="74"/>
      <c r="K875" s="74"/>
      <c r="L875" s="74"/>
      <c r="M875" s="2"/>
      <c r="N875" s="2"/>
      <c r="O875" s="2"/>
      <c r="P875" s="74"/>
      <c r="Q875" s="2"/>
      <c r="R875" s="2"/>
      <c r="S875" s="76"/>
      <c r="T875" s="2"/>
    </row>
    <row r="876" ht="15.75" customHeight="1">
      <c r="A876" s="2"/>
      <c r="B876" s="2"/>
      <c r="C876" s="2"/>
      <c r="D876" s="2"/>
      <c r="E876" s="2"/>
      <c r="F876" s="2"/>
      <c r="G876" s="2"/>
      <c r="H876" s="2"/>
      <c r="I876" s="74"/>
      <c r="J876" s="74"/>
      <c r="K876" s="74"/>
      <c r="L876" s="74"/>
      <c r="M876" s="2"/>
      <c r="N876" s="2"/>
      <c r="O876" s="2"/>
      <c r="P876" s="74"/>
      <c r="Q876" s="2"/>
      <c r="R876" s="2"/>
      <c r="S876" s="76"/>
      <c r="T876" s="2"/>
    </row>
    <row r="877" ht="15.75" customHeight="1">
      <c r="A877" s="2"/>
      <c r="B877" s="2"/>
      <c r="C877" s="2"/>
      <c r="D877" s="2"/>
      <c r="E877" s="2"/>
      <c r="F877" s="2"/>
      <c r="G877" s="2"/>
      <c r="H877" s="2"/>
      <c r="I877" s="74"/>
      <c r="J877" s="74"/>
      <c r="K877" s="74"/>
      <c r="L877" s="74"/>
      <c r="M877" s="2"/>
      <c r="N877" s="2"/>
      <c r="O877" s="2"/>
      <c r="P877" s="74"/>
      <c r="Q877" s="2"/>
      <c r="R877" s="2"/>
      <c r="S877" s="76"/>
      <c r="T877" s="2"/>
    </row>
    <row r="878" ht="15.75" customHeight="1">
      <c r="A878" s="2"/>
      <c r="B878" s="2"/>
      <c r="C878" s="2"/>
      <c r="D878" s="2"/>
      <c r="E878" s="2"/>
      <c r="F878" s="2"/>
      <c r="G878" s="2"/>
      <c r="H878" s="2"/>
      <c r="I878" s="74"/>
      <c r="J878" s="74"/>
      <c r="K878" s="74"/>
      <c r="L878" s="74"/>
      <c r="M878" s="2"/>
      <c r="N878" s="2"/>
      <c r="O878" s="2"/>
      <c r="P878" s="74"/>
      <c r="Q878" s="2"/>
      <c r="R878" s="2"/>
      <c r="S878" s="76"/>
      <c r="T878" s="2"/>
    </row>
    <row r="879" ht="15.75" customHeight="1">
      <c r="A879" s="2"/>
      <c r="B879" s="2"/>
      <c r="C879" s="2"/>
      <c r="D879" s="2"/>
      <c r="E879" s="2"/>
      <c r="F879" s="2"/>
      <c r="G879" s="2"/>
      <c r="H879" s="2"/>
      <c r="I879" s="74"/>
      <c r="J879" s="74"/>
      <c r="K879" s="74"/>
      <c r="L879" s="74"/>
      <c r="M879" s="2"/>
      <c r="N879" s="2"/>
      <c r="O879" s="2"/>
      <c r="P879" s="74"/>
      <c r="Q879" s="2"/>
      <c r="R879" s="2"/>
      <c r="S879" s="76"/>
      <c r="T879" s="2"/>
    </row>
    <row r="880" ht="15.75" customHeight="1">
      <c r="A880" s="2"/>
      <c r="B880" s="2"/>
      <c r="C880" s="2"/>
      <c r="D880" s="2"/>
      <c r="E880" s="2"/>
      <c r="F880" s="2"/>
      <c r="G880" s="2"/>
      <c r="H880" s="2"/>
      <c r="I880" s="74"/>
      <c r="J880" s="74"/>
      <c r="K880" s="74"/>
      <c r="L880" s="74"/>
      <c r="M880" s="2"/>
      <c r="N880" s="2"/>
      <c r="O880" s="2"/>
      <c r="P880" s="74"/>
      <c r="Q880" s="2"/>
      <c r="R880" s="2"/>
      <c r="S880" s="76"/>
      <c r="T880" s="2"/>
    </row>
    <row r="881" ht="15.75" customHeight="1">
      <c r="A881" s="2"/>
      <c r="B881" s="2"/>
      <c r="C881" s="2"/>
      <c r="D881" s="2"/>
      <c r="E881" s="2"/>
      <c r="F881" s="2"/>
      <c r="G881" s="2"/>
      <c r="H881" s="2"/>
      <c r="I881" s="74"/>
      <c r="J881" s="74"/>
      <c r="K881" s="74"/>
      <c r="L881" s="74"/>
      <c r="M881" s="2"/>
      <c r="N881" s="2"/>
      <c r="O881" s="2"/>
      <c r="P881" s="74"/>
      <c r="Q881" s="2"/>
      <c r="R881" s="2"/>
      <c r="S881" s="76"/>
      <c r="T881" s="2"/>
    </row>
    <row r="882" ht="15.75" customHeight="1">
      <c r="A882" s="2"/>
      <c r="B882" s="2"/>
      <c r="C882" s="2"/>
      <c r="D882" s="2"/>
      <c r="E882" s="2"/>
      <c r="F882" s="2"/>
      <c r="G882" s="2"/>
      <c r="H882" s="2"/>
      <c r="I882" s="74"/>
      <c r="J882" s="74"/>
      <c r="K882" s="74"/>
      <c r="L882" s="74"/>
      <c r="M882" s="2"/>
      <c r="N882" s="2"/>
      <c r="O882" s="2"/>
      <c r="P882" s="74"/>
      <c r="Q882" s="2"/>
      <c r="R882" s="2"/>
      <c r="S882" s="76"/>
      <c r="T882" s="2"/>
    </row>
    <row r="883" ht="15.75" customHeight="1">
      <c r="A883" s="2"/>
      <c r="B883" s="2"/>
      <c r="C883" s="2"/>
      <c r="D883" s="2"/>
      <c r="E883" s="2"/>
      <c r="F883" s="2"/>
      <c r="G883" s="2"/>
      <c r="H883" s="2"/>
      <c r="I883" s="74"/>
      <c r="J883" s="74"/>
      <c r="K883" s="74"/>
      <c r="L883" s="74"/>
      <c r="M883" s="2"/>
      <c r="N883" s="2"/>
      <c r="O883" s="2"/>
      <c r="P883" s="74"/>
      <c r="Q883" s="2"/>
      <c r="R883" s="2"/>
      <c r="S883" s="76"/>
      <c r="T883" s="2"/>
    </row>
    <row r="884" ht="15.75" customHeight="1">
      <c r="A884" s="2"/>
      <c r="B884" s="2"/>
      <c r="C884" s="2"/>
      <c r="D884" s="2"/>
      <c r="E884" s="2"/>
      <c r="F884" s="2"/>
      <c r="G884" s="2"/>
      <c r="H884" s="2"/>
      <c r="I884" s="74"/>
      <c r="J884" s="74"/>
      <c r="K884" s="74"/>
      <c r="L884" s="74"/>
      <c r="M884" s="2"/>
      <c r="N884" s="2"/>
      <c r="O884" s="2"/>
      <c r="P884" s="74"/>
      <c r="Q884" s="2"/>
      <c r="R884" s="2"/>
      <c r="S884" s="76"/>
      <c r="T884" s="2"/>
    </row>
    <row r="885" ht="15.75" customHeight="1">
      <c r="A885" s="2"/>
      <c r="B885" s="2"/>
      <c r="C885" s="2"/>
      <c r="D885" s="2"/>
      <c r="E885" s="2"/>
      <c r="F885" s="2"/>
      <c r="G885" s="2"/>
      <c r="H885" s="2"/>
      <c r="I885" s="74"/>
      <c r="J885" s="74"/>
      <c r="K885" s="74"/>
      <c r="L885" s="74"/>
      <c r="M885" s="2"/>
      <c r="N885" s="2"/>
      <c r="O885" s="2"/>
      <c r="P885" s="74"/>
      <c r="Q885" s="2"/>
      <c r="R885" s="2"/>
      <c r="S885" s="76"/>
      <c r="T885" s="2"/>
    </row>
    <row r="886" ht="15.75" customHeight="1">
      <c r="A886" s="2"/>
      <c r="B886" s="2"/>
      <c r="C886" s="2"/>
      <c r="D886" s="2"/>
      <c r="E886" s="2"/>
      <c r="F886" s="2"/>
      <c r="G886" s="2"/>
      <c r="H886" s="2"/>
      <c r="I886" s="74"/>
      <c r="J886" s="74"/>
      <c r="K886" s="74"/>
      <c r="L886" s="74"/>
      <c r="M886" s="2"/>
      <c r="N886" s="2"/>
      <c r="O886" s="2"/>
      <c r="P886" s="74"/>
      <c r="Q886" s="2"/>
      <c r="R886" s="2"/>
      <c r="S886" s="76"/>
      <c r="T886" s="2"/>
    </row>
    <row r="887" ht="15.75" customHeight="1">
      <c r="A887" s="2"/>
      <c r="B887" s="2"/>
      <c r="C887" s="2"/>
      <c r="D887" s="2"/>
      <c r="E887" s="2"/>
      <c r="F887" s="2"/>
      <c r="G887" s="2"/>
      <c r="H887" s="2"/>
      <c r="I887" s="74"/>
      <c r="J887" s="74"/>
      <c r="K887" s="74"/>
      <c r="L887" s="74"/>
      <c r="M887" s="2"/>
      <c r="N887" s="2"/>
      <c r="O887" s="2"/>
      <c r="P887" s="74"/>
      <c r="Q887" s="2"/>
      <c r="R887" s="2"/>
      <c r="S887" s="76"/>
      <c r="T887" s="2"/>
    </row>
    <row r="888" ht="15.75" customHeight="1">
      <c r="A888" s="2"/>
      <c r="B888" s="2"/>
      <c r="C888" s="2"/>
      <c r="D888" s="2"/>
      <c r="E888" s="2"/>
      <c r="F888" s="2"/>
      <c r="G888" s="2"/>
      <c r="H888" s="2"/>
      <c r="I888" s="74"/>
      <c r="J888" s="74"/>
      <c r="K888" s="74"/>
      <c r="L888" s="74"/>
      <c r="M888" s="2"/>
      <c r="N888" s="2"/>
      <c r="O888" s="2"/>
      <c r="P888" s="74"/>
      <c r="Q888" s="2"/>
      <c r="R888" s="2"/>
      <c r="S888" s="76"/>
      <c r="T888" s="2"/>
    </row>
    <row r="889" ht="15.75" customHeight="1">
      <c r="A889" s="2"/>
      <c r="B889" s="2"/>
      <c r="C889" s="2"/>
      <c r="D889" s="2"/>
      <c r="E889" s="2"/>
      <c r="F889" s="2"/>
      <c r="G889" s="2"/>
      <c r="H889" s="2"/>
      <c r="I889" s="74"/>
      <c r="J889" s="74"/>
      <c r="K889" s="74"/>
      <c r="L889" s="74"/>
      <c r="M889" s="2"/>
      <c r="N889" s="2"/>
      <c r="O889" s="2"/>
      <c r="P889" s="74"/>
      <c r="Q889" s="2"/>
      <c r="R889" s="2"/>
      <c r="S889" s="76"/>
      <c r="T889" s="2"/>
    </row>
    <row r="890" ht="15.75" customHeight="1">
      <c r="A890" s="2"/>
      <c r="B890" s="2"/>
      <c r="C890" s="2"/>
      <c r="D890" s="2"/>
      <c r="E890" s="2"/>
      <c r="F890" s="2"/>
      <c r="G890" s="2"/>
      <c r="H890" s="2"/>
      <c r="I890" s="74"/>
      <c r="J890" s="74"/>
      <c r="K890" s="74"/>
      <c r="L890" s="74"/>
      <c r="M890" s="2"/>
      <c r="N890" s="2"/>
      <c r="O890" s="2"/>
      <c r="P890" s="74"/>
      <c r="Q890" s="2"/>
      <c r="R890" s="2"/>
      <c r="S890" s="76"/>
      <c r="T890" s="2"/>
    </row>
    <row r="891" ht="15.75" customHeight="1">
      <c r="A891" s="2"/>
      <c r="B891" s="2"/>
      <c r="C891" s="2"/>
      <c r="D891" s="2"/>
      <c r="E891" s="2"/>
      <c r="F891" s="2"/>
      <c r="G891" s="2"/>
      <c r="H891" s="2"/>
      <c r="I891" s="74"/>
      <c r="J891" s="74"/>
      <c r="K891" s="74"/>
      <c r="L891" s="74"/>
      <c r="M891" s="2"/>
      <c r="N891" s="2"/>
      <c r="O891" s="2"/>
      <c r="P891" s="74"/>
      <c r="Q891" s="2"/>
      <c r="R891" s="2"/>
      <c r="S891" s="76"/>
      <c r="T891" s="2"/>
    </row>
    <row r="892" ht="15.75" customHeight="1">
      <c r="A892" s="2"/>
      <c r="B892" s="2"/>
      <c r="C892" s="2"/>
      <c r="D892" s="2"/>
      <c r="E892" s="2"/>
      <c r="F892" s="2"/>
      <c r="G892" s="2"/>
      <c r="H892" s="2"/>
      <c r="I892" s="74"/>
      <c r="J892" s="74"/>
      <c r="K892" s="74"/>
      <c r="L892" s="74"/>
      <c r="M892" s="2"/>
      <c r="N892" s="2"/>
      <c r="O892" s="2"/>
      <c r="P892" s="74"/>
      <c r="Q892" s="2"/>
      <c r="R892" s="2"/>
      <c r="S892" s="76"/>
      <c r="T892" s="2"/>
    </row>
    <row r="893" ht="15.75" customHeight="1">
      <c r="A893" s="2"/>
      <c r="B893" s="2"/>
      <c r="C893" s="2"/>
      <c r="D893" s="2"/>
      <c r="E893" s="2"/>
      <c r="F893" s="2"/>
      <c r="G893" s="2"/>
      <c r="H893" s="2"/>
      <c r="I893" s="74"/>
      <c r="J893" s="74"/>
      <c r="K893" s="74"/>
      <c r="L893" s="74"/>
      <c r="M893" s="2"/>
      <c r="N893" s="2"/>
      <c r="O893" s="2"/>
      <c r="P893" s="74"/>
      <c r="Q893" s="2"/>
      <c r="R893" s="2"/>
      <c r="S893" s="76"/>
      <c r="T893" s="2"/>
    </row>
    <row r="894" ht="15.75" customHeight="1">
      <c r="A894" s="2"/>
      <c r="B894" s="2"/>
      <c r="C894" s="2"/>
      <c r="D894" s="2"/>
      <c r="E894" s="2"/>
      <c r="F894" s="2"/>
      <c r="G894" s="2"/>
      <c r="H894" s="2"/>
      <c r="I894" s="74"/>
      <c r="J894" s="74"/>
      <c r="K894" s="74"/>
      <c r="L894" s="74"/>
      <c r="M894" s="2"/>
      <c r="N894" s="2"/>
      <c r="O894" s="2"/>
      <c r="P894" s="74"/>
      <c r="Q894" s="2"/>
      <c r="R894" s="2"/>
      <c r="S894" s="76"/>
      <c r="T894" s="2"/>
    </row>
    <row r="895" ht="15.75" customHeight="1">
      <c r="A895" s="2"/>
      <c r="B895" s="2"/>
      <c r="C895" s="2"/>
      <c r="D895" s="2"/>
      <c r="E895" s="2"/>
      <c r="F895" s="2"/>
      <c r="G895" s="2"/>
      <c r="H895" s="2"/>
      <c r="I895" s="74"/>
      <c r="J895" s="74"/>
      <c r="K895" s="74"/>
      <c r="L895" s="74"/>
      <c r="M895" s="2"/>
      <c r="N895" s="2"/>
      <c r="O895" s="2"/>
      <c r="P895" s="74"/>
      <c r="Q895" s="2"/>
      <c r="R895" s="2"/>
      <c r="S895" s="76"/>
      <c r="T895" s="2"/>
    </row>
    <row r="896" ht="15.75" customHeight="1">
      <c r="A896" s="2"/>
      <c r="B896" s="2"/>
      <c r="C896" s="2"/>
      <c r="D896" s="2"/>
      <c r="E896" s="2"/>
      <c r="F896" s="2"/>
      <c r="G896" s="2"/>
      <c r="H896" s="2"/>
      <c r="I896" s="74"/>
      <c r="J896" s="74"/>
      <c r="K896" s="74"/>
      <c r="L896" s="74"/>
      <c r="M896" s="2"/>
      <c r="N896" s="2"/>
      <c r="O896" s="2"/>
      <c r="P896" s="74"/>
      <c r="Q896" s="2"/>
      <c r="R896" s="2"/>
      <c r="S896" s="76"/>
      <c r="T896" s="2"/>
    </row>
    <row r="897" ht="15.75" customHeight="1">
      <c r="A897" s="2"/>
      <c r="B897" s="2"/>
      <c r="C897" s="2"/>
      <c r="D897" s="2"/>
      <c r="E897" s="2"/>
      <c r="F897" s="2"/>
      <c r="G897" s="2"/>
      <c r="H897" s="2"/>
      <c r="I897" s="74"/>
      <c r="J897" s="74"/>
      <c r="K897" s="74"/>
      <c r="L897" s="74"/>
      <c r="M897" s="2"/>
      <c r="N897" s="2"/>
      <c r="O897" s="2"/>
      <c r="P897" s="74"/>
      <c r="Q897" s="2"/>
      <c r="R897" s="2"/>
      <c r="S897" s="76"/>
      <c r="T897" s="2"/>
    </row>
    <row r="898" ht="15.75" customHeight="1">
      <c r="A898" s="2"/>
      <c r="B898" s="2"/>
      <c r="C898" s="2"/>
      <c r="D898" s="2"/>
      <c r="E898" s="2"/>
      <c r="F898" s="2"/>
      <c r="G898" s="2"/>
      <c r="H898" s="2"/>
      <c r="I898" s="74"/>
      <c r="J898" s="74"/>
      <c r="K898" s="74"/>
      <c r="L898" s="74"/>
      <c r="M898" s="2"/>
      <c r="N898" s="2"/>
      <c r="O898" s="2"/>
      <c r="P898" s="74"/>
      <c r="Q898" s="2"/>
      <c r="R898" s="2"/>
      <c r="S898" s="76"/>
      <c r="T898" s="2"/>
    </row>
    <row r="899" ht="15.75" customHeight="1">
      <c r="A899" s="2"/>
      <c r="B899" s="2"/>
      <c r="C899" s="2"/>
      <c r="D899" s="2"/>
      <c r="E899" s="2"/>
      <c r="F899" s="2"/>
      <c r="G899" s="2"/>
      <c r="H899" s="2"/>
      <c r="I899" s="74"/>
      <c r="J899" s="74"/>
      <c r="K899" s="74"/>
      <c r="L899" s="74"/>
      <c r="M899" s="2"/>
      <c r="N899" s="2"/>
      <c r="O899" s="2"/>
      <c r="P899" s="74"/>
      <c r="Q899" s="2"/>
      <c r="R899" s="2"/>
      <c r="S899" s="76"/>
      <c r="T899" s="2"/>
    </row>
    <row r="900" ht="15.75" customHeight="1">
      <c r="A900" s="2"/>
      <c r="B900" s="2"/>
      <c r="C900" s="2"/>
      <c r="D900" s="2"/>
      <c r="E900" s="2"/>
      <c r="F900" s="2"/>
      <c r="G900" s="2"/>
      <c r="H900" s="2"/>
      <c r="I900" s="74"/>
      <c r="J900" s="74"/>
      <c r="K900" s="74"/>
      <c r="L900" s="74"/>
      <c r="M900" s="2"/>
      <c r="N900" s="2"/>
      <c r="O900" s="2"/>
      <c r="P900" s="74"/>
      <c r="Q900" s="2"/>
      <c r="R900" s="2"/>
      <c r="S900" s="76"/>
      <c r="T900" s="2"/>
    </row>
    <row r="901" ht="15.75" customHeight="1">
      <c r="A901" s="2"/>
      <c r="B901" s="2"/>
      <c r="C901" s="2"/>
      <c r="D901" s="2"/>
      <c r="E901" s="2"/>
      <c r="F901" s="2"/>
      <c r="G901" s="2"/>
      <c r="H901" s="2"/>
      <c r="I901" s="74"/>
      <c r="J901" s="74"/>
      <c r="K901" s="74"/>
      <c r="L901" s="74"/>
      <c r="M901" s="2"/>
      <c r="N901" s="2"/>
      <c r="O901" s="2"/>
      <c r="P901" s="74"/>
      <c r="Q901" s="2"/>
      <c r="R901" s="2"/>
      <c r="S901" s="76"/>
      <c r="T901" s="2"/>
    </row>
    <row r="902" ht="15.75" customHeight="1">
      <c r="A902" s="2"/>
      <c r="B902" s="2"/>
      <c r="C902" s="2"/>
      <c r="D902" s="2"/>
      <c r="E902" s="2"/>
      <c r="F902" s="2"/>
      <c r="G902" s="2"/>
      <c r="H902" s="2"/>
      <c r="I902" s="74"/>
      <c r="J902" s="74"/>
      <c r="K902" s="74"/>
      <c r="L902" s="74"/>
      <c r="M902" s="2"/>
      <c r="N902" s="2"/>
      <c r="O902" s="2"/>
      <c r="P902" s="74"/>
      <c r="Q902" s="2"/>
      <c r="R902" s="2"/>
      <c r="S902" s="76"/>
      <c r="T902" s="2"/>
    </row>
    <row r="903" ht="15.75" customHeight="1">
      <c r="A903" s="2"/>
      <c r="B903" s="2"/>
      <c r="C903" s="2"/>
      <c r="D903" s="2"/>
      <c r="E903" s="2"/>
      <c r="F903" s="2"/>
      <c r="G903" s="2"/>
      <c r="H903" s="2"/>
      <c r="I903" s="74"/>
      <c r="J903" s="74"/>
      <c r="K903" s="74"/>
      <c r="L903" s="74"/>
      <c r="M903" s="2"/>
      <c r="N903" s="2"/>
      <c r="O903" s="2"/>
      <c r="P903" s="74"/>
      <c r="Q903" s="2"/>
      <c r="R903" s="2"/>
      <c r="S903" s="76"/>
      <c r="T903" s="2"/>
    </row>
    <row r="904" ht="15.75" customHeight="1">
      <c r="A904" s="2"/>
      <c r="B904" s="2"/>
      <c r="C904" s="2"/>
      <c r="D904" s="2"/>
      <c r="E904" s="2"/>
      <c r="F904" s="2"/>
      <c r="G904" s="2"/>
      <c r="H904" s="2"/>
      <c r="I904" s="74"/>
      <c r="J904" s="74"/>
      <c r="K904" s="74"/>
      <c r="L904" s="74"/>
      <c r="M904" s="2"/>
      <c r="N904" s="2"/>
      <c r="O904" s="2"/>
      <c r="P904" s="74"/>
      <c r="Q904" s="2"/>
      <c r="R904" s="2"/>
      <c r="S904" s="76"/>
      <c r="T904" s="2"/>
    </row>
    <row r="905" ht="15.75" customHeight="1">
      <c r="A905" s="2"/>
      <c r="B905" s="2"/>
      <c r="C905" s="2"/>
      <c r="D905" s="2"/>
      <c r="E905" s="2"/>
      <c r="F905" s="2"/>
      <c r="G905" s="2"/>
      <c r="H905" s="2"/>
      <c r="I905" s="74"/>
      <c r="J905" s="74"/>
      <c r="K905" s="74"/>
      <c r="L905" s="74"/>
      <c r="M905" s="2"/>
      <c r="N905" s="2"/>
      <c r="O905" s="2"/>
      <c r="P905" s="74"/>
      <c r="Q905" s="2"/>
      <c r="R905" s="2"/>
      <c r="S905" s="76"/>
      <c r="T905" s="2"/>
    </row>
    <row r="906" ht="15.75" customHeight="1">
      <c r="A906" s="2"/>
      <c r="B906" s="2"/>
      <c r="C906" s="2"/>
      <c r="D906" s="2"/>
      <c r="E906" s="2"/>
      <c r="F906" s="2"/>
      <c r="G906" s="2"/>
      <c r="H906" s="2"/>
      <c r="I906" s="74"/>
      <c r="J906" s="74"/>
      <c r="K906" s="74"/>
      <c r="L906" s="74"/>
      <c r="M906" s="2"/>
      <c r="N906" s="2"/>
      <c r="O906" s="2"/>
      <c r="P906" s="74"/>
      <c r="Q906" s="2"/>
      <c r="R906" s="2"/>
      <c r="S906" s="76"/>
      <c r="T906" s="2"/>
    </row>
    <row r="907" ht="15.75" customHeight="1">
      <c r="A907" s="2"/>
      <c r="B907" s="2"/>
      <c r="C907" s="2"/>
      <c r="D907" s="2"/>
      <c r="E907" s="2"/>
      <c r="F907" s="2"/>
      <c r="G907" s="2"/>
      <c r="H907" s="2"/>
      <c r="I907" s="74"/>
      <c r="J907" s="74"/>
      <c r="K907" s="74"/>
      <c r="L907" s="74"/>
      <c r="M907" s="2"/>
      <c r="N907" s="2"/>
      <c r="O907" s="2"/>
      <c r="P907" s="74"/>
      <c r="Q907" s="2"/>
      <c r="R907" s="2"/>
      <c r="S907" s="76"/>
      <c r="T907" s="2"/>
    </row>
    <row r="908" ht="15.75" customHeight="1">
      <c r="A908" s="2"/>
      <c r="B908" s="2"/>
      <c r="C908" s="2"/>
      <c r="D908" s="2"/>
      <c r="E908" s="2"/>
      <c r="F908" s="2"/>
      <c r="G908" s="2"/>
      <c r="H908" s="2"/>
      <c r="I908" s="74"/>
      <c r="J908" s="74"/>
      <c r="K908" s="74"/>
      <c r="L908" s="74"/>
      <c r="M908" s="2"/>
      <c r="N908" s="2"/>
      <c r="O908" s="2"/>
      <c r="P908" s="74"/>
      <c r="Q908" s="2"/>
      <c r="R908" s="2"/>
      <c r="S908" s="76"/>
      <c r="T908" s="2"/>
    </row>
    <row r="909" ht="15.75" customHeight="1">
      <c r="A909" s="2"/>
      <c r="B909" s="2"/>
      <c r="C909" s="2"/>
      <c r="D909" s="2"/>
      <c r="E909" s="2"/>
      <c r="F909" s="2"/>
      <c r="G909" s="2"/>
      <c r="H909" s="2"/>
      <c r="I909" s="74"/>
      <c r="J909" s="74"/>
      <c r="K909" s="74"/>
      <c r="L909" s="74"/>
      <c r="M909" s="2"/>
      <c r="N909" s="2"/>
      <c r="O909" s="2"/>
      <c r="P909" s="74"/>
      <c r="Q909" s="2"/>
      <c r="R909" s="2"/>
      <c r="S909" s="76"/>
      <c r="T909" s="2"/>
    </row>
    <row r="910" ht="15.75" customHeight="1">
      <c r="A910" s="2"/>
      <c r="B910" s="2"/>
      <c r="C910" s="2"/>
      <c r="D910" s="2"/>
      <c r="E910" s="2"/>
      <c r="F910" s="2"/>
      <c r="G910" s="2"/>
      <c r="H910" s="2"/>
      <c r="I910" s="74"/>
      <c r="J910" s="74"/>
      <c r="K910" s="74"/>
      <c r="L910" s="74"/>
      <c r="M910" s="2"/>
      <c r="N910" s="2"/>
      <c r="O910" s="2"/>
      <c r="P910" s="74"/>
      <c r="Q910" s="2"/>
      <c r="R910" s="2"/>
      <c r="S910" s="76"/>
      <c r="T910" s="2"/>
    </row>
    <row r="911" ht="15.75" customHeight="1">
      <c r="A911" s="2"/>
      <c r="B911" s="2"/>
      <c r="C911" s="2"/>
      <c r="D911" s="2"/>
      <c r="E911" s="2"/>
      <c r="F911" s="2"/>
      <c r="G911" s="2"/>
      <c r="H911" s="2"/>
      <c r="I911" s="74"/>
      <c r="J911" s="74"/>
      <c r="K911" s="74"/>
      <c r="L911" s="74"/>
      <c r="M911" s="2"/>
      <c r="N911" s="2"/>
      <c r="O911" s="2"/>
      <c r="P911" s="74"/>
      <c r="Q911" s="2"/>
      <c r="R911" s="2"/>
      <c r="S911" s="76"/>
      <c r="T911" s="2"/>
    </row>
    <row r="912" ht="15.75" customHeight="1">
      <c r="A912" s="2"/>
      <c r="B912" s="2"/>
      <c r="C912" s="2"/>
      <c r="D912" s="2"/>
      <c r="E912" s="2"/>
      <c r="F912" s="2"/>
      <c r="G912" s="2"/>
      <c r="H912" s="2"/>
      <c r="I912" s="74"/>
      <c r="J912" s="74"/>
      <c r="K912" s="74"/>
      <c r="L912" s="74"/>
      <c r="M912" s="2"/>
      <c r="N912" s="2"/>
      <c r="O912" s="2"/>
      <c r="P912" s="74"/>
      <c r="Q912" s="2"/>
      <c r="R912" s="2"/>
      <c r="S912" s="76"/>
      <c r="T912" s="2"/>
    </row>
    <row r="913" ht="15.75" customHeight="1">
      <c r="A913" s="2"/>
      <c r="B913" s="2"/>
      <c r="C913" s="2"/>
      <c r="D913" s="2"/>
      <c r="E913" s="2"/>
      <c r="F913" s="2"/>
      <c r="G913" s="2"/>
      <c r="H913" s="2"/>
      <c r="I913" s="74"/>
      <c r="J913" s="74"/>
      <c r="K913" s="74"/>
      <c r="L913" s="74"/>
      <c r="M913" s="2"/>
      <c r="N913" s="2"/>
      <c r="O913" s="2"/>
      <c r="P913" s="74"/>
      <c r="Q913" s="2"/>
      <c r="R913" s="2"/>
      <c r="S913" s="76"/>
      <c r="T913" s="2"/>
    </row>
    <row r="914" ht="15.75" customHeight="1">
      <c r="A914" s="2"/>
      <c r="B914" s="2"/>
      <c r="C914" s="2"/>
      <c r="D914" s="2"/>
      <c r="E914" s="2"/>
      <c r="F914" s="2"/>
      <c r="G914" s="2"/>
      <c r="H914" s="2"/>
      <c r="I914" s="74"/>
      <c r="J914" s="74"/>
      <c r="K914" s="74"/>
      <c r="L914" s="74"/>
      <c r="M914" s="2"/>
      <c r="N914" s="2"/>
      <c r="O914" s="2"/>
      <c r="P914" s="74"/>
      <c r="Q914" s="2"/>
      <c r="R914" s="2"/>
      <c r="S914" s="76"/>
      <c r="T914" s="2"/>
    </row>
    <row r="915" ht="15.75" customHeight="1">
      <c r="A915" s="2"/>
      <c r="B915" s="2"/>
      <c r="C915" s="2"/>
      <c r="D915" s="2"/>
      <c r="E915" s="2"/>
      <c r="F915" s="2"/>
      <c r="G915" s="2"/>
      <c r="H915" s="2"/>
      <c r="I915" s="74"/>
      <c r="J915" s="74"/>
      <c r="K915" s="74"/>
      <c r="L915" s="74"/>
      <c r="M915" s="2"/>
      <c r="N915" s="2"/>
      <c r="O915" s="2"/>
      <c r="P915" s="74"/>
      <c r="Q915" s="2"/>
      <c r="R915" s="2"/>
      <c r="S915" s="76"/>
      <c r="T915" s="2"/>
    </row>
    <row r="916" ht="15.75" customHeight="1">
      <c r="A916" s="2"/>
      <c r="B916" s="2"/>
      <c r="C916" s="2"/>
      <c r="D916" s="2"/>
      <c r="E916" s="2"/>
      <c r="F916" s="2"/>
      <c r="G916" s="2"/>
      <c r="H916" s="2"/>
      <c r="I916" s="74"/>
      <c r="J916" s="74"/>
      <c r="K916" s="74"/>
      <c r="L916" s="74"/>
      <c r="M916" s="2"/>
      <c r="N916" s="2"/>
      <c r="O916" s="2"/>
      <c r="P916" s="74"/>
      <c r="Q916" s="2"/>
      <c r="R916" s="2"/>
      <c r="S916" s="76"/>
      <c r="T916" s="2"/>
    </row>
    <row r="917" ht="15.75" customHeight="1">
      <c r="A917" s="2"/>
      <c r="B917" s="2"/>
      <c r="C917" s="2"/>
      <c r="D917" s="2"/>
      <c r="E917" s="2"/>
      <c r="F917" s="2"/>
      <c r="G917" s="2"/>
      <c r="H917" s="2"/>
      <c r="I917" s="74"/>
      <c r="J917" s="74"/>
      <c r="K917" s="74"/>
      <c r="L917" s="74"/>
      <c r="M917" s="2"/>
      <c r="N917" s="2"/>
      <c r="O917" s="2"/>
      <c r="P917" s="74"/>
      <c r="Q917" s="2"/>
      <c r="R917" s="2"/>
      <c r="S917" s="76"/>
      <c r="T917" s="2"/>
    </row>
    <row r="918" ht="15.75" customHeight="1">
      <c r="A918" s="2"/>
      <c r="B918" s="2"/>
      <c r="C918" s="2"/>
      <c r="D918" s="2"/>
      <c r="E918" s="2"/>
      <c r="F918" s="2"/>
      <c r="G918" s="2"/>
      <c r="H918" s="2"/>
      <c r="I918" s="74"/>
      <c r="J918" s="74"/>
      <c r="K918" s="74"/>
      <c r="L918" s="74"/>
      <c r="M918" s="2"/>
      <c r="N918" s="2"/>
      <c r="O918" s="2"/>
      <c r="P918" s="74"/>
      <c r="Q918" s="2"/>
      <c r="R918" s="2"/>
      <c r="S918" s="76"/>
      <c r="T918" s="2"/>
    </row>
    <row r="919" ht="15.75" customHeight="1">
      <c r="A919" s="2"/>
      <c r="B919" s="2"/>
      <c r="C919" s="2"/>
      <c r="D919" s="2"/>
      <c r="E919" s="2"/>
      <c r="F919" s="2"/>
      <c r="G919" s="2"/>
      <c r="H919" s="2"/>
      <c r="I919" s="74"/>
      <c r="J919" s="74"/>
      <c r="K919" s="74"/>
      <c r="L919" s="74"/>
      <c r="M919" s="2"/>
      <c r="N919" s="2"/>
      <c r="O919" s="2"/>
      <c r="P919" s="74"/>
      <c r="Q919" s="2"/>
      <c r="R919" s="2"/>
      <c r="S919" s="76"/>
      <c r="T919" s="2"/>
    </row>
    <row r="920" ht="15.75" customHeight="1">
      <c r="A920" s="2"/>
      <c r="B920" s="2"/>
      <c r="C920" s="2"/>
      <c r="D920" s="2"/>
      <c r="E920" s="2"/>
      <c r="F920" s="2"/>
      <c r="G920" s="2"/>
      <c r="H920" s="2"/>
      <c r="I920" s="74"/>
      <c r="J920" s="74"/>
      <c r="K920" s="74"/>
      <c r="L920" s="74"/>
      <c r="M920" s="2"/>
      <c r="N920" s="2"/>
      <c r="O920" s="2"/>
      <c r="P920" s="74"/>
      <c r="Q920" s="2"/>
      <c r="R920" s="2"/>
      <c r="S920" s="76"/>
      <c r="T920" s="2"/>
    </row>
    <row r="921" ht="15.75" customHeight="1">
      <c r="A921" s="2"/>
      <c r="B921" s="2"/>
      <c r="C921" s="2"/>
      <c r="D921" s="2"/>
      <c r="E921" s="2"/>
      <c r="F921" s="2"/>
      <c r="G921" s="2"/>
      <c r="H921" s="2"/>
      <c r="I921" s="74"/>
      <c r="J921" s="74"/>
      <c r="K921" s="74"/>
      <c r="L921" s="74"/>
      <c r="M921" s="2"/>
      <c r="N921" s="2"/>
      <c r="O921" s="2"/>
      <c r="P921" s="74"/>
      <c r="Q921" s="2"/>
      <c r="R921" s="2"/>
      <c r="S921" s="76"/>
      <c r="T921" s="2"/>
    </row>
    <row r="922" ht="15.75" customHeight="1">
      <c r="A922" s="2"/>
      <c r="B922" s="2"/>
      <c r="C922" s="2"/>
      <c r="D922" s="2"/>
      <c r="E922" s="2"/>
      <c r="F922" s="2"/>
      <c r="G922" s="2"/>
      <c r="H922" s="2"/>
      <c r="I922" s="74"/>
      <c r="J922" s="74"/>
      <c r="K922" s="74"/>
      <c r="L922" s="74"/>
      <c r="M922" s="2"/>
      <c r="N922" s="2"/>
      <c r="O922" s="2"/>
      <c r="P922" s="74"/>
      <c r="Q922" s="2"/>
      <c r="R922" s="2"/>
      <c r="S922" s="76"/>
      <c r="T922" s="2"/>
    </row>
    <row r="923" ht="15.75" customHeight="1">
      <c r="A923" s="2"/>
      <c r="B923" s="2"/>
      <c r="C923" s="2"/>
      <c r="D923" s="2"/>
      <c r="E923" s="2"/>
      <c r="F923" s="2"/>
      <c r="G923" s="2"/>
      <c r="H923" s="2"/>
      <c r="I923" s="74"/>
      <c r="J923" s="74"/>
      <c r="K923" s="74"/>
      <c r="L923" s="74"/>
      <c r="M923" s="2"/>
      <c r="N923" s="2"/>
      <c r="O923" s="2"/>
      <c r="P923" s="74"/>
      <c r="Q923" s="2"/>
      <c r="R923" s="2"/>
      <c r="S923" s="76"/>
      <c r="T923" s="2"/>
    </row>
    <row r="924" ht="15.75" customHeight="1">
      <c r="A924" s="2"/>
      <c r="B924" s="2"/>
      <c r="C924" s="2"/>
      <c r="D924" s="2"/>
      <c r="E924" s="2"/>
      <c r="F924" s="2"/>
      <c r="G924" s="2"/>
      <c r="H924" s="2"/>
      <c r="I924" s="74"/>
      <c r="J924" s="74"/>
      <c r="K924" s="74"/>
      <c r="L924" s="74"/>
      <c r="M924" s="2"/>
      <c r="N924" s="2"/>
      <c r="O924" s="2"/>
      <c r="P924" s="74"/>
      <c r="Q924" s="2"/>
      <c r="R924" s="2"/>
      <c r="S924" s="76"/>
      <c r="T924" s="2"/>
    </row>
    <row r="925" ht="15.75" customHeight="1">
      <c r="A925" s="2"/>
      <c r="B925" s="2"/>
      <c r="C925" s="2"/>
      <c r="D925" s="2"/>
      <c r="E925" s="2"/>
      <c r="F925" s="2"/>
      <c r="G925" s="2"/>
      <c r="H925" s="2"/>
      <c r="I925" s="74"/>
      <c r="J925" s="74"/>
      <c r="K925" s="74"/>
      <c r="L925" s="74"/>
      <c r="M925" s="2"/>
      <c r="N925" s="2"/>
      <c r="O925" s="2"/>
      <c r="P925" s="74"/>
      <c r="Q925" s="2"/>
      <c r="R925" s="2"/>
      <c r="S925" s="76"/>
      <c r="T925" s="2"/>
    </row>
    <row r="926" ht="15.75" customHeight="1">
      <c r="A926" s="2"/>
      <c r="B926" s="2"/>
      <c r="C926" s="2"/>
      <c r="D926" s="2"/>
      <c r="E926" s="2"/>
      <c r="F926" s="2"/>
      <c r="G926" s="2"/>
      <c r="H926" s="2"/>
      <c r="I926" s="74"/>
      <c r="J926" s="74"/>
      <c r="K926" s="74"/>
      <c r="L926" s="74"/>
      <c r="M926" s="2"/>
      <c r="N926" s="2"/>
      <c r="O926" s="2"/>
      <c r="P926" s="74"/>
      <c r="Q926" s="2"/>
      <c r="R926" s="2"/>
      <c r="S926" s="76"/>
      <c r="T926" s="2"/>
    </row>
    <row r="927" ht="15.75" customHeight="1">
      <c r="A927" s="2"/>
      <c r="B927" s="2"/>
      <c r="C927" s="2"/>
      <c r="D927" s="2"/>
      <c r="E927" s="2"/>
      <c r="F927" s="2"/>
      <c r="G927" s="2"/>
      <c r="H927" s="2"/>
      <c r="I927" s="74"/>
      <c r="J927" s="74"/>
      <c r="K927" s="74"/>
      <c r="L927" s="74"/>
      <c r="M927" s="2"/>
      <c r="N927" s="2"/>
      <c r="O927" s="2"/>
      <c r="P927" s="74"/>
      <c r="Q927" s="2"/>
      <c r="R927" s="2"/>
      <c r="S927" s="76"/>
      <c r="T927" s="2"/>
    </row>
    <row r="928" ht="15.75" customHeight="1">
      <c r="A928" s="2"/>
      <c r="B928" s="2"/>
      <c r="C928" s="2"/>
      <c r="D928" s="2"/>
      <c r="E928" s="2"/>
      <c r="F928" s="2"/>
      <c r="G928" s="2"/>
      <c r="H928" s="2"/>
      <c r="I928" s="74"/>
      <c r="J928" s="74"/>
      <c r="K928" s="74"/>
      <c r="L928" s="74"/>
      <c r="M928" s="2"/>
      <c r="N928" s="2"/>
      <c r="O928" s="2"/>
      <c r="P928" s="74"/>
      <c r="Q928" s="2"/>
      <c r="R928" s="2"/>
      <c r="S928" s="76"/>
      <c r="T928" s="2"/>
    </row>
    <row r="929" ht="15.75" customHeight="1">
      <c r="A929" s="2"/>
      <c r="B929" s="2"/>
      <c r="C929" s="2"/>
      <c r="D929" s="2"/>
      <c r="E929" s="2"/>
      <c r="F929" s="2"/>
      <c r="G929" s="2"/>
      <c r="H929" s="2"/>
      <c r="I929" s="74"/>
      <c r="J929" s="74"/>
      <c r="K929" s="74"/>
      <c r="L929" s="74"/>
      <c r="M929" s="2"/>
      <c r="N929" s="2"/>
      <c r="O929" s="2"/>
      <c r="P929" s="74"/>
      <c r="Q929" s="2"/>
      <c r="R929" s="2"/>
      <c r="S929" s="76"/>
      <c r="T929" s="2"/>
    </row>
    <row r="930" ht="15.75" customHeight="1">
      <c r="A930" s="2"/>
      <c r="B930" s="2"/>
      <c r="C930" s="2"/>
      <c r="D930" s="2"/>
      <c r="E930" s="2"/>
      <c r="F930" s="2"/>
      <c r="G930" s="2"/>
      <c r="H930" s="2"/>
      <c r="I930" s="74"/>
      <c r="J930" s="74"/>
      <c r="K930" s="74"/>
      <c r="L930" s="74"/>
      <c r="M930" s="2"/>
      <c r="N930" s="2"/>
      <c r="O930" s="2"/>
      <c r="P930" s="74"/>
      <c r="Q930" s="2"/>
      <c r="R930" s="2"/>
      <c r="S930" s="76"/>
      <c r="T930" s="2"/>
    </row>
    <row r="931" ht="15.75" customHeight="1">
      <c r="A931" s="2"/>
      <c r="B931" s="2"/>
      <c r="C931" s="2"/>
      <c r="D931" s="2"/>
      <c r="E931" s="2"/>
      <c r="F931" s="2"/>
      <c r="G931" s="2"/>
      <c r="H931" s="2"/>
      <c r="I931" s="74"/>
      <c r="J931" s="74"/>
      <c r="K931" s="74"/>
      <c r="L931" s="74"/>
      <c r="M931" s="2"/>
      <c r="N931" s="2"/>
      <c r="O931" s="2"/>
      <c r="P931" s="74"/>
      <c r="Q931" s="2"/>
      <c r="R931" s="2"/>
      <c r="S931" s="76"/>
      <c r="T931" s="2"/>
    </row>
    <row r="932" ht="15.75" customHeight="1">
      <c r="A932" s="2"/>
      <c r="B932" s="2"/>
      <c r="C932" s="2"/>
      <c r="D932" s="2"/>
      <c r="E932" s="2"/>
      <c r="F932" s="2"/>
      <c r="G932" s="2"/>
      <c r="H932" s="2"/>
      <c r="I932" s="74"/>
      <c r="J932" s="74"/>
      <c r="K932" s="74"/>
      <c r="L932" s="74"/>
      <c r="M932" s="2"/>
      <c r="N932" s="2"/>
      <c r="O932" s="2"/>
      <c r="P932" s="74"/>
      <c r="Q932" s="2"/>
      <c r="R932" s="2"/>
      <c r="S932" s="76"/>
      <c r="T932" s="2"/>
    </row>
    <row r="933" ht="15.75" customHeight="1">
      <c r="A933" s="2"/>
      <c r="B933" s="2"/>
      <c r="C933" s="2"/>
      <c r="D933" s="2"/>
      <c r="E933" s="2"/>
      <c r="F933" s="2"/>
      <c r="G933" s="2"/>
      <c r="H933" s="2"/>
      <c r="I933" s="74"/>
      <c r="J933" s="74"/>
      <c r="K933" s="74"/>
      <c r="L933" s="74"/>
      <c r="M933" s="2"/>
      <c r="N933" s="2"/>
      <c r="O933" s="2"/>
      <c r="P933" s="74"/>
      <c r="Q933" s="2"/>
      <c r="R933" s="2"/>
      <c r="S933" s="76"/>
      <c r="T933" s="2"/>
    </row>
    <row r="934" ht="15.75" customHeight="1">
      <c r="A934" s="2"/>
      <c r="B934" s="2"/>
      <c r="C934" s="2"/>
      <c r="D934" s="2"/>
      <c r="E934" s="2"/>
      <c r="F934" s="2"/>
      <c r="G934" s="2"/>
      <c r="H934" s="2"/>
      <c r="I934" s="74"/>
      <c r="J934" s="74"/>
      <c r="K934" s="74"/>
      <c r="L934" s="74"/>
      <c r="M934" s="2"/>
      <c r="N934" s="2"/>
      <c r="O934" s="2"/>
      <c r="P934" s="74"/>
      <c r="Q934" s="2"/>
      <c r="R934" s="2"/>
      <c r="S934" s="76"/>
      <c r="T934" s="2"/>
    </row>
    <row r="935" ht="15.75" customHeight="1">
      <c r="A935" s="2"/>
      <c r="B935" s="2"/>
      <c r="C935" s="2"/>
      <c r="D935" s="2"/>
      <c r="E935" s="2"/>
      <c r="F935" s="2"/>
      <c r="G935" s="2"/>
      <c r="H935" s="2"/>
      <c r="I935" s="74"/>
      <c r="J935" s="74"/>
      <c r="K935" s="74"/>
      <c r="L935" s="74"/>
      <c r="M935" s="2"/>
      <c r="N935" s="2"/>
      <c r="O935" s="2"/>
      <c r="P935" s="74"/>
      <c r="Q935" s="2"/>
      <c r="R935" s="2"/>
      <c r="S935" s="76"/>
      <c r="T935" s="2"/>
    </row>
    <row r="936" ht="15.75" customHeight="1">
      <c r="A936" s="2"/>
      <c r="B936" s="2"/>
      <c r="C936" s="2"/>
      <c r="D936" s="2"/>
      <c r="E936" s="2"/>
      <c r="F936" s="2"/>
      <c r="G936" s="2"/>
      <c r="H936" s="2"/>
      <c r="I936" s="74"/>
      <c r="J936" s="74"/>
      <c r="K936" s="74"/>
      <c r="L936" s="74"/>
      <c r="M936" s="2"/>
      <c r="N936" s="2"/>
      <c r="O936" s="2"/>
      <c r="P936" s="74"/>
      <c r="Q936" s="2"/>
      <c r="R936" s="2"/>
      <c r="S936" s="76"/>
      <c r="T936" s="2"/>
    </row>
    <row r="937" ht="15.75" customHeight="1">
      <c r="A937" s="2"/>
      <c r="B937" s="2"/>
      <c r="C937" s="2"/>
      <c r="D937" s="2"/>
      <c r="E937" s="2"/>
      <c r="F937" s="2"/>
      <c r="G937" s="2"/>
      <c r="H937" s="2"/>
      <c r="I937" s="74"/>
      <c r="J937" s="74"/>
      <c r="K937" s="74"/>
      <c r="L937" s="74"/>
      <c r="M937" s="2"/>
      <c r="N937" s="2"/>
      <c r="O937" s="2"/>
      <c r="P937" s="74"/>
      <c r="Q937" s="2"/>
      <c r="R937" s="2"/>
      <c r="S937" s="76"/>
      <c r="T937" s="2"/>
    </row>
    <row r="938" ht="15.75" customHeight="1">
      <c r="A938" s="2"/>
      <c r="B938" s="2"/>
      <c r="C938" s="2"/>
      <c r="D938" s="2"/>
      <c r="E938" s="2"/>
      <c r="F938" s="2"/>
      <c r="G938" s="2"/>
      <c r="H938" s="2"/>
      <c r="I938" s="74"/>
      <c r="J938" s="74"/>
      <c r="K938" s="74"/>
      <c r="L938" s="74"/>
      <c r="M938" s="2"/>
      <c r="N938" s="2"/>
      <c r="O938" s="2"/>
      <c r="P938" s="74"/>
      <c r="Q938" s="2"/>
      <c r="R938" s="2"/>
      <c r="S938" s="76"/>
      <c r="T938" s="2"/>
    </row>
    <row r="939" ht="15.75" customHeight="1">
      <c r="A939" s="2"/>
      <c r="B939" s="2"/>
      <c r="C939" s="2"/>
      <c r="D939" s="2"/>
      <c r="E939" s="2"/>
      <c r="F939" s="2"/>
      <c r="G939" s="2"/>
      <c r="H939" s="2"/>
      <c r="I939" s="74"/>
      <c r="J939" s="74"/>
      <c r="K939" s="74"/>
      <c r="L939" s="74"/>
      <c r="M939" s="2"/>
      <c r="N939" s="2"/>
      <c r="O939" s="2"/>
      <c r="P939" s="74"/>
      <c r="Q939" s="2"/>
      <c r="R939" s="2"/>
      <c r="S939" s="76"/>
      <c r="T939" s="2"/>
    </row>
    <row r="940" ht="15.75" customHeight="1">
      <c r="A940" s="2"/>
      <c r="B940" s="2"/>
      <c r="C940" s="2"/>
      <c r="D940" s="2"/>
      <c r="E940" s="2"/>
      <c r="F940" s="2"/>
      <c r="G940" s="2"/>
      <c r="H940" s="2"/>
      <c r="I940" s="74"/>
      <c r="J940" s="74"/>
      <c r="K940" s="74"/>
      <c r="L940" s="74"/>
      <c r="M940" s="2"/>
      <c r="N940" s="2"/>
      <c r="O940" s="2"/>
      <c r="P940" s="74"/>
      <c r="Q940" s="2"/>
      <c r="R940" s="2"/>
      <c r="S940" s="76"/>
      <c r="T940" s="2"/>
    </row>
    <row r="941" ht="15.75" customHeight="1">
      <c r="A941" s="2"/>
      <c r="B941" s="2"/>
      <c r="C941" s="2"/>
      <c r="D941" s="2"/>
      <c r="E941" s="2"/>
      <c r="F941" s="2"/>
      <c r="G941" s="2"/>
      <c r="H941" s="2"/>
      <c r="I941" s="74"/>
      <c r="J941" s="74"/>
      <c r="K941" s="74"/>
      <c r="L941" s="74"/>
      <c r="M941" s="2"/>
      <c r="N941" s="2"/>
      <c r="O941" s="2"/>
      <c r="P941" s="74"/>
      <c r="Q941" s="2"/>
      <c r="R941" s="2"/>
      <c r="S941" s="76"/>
      <c r="T941" s="2"/>
    </row>
    <row r="942" ht="15.75" customHeight="1">
      <c r="A942" s="2"/>
      <c r="B942" s="2"/>
      <c r="C942" s="2"/>
      <c r="D942" s="2"/>
      <c r="E942" s="2"/>
      <c r="F942" s="2"/>
      <c r="G942" s="2"/>
      <c r="H942" s="2"/>
      <c r="I942" s="74"/>
      <c r="J942" s="74"/>
      <c r="K942" s="74"/>
      <c r="L942" s="74"/>
      <c r="M942" s="2"/>
      <c r="N942" s="2"/>
      <c r="O942" s="2"/>
      <c r="P942" s="74"/>
      <c r="Q942" s="2"/>
      <c r="R942" s="2"/>
      <c r="S942" s="76"/>
      <c r="T942" s="2"/>
    </row>
    <row r="943" ht="15.75" customHeight="1">
      <c r="A943" s="2"/>
      <c r="B943" s="2"/>
      <c r="C943" s="2"/>
      <c r="D943" s="2"/>
      <c r="E943" s="2"/>
      <c r="F943" s="2"/>
      <c r="G943" s="2"/>
      <c r="H943" s="2"/>
      <c r="I943" s="74"/>
      <c r="J943" s="74"/>
      <c r="K943" s="74"/>
      <c r="L943" s="74"/>
      <c r="M943" s="2"/>
      <c r="N943" s="2"/>
      <c r="O943" s="2"/>
      <c r="P943" s="74"/>
      <c r="Q943" s="2"/>
      <c r="R943" s="2"/>
      <c r="S943" s="76"/>
      <c r="T943" s="2"/>
    </row>
    <row r="944" ht="15.75" customHeight="1">
      <c r="A944" s="2"/>
      <c r="B944" s="2"/>
      <c r="C944" s="2"/>
      <c r="D944" s="2"/>
      <c r="E944" s="2"/>
      <c r="F944" s="2"/>
      <c r="G944" s="2"/>
      <c r="H944" s="2"/>
      <c r="I944" s="74"/>
      <c r="J944" s="74"/>
      <c r="K944" s="74"/>
      <c r="L944" s="74"/>
      <c r="M944" s="2"/>
      <c r="N944" s="2"/>
      <c r="O944" s="2"/>
      <c r="P944" s="74"/>
      <c r="Q944" s="2"/>
      <c r="R944" s="2"/>
      <c r="S944" s="76"/>
      <c r="T944" s="2"/>
    </row>
    <row r="945" ht="15.75" customHeight="1">
      <c r="A945" s="2"/>
      <c r="B945" s="2"/>
      <c r="C945" s="2"/>
      <c r="D945" s="2"/>
      <c r="E945" s="2"/>
      <c r="F945" s="2"/>
      <c r="G945" s="2"/>
      <c r="H945" s="2"/>
      <c r="I945" s="74"/>
      <c r="J945" s="74"/>
      <c r="K945" s="74"/>
      <c r="L945" s="74"/>
      <c r="M945" s="2"/>
      <c r="N945" s="2"/>
      <c r="O945" s="2"/>
      <c r="P945" s="74"/>
      <c r="Q945" s="2"/>
      <c r="R945" s="2"/>
      <c r="S945" s="76"/>
      <c r="T945" s="2"/>
    </row>
    <row r="946" ht="15.75" customHeight="1">
      <c r="A946" s="2"/>
      <c r="B946" s="2"/>
      <c r="C946" s="2"/>
      <c r="D946" s="2"/>
      <c r="E946" s="2"/>
      <c r="F946" s="2"/>
      <c r="G946" s="2"/>
      <c r="H946" s="2"/>
      <c r="I946" s="74"/>
      <c r="J946" s="74"/>
      <c r="K946" s="74"/>
      <c r="L946" s="74"/>
      <c r="M946" s="2"/>
      <c r="N946" s="2"/>
      <c r="O946" s="2"/>
      <c r="P946" s="74"/>
      <c r="Q946" s="2"/>
      <c r="R946" s="2"/>
      <c r="S946" s="76"/>
      <c r="T946" s="2"/>
    </row>
    <row r="947" ht="15.75" customHeight="1">
      <c r="A947" s="2"/>
      <c r="B947" s="2"/>
      <c r="C947" s="2"/>
      <c r="D947" s="2"/>
      <c r="E947" s="2"/>
      <c r="F947" s="2"/>
      <c r="G947" s="2"/>
      <c r="H947" s="2"/>
      <c r="I947" s="74"/>
      <c r="J947" s="74"/>
      <c r="K947" s="74"/>
      <c r="L947" s="74"/>
      <c r="M947" s="2"/>
      <c r="N947" s="2"/>
      <c r="O947" s="2"/>
      <c r="P947" s="74"/>
      <c r="Q947" s="2"/>
      <c r="R947" s="2"/>
      <c r="S947" s="76"/>
      <c r="T947" s="2"/>
    </row>
    <row r="948" ht="15.75" customHeight="1">
      <c r="A948" s="2"/>
      <c r="B948" s="2"/>
      <c r="C948" s="2"/>
      <c r="D948" s="2"/>
      <c r="E948" s="2"/>
      <c r="F948" s="2"/>
      <c r="G948" s="2"/>
      <c r="H948" s="2"/>
      <c r="I948" s="74"/>
      <c r="J948" s="74"/>
      <c r="K948" s="74"/>
      <c r="L948" s="74"/>
      <c r="M948" s="2"/>
      <c r="N948" s="2"/>
      <c r="O948" s="2"/>
      <c r="P948" s="74"/>
      <c r="Q948" s="2"/>
      <c r="R948" s="2"/>
      <c r="S948" s="76"/>
      <c r="T948" s="2"/>
    </row>
    <row r="949" ht="15.75" customHeight="1">
      <c r="A949" s="2"/>
      <c r="B949" s="2"/>
      <c r="C949" s="2"/>
      <c r="D949" s="2"/>
      <c r="E949" s="2"/>
      <c r="F949" s="2"/>
      <c r="G949" s="2"/>
      <c r="H949" s="2"/>
      <c r="I949" s="74"/>
      <c r="J949" s="74"/>
      <c r="K949" s="74"/>
      <c r="L949" s="74"/>
      <c r="M949" s="2"/>
      <c r="N949" s="2"/>
      <c r="O949" s="2"/>
      <c r="P949" s="74"/>
      <c r="Q949" s="2"/>
      <c r="R949" s="2"/>
      <c r="S949" s="76"/>
      <c r="T949" s="2"/>
    </row>
    <row r="950" ht="15.75" customHeight="1">
      <c r="A950" s="2"/>
      <c r="B950" s="2"/>
      <c r="C950" s="2"/>
      <c r="D950" s="2"/>
      <c r="E950" s="2"/>
      <c r="F950" s="2"/>
      <c r="G950" s="2"/>
      <c r="H950" s="2"/>
      <c r="I950" s="74"/>
      <c r="J950" s="74"/>
      <c r="K950" s="74"/>
      <c r="L950" s="74"/>
      <c r="M950" s="2"/>
      <c r="N950" s="2"/>
      <c r="O950" s="2"/>
      <c r="P950" s="74"/>
      <c r="Q950" s="2"/>
      <c r="R950" s="2"/>
      <c r="S950" s="76"/>
      <c r="T950" s="2"/>
    </row>
    <row r="951" ht="15.75" customHeight="1">
      <c r="A951" s="2"/>
      <c r="B951" s="2"/>
      <c r="C951" s="2"/>
      <c r="D951" s="2"/>
      <c r="E951" s="2"/>
      <c r="F951" s="2"/>
      <c r="G951" s="2"/>
      <c r="H951" s="2"/>
      <c r="I951" s="74"/>
      <c r="J951" s="74"/>
      <c r="K951" s="74"/>
      <c r="L951" s="74"/>
      <c r="M951" s="2"/>
      <c r="N951" s="2"/>
      <c r="O951" s="2"/>
      <c r="P951" s="74"/>
      <c r="Q951" s="2"/>
      <c r="R951" s="2"/>
      <c r="S951" s="76"/>
      <c r="T951" s="2"/>
    </row>
    <row r="952" ht="15.75" customHeight="1">
      <c r="A952" s="2"/>
      <c r="B952" s="2"/>
      <c r="C952" s="2"/>
      <c r="D952" s="2"/>
      <c r="E952" s="2"/>
      <c r="F952" s="2"/>
      <c r="G952" s="2"/>
      <c r="H952" s="2"/>
      <c r="I952" s="74"/>
      <c r="J952" s="74"/>
      <c r="K952" s="74"/>
      <c r="L952" s="74"/>
      <c r="M952" s="2"/>
      <c r="N952" s="2"/>
      <c r="O952" s="2"/>
      <c r="P952" s="74"/>
      <c r="Q952" s="2"/>
      <c r="R952" s="2"/>
      <c r="S952" s="76"/>
      <c r="T952" s="2"/>
    </row>
    <row r="953" ht="15.75" customHeight="1">
      <c r="A953" s="2"/>
      <c r="B953" s="2"/>
      <c r="C953" s="2"/>
      <c r="D953" s="2"/>
      <c r="E953" s="2"/>
      <c r="F953" s="2"/>
      <c r="G953" s="2"/>
      <c r="H953" s="2"/>
      <c r="I953" s="74"/>
      <c r="J953" s="74"/>
      <c r="K953" s="74"/>
      <c r="L953" s="74"/>
      <c r="M953" s="2"/>
      <c r="N953" s="2"/>
      <c r="O953" s="2"/>
      <c r="P953" s="74"/>
      <c r="Q953" s="2"/>
      <c r="R953" s="2"/>
      <c r="S953" s="76"/>
      <c r="T953" s="2"/>
    </row>
    <row r="954" ht="15.75" customHeight="1">
      <c r="A954" s="2"/>
      <c r="B954" s="2"/>
      <c r="C954" s="2"/>
      <c r="D954" s="2"/>
      <c r="E954" s="2"/>
      <c r="F954" s="2"/>
      <c r="G954" s="2"/>
      <c r="H954" s="2"/>
      <c r="I954" s="74"/>
      <c r="J954" s="74"/>
      <c r="K954" s="74"/>
      <c r="L954" s="74"/>
      <c r="M954" s="2"/>
      <c r="N954" s="2"/>
      <c r="O954" s="2"/>
      <c r="P954" s="74"/>
      <c r="Q954" s="2"/>
      <c r="R954" s="2"/>
      <c r="S954" s="76"/>
      <c r="T954" s="2"/>
    </row>
    <row r="955" ht="15.75" customHeight="1">
      <c r="A955" s="2"/>
      <c r="B955" s="2"/>
      <c r="C955" s="2"/>
      <c r="D955" s="2"/>
      <c r="E955" s="2"/>
      <c r="F955" s="2"/>
      <c r="G955" s="2"/>
      <c r="H955" s="2"/>
      <c r="I955" s="74"/>
      <c r="J955" s="74"/>
      <c r="K955" s="74"/>
      <c r="L955" s="74"/>
      <c r="M955" s="2"/>
      <c r="N955" s="2"/>
      <c r="O955" s="2"/>
      <c r="P955" s="74"/>
      <c r="Q955" s="2"/>
      <c r="R955" s="2"/>
      <c r="S955" s="76"/>
      <c r="T955" s="2"/>
    </row>
    <row r="956" ht="15.75" customHeight="1">
      <c r="A956" s="2"/>
      <c r="B956" s="2"/>
      <c r="C956" s="2"/>
      <c r="D956" s="2"/>
      <c r="E956" s="2"/>
      <c r="F956" s="2"/>
      <c r="G956" s="2"/>
      <c r="H956" s="2"/>
      <c r="I956" s="74"/>
      <c r="J956" s="74"/>
      <c r="K956" s="74"/>
      <c r="L956" s="74"/>
      <c r="M956" s="2"/>
      <c r="N956" s="2"/>
      <c r="O956" s="2"/>
      <c r="P956" s="74"/>
      <c r="Q956" s="2"/>
      <c r="R956" s="2"/>
      <c r="S956" s="76"/>
      <c r="T956" s="2"/>
    </row>
    <row r="957" ht="15.75" customHeight="1">
      <c r="A957" s="2"/>
      <c r="B957" s="2"/>
      <c r="C957" s="2"/>
      <c r="D957" s="2"/>
      <c r="E957" s="2"/>
      <c r="F957" s="2"/>
      <c r="G957" s="2"/>
      <c r="H957" s="2"/>
      <c r="I957" s="74"/>
      <c r="J957" s="74"/>
      <c r="K957" s="74"/>
      <c r="L957" s="74"/>
      <c r="M957" s="2"/>
      <c r="N957" s="2"/>
      <c r="O957" s="2"/>
      <c r="P957" s="74"/>
      <c r="Q957" s="2"/>
      <c r="R957" s="2"/>
      <c r="S957" s="76"/>
      <c r="T957" s="2"/>
    </row>
    <row r="958" ht="15.75" customHeight="1">
      <c r="A958" s="2"/>
      <c r="B958" s="2"/>
      <c r="C958" s="2"/>
      <c r="D958" s="2"/>
      <c r="E958" s="2"/>
      <c r="F958" s="2"/>
      <c r="G958" s="2"/>
      <c r="H958" s="2"/>
      <c r="I958" s="74"/>
      <c r="J958" s="74"/>
      <c r="K958" s="74"/>
      <c r="L958" s="74"/>
      <c r="M958" s="2"/>
      <c r="N958" s="2"/>
      <c r="O958" s="2"/>
      <c r="P958" s="74"/>
      <c r="Q958" s="2"/>
      <c r="R958" s="2"/>
      <c r="S958" s="76"/>
      <c r="T958" s="2"/>
    </row>
    <row r="959" ht="15.75" customHeight="1">
      <c r="A959" s="2"/>
      <c r="B959" s="2"/>
      <c r="C959" s="2"/>
      <c r="D959" s="2"/>
      <c r="E959" s="2"/>
      <c r="F959" s="2"/>
      <c r="G959" s="2"/>
      <c r="H959" s="2"/>
      <c r="I959" s="74"/>
      <c r="J959" s="74"/>
      <c r="K959" s="74"/>
      <c r="L959" s="74"/>
      <c r="M959" s="2"/>
      <c r="N959" s="2"/>
      <c r="O959" s="2"/>
      <c r="P959" s="74"/>
      <c r="Q959" s="2"/>
      <c r="R959" s="2"/>
      <c r="S959" s="76"/>
      <c r="T959" s="2"/>
    </row>
    <row r="960" ht="15.75" customHeight="1">
      <c r="A960" s="2"/>
      <c r="B960" s="2"/>
      <c r="C960" s="2"/>
      <c r="D960" s="2"/>
      <c r="E960" s="2"/>
      <c r="F960" s="2"/>
      <c r="G960" s="2"/>
      <c r="H960" s="2"/>
      <c r="I960" s="74"/>
      <c r="J960" s="74"/>
      <c r="K960" s="74"/>
      <c r="L960" s="74"/>
      <c r="M960" s="2"/>
      <c r="N960" s="2"/>
      <c r="O960" s="2"/>
      <c r="P960" s="74"/>
      <c r="Q960" s="2"/>
      <c r="R960" s="2"/>
      <c r="S960" s="76"/>
      <c r="T960" s="2"/>
    </row>
    <row r="961" ht="15.75" customHeight="1">
      <c r="A961" s="2"/>
      <c r="B961" s="2"/>
      <c r="C961" s="2"/>
      <c r="D961" s="2"/>
      <c r="E961" s="2"/>
      <c r="F961" s="2"/>
      <c r="G961" s="2"/>
      <c r="H961" s="2"/>
      <c r="I961" s="74"/>
      <c r="J961" s="74"/>
      <c r="K961" s="74"/>
      <c r="L961" s="74"/>
      <c r="M961" s="2"/>
      <c r="N961" s="2"/>
      <c r="O961" s="2"/>
      <c r="P961" s="74"/>
      <c r="Q961" s="2"/>
      <c r="R961" s="2"/>
      <c r="S961" s="76"/>
      <c r="T961" s="2"/>
    </row>
    <row r="962" ht="15.75" customHeight="1">
      <c r="A962" s="2"/>
      <c r="B962" s="2"/>
      <c r="C962" s="2"/>
      <c r="D962" s="2"/>
      <c r="E962" s="2"/>
      <c r="F962" s="2"/>
      <c r="G962" s="2"/>
      <c r="H962" s="2"/>
      <c r="I962" s="74"/>
      <c r="J962" s="74"/>
      <c r="K962" s="74"/>
      <c r="L962" s="74"/>
      <c r="M962" s="2"/>
      <c r="N962" s="2"/>
      <c r="O962" s="2"/>
      <c r="P962" s="74"/>
      <c r="Q962" s="2"/>
      <c r="R962" s="2"/>
      <c r="S962" s="76"/>
      <c r="T962" s="2"/>
    </row>
    <row r="963" ht="15.75" customHeight="1">
      <c r="A963" s="2"/>
      <c r="B963" s="2"/>
      <c r="C963" s="2"/>
      <c r="D963" s="2"/>
      <c r="E963" s="2"/>
      <c r="F963" s="2"/>
      <c r="G963" s="2"/>
      <c r="H963" s="2"/>
      <c r="I963" s="74"/>
      <c r="J963" s="74"/>
      <c r="K963" s="74"/>
      <c r="L963" s="74"/>
      <c r="M963" s="2"/>
      <c r="N963" s="2"/>
      <c r="O963" s="2"/>
      <c r="P963" s="74"/>
      <c r="Q963" s="2"/>
      <c r="R963" s="2"/>
      <c r="S963" s="76"/>
      <c r="T963" s="2"/>
    </row>
    <row r="964" ht="15.75" customHeight="1">
      <c r="A964" s="2"/>
      <c r="B964" s="2"/>
      <c r="C964" s="2"/>
      <c r="D964" s="2"/>
      <c r="E964" s="2"/>
      <c r="F964" s="2"/>
      <c r="G964" s="2"/>
      <c r="H964" s="2"/>
      <c r="I964" s="74"/>
      <c r="J964" s="74"/>
      <c r="K964" s="74"/>
      <c r="L964" s="74"/>
      <c r="M964" s="2"/>
      <c r="N964" s="2"/>
      <c r="O964" s="2"/>
      <c r="P964" s="74"/>
      <c r="Q964" s="2"/>
      <c r="R964" s="2"/>
      <c r="S964" s="76"/>
      <c r="T964" s="2"/>
    </row>
    <row r="965" ht="15.75" customHeight="1">
      <c r="A965" s="2"/>
      <c r="B965" s="2"/>
      <c r="C965" s="2"/>
      <c r="D965" s="2"/>
      <c r="E965" s="2"/>
      <c r="F965" s="2"/>
      <c r="G965" s="2"/>
      <c r="H965" s="2"/>
      <c r="I965" s="74"/>
      <c r="J965" s="74"/>
      <c r="K965" s="74"/>
      <c r="L965" s="74"/>
      <c r="M965" s="2"/>
      <c r="N965" s="2"/>
      <c r="O965" s="2"/>
      <c r="P965" s="74"/>
      <c r="Q965" s="2"/>
      <c r="R965" s="2"/>
      <c r="S965" s="76"/>
      <c r="T965" s="2"/>
    </row>
    <row r="966" ht="15.75" customHeight="1">
      <c r="A966" s="2"/>
      <c r="B966" s="2"/>
      <c r="C966" s="2"/>
      <c r="D966" s="2"/>
      <c r="E966" s="2"/>
      <c r="F966" s="2"/>
      <c r="G966" s="2"/>
      <c r="H966" s="2"/>
      <c r="I966" s="74"/>
      <c r="J966" s="74"/>
      <c r="K966" s="74"/>
      <c r="L966" s="74"/>
      <c r="M966" s="2"/>
      <c r="N966" s="2"/>
      <c r="O966" s="2"/>
      <c r="P966" s="74"/>
      <c r="Q966" s="2"/>
      <c r="R966" s="2"/>
      <c r="S966" s="76"/>
      <c r="T966" s="2"/>
    </row>
    <row r="967" ht="15.75" customHeight="1">
      <c r="A967" s="2"/>
      <c r="B967" s="2"/>
      <c r="C967" s="2"/>
      <c r="D967" s="2"/>
      <c r="E967" s="2"/>
      <c r="F967" s="2"/>
      <c r="G967" s="2"/>
      <c r="H967" s="2"/>
      <c r="I967" s="74"/>
      <c r="J967" s="74"/>
      <c r="K967" s="74"/>
      <c r="L967" s="74"/>
      <c r="M967" s="2"/>
      <c r="N967" s="2"/>
      <c r="O967" s="2"/>
      <c r="P967" s="74"/>
      <c r="Q967" s="2"/>
      <c r="R967" s="2"/>
      <c r="S967" s="76"/>
      <c r="T967" s="2"/>
    </row>
    <row r="968" ht="15.75" customHeight="1">
      <c r="A968" s="2"/>
      <c r="B968" s="2"/>
      <c r="C968" s="2"/>
      <c r="D968" s="2"/>
      <c r="E968" s="2"/>
      <c r="F968" s="2"/>
      <c r="G968" s="2"/>
      <c r="H968" s="2"/>
      <c r="I968" s="74"/>
      <c r="J968" s="74"/>
      <c r="K968" s="74"/>
      <c r="L968" s="74"/>
      <c r="M968" s="2"/>
      <c r="N968" s="2"/>
      <c r="O968" s="2"/>
      <c r="P968" s="74"/>
      <c r="Q968" s="2"/>
      <c r="R968" s="2"/>
      <c r="S968" s="76"/>
      <c r="T968" s="2"/>
    </row>
    <row r="969" ht="15.75" customHeight="1">
      <c r="A969" s="2"/>
      <c r="B969" s="2"/>
      <c r="C969" s="2"/>
      <c r="D969" s="2"/>
      <c r="E969" s="2"/>
      <c r="F969" s="2"/>
      <c r="G969" s="2"/>
      <c r="H969" s="2"/>
      <c r="I969" s="74"/>
      <c r="J969" s="74"/>
      <c r="K969" s="74"/>
      <c r="L969" s="74"/>
      <c r="M969" s="2"/>
      <c r="N969" s="2"/>
      <c r="O969" s="2"/>
      <c r="P969" s="74"/>
      <c r="Q969" s="2"/>
      <c r="R969" s="2"/>
      <c r="S969" s="76"/>
      <c r="T969" s="2"/>
    </row>
    <row r="970" ht="15.75" customHeight="1">
      <c r="A970" s="2"/>
      <c r="B970" s="2"/>
      <c r="C970" s="2"/>
      <c r="D970" s="2"/>
      <c r="E970" s="2"/>
      <c r="F970" s="2"/>
      <c r="G970" s="2"/>
      <c r="H970" s="2"/>
      <c r="I970" s="74"/>
      <c r="J970" s="74"/>
      <c r="K970" s="74"/>
      <c r="L970" s="74"/>
      <c r="M970" s="2"/>
      <c r="N970" s="2"/>
      <c r="O970" s="2"/>
      <c r="P970" s="74"/>
      <c r="Q970" s="2"/>
      <c r="R970" s="2"/>
      <c r="S970" s="76"/>
      <c r="T970" s="2"/>
    </row>
    <row r="971" ht="15.75" customHeight="1">
      <c r="A971" s="2"/>
      <c r="B971" s="2"/>
      <c r="C971" s="2"/>
      <c r="D971" s="2"/>
      <c r="E971" s="2"/>
      <c r="F971" s="2"/>
      <c r="G971" s="2"/>
      <c r="H971" s="2"/>
      <c r="I971" s="74"/>
      <c r="J971" s="74"/>
      <c r="K971" s="74"/>
      <c r="L971" s="74"/>
      <c r="M971" s="2"/>
      <c r="N971" s="2"/>
      <c r="O971" s="2"/>
      <c r="P971" s="74"/>
      <c r="Q971" s="2"/>
      <c r="R971" s="2"/>
      <c r="S971" s="76"/>
      <c r="T971" s="2"/>
    </row>
    <row r="972" ht="15.75" customHeight="1">
      <c r="A972" s="2"/>
      <c r="B972" s="2"/>
      <c r="C972" s="2"/>
      <c r="D972" s="2"/>
      <c r="E972" s="2"/>
      <c r="F972" s="2"/>
      <c r="G972" s="2"/>
      <c r="H972" s="2"/>
      <c r="I972" s="74"/>
      <c r="J972" s="74"/>
      <c r="K972" s="74"/>
      <c r="L972" s="74"/>
      <c r="M972" s="2"/>
      <c r="N972" s="2"/>
      <c r="O972" s="2"/>
      <c r="P972" s="74"/>
      <c r="Q972" s="2"/>
      <c r="R972" s="2"/>
      <c r="S972" s="76"/>
      <c r="T972" s="2"/>
    </row>
    <row r="973" ht="15.75" customHeight="1">
      <c r="A973" s="2"/>
      <c r="B973" s="2"/>
      <c r="C973" s="2"/>
      <c r="D973" s="2"/>
      <c r="E973" s="2"/>
      <c r="F973" s="2"/>
      <c r="G973" s="2"/>
      <c r="H973" s="2"/>
      <c r="I973" s="74"/>
      <c r="J973" s="74"/>
      <c r="K973" s="74"/>
      <c r="L973" s="74"/>
      <c r="M973" s="2"/>
      <c r="N973" s="2"/>
      <c r="O973" s="2"/>
      <c r="P973" s="74"/>
      <c r="Q973" s="2"/>
      <c r="R973" s="2"/>
      <c r="S973" s="76"/>
      <c r="T973" s="2"/>
    </row>
    <row r="974" ht="15.75" customHeight="1">
      <c r="A974" s="2"/>
      <c r="B974" s="2"/>
      <c r="C974" s="2"/>
      <c r="D974" s="2"/>
      <c r="E974" s="2"/>
      <c r="F974" s="2"/>
      <c r="G974" s="2"/>
      <c r="H974" s="2"/>
      <c r="I974" s="74"/>
      <c r="J974" s="74"/>
      <c r="K974" s="74"/>
      <c r="L974" s="74"/>
      <c r="M974" s="2"/>
      <c r="N974" s="2"/>
      <c r="O974" s="2"/>
      <c r="P974" s="74"/>
      <c r="Q974" s="2"/>
      <c r="R974" s="2"/>
      <c r="S974" s="76"/>
      <c r="T974" s="2"/>
    </row>
    <row r="975" ht="15.75" customHeight="1">
      <c r="A975" s="2"/>
      <c r="B975" s="2"/>
      <c r="C975" s="2"/>
      <c r="D975" s="2"/>
      <c r="E975" s="2"/>
      <c r="F975" s="2"/>
      <c r="G975" s="2"/>
      <c r="H975" s="2"/>
      <c r="I975" s="74"/>
      <c r="J975" s="74"/>
      <c r="K975" s="74"/>
      <c r="L975" s="74"/>
      <c r="M975" s="2"/>
      <c r="N975" s="2"/>
      <c r="O975" s="2"/>
      <c r="P975" s="74"/>
      <c r="Q975" s="2"/>
      <c r="R975" s="2"/>
      <c r="S975" s="76"/>
      <c r="T975" s="2"/>
    </row>
    <row r="976" ht="15.75" customHeight="1">
      <c r="A976" s="2"/>
      <c r="B976" s="2"/>
      <c r="C976" s="2"/>
      <c r="D976" s="2"/>
      <c r="E976" s="2"/>
      <c r="F976" s="2"/>
      <c r="G976" s="2"/>
      <c r="H976" s="2"/>
      <c r="I976" s="74"/>
      <c r="J976" s="74"/>
      <c r="K976" s="74"/>
      <c r="L976" s="74"/>
      <c r="M976" s="2"/>
      <c r="N976" s="2"/>
      <c r="O976" s="2"/>
      <c r="P976" s="74"/>
      <c r="Q976" s="2"/>
      <c r="R976" s="2"/>
      <c r="S976" s="76"/>
      <c r="T976" s="2"/>
    </row>
    <row r="977" ht="15.75" customHeight="1">
      <c r="A977" s="2"/>
      <c r="B977" s="2"/>
      <c r="C977" s="2"/>
      <c r="D977" s="2"/>
      <c r="E977" s="2"/>
      <c r="F977" s="2"/>
      <c r="G977" s="2"/>
      <c r="H977" s="2"/>
      <c r="I977" s="74"/>
      <c r="J977" s="74"/>
      <c r="K977" s="74"/>
      <c r="L977" s="74"/>
      <c r="M977" s="2"/>
      <c r="N977" s="2"/>
      <c r="O977" s="2"/>
      <c r="P977" s="74"/>
      <c r="Q977" s="2"/>
      <c r="R977" s="2"/>
      <c r="S977" s="76"/>
      <c r="T977" s="2"/>
    </row>
    <row r="978" ht="15.75" customHeight="1">
      <c r="A978" s="2"/>
      <c r="B978" s="2"/>
      <c r="C978" s="2"/>
      <c r="D978" s="2"/>
      <c r="E978" s="2"/>
      <c r="F978" s="2"/>
      <c r="G978" s="2"/>
      <c r="H978" s="2"/>
      <c r="I978" s="74"/>
      <c r="J978" s="74"/>
      <c r="K978" s="74"/>
      <c r="L978" s="74"/>
      <c r="M978" s="2"/>
      <c r="N978" s="2"/>
      <c r="O978" s="2"/>
      <c r="P978" s="74"/>
      <c r="Q978" s="2"/>
      <c r="R978" s="2"/>
      <c r="S978" s="76"/>
      <c r="T978" s="2"/>
    </row>
    <row r="979" ht="15.75" customHeight="1">
      <c r="A979" s="2"/>
      <c r="B979" s="2"/>
      <c r="C979" s="2"/>
      <c r="D979" s="2"/>
      <c r="E979" s="2"/>
      <c r="F979" s="2"/>
      <c r="G979" s="2"/>
      <c r="H979" s="2"/>
      <c r="I979" s="74"/>
      <c r="J979" s="74"/>
      <c r="K979" s="74"/>
      <c r="L979" s="74"/>
      <c r="M979" s="2"/>
      <c r="N979" s="2"/>
      <c r="O979" s="2"/>
      <c r="P979" s="74"/>
      <c r="Q979" s="2"/>
      <c r="R979" s="2"/>
      <c r="S979" s="76"/>
      <c r="T979" s="2"/>
    </row>
    <row r="980" ht="15.75" customHeight="1">
      <c r="A980" s="2"/>
      <c r="B980" s="2"/>
      <c r="C980" s="2"/>
      <c r="D980" s="2"/>
      <c r="E980" s="2"/>
      <c r="F980" s="2"/>
      <c r="G980" s="2"/>
      <c r="H980" s="2"/>
      <c r="I980" s="74"/>
      <c r="J980" s="74"/>
      <c r="K980" s="74"/>
      <c r="L980" s="74"/>
      <c r="M980" s="2"/>
      <c r="N980" s="2"/>
      <c r="O980" s="2"/>
      <c r="P980" s="74"/>
      <c r="Q980" s="2"/>
      <c r="R980" s="2"/>
      <c r="S980" s="76"/>
      <c r="T980" s="2"/>
    </row>
    <row r="981" ht="15.75" customHeight="1">
      <c r="A981" s="2"/>
      <c r="B981" s="2"/>
      <c r="C981" s="2"/>
      <c r="D981" s="2"/>
      <c r="E981" s="2"/>
      <c r="F981" s="2"/>
      <c r="G981" s="2"/>
      <c r="H981" s="2"/>
      <c r="I981" s="74"/>
      <c r="J981" s="74"/>
      <c r="K981" s="74"/>
      <c r="L981" s="74"/>
      <c r="M981" s="2"/>
      <c r="N981" s="2"/>
      <c r="O981" s="2"/>
      <c r="P981" s="74"/>
      <c r="Q981" s="2"/>
      <c r="R981" s="2"/>
      <c r="S981" s="76"/>
      <c r="T981" s="2"/>
    </row>
    <row r="982" ht="15.75" customHeight="1">
      <c r="A982" s="2"/>
      <c r="B982" s="2"/>
      <c r="C982" s="2"/>
      <c r="D982" s="2"/>
      <c r="E982" s="2"/>
      <c r="F982" s="2"/>
      <c r="G982" s="2"/>
      <c r="H982" s="2"/>
      <c r="I982" s="74"/>
      <c r="J982" s="74"/>
      <c r="K982" s="74"/>
      <c r="L982" s="74"/>
      <c r="M982" s="2"/>
      <c r="N982" s="2"/>
      <c r="O982" s="2"/>
      <c r="P982" s="74"/>
      <c r="Q982" s="2"/>
      <c r="R982" s="2"/>
      <c r="S982" s="76"/>
      <c r="T982" s="2"/>
    </row>
    <row r="983" ht="15.75" customHeight="1">
      <c r="A983" s="2"/>
      <c r="B983" s="2"/>
      <c r="C983" s="2"/>
      <c r="D983" s="2"/>
      <c r="E983" s="2"/>
      <c r="F983" s="2"/>
      <c r="G983" s="2"/>
      <c r="H983" s="2"/>
      <c r="I983" s="74"/>
      <c r="J983" s="74"/>
      <c r="K983" s="74"/>
      <c r="L983" s="74"/>
      <c r="M983" s="2"/>
      <c r="N983" s="2"/>
      <c r="O983" s="2"/>
      <c r="P983" s="74"/>
      <c r="Q983" s="2"/>
      <c r="R983" s="2"/>
      <c r="S983" s="76"/>
      <c r="T983" s="2"/>
    </row>
    <row r="984" ht="15.75" customHeight="1">
      <c r="A984" s="2"/>
      <c r="B984" s="2"/>
      <c r="C984" s="2"/>
      <c r="D984" s="2"/>
      <c r="E984" s="2"/>
      <c r="F984" s="2"/>
      <c r="G984" s="2"/>
      <c r="H984" s="2"/>
      <c r="I984" s="74"/>
      <c r="J984" s="74"/>
      <c r="K984" s="74"/>
      <c r="L984" s="74"/>
      <c r="M984" s="2"/>
      <c r="N984" s="2"/>
      <c r="O984" s="2"/>
      <c r="P984" s="74"/>
      <c r="Q984" s="2"/>
      <c r="R984" s="2"/>
      <c r="S984" s="76"/>
      <c r="T984" s="2"/>
    </row>
    <row r="985" ht="15.75" customHeight="1">
      <c r="A985" s="2"/>
      <c r="B985" s="2"/>
      <c r="C985" s="2"/>
      <c r="D985" s="2"/>
      <c r="E985" s="2"/>
      <c r="F985" s="2"/>
      <c r="G985" s="2"/>
      <c r="H985" s="2"/>
      <c r="I985" s="74"/>
      <c r="J985" s="74"/>
      <c r="K985" s="74"/>
      <c r="L985" s="74"/>
      <c r="M985" s="2"/>
      <c r="N985" s="2"/>
      <c r="O985" s="2"/>
      <c r="P985" s="74"/>
      <c r="Q985" s="2"/>
      <c r="R985" s="2"/>
      <c r="S985" s="76"/>
      <c r="T985" s="2"/>
    </row>
    <row r="986" ht="15.75" customHeight="1">
      <c r="A986" s="2"/>
      <c r="B986" s="2"/>
      <c r="C986" s="2"/>
      <c r="D986" s="2"/>
      <c r="E986" s="2"/>
      <c r="F986" s="2"/>
      <c r="G986" s="2"/>
      <c r="H986" s="2"/>
      <c r="I986" s="74"/>
      <c r="J986" s="74"/>
      <c r="K986" s="74"/>
      <c r="L986" s="74"/>
      <c r="M986" s="2"/>
      <c r="N986" s="2"/>
      <c r="O986" s="2"/>
      <c r="P986" s="74"/>
      <c r="Q986" s="2"/>
      <c r="R986" s="2"/>
      <c r="S986" s="76"/>
      <c r="T986" s="2"/>
    </row>
    <row r="987" ht="15.75" customHeight="1">
      <c r="A987" s="2"/>
      <c r="B987" s="2"/>
      <c r="C987" s="2"/>
      <c r="D987" s="2"/>
      <c r="E987" s="2"/>
      <c r="F987" s="2"/>
      <c r="G987" s="2"/>
      <c r="H987" s="2"/>
      <c r="I987" s="74"/>
      <c r="J987" s="74"/>
      <c r="K987" s="74"/>
      <c r="L987" s="74"/>
      <c r="M987" s="2"/>
      <c r="N987" s="2"/>
      <c r="O987" s="2"/>
      <c r="P987" s="74"/>
      <c r="Q987" s="2"/>
      <c r="R987" s="2"/>
      <c r="S987" s="76"/>
      <c r="T987" s="2"/>
    </row>
    <row r="988" ht="15.75" customHeight="1">
      <c r="A988" s="2"/>
      <c r="B988" s="2"/>
      <c r="C988" s="2"/>
      <c r="D988" s="2"/>
      <c r="E988" s="2"/>
      <c r="F988" s="2"/>
      <c r="G988" s="2"/>
      <c r="H988" s="2"/>
      <c r="I988" s="74"/>
      <c r="J988" s="74"/>
      <c r="K988" s="74"/>
      <c r="L988" s="74"/>
      <c r="M988" s="2"/>
      <c r="N988" s="2"/>
      <c r="O988" s="2"/>
      <c r="P988" s="74"/>
      <c r="Q988" s="2"/>
      <c r="R988" s="2"/>
      <c r="S988" s="76"/>
      <c r="T988" s="2"/>
    </row>
    <row r="989" ht="15.75" customHeight="1">
      <c r="A989" s="2"/>
      <c r="B989" s="2"/>
      <c r="C989" s="2"/>
      <c r="D989" s="2"/>
      <c r="E989" s="2"/>
      <c r="F989" s="2"/>
      <c r="G989" s="2"/>
      <c r="H989" s="2"/>
      <c r="I989" s="74"/>
      <c r="J989" s="74"/>
      <c r="K989" s="74"/>
      <c r="L989" s="74"/>
      <c r="M989" s="2"/>
      <c r="N989" s="2"/>
      <c r="O989" s="2"/>
      <c r="P989" s="74"/>
      <c r="Q989" s="2"/>
      <c r="R989" s="2"/>
      <c r="S989" s="76"/>
      <c r="T989" s="2"/>
    </row>
    <row r="990" ht="15.75" customHeight="1">
      <c r="A990" s="2"/>
      <c r="B990" s="2"/>
      <c r="C990" s="2"/>
      <c r="D990" s="2"/>
      <c r="E990" s="2"/>
      <c r="F990" s="2"/>
      <c r="G990" s="2"/>
      <c r="H990" s="2"/>
      <c r="I990" s="74"/>
      <c r="J990" s="74"/>
      <c r="K990" s="74"/>
      <c r="L990" s="74"/>
      <c r="M990" s="2"/>
      <c r="N990" s="2"/>
      <c r="O990" s="2"/>
      <c r="P990" s="74"/>
      <c r="Q990" s="2"/>
      <c r="R990" s="2"/>
      <c r="S990" s="76"/>
      <c r="T990" s="2"/>
    </row>
    <row r="991" ht="15.75" customHeight="1">
      <c r="A991" s="2"/>
      <c r="B991" s="2"/>
      <c r="C991" s="2"/>
      <c r="D991" s="2"/>
      <c r="E991" s="2"/>
      <c r="F991" s="2"/>
      <c r="G991" s="2"/>
      <c r="H991" s="2"/>
      <c r="I991" s="74"/>
      <c r="J991" s="74"/>
      <c r="K991" s="74"/>
      <c r="L991" s="74"/>
      <c r="M991" s="2"/>
      <c r="N991" s="2"/>
      <c r="O991" s="2"/>
      <c r="P991" s="74"/>
      <c r="Q991" s="2"/>
      <c r="R991" s="2"/>
      <c r="S991" s="76"/>
      <c r="T991" s="2"/>
    </row>
    <row r="992" ht="15.75" customHeight="1">
      <c r="A992" s="2"/>
      <c r="B992" s="2"/>
      <c r="C992" s="2"/>
      <c r="D992" s="2"/>
      <c r="E992" s="2"/>
      <c r="F992" s="2"/>
      <c r="G992" s="2"/>
      <c r="H992" s="2"/>
      <c r="I992" s="74"/>
      <c r="J992" s="74"/>
      <c r="K992" s="74"/>
      <c r="L992" s="74"/>
      <c r="M992" s="2"/>
      <c r="N992" s="2"/>
      <c r="O992" s="2"/>
      <c r="P992" s="74"/>
      <c r="Q992" s="2"/>
      <c r="R992" s="2"/>
      <c r="S992" s="76"/>
      <c r="T992" s="2"/>
    </row>
    <row r="993" ht="15.75" customHeight="1">
      <c r="A993" s="2"/>
      <c r="B993" s="2"/>
      <c r="C993" s="2"/>
      <c r="D993" s="2"/>
      <c r="E993" s="2"/>
      <c r="F993" s="2"/>
      <c r="G993" s="2"/>
      <c r="H993" s="2"/>
      <c r="I993" s="74"/>
      <c r="J993" s="74"/>
      <c r="K993" s="74"/>
      <c r="L993" s="74"/>
      <c r="M993" s="2"/>
      <c r="N993" s="2"/>
      <c r="O993" s="2"/>
      <c r="P993" s="74"/>
      <c r="Q993" s="2"/>
      <c r="R993" s="2"/>
      <c r="S993" s="76"/>
      <c r="T993" s="2"/>
    </row>
    <row r="994" ht="15.75" customHeight="1">
      <c r="A994" s="2"/>
      <c r="B994" s="2"/>
      <c r="C994" s="2"/>
      <c r="D994" s="2"/>
      <c r="E994" s="2"/>
      <c r="F994" s="2"/>
      <c r="G994" s="2"/>
      <c r="H994" s="2"/>
      <c r="I994" s="74"/>
      <c r="J994" s="74"/>
      <c r="K994" s="74"/>
      <c r="L994" s="74"/>
      <c r="M994" s="2"/>
      <c r="N994" s="2"/>
      <c r="O994" s="2"/>
      <c r="P994" s="74"/>
      <c r="Q994" s="2"/>
      <c r="R994" s="2"/>
      <c r="S994" s="76"/>
      <c r="T994" s="2"/>
    </row>
    <row r="995" ht="15.75" customHeight="1">
      <c r="A995" s="2"/>
      <c r="B995" s="2"/>
      <c r="C995" s="2"/>
      <c r="D995" s="2"/>
      <c r="E995" s="2"/>
      <c r="F995" s="2"/>
      <c r="G995" s="2"/>
      <c r="H995" s="2"/>
      <c r="I995" s="74"/>
      <c r="J995" s="74"/>
      <c r="K995" s="74"/>
      <c r="L995" s="74"/>
      <c r="M995" s="2"/>
      <c r="N995" s="2"/>
      <c r="O995" s="2"/>
      <c r="P995" s="74"/>
      <c r="Q995" s="2"/>
      <c r="R995" s="2"/>
      <c r="S995" s="76"/>
      <c r="T995" s="2"/>
    </row>
    <row r="996" ht="15.75" customHeight="1">
      <c r="A996" s="2"/>
      <c r="B996" s="2"/>
      <c r="C996" s="2"/>
      <c r="D996" s="2"/>
      <c r="E996" s="2"/>
      <c r="F996" s="2"/>
      <c r="G996" s="2"/>
      <c r="H996" s="2"/>
      <c r="I996" s="74"/>
      <c r="J996" s="74"/>
      <c r="K996" s="74"/>
      <c r="L996" s="74"/>
      <c r="M996" s="2"/>
      <c r="N996" s="2"/>
      <c r="O996" s="2"/>
      <c r="P996" s="74"/>
      <c r="Q996" s="2"/>
      <c r="R996" s="2"/>
      <c r="S996" s="76"/>
      <c r="T996" s="2"/>
    </row>
    <row r="997" ht="15.75" customHeight="1">
      <c r="A997" s="2"/>
      <c r="B997" s="2"/>
      <c r="C997" s="2"/>
      <c r="D997" s="2"/>
      <c r="E997" s="2"/>
      <c r="F997" s="2"/>
      <c r="G997" s="2"/>
      <c r="H997" s="2"/>
      <c r="I997" s="74"/>
      <c r="J997" s="74"/>
      <c r="K997" s="74"/>
      <c r="L997" s="74"/>
      <c r="M997" s="2"/>
      <c r="N997" s="2"/>
      <c r="O997" s="2"/>
      <c r="P997" s="74"/>
      <c r="Q997" s="2"/>
      <c r="R997" s="2"/>
      <c r="S997" s="76"/>
      <c r="T997" s="2"/>
    </row>
    <row r="998" ht="15.75" customHeight="1">
      <c r="A998" s="2"/>
      <c r="B998" s="2"/>
      <c r="C998" s="2"/>
      <c r="D998" s="2"/>
      <c r="E998" s="2"/>
      <c r="F998" s="2"/>
      <c r="G998" s="2"/>
      <c r="H998" s="2"/>
      <c r="I998" s="74"/>
      <c r="J998" s="74"/>
      <c r="K998" s="74"/>
      <c r="L998" s="74"/>
      <c r="M998" s="2"/>
      <c r="N998" s="2"/>
      <c r="O998" s="2"/>
      <c r="P998" s="74"/>
      <c r="Q998" s="2"/>
      <c r="R998" s="2"/>
      <c r="S998" s="76"/>
      <c r="T998" s="2"/>
    </row>
    <row r="999" ht="15.75" customHeight="1">
      <c r="A999" s="2"/>
      <c r="B999" s="2"/>
      <c r="C999" s="2"/>
      <c r="D999" s="2"/>
      <c r="E999" s="2"/>
      <c r="F999" s="2"/>
      <c r="G999" s="2"/>
      <c r="H999" s="2"/>
      <c r="I999" s="74"/>
      <c r="J999" s="74"/>
      <c r="K999" s="74"/>
      <c r="L999" s="74"/>
      <c r="M999" s="2"/>
      <c r="N999" s="2"/>
      <c r="O999" s="2"/>
      <c r="P999" s="74"/>
      <c r="Q999" s="2"/>
      <c r="R999" s="2"/>
      <c r="S999" s="76"/>
      <c r="T999" s="2"/>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2"/>
    </row>
  </sheetData>
  <autoFilter ref="$A$1:$T$51"/>
  <dataValidations>
    <dataValidation type="list" allowBlank="1" showErrorMessage="1" sqref="C2:C31 C37:C1000">
      <formula1>"P0,P1,P2,P3"</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32 O34 O37 O39:O1000">
      <formula1>"Fixed,In Progress,Need Discussion"</formula1>
    </dataValidation>
    <dataValidation type="list" allowBlank="1" showErrorMessage="1" sqref="Q2:Q45 Q47:Q1000">
      <formula1>"Open,Resolved,Hold,Reopened,Need Discussion"</formula1>
    </dataValidation>
  </dataValidations>
  <hyperlinks>
    <hyperlink r:id="rId1" ref="K2"/>
    <hyperlink r:id="rId2" ref="K3"/>
    <hyperlink r:id="rId3" ref="K4"/>
    <hyperlink r:id="rId4" ref="S4"/>
    <hyperlink r:id="rId5" ref="K5"/>
    <hyperlink r:id="rId6" ref="L5"/>
    <hyperlink r:id="rId7" ref="K6"/>
    <hyperlink r:id="rId8" ref="L6"/>
    <hyperlink r:id="rId9" ref="K7"/>
    <hyperlink r:id="rId10" ref="L7"/>
    <hyperlink r:id="rId11" ref="K8"/>
    <hyperlink r:id="rId12" ref="L8"/>
    <hyperlink r:id="rId13" ref="S8"/>
    <hyperlink r:id="rId14" ref="K9"/>
    <hyperlink r:id="rId15" ref="K10"/>
    <hyperlink r:id="rId16" ref="K11"/>
    <hyperlink r:id="rId17" ref="L11"/>
    <hyperlink r:id="rId18" ref="K12"/>
    <hyperlink r:id="rId19" ref="L12"/>
    <hyperlink r:id="rId20" ref="K13"/>
    <hyperlink r:id="rId21" ref="L13"/>
    <hyperlink r:id="rId22" ref="K14"/>
    <hyperlink r:id="rId23" ref="K15"/>
    <hyperlink r:id="rId24" ref="L15"/>
    <hyperlink r:id="rId25" ref="K16"/>
    <hyperlink r:id="rId26" ref="L16"/>
    <hyperlink r:id="rId27" ref="K17"/>
    <hyperlink r:id="rId28" ref="L17"/>
    <hyperlink r:id="rId29" ref="K18"/>
    <hyperlink r:id="rId30" ref="L18"/>
    <hyperlink r:id="rId31" ref="K19"/>
    <hyperlink r:id="rId32" ref="L19"/>
    <hyperlink r:id="rId33" ref="K20"/>
    <hyperlink r:id="rId34" ref="L20"/>
    <hyperlink r:id="rId35" ref="K21"/>
    <hyperlink r:id="rId36" ref="K22"/>
    <hyperlink r:id="rId37" ref="L22"/>
    <hyperlink r:id="rId38" ref="K23"/>
    <hyperlink r:id="rId39" ref="K24"/>
    <hyperlink r:id="rId40" ref="K25"/>
    <hyperlink r:id="rId41" ref="K26"/>
    <hyperlink r:id="rId42" ref="K27"/>
    <hyperlink r:id="rId43" ref="K28"/>
    <hyperlink r:id="rId44" ref="K29"/>
    <hyperlink r:id="rId45" ref="K30"/>
    <hyperlink r:id="rId46" ref="K31"/>
    <hyperlink r:id="rId47" ref="K32"/>
    <hyperlink r:id="rId48" ref="K34"/>
    <hyperlink r:id="rId49" ref="K35"/>
    <hyperlink r:id="rId50" ref="L35"/>
    <hyperlink r:id="rId51" ref="K36"/>
    <hyperlink r:id="rId52" ref="K37"/>
    <hyperlink r:id="rId53" ref="L37"/>
    <hyperlink r:id="rId54" ref="K38"/>
    <hyperlink r:id="rId55" ref="K39"/>
    <hyperlink r:id="rId56" ref="L39"/>
    <hyperlink r:id="rId57" ref="K41"/>
    <hyperlink r:id="rId58" ref="L41"/>
    <hyperlink r:id="rId59" ref="K43"/>
    <hyperlink r:id="rId60" ref="K44"/>
    <hyperlink r:id="rId61" ref="K45"/>
    <hyperlink r:id="rId62" ref="K46"/>
    <hyperlink r:id="rId63" ref="K47"/>
    <hyperlink r:id="rId64" ref="K48"/>
    <hyperlink r:id="rId65" ref="K49"/>
    <hyperlink r:id="rId66" ref="K50"/>
    <hyperlink r:id="rId67" ref="L51"/>
  </hyperlinks>
  <printOptions/>
  <pageMargins bottom="0.75" footer="0.0" header="0.0" left="0.7" right="0.7" top="0.75"/>
  <pageSetup orientation="landscape"/>
  <headerFooter>
    <oddFooter>&amp;C_x000D_#000000 SBI Card Restricted</oddFooter>
  </headerFooter>
  <drawing r:id="rId6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18.38"/>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7" t="s">
        <v>903</v>
      </c>
      <c r="S1" s="167" t="s">
        <v>276</v>
      </c>
      <c r="T1" s="171" t="s">
        <v>1521</v>
      </c>
    </row>
    <row r="2" hidden="1">
      <c r="A2" s="7" t="s">
        <v>1792</v>
      </c>
      <c r="B2" s="7" t="s">
        <v>1127</v>
      </c>
      <c r="C2" s="7" t="s">
        <v>770</v>
      </c>
      <c r="D2" s="7" t="s">
        <v>907</v>
      </c>
      <c r="E2" s="7" t="s">
        <v>829</v>
      </c>
      <c r="F2" s="7" t="s">
        <v>39</v>
      </c>
      <c r="G2" s="7" t="s">
        <v>12</v>
      </c>
      <c r="H2" s="7" t="s">
        <v>1086</v>
      </c>
      <c r="I2" s="33" t="s">
        <v>1793</v>
      </c>
      <c r="J2" s="33" t="s">
        <v>1794</v>
      </c>
      <c r="K2" s="58" t="s">
        <v>1795</v>
      </c>
      <c r="L2" s="58" t="s">
        <v>1796</v>
      </c>
      <c r="M2" s="7" t="s">
        <v>913</v>
      </c>
      <c r="N2" s="7"/>
      <c r="O2" s="7"/>
      <c r="P2" s="33"/>
      <c r="Q2" s="7" t="s">
        <v>5</v>
      </c>
      <c r="R2" s="130" t="s">
        <v>1797</v>
      </c>
      <c r="S2" s="32" t="s">
        <v>1798</v>
      </c>
      <c r="T2" s="236"/>
    </row>
    <row r="3" hidden="1">
      <c r="A3" s="7" t="s">
        <v>1799</v>
      </c>
      <c r="B3" s="7" t="s">
        <v>1127</v>
      </c>
      <c r="C3" s="7" t="s">
        <v>770</v>
      </c>
      <c r="D3" s="7" t="s">
        <v>907</v>
      </c>
      <c r="E3" s="7" t="s">
        <v>829</v>
      </c>
      <c r="F3" s="7" t="s">
        <v>39</v>
      </c>
      <c r="G3" s="7" t="s">
        <v>12</v>
      </c>
      <c r="H3" s="7" t="s">
        <v>1800</v>
      </c>
      <c r="I3" s="33" t="s">
        <v>1801</v>
      </c>
      <c r="J3" s="33" t="s">
        <v>1802</v>
      </c>
      <c r="K3" s="58" t="s">
        <v>1803</v>
      </c>
      <c r="L3" s="58" t="s">
        <v>1804</v>
      </c>
      <c r="M3" s="7" t="s">
        <v>913</v>
      </c>
      <c r="N3" s="7"/>
      <c r="O3" s="7"/>
      <c r="P3" s="33"/>
      <c r="Q3" s="7" t="s">
        <v>5</v>
      </c>
      <c r="R3" s="7" t="s">
        <v>1797</v>
      </c>
      <c r="S3" s="32" t="s">
        <v>1805</v>
      </c>
      <c r="T3" s="236"/>
    </row>
    <row r="4" hidden="1">
      <c r="A4" s="7" t="s">
        <v>1806</v>
      </c>
      <c r="B4" s="7" t="s">
        <v>1127</v>
      </c>
      <c r="C4" s="7" t="s">
        <v>770</v>
      </c>
      <c r="D4" s="7" t="s">
        <v>907</v>
      </c>
      <c r="E4" s="7" t="s">
        <v>829</v>
      </c>
      <c r="F4" s="7" t="s">
        <v>39</v>
      </c>
      <c r="G4" s="7" t="s">
        <v>12</v>
      </c>
      <c r="H4" s="7" t="s">
        <v>908</v>
      </c>
      <c r="I4" s="33" t="s">
        <v>1807</v>
      </c>
      <c r="J4" s="33" t="s">
        <v>1808</v>
      </c>
      <c r="K4" s="58" t="s">
        <v>1809</v>
      </c>
      <c r="L4" s="33" t="s">
        <v>39</v>
      </c>
      <c r="M4" s="7" t="s">
        <v>913</v>
      </c>
      <c r="N4" s="7"/>
      <c r="O4" s="7"/>
      <c r="P4" s="33" t="s">
        <v>1810</v>
      </c>
      <c r="Q4" s="7" t="s">
        <v>3</v>
      </c>
      <c r="R4" s="130">
        <v>46175.0</v>
      </c>
      <c r="S4" s="32" t="s">
        <v>1811</v>
      </c>
      <c r="T4" s="236"/>
    </row>
    <row r="5" hidden="1">
      <c r="A5" s="7" t="s">
        <v>1812</v>
      </c>
      <c r="B5" s="7" t="s">
        <v>1797</v>
      </c>
      <c r="C5" s="7" t="s">
        <v>755</v>
      </c>
      <c r="D5" s="7" t="s">
        <v>907</v>
      </c>
      <c r="E5" s="7" t="s">
        <v>829</v>
      </c>
      <c r="F5" s="7" t="s">
        <v>1253</v>
      </c>
      <c r="G5" s="7" t="s">
        <v>12</v>
      </c>
      <c r="H5" s="7" t="s">
        <v>1031</v>
      </c>
      <c r="I5" s="33" t="s">
        <v>1813</v>
      </c>
      <c r="J5" s="33" t="s">
        <v>1814</v>
      </c>
      <c r="K5" s="58" t="s">
        <v>1815</v>
      </c>
      <c r="L5" s="58" t="s">
        <v>39</v>
      </c>
      <c r="M5" s="7" t="s">
        <v>913</v>
      </c>
      <c r="N5" s="7"/>
      <c r="O5" s="7"/>
      <c r="P5" s="65"/>
      <c r="Q5" s="7" t="s">
        <v>5</v>
      </c>
      <c r="R5" s="130" t="s">
        <v>1034</v>
      </c>
      <c r="S5" s="32" t="s">
        <v>1668</v>
      </c>
      <c r="T5" s="236"/>
    </row>
    <row r="6" hidden="1">
      <c r="A6" s="7" t="s">
        <v>1816</v>
      </c>
      <c r="B6" s="7" t="s">
        <v>1797</v>
      </c>
      <c r="C6" s="7" t="s">
        <v>747</v>
      </c>
      <c r="D6" s="7" t="s">
        <v>907</v>
      </c>
      <c r="E6" s="7" t="s">
        <v>829</v>
      </c>
      <c r="F6" s="7" t="s">
        <v>39</v>
      </c>
      <c r="G6" s="7" t="s">
        <v>12</v>
      </c>
      <c r="H6" s="7" t="s">
        <v>1183</v>
      </c>
      <c r="I6" s="33" t="s">
        <v>1817</v>
      </c>
      <c r="J6" s="33" t="s">
        <v>1818</v>
      </c>
      <c r="K6" s="58" t="s">
        <v>1819</v>
      </c>
      <c r="L6" s="58" t="s">
        <v>1820</v>
      </c>
      <c r="M6" s="7" t="s">
        <v>913</v>
      </c>
      <c r="N6" s="7"/>
      <c r="O6" s="7"/>
      <c r="P6" s="65" t="s">
        <v>1821</v>
      </c>
      <c r="Q6" s="7" t="s">
        <v>5</v>
      </c>
      <c r="R6" s="130" t="s">
        <v>1140</v>
      </c>
      <c r="S6" s="32" t="s">
        <v>1822</v>
      </c>
      <c r="T6" s="236"/>
    </row>
    <row r="7" hidden="1">
      <c r="A7" s="7" t="s">
        <v>1823</v>
      </c>
      <c r="B7" s="7" t="s">
        <v>1797</v>
      </c>
      <c r="C7" s="7" t="s">
        <v>755</v>
      </c>
      <c r="D7" s="7" t="s">
        <v>907</v>
      </c>
      <c r="E7" s="7" t="s">
        <v>829</v>
      </c>
      <c r="F7" s="7" t="s">
        <v>39</v>
      </c>
      <c r="G7" s="7" t="s">
        <v>12</v>
      </c>
      <c r="H7" s="7" t="s">
        <v>908</v>
      </c>
      <c r="I7" s="33" t="s">
        <v>1824</v>
      </c>
      <c r="J7" s="33" t="s">
        <v>1825</v>
      </c>
      <c r="K7" s="58" t="s">
        <v>1826</v>
      </c>
      <c r="L7" s="58" t="s">
        <v>39</v>
      </c>
      <c r="M7" s="7" t="s">
        <v>913</v>
      </c>
      <c r="N7" s="7"/>
      <c r="O7" s="7"/>
      <c r="P7" s="33" t="s">
        <v>1139</v>
      </c>
      <c r="Q7" s="7" t="s">
        <v>3</v>
      </c>
      <c r="R7" s="7" t="s">
        <v>1140</v>
      </c>
      <c r="S7" s="32" t="s">
        <v>1827</v>
      </c>
      <c r="T7" s="236"/>
    </row>
    <row r="8" hidden="1">
      <c r="A8" s="7" t="s">
        <v>1828</v>
      </c>
      <c r="B8" s="7" t="s">
        <v>1797</v>
      </c>
      <c r="C8" s="7" t="s">
        <v>770</v>
      </c>
      <c r="D8" s="7" t="s">
        <v>907</v>
      </c>
      <c r="E8" s="7" t="s">
        <v>829</v>
      </c>
      <c r="F8" s="7" t="s">
        <v>39</v>
      </c>
      <c r="G8" s="7" t="s">
        <v>12</v>
      </c>
      <c r="H8" s="7" t="s">
        <v>1031</v>
      </c>
      <c r="I8" s="33" t="s">
        <v>1829</v>
      </c>
      <c r="J8" s="33" t="s">
        <v>1830</v>
      </c>
      <c r="K8" s="58" t="s">
        <v>1831</v>
      </c>
      <c r="L8" s="58" t="s">
        <v>39</v>
      </c>
      <c r="M8" s="7" t="s">
        <v>913</v>
      </c>
      <c r="N8" s="7" t="s">
        <v>753</v>
      </c>
      <c r="O8" s="7" t="s">
        <v>1029</v>
      </c>
      <c r="P8" s="65" t="s">
        <v>1832</v>
      </c>
      <c r="Q8" s="7" t="s">
        <v>3</v>
      </c>
      <c r="R8" s="130">
        <v>46145.0</v>
      </c>
      <c r="S8" s="32" t="s">
        <v>1833</v>
      </c>
      <c r="T8" s="236"/>
    </row>
    <row r="9" hidden="1">
      <c r="A9" s="7" t="s">
        <v>1834</v>
      </c>
      <c r="B9" s="7" t="s">
        <v>1797</v>
      </c>
      <c r="C9" s="7" t="s">
        <v>770</v>
      </c>
      <c r="D9" s="7" t="s">
        <v>907</v>
      </c>
      <c r="E9" s="7" t="s">
        <v>829</v>
      </c>
      <c r="F9" s="7" t="s">
        <v>39</v>
      </c>
      <c r="G9" s="7" t="s">
        <v>12</v>
      </c>
      <c r="H9" s="7" t="s">
        <v>1183</v>
      </c>
      <c r="I9" s="33" t="s">
        <v>1835</v>
      </c>
      <c r="J9" s="33" t="s">
        <v>1836</v>
      </c>
      <c r="K9" s="58" t="s">
        <v>1837</v>
      </c>
      <c r="L9" s="58" t="s">
        <v>1838</v>
      </c>
      <c r="M9" s="7" t="s">
        <v>913</v>
      </c>
      <c r="N9" s="7"/>
      <c r="O9" s="7"/>
      <c r="P9" s="65" t="s">
        <v>1839</v>
      </c>
      <c r="Q9" s="7" t="s">
        <v>3</v>
      </c>
      <c r="R9" s="130" t="s">
        <v>1140</v>
      </c>
      <c r="S9" s="32" t="s">
        <v>1840</v>
      </c>
      <c r="T9" s="236"/>
    </row>
    <row r="10" hidden="1">
      <c r="A10" s="7" t="s">
        <v>1841</v>
      </c>
      <c r="B10" s="7" t="s">
        <v>1797</v>
      </c>
      <c r="C10" s="7" t="s">
        <v>747</v>
      </c>
      <c r="D10" s="7" t="s">
        <v>907</v>
      </c>
      <c r="E10" s="7" t="s">
        <v>829</v>
      </c>
      <c r="F10" s="7" t="s">
        <v>39</v>
      </c>
      <c r="G10" s="7" t="s">
        <v>12</v>
      </c>
      <c r="H10" s="7" t="s">
        <v>1800</v>
      </c>
      <c r="I10" s="33" t="s">
        <v>1842</v>
      </c>
      <c r="J10" s="33" t="s">
        <v>1843</v>
      </c>
      <c r="K10" s="58" t="s">
        <v>1844</v>
      </c>
      <c r="L10" s="58" t="s">
        <v>1845</v>
      </c>
      <c r="M10" s="7" t="s">
        <v>913</v>
      </c>
      <c r="N10" s="7"/>
      <c r="O10" s="7" t="s">
        <v>1029</v>
      </c>
      <c r="P10" s="65"/>
      <c r="Q10" s="7" t="s">
        <v>3</v>
      </c>
      <c r="R10" s="7" t="s">
        <v>1140</v>
      </c>
      <c r="S10" s="32"/>
      <c r="T10" s="236"/>
    </row>
    <row r="11" hidden="1">
      <c r="A11" s="7" t="s">
        <v>1846</v>
      </c>
      <c r="B11" s="7" t="s">
        <v>1797</v>
      </c>
      <c r="C11" s="7" t="s">
        <v>747</v>
      </c>
      <c r="D11" s="7" t="s">
        <v>907</v>
      </c>
      <c r="E11" s="7" t="s">
        <v>829</v>
      </c>
      <c r="F11" s="7" t="s">
        <v>39</v>
      </c>
      <c r="G11" s="7" t="s">
        <v>12</v>
      </c>
      <c r="H11" s="7" t="s">
        <v>1172</v>
      </c>
      <c r="I11" s="33" t="s">
        <v>1847</v>
      </c>
      <c r="J11" s="33" t="s">
        <v>1848</v>
      </c>
      <c r="K11" s="58" t="s">
        <v>1849</v>
      </c>
      <c r="L11" s="58" t="s">
        <v>1850</v>
      </c>
      <c r="M11" s="7" t="s">
        <v>913</v>
      </c>
      <c r="N11" s="7" t="s">
        <v>1191</v>
      </c>
      <c r="O11" s="237" t="s">
        <v>1851</v>
      </c>
      <c r="P11" s="65" t="s">
        <v>1852</v>
      </c>
      <c r="Q11" s="7" t="s">
        <v>3</v>
      </c>
      <c r="R11" s="130">
        <v>46267.0</v>
      </c>
      <c r="S11" s="32" t="s">
        <v>1853</v>
      </c>
      <c r="T11" s="236"/>
    </row>
    <row r="12" hidden="1">
      <c r="A12" s="7" t="s">
        <v>1854</v>
      </c>
      <c r="B12" s="7" t="s">
        <v>1797</v>
      </c>
      <c r="C12" s="7" t="s">
        <v>747</v>
      </c>
      <c r="D12" s="7" t="s">
        <v>907</v>
      </c>
      <c r="E12" s="7" t="s">
        <v>829</v>
      </c>
      <c r="F12" s="7" t="s">
        <v>39</v>
      </c>
      <c r="G12" s="7" t="s">
        <v>12</v>
      </c>
      <c r="H12" s="7" t="s">
        <v>1800</v>
      </c>
      <c r="I12" s="33" t="s">
        <v>1855</v>
      </c>
      <c r="J12" s="33" t="s">
        <v>1843</v>
      </c>
      <c r="K12" s="58" t="s">
        <v>1856</v>
      </c>
      <c r="L12" s="58" t="s">
        <v>1857</v>
      </c>
      <c r="M12" s="7" t="s">
        <v>913</v>
      </c>
      <c r="N12" s="7"/>
      <c r="O12" s="7" t="s">
        <v>1029</v>
      </c>
      <c r="P12" s="33"/>
      <c r="Q12" s="7" t="s">
        <v>3</v>
      </c>
      <c r="R12" s="7" t="s">
        <v>1140</v>
      </c>
      <c r="S12" s="32"/>
      <c r="T12" s="236"/>
    </row>
    <row r="13" hidden="1">
      <c r="A13" s="7" t="s">
        <v>1858</v>
      </c>
      <c r="B13" s="7" t="s">
        <v>1797</v>
      </c>
      <c r="C13" s="7" t="s">
        <v>747</v>
      </c>
      <c r="D13" s="7" t="s">
        <v>907</v>
      </c>
      <c r="E13" s="7" t="s">
        <v>756</v>
      </c>
      <c r="F13" s="7" t="s">
        <v>39</v>
      </c>
      <c r="G13" s="7" t="s">
        <v>12</v>
      </c>
      <c r="H13" s="7" t="s">
        <v>1031</v>
      </c>
      <c r="I13" s="33" t="s">
        <v>1859</v>
      </c>
      <c r="J13" s="33" t="s">
        <v>1860</v>
      </c>
      <c r="K13" s="58" t="s">
        <v>1861</v>
      </c>
      <c r="L13" s="58" t="s">
        <v>39</v>
      </c>
      <c r="M13" s="7" t="s">
        <v>913</v>
      </c>
      <c r="N13" s="7"/>
      <c r="O13" s="7"/>
      <c r="P13" s="65"/>
      <c r="Q13" s="7" t="s">
        <v>5</v>
      </c>
      <c r="R13" s="130" t="s">
        <v>1034</v>
      </c>
      <c r="S13" s="32" t="s">
        <v>1668</v>
      </c>
      <c r="T13" s="236"/>
    </row>
    <row r="14" hidden="1">
      <c r="A14" s="7" t="s">
        <v>1862</v>
      </c>
      <c r="B14" s="7" t="s">
        <v>1797</v>
      </c>
      <c r="C14" s="7" t="s">
        <v>747</v>
      </c>
      <c r="D14" s="7" t="s">
        <v>907</v>
      </c>
      <c r="E14" s="7" t="s">
        <v>756</v>
      </c>
      <c r="F14" s="7" t="s">
        <v>39</v>
      </c>
      <c r="G14" s="7" t="s">
        <v>12</v>
      </c>
      <c r="H14" s="7" t="s">
        <v>1031</v>
      </c>
      <c r="I14" s="33" t="s">
        <v>1863</v>
      </c>
      <c r="J14" s="33" t="s">
        <v>1864</v>
      </c>
      <c r="K14" s="58" t="s">
        <v>1861</v>
      </c>
      <c r="L14" s="33" t="s">
        <v>39</v>
      </c>
      <c r="M14" s="7" t="s">
        <v>913</v>
      </c>
      <c r="N14" s="7"/>
      <c r="O14" s="7"/>
      <c r="P14" s="65"/>
      <c r="Q14" s="7" t="s">
        <v>5</v>
      </c>
      <c r="R14" s="130" t="s">
        <v>1034</v>
      </c>
      <c r="S14" s="32" t="s">
        <v>1668</v>
      </c>
      <c r="T14" s="236"/>
    </row>
    <row r="15" hidden="1">
      <c r="A15" s="7" t="s">
        <v>1865</v>
      </c>
      <c r="B15" s="7" t="s">
        <v>1797</v>
      </c>
      <c r="C15" s="7" t="s">
        <v>755</v>
      </c>
      <c r="D15" s="7" t="s">
        <v>907</v>
      </c>
      <c r="E15" s="7" t="s">
        <v>756</v>
      </c>
      <c r="F15" s="7" t="s">
        <v>39</v>
      </c>
      <c r="G15" s="7" t="s">
        <v>12</v>
      </c>
      <c r="H15" s="7" t="s">
        <v>1031</v>
      </c>
      <c r="I15" s="33" t="s">
        <v>1866</v>
      </c>
      <c r="J15" s="33" t="s">
        <v>1867</v>
      </c>
      <c r="K15" s="58" t="s">
        <v>1868</v>
      </c>
      <c r="L15" s="58" t="s">
        <v>39</v>
      </c>
      <c r="M15" s="7" t="s">
        <v>913</v>
      </c>
      <c r="N15" s="7"/>
      <c r="O15" s="7"/>
      <c r="P15" s="65"/>
      <c r="Q15" s="7" t="s">
        <v>5</v>
      </c>
      <c r="R15" s="130" t="s">
        <v>1034</v>
      </c>
      <c r="S15" s="32" t="s">
        <v>1668</v>
      </c>
      <c r="T15" s="236"/>
    </row>
    <row r="16" hidden="1">
      <c r="A16" s="7" t="s">
        <v>1869</v>
      </c>
      <c r="B16" s="7" t="s">
        <v>1797</v>
      </c>
      <c r="C16" s="7" t="s">
        <v>755</v>
      </c>
      <c r="D16" s="7" t="s">
        <v>907</v>
      </c>
      <c r="E16" s="7" t="s">
        <v>756</v>
      </c>
      <c r="F16" s="7" t="s">
        <v>39</v>
      </c>
      <c r="G16" s="7" t="s">
        <v>12</v>
      </c>
      <c r="H16" s="7" t="s">
        <v>1031</v>
      </c>
      <c r="I16" s="33" t="s">
        <v>1870</v>
      </c>
      <c r="J16" s="111" t="s">
        <v>1871</v>
      </c>
      <c r="K16" s="58" t="s">
        <v>1872</v>
      </c>
      <c r="L16" s="58" t="s">
        <v>39</v>
      </c>
      <c r="M16" s="7" t="s">
        <v>913</v>
      </c>
      <c r="N16" s="7"/>
      <c r="O16" s="7"/>
      <c r="P16" s="33"/>
      <c r="Q16" s="7" t="s">
        <v>5</v>
      </c>
      <c r="R16" s="130" t="s">
        <v>1034</v>
      </c>
      <c r="S16" s="32" t="s">
        <v>1668</v>
      </c>
      <c r="T16" s="236"/>
    </row>
    <row r="17" hidden="1">
      <c r="A17" s="7" t="s">
        <v>1873</v>
      </c>
      <c r="B17" s="130" t="s">
        <v>1155</v>
      </c>
      <c r="C17" s="7" t="s">
        <v>770</v>
      </c>
      <c r="D17" s="7" t="s">
        <v>907</v>
      </c>
      <c r="E17" s="7" t="s">
        <v>1757</v>
      </c>
      <c r="F17" s="7" t="s">
        <v>39</v>
      </c>
      <c r="G17" s="7" t="s">
        <v>16</v>
      </c>
      <c r="H17" s="7" t="s">
        <v>1005</v>
      </c>
      <c r="I17" s="33" t="s">
        <v>1874</v>
      </c>
      <c r="J17" s="33" t="s">
        <v>1875</v>
      </c>
      <c r="K17" s="58" t="s">
        <v>1876</v>
      </c>
      <c r="L17" s="58" t="s">
        <v>1877</v>
      </c>
      <c r="M17" s="7" t="s">
        <v>913</v>
      </c>
      <c r="N17" s="7" t="s">
        <v>1878</v>
      </c>
      <c r="O17" s="7" t="s">
        <v>1029</v>
      </c>
      <c r="P17" s="33" t="s">
        <v>1879</v>
      </c>
      <c r="Q17" s="7" t="s">
        <v>3</v>
      </c>
      <c r="R17" s="130" t="s">
        <v>1880</v>
      </c>
      <c r="S17" s="32" t="s">
        <v>1881</v>
      </c>
      <c r="T17" s="12" t="s">
        <v>869</v>
      </c>
    </row>
    <row r="18" hidden="1">
      <c r="A18" s="7" t="s">
        <v>1882</v>
      </c>
      <c r="B18" s="130" t="s">
        <v>1155</v>
      </c>
      <c r="C18" s="7" t="s">
        <v>770</v>
      </c>
      <c r="D18" s="7" t="s">
        <v>907</v>
      </c>
      <c r="E18" s="7" t="s">
        <v>768</v>
      </c>
      <c r="F18" s="7" t="s">
        <v>39</v>
      </c>
      <c r="G18" s="7" t="s">
        <v>16</v>
      </c>
      <c r="H18" s="7" t="s">
        <v>805</v>
      </c>
      <c r="I18" s="33" t="s">
        <v>1883</v>
      </c>
      <c r="J18" s="33" t="s">
        <v>1884</v>
      </c>
      <c r="K18" s="58" t="s">
        <v>1885</v>
      </c>
      <c r="L18" s="58" t="s">
        <v>39</v>
      </c>
      <c r="M18" s="7" t="s">
        <v>913</v>
      </c>
      <c r="N18" s="7" t="s">
        <v>1878</v>
      </c>
      <c r="O18" s="7" t="s">
        <v>1029</v>
      </c>
      <c r="P18" s="33" t="s">
        <v>1879</v>
      </c>
      <c r="Q18" s="7" t="s">
        <v>3</v>
      </c>
      <c r="R18" s="130" t="s">
        <v>1880</v>
      </c>
      <c r="S18" s="32" t="s">
        <v>1886</v>
      </c>
      <c r="T18" s="12" t="s">
        <v>869</v>
      </c>
    </row>
    <row r="19" hidden="1">
      <c r="A19" s="7" t="s">
        <v>1887</v>
      </c>
      <c r="B19" s="130" t="s">
        <v>1155</v>
      </c>
      <c r="C19" s="7" t="s">
        <v>770</v>
      </c>
      <c r="D19" s="7" t="s">
        <v>907</v>
      </c>
      <c r="E19" s="7" t="s">
        <v>829</v>
      </c>
      <c r="F19" s="7" t="s">
        <v>39</v>
      </c>
      <c r="G19" s="7" t="s">
        <v>12</v>
      </c>
      <c r="H19" s="7" t="s">
        <v>1143</v>
      </c>
      <c r="I19" s="33" t="s">
        <v>1888</v>
      </c>
      <c r="J19" s="33" t="s">
        <v>1889</v>
      </c>
      <c r="K19" s="58" t="s">
        <v>1890</v>
      </c>
      <c r="L19" s="58" t="s">
        <v>1891</v>
      </c>
      <c r="M19" s="7" t="s">
        <v>913</v>
      </c>
      <c r="N19" s="7" t="s">
        <v>1878</v>
      </c>
      <c r="O19" s="7" t="s">
        <v>1851</v>
      </c>
      <c r="P19" s="33" t="s">
        <v>1892</v>
      </c>
      <c r="Q19" s="7" t="s">
        <v>3</v>
      </c>
      <c r="R19" s="130">
        <v>46175.0</v>
      </c>
      <c r="S19" s="32" t="s">
        <v>1893</v>
      </c>
      <c r="T19" s="236"/>
    </row>
    <row r="20" hidden="1">
      <c r="A20" s="7" t="s">
        <v>1894</v>
      </c>
      <c r="B20" s="130" t="s">
        <v>1155</v>
      </c>
      <c r="C20" s="7" t="s">
        <v>770</v>
      </c>
      <c r="D20" s="7" t="s">
        <v>907</v>
      </c>
      <c r="E20" s="7" t="s">
        <v>1058</v>
      </c>
      <c r="F20" s="7" t="s">
        <v>39</v>
      </c>
      <c r="G20" s="7" t="s">
        <v>16</v>
      </c>
      <c r="H20" s="7" t="s">
        <v>1005</v>
      </c>
      <c r="I20" s="33" t="s">
        <v>1895</v>
      </c>
      <c r="J20" s="33" t="s">
        <v>1896</v>
      </c>
      <c r="K20" s="58" t="s">
        <v>1897</v>
      </c>
      <c r="L20" s="58" t="s">
        <v>39</v>
      </c>
      <c r="M20" s="7" t="s">
        <v>750</v>
      </c>
      <c r="N20" s="7" t="s">
        <v>1878</v>
      </c>
      <c r="O20" s="7" t="s">
        <v>1029</v>
      </c>
      <c r="P20" s="33"/>
      <c r="Q20" s="7" t="s">
        <v>3</v>
      </c>
      <c r="R20" s="130" t="s">
        <v>1880</v>
      </c>
      <c r="S20" s="32" t="s">
        <v>1898</v>
      </c>
      <c r="T20" s="12" t="s">
        <v>1029</v>
      </c>
    </row>
    <row r="21" ht="15.75" hidden="1" customHeight="1">
      <c r="A21" s="7" t="s">
        <v>1899</v>
      </c>
      <c r="B21" s="130" t="s">
        <v>1155</v>
      </c>
      <c r="C21" s="7" t="s">
        <v>755</v>
      </c>
      <c r="D21" s="7" t="s">
        <v>907</v>
      </c>
      <c r="E21" s="7" t="s">
        <v>829</v>
      </c>
      <c r="F21" s="7" t="s">
        <v>39</v>
      </c>
      <c r="G21" s="7" t="s">
        <v>16</v>
      </c>
      <c r="H21" s="7" t="s">
        <v>1110</v>
      </c>
      <c r="I21" s="33" t="s">
        <v>1900</v>
      </c>
      <c r="J21" s="33" t="s">
        <v>1901</v>
      </c>
      <c r="K21" s="58" t="s">
        <v>1902</v>
      </c>
      <c r="L21" s="58" t="s">
        <v>1903</v>
      </c>
      <c r="M21" s="7" t="s">
        <v>913</v>
      </c>
      <c r="N21" s="7" t="s">
        <v>1878</v>
      </c>
      <c r="O21" s="7" t="s">
        <v>1029</v>
      </c>
      <c r="P21" s="33"/>
      <c r="Q21" s="7" t="s">
        <v>3</v>
      </c>
      <c r="R21" s="130" t="s">
        <v>1880</v>
      </c>
      <c r="S21" s="32" t="s">
        <v>1904</v>
      </c>
      <c r="T21" s="12" t="s">
        <v>869</v>
      </c>
    </row>
    <row r="22" ht="15.75" hidden="1" customHeight="1">
      <c r="A22" s="7" t="s">
        <v>1905</v>
      </c>
      <c r="B22" s="130" t="s">
        <v>1155</v>
      </c>
      <c r="C22" s="7" t="s">
        <v>755</v>
      </c>
      <c r="D22" s="7" t="s">
        <v>907</v>
      </c>
      <c r="E22" s="7" t="s">
        <v>829</v>
      </c>
      <c r="F22" s="7" t="s">
        <v>466</v>
      </c>
      <c r="G22" s="7" t="s">
        <v>16</v>
      </c>
      <c r="H22" s="7" t="s">
        <v>1005</v>
      </c>
      <c r="I22" s="33" t="s">
        <v>1906</v>
      </c>
      <c r="J22" s="33" t="s">
        <v>1907</v>
      </c>
      <c r="K22" s="58" t="s">
        <v>1908</v>
      </c>
      <c r="L22" s="33" t="s">
        <v>39</v>
      </c>
      <c r="M22" s="7" t="s">
        <v>913</v>
      </c>
      <c r="N22" s="7" t="s">
        <v>1878</v>
      </c>
      <c r="O22" s="7" t="s">
        <v>1029</v>
      </c>
      <c r="P22" s="33" t="s">
        <v>13</v>
      </c>
      <c r="Q22" s="7" t="s">
        <v>3</v>
      </c>
      <c r="R22" s="130" t="s">
        <v>1880</v>
      </c>
      <c r="S22" s="32" t="s">
        <v>1909</v>
      </c>
      <c r="T22" s="12" t="s">
        <v>1029</v>
      </c>
    </row>
    <row r="23" ht="15.75" hidden="1" customHeight="1">
      <c r="A23" s="7" t="s">
        <v>1910</v>
      </c>
      <c r="B23" s="130" t="s">
        <v>1155</v>
      </c>
      <c r="C23" s="7" t="s">
        <v>755</v>
      </c>
      <c r="D23" s="7" t="s">
        <v>907</v>
      </c>
      <c r="E23" s="7" t="s">
        <v>829</v>
      </c>
      <c r="F23" s="7" t="s">
        <v>39</v>
      </c>
      <c r="G23" s="7" t="s">
        <v>16</v>
      </c>
      <c r="H23" s="7" t="s">
        <v>1110</v>
      </c>
      <c r="I23" s="33" t="s">
        <v>1911</v>
      </c>
      <c r="J23" s="33" t="s">
        <v>1912</v>
      </c>
      <c r="K23" s="58" t="s">
        <v>1913</v>
      </c>
      <c r="L23" s="33" t="s">
        <v>39</v>
      </c>
      <c r="M23" s="7" t="s">
        <v>913</v>
      </c>
      <c r="N23" s="7" t="s">
        <v>1878</v>
      </c>
      <c r="O23" s="7" t="s">
        <v>1029</v>
      </c>
      <c r="P23" s="33" t="s">
        <v>13</v>
      </c>
      <c r="Q23" s="7" t="s">
        <v>3</v>
      </c>
      <c r="R23" s="130" t="s">
        <v>1880</v>
      </c>
      <c r="S23" s="32" t="s">
        <v>1914</v>
      </c>
      <c r="T23" s="12" t="s">
        <v>1029</v>
      </c>
    </row>
    <row r="24" ht="15.75" customHeight="1">
      <c r="A24" s="7" t="s">
        <v>1915</v>
      </c>
      <c r="B24" s="130" t="s">
        <v>1155</v>
      </c>
      <c r="C24" s="7" t="s">
        <v>755</v>
      </c>
      <c r="D24" s="7" t="s">
        <v>907</v>
      </c>
      <c r="E24" s="7" t="s">
        <v>756</v>
      </c>
      <c r="F24" s="7" t="s">
        <v>39</v>
      </c>
      <c r="G24" s="7" t="s">
        <v>16</v>
      </c>
      <c r="H24" s="7" t="s">
        <v>1916</v>
      </c>
      <c r="I24" s="33" t="s">
        <v>1917</v>
      </c>
      <c r="J24" s="33" t="s">
        <v>1918</v>
      </c>
      <c r="K24" s="58" t="s">
        <v>1919</v>
      </c>
      <c r="L24" s="58" t="s">
        <v>1920</v>
      </c>
      <c r="M24" s="7" t="s">
        <v>750</v>
      </c>
      <c r="N24" s="7" t="s">
        <v>1878</v>
      </c>
      <c r="O24" s="7" t="s">
        <v>1029</v>
      </c>
      <c r="P24" s="33" t="s">
        <v>1921</v>
      </c>
      <c r="Q24" s="7" t="s">
        <v>4</v>
      </c>
      <c r="R24" s="130" t="s">
        <v>1922</v>
      </c>
      <c r="S24" s="32" t="s">
        <v>1923</v>
      </c>
      <c r="T24" s="12" t="s">
        <v>869</v>
      </c>
    </row>
    <row r="25" ht="15.75" hidden="1" customHeight="1">
      <c r="A25" s="7" t="s">
        <v>1924</v>
      </c>
      <c r="B25" s="130" t="s">
        <v>1155</v>
      </c>
      <c r="C25" s="7" t="s">
        <v>755</v>
      </c>
      <c r="D25" s="7" t="s">
        <v>907</v>
      </c>
      <c r="E25" s="7" t="s">
        <v>829</v>
      </c>
      <c r="F25" s="7"/>
      <c r="G25" s="7" t="s">
        <v>12</v>
      </c>
      <c r="H25" s="7" t="s">
        <v>908</v>
      </c>
      <c r="I25" s="33" t="s">
        <v>1925</v>
      </c>
      <c r="J25" s="33" t="s">
        <v>1926</v>
      </c>
      <c r="K25" s="58" t="s">
        <v>1927</v>
      </c>
      <c r="L25" s="33" t="s">
        <v>39</v>
      </c>
      <c r="M25" s="7" t="s">
        <v>913</v>
      </c>
      <c r="N25" s="7"/>
      <c r="O25" s="7"/>
      <c r="P25" s="33" t="s">
        <v>1139</v>
      </c>
      <c r="Q25" s="7" t="s">
        <v>3</v>
      </c>
      <c r="R25" s="7" t="s">
        <v>1140</v>
      </c>
      <c r="S25" s="32" t="s">
        <v>1827</v>
      </c>
      <c r="T25" s="236"/>
    </row>
    <row r="26" ht="15.75" hidden="1" customHeight="1">
      <c r="A26" s="7" t="s">
        <v>1928</v>
      </c>
      <c r="B26" s="130" t="s">
        <v>1155</v>
      </c>
      <c r="C26" s="7" t="s">
        <v>747</v>
      </c>
      <c r="D26" s="7" t="s">
        <v>907</v>
      </c>
      <c r="E26" s="7" t="s">
        <v>829</v>
      </c>
      <c r="F26" s="7" t="s">
        <v>39</v>
      </c>
      <c r="G26" s="7" t="s">
        <v>16</v>
      </c>
      <c r="H26" s="7" t="s">
        <v>1183</v>
      </c>
      <c r="I26" s="33" t="s">
        <v>1929</v>
      </c>
      <c r="J26" s="33" t="s">
        <v>1930</v>
      </c>
      <c r="K26" s="58" t="s">
        <v>1931</v>
      </c>
      <c r="L26" s="33" t="s">
        <v>39</v>
      </c>
      <c r="M26" s="7" t="s">
        <v>913</v>
      </c>
      <c r="N26" s="7" t="s">
        <v>1878</v>
      </c>
      <c r="O26" s="7" t="s">
        <v>1029</v>
      </c>
      <c r="P26" s="33" t="s">
        <v>13</v>
      </c>
      <c r="Q26" s="7" t="s">
        <v>3</v>
      </c>
      <c r="R26" s="130" t="s">
        <v>1565</v>
      </c>
      <c r="S26" s="32" t="s">
        <v>1932</v>
      </c>
      <c r="T26" s="12" t="s">
        <v>1029</v>
      </c>
    </row>
    <row r="27" ht="15.75" hidden="1" customHeight="1">
      <c r="A27" s="7" t="s">
        <v>1933</v>
      </c>
      <c r="B27" s="130" t="s">
        <v>1155</v>
      </c>
      <c r="C27" s="7" t="s">
        <v>755</v>
      </c>
      <c r="D27" s="7" t="s">
        <v>907</v>
      </c>
      <c r="E27" s="7" t="s">
        <v>1934</v>
      </c>
      <c r="F27" s="7" t="s">
        <v>39</v>
      </c>
      <c r="G27" s="7" t="s">
        <v>16</v>
      </c>
      <c r="H27" s="7" t="s">
        <v>1005</v>
      </c>
      <c r="I27" s="33" t="s">
        <v>1935</v>
      </c>
      <c r="J27" s="33" t="s">
        <v>1936</v>
      </c>
      <c r="K27" s="58" t="s">
        <v>1937</v>
      </c>
      <c r="L27" s="33" t="s">
        <v>39</v>
      </c>
      <c r="M27" s="7" t="s">
        <v>913</v>
      </c>
      <c r="N27" s="7" t="s">
        <v>1878</v>
      </c>
      <c r="O27" s="7" t="s">
        <v>1029</v>
      </c>
      <c r="P27" s="33" t="s">
        <v>1938</v>
      </c>
      <c r="Q27" s="7" t="s">
        <v>3</v>
      </c>
      <c r="R27" s="130" t="s">
        <v>1880</v>
      </c>
      <c r="S27" s="32" t="s">
        <v>1939</v>
      </c>
      <c r="T27" s="12" t="s">
        <v>1029</v>
      </c>
    </row>
    <row r="28" ht="15.75" hidden="1" customHeight="1">
      <c r="A28" s="7" t="s">
        <v>1940</v>
      </c>
      <c r="B28" s="130" t="s">
        <v>1155</v>
      </c>
      <c r="C28" s="7" t="s">
        <v>747</v>
      </c>
      <c r="D28" s="7" t="s">
        <v>907</v>
      </c>
      <c r="E28" s="7" t="s">
        <v>1757</v>
      </c>
      <c r="F28" s="7" t="s">
        <v>39</v>
      </c>
      <c r="G28" s="7" t="s">
        <v>12</v>
      </c>
      <c r="H28" s="7" t="s">
        <v>1051</v>
      </c>
      <c r="I28" s="33" t="s">
        <v>1941</v>
      </c>
      <c r="J28" s="33" t="s">
        <v>1942</v>
      </c>
      <c r="K28" s="58" t="s">
        <v>1943</v>
      </c>
      <c r="L28" s="33" t="s">
        <v>39</v>
      </c>
      <c r="M28" s="7" t="s">
        <v>913</v>
      </c>
      <c r="N28" s="7" t="s">
        <v>753</v>
      </c>
      <c r="O28" s="7" t="s">
        <v>1029</v>
      </c>
      <c r="P28" s="33" t="s">
        <v>1879</v>
      </c>
      <c r="Q28" s="7" t="s">
        <v>1265</v>
      </c>
      <c r="R28" s="130" t="s">
        <v>1279</v>
      </c>
      <c r="S28" s="32" t="s">
        <v>1944</v>
      </c>
      <c r="T28" s="12" t="s">
        <v>869</v>
      </c>
    </row>
    <row r="29" ht="15.75" hidden="1" customHeight="1">
      <c r="A29" s="7" t="s">
        <v>1945</v>
      </c>
      <c r="B29" s="130" t="s">
        <v>1155</v>
      </c>
      <c r="C29" s="7" t="s">
        <v>747</v>
      </c>
      <c r="D29" s="7" t="s">
        <v>907</v>
      </c>
      <c r="E29" s="7" t="s">
        <v>1757</v>
      </c>
      <c r="F29" s="7" t="s">
        <v>39</v>
      </c>
      <c r="G29" s="7" t="s">
        <v>6</v>
      </c>
      <c r="H29" s="7" t="s">
        <v>1051</v>
      </c>
      <c r="I29" s="33" t="s">
        <v>1941</v>
      </c>
      <c r="J29" s="33" t="s">
        <v>1946</v>
      </c>
      <c r="K29" s="58" t="s">
        <v>1947</v>
      </c>
      <c r="L29" s="33" t="s">
        <v>39</v>
      </c>
      <c r="M29" s="7" t="s">
        <v>913</v>
      </c>
      <c r="N29" s="7" t="s">
        <v>753</v>
      </c>
      <c r="O29" s="7" t="s">
        <v>1029</v>
      </c>
      <c r="P29" s="33" t="s">
        <v>1948</v>
      </c>
      <c r="Q29" s="7" t="s">
        <v>1265</v>
      </c>
      <c r="R29" s="130" t="s">
        <v>1279</v>
      </c>
      <c r="S29" s="32" t="s">
        <v>1949</v>
      </c>
      <c r="T29" s="12" t="s">
        <v>869</v>
      </c>
    </row>
    <row r="30" ht="15.75" hidden="1" customHeight="1">
      <c r="A30" s="7" t="s">
        <v>1950</v>
      </c>
      <c r="B30" s="130" t="s">
        <v>1155</v>
      </c>
      <c r="C30" s="7" t="s">
        <v>770</v>
      </c>
      <c r="D30" s="7" t="s">
        <v>907</v>
      </c>
      <c r="E30" s="7" t="s">
        <v>1757</v>
      </c>
      <c r="F30" s="7" t="s">
        <v>39</v>
      </c>
      <c r="G30" s="7" t="s">
        <v>16</v>
      </c>
      <c r="H30" s="7" t="s">
        <v>805</v>
      </c>
      <c r="I30" s="33" t="s">
        <v>1951</v>
      </c>
      <c r="J30" s="33" t="s">
        <v>1952</v>
      </c>
      <c r="K30" s="58" t="s">
        <v>1953</v>
      </c>
      <c r="L30" s="33" t="s">
        <v>39</v>
      </c>
      <c r="M30" s="7" t="s">
        <v>913</v>
      </c>
      <c r="N30" s="7" t="s">
        <v>1878</v>
      </c>
      <c r="O30" s="238" t="s">
        <v>1029</v>
      </c>
      <c r="P30" s="33" t="s">
        <v>1954</v>
      </c>
      <c r="Q30" s="7" t="s">
        <v>3</v>
      </c>
      <c r="R30" s="130" t="s">
        <v>1955</v>
      </c>
      <c r="S30" s="32" t="s">
        <v>1956</v>
      </c>
      <c r="T30" s="12" t="s">
        <v>869</v>
      </c>
    </row>
    <row r="31" ht="15.75" hidden="1" customHeight="1">
      <c r="A31" s="7" t="s">
        <v>1957</v>
      </c>
      <c r="B31" s="130" t="s">
        <v>1155</v>
      </c>
      <c r="C31" s="7" t="s">
        <v>747</v>
      </c>
      <c r="D31" s="7" t="s">
        <v>907</v>
      </c>
      <c r="E31" s="7" t="s">
        <v>829</v>
      </c>
      <c r="F31" s="7" t="s">
        <v>39</v>
      </c>
      <c r="G31" s="7" t="s">
        <v>16</v>
      </c>
      <c r="H31" s="7" t="s">
        <v>1172</v>
      </c>
      <c r="I31" s="33" t="s">
        <v>1958</v>
      </c>
      <c r="J31" s="33" t="s">
        <v>1959</v>
      </c>
      <c r="K31" s="58" t="s">
        <v>1960</v>
      </c>
      <c r="L31" s="58" t="s">
        <v>1961</v>
      </c>
      <c r="M31" s="7" t="s">
        <v>913</v>
      </c>
      <c r="N31" s="7" t="s">
        <v>1878</v>
      </c>
      <c r="O31" s="7" t="s">
        <v>1029</v>
      </c>
      <c r="P31" s="33" t="s">
        <v>13</v>
      </c>
      <c r="Q31" s="7" t="s">
        <v>3</v>
      </c>
      <c r="R31" s="130" t="s">
        <v>1955</v>
      </c>
      <c r="S31" s="32" t="s">
        <v>1962</v>
      </c>
      <c r="T31" s="12" t="s">
        <v>1029</v>
      </c>
    </row>
    <row r="32" ht="15.75" hidden="1" customHeight="1">
      <c r="A32" s="7" t="s">
        <v>1963</v>
      </c>
      <c r="B32" s="130" t="s">
        <v>1155</v>
      </c>
      <c r="C32" s="7" t="s">
        <v>755</v>
      </c>
      <c r="D32" s="7" t="s">
        <v>907</v>
      </c>
      <c r="E32" s="7" t="s">
        <v>1757</v>
      </c>
      <c r="F32" s="7" t="s">
        <v>39</v>
      </c>
      <c r="G32" s="7" t="s">
        <v>12</v>
      </c>
      <c r="H32" s="7" t="s">
        <v>1205</v>
      </c>
      <c r="I32" s="33" t="s">
        <v>1964</v>
      </c>
      <c r="J32" s="33" t="s">
        <v>1965</v>
      </c>
      <c r="K32" s="58" t="s">
        <v>1966</v>
      </c>
      <c r="L32" s="33" t="s">
        <v>39</v>
      </c>
      <c r="M32" s="7" t="s">
        <v>913</v>
      </c>
      <c r="N32" s="7" t="s">
        <v>1878</v>
      </c>
      <c r="O32" s="7" t="s">
        <v>1851</v>
      </c>
      <c r="P32" s="33" t="s">
        <v>1232</v>
      </c>
      <c r="Q32" s="7" t="s">
        <v>5</v>
      </c>
      <c r="R32" s="7" t="s">
        <v>1027</v>
      </c>
      <c r="S32" s="32" t="s">
        <v>1967</v>
      </c>
      <c r="T32" s="236"/>
    </row>
    <row r="33" ht="15.75" customHeight="1">
      <c r="A33" s="7" t="s">
        <v>1968</v>
      </c>
      <c r="B33" s="130" t="s">
        <v>1155</v>
      </c>
      <c r="C33" s="7" t="s">
        <v>755</v>
      </c>
      <c r="D33" s="7" t="s">
        <v>907</v>
      </c>
      <c r="E33" s="7" t="s">
        <v>768</v>
      </c>
      <c r="F33" s="7" t="s">
        <v>39</v>
      </c>
      <c r="G33" s="7" t="s">
        <v>16</v>
      </c>
      <c r="H33" s="7" t="s">
        <v>805</v>
      </c>
      <c r="I33" s="33" t="s">
        <v>1969</v>
      </c>
      <c r="J33" s="33" t="s">
        <v>1970</v>
      </c>
      <c r="K33" s="58" t="s">
        <v>1971</v>
      </c>
      <c r="L33" s="33" t="s">
        <v>39</v>
      </c>
      <c r="M33" s="7" t="s">
        <v>913</v>
      </c>
      <c r="N33" s="7" t="s">
        <v>1878</v>
      </c>
      <c r="O33" s="7" t="s">
        <v>1029</v>
      </c>
      <c r="P33" s="33" t="s">
        <v>1972</v>
      </c>
      <c r="Q33" s="7" t="s">
        <v>4</v>
      </c>
      <c r="R33" s="130" t="s">
        <v>1279</v>
      </c>
      <c r="S33" s="32" t="s">
        <v>1973</v>
      </c>
      <c r="T33" s="12" t="s">
        <v>869</v>
      </c>
    </row>
    <row r="34" ht="15.75" hidden="1" customHeight="1">
      <c r="A34" s="7" t="s">
        <v>1974</v>
      </c>
      <c r="B34" s="130" t="s">
        <v>1155</v>
      </c>
      <c r="C34" s="7" t="s">
        <v>770</v>
      </c>
      <c r="D34" s="7" t="s">
        <v>907</v>
      </c>
      <c r="E34" s="7" t="s">
        <v>829</v>
      </c>
      <c r="F34" s="7" t="s">
        <v>39</v>
      </c>
      <c r="G34" s="7" t="s">
        <v>16</v>
      </c>
      <c r="H34" s="7" t="s">
        <v>1051</v>
      </c>
      <c r="I34" s="33" t="s">
        <v>1975</v>
      </c>
      <c r="J34" s="33" t="s">
        <v>1976</v>
      </c>
      <c r="K34" s="58" t="s">
        <v>1977</v>
      </c>
      <c r="L34" s="33" t="s">
        <v>39</v>
      </c>
      <c r="M34" s="7" t="s">
        <v>913</v>
      </c>
      <c r="N34" s="7" t="s">
        <v>1878</v>
      </c>
      <c r="O34" s="7" t="s">
        <v>1029</v>
      </c>
      <c r="P34" s="33"/>
      <c r="Q34" s="7" t="s">
        <v>3</v>
      </c>
      <c r="R34" s="130" t="s">
        <v>1955</v>
      </c>
      <c r="S34" s="32" t="s">
        <v>1978</v>
      </c>
      <c r="T34" s="12" t="s">
        <v>1029</v>
      </c>
    </row>
    <row r="35" ht="15.75" hidden="1" customHeight="1">
      <c r="A35" s="7" t="s">
        <v>1979</v>
      </c>
      <c r="B35" s="130" t="s">
        <v>1155</v>
      </c>
      <c r="C35" s="7" t="s">
        <v>755</v>
      </c>
      <c r="D35" s="7" t="s">
        <v>907</v>
      </c>
      <c r="E35" s="7" t="s">
        <v>756</v>
      </c>
      <c r="F35" s="7" t="s">
        <v>39</v>
      </c>
      <c r="G35" s="7" t="s">
        <v>16</v>
      </c>
      <c r="H35" s="7" t="s">
        <v>970</v>
      </c>
      <c r="I35" s="33" t="s">
        <v>1980</v>
      </c>
      <c r="J35" s="33" t="s">
        <v>1981</v>
      </c>
      <c r="K35" s="58" t="s">
        <v>1982</v>
      </c>
      <c r="L35" s="33" t="s">
        <v>39</v>
      </c>
      <c r="M35" s="7" t="s">
        <v>913</v>
      </c>
      <c r="N35" s="7" t="s">
        <v>1878</v>
      </c>
      <c r="O35" s="7" t="s">
        <v>1029</v>
      </c>
      <c r="P35" s="33" t="s">
        <v>13</v>
      </c>
      <c r="Q35" s="7" t="s">
        <v>3</v>
      </c>
      <c r="R35" s="130" t="s">
        <v>1955</v>
      </c>
      <c r="S35" s="32" t="s">
        <v>1983</v>
      </c>
      <c r="T35" s="12" t="s">
        <v>1029</v>
      </c>
    </row>
    <row r="36" ht="15.75" hidden="1" customHeight="1">
      <c r="A36" s="7" t="s">
        <v>1984</v>
      </c>
      <c r="B36" s="130" t="s">
        <v>1155</v>
      </c>
      <c r="C36" s="7" t="s">
        <v>770</v>
      </c>
      <c r="D36" s="7" t="s">
        <v>907</v>
      </c>
      <c r="E36" s="7" t="s">
        <v>829</v>
      </c>
      <c r="F36" s="7" t="s">
        <v>39</v>
      </c>
      <c r="G36" s="7" t="s">
        <v>12</v>
      </c>
      <c r="H36" s="7" t="s">
        <v>1022</v>
      </c>
      <c r="I36" s="33" t="s">
        <v>1985</v>
      </c>
      <c r="J36" s="33" t="s">
        <v>1986</v>
      </c>
      <c r="K36" s="58" t="s">
        <v>1987</v>
      </c>
      <c r="L36" s="33" t="s">
        <v>39</v>
      </c>
      <c r="M36" s="7" t="s">
        <v>913</v>
      </c>
      <c r="N36" s="7"/>
      <c r="O36" s="7"/>
      <c r="P36" s="33" t="s">
        <v>1232</v>
      </c>
      <c r="Q36" s="7" t="s">
        <v>5</v>
      </c>
      <c r="R36" s="7" t="s">
        <v>1027</v>
      </c>
      <c r="S36" s="32" t="s">
        <v>1988</v>
      </c>
      <c r="T36" s="236"/>
    </row>
    <row r="37" ht="15.75" hidden="1" customHeight="1">
      <c r="A37" s="7" t="s">
        <v>1989</v>
      </c>
      <c r="B37" s="7" t="s">
        <v>1155</v>
      </c>
      <c r="C37" s="7" t="s">
        <v>747</v>
      </c>
      <c r="D37" s="7" t="s">
        <v>907</v>
      </c>
      <c r="E37" s="7" t="s">
        <v>1757</v>
      </c>
      <c r="F37" s="7" t="s">
        <v>39</v>
      </c>
      <c r="G37" s="7" t="s">
        <v>12</v>
      </c>
      <c r="H37" s="7" t="s">
        <v>1205</v>
      </c>
      <c r="I37" s="33" t="s">
        <v>1990</v>
      </c>
      <c r="J37" s="33" t="s">
        <v>1991</v>
      </c>
      <c r="K37" s="58" t="s">
        <v>1992</v>
      </c>
      <c r="L37" s="33" t="s">
        <v>39</v>
      </c>
      <c r="M37" s="7" t="s">
        <v>913</v>
      </c>
      <c r="N37" s="7"/>
      <c r="O37" s="7" t="s">
        <v>1029</v>
      </c>
      <c r="P37" s="33"/>
      <c r="Q37" s="7" t="s">
        <v>3</v>
      </c>
      <c r="R37" s="7" t="s">
        <v>1140</v>
      </c>
      <c r="S37" s="32"/>
      <c r="T37" s="236"/>
    </row>
    <row r="38" ht="15.75" hidden="1" customHeight="1">
      <c r="A38" s="7" t="s">
        <v>1993</v>
      </c>
      <c r="B38" s="7" t="s">
        <v>1011</v>
      </c>
      <c r="C38" s="7" t="s">
        <v>770</v>
      </c>
      <c r="D38" s="7" t="s">
        <v>907</v>
      </c>
      <c r="E38" s="7" t="s">
        <v>829</v>
      </c>
      <c r="F38" s="7" t="s">
        <v>39</v>
      </c>
      <c r="G38" s="7" t="s">
        <v>12</v>
      </c>
      <c r="H38" s="7" t="s">
        <v>1205</v>
      </c>
      <c r="I38" s="33" t="s">
        <v>1994</v>
      </c>
      <c r="J38" s="33" t="s">
        <v>1995</v>
      </c>
      <c r="K38" s="58" t="s">
        <v>1996</v>
      </c>
      <c r="L38" s="33" t="s">
        <v>39</v>
      </c>
      <c r="M38" s="7" t="s">
        <v>913</v>
      </c>
      <c r="N38" s="7"/>
      <c r="O38" s="7" t="s">
        <v>1029</v>
      </c>
      <c r="P38" s="33"/>
      <c r="Q38" s="7" t="s">
        <v>3</v>
      </c>
      <c r="R38" s="130">
        <v>46144.0</v>
      </c>
      <c r="S38" s="32" t="s">
        <v>1997</v>
      </c>
      <c r="T38" s="236"/>
    </row>
    <row r="39" ht="15.75" hidden="1" customHeight="1">
      <c r="A39" s="179" t="s">
        <v>1998</v>
      </c>
      <c r="B39" s="179" t="s">
        <v>1140</v>
      </c>
      <c r="C39" s="179" t="s">
        <v>747</v>
      </c>
      <c r="D39" s="179" t="s">
        <v>907</v>
      </c>
      <c r="E39" s="179" t="s">
        <v>1058</v>
      </c>
      <c r="F39" s="179" t="s">
        <v>39</v>
      </c>
      <c r="G39" s="179" t="s">
        <v>6</v>
      </c>
      <c r="H39" s="179" t="s">
        <v>1172</v>
      </c>
      <c r="I39" s="182" t="s">
        <v>1999</v>
      </c>
      <c r="J39" s="182" t="s">
        <v>2000</v>
      </c>
      <c r="K39" s="183" t="s">
        <v>2001</v>
      </c>
      <c r="L39" s="183" t="s">
        <v>2002</v>
      </c>
      <c r="M39" s="179" t="s">
        <v>913</v>
      </c>
      <c r="N39" s="179" t="s">
        <v>1191</v>
      </c>
      <c r="O39" s="179" t="s">
        <v>1029</v>
      </c>
      <c r="P39" s="239" t="s">
        <v>2003</v>
      </c>
      <c r="Q39" s="179" t="s">
        <v>4</v>
      </c>
      <c r="R39" s="240">
        <v>46056.0</v>
      </c>
      <c r="S39" s="241" t="s">
        <v>2004</v>
      </c>
      <c r="T39" s="242"/>
    </row>
    <row r="40" ht="15.0" hidden="1" customHeight="1">
      <c r="A40" s="179" t="s">
        <v>2005</v>
      </c>
      <c r="B40" s="179" t="s">
        <v>1140</v>
      </c>
      <c r="C40" s="179" t="s">
        <v>747</v>
      </c>
      <c r="D40" s="179" t="s">
        <v>907</v>
      </c>
      <c r="E40" s="179" t="s">
        <v>1058</v>
      </c>
      <c r="F40" s="179" t="s">
        <v>39</v>
      </c>
      <c r="G40" s="179" t="s">
        <v>6</v>
      </c>
      <c r="H40" s="179" t="s">
        <v>1172</v>
      </c>
      <c r="I40" s="182" t="s">
        <v>2006</v>
      </c>
      <c r="J40" s="182" t="s">
        <v>2007</v>
      </c>
      <c r="K40" s="183" t="s">
        <v>2008</v>
      </c>
      <c r="L40" s="183" t="s">
        <v>2009</v>
      </c>
      <c r="M40" s="179" t="s">
        <v>913</v>
      </c>
      <c r="N40" s="179" t="s">
        <v>1191</v>
      </c>
      <c r="O40" s="179" t="s">
        <v>1029</v>
      </c>
      <c r="P40" s="239" t="s">
        <v>2003</v>
      </c>
      <c r="Q40" s="179" t="s">
        <v>4</v>
      </c>
      <c r="R40" s="240">
        <v>46056.0</v>
      </c>
      <c r="S40" s="241" t="s">
        <v>2010</v>
      </c>
      <c r="T40" s="242"/>
    </row>
    <row r="41" ht="15.75" hidden="1" customHeight="1">
      <c r="A41" s="179" t="s">
        <v>2011</v>
      </c>
      <c r="B41" s="179" t="s">
        <v>1140</v>
      </c>
      <c r="C41" s="179" t="s">
        <v>747</v>
      </c>
      <c r="D41" s="179" t="s">
        <v>907</v>
      </c>
      <c r="E41" s="179" t="s">
        <v>829</v>
      </c>
      <c r="F41" s="179" t="s">
        <v>39</v>
      </c>
      <c r="G41" s="179" t="s">
        <v>6</v>
      </c>
      <c r="H41" s="179" t="s">
        <v>1172</v>
      </c>
      <c r="I41" s="182" t="s">
        <v>2012</v>
      </c>
      <c r="J41" s="182" t="s">
        <v>2013</v>
      </c>
      <c r="K41" s="183" t="s">
        <v>2014</v>
      </c>
      <c r="L41" s="183" t="s">
        <v>2015</v>
      </c>
      <c r="M41" s="179" t="s">
        <v>913</v>
      </c>
      <c r="N41" s="179" t="s">
        <v>1191</v>
      </c>
      <c r="O41" s="179" t="s">
        <v>1029</v>
      </c>
      <c r="P41" s="185" t="s">
        <v>2003</v>
      </c>
      <c r="Q41" s="179" t="s">
        <v>4</v>
      </c>
      <c r="R41" s="240">
        <v>46056.0</v>
      </c>
      <c r="S41" s="243" t="s">
        <v>2016</v>
      </c>
      <c r="T41" s="242"/>
    </row>
    <row r="42" ht="15.75" hidden="1" customHeight="1">
      <c r="A42" s="179" t="s">
        <v>2017</v>
      </c>
      <c r="B42" s="179" t="s">
        <v>1140</v>
      </c>
      <c r="C42" s="179" t="s">
        <v>747</v>
      </c>
      <c r="D42" s="179" t="s">
        <v>907</v>
      </c>
      <c r="E42" s="179" t="s">
        <v>1058</v>
      </c>
      <c r="F42" s="179" t="s">
        <v>39</v>
      </c>
      <c r="G42" s="179" t="s">
        <v>6</v>
      </c>
      <c r="H42" s="179" t="s">
        <v>1172</v>
      </c>
      <c r="I42" s="182" t="s">
        <v>2018</v>
      </c>
      <c r="J42" s="182" t="s">
        <v>2019</v>
      </c>
      <c r="K42" s="183" t="s">
        <v>2020</v>
      </c>
      <c r="L42" s="183" t="s">
        <v>2021</v>
      </c>
      <c r="M42" s="179" t="s">
        <v>913</v>
      </c>
      <c r="N42" s="179" t="s">
        <v>1191</v>
      </c>
      <c r="O42" s="179" t="s">
        <v>1029</v>
      </c>
      <c r="P42" s="185" t="s">
        <v>2003</v>
      </c>
      <c r="Q42" s="179" t="s">
        <v>4</v>
      </c>
      <c r="R42" s="240">
        <v>46056.0</v>
      </c>
      <c r="S42" s="244" t="s">
        <v>2022</v>
      </c>
      <c r="T42" s="242"/>
    </row>
    <row r="43" ht="15.75" hidden="1" customHeight="1">
      <c r="A43" s="7" t="s">
        <v>2023</v>
      </c>
      <c r="B43" s="7" t="s">
        <v>1034</v>
      </c>
      <c r="C43" s="7" t="s">
        <v>770</v>
      </c>
      <c r="D43" s="7" t="s">
        <v>907</v>
      </c>
      <c r="E43" s="7" t="s">
        <v>829</v>
      </c>
      <c r="F43" s="7" t="s">
        <v>39</v>
      </c>
      <c r="G43" s="7" t="s">
        <v>16</v>
      </c>
      <c r="H43" s="7" t="s">
        <v>1205</v>
      </c>
      <c r="I43" s="33" t="s">
        <v>2024</v>
      </c>
      <c r="J43" s="33" t="s">
        <v>2025</v>
      </c>
      <c r="K43" s="58" t="s">
        <v>2026</v>
      </c>
      <c r="L43" s="33" t="s">
        <v>39</v>
      </c>
      <c r="M43" s="7" t="s">
        <v>913</v>
      </c>
      <c r="N43" s="7" t="s">
        <v>1878</v>
      </c>
      <c r="O43" s="7" t="s">
        <v>1851</v>
      </c>
      <c r="P43" s="33" t="s">
        <v>2027</v>
      </c>
      <c r="Q43" s="7" t="s">
        <v>3</v>
      </c>
      <c r="R43" s="130">
        <v>46175.0</v>
      </c>
      <c r="S43" s="32" t="s">
        <v>2028</v>
      </c>
      <c r="T43" s="12"/>
    </row>
    <row r="44" ht="15.75" hidden="1" customHeight="1">
      <c r="A44" s="7" t="s">
        <v>2029</v>
      </c>
      <c r="B44" s="7" t="s">
        <v>1034</v>
      </c>
      <c r="C44" s="7" t="s">
        <v>755</v>
      </c>
      <c r="D44" s="7" t="s">
        <v>907</v>
      </c>
      <c r="E44" s="7" t="s">
        <v>756</v>
      </c>
      <c r="F44" s="7" t="s">
        <v>39</v>
      </c>
      <c r="G44" s="7" t="s">
        <v>12</v>
      </c>
      <c r="H44" s="7" t="s">
        <v>1205</v>
      </c>
      <c r="I44" s="33" t="s">
        <v>2030</v>
      </c>
      <c r="J44" s="33" t="s">
        <v>2031</v>
      </c>
      <c r="K44" s="58" t="s">
        <v>2032</v>
      </c>
      <c r="L44" s="58" t="s">
        <v>2033</v>
      </c>
      <c r="M44" s="7" t="s">
        <v>913</v>
      </c>
      <c r="N44" s="7" t="s">
        <v>913</v>
      </c>
      <c r="O44" s="7" t="s">
        <v>1029</v>
      </c>
      <c r="P44" s="33"/>
      <c r="Q44" s="7" t="s">
        <v>3</v>
      </c>
      <c r="R44" s="130">
        <v>46144.0</v>
      </c>
      <c r="S44" s="32"/>
      <c r="T44" s="236"/>
    </row>
    <row r="45" ht="15.75" customHeight="1">
      <c r="A45" s="7" t="s">
        <v>2034</v>
      </c>
      <c r="B45" s="7" t="s">
        <v>1034</v>
      </c>
      <c r="C45" s="7" t="s">
        <v>755</v>
      </c>
      <c r="D45" s="7" t="s">
        <v>907</v>
      </c>
      <c r="E45" s="7" t="s">
        <v>756</v>
      </c>
      <c r="F45" s="7" t="s">
        <v>39</v>
      </c>
      <c r="G45" s="7" t="s">
        <v>16</v>
      </c>
      <c r="H45" s="7" t="s">
        <v>1051</v>
      </c>
      <c r="I45" s="33" t="s">
        <v>2035</v>
      </c>
      <c r="J45" s="33" t="s">
        <v>2036</v>
      </c>
      <c r="K45" s="58" t="s">
        <v>2037</v>
      </c>
      <c r="L45" s="33" t="s">
        <v>39</v>
      </c>
      <c r="M45" s="7" t="s">
        <v>913</v>
      </c>
      <c r="N45" s="7" t="s">
        <v>1878</v>
      </c>
      <c r="O45" s="245" t="s">
        <v>1029</v>
      </c>
      <c r="P45" s="33" t="s">
        <v>2038</v>
      </c>
      <c r="Q45" s="7" t="s">
        <v>4</v>
      </c>
      <c r="R45" s="130" t="s">
        <v>1027</v>
      </c>
      <c r="S45" s="32" t="s">
        <v>2039</v>
      </c>
      <c r="T45" s="12" t="s">
        <v>869</v>
      </c>
    </row>
    <row r="46" ht="15.75" customHeight="1">
      <c r="A46" s="7" t="s">
        <v>2040</v>
      </c>
      <c r="B46" s="130">
        <v>46055.0</v>
      </c>
      <c r="C46" s="7" t="s">
        <v>755</v>
      </c>
      <c r="D46" s="7" t="s">
        <v>907</v>
      </c>
      <c r="E46" s="7" t="s">
        <v>829</v>
      </c>
      <c r="F46" s="7" t="s">
        <v>39</v>
      </c>
      <c r="G46" s="7" t="s">
        <v>16</v>
      </c>
      <c r="H46" s="7" t="s">
        <v>1051</v>
      </c>
      <c r="I46" s="33" t="s">
        <v>2041</v>
      </c>
      <c r="J46" s="33" t="s">
        <v>2042</v>
      </c>
      <c r="K46" s="58" t="s">
        <v>2043</v>
      </c>
      <c r="L46" s="33" t="s">
        <v>39</v>
      </c>
      <c r="M46" s="7" t="s">
        <v>913</v>
      </c>
      <c r="N46" s="7" t="s">
        <v>1878</v>
      </c>
      <c r="O46" s="7" t="s">
        <v>1029</v>
      </c>
      <c r="P46" s="33"/>
      <c r="Q46" s="7" t="s">
        <v>4</v>
      </c>
      <c r="R46" s="130">
        <v>46328.0</v>
      </c>
      <c r="S46" s="32" t="s">
        <v>2044</v>
      </c>
      <c r="T46" s="12" t="s">
        <v>869</v>
      </c>
    </row>
    <row r="47" ht="15.75" hidden="1" customHeight="1">
      <c r="A47" s="7" t="s">
        <v>2045</v>
      </c>
      <c r="B47" s="130">
        <v>46055.0</v>
      </c>
      <c r="C47" s="7" t="s">
        <v>747</v>
      </c>
      <c r="D47" s="7" t="s">
        <v>907</v>
      </c>
      <c r="E47" s="7" t="s">
        <v>756</v>
      </c>
      <c r="F47" s="7" t="s">
        <v>39</v>
      </c>
      <c r="G47" s="7" t="s">
        <v>12</v>
      </c>
      <c r="H47" s="7" t="s">
        <v>1031</v>
      </c>
      <c r="I47" s="33" t="s">
        <v>2046</v>
      </c>
      <c r="J47" s="33" t="s">
        <v>2047</v>
      </c>
      <c r="K47" s="58" t="s">
        <v>2048</v>
      </c>
      <c r="L47" s="33" t="s">
        <v>39</v>
      </c>
      <c r="M47" s="7" t="s">
        <v>913</v>
      </c>
      <c r="N47" s="7"/>
      <c r="O47" s="7"/>
      <c r="P47" s="33"/>
      <c r="Q47" s="7" t="s">
        <v>5</v>
      </c>
      <c r="R47" s="130" t="s">
        <v>1034</v>
      </c>
      <c r="S47" s="32" t="s">
        <v>1668</v>
      </c>
      <c r="T47" s="236"/>
    </row>
    <row r="48" ht="15.75" customHeight="1">
      <c r="A48" s="7" t="s">
        <v>2049</v>
      </c>
      <c r="B48" s="130">
        <v>46055.0</v>
      </c>
      <c r="C48" s="7" t="s">
        <v>755</v>
      </c>
      <c r="D48" s="7" t="s">
        <v>907</v>
      </c>
      <c r="E48" s="7" t="s">
        <v>756</v>
      </c>
      <c r="F48" s="7" t="s">
        <v>39</v>
      </c>
      <c r="G48" s="7" t="s">
        <v>16</v>
      </c>
      <c r="H48" s="7" t="s">
        <v>1031</v>
      </c>
      <c r="I48" s="33" t="s">
        <v>2050</v>
      </c>
      <c r="J48" s="33" t="s">
        <v>2051</v>
      </c>
      <c r="K48" s="33" t="s">
        <v>2052</v>
      </c>
      <c r="L48" s="33" t="s">
        <v>39</v>
      </c>
      <c r="M48" s="7" t="s">
        <v>913</v>
      </c>
      <c r="N48" s="7" t="s">
        <v>1878</v>
      </c>
      <c r="O48" s="7" t="s">
        <v>1029</v>
      </c>
      <c r="P48" s="33" t="s">
        <v>2053</v>
      </c>
      <c r="Q48" s="7" t="s">
        <v>4</v>
      </c>
      <c r="R48" s="130" t="s">
        <v>1383</v>
      </c>
      <c r="S48" s="32" t="s">
        <v>2054</v>
      </c>
      <c r="T48" s="12" t="s">
        <v>869</v>
      </c>
    </row>
    <row r="49" ht="15.75" hidden="1" customHeight="1">
      <c r="A49" s="7" t="s">
        <v>2055</v>
      </c>
      <c r="B49" s="130">
        <v>46055.0</v>
      </c>
      <c r="C49" s="7" t="s">
        <v>747</v>
      </c>
      <c r="D49" s="7" t="s">
        <v>907</v>
      </c>
      <c r="E49" s="7" t="s">
        <v>756</v>
      </c>
      <c r="F49" s="7" t="s">
        <v>39</v>
      </c>
      <c r="G49" s="7" t="s">
        <v>12</v>
      </c>
      <c r="H49" s="7" t="s">
        <v>1031</v>
      </c>
      <c r="I49" s="33" t="s">
        <v>2056</v>
      </c>
      <c r="J49" s="33" t="s">
        <v>2057</v>
      </c>
      <c r="K49" s="58" t="s">
        <v>2058</v>
      </c>
      <c r="L49" s="33" t="s">
        <v>39</v>
      </c>
      <c r="M49" s="7" t="s">
        <v>913</v>
      </c>
      <c r="N49" s="7"/>
      <c r="O49" s="7"/>
      <c r="P49" s="33"/>
      <c r="Q49" s="7" t="s">
        <v>5</v>
      </c>
      <c r="R49" s="130" t="s">
        <v>1034</v>
      </c>
      <c r="S49" s="32" t="s">
        <v>1668</v>
      </c>
      <c r="T49" s="236"/>
    </row>
    <row r="50" ht="15.75" hidden="1" customHeight="1">
      <c r="A50" s="7" t="s">
        <v>2059</v>
      </c>
      <c r="B50" s="130">
        <v>46055.0</v>
      </c>
      <c r="C50" s="7" t="s">
        <v>747</v>
      </c>
      <c r="D50" s="7" t="s">
        <v>907</v>
      </c>
      <c r="E50" s="7" t="s">
        <v>756</v>
      </c>
      <c r="F50" s="7" t="s">
        <v>39</v>
      </c>
      <c r="G50" s="7" t="s">
        <v>12</v>
      </c>
      <c r="H50" s="7" t="s">
        <v>1031</v>
      </c>
      <c r="I50" s="33" t="s">
        <v>2060</v>
      </c>
      <c r="J50" s="33" t="s">
        <v>2061</v>
      </c>
      <c r="K50" s="58" t="s">
        <v>2062</v>
      </c>
      <c r="L50" s="33" t="s">
        <v>39</v>
      </c>
      <c r="M50" s="7" t="s">
        <v>913</v>
      </c>
      <c r="N50" s="7"/>
      <c r="O50" s="7"/>
      <c r="P50" s="33"/>
      <c r="Q50" s="7" t="s">
        <v>5</v>
      </c>
      <c r="R50" s="130" t="s">
        <v>1034</v>
      </c>
      <c r="S50" s="32" t="s">
        <v>1668</v>
      </c>
      <c r="T50" s="236"/>
    </row>
    <row r="51" ht="15.75" hidden="1" customHeight="1">
      <c r="A51" s="7" t="s">
        <v>2063</v>
      </c>
      <c r="B51" s="130">
        <v>46055.0</v>
      </c>
      <c r="C51" s="7" t="s">
        <v>747</v>
      </c>
      <c r="D51" s="7" t="s">
        <v>907</v>
      </c>
      <c r="E51" s="7" t="s">
        <v>756</v>
      </c>
      <c r="F51" s="7" t="s">
        <v>39</v>
      </c>
      <c r="G51" s="7" t="s">
        <v>12</v>
      </c>
      <c r="H51" s="7" t="s">
        <v>1031</v>
      </c>
      <c r="I51" s="33" t="s">
        <v>2064</v>
      </c>
      <c r="J51" s="33" t="s">
        <v>2065</v>
      </c>
      <c r="K51" s="58" t="s">
        <v>2066</v>
      </c>
      <c r="L51" s="33" t="s">
        <v>39</v>
      </c>
      <c r="M51" s="7" t="s">
        <v>913</v>
      </c>
      <c r="N51" s="7"/>
      <c r="O51" s="7"/>
      <c r="P51" s="33"/>
      <c r="Q51" s="7" t="s">
        <v>5</v>
      </c>
      <c r="R51" s="130" t="s">
        <v>1034</v>
      </c>
      <c r="S51" s="32" t="s">
        <v>1668</v>
      </c>
      <c r="T51" s="236"/>
    </row>
    <row r="52" ht="15.75" customHeight="1">
      <c r="A52" s="7" t="s">
        <v>2067</v>
      </c>
      <c r="B52" s="130">
        <v>46055.0</v>
      </c>
      <c r="C52" s="7" t="s">
        <v>755</v>
      </c>
      <c r="D52" s="7" t="s">
        <v>907</v>
      </c>
      <c r="E52" s="7" t="s">
        <v>829</v>
      </c>
      <c r="F52" s="7" t="s">
        <v>39</v>
      </c>
      <c r="G52" s="7" t="s">
        <v>16</v>
      </c>
      <c r="H52" s="7" t="s">
        <v>1051</v>
      </c>
      <c r="I52" s="33" t="s">
        <v>2068</v>
      </c>
      <c r="J52" s="33" t="s">
        <v>2069</v>
      </c>
      <c r="K52" s="58" t="s">
        <v>2070</v>
      </c>
      <c r="L52" s="33" t="s">
        <v>39</v>
      </c>
      <c r="M52" s="7" t="s">
        <v>913</v>
      </c>
      <c r="N52" s="7" t="s">
        <v>1878</v>
      </c>
      <c r="O52" s="7" t="s">
        <v>1029</v>
      </c>
      <c r="P52" s="33"/>
      <c r="Q52" s="7" t="s">
        <v>4</v>
      </c>
      <c r="R52" s="130">
        <v>46328.0</v>
      </c>
      <c r="S52" s="32" t="s">
        <v>2071</v>
      </c>
      <c r="T52" s="12" t="s">
        <v>869</v>
      </c>
    </row>
    <row r="53" ht="15.75" hidden="1" customHeight="1">
      <c r="A53" s="7" t="s">
        <v>2072</v>
      </c>
      <c r="B53" s="130">
        <v>46055.0</v>
      </c>
      <c r="C53" s="7" t="s">
        <v>755</v>
      </c>
      <c r="D53" s="7" t="s">
        <v>2073</v>
      </c>
      <c r="E53" s="7" t="s">
        <v>756</v>
      </c>
      <c r="F53" s="7" t="s">
        <v>39</v>
      </c>
      <c r="G53" s="7" t="s">
        <v>12</v>
      </c>
      <c r="H53" s="7" t="s">
        <v>1031</v>
      </c>
      <c r="I53" s="33" t="s">
        <v>2074</v>
      </c>
      <c r="J53" s="33" t="s">
        <v>2075</v>
      </c>
      <c r="K53" s="58" t="s">
        <v>2076</v>
      </c>
      <c r="L53" s="33" t="s">
        <v>39</v>
      </c>
      <c r="M53" s="7" t="s">
        <v>913</v>
      </c>
      <c r="N53" s="7"/>
      <c r="O53" s="7"/>
      <c r="P53" s="33"/>
      <c r="Q53" s="7" t="s">
        <v>5</v>
      </c>
      <c r="R53" s="130" t="s">
        <v>1034</v>
      </c>
      <c r="S53" s="32" t="s">
        <v>1668</v>
      </c>
      <c r="T53" s="236"/>
    </row>
    <row r="54" ht="15.75" hidden="1" customHeight="1">
      <c r="A54" s="7" t="s">
        <v>2077</v>
      </c>
      <c r="B54" s="130">
        <v>46055.0</v>
      </c>
      <c r="C54" s="7" t="s">
        <v>747</v>
      </c>
      <c r="D54" s="7" t="s">
        <v>907</v>
      </c>
      <c r="E54" s="7" t="s">
        <v>756</v>
      </c>
      <c r="F54" s="7" t="s">
        <v>39</v>
      </c>
      <c r="G54" s="7" t="s">
        <v>12</v>
      </c>
      <c r="H54" s="7" t="s">
        <v>1031</v>
      </c>
      <c r="I54" s="33" t="s">
        <v>2078</v>
      </c>
      <c r="J54" s="33" t="s">
        <v>2079</v>
      </c>
      <c r="K54" s="58" t="s">
        <v>2080</v>
      </c>
      <c r="L54" s="33" t="s">
        <v>39</v>
      </c>
      <c r="M54" s="7" t="s">
        <v>913</v>
      </c>
      <c r="N54" s="7"/>
      <c r="O54" s="7"/>
      <c r="P54" s="33"/>
      <c r="Q54" s="7" t="s">
        <v>5</v>
      </c>
      <c r="R54" s="130" t="s">
        <v>1034</v>
      </c>
      <c r="S54" s="32" t="s">
        <v>1668</v>
      </c>
      <c r="T54" s="236"/>
    </row>
    <row r="55" ht="15.75" hidden="1" customHeight="1">
      <c r="A55" s="7" t="s">
        <v>2081</v>
      </c>
      <c r="B55" s="130">
        <v>46055.0</v>
      </c>
      <c r="C55" s="7" t="s">
        <v>747</v>
      </c>
      <c r="D55" s="7" t="s">
        <v>2082</v>
      </c>
      <c r="E55" s="7" t="s">
        <v>756</v>
      </c>
      <c r="F55" s="7" t="s">
        <v>39</v>
      </c>
      <c r="G55" s="7" t="s">
        <v>16</v>
      </c>
      <c r="H55" s="7" t="s">
        <v>1051</v>
      </c>
      <c r="I55" s="33" t="s">
        <v>2083</v>
      </c>
      <c r="J55" s="33" t="s">
        <v>2084</v>
      </c>
      <c r="K55" s="58" t="s">
        <v>2085</v>
      </c>
      <c r="L55" s="33" t="s">
        <v>39</v>
      </c>
      <c r="M55" s="7" t="s">
        <v>913</v>
      </c>
      <c r="N55" s="7" t="s">
        <v>1878</v>
      </c>
      <c r="O55" s="134" t="s">
        <v>1029</v>
      </c>
      <c r="P55" s="121" t="s">
        <v>2086</v>
      </c>
      <c r="Q55" s="7" t="s">
        <v>3</v>
      </c>
      <c r="R55" s="130">
        <v>46297.0</v>
      </c>
      <c r="S55" s="32" t="s">
        <v>2087</v>
      </c>
      <c r="T55" s="12" t="s">
        <v>1029</v>
      </c>
    </row>
    <row r="56" ht="15.75" hidden="1" customHeight="1">
      <c r="A56" s="7" t="s">
        <v>2088</v>
      </c>
      <c r="B56" s="130">
        <v>46055.0</v>
      </c>
      <c r="C56" s="7" t="s">
        <v>747</v>
      </c>
      <c r="D56" s="7" t="s">
        <v>907</v>
      </c>
      <c r="E56" s="7" t="s">
        <v>829</v>
      </c>
      <c r="F56" s="7" t="s">
        <v>39</v>
      </c>
      <c r="G56" s="7" t="s">
        <v>12</v>
      </c>
      <c r="H56" s="7" t="s">
        <v>1051</v>
      </c>
      <c r="I56" s="33" t="s">
        <v>2089</v>
      </c>
      <c r="J56" s="33" t="s">
        <v>2090</v>
      </c>
      <c r="K56" s="58" t="s">
        <v>2091</v>
      </c>
      <c r="L56" s="33" t="s">
        <v>39</v>
      </c>
      <c r="M56" s="7" t="s">
        <v>913</v>
      </c>
      <c r="N56" s="7" t="s">
        <v>753</v>
      </c>
      <c r="O56" s="7" t="s">
        <v>1029</v>
      </c>
      <c r="P56" s="33" t="s">
        <v>2092</v>
      </c>
      <c r="Q56" s="7" t="s">
        <v>3</v>
      </c>
      <c r="R56" s="130">
        <v>46267.0</v>
      </c>
      <c r="S56" s="32" t="s">
        <v>2093</v>
      </c>
      <c r="T56" s="236"/>
    </row>
    <row r="57" ht="15.75" hidden="1" customHeight="1">
      <c r="A57" s="7" t="s">
        <v>2094</v>
      </c>
      <c r="B57" s="130">
        <v>46055.0</v>
      </c>
      <c r="C57" s="7" t="s">
        <v>747</v>
      </c>
      <c r="D57" s="7" t="s">
        <v>907</v>
      </c>
      <c r="E57" s="7" t="s">
        <v>829</v>
      </c>
      <c r="F57" s="7" t="s">
        <v>2095</v>
      </c>
      <c r="G57" s="7" t="s">
        <v>16</v>
      </c>
      <c r="H57" s="7" t="s">
        <v>460</v>
      </c>
      <c r="I57" s="33" t="s">
        <v>2096</v>
      </c>
      <c r="J57" s="33" t="s">
        <v>2097</v>
      </c>
      <c r="K57" s="58" t="s">
        <v>2098</v>
      </c>
      <c r="L57" s="33" t="s">
        <v>39</v>
      </c>
      <c r="M57" s="7" t="s">
        <v>913</v>
      </c>
      <c r="N57" s="7" t="s">
        <v>1878</v>
      </c>
      <c r="O57" s="7" t="s">
        <v>1029</v>
      </c>
      <c r="P57" s="33"/>
      <c r="Q57" s="7" t="s">
        <v>3</v>
      </c>
      <c r="R57" s="130" t="s">
        <v>1955</v>
      </c>
      <c r="S57" s="32" t="s">
        <v>2099</v>
      </c>
      <c r="T57" s="12" t="s">
        <v>1029</v>
      </c>
    </row>
    <row r="58" ht="15.75" hidden="1" customHeight="1">
      <c r="A58" s="7" t="s">
        <v>2100</v>
      </c>
      <c r="B58" s="130">
        <v>46055.0</v>
      </c>
      <c r="C58" s="7" t="s">
        <v>747</v>
      </c>
      <c r="D58" s="7" t="s">
        <v>907</v>
      </c>
      <c r="E58" s="7" t="s">
        <v>829</v>
      </c>
      <c r="F58" s="7" t="s">
        <v>2095</v>
      </c>
      <c r="G58" s="7" t="s">
        <v>12</v>
      </c>
      <c r="H58" s="7" t="s">
        <v>805</v>
      </c>
      <c r="I58" s="33" t="s">
        <v>2101</v>
      </c>
      <c r="J58" s="33" t="s">
        <v>2102</v>
      </c>
      <c r="K58" s="58" t="s">
        <v>2103</v>
      </c>
      <c r="L58" s="33" t="s">
        <v>39</v>
      </c>
      <c r="M58" s="7" t="s">
        <v>913</v>
      </c>
      <c r="N58" s="7" t="s">
        <v>753</v>
      </c>
      <c r="O58" s="7"/>
      <c r="P58" s="33" t="s">
        <v>2104</v>
      </c>
      <c r="Q58" s="7" t="s">
        <v>4</v>
      </c>
      <c r="R58" s="7" t="s">
        <v>1027</v>
      </c>
      <c r="S58" s="32" t="s">
        <v>2105</v>
      </c>
      <c r="T58" s="236"/>
    </row>
    <row r="59" ht="15.75" customHeight="1">
      <c r="A59" s="7" t="s">
        <v>2106</v>
      </c>
      <c r="B59" s="130">
        <v>46055.0</v>
      </c>
      <c r="C59" s="7" t="s">
        <v>755</v>
      </c>
      <c r="D59" s="7" t="s">
        <v>907</v>
      </c>
      <c r="E59" s="7" t="s">
        <v>1757</v>
      </c>
      <c r="F59" s="7" t="s">
        <v>2107</v>
      </c>
      <c r="G59" s="7" t="s">
        <v>16</v>
      </c>
      <c r="H59" s="7" t="s">
        <v>1005</v>
      </c>
      <c r="I59" s="33" t="s">
        <v>2108</v>
      </c>
      <c r="J59" s="33" t="s">
        <v>2109</v>
      </c>
      <c r="K59" s="58" t="s">
        <v>2110</v>
      </c>
      <c r="L59" s="58" t="s">
        <v>2111</v>
      </c>
      <c r="M59" s="7" t="s">
        <v>913</v>
      </c>
      <c r="N59" s="7" t="s">
        <v>1878</v>
      </c>
      <c r="O59" s="7" t="s">
        <v>1029</v>
      </c>
      <c r="P59" s="33"/>
      <c r="Q59" s="7" t="s">
        <v>4</v>
      </c>
      <c r="R59" s="130">
        <v>46328.0</v>
      </c>
      <c r="S59" s="32" t="s">
        <v>2112</v>
      </c>
      <c r="T59" s="12" t="s">
        <v>869</v>
      </c>
    </row>
    <row r="60" ht="15.75" hidden="1" customHeight="1">
      <c r="A60" s="7" t="s">
        <v>2113</v>
      </c>
      <c r="B60" s="130">
        <v>46055.0</v>
      </c>
      <c r="C60" s="7" t="s">
        <v>755</v>
      </c>
      <c r="D60" s="7" t="s">
        <v>907</v>
      </c>
      <c r="E60" s="7" t="s">
        <v>1757</v>
      </c>
      <c r="F60" s="7" t="s">
        <v>39</v>
      </c>
      <c r="G60" s="7" t="s">
        <v>12</v>
      </c>
      <c r="H60" s="7" t="s">
        <v>1172</v>
      </c>
      <c r="I60" s="33" t="s">
        <v>2114</v>
      </c>
      <c r="J60" s="33" t="s">
        <v>2115</v>
      </c>
      <c r="K60" s="58" t="s">
        <v>2116</v>
      </c>
      <c r="L60" s="33" t="s">
        <v>39</v>
      </c>
      <c r="M60" s="7" t="s">
        <v>913</v>
      </c>
      <c r="N60" s="7" t="s">
        <v>753</v>
      </c>
      <c r="O60" s="7" t="s">
        <v>1029</v>
      </c>
      <c r="P60" s="33" t="s">
        <v>2092</v>
      </c>
      <c r="Q60" s="7" t="s">
        <v>3</v>
      </c>
      <c r="R60" s="130">
        <v>46267.0</v>
      </c>
      <c r="S60" s="32" t="s">
        <v>2117</v>
      </c>
      <c r="T60" s="236"/>
    </row>
    <row r="61" ht="15.75" hidden="1" customHeight="1">
      <c r="A61" s="7" t="s">
        <v>2118</v>
      </c>
      <c r="B61" s="130">
        <v>46055.0</v>
      </c>
      <c r="C61" s="7" t="s">
        <v>747</v>
      </c>
      <c r="D61" s="7" t="s">
        <v>907</v>
      </c>
      <c r="E61" s="7" t="s">
        <v>829</v>
      </c>
      <c r="F61" s="7" t="s">
        <v>39</v>
      </c>
      <c r="G61" s="7" t="s">
        <v>12</v>
      </c>
      <c r="H61" s="7" t="s">
        <v>1205</v>
      </c>
      <c r="I61" s="33" t="s">
        <v>2119</v>
      </c>
      <c r="J61" s="33" t="s">
        <v>2120</v>
      </c>
      <c r="K61" s="58" t="s">
        <v>2121</v>
      </c>
      <c r="L61" s="33" t="s">
        <v>39</v>
      </c>
      <c r="M61" s="7" t="s">
        <v>913</v>
      </c>
      <c r="N61" s="7" t="s">
        <v>913</v>
      </c>
      <c r="O61" s="7" t="s">
        <v>1018</v>
      </c>
      <c r="P61" s="33" t="s">
        <v>2122</v>
      </c>
      <c r="Q61" s="7" t="s">
        <v>3</v>
      </c>
      <c r="R61" s="130">
        <v>46114.0</v>
      </c>
      <c r="S61" s="32" t="s">
        <v>2123</v>
      </c>
      <c r="T61" s="236"/>
    </row>
    <row r="62" ht="15.75" hidden="1" customHeight="1">
      <c r="A62" s="7" t="s">
        <v>2124</v>
      </c>
      <c r="B62" s="130">
        <v>46055.0</v>
      </c>
      <c r="C62" s="7" t="s">
        <v>747</v>
      </c>
      <c r="D62" s="7" t="s">
        <v>907</v>
      </c>
      <c r="E62" s="7" t="s">
        <v>829</v>
      </c>
      <c r="F62" s="7" t="s">
        <v>39</v>
      </c>
      <c r="G62" s="7" t="s">
        <v>12</v>
      </c>
      <c r="H62" s="7" t="s">
        <v>1051</v>
      </c>
      <c r="I62" s="33" t="s">
        <v>2125</v>
      </c>
      <c r="J62" s="33" t="s">
        <v>2126</v>
      </c>
      <c r="K62" s="58" t="s">
        <v>2121</v>
      </c>
      <c r="L62" s="33" t="s">
        <v>39</v>
      </c>
      <c r="M62" s="7" t="s">
        <v>913</v>
      </c>
      <c r="N62" s="7" t="s">
        <v>913</v>
      </c>
      <c r="O62" s="7" t="s">
        <v>1018</v>
      </c>
      <c r="P62" s="33" t="s">
        <v>1139</v>
      </c>
      <c r="Q62" s="7" t="s">
        <v>3</v>
      </c>
      <c r="R62" s="130">
        <v>46267.0</v>
      </c>
      <c r="S62" s="32" t="s">
        <v>2127</v>
      </c>
      <c r="T62" s="236"/>
    </row>
    <row r="63" ht="15.75" customHeight="1">
      <c r="A63" s="7" t="s">
        <v>2128</v>
      </c>
      <c r="B63" s="130">
        <v>46055.0</v>
      </c>
      <c r="C63" s="7" t="s">
        <v>755</v>
      </c>
      <c r="D63" s="7" t="s">
        <v>907</v>
      </c>
      <c r="E63" s="7" t="s">
        <v>829</v>
      </c>
      <c r="F63" s="7" t="s">
        <v>39</v>
      </c>
      <c r="G63" s="7" t="s">
        <v>16</v>
      </c>
      <c r="H63" s="7" t="s">
        <v>1205</v>
      </c>
      <c r="I63" s="33" t="s">
        <v>2129</v>
      </c>
      <c r="J63" s="33" t="s">
        <v>2130</v>
      </c>
      <c r="K63" s="58" t="s">
        <v>2131</v>
      </c>
      <c r="L63" s="33" t="s">
        <v>39</v>
      </c>
      <c r="M63" s="7" t="s">
        <v>913</v>
      </c>
      <c r="N63" s="7" t="s">
        <v>1878</v>
      </c>
      <c r="O63" s="7"/>
      <c r="P63" s="33" t="s">
        <v>2053</v>
      </c>
      <c r="Q63" s="7" t="s">
        <v>4</v>
      </c>
      <c r="R63" s="130">
        <v>46056.0</v>
      </c>
      <c r="S63" s="32" t="s">
        <v>2132</v>
      </c>
      <c r="T63" s="12" t="s">
        <v>869</v>
      </c>
    </row>
    <row r="64" ht="15.75" hidden="1" customHeight="1">
      <c r="A64" s="7" t="s">
        <v>2133</v>
      </c>
      <c r="B64" s="130">
        <v>46055.0</v>
      </c>
      <c r="C64" s="7" t="s">
        <v>747</v>
      </c>
      <c r="D64" s="7" t="s">
        <v>907</v>
      </c>
      <c r="E64" s="7" t="s">
        <v>829</v>
      </c>
      <c r="F64" s="7" t="s">
        <v>39</v>
      </c>
      <c r="G64" s="7" t="s">
        <v>12</v>
      </c>
      <c r="H64" s="7" t="s">
        <v>1205</v>
      </c>
      <c r="I64" s="33" t="s">
        <v>2134</v>
      </c>
      <c r="J64" s="33" t="s">
        <v>2135</v>
      </c>
      <c r="K64" s="58" t="s">
        <v>2136</v>
      </c>
      <c r="L64" s="33" t="s">
        <v>39</v>
      </c>
      <c r="M64" s="7" t="s">
        <v>913</v>
      </c>
      <c r="N64" s="7" t="s">
        <v>753</v>
      </c>
      <c r="O64" s="7" t="s">
        <v>1018</v>
      </c>
      <c r="P64" s="33" t="s">
        <v>2137</v>
      </c>
      <c r="Q64" s="7" t="s">
        <v>4</v>
      </c>
      <c r="R64" s="130" t="s">
        <v>1027</v>
      </c>
      <c r="S64" s="32" t="s">
        <v>2138</v>
      </c>
      <c r="T64" s="236"/>
    </row>
    <row r="65" ht="15.75" hidden="1" customHeight="1">
      <c r="A65" s="7" t="s">
        <v>2139</v>
      </c>
      <c r="B65" s="130">
        <v>46055.0</v>
      </c>
      <c r="C65" s="7" t="s">
        <v>747</v>
      </c>
      <c r="D65" s="7" t="s">
        <v>907</v>
      </c>
      <c r="E65" s="7" t="s">
        <v>756</v>
      </c>
      <c r="F65" s="7" t="s">
        <v>39</v>
      </c>
      <c r="G65" s="7" t="s">
        <v>12</v>
      </c>
      <c r="H65" s="7" t="s">
        <v>1031</v>
      </c>
      <c r="I65" s="33" t="s">
        <v>2140</v>
      </c>
      <c r="J65" s="33" t="s">
        <v>2141</v>
      </c>
      <c r="K65" s="58" t="s">
        <v>2142</v>
      </c>
      <c r="L65" s="33" t="s">
        <v>39</v>
      </c>
      <c r="M65" s="7" t="s">
        <v>913</v>
      </c>
      <c r="N65" s="7"/>
      <c r="O65" s="7"/>
      <c r="P65" s="33"/>
      <c r="Q65" s="7" t="s">
        <v>5</v>
      </c>
      <c r="R65" s="130" t="s">
        <v>1034</v>
      </c>
      <c r="S65" s="32" t="s">
        <v>1668</v>
      </c>
      <c r="T65" s="236"/>
    </row>
    <row r="66" ht="15.75" hidden="1" customHeight="1">
      <c r="A66" s="7" t="s">
        <v>2143</v>
      </c>
      <c r="B66" s="130">
        <v>46055.0</v>
      </c>
      <c r="C66" s="7" t="s">
        <v>747</v>
      </c>
      <c r="D66" s="7" t="s">
        <v>907</v>
      </c>
      <c r="E66" s="7" t="s">
        <v>1004</v>
      </c>
      <c r="F66" s="7" t="s">
        <v>39</v>
      </c>
      <c r="G66" s="7" t="s">
        <v>16</v>
      </c>
      <c r="H66" s="7" t="s">
        <v>1172</v>
      </c>
      <c r="I66" s="33" t="s">
        <v>2144</v>
      </c>
      <c r="J66" s="33" t="s">
        <v>2145</v>
      </c>
      <c r="K66" s="58" t="s">
        <v>2146</v>
      </c>
      <c r="L66" s="33" t="s">
        <v>39</v>
      </c>
      <c r="M66" s="7" t="s">
        <v>913</v>
      </c>
      <c r="N66" s="7" t="s">
        <v>1878</v>
      </c>
      <c r="O66" s="7" t="s">
        <v>1029</v>
      </c>
      <c r="P66" s="33" t="s">
        <v>2147</v>
      </c>
      <c r="Q66" s="7" t="s">
        <v>3</v>
      </c>
      <c r="R66" s="130" t="s">
        <v>1880</v>
      </c>
      <c r="S66" s="32" t="s">
        <v>2148</v>
      </c>
      <c r="T66" s="12" t="s">
        <v>869</v>
      </c>
    </row>
    <row r="67" ht="15.75" hidden="1" customHeight="1">
      <c r="A67" s="134" t="s">
        <v>2149</v>
      </c>
      <c r="B67" s="221">
        <v>46055.0</v>
      </c>
      <c r="C67" s="134" t="s">
        <v>770</v>
      </c>
      <c r="D67" s="134" t="s">
        <v>907</v>
      </c>
      <c r="E67" s="134" t="s">
        <v>1058</v>
      </c>
      <c r="F67" s="210" t="s">
        <v>39</v>
      </c>
      <c r="G67" s="7" t="s">
        <v>16</v>
      </c>
      <c r="H67" s="134" t="s">
        <v>757</v>
      </c>
      <c r="I67" s="111" t="s">
        <v>2150</v>
      </c>
      <c r="J67" s="33" t="s">
        <v>2151</v>
      </c>
      <c r="K67" s="58" t="s">
        <v>2152</v>
      </c>
      <c r="L67" s="193" t="s">
        <v>39</v>
      </c>
      <c r="M67" s="134" t="s">
        <v>913</v>
      </c>
      <c r="N67" s="7" t="s">
        <v>1878</v>
      </c>
      <c r="O67" s="134" t="s">
        <v>1029</v>
      </c>
      <c r="P67" s="121" t="s">
        <v>13</v>
      </c>
      <c r="Q67" s="7" t="s">
        <v>3</v>
      </c>
      <c r="R67" s="130" t="s">
        <v>1880</v>
      </c>
      <c r="S67" s="192" t="s">
        <v>2153</v>
      </c>
      <c r="T67" s="12" t="s">
        <v>1029</v>
      </c>
    </row>
    <row r="68" ht="15.75" hidden="1" customHeight="1">
      <c r="A68" s="134" t="s">
        <v>2154</v>
      </c>
      <c r="B68" s="221">
        <v>46055.0</v>
      </c>
      <c r="C68" s="134" t="s">
        <v>770</v>
      </c>
      <c r="D68" s="134" t="s">
        <v>907</v>
      </c>
      <c r="E68" s="134" t="s">
        <v>829</v>
      </c>
      <c r="F68" s="210" t="s">
        <v>39</v>
      </c>
      <c r="G68" s="7" t="s">
        <v>16</v>
      </c>
      <c r="H68" s="134" t="s">
        <v>1183</v>
      </c>
      <c r="I68" s="111" t="s">
        <v>2155</v>
      </c>
      <c r="J68" s="33" t="s">
        <v>2156</v>
      </c>
      <c r="K68" s="58" t="s">
        <v>2157</v>
      </c>
      <c r="L68" s="193" t="s">
        <v>39</v>
      </c>
      <c r="M68" s="134" t="s">
        <v>913</v>
      </c>
      <c r="N68" s="7" t="s">
        <v>1878</v>
      </c>
      <c r="O68" s="134" t="s">
        <v>1029</v>
      </c>
      <c r="P68" s="121"/>
      <c r="Q68" s="7" t="s">
        <v>3</v>
      </c>
      <c r="R68" s="130" t="s">
        <v>1880</v>
      </c>
      <c r="S68" s="192" t="s">
        <v>2158</v>
      </c>
      <c r="T68" s="12" t="s">
        <v>1029</v>
      </c>
    </row>
    <row r="69" ht="15.75" hidden="1" customHeight="1">
      <c r="A69" s="134" t="s">
        <v>2159</v>
      </c>
      <c r="B69" s="221">
        <v>46055.0</v>
      </c>
      <c r="C69" s="134" t="s">
        <v>755</v>
      </c>
      <c r="D69" s="134" t="s">
        <v>907</v>
      </c>
      <c r="E69" s="134" t="s">
        <v>829</v>
      </c>
      <c r="F69" s="210" t="s">
        <v>39</v>
      </c>
      <c r="G69" s="7" t="s">
        <v>16</v>
      </c>
      <c r="H69" s="134" t="s">
        <v>460</v>
      </c>
      <c r="I69" s="111" t="s">
        <v>2160</v>
      </c>
      <c r="J69" s="33" t="s">
        <v>2161</v>
      </c>
      <c r="K69" s="58" t="s">
        <v>2162</v>
      </c>
      <c r="L69" s="193" t="s">
        <v>39</v>
      </c>
      <c r="M69" s="134" t="s">
        <v>913</v>
      </c>
      <c r="N69" s="7" t="s">
        <v>1878</v>
      </c>
      <c r="O69" s="134" t="s">
        <v>1029</v>
      </c>
      <c r="P69" s="121"/>
      <c r="Q69" s="7" t="s">
        <v>3</v>
      </c>
      <c r="R69" s="130" t="s">
        <v>1880</v>
      </c>
      <c r="S69" s="246" t="s">
        <v>2163</v>
      </c>
      <c r="T69" s="12" t="s">
        <v>1029</v>
      </c>
    </row>
    <row r="70" ht="15.75" customHeight="1">
      <c r="A70" s="134" t="s">
        <v>2164</v>
      </c>
      <c r="B70" s="221">
        <v>46055.0</v>
      </c>
      <c r="C70" s="134" t="s">
        <v>755</v>
      </c>
      <c r="D70" s="134" t="s">
        <v>907</v>
      </c>
      <c r="E70" s="134" t="s">
        <v>1004</v>
      </c>
      <c r="F70" s="210" t="s">
        <v>39</v>
      </c>
      <c r="G70" s="7" t="s">
        <v>16</v>
      </c>
      <c r="H70" s="134" t="s">
        <v>460</v>
      </c>
      <c r="I70" s="111" t="s">
        <v>2165</v>
      </c>
      <c r="J70" s="111" t="s">
        <v>2166</v>
      </c>
      <c r="K70" s="58" t="s">
        <v>2167</v>
      </c>
      <c r="L70" s="193" t="s">
        <v>39</v>
      </c>
      <c r="M70" s="134" t="s">
        <v>913</v>
      </c>
      <c r="N70" s="7" t="s">
        <v>1878</v>
      </c>
      <c r="O70" s="134" t="s">
        <v>1029</v>
      </c>
      <c r="P70" s="121" t="s">
        <v>13</v>
      </c>
      <c r="Q70" s="7" t="s">
        <v>4</v>
      </c>
      <c r="R70" s="130" t="s">
        <v>1565</v>
      </c>
      <c r="S70" s="111" t="s">
        <v>2168</v>
      </c>
      <c r="T70" s="83" t="s">
        <v>869</v>
      </c>
    </row>
    <row r="71" ht="15.75" customHeight="1">
      <c r="A71" s="134" t="s">
        <v>2169</v>
      </c>
      <c r="B71" s="221">
        <v>46055.0</v>
      </c>
      <c r="C71" s="134" t="s">
        <v>755</v>
      </c>
      <c r="D71" s="134" t="s">
        <v>907</v>
      </c>
      <c r="E71" s="134" t="s">
        <v>768</v>
      </c>
      <c r="F71" s="210" t="s">
        <v>39</v>
      </c>
      <c r="G71" s="7" t="s">
        <v>16</v>
      </c>
      <c r="H71" s="134" t="s">
        <v>460</v>
      </c>
      <c r="I71" s="111" t="s">
        <v>2170</v>
      </c>
      <c r="J71" s="111" t="s">
        <v>2171</v>
      </c>
      <c r="K71" s="58" t="s">
        <v>2172</v>
      </c>
      <c r="L71" s="193" t="s">
        <v>39</v>
      </c>
      <c r="M71" s="134" t="s">
        <v>913</v>
      </c>
      <c r="N71" s="7" t="s">
        <v>1878</v>
      </c>
      <c r="O71" s="134" t="s">
        <v>1029</v>
      </c>
      <c r="P71" s="192" t="s">
        <v>13</v>
      </c>
      <c r="Q71" s="134" t="s">
        <v>4</v>
      </c>
      <c r="R71" s="247" t="s">
        <v>1565</v>
      </c>
      <c r="S71" s="192" t="s">
        <v>2173</v>
      </c>
      <c r="T71" s="83" t="s">
        <v>869</v>
      </c>
    </row>
    <row r="72" ht="15.75" customHeight="1">
      <c r="A72" s="134" t="s">
        <v>2174</v>
      </c>
      <c r="B72" s="221">
        <v>46055.0</v>
      </c>
      <c r="C72" s="134" t="s">
        <v>755</v>
      </c>
      <c r="D72" s="134" t="s">
        <v>907</v>
      </c>
      <c r="E72" s="134" t="s">
        <v>1004</v>
      </c>
      <c r="F72" s="210" t="s">
        <v>39</v>
      </c>
      <c r="G72" s="7" t="s">
        <v>16</v>
      </c>
      <c r="H72" s="134" t="s">
        <v>460</v>
      </c>
      <c r="I72" s="111" t="s">
        <v>2175</v>
      </c>
      <c r="J72" s="111" t="s">
        <v>2176</v>
      </c>
      <c r="K72" s="58" t="s">
        <v>2177</v>
      </c>
      <c r="L72" s="193" t="s">
        <v>39</v>
      </c>
      <c r="M72" s="134" t="s">
        <v>913</v>
      </c>
      <c r="N72" s="7" t="s">
        <v>1878</v>
      </c>
      <c r="O72" s="134" t="s">
        <v>1029</v>
      </c>
      <c r="P72" s="192" t="s">
        <v>2178</v>
      </c>
      <c r="Q72" s="134" t="s">
        <v>4</v>
      </c>
      <c r="R72" s="248" t="s">
        <v>1027</v>
      </c>
      <c r="S72" s="249" t="s">
        <v>2179</v>
      </c>
      <c r="T72" s="12" t="s">
        <v>1029</v>
      </c>
    </row>
    <row r="73" ht="15.75" hidden="1" customHeight="1">
      <c r="A73" s="134" t="s">
        <v>2180</v>
      </c>
      <c r="B73" s="221">
        <v>46055.0</v>
      </c>
      <c r="C73" s="134" t="s">
        <v>747</v>
      </c>
      <c r="D73" s="134" t="s">
        <v>907</v>
      </c>
      <c r="E73" s="134" t="s">
        <v>768</v>
      </c>
      <c r="F73" s="210" t="s">
        <v>39</v>
      </c>
      <c r="G73" s="7" t="s">
        <v>16</v>
      </c>
      <c r="H73" s="134" t="s">
        <v>460</v>
      </c>
      <c r="I73" s="111" t="s">
        <v>2181</v>
      </c>
      <c r="J73" s="111" t="s">
        <v>2182</v>
      </c>
      <c r="K73" s="58" t="s">
        <v>2183</v>
      </c>
      <c r="L73" s="193" t="s">
        <v>39</v>
      </c>
      <c r="M73" s="134" t="s">
        <v>913</v>
      </c>
      <c r="N73" s="7" t="s">
        <v>1878</v>
      </c>
      <c r="O73" s="134" t="s">
        <v>1029</v>
      </c>
      <c r="P73" s="192" t="s">
        <v>2178</v>
      </c>
      <c r="Q73" s="134" t="s">
        <v>3</v>
      </c>
      <c r="R73" s="248" t="s">
        <v>1027</v>
      </c>
      <c r="S73" s="192" t="s">
        <v>2184</v>
      </c>
      <c r="T73" s="12" t="s">
        <v>1029</v>
      </c>
    </row>
    <row r="74" ht="15.75" customHeight="1">
      <c r="A74" s="134" t="s">
        <v>2185</v>
      </c>
      <c r="B74" s="221">
        <v>46055.0</v>
      </c>
      <c r="C74" s="134" t="s">
        <v>755</v>
      </c>
      <c r="D74" s="134" t="s">
        <v>907</v>
      </c>
      <c r="E74" s="134" t="s">
        <v>829</v>
      </c>
      <c r="F74" s="210" t="s">
        <v>39</v>
      </c>
      <c r="G74" s="7" t="s">
        <v>16</v>
      </c>
      <c r="H74" s="134" t="s">
        <v>460</v>
      </c>
      <c r="I74" s="111" t="s">
        <v>2186</v>
      </c>
      <c r="J74" s="111" t="s">
        <v>2187</v>
      </c>
      <c r="K74" s="58" t="s">
        <v>2188</v>
      </c>
      <c r="L74" s="193" t="s">
        <v>39</v>
      </c>
      <c r="M74" s="134" t="s">
        <v>913</v>
      </c>
      <c r="N74" s="7" t="s">
        <v>1878</v>
      </c>
      <c r="O74" s="134" t="s">
        <v>1029</v>
      </c>
      <c r="P74" s="33" t="s">
        <v>2053</v>
      </c>
      <c r="Q74" s="134" t="s">
        <v>4</v>
      </c>
      <c r="R74" s="248" t="s">
        <v>1027</v>
      </c>
      <c r="S74" s="192" t="s">
        <v>2189</v>
      </c>
      <c r="T74" s="12" t="s">
        <v>869</v>
      </c>
    </row>
    <row r="75" ht="15.75" hidden="1" customHeight="1">
      <c r="A75" s="134" t="s">
        <v>2190</v>
      </c>
      <c r="B75" s="221">
        <v>46055.0</v>
      </c>
      <c r="C75" s="134" t="s">
        <v>747</v>
      </c>
      <c r="D75" s="134" t="s">
        <v>907</v>
      </c>
      <c r="E75" s="134" t="s">
        <v>1757</v>
      </c>
      <c r="F75" s="210" t="s">
        <v>39</v>
      </c>
      <c r="G75" s="7" t="s">
        <v>16</v>
      </c>
      <c r="H75" s="134" t="s">
        <v>460</v>
      </c>
      <c r="I75" s="111" t="s">
        <v>2191</v>
      </c>
      <c r="J75" s="111" t="s">
        <v>2192</v>
      </c>
      <c r="K75" s="58" t="s">
        <v>2193</v>
      </c>
      <c r="L75" s="193" t="s">
        <v>39</v>
      </c>
      <c r="M75" s="134" t="s">
        <v>913</v>
      </c>
      <c r="N75" s="7" t="s">
        <v>1878</v>
      </c>
      <c r="O75" s="134" t="s">
        <v>1029</v>
      </c>
      <c r="P75" s="121"/>
      <c r="Q75" s="7" t="s">
        <v>3</v>
      </c>
      <c r="R75" s="130" t="s">
        <v>1880</v>
      </c>
      <c r="S75" s="192" t="s">
        <v>2194</v>
      </c>
      <c r="T75" s="12" t="s">
        <v>1029</v>
      </c>
    </row>
    <row r="76" ht="15.75" hidden="1" customHeight="1">
      <c r="A76" s="134" t="s">
        <v>2195</v>
      </c>
      <c r="B76" s="221">
        <v>46055.0</v>
      </c>
      <c r="C76" s="134" t="s">
        <v>747</v>
      </c>
      <c r="D76" s="134" t="s">
        <v>907</v>
      </c>
      <c r="E76" s="134" t="s">
        <v>1004</v>
      </c>
      <c r="F76" s="210" t="s">
        <v>39</v>
      </c>
      <c r="G76" s="7" t="s">
        <v>16</v>
      </c>
      <c r="H76" s="134" t="s">
        <v>460</v>
      </c>
      <c r="I76" s="111" t="s">
        <v>2196</v>
      </c>
      <c r="J76" s="111" t="s">
        <v>2197</v>
      </c>
      <c r="K76" s="58" t="s">
        <v>2198</v>
      </c>
      <c r="L76" s="193" t="s">
        <v>39</v>
      </c>
      <c r="M76" s="134" t="s">
        <v>913</v>
      </c>
      <c r="N76" s="7" t="s">
        <v>1878</v>
      </c>
      <c r="O76" s="134" t="s">
        <v>1029</v>
      </c>
      <c r="P76" s="121"/>
      <c r="Q76" s="7" t="s">
        <v>3</v>
      </c>
      <c r="R76" s="130" t="s">
        <v>1880</v>
      </c>
      <c r="S76" s="192" t="s">
        <v>2199</v>
      </c>
      <c r="T76" s="12" t="s">
        <v>1029</v>
      </c>
    </row>
    <row r="77" ht="15.75" hidden="1" customHeight="1">
      <c r="A77" s="134" t="s">
        <v>2200</v>
      </c>
      <c r="B77" s="221">
        <v>46055.0</v>
      </c>
      <c r="C77" s="134" t="s">
        <v>770</v>
      </c>
      <c r="D77" s="134" t="s">
        <v>907</v>
      </c>
      <c r="E77" s="134" t="s">
        <v>1004</v>
      </c>
      <c r="F77" s="210" t="s">
        <v>39</v>
      </c>
      <c r="G77" s="7" t="s">
        <v>16</v>
      </c>
      <c r="H77" s="134" t="s">
        <v>460</v>
      </c>
      <c r="I77" s="111" t="s">
        <v>2201</v>
      </c>
      <c r="J77" s="111" t="s">
        <v>2202</v>
      </c>
      <c r="K77" s="58" t="s">
        <v>2203</v>
      </c>
      <c r="L77" s="193" t="s">
        <v>39</v>
      </c>
      <c r="M77" s="134" t="s">
        <v>913</v>
      </c>
      <c r="N77" s="7" t="s">
        <v>1878</v>
      </c>
      <c r="O77" s="134" t="s">
        <v>1029</v>
      </c>
      <c r="P77" s="121"/>
      <c r="Q77" s="7" t="s">
        <v>3</v>
      </c>
      <c r="R77" s="130" t="s">
        <v>1880</v>
      </c>
      <c r="S77" s="192" t="s">
        <v>2204</v>
      </c>
      <c r="T77" s="12" t="s">
        <v>1029</v>
      </c>
    </row>
    <row r="78" ht="15.75" customHeight="1">
      <c r="A78" s="134" t="s">
        <v>2205</v>
      </c>
      <c r="B78" s="221">
        <v>46055.0</v>
      </c>
      <c r="C78" s="134" t="s">
        <v>755</v>
      </c>
      <c r="D78" s="134" t="s">
        <v>907</v>
      </c>
      <c r="E78" s="134" t="s">
        <v>1004</v>
      </c>
      <c r="F78" s="210" t="s">
        <v>39</v>
      </c>
      <c r="G78" s="7" t="s">
        <v>16</v>
      </c>
      <c r="H78" s="134" t="s">
        <v>460</v>
      </c>
      <c r="I78" s="111" t="s">
        <v>2206</v>
      </c>
      <c r="J78" s="111" t="s">
        <v>2202</v>
      </c>
      <c r="K78" s="58" t="s">
        <v>2207</v>
      </c>
      <c r="L78" s="193" t="s">
        <v>39</v>
      </c>
      <c r="M78" s="134" t="s">
        <v>913</v>
      </c>
      <c r="N78" s="7" t="s">
        <v>1878</v>
      </c>
      <c r="O78" s="134" t="s">
        <v>1029</v>
      </c>
      <c r="P78" s="121"/>
      <c r="Q78" s="134" t="s">
        <v>4</v>
      </c>
      <c r="R78" s="248" t="s">
        <v>1027</v>
      </c>
      <c r="S78" s="192" t="s">
        <v>2208</v>
      </c>
      <c r="T78" s="12" t="s">
        <v>1029</v>
      </c>
    </row>
    <row r="79" ht="15.75" customHeight="1">
      <c r="A79" s="134" t="s">
        <v>2209</v>
      </c>
      <c r="B79" s="221">
        <v>46055.0</v>
      </c>
      <c r="C79" s="134" t="s">
        <v>755</v>
      </c>
      <c r="D79" s="134" t="s">
        <v>907</v>
      </c>
      <c r="E79" s="134" t="s">
        <v>1757</v>
      </c>
      <c r="F79" s="210" t="s">
        <v>39</v>
      </c>
      <c r="G79" s="7" t="s">
        <v>16</v>
      </c>
      <c r="H79" s="134" t="s">
        <v>1110</v>
      </c>
      <c r="I79" s="111" t="s">
        <v>2210</v>
      </c>
      <c r="J79" s="33" t="s">
        <v>2211</v>
      </c>
      <c r="K79" s="58" t="s">
        <v>2212</v>
      </c>
      <c r="L79" s="193" t="s">
        <v>39</v>
      </c>
      <c r="M79" s="134" t="s">
        <v>913</v>
      </c>
      <c r="N79" s="7" t="s">
        <v>1878</v>
      </c>
      <c r="O79" s="134" t="s">
        <v>1029</v>
      </c>
      <c r="P79" s="121"/>
      <c r="Q79" s="7" t="s">
        <v>1265</v>
      </c>
      <c r="R79" s="130" t="s">
        <v>2213</v>
      </c>
      <c r="S79" s="192" t="s">
        <v>2214</v>
      </c>
      <c r="T79" s="12" t="s">
        <v>869</v>
      </c>
    </row>
    <row r="80" ht="15.75" hidden="1" customHeight="1">
      <c r="A80" s="7" t="s">
        <v>2215</v>
      </c>
      <c r="B80" s="130">
        <v>46114.0</v>
      </c>
      <c r="C80" s="7" t="s">
        <v>755</v>
      </c>
      <c r="D80" s="7" t="s">
        <v>907</v>
      </c>
      <c r="E80" s="7" t="s">
        <v>829</v>
      </c>
      <c r="F80" s="7" t="s">
        <v>39</v>
      </c>
      <c r="G80" s="7" t="s">
        <v>12</v>
      </c>
      <c r="H80" s="7" t="s">
        <v>1205</v>
      </c>
      <c r="I80" s="33" t="s">
        <v>2216</v>
      </c>
      <c r="J80" s="33" t="s">
        <v>2217</v>
      </c>
      <c r="K80" s="58" t="s">
        <v>2218</v>
      </c>
      <c r="L80" s="33" t="s">
        <v>39</v>
      </c>
      <c r="M80" s="7" t="s">
        <v>913</v>
      </c>
      <c r="N80" s="7" t="s">
        <v>913</v>
      </c>
      <c r="O80" s="7" t="s">
        <v>1018</v>
      </c>
      <c r="P80" s="33" t="s">
        <v>2219</v>
      </c>
      <c r="Q80" s="7" t="s">
        <v>3</v>
      </c>
      <c r="R80" s="130">
        <v>46175.0</v>
      </c>
      <c r="S80" s="32" t="s">
        <v>2220</v>
      </c>
      <c r="T80" s="236"/>
    </row>
    <row r="81" ht="15.75" hidden="1" customHeight="1">
      <c r="A81" s="7" t="s">
        <v>2221</v>
      </c>
      <c r="B81" s="130">
        <v>46144.0</v>
      </c>
      <c r="C81" s="7" t="s">
        <v>747</v>
      </c>
      <c r="D81" s="7" t="s">
        <v>907</v>
      </c>
      <c r="E81" s="7" t="s">
        <v>756</v>
      </c>
      <c r="F81" s="7" t="s">
        <v>39</v>
      </c>
      <c r="G81" s="7" t="s">
        <v>12</v>
      </c>
      <c r="H81" s="7" t="s">
        <v>970</v>
      </c>
      <c r="I81" s="33" t="s">
        <v>2222</v>
      </c>
      <c r="J81" s="33" t="s">
        <v>2223</v>
      </c>
      <c r="K81" s="58" t="s">
        <v>2224</v>
      </c>
      <c r="L81" s="58" t="s">
        <v>2225</v>
      </c>
      <c r="M81" s="7" t="s">
        <v>913</v>
      </c>
      <c r="N81" s="7" t="s">
        <v>913</v>
      </c>
      <c r="O81" s="7" t="s">
        <v>1029</v>
      </c>
      <c r="P81" s="33" t="s">
        <v>2226</v>
      </c>
      <c r="Q81" s="7" t="s">
        <v>3</v>
      </c>
      <c r="R81" s="130">
        <v>46267.0</v>
      </c>
      <c r="S81" s="32" t="s">
        <v>2227</v>
      </c>
      <c r="T81" s="236"/>
    </row>
    <row r="82" ht="15.75" hidden="1" customHeight="1">
      <c r="A82" s="7" t="s">
        <v>2228</v>
      </c>
      <c r="B82" s="130">
        <v>46144.0</v>
      </c>
      <c r="C82" s="7" t="s">
        <v>747</v>
      </c>
      <c r="D82" s="7" t="s">
        <v>907</v>
      </c>
      <c r="E82" s="7" t="s">
        <v>829</v>
      </c>
      <c r="F82" s="7" t="s">
        <v>39</v>
      </c>
      <c r="G82" s="7" t="s">
        <v>12</v>
      </c>
      <c r="H82" s="7" t="s">
        <v>1205</v>
      </c>
      <c r="I82" s="33" t="s">
        <v>2229</v>
      </c>
      <c r="J82" s="33" t="s">
        <v>2230</v>
      </c>
      <c r="K82" s="58" t="s">
        <v>2231</v>
      </c>
      <c r="L82" s="33" t="s">
        <v>39</v>
      </c>
      <c r="M82" s="7" t="s">
        <v>913</v>
      </c>
      <c r="N82" s="7" t="s">
        <v>913</v>
      </c>
      <c r="O82" s="7" t="s">
        <v>1018</v>
      </c>
      <c r="P82" s="33" t="s">
        <v>2232</v>
      </c>
      <c r="Q82" s="7" t="s">
        <v>3</v>
      </c>
      <c r="R82" s="130">
        <v>46175.0</v>
      </c>
      <c r="S82" s="32" t="s">
        <v>2233</v>
      </c>
      <c r="T82" s="236"/>
    </row>
    <row r="83" ht="15.75" hidden="1" customHeight="1">
      <c r="A83" s="7" t="s">
        <v>2234</v>
      </c>
      <c r="B83" s="130">
        <v>46358.0</v>
      </c>
      <c r="C83" s="7" t="s">
        <v>755</v>
      </c>
      <c r="D83" s="7" t="s">
        <v>907</v>
      </c>
      <c r="E83" s="7" t="s">
        <v>829</v>
      </c>
      <c r="F83" s="7" t="s">
        <v>39</v>
      </c>
      <c r="G83" s="7" t="s">
        <v>12</v>
      </c>
      <c r="H83" s="7" t="s">
        <v>2235</v>
      </c>
      <c r="I83" s="33" t="s">
        <v>2236</v>
      </c>
      <c r="J83" s="33" t="s">
        <v>2237</v>
      </c>
      <c r="K83" s="58" t="s">
        <v>2238</v>
      </c>
      <c r="L83" s="33" t="s">
        <v>39</v>
      </c>
      <c r="M83" s="7" t="s">
        <v>913</v>
      </c>
      <c r="N83" s="7" t="s">
        <v>753</v>
      </c>
      <c r="O83" s="7"/>
      <c r="P83" s="33" t="s">
        <v>2239</v>
      </c>
      <c r="Q83" s="7" t="s">
        <v>5</v>
      </c>
      <c r="R83" s="7" t="s">
        <v>1027</v>
      </c>
      <c r="S83" s="32" t="s">
        <v>2240</v>
      </c>
      <c r="T83" s="236"/>
    </row>
    <row r="84" ht="15.75" hidden="1" customHeight="1">
      <c r="A84" s="7" t="s">
        <v>2241</v>
      </c>
      <c r="B84" s="130">
        <v>46358.0</v>
      </c>
      <c r="C84" s="7" t="s">
        <v>747</v>
      </c>
      <c r="D84" s="7" t="s">
        <v>907</v>
      </c>
      <c r="E84" s="7" t="s">
        <v>1004</v>
      </c>
      <c r="F84" s="7" t="s">
        <v>39</v>
      </c>
      <c r="G84" s="7" t="s">
        <v>16</v>
      </c>
      <c r="H84" s="7" t="s">
        <v>757</v>
      </c>
      <c r="I84" s="33" t="s">
        <v>2242</v>
      </c>
      <c r="J84" s="33" t="s">
        <v>2243</v>
      </c>
      <c r="K84" s="58" t="s">
        <v>2244</v>
      </c>
      <c r="L84" s="33" t="s">
        <v>39</v>
      </c>
      <c r="M84" s="7" t="s">
        <v>913</v>
      </c>
      <c r="N84" s="7" t="s">
        <v>1878</v>
      </c>
      <c r="O84" s="238"/>
      <c r="P84" s="33"/>
      <c r="Q84" s="7" t="s">
        <v>3</v>
      </c>
      <c r="R84" s="7" t="s">
        <v>1880</v>
      </c>
      <c r="S84" s="32" t="s">
        <v>2245</v>
      </c>
      <c r="T84" s="12" t="s">
        <v>976</v>
      </c>
    </row>
    <row r="85" ht="15.75" hidden="1" customHeight="1">
      <c r="A85" s="7" t="s">
        <v>2246</v>
      </c>
      <c r="B85" s="130">
        <v>46358.0</v>
      </c>
      <c r="C85" s="7" t="s">
        <v>747</v>
      </c>
      <c r="D85" s="7" t="s">
        <v>907</v>
      </c>
      <c r="E85" s="7" t="s">
        <v>1004</v>
      </c>
      <c r="F85" s="7" t="s">
        <v>39</v>
      </c>
      <c r="G85" s="7" t="s">
        <v>16</v>
      </c>
      <c r="H85" s="7" t="s">
        <v>757</v>
      </c>
      <c r="I85" s="33" t="s">
        <v>2247</v>
      </c>
      <c r="J85" s="33" t="s">
        <v>2248</v>
      </c>
      <c r="K85" s="58" t="s">
        <v>2249</v>
      </c>
      <c r="L85" s="33" t="s">
        <v>39</v>
      </c>
      <c r="M85" s="7" t="s">
        <v>913</v>
      </c>
      <c r="N85" s="7" t="s">
        <v>1878</v>
      </c>
      <c r="O85" s="238"/>
      <c r="P85" s="33"/>
      <c r="Q85" s="7" t="s">
        <v>3</v>
      </c>
      <c r="R85" s="7" t="s">
        <v>1880</v>
      </c>
      <c r="S85" s="32" t="s">
        <v>2250</v>
      </c>
      <c r="T85" s="12" t="s">
        <v>976</v>
      </c>
    </row>
    <row r="86" ht="15.75" hidden="1" customHeight="1">
      <c r="A86" s="7" t="s">
        <v>2251</v>
      </c>
      <c r="B86" s="130" t="s">
        <v>2252</v>
      </c>
      <c r="C86" s="7" t="s">
        <v>770</v>
      </c>
      <c r="D86" s="7" t="s">
        <v>907</v>
      </c>
      <c r="E86" s="7" t="s">
        <v>829</v>
      </c>
      <c r="F86" s="7" t="s">
        <v>39</v>
      </c>
      <c r="G86" s="7" t="s">
        <v>6</v>
      </c>
      <c r="H86" s="7" t="s">
        <v>2253</v>
      </c>
      <c r="I86" s="33" t="s">
        <v>2254</v>
      </c>
      <c r="J86" s="33" t="s">
        <v>2255</v>
      </c>
      <c r="K86" s="58" t="s">
        <v>2256</v>
      </c>
      <c r="L86" s="33" t="s">
        <v>39</v>
      </c>
      <c r="M86" s="7" t="s">
        <v>750</v>
      </c>
      <c r="N86" s="7" t="s">
        <v>913</v>
      </c>
      <c r="O86" s="7" t="s">
        <v>1029</v>
      </c>
      <c r="P86" s="33" t="s">
        <v>1832</v>
      </c>
      <c r="Q86" s="7" t="s">
        <v>3</v>
      </c>
      <c r="R86" s="7" t="s">
        <v>1279</v>
      </c>
      <c r="S86" s="32" t="s">
        <v>2257</v>
      </c>
      <c r="T86" s="236"/>
    </row>
    <row r="87" ht="15.75" customHeight="1">
      <c r="A87" s="7" t="s">
        <v>2258</v>
      </c>
      <c r="B87" s="130" t="s">
        <v>2252</v>
      </c>
      <c r="C87" s="7" t="s">
        <v>755</v>
      </c>
      <c r="D87" s="7" t="s">
        <v>907</v>
      </c>
      <c r="E87" s="7" t="s">
        <v>829</v>
      </c>
      <c r="F87" s="7" t="s">
        <v>39</v>
      </c>
      <c r="G87" s="7" t="s">
        <v>16</v>
      </c>
      <c r="H87" s="7" t="s">
        <v>2259</v>
      </c>
      <c r="I87" s="33" t="s">
        <v>2260</v>
      </c>
      <c r="J87" s="33" t="s">
        <v>2261</v>
      </c>
      <c r="K87" s="58" t="s">
        <v>2262</v>
      </c>
      <c r="L87" s="33" t="s">
        <v>39</v>
      </c>
      <c r="M87" s="7" t="s">
        <v>750</v>
      </c>
      <c r="N87" s="7" t="s">
        <v>1878</v>
      </c>
      <c r="O87" s="7"/>
      <c r="P87" s="33" t="s">
        <v>2263</v>
      </c>
      <c r="Q87" s="7" t="s">
        <v>4</v>
      </c>
      <c r="R87" s="130">
        <v>46056.0</v>
      </c>
      <c r="S87" s="32" t="s">
        <v>2264</v>
      </c>
      <c r="T87" s="236"/>
    </row>
    <row r="88" ht="15.75" hidden="1" customHeight="1">
      <c r="A88" s="7" t="s">
        <v>2265</v>
      </c>
      <c r="B88" s="7" t="s">
        <v>1272</v>
      </c>
      <c r="C88" s="7" t="s">
        <v>747</v>
      </c>
      <c r="D88" s="7" t="s">
        <v>907</v>
      </c>
      <c r="E88" s="7" t="s">
        <v>1757</v>
      </c>
      <c r="F88" s="7" t="s">
        <v>39</v>
      </c>
      <c r="G88" s="7" t="s">
        <v>6</v>
      </c>
      <c r="H88" s="7" t="s">
        <v>908</v>
      </c>
      <c r="I88" s="33" t="s">
        <v>2266</v>
      </c>
      <c r="J88" s="33" t="s">
        <v>2267</v>
      </c>
      <c r="K88" s="58" t="s">
        <v>2268</v>
      </c>
      <c r="L88" s="33" t="s">
        <v>39</v>
      </c>
      <c r="M88" s="7" t="s">
        <v>750</v>
      </c>
      <c r="N88" s="7" t="s">
        <v>753</v>
      </c>
      <c r="O88" s="7"/>
      <c r="P88" s="33" t="s">
        <v>1717</v>
      </c>
      <c r="Q88" s="7" t="s">
        <v>4</v>
      </c>
      <c r="R88" s="130">
        <v>46056.0</v>
      </c>
      <c r="S88" s="32" t="s">
        <v>2269</v>
      </c>
      <c r="T88" s="236"/>
    </row>
    <row r="89" ht="15.75" hidden="1" customHeight="1">
      <c r="A89" s="7" t="s">
        <v>2270</v>
      </c>
      <c r="B89" s="7" t="s">
        <v>1272</v>
      </c>
      <c r="C89" s="7" t="s">
        <v>747</v>
      </c>
      <c r="D89" s="7" t="s">
        <v>907</v>
      </c>
      <c r="E89" s="7" t="s">
        <v>829</v>
      </c>
      <c r="F89" s="7" t="s">
        <v>39</v>
      </c>
      <c r="G89" s="7" t="s">
        <v>6</v>
      </c>
      <c r="H89" s="7" t="s">
        <v>908</v>
      </c>
      <c r="I89" s="33" t="s">
        <v>2271</v>
      </c>
      <c r="J89" s="33" t="s">
        <v>2272</v>
      </c>
      <c r="K89" s="58" t="s">
        <v>2273</v>
      </c>
      <c r="L89" s="33" t="s">
        <v>39</v>
      </c>
      <c r="M89" s="7" t="s">
        <v>750</v>
      </c>
      <c r="N89" s="7" t="s">
        <v>753</v>
      </c>
      <c r="O89" s="7"/>
      <c r="P89" s="33" t="s">
        <v>2104</v>
      </c>
      <c r="Q89" s="7" t="s">
        <v>3</v>
      </c>
      <c r="R89" s="7" t="s">
        <v>1027</v>
      </c>
      <c r="S89" s="32" t="s">
        <v>2274</v>
      </c>
      <c r="T89" s="236"/>
    </row>
    <row r="90" ht="15.75" customHeight="1">
      <c r="A90" s="7" t="s">
        <v>2275</v>
      </c>
      <c r="B90" s="7" t="s">
        <v>2276</v>
      </c>
      <c r="C90" s="7" t="s">
        <v>755</v>
      </c>
      <c r="D90" s="7" t="s">
        <v>907</v>
      </c>
      <c r="E90" s="7" t="s">
        <v>829</v>
      </c>
      <c r="F90" s="7" t="s">
        <v>39</v>
      </c>
      <c r="G90" s="7" t="s">
        <v>16</v>
      </c>
      <c r="H90" s="7" t="s">
        <v>2277</v>
      </c>
      <c r="I90" s="33" t="s">
        <v>2278</v>
      </c>
      <c r="J90" s="33" t="s">
        <v>2279</v>
      </c>
      <c r="K90" s="58" t="s">
        <v>2280</v>
      </c>
      <c r="L90" s="33" t="s">
        <v>39</v>
      </c>
      <c r="M90" s="7" t="s">
        <v>913</v>
      </c>
      <c r="N90" s="7" t="s">
        <v>1878</v>
      </c>
      <c r="O90" s="7"/>
      <c r="P90" s="33"/>
      <c r="Q90" s="7" t="s">
        <v>4</v>
      </c>
      <c r="R90" s="7"/>
      <c r="S90" s="32"/>
      <c r="T90" s="236"/>
    </row>
    <row r="91" ht="15.75" customHeight="1">
      <c r="A91" s="7" t="s">
        <v>2281</v>
      </c>
      <c r="B91" s="7" t="s">
        <v>1880</v>
      </c>
      <c r="C91" s="7" t="s">
        <v>755</v>
      </c>
      <c r="D91" s="7" t="s">
        <v>907</v>
      </c>
      <c r="E91" s="7" t="s">
        <v>756</v>
      </c>
      <c r="F91" s="7" t="s">
        <v>466</v>
      </c>
      <c r="G91" s="7" t="s">
        <v>16</v>
      </c>
      <c r="H91" s="7" t="s">
        <v>2282</v>
      </c>
      <c r="I91" s="250" t="s">
        <v>2283</v>
      </c>
      <c r="J91" s="33" t="s">
        <v>2284</v>
      </c>
      <c r="K91" s="58" t="s">
        <v>2285</v>
      </c>
      <c r="L91" s="33" t="s">
        <v>39</v>
      </c>
      <c r="M91" s="7" t="s">
        <v>913</v>
      </c>
      <c r="N91" s="7" t="s">
        <v>1878</v>
      </c>
      <c r="O91" s="7"/>
      <c r="P91" s="33"/>
      <c r="Q91" s="7" t="s">
        <v>4</v>
      </c>
      <c r="R91" s="7"/>
      <c r="S91" s="32"/>
      <c r="T91" s="236"/>
    </row>
    <row r="92" ht="15.75" customHeight="1">
      <c r="A92" s="7" t="s">
        <v>2286</v>
      </c>
      <c r="B92" s="7" t="s">
        <v>1880</v>
      </c>
      <c r="C92" s="7" t="s">
        <v>755</v>
      </c>
      <c r="D92" s="7" t="s">
        <v>907</v>
      </c>
      <c r="E92" s="7" t="s">
        <v>1004</v>
      </c>
      <c r="F92" s="7" t="s">
        <v>39</v>
      </c>
      <c r="G92" s="7" t="s">
        <v>16</v>
      </c>
      <c r="H92" s="7" t="s">
        <v>1172</v>
      </c>
      <c r="I92" s="250" t="s">
        <v>2287</v>
      </c>
      <c r="J92" s="33" t="s">
        <v>2288</v>
      </c>
      <c r="K92" s="58" t="s">
        <v>2289</v>
      </c>
      <c r="L92" s="33" t="s">
        <v>39</v>
      </c>
      <c r="M92" s="7" t="s">
        <v>913</v>
      </c>
      <c r="N92" s="7" t="s">
        <v>1878</v>
      </c>
      <c r="O92" s="7"/>
      <c r="P92" s="33"/>
      <c r="Q92" s="7" t="s">
        <v>4</v>
      </c>
      <c r="R92" s="7" t="s">
        <v>1383</v>
      </c>
      <c r="S92" s="32" t="s">
        <v>2290</v>
      </c>
      <c r="T92" s="236"/>
    </row>
    <row r="93" ht="15.75" customHeight="1">
      <c r="A93" s="7" t="s">
        <v>2291</v>
      </c>
      <c r="B93" s="7" t="s">
        <v>1880</v>
      </c>
      <c r="C93" s="7" t="s">
        <v>755</v>
      </c>
      <c r="D93" s="7" t="s">
        <v>907</v>
      </c>
      <c r="E93" s="7" t="s">
        <v>2292</v>
      </c>
      <c r="F93" s="7" t="s">
        <v>466</v>
      </c>
      <c r="G93" s="7" t="s">
        <v>16</v>
      </c>
      <c r="H93" s="7" t="s">
        <v>2293</v>
      </c>
      <c r="I93" s="33" t="s">
        <v>2294</v>
      </c>
      <c r="J93" s="33" t="s">
        <v>2295</v>
      </c>
      <c r="K93" s="58" t="s">
        <v>2296</v>
      </c>
      <c r="L93" s="33" t="s">
        <v>39</v>
      </c>
      <c r="M93" s="7" t="s">
        <v>913</v>
      </c>
      <c r="N93" s="7" t="s">
        <v>1878</v>
      </c>
      <c r="O93" s="7"/>
      <c r="P93" s="33"/>
      <c r="Q93" s="7" t="s">
        <v>4</v>
      </c>
      <c r="R93" s="7" t="s">
        <v>1565</v>
      </c>
      <c r="S93" s="32" t="s">
        <v>2297</v>
      </c>
      <c r="T93" s="236"/>
    </row>
    <row r="94" ht="15.75" customHeight="1">
      <c r="A94" s="7" t="s">
        <v>2298</v>
      </c>
      <c r="B94" s="7" t="s">
        <v>1880</v>
      </c>
      <c r="C94" s="7" t="s">
        <v>755</v>
      </c>
      <c r="D94" s="7" t="s">
        <v>907</v>
      </c>
      <c r="E94" s="7" t="s">
        <v>768</v>
      </c>
      <c r="F94" s="7" t="s">
        <v>466</v>
      </c>
      <c r="G94" s="7" t="s">
        <v>16</v>
      </c>
      <c r="H94" s="7" t="s">
        <v>2293</v>
      </c>
      <c r="I94" s="33" t="s">
        <v>2299</v>
      </c>
      <c r="J94" s="33" t="s">
        <v>2300</v>
      </c>
      <c r="K94" s="58" t="s">
        <v>2301</v>
      </c>
      <c r="L94" s="33" t="s">
        <v>39</v>
      </c>
      <c r="M94" s="7" t="s">
        <v>913</v>
      </c>
      <c r="N94" s="7" t="s">
        <v>1878</v>
      </c>
      <c r="O94" s="7"/>
      <c r="P94" s="33"/>
      <c r="Q94" s="7" t="s">
        <v>4</v>
      </c>
      <c r="R94" s="7" t="s">
        <v>1565</v>
      </c>
      <c r="S94" s="32" t="s">
        <v>2297</v>
      </c>
      <c r="T94" s="236"/>
    </row>
    <row r="95" ht="15.75" hidden="1" customHeight="1">
      <c r="A95" s="251" t="s">
        <v>2302</v>
      </c>
      <c r="B95" s="251" t="s">
        <v>1880</v>
      </c>
      <c r="C95" s="251" t="s">
        <v>747</v>
      </c>
      <c r="D95" s="251" t="s">
        <v>907</v>
      </c>
      <c r="E95" s="251" t="s">
        <v>829</v>
      </c>
      <c r="F95" s="251" t="s">
        <v>39</v>
      </c>
      <c r="G95" s="251" t="s">
        <v>16</v>
      </c>
      <c r="H95" s="251" t="s">
        <v>2303</v>
      </c>
      <c r="I95" s="252" t="s">
        <v>2304</v>
      </c>
      <c r="J95" s="252" t="s">
        <v>2305</v>
      </c>
      <c r="K95" s="253" t="s">
        <v>2306</v>
      </c>
      <c r="L95" s="252" t="s">
        <v>39</v>
      </c>
      <c r="M95" s="251" t="s">
        <v>1010</v>
      </c>
      <c r="N95" s="251" t="s">
        <v>753</v>
      </c>
      <c r="O95" s="251"/>
      <c r="P95" s="252"/>
      <c r="Q95" s="251" t="s">
        <v>3</v>
      </c>
      <c r="R95" s="251" t="s">
        <v>490</v>
      </c>
      <c r="S95" s="254" t="s">
        <v>2307</v>
      </c>
      <c r="T95" s="255"/>
    </row>
    <row r="96" ht="15.75" hidden="1" customHeight="1">
      <c r="A96" s="7" t="s">
        <v>2308</v>
      </c>
      <c r="B96" s="7" t="s">
        <v>1279</v>
      </c>
      <c r="C96" s="7" t="s">
        <v>747</v>
      </c>
      <c r="D96" s="7" t="s">
        <v>907</v>
      </c>
      <c r="E96" s="7" t="s">
        <v>829</v>
      </c>
      <c r="F96" s="7" t="s">
        <v>39</v>
      </c>
      <c r="G96" s="7" t="s">
        <v>6</v>
      </c>
      <c r="H96" s="7" t="s">
        <v>908</v>
      </c>
      <c r="I96" s="33" t="s">
        <v>2309</v>
      </c>
      <c r="J96" s="33" t="s">
        <v>2310</v>
      </c>
      <c r="K96" s="58" t="s">
        <v>2311</v>
      </c>
      <c r="L96" s="33" t="s">
        <v>39</v>
      </c>
      <c r="M96" s="7" t="s">
        <v>913</v>
      </c>
      <c r="N96" s="7" t="s">
        <v>913</v>
      </c>
      <c r="O96" s="7"/>
      <c r="P96" s="33"/>
      <c r="Q96" s="7" t="s">
        <v>3</v>
      </c>
      <c r="R96" s="130">
        <v>46145.0</v>
      </c>
      <c r="S96" s="32" t="s">
        <v>2312</v>
      </c>
      <c r="T96" s="236"/>
    </row>
    <row r="97" ht="15.75" hidden="1" customHeight="1">
      <c r="A97" s="7" t="s">
        <v>2313</v>
      </c>
      <c r="B97" s="7" t="s">
        <v>1279</v>
      </c>
      <c r="C97" s="7" t="s">
        <v>747</v>
      </c>
      <c r="D97" s="7" t="s">
        <v>907</v>
      </c>
      <c r="E97" s="7" t="s">
        <v>829</v>
      </c>
      <c r="F97" s="7" t="s">
        <v>39</v>
      </c>
      <c r="G97" s="7" t="s">
        <v>6</v>
      </c>
      <c r="H97" s="7" t="s">
        <v>908</v>
      </c>
      <c r="I97" s="33" t="s">
        <v>2314</v>
      </c>
      <c r="J97" s="33" t="s">
        <v>2315</v>
      </c>
      <c r="K97" s="58" t="s">
        <v>2316</v>
      </c>
      <c r="L97" s="33" t="s">
        <v>39</v>
      </c>
      <c r="M97" s="7" t="s">
        <v>913</v>
      </c>
      <c r="N97" s="7" t="s">
        <v>753</v>
      </c>
      <c r="O97" s="7"/>
      <c r="P97" s="33"/>
      <c r="Q97" s="7" t="s">
        <v>1265</v>
      </c>
      <c r="R97" s="130">
        <v>46145.0</v>
      </c>
      <c r="S97" s="32" t="s">
        <v>2317</v>
      </c>
      <c r="T97" s="236"/>
    </row>
    <row r="98" ht="15.75" hidden="1" customHeight="1">
      <c r="A98" s="7" t="s">
        <v>2318</v>
      </c>
      <c r="B98" s="7" t="s">
        <v>1279</v>
      </c>
      <c r="C98" s="7" t="s">
        <v>747</v>
      </c>
      <c r="D98" s="7" t="s">
        <v>907</v>
      </c>
      <c r="E98" s="7" t="s">
        <v>829</v>
      </c>
      <c r="F98" s="7" t="s">
        <v>39</v>
      </c>
      <c r="G98" s="7" t="s">
        <v>6</v>
      </c>
      <c r="H98" s="7" t="s">
        <v>908</v>
      </c>
      <c r="I98" s="33" t="s">
        <v>2319</v>
      </c>
      <c r="J98" s="33" t="s">
        <v>2320</v>
      </c>
      <c r="K98" s="58" t="s">
        <v>2321</v>
      </c>
      <c r="L98" s="33" t="s">
        <v>39</v>
      </c>
      <c r="M98" s="7" t="s">
        <v>913</v>
      </c>
      <c r="N98" s="7" t="s">
        <v>753</v>
      </c>
      <c r="O98" s="7"/>
      <c r="P98" s="33"/>
      <c r="Q98" s="7" t="s">
        <v>1265</v>
      </c>
      <c r="R98" s="130">
        <v>46145.0</v>
      </c>
      <c r="S98" s="32" t="s">
        <v>2322</v>
      </c>
      <c r="T98" s="236"/>
    </row>
    <row r="99" ht="15.75" hidden="1" customHeight="1">
      <c r="A99" s="7" t="s">
        <v>2323</v>
      </c>
      <c r="B99" s="7" t="s">
        <v>1279</v>
      </c>
      <c r="C99" s="7" t="s">
        <v>747</v>
      </c>
      <c r="D99" s="7" t="s">
        <v>907</v>
      </c>
      <c r="E99" s="7" t="s">
        <v>829</v>
      </c>
      <c r="F99" s="7" t="s">
        <v>39</v>
      </c>
      <c r="G99" s="7" t="s">
        <v>6</v>
      </c>
      <c r="H99" s="7" t="s">
        <v>908</v>
      </c>
      <c r="I99" s="33" t="s">
        <v>2324</v>
      </c>
      <c r="J99" s="33" t="s">
        <v>2325</v>
      </c>
      <c r="K99" s="58" t="s">
        <v>2326</v>
      </c>
      <c r="L99" s="33" t="s">
        <v>39</v>
      </c>
      <c r="M99" s="7" t="s">
        <v>913</v>
      </c>
      <c r="N99" s="7" t="s">
        <v>753</v>
      </c>
      <c r="O99" s="7"/>
      <c r="P99" s="33"/>
      <c r="Q99" s="7" t="s">
        <v>1265</v>
      </c>
      <c r="R99" s="130">
        <v>46145.0</v>
      </c>
      <c r="S99" s="32" t="s">
        <v>2327</v>
      </c>
      <c r="T99" s="236"/>
    </row>
    <row r="100" ht="15.75" hidden="1" customHeight="1">
      <c r="A100" s="7" t="s">
        <v>2328</v>
      </c>
      <c r="B100" s="7" t="s">
        <v>1279</v>
      </c>
      <c r="C100" s="7" t="s">
        <v>747</v>
      </c>
      <c r="D100" s="7" t="s">
        <v>907</v>
      </c>
      <c r="E100" s="7" t="s">
        <v>829</v>
      </c>
      <c r="F100" s="7" t="s">
        <v>1253</v>
      </c>
      <c r="G100" s="7" t="s">
        <v>6</v>
      </c>
      <c r="H100" s="7" t="s">
        <v>908</v>
      </c>
      <c r="I100" s="33" t="s">
        <v>2329</v>
      </c>
      <c r="J100" s="33" t="s">
        <v>2330</v>
      </c>
      <c r="K100" s="58" t="s">
        <v>2331</v>
      </c>
      <c r="L100" s="33" t="s">
        <v>39</v>
      </c>
      <c r="M100" s="7" t="s">
        <v>913</v>
      </c>
      <c r="N100" s="7" t="s">
        <v>753</v>
      </c>
      <c r="O100" s="7"/>
      <c r="P100" s="33"/>
      <c r="Q100" s="7" t="s">
        <v>3</v>
      </c>
      <c r="R100" s="7" t="s">
        <v>1383</v>
      </c>
      <c r="S100" s="32" t="s">
        <v>2332</v>
      </c>
      <c r="T100" s="236"/>
    </row>
    <row r="101" ht="15.75" hidden="1" customHeight="1">
      <c r="A101" s="7" t="s">
        <v>2333</v>
      </c>
      <c r="B101" s="7" t="s">
        <v>1279</v>
      </c>
      <c r="C101" s="7" t="s">
        <v>747</v>
      </c>
      <c r="D101" s="7" t="s">
        <v>907</v>
      </c>
      <c r="E101" s="7" t="s">
        <v>829</v>
      </c>
      <c r="F101" s="7" t="s">
        <v>39</v>
      </c>
      <c r="G101" s="7" t="s">
        <v>6</v>
      </c>
      <c r="H101" s="7" t="s">
        <v>908</v>
      </c>
      <c r="I101" s="33" t="s">
        <v>2334</v>
      </c>
      <c r="J101" s="33" t="s">
        <v>2335</v>
      </c>
      <c r="K101" s="58" t="s">
        <v>2336</v>
      </c>
      <c r="L101" s="33" t="s">
        <v>39</v>
      </c>
      <c r="M101" s="7" t="s">
        <v>913</v>
      </c>
      <c r="N101" s="7" t="s">
        <v>753</v>
      </c>
      <c r="O101" s="7"/>
      <c r="P101" s="33"/>
      <c r="Q101" s="7" t="s">
        <v>3</v>
      </c>
      <c r="R101" s="7" t="s">
        <v>1383</v>
      </c>
      <c r="S101" s="32" t="s">
        <v>2337</v>
      </c>
      <c r="T101" s="236"/>
    </row>
    <row r="102" ht="15.75" hidden="1" customHeight="1">
      <c r="A102" s="7" t="s">
        <v>2338</v>
      </c>
      <c r="B102" s="7" t="s">
        <v>1383</v>
      </c>
      <c r="C102" s="7" t="s">
        <v>747</v>
      </c>
      <c r="D102" s="7" t="s">
        <v>907</v>
      </c>
      <c r="E102" s="7" t="s">
        <v>829</v>
      </c>
      <c r="F102" s="7" t="s">
        <v>39</v>
      </c>
      <c r="G102" s="7" t="s">
        <v>6</v>
      </c>
      <c r="H102" s="7" t="s">
        <v>908</v>
      </c>
      <c r="I102" s="33" t="s">
        <v>2339</v>
      </c>
      <c r="J102" s="33" t="s">
        <v>2340</v>
      </c>
      <c r="K102" s="58" t="s">
        <v>2341</v>
      </c>
      <c r="L102" s="33" t="s">
        <v>39</v>
      </c>
      <c r="M102" s="7" t="s">
        <v>913</v>
      </c>
      <c r="N102" s="7" t="s">
        <v>753</v>
      </c>
      <c r="O102" s="7"/>
      <c r="P102" s="33"/>
      <c r="Q102" s="7" t="s">
        <v>3</v>
      </c>
      <c r="R102" s="130">
        <v>46145.0</v>
      </c>
      <c r="S102" s="32" t="s">
        <v>2342</v>
      </c>
      <c r="T102" s="236"/>
    </row>
    <row r="103" ht="15.75" hidden="1" customHeight="1">
      <c r="A103" s="251" t="s">
        <v>2343</v>
      </c>
      <c r="B103" s="251" t="s">
        <v>1383</v>
      </c>
      <c r="C103" s="251" t="s">
        <v>747</v>
      </c>
      <c r="D103" s="251" t="s">
        <v>907</v>
      </c>
      <c r="E103" s="251" t="s">
        <v>829</v>
      </c>
      <c r="F103" s="251" t="s">
        <v>39</v>
      </c>
      <c r="G103" s="251" t="s">
        <v>6</v>
      </c>
      <c r="H103" s="251" t="s">
        <v>2303</v>
      </c>
      <c r="I103" s="252" t="s">
        <v>2344</v>
      </c>
      <c r="J103" s="252" t="s">
        <v>2345</v>
      </c>
      <c r="K103" s="253" t="s">
        <v>2346</v>
      </c>
      <c r="L103" s="252" t="s">
        <v>39</v>
      </c>
      <c r="M103" s="251" t="s">
        <v>913</v>
      </c>
      <c r="N103" s="251" t="s">
        <v>753</v>
      </c>
      <c r="O103" s="251"/>
      <c r="P103" s="252"/>
      <c r="Q103" s="251" t="s">
        <v>1265</v>
      </c>
      <c r="R103" s="256">
        <v>46145.0</v>
      </c>
      <c r="S103" s="254" t="s">
        <v>2347</v>
      </c>
      <c r="T103" s="255"/>
    </row>
    <row r="104" ht="15.75" hidden="1" customHeight="1">
      <c r="A104" s="251" t="s">
        <v>2348</v>
      </c>
      <c r="B104" s="251" t="s">
        <v>1383</v>
      </c>
      <c r="C104" s="251" t="s">
        <v>747</v>
      </c>
      <c r="D104" s="251" t="s">
        <v>907</v>
      </c>
      <c r="E104" s="251" t="s">
        <v>829</v>
      </c>
      <c r="F104" s="251" t="s">
        <v>39</v>
      </c>
      <c r="G104" s="251" t="s">
        <v>6</v>
      </c>
      <c r="H104" s="251" t="s">
        <v>2303</v>
      </c>
      <c r="I104" s="252" t="s">
        <v>2349</v>
      </c>
      <c r="J104" s="252" t="s">
        <v>2350</v>
      </c>
      <c r="K104" s="253" t="s">
        <v>2351</v>
      </c>
      <c r="L104" s="252" t="s">
        <v>39</v>
      </c>
      <c r="M104" s="251" t="s">
        <v>913</v>
      </c>
      <c r="N104" s="251" t="s">
        <v>753</v>
      </c>
      <c r="O104" s="251"/>
      <c r="P104" s="252"/>
      <c r="Q104" s="251" t="s">
        <v>1265</v>
      </c>
      <c r="R104" s="256">
        <v>46145.0</v>
      </c>
      <c r="S104" s="254" t="s">
        <v>2347</v>
      </c>
      <c r="T104" s="255"/>
    </row>
    <row r="105" ht="15.75" hidden="1" customHeight="1">
      <c r="A105" s="7" t="s">
        <v>2352</v>
      </c>
      <c r="B105" s="7" t="s">
        <v>1383</v>
      </c>
      <c r="C105" s="7" t="s">
        <v>747</v>
      </c>
      <c r="D105" s="7" t="s">
        <v>907</v>
      </c>
      <c r="E105" s="7" t="s">
        <v>829</v>
      </c>
      <c r="F105" s="7" t="s">
        <v>39</v>
      </c>
      <c r="G105" s="7" t="s">
        <v>6</v>
      </c>
      <c r="H105" s="7" t="s">
        <v>908</v>
      </c>
      <c r="I105" s="33" t="s">
        <v>2353</v>
      </c>
      <c r="J105" s="33" t="s">
        <v>2354</v>
      </c>
      <c r="K105" s="58" t="s">
        <v>2355</v>
      </c>
      <c r="L105" s="33" t="s">
        <v>39</v>
      </c>
      <c r="M105" s="7" t="s">
        <v>913</v>
      </c>
      <c r="N105" s="7" t="s">
        <v>913</v>
      </c>
      <c r="O105" s="7"/>
      <c r="P105" s="33"/>
      <c r="Q105" s="7" t="s">
        <v>3</v>
      </c>
      <c r="R105" s="130">
        <v>46145.0</v>
      </c>
      <c r="S105" s="32" t="s">
        <v>2356</v>
      </c>
      <c r="T105" s="236"/>
    </row>
    <row r="106" ht="15.75" hidden="1" customHeight="1">
      <c r="A106" s="7" t="s">
        <v>2357</v>
      </c>
      <c r="B106" s="7" t="s">
        <v>1383</v>
      </c>
      <c r="C106" s="7" t="s">
        <v>747</v>
      </c>
      <c r="D106" s="7" t="s">
        <v>907</v>
      </c>
      <c r="E106" s="7" t="s">
        <v>1004</v>
      </c>
      <c r="F106" s="7" t="s">
        <v>39</v>
      </c>
      <c r="G106" s="7" t="s">
        <v>6</v>
      </c>
      <c r="H106" s="7" t="s">
        <v>1005</v>
      </c>
      <c r="I106" s="33" t="s">
        <v>2358</v>
      </c>
      <c r="J106" s="33" t="s">
        <v>2359</v>
      </c>
      <c r="K106" s="58" t="s">
        <v>2360</v>
      </c>
      <c r="L106" s="33" t="s">
        <v>39</v>
      </c>
      <c r="M106" s="7" t="s">
        <v>913</v>
      </c>
      <c r="N106" s="7" t="s">
        <v>753</v>
      </c>
      <c r="O106" s="7"/>
      <c r="P106" s="33"/>
      <c r="Q106" s="7" t="s">
        <v>1265</v>
      </c>
      <c r="R106" s="130">
        <v>46145.0</v>
      </c>
      <c r="S106" s="257" t="s">
        <v>2361</v>
      </c>
      <c r="T106" s="236"/>
    </row>
    <row r="107" ht="15.75" hidden="1" customHeight="1">
      <c r="A107" s="7" t="s">
        <v>2362</v>
      </c>
      <c r="B107" s="7" t="s">
        <v>1383</v>
      </c>
      <c r="C107" s="7" t="s">
        <v>747</v>
      </c>
      <c r="D107" s="7" t="s">
        <v>907</v>
      </c>
      <c r="E107" s="7" t="s">
        <v>1575</v>
      </c>
      <c r="F107" s="7" t="s">
        <v>39</v>
      </c>
      <c r="G107" s="7" t="s">
        <v>6</v>
      </c>
      <c r="H107" s="7" t="s">
        <v>1005</v>
      </c>
      <c r="I107" s="33" t="s">
        <v>2363</v>
      </c>
      <c r="J107" s="33" t="s">
        <v>2364</v>
      </c>
      <c r="K107" s="58" t="s">
        <v>2365</v>
      </c>
      <c r="L107" s="33" t="s">
        <v>39</v>
      </c>
      <c r="M107" s="7" t="s">
        <v>913</v>
      </c>
      <c r="N107" s="7" t="s">
        <v>753</v>
      </c>
      <c r="O107" s="7"/>
      <c r="P107" s="33"/>
      <c r="Q107" s="7" t="s">
        <v>4</v>
      </c>
      <c r="R107" s="7"/>
      <c r="S107" s="32"/>
      <c r="T107" s="236"/>
    </row>
    <row r="108" ht="15.75" hidden="1" customHeight="1">
      <c r="A108" s="7" t="s">
        <v>2366</v>
      </c>
      <c r="B108" s="7" t="s">
        <v>1383</v>
      </c>
      <c r="C108" s="7" t="s">
        <v>747</v>
      </c>
      <c r="D108" s="7" t="s">
        <v>907</v>
      </c>
      <c r="E108" s="7" t="s">
        <v>829</v>
      </c>
      <c r="F108" s="7" t="s">
        <v>39</v>
      </c>
      <c r="G108" s="7" t="s">
        <v>6</v>
      </c>
      <c r="H108" s="7" t="s">
        <v>1110</v>
      </c>
      <c r="I108" s="33" t="s">
        <v>2367</v>
      </c>
      <c r="J108" s="33" t="s">
        <v>2368</v>
      </c>
      <c r="K108" s="58" t="s">
        <v>2369</v>
      </c>
      <c r="L108" s="33" t="s">
        <v>39</v>
      </c>
      <c r="M108" s="7" t="s">
        <v>913</v>
      </c>
      <c r="N108" s="7" t="s">
        <v>753</v>
      </c>
      <c r="O108" s="7"/>
      <c r="P108" s="33"/>
      <c r="Q108" s="7" t="s">
        <v>4</v>
      </c>
      <c r="R108" s="7"/>
      <c r="S108" s="32"/>
      <c r="T108" s="236"/>
    </row>
    <row r="109" ht="15.75" hidden="1" customHeight="1">
      <c r="A109" s="7" t="s">
        <v>2370</v>
      </c>
      <c r="B109" s="7" t="s">
        <v>1383</v>
      </c>
      <c r="C109" s="7" t="s">
        <v>755</v>
      </c>
      <c r="D109" s="7" t="s">
        <v>907</v>
      </c>
      <c r="E109" s="7" t="s">
        <v>829</v>
      </c>
      <c r="F109" s="7" t="s">
        <v>39</v>
      </c>
      <c r="G109" s="7" t="s">
        <v>6</v>
      </c>
      <c r="H109" s="7" t="s">
        <v>908</v>
      </c>
      <c r="I109" s="33" t="s">
        <v>2371</v>
      </c>
      <c r="J109" s="33" t="s">
        <v>2372</v>
      </c>
      <c r="K109" s="58" t="s">
        <v>2373</v>
      </c>
      <c r="L109" s="33" t="s">
        <v>39</v>
      </c>
      <c r="M109" s="7" t="s">
        <v>913</v>
      </c>
      <c r="N109" s="7" t="s">
        <v>913</v>
      </c>
      <c r="O109" s="7"/>
      <c r="P109" s="33"/>
      <c r="Q109" s="7" t="s">
        <v>3</v>
      </c>
      <c r="R109" s="130">
        <v>46145.0</v>
      </c>
      <c r="S109" s="32" t="s">
        <v>2374</v>
      </c>
      <c r="T109" s="236"/>
    </row>
    <row r="110" ht="15.75" hidden="1" customHeight="1">
      <c r="A110" s="7" t="s">
        <v>2375</v>
      </c>
      <c r="B110" s="7" t="s">
        <v>1383</v>
      </c>
      <c r="C110" s="7" t="s">
        <v>755</v>
      </c>
      <c r="D110" s="7" t="s">
        <v>907</v>
      </c>
      <c r="E110" s="7" t="s">
        <v>829</v>
      </c>
      <c r="F110" s="7" t="s">
        <v>39</v>
      </c>
      <c r="G110" s="7" t="s">
        <v>6</v>
      </c>
      <c r="H110" s="7" t="s">
        <v>908</v>
      </c>
      <c r="I110" s="33" t="s">
        <v>2376</v>
      </c>
      <c r="J110" s="33" t="s">
        <v>2377</v>
      </c>
      <c r="K110" s="58" t="s">
        <v>2378</v>
      </c>
      <c r="L110" s="33" t="s">
        <v>39</v>
      </c>
      <c r="M110" s="7" t="s">
        <v>913</v>
      </c>
      <c r="N110" s="7" t="s">
        <v>913</v>
      </c>
      <c r="O110" s="7"/>
      <c r="P110" s="33"/>
      <c r="Q110" s="7" t="s">
        <v>3</v>
      </c>
      <c r="R110" s="130">
        <v>46145.0</v>
      </c>
      <c r="S110" s="32" t="s">
        <v>2356</v>
      </c>
      <c r="T110" s="236"/>
    </row>
    <row r="111" ht="15.75" hidden="1" customHeight="1">
      <c r="A111" s="7" t="s">
        <v>2379</v>
      </c>
      <c r="B111" s="7" t="s">
        <v>1383</v>
      </c>
      <c r="C111" s="7" t="s">
        <v>755</v>
      </c>
      <c r="D111" s="7" t="s">
        <v>907</v>
      </c>
      <c r="E111" s="7" t="s">
        <v>829</v>
      </c>
      <c r="F111" s="7" t="s">
        <v>39</v>
      </c>
      <c r="G111" s="7" t="s">
        <v>6</v>
      </c>
      <c r="H111" s="7" t="s">
        <v>908</v>
      </c>
      <c r="I111" s="33" t="s">
        <v>2380</v>
      </c>
      <c r="J111" s="33" t="s">
        <v>2381</v>
      </c>
      <c r="K111" s="58" t="s">
        <v>2382</v>
      </c>
      <c r="L111" s="33" t="s">
        <v>39</v>
      </c>
      <c r="M111" s="7" t="s">
        <v>913</v>
      </c>
      <c r="N111" s="7" t="s">
        <v>913</v>
      </c>
      <c r="O111" s="7"/>
      <c r="P111" s="33"/>
      <c r="Q111" s="7" t="s">
        <v>3</v>
      </c>
      <c r="R111" s="130">
        <v>46145.0</v>
      </c>
      <c r="S111" s="32" t="s">
        <v>2356</v>
      </c>
      <c r="T111" s="236"/>
    </row>
    <row r="112" ht="15.75" hidden="1" customHeight="1">
      <c r="A112" s="7" t="s">
        <v>2383</v>
      </c>
      <c r="B112" s="7" t="s">
        <v>1383</v>
      </c>
      <c r="C112" s="7" t="s">
        <v>755</v>
      </c>
      <c r="D112" s="7" t="s">
        <v>907</v>
      </c>
      <c r="E112" s="7" t="s">
        <v>829</v>
      </c>
      <c r="F112" s="7" t="s">
        <v>39</v>
      </c>
      <c r="G112" s="7" t="s">
        <v>6</v>
      </c>
      <c r="H112" s="7" t="s">
        <v>908</v>
      </c>
      <c r="I112" s="33" t="s">
        <v>2384</v>
      </c>
      <c r="J112" s="33" t="s">
        <v>2385</v>
      </c>
      <c r="K112" s="58" t="s">
        <v>2386</v>
      </c>
      <c r="L112" s="33" t="s">
        <v>39</v>
      </c>
      <c r="M112" s="7" t="s">
        <v>913</v>
      </c>
      <c r="N112" s="7" t="s">
        <v>913</v>
      </c>
      <c r="O112" s="7"/>
      <c r="P112" s="33"/>
      <c r="Q112" s="7" t="s">
        <v>3</v>
      </c>
      <c r="R112" s="130">
        <v>46145.0</v>
      </c>
      <c r="S112" s="32" t="s">
        <v>2356</v>
      </c>
      <c r="T112" s="236"/>
    </row>
    <row r="113" ht="15.75" hidden="1" customHeight="1">
      <c r="A113" s="7" t="s">
        <v>2387</v>
      </c>
      <c r="B113" s="7" t="s">
        <v>1383</v>
      </c>
      <c r="C113" s="7" t="s">
        <v>755</v>
      </c>
      <c r="D113" s="7" t="s">
        <v>907</v>
      </c>
      <c r="E113" s="7" t="s">
        <v>829</v>
      </c>
      <c r="F113" s="7" t="s">
        <v>39</v>
      </c>
      <c r="G113" s="7" t="s">
        <v>6</v>
      </c>
      <c r="H113" s="7" t="s">
        <v>908</v>
      </c>
      <c r="I113" s="33" t="s">
        <v>2388</v>
      </c>
      <c r="J113" s="33" t="s">
        <v>2389</v>
      </c>
      <c r="K113" s="58" t="s">
        <v>2390</v>
      </c>
      <c r="L113" s="33" t="s">
        <v>39</v>
      </c>
      <c r="M113" s="7" t="s">
        <v>913</v>
      </c>
      <c r="N113" s="7" t="s">
        <v>913</v>
      </c>
      <c r="O113" s="7"/>
      <c r="P113" s="33"/>
      <c r="Q113" s="7" t="s">
        <v>3</v>
      </c>
      <c r="R113" s="130">
        <v>46145.0</v>
      </c>
      <c r="S113" s="32" t="s">
        <v>2356</v>
      </c>
      <c r="T113" s="236"/>
    </row>
    <row r="114" ht="15.75" hidden="1" customHeight="1">
      <c r="A114" s="7" t="s">
        <v>2391</v>
      </c>
      <c r="B114" s="7" t="s">
        <v>1383</v>
      </c>
      <c r="C114" s="7" t="s">
        <v>755</v>
      </c>
      <c r="D114" s="7" t="s">
        <v>907</v>
      </c>
      <c r="E114" s="7" t="s">
        <v>829</v>
      </c>
      <c r="F114" s="7" t="s">
        <v>39</v>
      </c>
      <c r="G114" s="7" t="s">
        <v>6</v>
      </c>
      <c r="H114" s="7" t="s">
        <v>908</v>
      </c>
      <c r="I114" s="33" t="s">
        <v>2392</v>
      </c>
      <c r="J114" s="33" t="s">
        <v>2393</v>
      </c>
      <c r="K114" s="58" t="s">
        <v>2394</v>
      </c>
      <c r="L114" s="33" t="s">
        <v>39</v>
      </c>
      <c r="M114" s="7" t="s">
        <v>913</v>
      </c>
      <c r="N114" s="7" t="s">
        <v>753</v>
      </c>
      <c r="O114" s="7" t="s">
        <v>1851</v>
      </c>
      <c r="P114" s="33" t="s">
        <v>2395</v>
      </c>
      <c r="Q114" s="7" t="s">
        <v>4</v>
      </c>
      <c r="R114" s="130">
        <v>46145.0</v>
      </c>
      <c r="S114" s="32" t="s">
        <v>2396</v>
      </c>
      <c r="T114" s="236"/>
    </row>
    <row r="115" ht="15.75" hidden="1" customHeight="1">
      <c r="A115" s="7" t="s">
        <v>2397</v>
      </c>
      <c r="B115" s="7" t="s">
        <v>1383</v>
      </c>
      <c r="C115" s="7" t="s">
        <v>755</v>
      </c>
      <c r="D115" s="7" t="s">
        <v>907</v>
      </c>
      <c r="E115" s="7" t="s">
        <v>829</v>
      </c>
      <c r="F115" s="7" t="s">
        <v>39</v>
      </c>
      <c r="G115" s="7" t="s">
        <v>6</v>
      </c>
      <c r="H115" s="7" t="s">
        <v>908</v>
      </c>
      <c r="I115" s="33" t="s">
        <v>2398</v>
      </c>
      <c r="J115" s="33" t="s">
        <v>2399</v>
      </c>
      <c r="K115" s="58" t="s">
        <v>2400</v>
      </c>
      <c r="L115" s="33" t="s">
        <v>39</v>
      </c>
      <c r="M115" s="7" t="s">
        <v>913</v>
      </c>
      <c r="N115" s="7" t="s">
        <v>913</v>
      </c>
      <c r="O115" s="7"/>
      <c r="P115" s="33"/>
      <c r="Q115" s="7" t="s">
        <v>3</v>
      </c>
      <c r="R115" s="130">
        <v>46145.0</v>
      </c>
      <c r="S115" s="32" t="s">
        <v>2356</v>
      </c>
      <c r="T115" s="236"/>
    </row>
    <row r="116" ht="15.75" hidden="1" customHeight="1">
      <c r="A116" s="7" t="s">
        <v>2401</v>
      </c>
      <c r="B116" s="7" t="s">
        <v>1383</v>
      </c>
      <c r="C116" s="7" t="s">
        <v>755</v>
      </c>
      <c r="D116" s="7" t="s">
        <v>907</v>
      </c>
      <c r="E116" s="7" t="s">
        <v>829</v>
      </c>
      <c r="F116" s="7" t="s">
        <v>39</v>
      </c>
      <c r="G116" s="7" t="s">
        <v>6</v>
      </c>
      <c r="H116" s="7" t="s">
        <v>908</v>
      </c>
      <c r="I116" s="33" t="s">
        <v>2402</v>
      </c>
      <c r="J116" s="33" t="s">
        <v>2403</v>
      </c>
      <c r="K116" s="58" t="s">
        <v>2404</v>
      </c>
      <c r="L116" s="33" t="s">
        <v>39</v>
      </c>
      <c r="M116" s="7" t="s">
        <v>913</v>
      </c>
      <c r="N116" s="7" t="s">
        <v>913</v>
      </c>
      <c r="O116" s="7"/>
      <c r="P116" s="33"/>
      <c r="Q116" s="7" t="s">
        <v>3</v>
      </c>
      <c r="R116" s="130">
        <v>46145.0</v>
      </c>
      <c r="S116" s="32" t="s">
        <v>2356</v>
      </c>
      <c r="T116" s="236"/>
    </row>
    <row r="117" ht="15.75" hidden="1" customHeight="1">
      <c r="A117" s="7" t="s">
        <v>2405</v>
      </c>
      <c r="B117" s="7" t="s">
        <v>1383</v>
      </c>
      <c r="C117" s="7" t="s">
        <v>755</v>
      </c>
      <c r="D117" s="7" t="s">
        <v>907</v>
      </c>
      <c r="E117" s="7" t="s">
        <v>829</v>
      </c>
      <c r="F117" s="7" t="s">
        <v>39</v>
      </c>
      <c r="G117" s="7" t="s">
        <v>6</v>
      </c>
      <c r="H117" s="7" t="s">
        <v>908</v>
      </c>
      <c r="I117" s="33" t="s">
        <v>2406</v>
      </c>
      <c r="J117" s="33" t="s">
        <v>2407</v>
      </c>
      <c r="K117" s="58" t="s">
        <v>2408</v>
      </c>
      <c r="L117" s="33" t="s">
        <v>39</v>
      </c>
      <c r="M117" s="7" t="s">
        <v>913</v>
      </c>
      <c r="N117" s="7" t="s">
        <v>913</v>
      </c>
      <c r="O117" s="7"/>
      <c r="P117" s="33"/>
      <c r="Q117" s="7" t="s">
        <v>3</v>
      </c>
      <c r="R117" s="130">
        <v>46145.0</v>
      </c>
      <c r="S117" s="32" t="s">
        <v>2356</v>
      </c>
      <c r="T117" s="236"/>
    </row>
    <row r="118" ht="15.75" hidden="1" customHeight="1">
      <c r="A118" s="7" t="s">
        <v>2409</v>
      </c>
      <c r="B118" s="7" t="s">
        <v>1383</v>
      </c>
      <c r="C118" s="7" t="s">
        <v>755</v>
      </c>
      <c r="D118" s="7" t="s">
        <v>907</v>
      </c>
      <c r="E118" s="7" t="s">
        <v>829</v>
      </c>
      <c r="F118" s="7" t="s">
        <v>39</v>
      </c>
      <c r="G118" s="7" t="s">
        <v>6</v>
      </c>
      <c r="H118" s="7" t="s">
        <v>908</v>
      </c>
      <c r="I118" s="33" t="s">
        <v>2410</v>
      </c>
      <c r="J118" s="33" t="s">
        <v>2411</v>
      </c>
      <c r="K118" s="58" t="s">
        <v>2412</v>
      </c>
      <c r="L118" s="33" t="s">
        <v>39</v>
      </c>
      <c r="M118" s="7" t="s">
        <v>913</v>
      </c>
      <c r="N118" s="7" t="s">
        <v>913</v>
      </c>
      <c r="O118" s="7"/>
      <c r="P118" s="33"/>
      <c r="Q118" s="7" t="s">
        <v>3</v>
      </c>
      <c r="R118" s="130">
        <v>46145.0</v>
      </c>
      <c r="S118" s="32" t="s">
        <v>2356</v>
      </c>
      <c r="T118" s="236"/>
    </row>
    <row r="119" ht="15.75" hidden="1" customHeight="1">
      <c r="A119" s="7" t="s">
        <v>2413</v>
      </c>
      <c r="B119" s="7" t="s">
        <v>1383</v>
      </c>
      <c r="C119" s="7" t="s">
        <v>755</v>
      </c>
      <c r="D119" s="7" t="s">
        <v>907</v>
      </c>
      <c r="E119" s="7" t="s">
        <v>829</v>
      </c>
      <c r="F119" s="7" t="s">
        <v>39</v>
      </c>
      <c r="G119" s="7" t="s">
        <v>6</v>
      </c>
      <c r="H119" s="7" t="s">
        <v>908</v>
      </c>
      <c r="I119" s="33" t="s">
        <v>2414</v>
      </c>
      <c r="J119" s="33" t="s">
        <v>2415</v>
      </c>
      <c r="K119" s="58" t="s">
        <v>2416</v>
      </c>
      <c r="L119" s="33" t="s">
        <v>39</v>
      </c>
      <c r="M119" s="7" t="s">
        <v>913</v>
      </c>
      <c r="N119" s="7" t="s">
        <v>913</v>
      </c>
      <c r="O119" s="7"/>
      <c r="P119" s="33"/>
      <c r="Q119" s="7" t="s">
        <v>3</v>
      </c>
      <c r="R119" s="130">
        <v>46145.0</v>
      </c>
      <c r="S119" s="32" t="s">
        <v>2356</v>
      </c>
      <c r="T119" s="236"/>
    </row>
    <row r="120" ht="15.75" hidden="1" customHeight="1">
      <c r="A120" s="7" t="s">
        <v>2417</v>
      </c>
      <c r="B120" s="7" t="s">
        <v>1383</v>
      </c>
      <c r="C120" s="7" t="s">
        <v>747</v>
      </c>
      <c r="D120" s="7" t="s">
        <v>907</v>
      </c>
      <c r="E120" s="7" t="s">
        <v>829</v>
      </c>
      <c r="F120" s="7" t="s">
        <v>39</v>
      </c>
      <c r="G120" s="7" t="s">
        <v>6</v>
      </c>
      <c r="H120" s="7" t="s">
        <v>908</v>
      </c>
      <c r="I120" s="33" t="s">
        <v>2418</v>
      </c>
      <c r="J120" s="33" t="s">
        <v>2419</v>
      </c>
      <c r="K120" s="58" t="s">
        <v>2420</v>
      </c>
      <c r="L120" s="33" t="s">
        <v>39</v>
      </c>
      <c r="M120" s="7" t="s">
        <v>913</v>
      </c>
      <c r="N120" s="7" t="s">
        <v>913</v>
      </c>
      <c r="O120" s="7"/>
      <c r="P120" s="33"/>
      <c r="Q120" s="7" t="s">
        <v>3</v>
      </c>
      <c r="R120" s="130">
        <v>46145.0</v>
      </c>
      <c r="S120" s="32" t="s">
        <v>2356</v>
      </c>
      <c r="T120" s="236"/>
    </row>
    <row r="121" ht="15.75" hidden="1" customHeight="1">
      <c r="A121" s="7" t="s">
        <v>2421</v>
      </c>
      <c r="B121" s="7" t="s">
        <v>1383</v>
      </c>
      <c r="C121" s="7" t="s">
        <v>747</v>
      </c>
      <c r="D121" s="7" t="s">
        <v>907</v>
      </c>
      <c r="E121" s="7" t="s">
        <v>829</v>
      </c>
      <c r="F121" s="7" t="s">
        <v>39</v>
      </c>
      <c r="G121" s="7" t="s">
        <v>6</v>
      </c>
      <c r="H121" s="7" t="s">
        <v>908</v>
      </c>
      <c r="I121" s="33" t="s">
        <v>2422</v>
      </c>
      <c r="J121" s="33" t="s">
        <v>2423</v>
      </c>
      <c r="K121" s="58" t="s">
        <v>2424</v>
      </c>
      <c r="L121" s="33" t="s">
        <v>39</v>
      </c>
      <c r="M121" s="7" t="s">
        <v>913</v>
      </c>
      <c r="N121" s="7" t="s">
        <v>913</v>
      </c>
      <c r="O121" s="7"/>
      <c r="P121" s="33"/>
      <c r="Q121" s="7" t="s">
        <v>3</v>
      </c>
      <c r="R121" s="130">
        <v>46145.0</v>
      </c>
      <c r="S121" s="32" t="s">
        <v>2356</v>
      </c>
      <c r="T121" s="236"/>
    </row>
    <row r="122" ht="15.75" hidden="1" customHeight="1">
      <c r="A122" s="7" t="s">
        <v>2425</v>
      </c>
      <c r="B122" s="7" t="s">
        <v>1383</v>
      </c>
      <c r="C122" s="7" t="s">
        <v>747</v>
      </c>
      <c r="D122" s="7" t="s">
        <v>907</v>
      </c>
      <c r="E122" s="7" t="s">
        <v>829</v>
      </c>
      <c r="F122" s="7" t="s">
        <v>39</v>
      </c>
      <c r="G122" s="7" t="s">
        <v>6</v>
      </c>
      <c r="H122" s="7" t="s">
        <v>908</v>
      </c>
      <c r="I122" s="33" t="s">
        <v>2426</v>
      </c>
      <c r="J122" s="33" t="s">
        <v>2427</v>
      </c>
      <c r="K122" s="58" t="s">
        <v>2428</v>
      </c>
      <c r="L122" s="33" t="s">
        <v>39</v>
      </c>
      <c r="M122" s="7" t="s">
        <v>913</v>
      </c>
      <c r="N122" s="7" t="s">
        <v>753</v>
      </c>
      <c r="O122" s="7"/>
      <c r="P122" s="33"/>
      <c r="Q122" s="7" t="s">
        <v>3</v>
      </c>
      <c r="R122" s="130">
        <v>46145.0</v>
      </c>
      <c r="S122" s="32" t="s">
        <v>2356</v>
      </c>
      <c r="T122" s="236"/>
    </row>
    <row r="123" ht="15.75" hidden="1" customHeight="1">
      <c r="A123" s="179" t="s">
        <v>2429</v>
      </c>
      <c r="B123" s="179" t="s">
        <v>1383</v>
      </c>
      <c r="C123" s="179" t="s">
        <v>747</v>
      </c>
      <c r="D123" s="179" t="s">
        <v>907</v>
      </c>
      <c r="E123" s="179" t="s">
        <v>829</v>
      </c>
      <c r="F123" s="179" t="s">
        <v>39</v>
      </c>
      <c r="G123" s="179" t="s">
        <v>6</v>
      </c>
      <c r="H123" s="179" t="s">
        <v>908</v>
      </c>
      <c r="I123" s="182" t="s">
        <v>2430</v>
      </c>
      <c r="J123" s="182" t="s">
        <v>2431</v>
      </c>
      <c r="K123" s="183" t="s">
        <v>2432</v>
      </c>
      <c r="L123" s="182" t="s">
        <v>39</v>
      </c>
      <c r="M123" s="179" t="s">
        <v>913</v>
      </c>
      <c r="N123" s="179" t="s">
        <v>753</v>
      </c>
      <c r="O123" s="179"/>
      <c r="P123" s="182"/>
      <c r="Q123" s="179" t="s">
        <v>4</v>
      </c>
      <c r="R123" s="240">
        <v>46145.0</v>
      </c>
      <c r="S123" s="241" t="s">
        <v>2433</v>
      </c>
      <c r="T123" s="242"/>
      <c r="U123" s="258"/>
      <c r="V123" s="258"/>
      <c r="W123" s="258"/>
      <c r="X123" s="258"/>
      <c r="Y123" s="258"/>
      <c r="Z123" s="258"/>
    </row>
    <row r="124" ht="15.75" hidden="1" customHeight="1">
      <c r="A124" s="7" t="s">
        <v>2434</v>
      </c>
      <c r="B124" s="7" t="s">
        <v>1383</v>
      </c>
      <c r="C124" s="7" t="s">
        <v>747</v>
      </c>
      <c r="D124" s="7" t="s">
        <v>907</v>
      </c>
      <c r="E124" s="7" t="s">
        <v>1109</v>
      </c>
      <c r="F124" s="7" t="s">
        <v>39</v>
      </c>
      <c r="G124" s="7" t="s">
        <v>6</v>
      </c>
      <c r="H124" s="7" t="s">
        <v>2435</v>
      </c>
      <c r="I124" s="33" t="s">
        <v>2436</v>
      </c>
      <c r="J124" s="33" t="s">
        <v>2437</v>
      </c>
      <c r="K124" s="58" t="s">
        <v>2438</v>
      </c>
      <c r="L124" s="33" t="s">
        <v>39</v>
      </c>
      <c r="M124" s="7" t="s">
        <v>913</v>
      </c>
      <c r="N124" s="7" t="s">
        <v>753</v>
      </c>
      <c r="O124" s="7"/>
      <c r="P124" s="33"/>
      <c r="Q124" s="7" t="s">
        <v>4</v>
      </c>
      <c r="R124" s="7"/>
      <c r="S124" s="32"/>
      <c r="T124" s="236"/>
    </row>
    <row r="125" ht="15.75" hidden="1" customHeight="1">
      <c r="A125" s="251" t="s">
        <v>2439</v>
      </c>
      <c r="B125" s="251" t="s">
        <v>1383</v>
      </c>
      <c r="C125" s="251" t="s">
        <v>747</v>
      </c>
      <c r="D125" s="251" t="s">
        <v>907</v>
      </c>
      <c r="E125" s="251" t="s">
        <v>829</v>
      </c>
      <c r="F125" s="251" t="s">
        <v>39</v>
      </c>
      <c r="G125" s="251" t="s">
        <v>6</v>
      </c>
      <c r="H125" s="251" t="s">
        <v>2303</v>
      </c>
      <c r="I125" s="252" t="s">
        <v>2440</v>
      </c>
      <c r="J125" s="252" t="s">
        <v>2441</v>
      </c>
      <c r="K125" s="253" t="s">
        <v>2442</v>
      </c>
      <c r="L125" s="252" t="s">
        <v>39</v>
      </c>
      <c r="M125" s="251" t="s">
        <v>913</v>
      </c>
      <c r="N125" s="251" t="s">
        <v>753</v>
      </c>
      <c r="O125" s="251"/>
      <c r="P125" s="252"/>
      <c r="Q125" s="251" t="s">
        <v>3</v>
      </c>
      <c r="R125" s="251" t="s">
        <v>490</v>
      </c>
      <c r="S125" s="254" t="s">
        <v>2443</v>
      </c>
      <c r="T125" s="255"/>
    </row>
    <row r="126" ht="15.75" hidden="1" customHeight="1">
      <c r="A126" s="7" t="s">
        <v>2444</v>
      </c>
      <c r="B126" s="7" t="s">
        <v>1383</v>
      </c>
      <c r="C126" s="7" t="s">
        <v>747</v>
      </c>
      <c r="D126" s="7" t="s">
        <v>907</v>
      </c>
      <c r="E126" s="7" t="s">
        <v>829</v>
      </c>
      <c r="F126" s="7" t="s">
        <v>39</v>
      </c>
      <c r="G126" s="7" t="s">
        <v>6</v>
      </c>
      <c r="H126" s="7" t="s">
        <v>1014</v>
      </c>
      <c r="I126" s="33" t="s">
        <v>2445</v>
      </c>
      <c r="J126" s="33" t="s">
        <v>2446</v>
      </c>
      <c r="K126" s="58" t="s">
        <v>2447</v>
      </c>
      <c r="L126" s="33" t="s">
        <v>39</v>
      </c>
      <c r="M126" s="7" t="s">
        <v>913</v>
      </c>
      <c r="N126" s="7" t="s">
        <v>753</v>
      </c>
      <c r="O126" s="7"/>
      <c r="P126" s="33"/>
      <c r="Q126" s="7" t="s">
        <v>4</v>
      </c>
      <c r="R126" s="7"/>
      <c r="S126" s="32"/>
      <c r="T126" s="236"/>
    </row>
    <row r="127" ht="15.75" hidden="1" customHeight="1">
      <c r="A127" s="7" t="s">
        <v>2448</v>
      </c>
      <c r="B127" s="7" t="s">
        <v>1383</v>
      </c>
      <c r="C127" s="7" t="s">
        <v>747</v>
      </c>
      <c r="D127" s="7" t="s">
        <v>907</v>
      </c>
      <c r="E127" s="7" t="s">
        <v>829</v>
      </c>
      <c r="F127" s="7" t="s">
        <v>39</v>
      </c>
      <c r="G127" s="7" t="s">
        <v>6</v>
      </c>
      <c r="H127" s="7" t="s">
        <v>1014</v>
      </c>
      <c r="I127" s="33" t="s">
        <v>2449</v>
      </c>
      <c r="J127" s="33" t="s">
        <v>2450</v>
      </c>
      <c r="K127" s="58" t="s">
        <v>2451</v>
      </c>
      <c r="L127" s="33" t="s">
        <v>39</v>
      </c>
      <c r="M127" s="7" t="s">
        <v>913</v>
      </c>
      <c r="N127" s="7" t="s">
        <v>753</v>
      </c>
      <c r="O127" s="7"/>
      <c r="P127" s="33"/>
      <c r="Q127" s="7" t="s">
        <v>4</v>
      </c>
      <c r="R127" s="7"/>
      <c r="S127" s="32"/>
      <c r="T127" s="236"/>
    </row>
    <row r="128" ht="15.75" hidden="1" customHeight="1">
      <c r="A128" s="7" t="s">
        <v>2452</v>
      </c>
      <c r="B128" s="7" t="s">
        <v>1383</v>
      </c>
      <c r="C128" s="7" t="s">
        <v>747</v>
      </c>
      <c r="D128" s="7" t="s">
        <v>907</v>
      </c>
      <c r="E128" s="7" t="s">
        <v>829</v>
      </c>
      <c r="F128" s="7" t="s">
        <v>39</v>
      </c>
      <c r="G128" s="7" t="s">
        <v>6</v>
      </c>
      <c r="H128" s="7" t="s">
        <v>1014</v>
      </c>
      <c r="I128" s="33" t="s">
        <v>2453</v>
      </c>
      <c r="J128" s="33" t="s">
        <v>2450</v>
      </c>
      <c r="K128" s="58" t="s">
        <v>2454</v>
      </c>
      <c r="L128" s="33" t="s">
        <v>39</v>
      </c>
      <c r="M128" s="7" t="s">
        <v>913</v>
      </c>
      <c r="N128" s="7" t="s">
        <v>753</v>
      </c>
      <c r="O128" s="7"/>
      <c r="P128" s="33"/>
      <c r="Q128" s="7" t="s">
        <v>4</v>
      </c>
      <c r="R128" s="7"/>
      <c r="S128" s="32"/>
      <c r="T128" s="236"/>
    </row>
    <row r="129" ht="15.75" hidden="1" customHeight="1">
      <c r="A129" s="7" t="s">
        <v>2455</v>
      </c>
      <c r="B129" s="7" t="s">
        <v>1383</v>
      </c>
      <c r="C129" s="7" t="s">
        <v>747</v>
      </c>
      <c r="D129" s="7" t="s">
        <v>907</v>
      </c>
      <c r="E129" s="7" t="s">
        <v>829</v>
      </c>
      <c r="F129" s="7" t="s">
        <v>39</v>
      </c>
      <c r="G129" s="7" t="s">
        <v>6</v>
      </c>
      <c r="H129" s="7" t="s">
        <v>1014</v>
      </c>
      <c r="I129" s="33" t="s">
        <v>2456</v>
      </c>
      <c r="J129" s="33" t="s">
        <v>2450</v>
      </c>
      <c r="K129" s="58" t="s">
        <v>2457</v>
      </c>
      <c r="L129" s="33" t="s">
        <v>39</v>
      </c>
      <c r="M129" s="7" t="s">
        <v>913</v>
      </c>
      <c r="N129" s="7" t="s">
        <v>753</v>
      </c>
      <c r="O129" s="7"/>
      <c r="P129" s="33"/>
      <c r="Q129" s="7" t="s">
        <v>4</v>
      </c>
      <c r="R129" s="7"/>
      <c r="S129" s="32"/>
      <c r="T129" s="236"/>
    </row>
    <row r="130" ht="15.75" hidden="1" customHeight="1">
      <c r="A130" s="7" t="s">
        <v>2458</v>
      </c>
      <c r="B130" s="7" t="s">
        <v>1383</v>
      </c>
      <c r="C130" s="7" t="s">
        <v>747</v>
      </c>
      <c r="D130" s="7" t="s">
        <v>907</v>
      </c>
      <c r="E130" s="7" t="s">
        <v>829</v>
      </c>
      <c r="F130" s="7" t="s">
        <v>39</v>
      </c>
      <c r="G130" s="7" t="s">
        <v>6</v>
      </c>
      <c r="H130" s="7" t="s">
        <v>1014</v>
      </c>
      <c r="I130" s="33" t="s">
        <v>2459</v>
      </c>
      <c r="J130" s="33" t="s">
        <v>2460</v>
      </c>
      <c r="K130" s="58" t="s">
        <v>2461</v>
      </c>
      <c r="L130" s="33" t="s">
        <v>39</v>
      </c>
      <c r="M130" s="7" t="s">
        <v>913</v>
      </c>
      <c r="N130" s="7" t="s">
        <v>753</v>
      </c>
      <c r="O130" s="7"/>
      <c r="P130" s="33"/>
      <c r="Q130" s="7" t="s">
        <v>4</v>
      </c>
      <c r="R130" s="7"/>
      <c r="S130" s="32"/>
      <c r="T130" s="236"/>
    </row>
    <row r="131" ht="15.75" hidden="1" customHeight="1">
      <c r="A131" s="7" t="s">
        <v>2462</v>
      </c>
      <c r="B131" s="7" t="s">
        <v>1383</v>
      </c>
      <c r="C131" s="7" t="s">
        <v>755</v>
      </c>
      <c r="D131" s="7" t="s">
        <v>907</v>
      </c>
      <c r="E131" s="7" t="s">
        <v>1109</v>
      </c>
      <c r="F131" s="7" t="s">
        <v>39</v>
      </c>
      <c r="G131" s="7" t="s">
        <v>6</v>
      </c>
      <c r="H131" s="7" t="s">
        <v>908</v>
      </c>
      <c r="I131" s="33" t="s">
        <v>2463</v>
      </c>
      <c r="J131" s="33" t="s">
        <v>2464</v>
      </c>
      <c r="K131" s="58" t="s">
        <v>2465</v>
      </c>
      <c r="L131" s="58" t="s">
        <v>2466</v>
      </c>
      <c r="M131" s="7" t="s">
        <v>913</v>
      </c>
      <c r="N131" s="7" t="s">
        <v>753</v>
      </c>
      <c r="O131" s="7"/>
      <c r="P131" s="33"/>
      <c r="Q131" s="7" t="s">
        <v>4</v>
      </c>
      <c r="R131" s="130">
        <v>46359.0</v>
      </c>
      <c r="S131" s="32" t="s">
        <v>2467</v>
      </c>
      <c r="T131" s="236"/>
    </row>
    <row r="132" ht="15.75" hidden="1" customHeight="1">
      <c r="A132" s="7" t="s">
        <v>2468</v>
      </c>
      <c r="B132" s="7" t="s">
        <v>1383</v>
      </c>
      <c r="C132" s="7" t="s">
        <v>747</v>
      </c>
      <c r="D132" s="7" t="s">
        <v>907</v>
      </c>
      <c r="E132" s="7" t="s">
        <v>1109</v>
      </c>
      <c r="F132" s="7" t="s">
        <v>39</v>
      </c>
      <c r="G132" s="7" t="s">
        <v>6</v>
      </c>
      <c r="H132" s="7" t="s">
        <v>805</v>
      </c>
      <c r="I132" s="33" t="s">
        <v>2469</v>
      </c>
      <c r="J132" s="33" t="s">
        <v>2470</v>
      </c>
      <c r="K132" s="58" t="s">
        <v>2471</v>
      </c>
      <c r="L132" s="33" t="s">
        <v>39</v>
      </c>
      <c r="M132" s="7" t="s">
        <v>913</v>
      </c>
      <c r="N132" s="7" t="s">
        <v>1010</v>
      </c>
      <c r="O132" s="7"/>
      <c r="P132" s="33"/>
      <c r="Q132" s="7" t="s">
        <v>4</v>
      </c>
      <c r="R132" s="7"/>
      <c r="S132" s="32"/>
      <c r="T132" s="236"/>
    </row>
    <row r="133" ht="15.75" customHeight="1">
      <c r="A133" s="7" t="s">
        <v>2472</v>
      </c>
      <c r="B133" s="7" t="s">
        <v>1383</v>
      </c>
      <c r="C133" s="7" t="s">
        <v>755</v>
      </c>
      <c r="D133" s="7" t="s">
        <v>907</v>
      </c>
      <c r="E133" s="7" t="s">
        <v>829</v>
      </c>
      <c r="F133" s="7" t="s">
        <v>39</v>
      </c>
      <c r="G133" s="7" t="s">
        <v>16</v>
      </c>
      <c r="H133" s="7" t="s">
        <v>2473</v>
      </c>
      <c r="I133" s="33" t="s">
        <v>2474</v>
      </c>
      <c r="J133" s="33" t="s">
        <v>2475</v>
      </c>
      <c r="K133" s="58" t="s">
        <v>2476</v>
      </c>
      <c r="L133" s="33" t="s">
        <v>39</v>
      </c>
      <c r="M133" s="7" t="s">
        <v>913</v>
      </c>
      <c r="N133" s="7" t="s">
        <v>1878</v>
      </c>
      <c r="O133" s="7"/>
      <c r="P133" s="33"/>
      <c r="Q133" s="7" t="s">
        <v>4</v>
      </c>
      <c r="R133" s="7"/>
      <c r="S133" s="32"/>
      <c r="T133" s="236"/>
    </row>
    <row r="134" ht="15.75" hidden="1" customHeight="1">
      <c r="A134" s="7" t="s">
        <v>2477</v>
      </c>
      <c r="B134" s="35" t="s">
        <v>1383</v>
      </c>
      <c r="C134" s="35" t="s">
        <v>755</v>
      </c>
      <c r="D134" s="35" t="s">
        <v>907</v>
      </c>
      <c r="E134" s="35" t="s">
        <v>829</v>
      </c>
      <c r="F134" s="35" t="s">
        <v>39</v>
      </c>
      <c r="G134" s="35" t="s">
        <v>6</v>
      </c>
      <c r="H134" s="35" t="s">
        <v>1014</v>
      </c>
      <c r="I134" s="69" t="s">
        <v>2478</v>
      </c>
      <c r="J134" s="69" t="s">
        <v>2479</v>
      </c>
      <c r="K134" s="28" t="s">
        <v>2480</v>
      </c>
      <c r="L134" s="69" t="s">
        <v>39</v>
      </c>
      <c r="M134" s="35" t="s">
        <v>913</v>
      </c>
      <c r="N134" s="35" t="s">
        <v>753</v>
      </c>
      <c r="O134" s="35"/>
      <c r="P134" s="69"/>
      <c r="Q134" s="35" t="s">
        <v>4</v>
      </c>
      <c r="R134" s="35"/>
      <c r="S134" s="61"/>
      <c r="T134" s="259"/>
    </row>
    <row r="135" ht="15.75" hidden="1" customHeight="1">
      <c r="A135" s="179" t="s">
        <v>2481</v>
      </c>
      <c r="B135" s="240">
        <v>46056.0</v>
      </c>
      <c r="C135" s="179" t="s">
        <v>747</v>
      </c>
      <c r="D135" s="179" t="s">
        <v>907</v>
      </c>
      <c r="E135" s="179" t="s">
        <v>829</v>
      </c>
      <c r="F135" s="179" t="s">
        <v>39</v>
      </c>
      <c r="G135" s="179" t="s">
        <v>6</v>
      </c>
      <c r="H135" s="179" t="s">
        <v>1051</v>
      </c>
      <c r="I135" s="182" t="s">
        <v>2482</v>
      </c>
      <c r="J135" s="182" t="s">
        <v>2483</v>
      </c>
      <c r="K135" s="183" t="s">
        <v>2484</v>
      </c>
      <c r="L135" s="182" t="s">
        <v>39</v>
      </c>
      <c r="M135" s="179" t="s">
        <v>750</v>
      </c>
      <c r="N135" s="179" t="s">
        <v>753</v>
      </c>
      <c r="O135" s="179"/>
      <c r="P135" s="182"/>
      <c r="Q135" s="179" t="s">
        <v>4</v>
      </c>
      <c r="R135" s="240">
        <v>46145.0</v>
      </c>
      <c r="S135" s="241" t="s">
        <v>2485</v>
      </c>
      <c r="T135" s="260"/>
      <c r="U135" s="258"/>
      <c r="V135" s="258"/>
      <c r="W135" s="258"/>
      <c r="X135" s="258"/>
      <c r="Y135" s="258"/>
      <c r="Z135" s="258"/>
    </row>
    <row r="136" ht="15.75" customHeight="1">
      <c r="A136" s="7" t="s">
        <v>2486</v>
      </c>
      <c r="B136" s="130">
        <v>46084.0</v>
      </c>
      <c r="C136" s="7" t="s">
        <v>755</v>
      </c>
      <c r="D136" s="7" t="s">
        <v>907</v>
      </c>
      <c r="E136" s="7" t="s">
        <v>756</v>
      </c>
      <c r="F136" s="7" t="s">
        <v>39</v>
      </c>
      <c r="G136" s="7" t="s">
        <v>16</v>
      </c>
      <c r="H136" s="7" t="s">
        <v>1051</v>
      </c>
      <c r="I136" s="33" t="s">
        <v>2487</v>
      </c>
      <c r="J136" s="33" t="s">
        <v>2488</v>
      </c>
      <c r="K136" s="58" t="s">
        <v>2489</v>
      </c>
      <c r="L136" s="33" t="s">
        <v>39</v>
      </c>
      <c r="M136" s="7" t="s">
        <v>913</v>
      </c>
      <c r="N136" s="7" t="s">
        <v>974</v>
      </c>
      <c r="O136" s="7"/>
      <c r="P136" s="33"/>
      <c r="Q136" s="7" t="s">
        <v>4</v>
      </c>
      <c r="R136" s="7"/>
      <c r="S136" s="32"/>
      <c r="T136" s="13"/>
    </row>
    <row r="137" ht="15.75" hidden="1" customHeight="1">
      <c r="A137" s="7" t="s">
        <v>2490</v>
      </c>
      <c r="B137" s="130">
        <v>46145.0</v>
      </c>
      <c r="C137" s="7" t="s">
        <v>747</v>
      </c>
      <c r="D137" s="7" t="s">
        <v>907</v>
      </c>
      <c r="E137" s="7" t="s">
        <v>829</v>
      </c>
      <c r="F137" s="7" t="s">
        <v>39</v>
      </c>
      <c r="G137" s="7" t="s">
        <v>6</v>
      </c>
      <c r="H137" s="7" t="s">
        <v>908</v>
      </c>
      <c r="I137" s="33" t="s">
        <v>2491</v>
      </c>
      <c r="J137" s="89" t="s">
        <v>2492</v>
      </c>
      <c r="K137" s="58" t="s">
        <v>2493</v>
      </c>
      <c r="L137" s="33" t="s">
        <v>39</v>
      </c>
      <c r="M137" s="7" t="s">
        <v>913</v>
      </c>
      <c r="N137" s="7" t="s">
        <v>753</v>
      </c>
      <c r="O137" s="7"/>
      <c r="P137" s="33"/>
      <c r="Q137" s="7" t="s">
        <v>4</v>
      </c>
      <c r="R137" s="7"/>
      <c r="S137" s="32"/>
      <c r="T137" s="13"/>
    </row>
    <row r="138" ht="15.75" hidden="1" customHeight="1">
      <c r="A138" s="7" t="s">
        <v>2494</v>
      </c>
      <c r="B138" s="130">
        <v>46145.0</v>
      </c>
      <c r="C138" s="7" t="s">
        <v>747</v>
      </c>
      <c r="D138" s="7" t="s">
        <v>907</v>
      </c>
      <c r="E138" s="7" t="s">
        <v>829</v>
      </c>
      <c r="F138" s="7" t="s">
        <v>39</v>
      </c>
      <c r="G138" s="7" t="s">
        <v>6</v>
      </c>
      <c r="H138" s="7" t="s">
        <v>908</v>
      </c>
      <c r="I138" s="33" t="s">
        <v>2495</v>
      </c>
      <c r="J138" s="33" t="s">
        <v>2496</v>
      </c>
      <c r="K138" s="58" t="s">
        <v>2497</v>
      </c>
      <c r="L138" s="33" t="s">
        <v>39</v>
      </c>
      <c r="M138" s="7" t="s">
        <v>913</v>
      </c>
      <c r="N138" s="7" t="s">
        <v>753</v>
      </c>
      <c r="O138" s="7"/>
      <c r="P138" s="33"/>
      <c r="Q138" s="7" t="s">
        <v>4</v>
      </c>
      <c r="R138" s="7"/>
      <c r="S138" s="32"/>
      <c r="T138" s="13"/>
    </row>
    <row r="139" ht="15.75" hidden="1" customHeight="1">
      <c r="A139" s="7" t="s">
        <v>2498</v>
      </c>
      <c r="B139" s="130">
        <v>46145.0</v>
      </c>
      <c r="C139" s="7" t="s">
        <v>747</v>
      </c>
      <c r="D139" s="7" t="s">
        <v>907</v>
      </c>
      <c r="E139" s="7" t="s">
        <v>829</v>
      </c>
      <c r="F139" s="7" t="s">
        <v>39</v>
      </c>
      <c r="G139" s="7" t="s">
        <v>6</v>
      </c>
      <c r="H139" s="7" t="s">
        <v>908</v>
      </c>
      <c r="I139" s="33" t="s">
        <v>2499</v>
      </c>
      <c r="J139" s="33" t="s">
        <v>2500</v>
      </c>
      <c r="K139" s="58" t="s">
        <v>2501</v>
      </c>
      <c r="L139" s="33" t="s">
        <v>39</v>
      </c>
      <c r="M139" s="7" t="s">
        <v>913</v>
      </c>
      <c r="N139" s="7" t="s">
        <v>753</v>
      </c>
      <c r="O139" s="7"/>
      <c r="P139" s="33"/>
      <c r="Q139" s="7" t="s">
        <v>3</v>
      </c>
      <c r="R139" s="7" t="s">
        <v>490</v>
      </c>
      <c r="S139" s="32" t="s">
        <v>2502</v>
      </c>
      <c r="T139" s="13"/>
    </row>
    <row r="140" ht="15.75" hidden="1" customHeight="1">
      <c r="A140" s="7" t="s">
        <v>2503</v>
      </c>
      <c r="B140" s="130">
        <v>46268.0</v>
      </c>
      <c r="C140" s="7" t="s">
        <v>747</v>
      </c>
      <c r="D140" s="7" t="s">
        <v>907</v>
      </c>
      <c r="E140" s="7" t="s">
        <v>829</v>
      </c>
      <c r="F140" s="7" t="s">
        <v>39</v>
      </c>
      <c r="G140" s="7" t="s">
        <v>6</v>
      </c>
      <c r="H140" s="7" t="s">
        <v>908</v>
      </c>
      <c r="I140" s="33" t="s">
        <v>2504</v>
      </c>
      <c r="J140" s="33" t="s">
        <v>2505</v>
      </c>
      <c r="K140" s="58" t="s">
        <v>2506</v>
      </c>
      <c r="L140" s="33" t="s">
        <v>39</v>
      </c>
      <c r="M140" s="7" t="s">
        <v>913</v>
      </c>
      <c r="N140" s="7" t="s">
        <v>753</v>
      </c>
      <c r="O140" s="7"/>
      <c r="P140" s="33"/>
      <c r="Q140" s="7" t="s">
        <v>4</v>
      </c>
      <c r="R140" s="7"/>
      <c r="S140" s="32"/>
      <c r="T140" s="13"/>
    </row>
    <row r="141" ht="15.75" hidden="1" customHeight="1">
      <c r="A141" s="7" t="s">
        <v>2507</v>
      </c>
      <c r="B141" s="130">
        <v>46268.0</v>
      </c>
      <c r="C141" s="7" t="s">
        <v>747</v>
      </c>
      <c r="D141" s="7" t="s">
        <v>907</v>
      </c>
      <c r="E141" s="7" t="s">
        <v>829</v>
      </c>
      <c r="F141" s="7" t="s">
        <v>39</v>
      </c>
      <c r="G141" s="7" t="s">
        <v>6</v>
      </c>
      <c r="H141" s="7" t="s">
        <v>908</v>
      </c>
      <c r="I141" s="33" t="s">
        <v>2508</v>
      </c>
      <c r="J141" s="33" t="s">
        <v>2509</v>
      </c>
      <c r="K141" s="58" t="s">
        <v>2510</v>
      </c>
      <c r="L141" s="33" t="s">
        <v>39</v>
      </c>
      <c r="M141" s="7" t="s">
        <v>913</v>
      </c>
      <c r="N141" s="7" t="s">
        <v>753</v>
      </c>
      <c r="O141" s="7"/>
      <c r="P141" s="33"/>
      <c r="Q141" s="7" t="s">
        <v>4</v>
      </c>
      <c r="R141" s="7"/>
      <c r="S141" s="32"/>
      <c r="T141" s="13"/>
    </row>
    <row r="142" ht="15.75" hidden="1" customHeight="1">
      <c r="A142" s="7" t="s">
        <v>2511</v>
      </c>
      <c r="B142" s="130">
        <v>46268.0</v>
      </c>
      <c r="C142" s="7" t="s">
        <v>747</v>
      </c>
      <c r="D142" s="7" t="s">
        <v>907</v>
      </c>
      <c r="E142" s="7" t="s">
        <v>829</v>
      </c>
      <c r="F142" s="7" t="s">
        <v>39</v>
      </c>
      <c r="G142" s="7" t="s">
        <v>6</v>
      </c>
      <c r="H142" s="7" t="s">
        <v>908</v>
      </c>
      <c r="I142" s="33" t="s">
        <v>2512</v>
      </c>
      <c r="J142" s="33" t="s">
        <v>2513</v>
      </c>
      <c r="K142" s="58" t="s">
        <v>2514</v>
      </c>
      <c r="L142" s="33" t="s">
        <v>39</v>
      </c>
      <c r="M142" s="7" t="s">
        <v>913</v>
      </c>
      <c r="N142" s="7" t="s">
        <v>753</v>
      </c>
      <c r="O142" s="7"/>
      <c r="P142" s="33"/>
      <c r="Q142" s="7" t="s">
        <v>4</v>
      </c>
      <c r="R142" s="7"/>
      <c r="S142" s="32"/>
      <c r="T142" s="13"/>
    </row>
    <row r="143" ht="15.75" hidden="1" customHeight="1">
      <c r="A143" s="7" t="s">
        <v>2515</v>
      </c>
      <c r="B143" s="130">
        <v>46268.0</v>
      </c>
      <c r="C143" s="7" t="s">
        <v>747</v>
      </c>
      <c r="D143" s="7" t="s">
        <v>907</v>
      </c>
      <c r="E143" s="7" t="s">
        <v>829</v>
      </c>
      <c r="F143" s="7" t="s">
        <v>39</v>
      </c>
      <c r="G143" s="7" t="s">
        <v>6</v>
      </c>
      <c r="H143" s="7" t="s">
        <v>908</v>
      </c>
      <c r="I143" s="33" t="s">
        <v>2516</v>
      </c>
      <c r="J143" s="33" t="s">
        <v>2517</v>
      </c>
      <c r="K143" s="58" t="s">
        <v>2518</v>
      </c>
      <c r="L143" s="33" t="s">
        <v>39</v>
      </c>
      <c r="M143" s="7" t="s">
        <v>750</v>
      </c>
      <c r="N143" s="7" t="s">
        <v>753</v>
      </c>
      <c r="O143" s="7"/>
      <c r="P143" s="33"/>
      <c r="Q143" s="7" t="s">
        <v>3</v>
      </c>
      <c r="R143" s="7" t="s">
        <v>490</v>
      </c>
      <c r="S143" s="32" t="s">
        <v>2519</v>
      </c>
      <c r="T143" s="13"/>
    </row>
    <row r="144" ht="15.75" hidden="1" customHeight="1">
      <c r="A144" s="7" t="s">
        <v>2520</v>
      </c>
      <c r="B144" s="130">
        <v>46268.0</v>
      </c>
      <c r="C144" s="7" t="s">
        <v>755</v>
      </c>
      <c r="D144" s="7" t="s">
        <v>907</v>
      </c>
      <c r="E144" s="7" t="s">
        <v>829</v>
      </c>
      <c r="F144" s="7" t="s">
        <v>39</v>
      </c>
      <c r="G144" s="7" t="s">
        <v>6</v>
      </c>
      <c r="H144" s="7" t="s">
        <v>1205</v>
      </c>
      <c r="I144" s="33" t="s">
        <v>2521</v>
      </c>
      <c r="J144" s="33" t="s">
        <v>2522</v>
      </c>
      <c r="K144" s="58" t="s">
        <v>2523</v>
      </c>
      <c r="L144" s="33" t="s">
        <v>39</v>
      </c>
      <c r="M144" s="7" t="s">
        <v>750</v>
      </c>
      <c r="N144" s="7" t="s">
        <v>753</v>
      </c>
      <c r="O144" s="7"/>
      <c r="P144" s="33"/>
      <c r="Q144" s="7" t="s">
        <v>4</v>
      </c>
      <c r="R144" s="7"/>
      <c r="S144" s="32"/>
      <c r="T144" s="13"/>
    </row>
    <row r="145" ht="15.75" hidden="1" customHeight="1">
      <c r="A145" s="7" t="s">
        <v>2524</v>
      </c>
      <c r="B145" s="130">
        <v>46268.0</v>
      </c>
      <c r="C145" s="7" t="s">
        <v>747</v>
      </c>
      <c r="D145" s="7" t="s">
        <v>907</v>
      </c>
      <c r="E145" s="7" t="s">
        <v>829</v>
      </c>
      <c r="F145" s="7" t="s">
        <v>39</v>
      </c>
      <c r="G145" s="7" t="s">
        <v>6</v>
      </c>
      <c r="H145" s="7" t="s">
        <v>1205</v>
      </c>
      <c r="I145" s="33" t="s">
        <v>2525</v>
      </c>
      <c r="J145" s="33" t="s">
        <v>2526</v>
      </c>
      <c r="K145" s="58" t="s">
        <v>2527</v>
      </c>
      <c r="L145" s="33" t="s">
        <v>2528</v>
      </c>
      <c r="M145" s="7" t="s">
        <v>750</v>
      </c>
      <c r="N145" s="7" t="s">
        <v>753</v>
      </c>
      <c r="O145" s="7"/>
      <c r="P145" s="33"/>
      <c r="Q145" s="7" t="s">
        <v>4</v>
      </c>
      <c r="R145" s="7"/>
      <c r="S145" s="32"/>
      <c r="T145" s="13"/>
    </row>
    <row r="146" ht="15.75" customHeight="1">
      <c r="A146" s="7" t="s">
        <v>2529</v>
      </c>
      <c r="B146" s="130">
        <v>46268.0</v>
      </c>
      <c r="C146" s="7" t="s">
        <v>755</v>
      </c>
      <c r="D146" s="7" t="s">
        <v>907</v>
      </c>
      <c r="E146" s="7" t="s">
        <v>829</v>
      </c>
      <c r="F146" s="7" t="s">
        <v>39</v>
      </c>
      <c r="G146" s="7" t="s">
        <v>16</v>
      </c>
      <c r="H146" s="7" t="s">
        <v>1779</v>
      </c>
      <c r="I146" s="33" t="s">
        <v>2530</v>
      </c>
      <c r="J146" s="33" t="s">
        <v>2531</v>
      </c>
      <c r="K146" s="58" t="s">
        <v>2532</v>
      </c>
      <c r="L146" s="33" t="s">
        <v>39</v>
      </c>
      <c r="M146" s="7" t="s">
        <v>750</v>
      </c>
      <c r="N146" s="7" t="s">
        <v>1878</v>
      </c>
      <c r="O146" s="7"/>
      <c r="P146" s="33"/>
      <c r="Q146" s="7" t="s">
        <v>4</v>
      </c>
      <c r="R146" s="7"/>
      <c r="S146" s="32"/>
      <c r="T146" s="13"/>
    </row>
    <row r="147" ht="15.75" hidden="1" customHeight="1">
      <c r="A147" s="7" t="s">
        <v>2533</v>
      </c>
      <c r="B147" s="130">
        <v>46268.0</v>
      </c>
      <c r="C147" s="7" t="s">
        <v>747</v>
      </c>
      <c r="D147" s="7" t="s">
        <v>907</v>
      </c>
      <c r="E147" s="7" t="s">
        <v>829</v>
      </c>
      <c r="F147" s="7" t="s">
        <v>39</v>
      </c>
      <c r="G147" s="7" t="s">
        <v>6</v>
      </c>
      <c r="H147" s="7" t="s">
        <v>908</v>
      </c>
      <c r="I147" s="33" t="s">
        <v>2534</v>
      </c>
      <c r="J147" s="33" t="s">
        <v>2535</v>
      </c>
      <c r="K147" s="58" t="s">
        <v>2536</v>
      </c>
      <c r="L147" s="33" t="s">
        <v>39</v>
      </c>
      <c r="M147" s="7" t="s">
        <v>750</v>
      </c>
      <c r="N147" s="7" t="s">
        <v>753</v>
      </c>
      <c r="O147" s="7"/>
      <c r="P147" s="33"/>
      <c r="Q147" s="7" t="s">
        <v>3</v>
      </c>
      <c r="R147" s="130">
        <v>46359.0</v>
      </c>
      <c r="S147" s="32" t="s">
        <v>2537</v>
      </c>
      <c r="T147" s="13"/>
    </row>
    <row r="148" ht="15.75" hidden="1" customHeight="1">
      <c r="A148" s="7" t="s">
        <v>2538</v>
      </c>
      <c r="B148" s="130">
        <v>46268.0</v>
      </c>
      <c r="C148" s="7" t="s">
        <v>755</v>
      </c>
      <c r="D148" s="7" t="s">
        <v>907</v>
      </c>
      <c r="E148" s="7" t="s">
        <v>829</v>
      </c>
      <c r="F148" s="7" t="s">
        <v>39</v>
      </c>
      <c r="G148" s="7" t="s">
        <v>6</v>
      </c>
      <c r="H148" s="7" t="s">
        <v>1205</v>
      </c>
      <c r="I148" s="33" t="s">
        <v>2539</v>
      </c>
      <c r="J148" s="33" t="s">
        <v>2540</v>
      </c>
      <c r="K148" s="58" t="s">
        <v>2541</v>
      </c>
      <c r="L148" s="33" t="s">
        <v>39</v>
      </c>
      <c r="M148" s="7" t="s">
        <v>750</v>
      </c>
      <c r="N148" s="7" t="s">
        <v>753</v>
      </c>
      <c r="O148" s="7"/>
      <c r="P148" s="33"/>
      <c r="Q148" s="7" t="s">
        <v>4</v>
      </c>
      <c r="R148" s="7"/>
      <c r="S148" s="32"/>
      <c r="T148" s="13"/>
    </row>
    <row r="149" ht="15.75" hidden="1" customHeight="1">
      <c r="A149" s="7" t="s">
        <v>2542</v>
      </c>
      <c r="B149" s="130">
        <v>46359.0</v>
      </c>
      <c r="C149" s="7" t="s">
        <v>747</v>
      </c>
      <c r="D149" s="7" t="s">
        <v>907</v>
      </c>
      <c r="E149" s="7" t="s">
        <v>829</v>
      </c>
      <c r="F149" s="7" t="s">
        <v>39</v>
      </c>
      <c r="G149" s="7" t="s">
        <v>6</v>
      </c>
      <c r="H149" s="7" t="s">
        <v>1014</v>
      </c>
      <c r="I149" s="33" t="s">
        <v>2543</v>
      </c>
      <c r="J149" s="33" t="s">
        <v>2544</v>
      </c>
      <c r="K149" s="58" t="s">
        <v>2545</v>
      </c>
      <c r="L149" s="33" t="s">
        <v>39</v>
      </c>
      <c r="M149" s="7" t="s">
        <v>750</v>
      </c>
      <c r="N149" s="7" t="s">
        <v>753</v>
      </c>
      <c r="O149" s="7"/>
      <c r="P149" s="33"/>
      <c r="Q149" s="7" t="s">
        <v>3</v>
      </c>
      <c r="R149" s="7" t="s">
        <v>701</v>
      </c>
      <c r="S149" s="32" t="s">
        <v>2546</v>
      </c>
      <c r="T149" s="13"/>
    </row>
    <row r="150" ht="15.75" hidden="1" customHeight="1">
      <c r="A150" s="7" t="s">
        <v>2547</v>
      </c>
      <c r="B150" s="130">
        <v>46359.0</v>
      </c>
      <c r="C150" s="7" t="s">
        <v>747</v>
      </c>
      <c r="D150" s="7" t="s">
        <v>907</v>
      </c>
      <c r="E150" s="7" t="s">
        <v>829</v>
      </c>
      <c r="F150" s="7" t="s">
        <v>39</v>
      </c>
      <c r="G150" s="7" t="s">
        <v>6</v>
      </c>
      <c r="H150" s="7" t="s">
        <v>908</v>
      </c>
      <c r="I150" s="33" t="s">
        <v>2548</v>
      </c>
      <c r="J150" s="33" t="s">
        <v>2549</v>
      </c>
      <c r="K150" s="58" t="s">
        <v>2550</v>
      </c>
      <c r="L150" s="33" t="s">
        <v>39</v>
      </c>
      <c r="M150" s="7" t="s">
        <v>750</v>
      </c>
      <c r="N150" s="7" t="s">
        <v>753</v>
      </c>
      <c r="O150" s="7"/>
      <c r="P150" s="33"/>
      <c r="Q150" s="7" t="s">
        <v>3</v>
      </c>
      <c r="R150" s="7" t="s">
        <v>701</v>
      </c>
      <c r="S150" s="32" t="s">
        <v>2551</v>
      </c>
      <c r="T150" s="13"/>
    </row>
    <row r="151" ht="15.75" hidden="1" customHeight="1">
      <c r="A151" s="7" t="s">
        <v>2552</v>
      </c>
      <c r="B151" s="130">
        <v>46359.0</v>
      </c>
      <c r="C151" s="7" t="s">
        <v>747</v>
      </c>
      <c r="D151" s="7" t="s">
        <v>907</v>
      </c>
      <c r="E151" s="7" t="s">
        <v>829</v>
      </c>
      <c r="F151" s="7" t="s">
        <v>39</v>
      </c>
      <c r="G151" s="7" t="s">
        <v>6</v>
      </c>
      <c r="H151" s="7" t="s">
        <v>908</v>
      </c>
      <c r="I151" s="33" t="s">
        <v>2553</v>
      </c>
      <c r="J151" s="33" t="s">
        <v>2554</v>
      </c>
      <c r="K151" s="58" t="s">
        <v>2555</v>
      </c>
      <c r="L151" s="33" t="s">
        <v>39</v>
      </c>
      <c r="M151" s="7" t="s">
        <v>750</v>
      </c>
      <c r="N151" s="7" t="s">
        <v>753</v>
      </c>
      <c r="O151" s="7"/>
      <c r="P151" s="33"/>
      <c r="Q151" s="7" t="s">
        <v>3</v>
      </c>
      <c r="R151" s="130">
        <v>46359.0</v>
      </c>
      <c r="S151" s="32" t="s">
        <v>2556</v>
      </c>
      <c r="T151" s="13"/>
    </row>
    <row r="152" ht="15.75" hidden="1" customHeight="1">
      <c r="A152" s="251" t="s">
        <v>2557</v>
      </c>
      <c r="B152" s="256">
        <v>46359.0</v>
      </c>
      <c r="C152" s="251" t="s">
        <v>747</v>
      </c>
      <c r="D152" s="251" t="s">
        <v>907</v>
      </c>
      <c r="E152" s="251" t="s">
        <v>829</v>
      </c>
      <c r="F152" s="251" t="s">
        <v>39</v>
      </c>
      <c r="G152" s="251" t="s">
        <v>6</v>
      </c>
      <c r="H152" s="251" t="s">
        <v>2303</v>
      </c>
      <c r="I152" s="252" t="s">
        <v>2558</v>
      </c>
      <c r="J152" s="252" t="s">
        <v>2559</v>
      </c>
      <c r="K152" s="253" t="s">
        <v>2560</v>
      </c>
      <c r="L152" s="253" t="s">
        <v>2561</v>
      </c>
      <c r="M152" s="251" t="s">
        <v>750</v>
      </c>
      <c r="N152" s="251" t="s">
        <v>753</v>
      </c>
      <c r="O152" s="251"/>
      <c r="P152" s="252"/>
      <c r="Q152" s="251" t="s">
        <v>4</v>
      </c>
      <c r="R152" s="251" t="s">
        <v>490</v>
      </c>
      <c r="S152" s="254" t="s">
        <v>2562</v>
      </c>
      <c r="T152" s="261"/>
      <c r="U152" s="262"/>
      <c r="V152" s="262"/>
      <c r="W152" s="262"/>
      <c r="X152" s="262"/>
      <c r="Y152" s="262"/>
      <c r="Z152" s="262"/>
    </row>
    <row r="153" ht="15.75" hidden="1" customHeight="1">
      <c r="A153" s="7" t="s">
        <v>2563</v>
      </c>
      <c r="B153" s="130">
        <v>46359.0</v>
      </c>
      <c r="C153" s="7" t="s">
        <v>770</v>
      </c>
      <c r="D153" s="7" t="s">
        <v>907</v>
      </c>
      <c r="E153" s="7" t="s">
        <v>829</v>
      </c>
      <c r="F153" s="7" t="s">
        <v>39</v>
      </c>
      <c r="G153" s="7" t="s">
        <v>6</v>
      </c>
      <c r="H153" s="7" t="s">
        <v>1205</v>
      </c>
      <c r="I153" s="33" t="s">
        <v>2564</v>
      </c>
      <c r="J153" s="33" t="s">
        <v>2565</v>
      </c>
      <c r="K153" s="58" t="s">
        <v>2566</v>
      </c>
      <c r="L153" s="33" t="s">
        <v>39</v>
      </c>
      <c r="M153" s="7" t="s">
        <v>913</v>
      </c>
      <c r="N153" s="7" t="s">
        <v>753</v>
      </c>
      <c r="O153" s="7"/>
      <c r="P153" s="33"/>
      <c r="Q153" s="7" t="s">
        <v>4</v>
      </c>
      <c r="R153" s="7"/>
      <c r="S153" s="32"/>
      <c r="T153" s="13"/>
    </row>
    <row r="154" ht="15.75" hidden="1" customHeight="1">
      <c r="A154" s="251" t="s">
        <v>2567</v>
      </c>
      <c r="B154" s="256">
        <v>46359.0</v>
      </c>
      <c r="C154" s="251" t="s">
        <v>747</v>
      </c>
      <c r="D154" s="251" t="s">
        <v>907</v>
      </c>
      <c r="E154" s="251" t="s">
        <v>829</v>
      </c>
      <c r="F154" s="251" t="s">
        <v>39</v>
      </c>
      <c r="G154" s="251" t="s">
        <v>6</v>
      </c>
      <c r="H154" s="251" t="s">
        <v>2303</v>
      </c>
      <c r="I154" s="252" t="s">
        <v>2568</v>
      </c>
      <c r="J154" s="252" t="s">
        <v>2569</v>
      </c>
      <c r="K154" s="253" t="s">
        <v>2570</v>
      </c>
      <c r="L154" s="252" t="s">
        <v>39</v>
      </c>
      <c r="M154" s="251" t="s">
        <v>913</v>
      </c>
      <c r="N154" s="251" t="s">
        <v>753</v>
      </c>
      <c r="O154" s="251"/>
      <c r="P154" s="252"/>
      <c r="Q154" s="251" t="s">
        <v>3</v>
      </c>
      <c r="R154" s="251" t="s">
        <v>490</v>
      </c>
      <c r="S154" s="254" t="s">
        <v>2571</v>
      </c>
      <c r="T154" s="261"/>
      <c r="U154" s="262"/>
      <c r="V154" s="262"/>
      <c r="W154" s="262"/>
      <c r="X154" s="262"/>
      <c r="Y154" s="262"/>
      <c r="Z154" s="262"/>
    </row>
    <row r="155" ht="15.75" hidden="1" customHeight="1">
      <c r="A155" s="251" t="s">
        <v>2572</v>
      </c>
      <c r="B155" s="256">
        <v>46359.0</v>
      </c>
      <c r="C155" s="251" t="s">
        <v>747</v>
      </c>
      <c r="D155" s="251" t="s">
        <v>907</v>
      </c>
      <c r="E155" s="251" t="s">
        <v>829</v>
      </c>
      <c r="F155" s="251" t="s">
        <v>39</v>
      </c>
      <c r="G155" s="251" t="s">
        <v>6</v>
      </c>
      <c r="H155" s="251" t="s">
        <v>2303</v>
      </c>
      <c r="I155" s="252" t="s">
        <v>2573</v>
      </c>
      <c r="J155" s="252" t="s">
        <v>2574</v>
      </c>
      <c r="K155" s="253" t="s">
        <v>2575</v>
      </c>
      <c r="L155" s="252" t="s">
        <v>39</v>
      </c>
      <c r="M155" s="251" t="s">
        <v>913</v>
      </c>
      <c r="N155" s="251" t="s">
        <v>753</v>
      </c>
      <c r="O155" s="251"/>
      <c r="P155" s="252"/>
      <c r="Q155" s="251" t="s">
        <v>3</v>
      </c>
      <c r="R155" s="251" t="s">
        <v>490</v>
      </c>
      <c r="S155" s="254" t="s">
        <v>2576</v>
      </c>
      <c r="T155" s="261"/>
      <c r="U155" s="262"/>
      <c r="V155" s="262"/>
      <c r="W155" s="262"/>
      <c r="X155" s="262"/>
      <c r="Y155" s="262"/>
      <c r="Z155" s="262"/>
    </row>
    <row r="156" ht="15.75" hidden="1" customHeight="1">
      <c r="A156" s="7" t="s">
        <v>2577</v>
      </c>
      <c r="B156" s="130" t="s">
        <v>490</v>
      </c>
      <c r="C156" s="7" t="s">
        <v>747</v>
      </c>
      <c r="D156" s="7" t="s">
        <v>907</v>
      </c>
      <c r="E156" s="7" t="s">
        <v>756</v>
      </c>
      <c r="F156" s="7" t="s">
        <v>39</v>
      </c>
      <c r="G156" s="7" t="s">
        <v>6</v>
      </c>
      <c r="H156" s="7" t="s">
        <v>1051</v>
      </c>
      <c r="I156" s="33" t="s">
        <v>2578</v>
      </c>
      <c r="J156" s="33" t="s">
        <v>2579</v>
      </c>
      <c r="K156" s="58" t="s">
        <v>2580</v>
      </c>
      <c r="L156" s="33" t="s">
        <v>39</v>
      </c>
      <c r="M156" s="7" t="s">
        <v>913</v>
      </c>
      <c r="N156" s="7" t="s">
        <v>753</v>
      </c>
      <c r="O156" s="7"/>
      <c r="P156" s="33"/>
      <c r="Q156" s="7" t="s">
        <v>3</v>
      </c>
      <c r="R156" s="7" t="s">
        <v>2581</v>
      </c>
      <c r="S156" s="32" t="s">
        <v>2582</v>
      </c>
      <c r="T156" s="13"/>
    </row>
    <row r="157" ht="15.75" hidden="1" customHeight="1">
      <c r="A157" s="7" t="s">
        <v>2583</v>
      </c>
      <c r="B157" s="130" t="s">
        <v>701</v>
      </c>
      <c r="C157" s="7" t="s">
        <v>770</v>
      </c>
      <c r="D157" s="7" t="s">
        <v>907</v>
      </c>
      <c r="E157" s="7" t="s">
        <v>829</v>
      </c>
      <c r="F157" s="7" t="s">
        <v>39</v>
      </c>
      <c r="G157" s="7" t="s">
        <v>6</v>
      </c>
      <c r="H157" s="7" t="s">
        <v>1205</v>
      </c>
      <c r="I157" s="33" t="s">
        <v>2584</v>
      </c>
      <c r="J157" s="33" t="s">
        <v>2585</v>
      </c>
      <c r="K157" s="58" t="s">
        <v>2586</v>
      </c>
      <c r="L157" s="33" t="s">
        <v>39</v>
      </c>
      <c r="M157" s="7" t="s">
        <v>913</v>
      </c>
      <c r="N157" s="7" t="s">
        <v>753</v>
      </c>
      <c r="O157" s="7"/>
      <c r="P157" s="33"/>
      <c r="Q157" s="7" t="s">
        <v>4</v>
      </c>
      <c r="R157" s="7"/>
      <c r="S157" s="32"/>
      <c r="T157" s="13"/>
    </row>
    <row r="158" ht="15.75" hidden="1" customHeight="1">
      <c r="A158" s="7" t="s">
        <v>2587</v>
      </c>
      <c r="B158" s="7" t="s">
        <v>701</v>
      </c>
      <c r="C158" s="7" t="s">
        <v>755</v>
      </c>
      <c r="D158" s="7" t="s">
        <v>907</v>
      </c>
      <c r="E158" s="7" t="s">
        <v>2588</v>
      </c>
      <c r="F158" s="7" t="s">
        <v>39</v>
      </c>
      <c r="G158" s="7" t="s">
        <v>16</v>
      </c>
      <c r="H158" s="7" t="s">
        <v>1051</v>
      </c>
      <c r="I158" s="33" t="s">
        <v>2589</v>
      </c>
      <c r="J158" s="33" t="s">
        <v>2590</v>
      </c>
      <c r="K158" s="58" t="s">
        <v>2591</v>
      </c>
      <c r="L158" s="33" t="s">
        <v>39</v>
      </c>
      <c r="M158" s="7" t="s">
        <v>913</v>
      </c>
      <c r="N158" s="7" t="s">
        <v>1878</v>
      </c>
      <c r="O158" s="7"/>
      <c r="P158" s="33"/>
      <c r="Q158" s="7" t="s">
        <v>4</v>
      </c>
      <c r="R158" s="7"/>
      <c r="S158" s="32"/>
      <c r="T158" s="13"/>
    </row>
    <row r="159" ht="15.75" hidden="1" customHeight="1">
      <c r="A159" s="7" t="s">
        <v>2592</v>
      </c>
      <c r="B159" s="7" t="s">
        <v>701</v>
      </c>
      <c r="C159" s="7" t="s">
        <v>747</v>
      </c>
      <c r="D159" s="7" t="s">
        <v>907</v>
      </c>
      <c r="E159" s="7" t="s">
        <v>829</v>
      </c>
      <c r="F159" s="7" t="s">
        <v>39</v>
      </c>
      <c r="G159" s="7" t="s">
        <v>6</v>
      </c>
      <c r="H159" s="7" t="s">
        <v>908</v>
      </c>
      <c r="I159" s="33" t="s">
        <v>2593</v>
      </c>
      <c r="J159" s="33" t="s">
        <v>2594</v>
      </c>
      <c r="K159" s="58" t="s">
        <v>2595</v>
      </c>
      <c r="L159" s="33" t="s">
        <v>39</v>
      </c>
      <c r="M159" s="7" t="s">
        <v>913</v>
      </c>
      <c r="N159" s="7" t="s">
        <v>753</v>
      </c>
      <c r="O159" s="7"/>
      <c r="P159" s="33"/>
      <c r="Q159" s="7" t="s">
        <v>4</v>
      </c>
      <c r="R159" s="7"/>
      <c r="S159" s="32"/>
      <c r="T159" s="13"/>
    </row>
    <row r="160" ht="15.75" hidden="1" customHeight="1">
      <c r="A160" s="7" t="s">
        <v>2596</v>
      </c>
      <c r="B160" s="7" t="s">
        <v>701</v>
      </c>
      <c r="C160" s="7" t="s">
        <v>747</v>
      </c>
      <c r="D160" s="7" t="s">
        <v>907</v>
      </c>
      <c r="E160" s="7" t="s">
        <v>829</v>
      </c>
      <c r="F160" s="7" t="s">
        <v>39</v>
      </c>
      <c r="G160" s="7" t="s">
        <v>6</v>
      </c>
      <c r="H160" s="7" t="s">
        <v>1051</v>
      </c>
      <c r="I160" s="33" t="s">
        <v>2597</v>
      </c>
      <c r="J160" s="33" t="s">
        <v>2598</v>
      </c>
      <c r="K160" s="58" t="s">
        <v>2599</v>
      </c>
      <c r="L160" s="33" t="s">
        <v>39</v>
      </c>
      <c r="M160" s="7" t="s">
        <v>1010</v>
      </c>
      <c r="N160" s="7" t="s">
        <v>753</v>
      </c>
      <c r="O160" s="7"/>
      <c r="P160" s="33"/>
      <c r="Q160" s="7" t="s">
        <v>4</v>
      </c>
      <c r="R160" s="7"/>
      <c r="S160" s="32"/>
      <c r="T160" s="13"/>
    </row>
    <row r="161" ht="15.75" hidden="1" customHeight="1">
      <c r="A161" s="7"/>
      <c r="B161" s="7"/>
      <c r="C161" s="7"/>
      <c r="D161" s="7"/>
      <c r="E161" s="7"/>
      <c r="F161" s="7"/>
      <c r="G161" s="7"/>
      <c r="H161" s="7"/>
      <c r="I161" s="33"/>
      <c r="J161" s="33"/>
      <c r="K161" s="33"/>
      <c r="L161" s="33"/>
      <c r="M161" s="7"/>
      <c r="N161" s="7"/>
      <c r="O161" s="7"/>
      <c r="P161" s="33"/>
      <c r="Q161" s="7"/>
      <c r="R161" s="7"/>
      <c r="S161" s="32"/>
      <c r="T161" s="13"/>
    </row>
    <row r="162" ht="15.75" hidden="1" customHeight="1">
      <c r="A162" s="7"/>
      <c r="B162" s="7"/>
      <c r="C162" s="7"/>
      <c r="D162" s="7"/>
      <c r="E162" s="7"/>
      <c r="F162" s="7"/>
      <c r="G162" s="7"/>
      <c r="H162" s="7"/>
      <c r="I162" s="33"/>
      <c r="J162" s="33"/>
      <c r="K162" s="33"/>
      <c r="L162" s="33"/>
      <c r="M162" s="7"/>
      <c r="N162" s="7"/>
      <c r="O162" s="7"/>
      <c r="P162" s="33"/>
      <c r="Q162" s="7"/>
      <c r="R162" s="7"/>
      <c r="S162" s="32"/>
      <c r="T162" s="13"/>
    </row>
    <row r="163" ht="15.75" hidden="1" customHeight="1">
      <c r="A163" s="7"/>
      <c r="B163" s="7"/>
      <c r="C163" s="7"/>
      <c r="D163" s="7"/>
      <c r="E163" s="7"/>
      <c r="F163" s="7"/>
      <c r="G163" s="7"/>
      <c r="H163" s="7"/>
      <c r="I163" s="33"/>
      <c r="J163" s="33"/>
      <c r="K163" s="33"/>
      <c r="L163" s="33"/>
      <c r="M163" s="7"/>
      <c r="N163" s="7"/>
      <c r="O163" s="7"/>
      <c r="P163" s="33"/>
      <c r="Q163" s="7"/>
      <c r="R163" s="7"/>
      <c r="S163" s="32"/>
      <c r="T163" s="13"/>
    </row>
    <row r="164" ht="15.75" hidden="1" customHeight="1">
      <c r="A164" s="7"/>
      <c r="B164" s="7"/>
      <c r="C164" s="7"/>
      <c r="D164" s="7"/>
      <c r="E164" s="7"/>
      <c r="F164" s="7"/>
      <c r="G164" s="7"/>
      <c r="H164" s="7"/>
      <c r="I164" s="33"/>
      <c r="J164" s="33"/>
      <c r="K164" s="33"/>
      <c r="L164" s="33"/>
      <c r="M164" s="7"/>
      <c r="N164" s="7"/>
      <c r="O164" s="7"/>
      <c r="P164" s="33"/>
      <c r="Q164" s="7"/>
      <c r="R164" s="7"/>
      <c r="S164" s="32"/>
      <c r="T164" s="13"/>
    </row>
    <row r="165" ht="15.75" hidden="1" customHeight="1">
      <c r="A165" s="7"/>
      <c r="B165" s="7"/>
      <c r="C165" s="7"/>
      <c r="D165" s="7"/>
      <c r="E165" s="7"/>
      <c r="F165" s="7"/>
      <c r="G165" s="7"/>
      <c r="H165" s="7"/>
      <c r="I165" s="33"/>
      <c r="J165" s="33"/>
      <c r="K165" s="33"/>
      <c r="L165" s="33"/>
      <c r="M165" s="7"/>
      <c r="N165" s="7"/>
      <c r="O165" s="7"/>
      <c r="P165" s="33"/>
      <c r="Q165" s="7"/>
      <c r="R165" s="7"/>
      <c r="S165" s="32"/>
      <c r="T165" s="13"/>
    </row>
    <row r="166" ht="15.75" hidden="1" customHeight="1">
      <c r="A166" s="7"/>
      <c r="B166" s="7"/>
      <c r="C166" s="7"/>
      <c r="D166" s="7"/>
      <c r="E166" s="7"/>
      <c r="F166" s="7"/>
      <c r="G166" s="7"/>
      <c r="H166" s="7"/>
      <c r="I166" s="33"/>
      <c r="J166" s="33"/>
      <c r="K166" s="33"/>
      <c r="L166" s="33"/>
      <c r="M166" s="7"/>
      <c r="N166" s="7"/>
      <c r="O166" s="7"/>
      <c r="P166" s="33"/>
      <c r="Q166" s="7"/>
      <c r="R166" s="7"/>
      <c r="S166" s="32"/>
      <c r="T166" s="13"/>
    </row>
    <row r="167" ht="15.75" hidden="1" customHeight="1">
      <c r="A167" s="7"/>
      <c r="B167" s="7"/>
      <c r="C167" s="7"/>
      <c r="D167" s="7"/>
      <c r="E167" s="7"/>
      <c r="F167" s="7"/>
      <c r="G167" s="7"/>
      <c r="H167" s="7"/>
      <c r="I167" s="33"/>
      <c r="J167" s="33"/>
      <c r="K167" s="33"/>
      <c r="L167" s="33"/>
      <c r="M167" s="7"/>
      <c r="N167" s="7"/>
      <c r="O167" s="7"/>
      <c r="P167" s="33"/>
      <c r="Q167" s="7"/>
      <c r="R167" s="7"/>
      <c r="S167" s="32"/>
      <c r="T167" s="13"/>
    </row>
    <row r="168" ht="15.75" hidden="1" customHeight="1">
      <c r="A168" s="7"/>
      <c r="B168" s="7"/>
      <c r="C168" s="7"/>
      <c r="D168" s="7"/>
      <c r="E168" s="7"/>
      <c r="F168" s="7"/>
      <c r="G168" s="7"/>
      <c r="H168" s="7"/>
      <c r="I168" s="33"/>
      <c r="J168" s="33"/>
      <c r="K168" s="33"/>
      <c r="L168" s="33"/>
      <c r="M168" s="7"/>
      <c r="N168" s="7"/>
      <c r="O168" s="7"/>
      <c r="P168" s="33"/>
      <c r="Q168" s="7"/>
      <c r="R168" s="7"/>
      <c r="S168" s="32"/>
      <c r="T168" s="13"/>
    </row>
    <row r="169" ht="15.75" hidden="1" customHeight="1">
      <c r="A169" s="7"/>
      <c r="B169" s="7"/>
      <c r="C169" s="7"/>
      <c r="D169" s="7"/>
      <c r="E169" s="7"/>
      <c r="F169" s="7"/>
      <c r="G169" s="7"/>
      <c r="H169" s="7"/>
      <c r="I169" s="33"/>
      <c r="J169" s="33"/>
      <c r="K169" s="33"/>
      <c r="L169" s="33"/>
      <c r="M169" s="7"/>
      <c r="N169" s="7"/>
      <c r="O169" s="7"/>
      <c r="P169" s="33"/>
      <c r="Q169" s="7"/>
      <c r="R169" s="7"/>
      <c r="S169" s="32"/>
      <c r="T169" s="13"/>
    </row>
    <row r="170" ht="15.75" hidden="1" customHeight="1">
      <c r="A170" s="7"/>
      <c r="B170" s="7"/>
      <c r="C170" s="7"/>
      <c r="D170" s="7"/>
      <c r="E170" s="7"/>
      <c r="F170" s="7"/>
      <c r="G170" s="7"/>
      <c r="H170" s="7"/>
      <c r="I170" s="33"/>
      <c r="J170" s="33"/>
      <c r="K170" s="33"/>
      <c r="L170" s="33"/>
      <c r="M170" s="7"/>
      <c r="N170" s="7"/>
      <c r="O170" s="7"/>
      <c r="P170" s="33"/>
      <c r="Q170" s="7"/>
      <c r="R170" s="7"/>
      <c r="S170" s="32"/>
      <c r="T170" s="13"/>
    </row>
    <row r="171" ht="15.75" hidden="1" customHeight="1">
      <c r="A171" s="7"/>
      <c r="B171" s="7"/>
      <c r="C171" s="7"/>
      <c r="D171" s="7"/>
      <c r="E171" s="7"/>
      <c r="F171" s="7"/>
      <c r="G171" s="7"/>
      <c r="H171" s="7"/>
      <c r="I171" s="33"/>
      <c r="J171" s="33"/>
      <c r="K171" s="33"/>
      <c r="L171" s="33"/>
      <c r="M171" s="7"/>
      <c r="N171" s="7"/>
      <c r="O171" s="7"/>
      <c r="P171" s="33"/>
      <c r="Q171" s="7"/>
      <c r="R171" s="7"/>
      <c r="S171" s="32"/>
      <c r="T171" s="13"/>
    </row>
    <row r="172" ht="15.75" hidden="1" customHeight="1">
      <c r="A172" s="7"/>
      <c r="B172" s="7"/>
      <c r="C172" s="7"/>
      <c r="D172" s="7"/>
      <c r="E172" s="7"/>
      <c r="F172" s="7"/>
      <c r="G172" s="7"/>
      <c r="H172" s="7"/>
      <c r="I172" s="33"/>
      <c r="J172" s="33"/>
      <c r="K172" s="33"/>
      <c r="L172" s="33"/>
      <c r="M172" s="7"/>
      <c r="N172" s="7"/>
      <c r="O172" s="7"/>
      <c r="P172" s="33"/>
      <c r="Q172" s="7"/>
      <c r="R172" s="7"/>
      <c r="S172" s="32"/>
      <c r="T172" s="13"/>
    </row>
    <row r="173" ht="15.75" hidden="1" customHeight="1">
      <c r="A173" s="7"/>
      <c r="B173" s="7"/>
      <c r="C173" s="7"/>
      <c r="D173" s="7"/>
      <c r="E173" s="7"/>
      <c r="F173" s="7"/>
      <c r="G173" s="7"/>
      <c r="H173" s="7"/>
      <c r="I173" s="33"/>
      <c r="J173" s="33"/>
      <c r="K173" s="33"/>
      <c r="L173" s="33"/>
      <c r="M173" s="7"/>
      <c r="N173" s="7"/>
      <c r="O173" s="7"/>
      <c r="P173" s="33"/>
      <c r="Q173" s="7"/>
      <c r="R173" s="7"/>
      <c r="S173" s="32"/>
      <c r="T173" s="13"/>
    </row>
    <row r="174" ht="15.75" hidden="1" customHeight="1">
      <c r="A174" s="7"/>
      <c r="B174" s="7"/>
      <c r="C174" s="7"/>
      <c r="D174" s="7"/>
      <c r="E174" s="7"/>
      <c r="F174" s="7"/>
      <c r="G174" s="7"/>
      <c r="H174" s="7"/>
      <c r="I174" s="33"/>
      <c r="J174" s="33"/>
      <c r="K174" s="33"/>
      <c r="L174" s="33"/>
      <c r="M174" s="7"/>
      <c r="N174" s="7"/>
      <c r="O174" s="7"/>
      <c r="P174" s="33"/>
      <c r="Q174" s="7"/>
      <c r="R174" s="7"/>
      <c r="S174" s="32"/>
      <c r="T174" s="13"/>
    </row>
    <row r="175" ht="15.75" hidden="1" customHeight="1">
      <c r="A175" s="7"/>
      <c r="B175" s="7"/>
      <c r="C175" s="7"/>
      <c r="D175" s="7"/>
      <c r="E175" s="7"/>
      <c r="F175" s="7"/>
      <c r="G175" s="7"/>
      <c r="H175" s="7"/>
      <c r="I175" s="33"/>
      <c r="J175" s="33"/>
      <c r="K175" s="33"/>
      <c r="L175" s="33"/>
      <c r="M175" s="7"/>
      <c r="N175" s="7"/>
      <c r="O175" s="7"/>
      <c r="P175" s="33"/>
      <c r="Q175" s="7"/>
      <c r="R175" s="7"/>
      <c r="S175" s="32"/>
      <c r="T175" s="13"/>
    </row>
    <row r="176" ht="15.75" hidden="1" customHeight="1">
      <c r="A176" s="7"/>
      <c r="B176" s="7"/>
      <c r="C176" s="7"/>
      <c r="D176" s="7"/>
      <c r="E176" s="7"/>
      <c r="F176" s="7"/>
      <c r="G176" s="7"/>
      <c r="H176" s="7"/>
      <c r="I176" s="33"/>
      <c r="J176" s="33"/>
      <c r="K176" s="33"/>
      <c r="L176" s="33"/>
      <c r="M176" s="7"/>
      <c r="N176" s="7"/>
      <c r="O176" s="7"/>
      <c r="P176" s="33"/>
      <c r="Q176" s="7"/>
      <c r="R176" s="7"/>
      <c r="S176" s="32"/>
      <c r="T176" s="13"/>
    </row>
    <row r="177" ht="15.75" hidden="1" customHeight="1">
      <c r="A177" s="7"/>
      <c r="B177" s="7"/>
      <c r="C177" s="7"/>
      <c r="D177" s="7"/>
      <c r="E177" s="7"/>
      <c r="F177" s="7"/>
      <c r="G177" s="7"/>
      <c r="H177" s="7"/>
      <c r="I177" s="33"/>
      <c r="J177" s="33"/>
      <c r="K177" s="33"/>
      <c r="L177" s="33"/>
      <c r="M177" s="7"/>
      <c r="N177" s="7"/>
      <c r="O177" s="7"/>
      <c r="P177" s="33"/>
      <c r="Q177" s="7"/>
      <c r="R177" s="7"/>
      <c r="S177" s="32"/>
      <c r="T177" s="13"/>
    </row>
    <row r="178" ht="15.75" hidden="1" customHeight="1">
      <c r="A178" s="7"/>
      <c r="B178" s="7"/>
      <c r="C178" s="7"/>
      <c r="D178" s="7"/>
      <c r="E178" s="7"/>
      <c r="F178" s="7"/>
      <c r="G178" s="7"/>
      <c r="H178" s="7"/>
      <c r="I178" s="33"/>
      <c r="J178" s="33"/>
      <c r="K178" s="33"/>
      <c r="L178" s="33"/>
      <c r="M178" s="7"/>
      <c r="N178" s="7"/>
      <c r="O178" s="7"/>
      <c r="P178" s="33"/>
      <c r="Q178" s="7"/>
      <c r="R178" s="7"/>
      <c r="S178" s="32"/>
      <c r="T178" s="13"/>
    </row>
    <row r="179" ht="15.75" hidden="1" customHeight="1">
      <c r="A179" s="7"/>
      <c r="B179" s="7"/>
      <c r="C179" s="7"/>
      <c r="D179" s="7"/>
      <c r="E179" s="7"/>
      <c r="F179" s="7"/>
      <c r="G179" s="7"/>
      <c r="H179" s="7"/>
      <c r="I179" s="33"/>
      <c r="J179" s="33"/>
      <c r="K179" s="33"/>
      <c r="L179" s="33"/>
      <c r="M179" s="7"/>
      <c r="N179" s="7"/>
      <c r="O179" s="7"/>
      <c r="P179" s="33"/>
      <c r="Q179" s="7"/>
      <c r="R179" s="7"/>
      <c r="S179" s="32"/>
      <c r="T179" s="13"/>
    </row>
    <row r="180" ht="15.75" hidden="1" customHeight="1">
      <c r="A180" s="7"/>
      <c r="B180" s="7"/>
      <c r="C180" s="7"/>
      <c r="D180" s="7"/>
      <c r="E180" s="7"/>
      <c r="F180" s="7"/>
      <c r="G180" s="7"/>
      <c r="H180" s="7"/>
      <c r="I180" s="33"/>
      <c r="J180" s="33"/>
      <c r="K180" s="33"/>
      <c r="L180" s="33"/>
      <c r="M180" s="7"/>
      <c r="N180" s="7"/>
      <c r="O180" s="7"/>
      <c r="P180" s="33"/>
      <c r="Q180" s="7"/>
      <c r="R180" s="7"/>
      <c r="S180" s="32"/>
      <c r="T180" s="13"/>
    </row>
    <row r="181" ht="15.75" hidden="1" customHeight="1">
      <c r="A181" s="7"/>
      <c r="B181" s="7"/>
      <c r="C181" s="7"/>
      <c r="D181" s="7"/>
      <c r="E181" s="7"/>
      <c r="F181" s="7"/>
      <c r="G181" s="7"/>
      <c r="H181" s="7"/>
      <c r="I181" s="33"/>
      <c r="J181" s="33"/>
      <c r="K181" s="33"/>
      <c r="L181" s="33"/>
      <c r="M181" s="7"/>
      <c r="N181" s="7"/>
      <c r="O181" s="7"/>
      <c r="P181" s="33"/>
      <c r="Q181" s="7"/>
      <c r="R181" s="7"/>
      <c r="S181" s="32"/>
      <c r="T181" s="13"/>
    </row>
    <row r="182" ht="15.75" hidden="1" customHeight="1">
      <c r="A182" s="7"/>
      <c r="B182" s="7"/>
      <c r="C182" s="7"/>
      <c r="D182" s="7"/>
      <c r="E182" s="7"/>
      <c r="F182" s="7"/>
      <c r="G182" s="7"/>
      <c r="H182" s="7"/>
      <c r="I182" s="33"/>
      <c r="J182" s="33"/>
      <c r="K182" s="33"/>
      <c r="L182" s="33"/>
      <c r="M182" s="7"/>
      <c r="N182" s="7"/>
      <c r="O182" s="7"/>
      <c r="P182" s="33"/>
      <c r="Q182" s="7"/>
      <c r="R182" s="7"/>
      <c r="S182" s="32"/>
      <c r="T182" s="13"/>
    </row>
    <row r="183" ht="15.75" hidden="1" customHeight="1">
      <c r="A183" s="7"/>
      <c r="B183" s="7"/>
      <c r="C183" s="7"/>
      <c r="D183" s="7"/>
      <c r="E183" s="7"/>
      <c r="F183" s="7"/>
      <c r="G183" s="7"/>
      <c r="H183" s="7"/>
      <c r="I183" s="33"/>
      <c r="J183" s="33"/>
      <c r="K183" s="33"/>
      <c r="L183" s="33"/>
      <c r="M183" s="7"/>
      <c r="N183" s="7"/>
      <c r="O183" s="7"/>
      <c r="P183" s="33"/>
      <c r="Q183" s="7"/>
      <c r="R183" s="7"/>
      <c r="S183" s="32"/>
      <c r="T183" s="13"/>
    </row>
    <row r="184" ht="15.75" hidden="1" customHeight="1">
      <c r="A184" s="7"/>
      <c r="B184" s="7"/>
      <c r="C184" s="7"/>
      <c r="D184" s="7"/>
      <c r="E184" s="7"/>
      <c r="F184" s="7"/>
      <c r="G184" s="7"/>
      <c r="H184" s="7"/>
      <c r="I184" s="33"/>
      <c r="J184" s="33"/>
      <c r="K184" s="33"/>
      <c r="L184" s="33"/>
      <c r="M184" s="7"/>
      <c r="N184" s="7"/>
      <c r="O184" s="7"/>
      <c r="P184" s="33"/>
      <c r="Q184" s="7"/>
      <c r="R184" s="7"/>
      <c r="S184" s="32"/>
      <c r="T184" s="13"/>
    </row>
    <row r="185" ht="15.75" hidden="1" customHeight="1">
      <c r="A185" s="7"/>
      <c r="B185" s="7"/>
      <c r="C185" s="7"/>
      <c r="D185" s="7"/>
      <c r="E185" s="7"/>
      <c r="F185" s="7"/>
      <c r="G185" s="7"/>
      <c r="H185" s="7"/>
      <c r="I185" s="33"/>
      <c r="J185" s="33"/>
      <c r="K185" s="33"/>
      <c r="L185" s="33"/>
      <c r="M185" s="7"/>
      <c r="N185" s="7"/>
      <c r="O185" s="7"/>
      <c r="P185" s="33"/>
      <c r="Q185" s="7"/>
      <c r="R185" s="7"/>
      <c r="S185" s="32"/>
      <c r="T185" s="13"/>
    </row>
    <row r="186" ht="15.75" hidden="1" customHeight="1">
      <c r="A186" s="7"/>
      <c r="B186" s="7"/>
      <c r="C186" s="7"/>
      <c r="D186" s="7"/>
      <c r="E186" s="7"/>
      <c r="F186" s="7"/>
      <c r="G186" s="7"/>
      <c r="H186" s="7"/>
      <c r="I186" s="33"/>
      <c r="J186" s="33"/>
      <c r="K186" s="33"/>
      <c r="L186" s="33"/>
      <c r="M186" s="7"/>
      <c r="N186" s="7"/>
      <c r="O186" s="7"/>
      <c r="P186" s="33"/>
      <c r="Q186" s="7"/>
      <c r="R186" s="7"/>
      <c r="S186" s="32"/>
      <c r="T186" s="13"/>
    </row>
    <row r="187" ht="15.75" hidden="1" customHeight="1">
      <c r="A187" s="7"/>
      <c r="B187" s="7"/>
      <c r="C187" s="7"/>
      <c r="D187" s="7"/>
      <c r="E187" s="7"/>
      <c r="F187" s="7"/>
      <c r="G187" s="7"/>
      <c r="H187" s="7"/>
      <c r="I187" s="33"/>
      <c r="J187" s="33"/>
      <c r="K187" s="33"/>
      <c r="L187" s="33"/>
      <c r="M187" s="7"/>
      <c r="N187" s="7"/>
      <c r="O187" s="7"/>
      <c r="P187" s="33"/>
      <c r="Q187" s="7"/>
      <c r="R187" s="7"/>
      <c r="S187" s="32"/>
      <c r="T187" s="13"/>
    </row>
    <row r="188" ht="15.75" hidden="1" customHeight="1">
      <c r="A188" s="7"/>
      <c r="B188" s="7"/>
      <c r="C188" s="7"/>
      <c r="D188" s="7"/>
      <c r="E188" s="7"/>
      <c r="F188" s="7"/>
      <c r="G188" s="7"/>
      <c r="H188" s="7"/>
      <c r="I188" s="33"/>
      <c r="J188" s="33"/>
      <c r="K188" s="33"/>
      <c r="L188" s="33"/>
      <c r="M188" s="7"/>
      <c r="N188" s="7"/>
      <c r="O188" s="7"/>
      <c r="P188" s="33"/>
      <c r="Q188" s="7"/>
      <c r="R188" s="7"/>
      <c r="S188" s="32"/>
      <c r="T188" s="13"/>
    </row>
    <row r="189" ht="15.75" hidden="1" customHeight="1">
      <c r="A189" s="7"/>
      <c r="B189" s="7"/>
      <c r="C189" s="7"/>
      <c r="D189" s="7"/>
      <c r="E189" s="7"/>
      <c r="F189" s="7"/>
      <c r="G189" s="7"/>
      <c r="H189" s="7"/>
      <c r="I189" s="33"/>
      <c r="J189" s="33"/>
      <c r="K189" s="33"/>
      <c r="L189" s="33"/>
      <c r="M189" s="7"/>
      <c r="N189" s="7"/>
      <c r="O189" s="7"/>
      <c r="P189" s="33"/>
      <c r="Q189" s="7"/>
      <c r="R189" s="7"/>
      <c r="S189" s="32"/>
      <c r="T189" s="13"/>
    </row>
    <row r="190" ht="15.75" hidden="1" customHeight="1">
      <c r="A190" s="7"/>
      <c r="B190" s="7"/>
      <c r="C190" s="7"/>
      <c r="D190" s="7"/>
      <c r="E190" s="7"/>
      <c r="F190" s="7"/>
      <c r="G190" s="7"/>
      <c r="H190" s="7"/>
      <c r="I190" s="33"/>
      <c r="J190" s="33"/>
      <c r="K190" s="33"/>
      <c r="L190" s="33"/>
      <c r="M190" s="7"/>
      <c r="N190" s="7"/>
      <c r="O190" s="7"/>
      <c r="P190" s="33"/>
      <c r="Q190" s="7"/>
      <c r="R190" s="7"/>
      <c r="S190" s="32"/>
      <c r="T190" s="13"/>
    </row>
    <row r="191" ht="15.75" hidden="1" customHeight="1">
      <c r="A191" s="7"/>
      <c r="B191" s="7"/>
      <c r="C191" s="7"/>
      <c r="D191" s="7"/>
      <c r="E191" s="7"/>
      <c r="F191" s="7"/>
      <c r="G191" s="7"/>
      <c r="H191" s="7"/>
      <c r="I191" s="33"/>
      <c r="J191" s="33"/>
      <c r="K191" s="33"/>
      <c r="L191" s="33"/>
      <c r="M191" s="7"/>
      <c r="N191" s="7"/>
      <c r="O191" s="7"/>
      <c r="P191" s="33"/>
      <c r="Q191" s="7"/>
      <c r="R191" s="7"/>
      <c r="S191" s="32"/>
      <c r="T191" s="13"/>
    </row>
    <row r="192" ht="15.75" hidden="1" customHeight="1">
      <c r="A192" s="7"/>
      <c r="B192" s="7"/>
      <c r="C192" s="7"/>
      <c r="D192" s="7"/>
      <c r="E192" s="7"/>
      <c r="F192" s="7"/>
      <c r="G192" s="7"/>
      <c r="H192" s="7"/>
      <c r="I192" s="33"/>
      <c r="J192" s="33"/>
      <c r="K192" s="33"/>
      <c r="L192" s="33"/>
      <c r="M192" s="7"/>
      <c r="N192" s="7"/>
      <c r="O192" s="7"/>
      <c r="P192" s="33"/>
      <c r="Q192" s="7"/>
      <c r="R192" s="7"/>
      <c r="S192" s="32"/>
      <c r="T192" s="13"/>
    </row>
    <row r="193" ht="15.75" hidden="1" customHeight="1">
      <c r="A193" s="7"/>
      <c r="B193" s="7"/>
      <c r="C193" s="7"/>
      <c r="D193" s="7"/>
      <c r="E193" s="7"/>
      <c r="F193" s="7"/>
      <c r="G193" s="7"/>
      <c r="H193" s="7"/>
      <c r="I193" s="33"/>
      <c r="J193" s="33"/>
      <c r="K193" s="33"/>
      <c r="L193" s="33"/>
      <c r="M193" s="7"/>
      <c r="N193" s="7"/>
      <c r="O193" s="7"/>
      <c r="P193" s="33"/>
      <c r="Q193" s="7"/>
      <c r="R193" s="7"/>
      <c r="S193" s="32"/>
      <c r="T193" s="13"/>
    </row>
    <row r="194" ht="15.75" hidden="1" customHeight="1">
      <c r="A194" s="7"/>
      <c r="B194" s="7"/>
      <c r="C194" s="7"/>
      <c r="D194" s="7"/>
      <c r="E194" s="7"/>
      <c r="F194" s="7"/>
      <c r="G194" s="7"/>
      <c r="H194" s="7"/>
      <c r="I194" s="33"/>
      <c r="J194" s="33"/>
      <c r="K194" s="33"/>
      <c r="L194" s="33"/>
      <c r="M194" s="7"/>
      <c r="N194" s="7"/>
      <c r="O194" s="7"/>
      <c r="P194" s="33"/>
      <c r="Q194" s="7"/>
      <c r="R194" s="7"/>
      <c r="S194" s="32"/>
      <c r="T194" s="13"/>
    </row>
    <row r="195" ht="15.75" hidden="1" customHeight="1">
      <c r="A195" s="7"/>
      <c r="B195" s="7"/>
      <c r="C195" s="7"/>
      <c r="D195" s="7"/>
      <c r="E195" s="7"/>
      <c r="F195" s="7"/>
      <c r="G195" s="7"/>
      <c r="H195" s="7"/>
      <c r="I195" s="33"/>
      <c r="J195" s="33"/>
      <c r="K195" s="33"/>
      <c r="L195" s="33"/>
      <c r="M195" s="7"/>
      <c r="N195" s="7"/>
      <c r="O195" s="7"/>
      <c r="P195" s="33"/>
      <c r="Q195" s="7"/>
      <c r="R195" s="7"/>
      <c r="S195" s="32"/>
      <c r="T195" s="13"/>
    </row>
    <row r="196" ht="15.75" hidden="1" customHeight="1">
      <c r="A196" s="7"/>
      <c r="B196" s="7"/>
      <c r="C196" s="7"/>
      <c r="D196" s="7"/>
      <c r="E196" s="7"/>
      <c r="F196" s="7"/>
      <c r="G196" s="7"/>
      <c r="H196" s="7"/>
      <c r="I196" s="33"/>
      <c r="J196" s="33"/>
      <c r="K196" s="33"/>
      <c r="L196" s="33"/>
      <c r="M196" s="7"/>
      <c r="N196" s="7"/>
      <c r="O196" s="7"/>
      <c r="P196" s="33"/>
      <c r="Q196" s="7"/>
      <c r="R196" s="7"/>
      <c r="S196" s="32"/>
      <c r="T196" s="13"/>
    </row>
    <row r="197" ht="15.75" hidden="1" customHeight="1">
      <c r="A197" s="7"/>
      <c r="B197" s="7"/>
      <c r="C197" s="7"/>
      <c r="D197" s="7"/>
      <c r="E197" s="7"/>
      <c r="F197" s="7"/>
      <c r="G197" s="7"/>
      <c r="H197" s="7"/>
      <c r="I197" s="33"/>
      <c r="J197" s="33"/>
      <c r="K197" s="33"/>
      <c r="L197" s="33"/>
      <c r="M197" s="7"/>
      <c r="N197" s="7"/>
      <c r="O197" s="7"/>
      <c r="P197" s="33"/>
      <c r="Q197" s="7"/>
      <c r="R197" s="7"/>
      <c r="S197" s="32"/>
      <c r="T197" s="13"/>
    </row>
    <row r="198" ht="15.75" hidden="1" customHeight="1">
      <c r="A198" s="7"/>
      <c r="B198" s="7"/>
      <c r="C198" s="7"/>
      <c r="D198" s="7"/>
      <c r="E198" s="7"/>
      <c r="F198" s="7"/>
      <c r="G198" s="7"/>
      <c r="H198" s="7"/>
      <c r="I198" s="33"/>
      <c r="J198" s="33"/>
      <c r="K198" s="33"/>
      <c r="L198" s="33"/>
      <c r="M198" s="7"/>
      <c r="N198" s="7"/>
      <c r="O198" s="7"/>
      <c r="P198" s="33"/>
      <c r="Q198" s="7"/>
      <c r="R198" s="7"/>
      <c r="S198" s="32"/>
      <c r="T198" s="13"/>
    </row>
    <row r="199" ht="15.75" hidden="1" customHeight="1">
      <c r="A199" s="7"/>
      <c r="B199" s="7"/>
      <c r="C199" s="7"/>
      <c r="D199" s="7"/>
      <c r="E199" s="7"/>
      <c r="F199" s="7"/>
      <c r="G199" s="7"/>
      <c r="H199" s="7"/>
      <c r="I199" s="33"/>
      <c r="J199" s="33"/>
      <c r="K199" s="33"/>
      <c r="L199" s="33"/>
      <c r="M199" s="7"/>
      <c r="N199" s="7"/>
      <c r="O199" s="7"/>
      <c r="P199" s="33"/>
      <c r="Q199" s="7"/>
      <c r="R199" s="7"/>
      <c r="S199" s="32"/>
      <c r="T199" s="13"/>
    </row>
    <row r="200" ht="15.75" hidden="1" customHeight="1">
      <c r="A200" s="7"/>
      <c r="B200" s="7"/>
      <c r="C200" s="7"/>
      <c r="D200" s="7"/>
      <c r="E200" s="7"/>
      <c r="F200" s="7"/>
      <c r="G200" s="7"/>
      <c r="H200" s="7"/>
      <c r="I200" s="33"/>
      <c r="J200" s="33"/>
      <c r="K200" s="33"/>
      <c r="L200" s="33"/>
      <c r="M200" s="7"/>
      <c r="N200" s="7"/>
      <c r="O200" s="7"/>
      <c r="P200" s="33"/>
      <c r="Q200" s="7"/>
      <c r="R200" s="7"/>
      <c r="S200" s="32"/>
      <c r="T200" s="13"/>
    </row>
    <row r="201" ht="15.75" customHeight="1">
      <c r="A201" s="2"/>
      <c r="B201" s="2"/>
      <c r="C201" s="2"/>
      <c r="D201" s="2"/>
      <c r="E201" s="2"/>
      <c r="F201" s="2"/>
      <c r="G201" s="2"/>
      <c r="H201" s="2"/>
      <c r="I201" s="74"/>
      <c r="J201" s="74"/>
      <c r="K201" s="74"/>
      <c r="L201" s="74"/>
      <c r="M201" s="2"/>
      <c r="N201" s="2"/>
      <c r="O201" s="2"/>
      <c r="P201" s="74"/>
      <c r="Q201" s="2"/>
      <c r="R201" s="2"/>
      <c r="S201" s="76"/>
      <c r="T201" s="88"/>
    </row>
    <row r="202" ht="15.75" customHeight="1">
      <c r="A202" s="2"/>
      <c r="B202" s="2"/>
      <c r="C202" s="2"/>
      <c r="D202" s="2"/>
      <c r="E202" s="2"/>
      <c r="F202" s="2"/>
      <c r="G202" s="2"/>
      <c r="H202" s="2"/>
      <c r="I202" s="74"/>
      <c r="J202" s="74"/>
      <c r="K202" s="74"/>
      <c r="L202" s="74"/>
      <c r="M202" s="2"/>
      <c r="N202" s="2"/>
      <c r="O202" s="2"/>
      <c r="P202" s="74"/>
      <c r="Q202" s="2"/>
      <c r="R202" s="2"/>
      <c r="S202" s="76"/>
      <c r="T202" s="88"/>
    </row>
    <row r="203" ht="15.75" customHeight="1">
      <c r="A203" s="2"/>
      <c r="B203" s="2"/>
      <c r="C203" s="2"/>
      <c r="D203" s="2"/>
      <c r="E203" s="2"/>
      <c r="F203" s="2"/>
      <c r="G203" s="2"/>
      <c r="H203" s="2"/>
      <c r="I203" s="74"/>
      <c r="J203" s="74"/>
      <c r="K203" s="74"/>
      <c r="L203" s="74"/>
      <c r="M203" s="2"/>
      <c r="N203" s="2"/>
      <c r="O203" s="2"/>
      <c r="P203" s="74"/>
      <c r="Q203" s="2"/>
      <c r="R203" s="2"/>
      <c r="S203" s="76"/>
      <c r="T203" s="88"/>
    </row>
    <row r="204" ht="15.75" customHeight="1">
      <c r="A204" s="2"/>
      <c r="B204" s="2"/>
      <c r="C204" s="2"/>
      <c r="D204" s="2"/>
      <c r="E204" s="2"/>
      <c r="F204" s="2"/>
      <c r="G204" s="2"/>
      <c r="H204" s="2"/>
      <c r="I204" s="74"/>
      <c r="J204" s="74"/>
      <c r="K204" s="74"/>
      <c r="L204" s="74"/>
      <c r="M204" s="2"/>
      <c r="N204" s="2"/>
      <c r="O204" s="2"/>
      <c r="P204" s="74"/>
      <c r="Q204" s="2"/>
      <c r="R204" s="2"/>
      <c r="S204" s="76"/>
      <c r="T204" s="88"/>
    </row>
    <row r="205" ht="15.75" customHeight="1">
      <c r="A205" s="2"/>
      <c r="B205" s="2"/>
      <c r="C205" s="2"/>
      <c r="D205" s="2"/>
      <c r="E205" s="2"/>
      <c r="F205" s="2"/>
      <c r="G205" s="2"/>
      <c r="H205" s="2"/>
      <c r="I205" s="74"/>
      <c r="J205" s="74"/>
      <c r="K205" s="74"/>
      <c r="L205" s="74"/>
      <c r="M205" s="2"/>
      <c r="N205" s="2"/>
      <c r="O205" s="2"/>
      <c r="P205" s="74"/>
      <c r="Q205" s="2"/>
      <c r="R205" s="2"/>
      <c r="S205" s="76"/>
      <c r="T205" s="88"/>
    </row>
    <row r="206" ht="15.75" customHeight="1">
      <c r="A206" s="2"/>
      <c r="B206" s="2"/>
      <c r="C206" s="2"/>
      <c r="D206" s="2"/>
      <c r="E206" s="2"/>
      <c r="F206" s="2"/>
      <c r="G206" s="2"/>
      <c r="H206" s="2"/>
      <c r="I206" s="74"/>
      <c r="J206" s="74"/>
      <c r="K206" s="74"/>
      <c r="L206" s="74"/>
      <c r="M206" s="2"/>
      <c r="N206" s="2"/>
      <c r="O206" s="2"/>
      <c r="P206" s="74"/>
      <c r="Q206" s="2"/>
      <c r="R206" s="2"/>
      <c r="S206" s="76"/>
      <c r="T206" s="88"/>
    </row>
    <row r="207" ht="15.75" customHeight="1">
      <c r="A207" s="2"/>
      <c r="B207" s="2"/>
      <c r="C207" s="2"/>
      <c r="D207" s="2"/>
      <c r="E207" s="2"/>
      <c r="F207" s="2"/>
      <c r="G207" s="2"/>
      <c r="H207" s="2"/>
      <c r="I207" s="74"/>
      <c r="J207" s="74"/>
      <c r="K207" s="74"/>
      <c r="L207" s="74"/>
      <c r="M207" s="2"/>
      <c r="N207" s="2"/>
      <c r="O207" s="2"/>
      <c r="P207" s="74"/>
      <c r="Q207" s="2"/>
      <c r="R207" s="2"/>
      <c r="S207" s="76"/>
      <c r="T207" s="88"/>
    </row>
    <row r="208" ht="15.75" customHeight="1">
      <c r="A208" s="2"/>
      <c r="B208" s="2"/>
      <c r="C208" s="2"/>
      <c r="D208" s="2"/>
      <c r="E208" s="2"/>
      <c r="F208" s="2"/>
      <c r="G208" s="2"/>
      <c r="H208" s="2"/>
      <c r="I208" s="74"/>
      <c r="J208" s="74"/>
      <c r="K208" s="74"/>
      <c r="L208" s="74"/>
      <c r="M208" s="2"/>
      <c r="N208" s="2"/>
      <c r="O208" s="2"/>
      <c r="P208" s="74"/>
      <c r="Q208" s="2"/>
      <c r="R208" s="2"/>
      <c r="S208" s="76"/>
      <c r="T208" s="88"/>
    </row>
    <row r="209" ht="15.75" customHeight="1">
      <c r="A209" s="2"/>
      <c r="B209" s="2"/>
      <c r="C209" s="2"/>
      <c r="D209" s="2"/>
      <c r="E209" s="2"/>
      <c r="F209" s="2"/>
      <c r="G209" s="2"/>
      <c r="H209" s="2"/>
      <c r="I209" s="74"/>
      <c r="J209" s="74"/>
      <c r="K209" s="74"/>
      <c r="L209" s="74"/>
      <c r="M209" s="2"/>
      <c r="N209" s="2"/>
      <c r="O209" s="2"/>
      <c r="P209" s="74"/>
      <c r="Q209" s="2"/>
      <c r="R209" s="2"/>
      <c r="S209" s="76"/>
      <c r="T209" s="88"/>
    </row>
    <row r="210" ht="15.75" customHeight="1">
      <c r="A210" s="2"/>
      <c r="B210" s="2"/>
      <c r="C210" s="2"/>
      <c r="D210" s="2"/>
      <c r="E210" s="2"/>
      <c r="F210" s="2"/>
      <c r="G210" s="2"/>
      <c r="H210" s="2"/>
      <c r="I210" s="74"/>
      <c r="J210" s="74"/>
      <c r="K210" s="74"/>
      <c r="L210" s="74"/>
      <c r="M210" s="2"/>
      <c r="N210" s="2"/>
      <c r="O210" s="2"/>
      <c r="P210" s="74"/>
      <c r="Q210" s="2"/>
      <c r="R210" s="2"/>
      <c r="S210" s="76"/>
      <c r="T210" s="88"/>
    </row>
    <row r="211" ht="15.75" customHeight="1">
      <c r="A211" s="2"/>
      <c r="B211" s="2"/>
      <c r="C211" s="2"/>
      <c r="D211" s="2"/>
      <c r="E211" s="2"/>
      <c r="F211" s="2"/>
      <c r="G211" s="2"/>
      <c r="H211" s="2"/>
      <c r="I211" s="74"/>
      <c r="J211" s="74"/>
      <c r="K211" s="74"/>
      <c r="L211" s="74"/>
      <c r="M211" s="2"/>
      <c r="N211" s="2"/>
      <c r="O211" s="2"/>
      <c r="P211" s="74"/>
      <c r="Q211" s="2"/>
      <c r="R211" s="2"/>
      <c r="S211" s="76"/>
      <c r="T211" s="88"/>
    </row>
    <row r="212" ht="15.75" customHeight="1">
      <c r="A212" s="2"/>
      <c r="B212" s="2"/>
      <c r="C212" s="2"/>
      <c r="D212" s="2"/>
      <c r="E212" s="2"/>
      <c r="F212" s="2"/>
      <c r="G212" s="2"/>
      <c r="H212" s="2"/>
      <c r="I212" s="74"/>
      <c r="J212" s="74"/>
      <c r="K212" s="74"/>
      <c r="L212" s="74"/>
      <c r="M212" s="2"/>
      <c r="N212" s="2"/>
      <c r="O212" s="2"/>
      <c r="P212" s="74"/>
      <c r="Q212" s="2"/>
      <c r="R212" s="2"/>
      <c r="S212" s="76"/>
      <c r="T212" s="88"/>
    </row>
    <row r="213" ht="15.75" customHeight="1">
      <c r="A213" s="2"/>
      <c r="B213" s="2"/>
      <c r="C213" s="2"/>
      <c r="D213" s="2"/>
      <c r="E213" s="2"/>
      <c r="F213" s="2"/>
      <c r="G213" s="2"/>
      <c r="H213" s="2"/>
      <c r="I213" s="74"/>
      <c r="J213" s="74"/>
      <c r="K213" s="74"/>
      <c r="L213" s="74"/>
      <c r="M213" s="2"/>
      <c r="N213" s="2"/>
      <c r="O213" s="2"/>
      <c r="P213" s="74"/>
      <c r="Q213" s="2"/>
      <c r="R213" s="2"/>
      <c r="S213" s="76"/>
      <c r="T213" s="88"/>
    </row>
    <row r="214" ht="15.75" customHeight="1">
      <c r="A214" s="2"/>
      <c r="B214" s="2"/>
      <c r="C214" s="2"/>
      <c r="D214" s="2"/>
      <c r="E214" s="2"/>
      <c r="F214" s="2"/>
      <c r="G214" s="2"/>
      <c r="H214" s="2"/>
      <c r="I214" s="74"/>
      <c r="J214" s="74"/>
      <c r="K214" s="74"/>
      <c r="L214" s="74"/>
      <c r="M214" s="2"/>
      <c r="N214" s="2"/>
      <c r="O214" s="2"/>
      <c r="P214" s="74"/>
      <c r="Q214" s="2"/>
      <c r="R214" s="2"/>
      <c r="S214" s="76"/>
      <c r="T214" s="88"/>
    </row>
    <row r="215" ht="15.75" customHeight="1">
      <c r="A215" s="2"/>
      <c r="B215" s="2"/>
      <c r="C215" s="2"/>
      <c r="D215" s="2"/>
      <c r="E215" s="2"/>
      <c r="F215" s="2"/>
      <c r="G215" s="2"/>
      <c r="H215" s="2"/>
      <c r="I215" s="74"/>
      <c r="J215" s="74"/>
      <c r="K215" s="74"/>
      <c r="L215" s="74"/>
      <c r="M215" s="2"/>
      <c r="N215" s="2"/>
      <c r="O215" s="2"/>
      <c r="P215" s="74"/>
      <c r="Q215" s="2"/>
      <c r="R215" s="2"/>
      <c r="S215" s="76"/>
      <c r="T215" s="88"/>
    </row>
    <row r="216" ht="15.75" customHeight="1">
      <c r="A216" s="2"/>
      <c r="B216" s="2"/>
      <c r="C216" s="2"/>
      <c r="D216" s="2"/>
      <c r="E216" s="2"/>
      <c r="F216" s="2"/>
      <c r="G216" s="2"/>
      <c r="H216" s="2"/>
      <c r="I216" s="74"/>
      <c r="J216" s="74"/>
      <c r="K216" s="74"/>
      <c r="L216" s="74"/>
      <c r="M216" s="2"/>
      <c r="N216" s="2"/>
      <c r="O216" s="2"/>
      <c r="P216" s="74"/>
      <c r="Q216" s="2"/>
      <c r="R216" s="2"/>
      <c r="S216" s="76"/>
      <c r="T216" s="88"/>
    </row>
    <row r="217" ht="15.75" customHeight="1">
      <c r="A217" s="2"/>
      <c r="B217" s="2"/>
      <c r="C217" s="2"/>
      <c r="D217" s="2"/>
      <c r="E217" s="2"/>
      <c r="F217" s="2"/>
      <c r="G217" s="2"/>
      <c r="H217" s="2"/>
      <c r="I217" s="74"/>
      <c r="J217" s="74"/>
      <c r="K217" s="74"/>
      <c r="L217" s="74"/>
      <c r="M217" s="2"/>
      <c r="N217" s="2"/>
      <c r="O217" s="2"/>
      <c r="P217" s="74"/>
      <c r="Q217" s="2"/>
      <c r="R217" s="2"/>
      <c r="S217" s="76"/>
      <c r="T217" s="88"/>
    </row>
    <row r="218" ht="15.75" customHeight="1">
      <c r="A218" s="2"/>
      <c r="B218" s="2"/>
      <c r="C218" s="2"/>
      <c r="D218" s="2"/>
      <c r="E218" s="2"/>
      <c r="F218" s="2"/>
      <c r="G218" s="2"/>
      <c r="H218" s="2"/>
      <c r="I218" s="74"/>
      <c r="J218" s="74"/>
      <c r="K218" s="74"/>
      <c r="L218" s="74"/>
      <c r="M218" s="2"/>
      <c r="N218" s="2"/>
      <c r="O218" s="2"/>
      <c r="P218" s="74"/>
      <c r="Q218" s="2"/>
      <c r="R218" s="2"/>
      <c r="S218" s="76"/>
      <c r="T218" s="88"/>
    </row>
    <row r="219" ht="15.75" customHeight="1">
      <c r="A219" s="2"/>
      <c r="B219" s="2"/>
      <c r="C219" s="2"/>
      <c r="D219" s="2"/>
      <c r="E219" s="2"/>
      <c r="F219" s="2"/>
      <c r="G219" s="2"/>
      <c r="H219" s="2"/>
      <c r="I219" s="74"/>
      <c r="J219" s="74"/>
      <c r="K219" s="74"/>
      <c r="L219" s="74"/>
      <c r="M219" s="2"/>
      <c r="N219" s="2"/>
      <c r="O219" s="2"/>
      <c r="P219" s="74"/>
      <c r="Q219" s="2"/>
      <c r="R219" s="2"/>
      <c r="S219" s="76"/>
      <c r="T219" s="88"/>
    </row>
    <row r="220" ht="15.75" customHeight="1">
      <c r="A220" s="2"/>
      <c r="B220" s="2"/>
      <c r="C220" s="2"/>
      <c r="D220" s="2"/>
      <c r="E220" s="2"/>
      <c r="F220" s="2"/>
      <c r="G220" s="2"/>
      <c r="H220" s="2"/>
      <c r="I220" s="74"/>
      <c r="J220" s="74"/>
      <c r="K220" s="74"/>
      <c r="L220" s="74"/>
      <c r="M220" s="2"/>
      <c r="N220" s="2"/>
      <c r="O220" s="2"/>
      <c r="P220" s="74"/>
      <c r="Q220" s="2"/>
      <c r="R220" s="2"/>
      <c r="S220" s="76"/>
      <c r="T220" s="88"/>
    </row>
    <row r="221" ht="15.75" customHeight="1">
      <c r="A221" s="2"/>
      <c r="B221" s="2"/>
      <c r="C221" s="2"/>
      <c r="D221" s="2"/>
      <c r="E221" s="2"/>
      <c r="F221" s="2"/>
      <c r="G221" s="2"/>
      <c r="H221" s="2"/>
      <c r="I221" s="74"/>
      <c r="J221" s="74"/>
      <c r="K221" s="74"/>
      <c r="L221" s="74"/>
      <c r="M221" s="2"/>
      <c r="N221" s="2"/>
      <c r="O221" s="2"/>
      <c r="P221" s="74"/>
      <c r="Q221" s="2"/>
      <c r="R221" s="2"/>
      <c r="S221" s="76"/>
      <c r="T221" s="88"/>
    </row>
    <row r="222" ht="15.75" customHeight="1">
      <c r="A222" s="2"/>
      <c r="B222" s="2"/>
      <c r="C222" s="2"/>
      <c r="D222" s="2"/>
      <c r="E222" s="2"/>
      <c r="F222" s="2"/>
      <c r="G222" s="2"/>
      <c r="H222" s="2"/>
      <c r="I222" s="74"/>
      <c r="J222" s="74"/>
      <c r="K222" s="74"/>
      <c r="L222" s="74"/>
      <c r="M222" s="2"/>
      <c r="N222" s="2"/>
      <c r="O222" s="2"/>
      <c r="P222" s="74"/>
      <c r="Q222" s="2"/>
      <c r="R222" s="2"/>
      <c r="S222" s="76"/>
      <c r="T222" s="88"/>
    </row>
    <row r="223" ht="15.75" customHeight="1">
      <c r="A223" s="2"/>
      <c r="B223" s="2"/>
      <c r="C223" s="2"/>
      <c r="D223" s="2"/>
      <c r="E223" s="2"/>
      <c r="F223" s="2"/>
      <c r="G223" s="2"/>
      <c r="H223" s="2"/>
      <c r="I223" s="74"/>
      <c r="J223" s="74"/>
      <c r="K223" s="74"/>
      <c r="L223" s="74"/>
      <c r="M223" s="2"/>
      <c r="N223" s="2"/>
      <c r="O223" s="2"/>
      <c r="P223" s="74"/>
      <c r="Q223" s="2"/>
      <c r="R223" s="2"/>
      <c r="S223" s="76"/>
      <c r="T223" s="88"/>
    </row>
    <row r="224" ht="15.75" customHeight="1">
      <c r="A224" s="2"/>
      <c r="B224" s="2"/>
      <c r="C224" s="2"/>
      <c r="D224" s="2"/>
      <c r="E224" s="2"/>
      <c r="F224" s="2"/>
      <c r="G224" s="2"/>
      <c r="H224" s="2"/>
      <c r="I224" s="74"/>
      <c r="J224" s="74"/>
      <c r="K224" s="74"/>
      <c r="L224" s="74"/>
      <c r="M224" s="2"/>
      <c r="N224" s="2"/>
      <c r="O224" s="2"/>
      <c r="P224" s="74"/>
      <c r="Q224" s="2"/>
      <c r="R224" s="2"/>
      <c r="S224" s="76"/>
      <c r="T224" s="88"/>
    </row>
    <row r="225" ht="15.75" customHeight="1">
      <c r="A225" s="2"/>
      <c r="B225" s="2"/>
      <c r="C225" s="2"/>
      <c r="D225" s="2"/>
      <c r="E225" s="2"/>
      <c r="F225" s="2"/>
      <c r="G225" s="2"/>
      <c r="H225" s="2"/>
      <c r="I225" s="74"/>
      <c r="J225" s="74"/>
      <c r="K225" s="74"/>
      <c r="L225" s="74"/>
      <c r="M225" s="2"/>
      <c r="N225" s="2"/>
      <c r="O225" s="2"/>
      <c r="P225" s="74"/>
      <c r="Q225" s="2"/>
      <c r="R225" s="2"/>
      <c r="S225" s="76"/>
      <c r="T225" s="88"/>
    </row>
    <row r="226" ht="15.75" customHeight="1">
      <c r="A226" s="2"/>
      <c r="B226" s="2"/>
      <c r="C226" s="2"/>
      <c r="D226" s="2"/>
      <c r="E226" s="2"/>
      <c r="F226" s="2"/>
      <c r="G226" s="2"/>
      <c r="H226" s="2"/>
      <c r="I226" s="74"/>
      <c r="J226" s="74"/>
      <c r="K226" s="74"/>
      <c r="L226" s="74"/>
      <c r="M226" s="2"/>
      <c r="N226" s="2"/>
      <c r="O226" s="2"/>
      <c r="P226" s="74"/>
      <c r="Q226" s="2"/>
      <c r="R226" s="2"/>
      <c r="S226" s="76"/>
      <c r="T226" s="88"/>
    </row>
    <row r="227" ht="15.75" customHeight="1">
      <c r="A227" s="2"/>
      <c r="B227" s="2"/>
      <c r="C227" s="2"/>
      <c r="D227" s="2"/>
      <c r="E227" s="2"/>
      <c r="F227" s="2"/>
      <c r="G227" s="2"/>
      <c r="H227" s="2"/>
      <c r="I227" s="74"/>
      <c r="J227" s="74"/>
      <c r="K227" s="74"/>
      <c r="L227" s="74"/>
      <c r="M227" s="2"/>
      <c r="N227" s="2"/>
      <c r="O227" s="2"/>
      <c r="P227" s="74"/>
      <c r="Q227" s="2"/>
      <c r="R227" s="2"/>
      <c r="S227" s="76"/>
      <c r="T227" s="88"/>
    </row>
    <row r="228" ht="15.75" customHeight="1">
      <c r="A228" s="2"/>
      <c r="B228" s="2"/>
      <c r="C228" s="2"/>
      <c r="D228" s="2"/>
      <c r="E228" s="2"/>
      <c r="F228" s="2"/>
      <c r="G228" s="2"/>
      <c r="H228" s="2"/>
      <c r="I228" s="74"/>
      <c r="J228" s="74"/>
      <c r="K228" s="74"/>
      <c r="L228" s="74"/>
      <c r="M228" s="2"/>
      <c r="N228" s="2"/>
      <c r="O228" s="2"/>
      <c r="P228" s="74"/>
      <c r="Q228" s="2"/>
      <c r="R228" s="2"/>
      <c r="S228" s="76"/>
      <c r="T228" s="88"/>
    </row>
    <row r="229" ht="15.75" customHeight="1">
      <c r="A229" s="2"/>
      <c r="B229" s="2"/>
      <c r="C229" s="2"/>
      <c r="D229" s="2"/>
      <c r="E229" s="2"/>
      <c r="F229" s="2"/>
      <c r="G229" s="2"/>
      <c r="H229" s="2"/>
      <c r="I229" s="74"/>
      <c r="J229" s="74"/>
      <c r="K229" s="74"/>
      <c r="L229" s="74"/>
      <c r="M229" s="2"/>
      <c r="N229" s="2"/>
      <c r="O229" s="2"/>
      <c r="P229" s="74"/>
      <c r="Q229" s="2"/>
      <c r="R229" s="2"/>
      <c r="S229" s="76"/>
      <c r="T229" s="88"/>
    </row>
    <row r="230" ht="15.75" customHeight="1">
      <c r="A230" s="2"/>
      <c r="B230" s="2"/>
      <c r="C230" s="2"/>
      <c r="D230" s="2"/>
      <c r="E230" s="2"/>
      <c r="F230" s="2"/>
      <c r="G230" s="2"/>
      <c r="H230" s="2"/>
      <c r="I230" s="74"/>
      <c r="J230" s="74"/>
      <c r="K230" s="74"/>
      <c r="L230" s="74"/>
      <c r="M230" s="2"/>
      <c r="N230" s="2"/>
      <c r="O230" s="2"/>
      <c r="P230" s="74"/>
      <c r="Q230" s="2"/>
      <c r="R230" s="2"/>
      <c r="S230" s="76"/>
      <c r="T230" s="88"/>
    </row>
    <row r="231" ht="15.75" customHeight="1">
      <c r="A231" s="2"/>
      <c r="B231" s="2"/>
      <c r="C231" s="2"/>
      <c r="D231" s="2"/>
      <c r="E231" s="2"/>
      <c r="F231" s="2"/>
      <c r="G231" s="2"/>
      <c r="H231" s="2"/>
      <c r="I231" s="74"/>
      <c r="J231" s="74"/>
      <c r="K231" s="74"/>
      <c r="L231" s="74"/>
      <c r="M231" s="2"/>
      <c r="N231" s="2"/>
      <c r="O231" s="2"/>
      <c r="P231" s="74"/>
      <c r="Q231" s="2"/>
      <c r="R231" s="2"/>
      <c r="S231" s="76"/>
      <c r="T231" s="88"/>
    </row>
    <row r="232" ht="15.75" customHeight="1">
      <c r="A232" s="2"/>
      <c r="B232" s="2"/>
      <c r="C232" s="2"/>
      <c r="D232" s="2"/>
      <c r="E232" s="2"/>
      <c r="F232" s="2"/>
      <c r="G232" s="2"/>
      <c r="H232" s="2"/>
      <c r="I232" s="74"/>
      <c r="J232" s="74"/>
      <c r="K232" s="74"/>
      <c r="L232" s="74"/>
      <c r="M232" s="2"/>
      <c r="N232" s="2"/>
      <c r="O232" s="2"/>
      <c r="P232" s="74"/>
      <c r="Q232" s="2"/>
      <c r="R232" s="2"/>
      <c r="S232" s="76"/>
      <c r="T232" s="88"/>
    </row>
    <row r="233" ht="15.75" customHeight="1">
      <c r="A233" s="2"/>
      <c r="B233" s="2"/>
      <c r="C233" s="2"/>
      <c r="D233" s="2"/>
      <c r="E233" s="2"/>
      <c r="F233" s="2"/>
      <c r="G233" s="2"/>
      <c r="H233" s="2"/>
      <c r="I233" s="74"/>
      <c r="J233" s="74"/>
      <c r="K233" s="74"/>
      <c r="L233" s="74"/>
      <c r="M233" s="2"/>
      <c r="N233" s="2"/>
      <c r="O233" s="2"/>
      <c r="P233" s="74"/>
      <c r="Q233" s="2"/>
      <c r="R233" s="2"/>
      <c r="S233" s="76"/>
      <c r="T233" s="88"/>
    </row>
    <row r="234" ht="15.75" customHeight="1">
      <c r="A234" s="2"/>
      <c r="B234" s="2"/>
      <c r="C234" s="2"/>
      <c r="D234" s="2"/>
      <c r="E234" s="2"/>
      <c r="F234" s="2"/>
      <c r="G234" s="2"/>
      <c r="H234" s="2"/>
      <c r="I234" s="74"/>
      <c r="J234" s="74"/>
      <c r="K234" s="74"/>
      <c r="L234" s="74"/>
      <c r="M234" s="2"/>
      <c r="N234" s="2"/>
      <c r="O234" s="2"/>
      <c r="P234" s="74"/>
      <c r="Q234" s="2"/>
      <c r="R234" s="2"/>
      <c r="S234" s="76"/>
      <c r="T234" s="88"/>
    </row>
    <row r="235" ht="15.75" customHeight="1">
      <c r="A235" s="2"/>
      <c r="B235" s="2"/>
      <c r="C235" s="2"/>
      <c r="D235" s="2"/>
      <c r="E235" s="2"/>
      <c r="F235" s="2"/>
      <c r="G235" s="2"/>
      <c r="H235" s="2"/>
      <c r="I235" s="74"/>
      <c r="J235" s="74"/>
      <c r="K235" s="74"/>
      <c r="L235" s="74"/>
      <c r="M235" s="2"/>
      <c r="N235" s="2"/>
      <c r="O235" s="2"/>
      <c r="P235" s="74"/>
      <c r="Q235" s="2"/>
      <c r="R235" s="2"/>
      <c r="S235" s="76"/>
      <c r="T235" s="88"/>
    </row>
    <row r="236" ht="15.75" customHeight="1">
      <c r="A236" s="2"/>
      <c r="B236" s="2"/>
      <c r="C236" s="2"/>
      <c r="D236" s="2"/>
      <c r="E236" s="2"/>
      <c r="F236" s="2"/>
      <c r="G236" s="2"/>
      <c r="H236" s="2"/>
      <c r="I236" s="74"/>
      <c r="J236" s="74"/>
      <c r="K236" s="74"/>
      <c r="L236" s="74"/>
      <c r="M236" s="2"/>
      <c r="N236" s="2"/>
      <c r="O236" s="2"/>
      <c r="P236" s="74"/>
      <c r="Q236" s="2"/>
      <c r="R236" s="2"/>
      <c r="S236" s="76"/>
      <c r="T236" s="88"/>
    </row>
    <row r="237" ht="15.75" customHeight="1">
      <c r="A237" s="2"/>
      <c r="B237" s="2"/>
      <c r="C237" s="2"/>
      <c r="D237" s="2"/>
      <c r="E237" s="2"/>
      <c r="F237" s="2"/>
      <c r="G237" s="2"/>
      <c r="H237" s="2"/>
      <c r="I237" s="74"/>
      <c r="J237" s="74"/>
      <c r="K237" s="74"/>
      <c r="L237" s="74"/>
      <c r="M237" s="2"/>
      <c r="N237" s="2"/>
      <c r="O237" s="2"/>
      <c r="P237" s="74"/>
      <c r="Q237" s="2"/>
      <c r="R237" s="2"/>
      <c r="S237" s="76"/>
      <c r="T237" s="88"/>
    </row>
    <row r="238" ht="15.75" customHeight="1">
      <c r="A238" s="2"/>
      <c r="B238" s="2"/>
      <c r="C238" s="2"/>
      <c r="D238" s="2"/>
      <c r="E238" s="2"/>
      <c r="F238" s="2"/>
      <c r="G238" s="2"/>
      <c r="H238" s="2"/>
      <c r="I238" s="74"/>
      <c r="J238" s="74"/>
      <c r="K238" s="74"/>
      <c r="L238" s="74"/>
      <c r="M238" s="2"/>
      <c r="N238" s="2"/>
      <c r="O238" s="2"/>
      <c r="P238" s="74"/>
      <c r="Q238" s="2"/>
      <c r="R238" s="2"/>
      <c r="S238" s="76"/>
      <c r="T238" s="88"/>
    </row>
    <row r="239" ht="15.75" customHeight="1">
      <c r="A239" s="2"/>
      <c r="B239" s="2"/>
      <c r="C239" s="2"/>
      <c r="D239" s="2"/>
      <c r="E239" s="2"/>
      <c r="F239" s="2"/>
      <c r="G239" s="2"/>
      <c r="H239" s="2"/>
      <c r="I239" s="74"/>
      <c r="J239" s="74"/>
      <c r="K239" s="74"/>
      <c r="L239" s="74"/>
      <c r="M239" s="2"/>
      <c r="N239" s="2"/>
      <c r="O239" s="2"/>
      <c r="P239" s="74"/>
      <c r="Q239" s="2"/>
      <c r="R239" s="2"/>
      <c r="S239" s="76"/>
      <c r="T239" s="88"/>
    </row>
    <row r="240" ht="15.75" customHeight="1">
      <c r="A240" s="2"/>
      <c r="B240" s="2"/>
      <c r="C240" s="2"/>
      <c r="D240" s="2"/>
      <c r="E240" s="2"/>
      <c r="F240" s="2"/>
      <c r="G240" s="2"/>
      <c r="H240" s="2"/>
      <c r="I240" s="74"/>
      <c r="J240" s="74"/>
      <c r="K240" s="74"/>
      <c r="L240" s="74"/>
      <c r="M240" s="2"/>
      <c r="N240" s="2"/>
      <c r="O240" s="2"/>
      <c r="P240" s="74"/>
      <c r="Q240" s="2"/>
      <c r="R240" s="2"/>
      <c r="S240" s="76"/>
      <c r="T240" s="88"/>
    </row>
    <row r="241" ht="15.75" customHeight="1">
      <c r="A241" s="2"/>
      <c r="B241" s="2"/>
      <c r="C241" s="2"/>
      <c r="D241" s="2"/>
      <c r="E241" s="2"/>
      <c r="F241" s="2"/>
      <c r="G241" s="2"/>
      <c r="H241" s="2"/>
      <c r="I241" s="74"/>
      <c r="J241" s="74"/>
      <c r="K241" s="74"/>
      <c r="L241" s="74"/>
      <c r="M241" s="2"/>
      <c r="N241" s="2"/>
      <c r="O241" s="2"/>
      <c r="P241" s="74"/>
      <c r="Q241" s="2"/>
      <c r="R241" s="2"/>
      <c r="S241" s="76"/>
      <c r="T241" s="88"/>
    </row>
    <row r="242" ht="15.75" customHeight="1">
      <c r="A242" s="2"/>
      <c r="B242" s="2"/>
      <c r="C242" s="2"/>
      <c r="D242" s="2"/>
      <c r="E242" s="2"/>
      <c r="F242" s="2"/>
      <c r="G242" s="2"/>
      <c r="H242" s="2"/>
      <c r="I242" s="74"/>
      <c r="J242" s="74"/>
      <c r="K242" s="74"/>
      <c r="L242" s="74"/>
      <c r="M242" s="2"/>
      <c r="N242" s="2"/>
      <c r="O242" s="2"/>
      <c r="P242" s="74"/>
      <c r="Q242" s="2"/>
      <c r="R242" s="2"/>
      <c r="S242" s="76"/>
      <c r="T242" s="88"/>
    </row>
    <row r="243" ht="15.75" customHeight="1">
      <c r="A243" s="2"/>
      <c r="B243" s="2"/>
      <c r="C243" s="2"/>
      <c r="D243" s="2"/>
      <c r="E243" s="2"/>
      <c r="F243" s="2"/>
      <c r="G243" s="2"/>
      <c r="H243" s="2"/>
      <c r="I243" s="74"/>
      <c r="J243" s="74"/>
      <c r="K243" s="74"/>
      <c r="L243" s="74"/>
      <c r="M243" s="2"/>
      <c r="N243" s="2"/>
      <c r="O243" s="2"/>
      <c r="P243" s="74"/>
      <c r="Q243" s="2"/>
      <c r="R243" s="2"/>
      <c r="S243" s="76"/>
      <c r="T243" s="88"/>
    </row>
    <row r="244" ht="15.75" customHeight="1">
      <c r="A244" s="2"/>
      <c r="B244" s="2"/>
      <c r="C244" s="2"/>
      <c r="D244" s="2"/>
      <c r="E244" s="2"/>
      <c r="F244" s="2"/>
      <c r="G244" s="2"/>
      <c r="H244" s="2"/>
      <c r="I244" s="74"/>
      <c r="J244" s="74"/>
      <c r="K244" s="74"/>
      <c r="L244" s="74"/>
      <c r="M244" s="2"/>
      <c r="N244" s="2"/>
      <c r="O244" s="2"/>
      <c r="P244" s="74"/>
      <c r="Q244" s="2"/>
      <c r="R244" s="2"/>
      <c r="S244" s="76"/>
      <c r="T244" s="88"/>
    </row>
    <row r="245" ht="15.75" customHeight="1">
      <c r="A245" s="2"/>
      <c r="B245" s="2"/>
      <c r="C245" s="2"/>
      <c r="D245" s="2"/>
      <c r="E245" s="2"/>
      <c r="F245" s="2"/>
      <c r="G245" s="2"/>
      <c r="H245" s="2"/>
      <c r="I245" s="74"/>
      <c r="J245" s="74"/>
      <c r="K245" s="74"/>
      <c r="L245" s="74"/>
      <c r="M245" s="2"/>
      <c r="N245" s="2"/>
      <c r="O245" s="2"/>
      <c r="P245" s="74"/>
      <c r="Q245" s="2"/>
      <c r="R245" s="2"/>
      <c r="S245" s="76"/>
      <c r="T245" s="88"/>
    </row>
    <row r="246" ht="15.75" customHeight="1">
      <c r="A246" s="2"/>
      <c r="B246" s="2"/>
      <c r="C246" s="2"/>
      <c r="D246" s="2"/>
      <c r="E246" s="2"/>
      <c r="F246" s="2"/>
      <c r="G246" s="2"/>
      <c r="H246" s="2"/>
      <c r="I246" s="74"/>
      <c r="J246" s="74"/>
      <c r="K246" s="74"/>
      <c r="L246" s="74"/>
      <c r="M246" s="2"/>
      <c r="N246" s="2"/>
      <c r="O246" s="2"/>
      <c r="P246" s="74"/>
      <c r="Q246" s="2"/>
      <c r="R246" s="2"/>
      <c r="S246" s="76"/>
      <c r="T246" s="88"/>
    </row>
    <row r="247" ht="15.75" customHeight="1">
      <c r="A247" s="2"/>
      <c r="B247" s="2"/>
      <c r="C247" s="2"/>
      <c r="D247" s="2"/>
      <c r="E247" s="2"/>
      <c r="F247" s="2"/>
      <c r="G247" s="2"/>
      <c r="H247" s="2"/>
      <c r="I247" s="74"/>
      <c r="J247" s="74"/>
      <c r="K247" s="74"/>
      <c r="L247" s="74"/>
      <c r="M247" s="2"/>
      <c r="N247" s="2"/>
      <c r="O247" s="2"/>
      <c r="P247" s="74"/>
      <c r="Q247" s="2"/>
      <c r="R247" s="2"/>
      <c r="S247" s="76"/>
      <c r="T247" s="88"/>
    </row>
    <row r="248" ht="15.75" customHeight="1">
      <c r="A248" s="2"/>
      <c r="B248" s="2"/>
      <c r="C248" s="2"/>
      <c r="D248" s="2"/>
      <c r="E248" s="2"/>
      <c r="F248" s="2"/>
      <c r="G248" s="2"/>
      <c r="H248" s="2"/>
      <c r="I248" s="74"/>
      <c r="J248" s="74"/>
      <c r="K248" s="74"/>
      <c r="L248" s="74"/>
      <c r="M248" s="2"/>
      <c r="N248" s="2"/>
      <c r="O248" s="2"/>
      <c r="P248" s="74"/>
      <c r="Q248" s="2"/>
      <c r="R248" s="2"/>
      <c r="S248" s="76"/>
      <c r="T248" s="88"/>
    </row>
    <row r="249" ht="15.75" customHeight="1">
      <c r="A249" s="2"/>
      <c r="B249" s="2"/>
      <c r="C249" s="2"/>
      <c r="D249" s="2"/>
      <c r="E249" s="2"/>
      <c r="F249" s="2"/>
      <c r="G249" s="2"/>
      <c r="H249" s="2"/>
      <c r="I249" s="74"/>
      <c r="J249" s="74"/>
      <c r="K249" s="74"/>
      <c r="L249" s="74"/>
      <c r="M249" s="2"/>
      <c r="N249" s="2"/>
      <c r="O249" s="2"/>
      <c r="P249" s="74"/>
      <c r="Q249" s="2"/>
      <c r="R249" s="2"/>
      <c r="S249" s="76"/>
      <c r="T249" s="88"/>
    </row>
    <row r="250" ht="15.75" customHeight="1">
      <c r="A250" s="2"/>
      <c r="B250" s="2"/>
      <c r="C250" s="2"/>
      <c r="D250" s="2"/>
      <c r="E250" s="2"/>
      <c r="F250" s="2"/>
      <c r="G250" s="2"/>
      <c r="H250" s="2"/>
      <c r="I250" s="74"/>
      <c r="J250" s="74"/>
      <c r="K250" s="74"/>
      <c r="L250" s="74"/>
      <c r="M250" s="2"/>
      <c r="N250" s="2"/>
      <c r="O250" s="2"/>
      <c r="P250" s="74"/>
      <c r="Q250" s="2"/>
      <c r="R250" s="2"/>
      <c r="S250" s="76"/>
      <c r="T250" s="88"/>
    </row>
    <row r="251" ht="15.75" customHeight="1">
      <c r="A251" s="2"/>
      <c r="B251" s="2"/>
      <c r="C251" s="2"/>
      <c r="D251" s="2"/>
      <c r="E251" s="2"/>
      <c r="F251" s="2"/>
      <c r="G251" s="2"/>
      <c r="H251" s="2"/>
      <c r="I251" s="74"/>
      <c r="J251" s="74"/>
      <c r="K251" s="74"/>
      <c r="L251" s="74"/>
      <c r="M251" s="2"/>
      <c r="N251" s="2"/>
      <c r="O251" s="2"/>
      <c r="P251" s="74"/>
      <c r="Q251" s="2"/>
      <c r="R251" s="2"/>
      <c r="S251" s="76"/>
      <c r="T251" s="88"/>
    </row>
    <row r="252" ht="15.75" customHeight="1">
      <c r="A252" s="2"/>
      <c r="B252" s="2"/>
      <c r="C252" s="2"/>
      <c r="D252" s="2"/>
      <c r="E252" s="2"/>
      <c r="F252" s="2"/>
      <c r="G252" s="2"/>
      <c r="H252" s="2"/>
      <c r="I252" s="74"/>
      <c r="J252" s="74"/>
      <c r="K252" s="74"/>
      <c r="L252" s="74"/>
      <c r="M252" s="2"/>
      <c r="N252" s="2"/>
      <c r="O252" s="2"/>
      <c r="P252" s="74"/>
      <c r="Q252" s="2"/>
      <c r="R252" s="2"/>
      <c r="S252" s="76"/>
      <c r="T252" s="88"/>
    </row>
    <row r="253" ht="15.75" customHeight="1">
      <c r="A253" s="2"/>
      <c r="B253" s="2"/>
      <c r="C253" s="2"/>
      <c r="D253" s="2"/>
      <c r="E253" s="2"/>
      <c r="F253" s="2"/>
      <c r="G253" s="2"/>
      <c r="H253" s="2"/>
      <c r="I253" s="74"/>
      <c r="J253" s="74"/>
      <c r="K253" s="74"/>
      <c r="L253" s="74"/>
      <c r="M253" s="2"/>
      <c r="N253" s="2"/>
      <c r="O253" s="2"/>
      <c r="P253" s="74"/>
      <c r="Q253" s="2"/>
      <c r="R253" s="2"/>
      <c r="S253" s="76"/>
      <c r="T253" s="88"/>
    </row>
    <row r="254" ht="15.75" customHeight="1">
      <c r="A254" s="2"/>
      <c r="B254" s="2"/>
      <c r="C254" s="2"/>
      <c r="D254" s="2"/>
      <c r="E254" s="2"/>
      <c r="F254" s="2"/>
      <c r="G254" s="2"/>
      <c r="H254" s="2"/>
      <c r="I254" s="74"/>
      <c r="J254" s="74"/>
      <c r="K254" s="74"/>
      <c r="L254" s="74"/>
      <c r="M254" s="2"/>
      <c r="N254" s="2"/>
      <c r="O254" s="2"/>
      <c r="P254" s="74"/>
      <c r="Q254" s="2"/>
      <c r="R254" s="2"/>
      <c r="S254" s="76"/>
      <c r="T254" s="88"/>
    </row>
    <row r="255" ht="15.75" customHeight="1">
      <c r="A255" s="2"/>
      <c r="B255" s="2"/>
      <c r="C255" s="2"/>
      <c r="D255" s="2"/>
      <c r="E255" s="2"/>
      <c r="F255" s="2"/>
      <c r="G255" s="2"/>
      <c r="H255" s="2"/>
      <c r="I255" s="74"/>
      <c r="J255" s="74"/>
      <c r="K255" s="74"/>
      <c r="L255" s="74"/>
      <c r="M255" s="2"/>
      <c r="N255" s="2"/>
      <c r="O255" s="2"/>
      <c r="P255" s="74"/>
      <c r="Q255" s="2"/>
      <c r="R255" s="2"/>
      <c r="S255" s="76"/>
      <c r="T255" s="88"/>
    </row>
    <row r="256" ht="15.75" customHeight="1">
      <c r="A256" s="2"/>
      <c r="B256" s="2"/>
      <c r="C256" s="2"/>
      <c r="D256" s="2"/>
      <c r="E256" s="2"/>
      <c r="F256" s="2"/>
      <c r="G256" s="2"/>
      <c r="H256" s="2"/>
      <c r="I256" s="74"/>
      <c r="J256" s="74"/>
      <c r="K256" s="74"/>
      <c r="L256" s="74"/>
      <c r="M256" s="2"/>
      <c r="N256" s="2"/>
      <c r="O256" s="2"/>
      <c r="P256" s="74"/>
      <c r="Q256" s="2"/>
      <c r="R256" s="2"/>
      <c r="S256" s="76"/>
      <c r="T256" s="88"/>
    </row>
    <row r="257" ht="15.75" customHeight="1">
      <c r="A257" s="2"/>
      <c r="B257" s="2"/>
      <c r="C257" s="2"/>
      <c r="D257" s="2"/>
      <c r="E257" s="2"/>
      <c r="F257" s="2"/>
      <c r="G257" s="2"/>
      <c r="H257" s="2"/>
      <c r="I257" s="74"/>
      <c r="J257" s="74"/>
      <c r="K257" s="74"/>
      <c r="L257" s="74"/>
      <c r="M257" s="2"/>
      <c r="N257" s="2"/>
      <c r="O257" s="2"/>
      <c r="P257" s="74"/>
      <c r="Q257" s="2"/>
      <c r="R257" s="2"/>
      <c r="S257" s="76"/>
      <c r="T257" s="88"/>
    </row>
    <row r="258" ht="15.75" customHeight="1">
      <c r="A258" s="2"/>
      <c r="B258" s="2"/>
      <c r="C258" s="2"/>
      <c r="D258" s="2"/>
      <c r="E258" s="2"/>
      <c r="F258" s="2"/>
      <c r="G258" s="2"/>
      <c r="H258" s="2"/>
      <c r="I258" s="74"/>
      <c r="J258" s="74"/>
      <c r="K258" s="74"/>
      <c r="L258" s="74"/>
      <c r="M258" s="2"/>
      <c r="N258" s="2"/>
      <c r="O258" s="2"/>
      <c r="P258" s="74"/>
      <c r="Q258" s="2"/>
      <c r="R258" s="2"/>
      <c r="S258" s="76"/>
      <c r="T258" s="88"/>
    </row>
    <row r="259" ht="15.75" customHeight="1">
      <c r="A259" s="2"/>
      <c r="B259" s="2"/>
      <c r="C259" s="2"/>
      <c r="D259" s="2"/>
      <c r="E259" s="2"/>
      <c r="F259" s="2"/>
      <c r="G259" s="2"/>
      <c r="H259" s="2"/>
      <c r="I259" s="74"/>
      <c r="J259" s="74"/>
      <c r="K259" s="74"/>
      <c r="L259" s="74"/>
      <c r="M259" s="2"/>
      <c r="N259" s="2"/>
      <c r="O259" s="2"/>
      <c r="P259" s="74"/>
      <c r="Q259" s="2"/>
      <c r="R259" s="2"/>
      <c r="S259" s="76"/>
      <c r="T259" s="88"/>
    </row>
    <row r="260" ht="15.75" customHeight="1">
      <c r="A260" s="2"/>
      <c r="B260" s="2"/>
      <c r="C260" s="2"/>
      <c r="D260" s="2"/>
      <c r="E260" s="2"/>
      <c r="F260" s="2"/>
      <c r="G260" s="2"/>
      <c r="H260" s="2"/>
      <c r="I260" s="74"/>
      <c r="J260" s="74"/>
      <c r="K260" s="74"/>
      <c r="L260" s="74"/>
      <c r="M260" s="2"/>
      <c r="N260" s="2"/>
      <c r="O260" s="2"/>
      <c r="P260" s="74"/>
      <c r="Q260" s="2"/>
      <c r="R260" s="2"/>
      <c r="S260" s="76"/>
      <c r="T260" s="88"/>
    </row>
    <row r="261" ht="15.75" customHeight="1">
      <c r="A261" s="2"/>
      <c r="B261" s="2"/>
      <c r="C261" s="2"/>
      <c r="D261" s="2"/>
      <c r="E261" s="2"/>
      <c r="F261" s="2"/>
      <c r="G261" s="2"/>
      <c r="H261" s="2"/>
      <c r="I261" s="74"/>
      <c r="J261" s="74"/>
      <c r="K261" s="74"/>
      <c r="L261" s="74"/>
      <c r="M261" s="2"/>
      <c r="N261" s="2"/>
      <c r="O261" s="2"/>
      <c r="P261" s="74"/>
      <c r="Q261" s="2"/>
      <c r="R261" s="2"/>
      <c r="S261" s="76"/>
      <c r="T261" s="88"/>
    </row>
    <row r="262" ht="15.75" customHeight="1">
      <c r="A262" s="2"/>
      <c r="B262" s="2"/>
      <c r="C262" s="2"/>
      <c r="D262" s="2"/>
      <c r="E262" s="2"/>
      <c r="F262" s="2"/>
      <c r="G262" s="2"/>
      <c r="H262" s="2"/>
      <c r="I262" s="74"/>
      <c r="J262" s="74"/>
      <c r="K262" s="74"/>
      <c r="L262" s="74"/>
      <c r="M262" s="2"/>
      <c r="N262" s="2"/>
      <c r="O262" s="2"/>
      <c r="P262" s="74"/>
      <c r="Q262" s="2"/>
      <c r="R262" s="2"/>
      <c r="S262" s="76"/>
      <c r="T262" s="88"/>
    </row>
    <row r="263" ht="15.75" customHeight="1">
      <c r="A263" s="2"/>
      <c r="B263" s="2"/>
      <c r="C263" s="2"/>
      <c r="D263" s="2"/>
      <c r="E263" s="2"/>
      <c r="F263" s="2"/>
      <c r="G263" s="2"/>
      <c r="H263" s="2"/>
      <c r="I263" s="74"/>
      <c r="J263" s="74"/>
      <c r="K263" s="74"/>
      <c r="L263" s="74"/>
      <c r="M263" s="2"/>
      <c r="N263" s="2"/>
      <c r="O263" s="2"/>
      <c r="P263" s="74"/>
      <c r="Q263" s="2"/>
      <c r="R263" s="2"/>
      <c r="S263" s="76"/>
      <c r="T263" s="88"/>
    </row>
    <row r="264" ht="15.75" customHeight="1">
      <c r="A264" s="2"/>
      <c r="B264" s="2"/>
      <c r="C264" s="2"/>
      <c r="D264" s="2"/>
      <c r="E264" s="2"/>
      <c r="F264" s="2"/>
      <c r="G264" s="2"/>
      <c r="H264" s="2"/>
      <c r="I264" s="74"/>
      <c r="J264" s="74"/>
      <c r="K264" s="74"/>
      <c r="L264" s="74"/>
      <c r="M264" s="2"/>
      <c r="N264" s="2"/>
      <c r="O264" s="2"/>
      <c r="P264" s="74"/>
      <c r="Q264" s="2"/>
      <c r="R264" s="2"/>
      <c r="S264" s="76"/>
      <c r="T264" s="88"/>
    </row>
    <row r="265" ht="15.75" customHeight="1">
      <c r="A265" s="2"/>
      <c r="B265" s="2"/>
      <c r="C265" s="2"/>
      <c r="D265" s="2"/>
      <c r="E265" s="2"/>
      <c r="F265" s="2"/>
      <c r="G265" s="2"/>
      <c r="H265" s="2"/>
      <c r="I265" s="74"/>
      <c r="J265" s="74"/>
      <c r="K265" s="74"/>
      <c r="L265" s="74"/>
      <c r="M265" s="2"/>
      <c r="N265" s="2"/>
      <c r="O265" s="2"/>
      <c r="P265" s="74"/>
      <c r="Q265" s="2"/>
      <c r="R265" s="2"/>
      <c r="S265" s="76"/>
      <c r="T265" s="88"/>
    </row>
    <row r="266" ht="15.75" customHeight="1">
      <c r="A266" s="2"/>
      <c r="B266" s="2"/>
      <c r="C266" s="2"/>
      <c r="D266" s="2"/>
      <c r="E266" s="2"/>
      <c r="F266" s="2"/>
      <c r="G266" s="2"/>
      <c r="H266" s="2"/>
      <c r="I266" s="74"/>
      <c r="J266" s="74"/>
      <c r="K266" s="74"/>
      <c r="L266" s="74"/>
      <c r="M266" s="2"/>
      <c r="N266" s="2"/>
      <c r="O266" s="2"/>
      <c r="P266" s="74"/>
      <c r="Q266" s="2"/>
      <c r="R266" s="2"/>
      <c r="S266" s="76"/>
      <c r="T266" s="88"/>
    </row>
    <row r="267" ht="15.75" customHeight="1">
      <c r="A267" s="2"/>
      <c r="B267" s="2"/>
      <c r="C267" s="2"/>
      <c r="D267" s="2"/>
      <c r="E267" s="2"/>
      <c r="F267" s="2"/>
      <c r="G267" s="2"/>
      <c r="H267" s="2"/>
      <c r="I267" s="74"/>
      <c r="J267" s="74"/>
      <c r="K267" s="74"/>
      <c r="L267" s="74"/>
      <c r="M267" s="2"/>
      <c r="N267" s="2"/>
      <c r="O267" s="2"/>
      <c r="P267" s="74"/>
      <c r="Q267" s="2"/>
      <c r="R267" s="2"/>
      <c r="S267" s="76"/>
      <c r="T267" s="88"/>
    </row>
    <row r="268" ht="15.75" customHeight="1">
      <c r="A268" s="2"/>
      <c r="B268" s="2"/>
      <c r="C268" s="2"/>
      <c r="D268" s="2"/>
      <c r="E268" s="2"/>
      <c r="F268" s="2"/>
      <c r="G268" s="2"/>
      <c r="H268" s="2"/>
      <c r="I268" s="74"/>
      <c r="J268" s="74"/>
      <c r="K268" s="74"/>
      <c r="L268" s="74"/>
      <c r="M268" s="2"/>
      <c r="N268" s="2"/>
      <c r="O268" s="2"/>
      <c r="P268" s="74"/>
      <c r="Q268" s="2"/>
      <c r="R268" s="2"/>
      <c r="S268" s="76"/>
      <c r="T268" s="88"/>
    </row>
    <row r="269" ht="15.75" customHeight="1">
      <c r="A269" s="2"/>
      <c r="B269" s="2"/>
      <c r="C269" s="2"/>
      <c r="D269" s="2"/>
      <c r="E269" s="2"/>
      <c r="F269" s="2"/>
      <c r="G269" s="2"/>
      <c r="H269" s="2"/>
      <c r="I269" s="74"/>
      <c r="J269" s="74"/>
      <c r="K269" s="74"/>
      <c r="L269" s="74"/>
      <c r="M269" s="2"/>
      <c r="N269" s="2"/>
      <c r="O269" s="2"/>
      <c r="P269" s="74"/>
      <c r="Q269" s="2"/>
      <c r="R269" s="2"/>
      <c r="S269" s="76"/>
      <c r="T269" s="88"/>
    </row>
    <row r="270" ht="15.75" customHeight="1">
      <c r="A270" s="2"/>
      <c r="B270" s="2"/>
      <c r="C270" s="2"/>
      <c r="D270" s="2"/>
      <c r="E270" s="2"/>
      <c r="F270" s="2"/>
      <c r="G270" s="2"/>
      <c r="H270" s="2"/>
      <c r="I270" s="74"/>
      <c r="J270" s="74"/>
      <c r="K270" s="74"/>
      <c r="L270" s="74"/>
      <c r="M270" s="2"/>
      <c r="N270" s="2"/>
      <c r="O270" s="2"/>
      <c r="P270" s="74"/>
      <c r="Q270" s="2"/>
      <c r="R270" s="2"/>
      <c r="S270" s="76"/>
      <c r="T270" s="88"/>
    </row>
    <row r="271" ht="15.75" customHeight="1">
      <c r="A271" s="2"/>
      <c r="B271" s="2"/>
      <c r="C271" s="2"/>
      <c r="D271" s="2"/>
      <c r="E271" s="2"/>
      <c r="F271" s="2"/>
      <c r="G271" s="2"/>
      <c r="H271" s="2"/>
      <c r="I271" s="74"/>
      <c r="J271" s="74"/>
      <c r="K271" s="74"/>
      <c r="L271" s="74"/>
      <c r="M271" s="2"/>
      <c r="N271" s="2"/>
      <c r="O271" s="2"/>
      <c r="P271" s="74"/>
      <c r="Q271" s="2"/>
      <c r="R271" s="2"/>
      <c r="S271" s="76"/>
      <c r="T271" s="88"/>
    </row>
    <row r="272" ht="15.75" customHeight="1">
      <c r="A272" s="2"/>
      <c r="B272" s="2"/>
      <c r="C272" s="2"/>
      <c r="D272" s="2"/>
      <c r="E272" s="2"/>
      <c r="F272" s="2"/>
      <c r="G272" s="2"/>
      <c r="H272" s="2"/>
      <c r="I272" s="74"/>
      <c r="J272" s="74"/>
      <c r="K272" s="74"/>
      <c r="L272" s="74"/>
      <c r="M272" s="2"/>
      <c r="N272" s="2"/>
      <c r="O272" s="2"/>
      <c r="P272" s="74"/>
      <c r="Q272" s="2"/>
      <c r="R272" s="2"/>
      <c r="S272" s="76"/>
      <c r="T272" s="88"/>
    </row>
    <row r="273" ht="15.75" customHeight="1">
      <c r="A273" s="2"/>
      <c r="B273" s="2"/>
      <c r="C273" s="2"/>
      <c r="D273" s="2"/>
      <c r="E273" s="2"/>
      <c r="F273" s="2"/>
      <c r="G273" s="2"/>
      <c r="H273" s="2"/>
      <c r="I273" s="74"/>
      <c r="J273" s="74"/>
      <c r="K273" s="74"/>
      <c r="L273" s="74"/>
      <c r="M273" s="2"/>
      <c r="N273" s="2"/>
      <c r="O273" s="2"/>
      <c r="P273" s="74"/>
      <c r="Q273" s="2"/>
      <c r="R273" s="2"/>
      <c r="S273" s="76"/>
      <c r="T273" s="88"/>
    </row>
    <row r="274" ht="15.75" customHeight="1">
      <c r="A274" s="2"/>
      <c r="B274" s="2"/>
      <c r="C274" s="2"/>
      <c r="D274" s="2"/>
      <c r="E274" s="2"/>
      <c r="F274" s="2"/>
      <c r="G274" s="2"/>
      <c r="H274" s="2"/>
      <c r="I274" s="74"/>
      <c r="J274" s="74"/>
      <c r="K274" s="74"/>
      <c r="L274" s="74"/>
      <c r="M274" s="2"/>
      <c r="N274" s="2"/>
      <c r="O274" s="2"/>
      <c r="P274" s="74"/>
      <c r="Q274" s="2"/>
      <c r="R274" s="2"/>
      <c r="S274" s="76"/>
      <c r="T274" s="88"/>
    </row>
    <row r="275" ht="15.75" customHeight="1">
      <c r="A275" s="2"/>
      <c r="B275" s="2"/>
      <c r="C275" s="2"/>
      <c r="D275" s="2"/>
      <c r="E275" s="2"/>
      <c r="F275" s="2"/>
      <c r="G275" s="2"/>
      <c r="H275" s="2"/>
      <c r="I275" s="74"/>
      <c r="J275" s="74"/>
      <c r="K275" s="74"/>
      <c r="L275" s="74"/>
      <c r="M275" s="2"/>
      <c r="N275" s="2"/>
      <c r="O275" s="2"/>
      <c r="P275" s="74"/>
      <c r="Q275" s="2"/>
      <c r="R275" s="2"/>
      <c r="S275" s="76"/>
      <c r="T275" s="88"/>
    </row>
    <row r="276" ht="15.75" customHeight="1">
      <c r="A276" s="2"/>
      <c r="B276" s="2"/>
      <c r="C276" s="2"/>
      <c r="D276" s="2"/>
      <c r="E276" s="2"/>
      <c r="F276" s="2"/>
      <c r="G276" s="2"/>
      <c r="H276" s="2"/>
      <c r="I276" s="74"/>
      <c r="J276" s="74"/>
      <c r="K276" s="74"/>
      <c r="L276" s="74"/>
      <c r="M276" s="2"/>
      <c r="N276" s="2"/>
      <c r="O276" s="2"/>
      <c r="P276" s="74"/>
      <c r="Q276" s="2"/>
      <c r="R276" s="2"/>
      <c r="S276" s="76"/>
      <c r="T276" s="88"/>
    </row>
    <row r="277" ht="15.75" customHeight="1">
      <c r="A277" s="2"/>
      <c r="B277" s="2"/>
      <c r="C277" s="2"/>
      <c r="D277" s="2"/>
      <c r="E277" s="2"/>
      <c r="F277" s="2"/>
      <c r="G277" s="2"/>
      <c r="H277" s="2"/>
      <c r="I277" s="74"/>
      <c r="J277" s="74"/>
      <c r="K277" s="74"/>
      <c r="L277" s="74"/>
      <c r="M277" s="2"/>
      <c r="N277" s="2"/>
      <c r="O277" s="2"/>
      <c r="P277" s="74"/>
      <c r="Q277" s="2"/>
      <c r="R277" s="2"/>
      <c r="S277" s="76"/>
      <c r="T277" s="88"/>
    </row>
    <row r="278" ht="15.75" customHeight="1">
      <c r="A278" s="2"/>
      <c r="B278" s="2"/>
      <c r="C278" s="2"/>
      <c r="D278" s="2"/>
      <c r="E278" s="2"/>
      <c r="F278" s="2"/>
      <c r="G278" s="2"/>
      <c r="H278" s="2"/>
      <c r="I278" s="74"/>
      <c r="J278" s="74"/>
      <c r="K278" s="74"/>
      <c r="L278" s="74"/>
      <c r="M278" s="2"/>
      <c r="N278" s="2"/>
      <c r="O278" s="2"/>
      <c r="P278" s="74"/>
      <c r="Q278" s="2"/>
      <c r="R278" s="2"/>
      <c r="S278" s="76"/>
      <c r="T278" s="88"/>
    </row>
    <row r="279" ht="15.75" customHeight="1">
      <c r="A279" s="2"/>
      <c r="B279" s="2"/>
      <c r="C279" s="2"/>
      <c r="D279" s="2"/>
      <c r="E279" s="2"/>
      <c r="F279" s="2"/>
      <c r="G279" s="2"/>
      <c r="H279" s="2"/>
      <c r="I279" s="74"/>
      <c r="J279" s="74"/>
      <c r="K279" s="74"/>
      <c r="L279" s="74"/>
      <c r="M279" s="2"/>
      <c r="N279" s="2"/>
      <c r="O279" s="2"/>
      <c r="P279" s="74"/>
      <c r="Q279" s="2"/>
      <c r="R279" s="2"/>
      <c r="S279" s="76"/>
      <c r="T279" s="88"/>
    </row>
    <row r="280" ht="15.75" customHeight="1">
      <c r="A280" s="2"/>
      <c r="B280" s="2"/>
      <c r="C280" s="2"/>
      <c r="D280" s="2"/>
      <c r="E280" s="2"/>
      <c r="F280" s="2"/>
      <c r="G280" s="2"/>
      <c r="H280" s="2"/>
      <c r="I280" s="74"/>
      <c r="J280" s="74"/>
      <c r="K280" s="74"/>
      <c r="L280" s="74"/>
      <c r="M280" s="2"/>
      <c r="N280" s="2"/>
      <c r="O280" s="2"/>
      <c r="P280" s="74"/>
      <c r="Q280" s="2"/>
      <c r="R280" s="2"/>
      <c r="S280" s="76"/>
      <c r="T280" s="88"/>
    </row>
    <row r="281" ht="15.75" customHeight="1">
      <c r="A281" s="2"/>
      <c r="B281" s="2"/>
      <c r="C281" s="2"/>
      <c r="D281" s="2"/>
      <c r="E281" s="2"/>
      <c r="F281" s="2"/>
      <c r="G281" s="2"/>
      <c r="H281" s="2"/>
      <c r="I281" s="74"/>
      <c r="J281" s="74"/>
      <c r="K281" s="74"/>
      <c r="L281" s="74"/>
      <c r="M281" s="2"/>
      <c r="N281" s="2"/>
      <c r="O281" s="2"/>
      <c r="P281" s="74"/>
      <c r="Q281" s="2"/>
      <c r="R281" s="2"/>
      <c r="S281" s="76"/>
      <c r="T281" s="88"/>
    </row>
    <row r="282" ht="15.75" customHeight="1">
      <c r="A282" s="2"/>
      <c r="B282" s="2"/>
      <c r="C282" s="2"/>
      <c r="D282" s="2"/>
      <c r="E282" s="2"/>
      <c r="F282" s="2"/>
      <c r="G282" s="2"/>
      <c r="H282" s="2"/>
      <c r="I282" s="74"/>
      <c r="J282" s="74"/>
      <c r="K282" s="74"/>
      <c r="L282" s="74"/>
      <c r="M282" s="2"/>
      <c r="N282" s="2"/>
      <c r="O282" s="2"/>
      <c r="P282" s="74"/>
      <c r="Q282" s="2"/>
      <c r="R282" s="2"/>
      <c r="S282" s="76"/>
      <c r="T282" s="88"/>
    </row>
    <row r="283" ht="15.75" customHeight="1">
      <c r="A283" s="2"/>
      <c r="B283" s="2"/>
      <c r="C283" s="2"/>
      <c r="D283" s="2"/>
      <c r="E283" s="2"/>
      <c r="F283" s="2"/>
      <c r="G283" s="2"/>
      <c r="H283" s="2"/>
      <c r="I283" s="74"/>
      <c r="J283" s="74"/>
      <c r="K283" s="74"/>
      <c r="L283" s="74"/>
      <c r="M283" s="2"/>
      <c r="N283" s="2"/>
      <c r="O283" s="2"/>
      <c r="P283" s="74"/>
      <c r="Q283" s="2"/>
      <c r="R283" s="2"/>
      <c r="S283" s="76"/>
      <c r="T283" s="88"/>
    </row>
    <row r="284" ht="15.75" customHeight="1">
      <c r="A284" s="2"/>
      <c r="B284" s="2"/>
      <c r="C284" s="2"/>
      <c r="D284" s="2"/>
      <c r="E284" s="2"/>
      <c r="F284" s="2"/>
      <c r="G284" s="2"/>
      <c r="H284" s="2"/>
      <c r="I284" s="74"/>
      <c r="J284" s="74"/>
      <c r="K284" s="74"/>
      <c r="L284" s="74"/>
      <c r="M284" s="2"/>
      <c r="N284" s="2"/>
      <c r="O284" s="2"/>
      <c r="P284" s="74"/>
      <c r="Q284" s="2"/>
      <c r="R284" s="2"/>
      <c r="S284" s="76"/>
      <c r="T284" s="88"/>
    </row>
    <row r="285" ht="15.75" customHeight="1">
      <c r="A285" s="2"/>
      <c r="B285" s="2"/>
      <c r="C285" s="2"/>
      <c r="D285" s="2"/>
      <c r="E285" s="2"/>
      <c r="F285" s="2"/>
      <c r="G285" s="2"/>
      <c r="H285" s="2"/>
      <c r="I285" s="74"/>
      <c r="J285" s="74"/>
      <c r="K285" s="74"/>
      <c r="L285" s="74"/>
      <c r="M285" s="2"/>
      <c r="N285" s="2"/>
      <c r="O285" s="2"/>
      <c r="P285" s="74"/>
      <c r="Q285" s="2"/>
      <c r="R285" s="2"/>
      <c r="S285" s="76"/>
      <c r="T285" s="88"/>
    </row>
    <row r="286" ht="15.75" customHeight="1">
      <c r="A286" s="2"/>
      <c r="B286" s="2"/>
      <c r="C286" s="2"/>
      <c r="D286" s="2"/>
      <c r="E286" s="2"/>
      <c r="F286" s="2"/>
      <c r="G286" s="2"/>
      <c r="H286" s="2"/>
      <c r="I286" s="74"/>
      <c r="J286" s="74"/>
      <c r="K286" s="74"/>
      <c r="L286" s="74"/>
      <c r="M286" s="2"/>
      <c r="N286" s="2"/>
      <c r="O286" s="2"/>
      <c r="P286" s="74"/>
      <c r="Q286" s="2"/>
      <c r="R286" s="2"/>
      <c r="S286" s="76"/>
      <c r="T286" s="88"/>
    </row>
    <row r="287" ht="15.75" customHeight="1">
      <c r="A287" s="2"/>
      <c r="B287" s="2"/>
      <c r="C287" s="2"/>
      <c r="D287" s="2"/>
      <c r="E287" s="2"/>
      <c r="F287" s="2"/>
      <c r="G287" s="2"/>
      <c r="H287" s="2"/>
      <c r="I287" s="74"/>
      <c r="J287" s="74"/>
      <c r="K287" s="74"/>
      <c r="L287" s="74"/>
      <c r="M287" s="2"/>
      <c r="N287" s="2"/>
      <c r="O287" s="2"/>
      <c r="P287" s="74"/>
      <c r="Q287" s="2"/>
      <c r="R287" s="2"/>
      <c r="S287" s="76"/>
      <c r="T287" s="88"/>
    </row>
    <row r="288" ht="15.75" customHeight="1">
      <c r="A288" s="2"/>
      <c r="B288" s="2"/>
      <c r="C288" s="2"/>
      <c r="D288" s="2"/>
      <c r="E288" s="2"/>
      <c r="F288" s="2"/>
      <c r="G288" s="2"/>
      <c r="H288" s="2"/>
      <c r="I288" s="74"/>
      <c r="J288" s="74"/>
      <c r="K288" s="74"/>
      <c r="L288" s="74"/>
      <c r="M288" s="2"/>
      <c r="N288" s="2"/>
      <c r="O288" s="2"/>
      <c r="P288" s="74"/>
      <c r="Q288" s="2"/>
      <c r="R288" s="2"/>
      <c r="S288" s="76"/>
      <c r="T288" s="88"/>
    </row>
    <row r="289" ht="15.75" customHeight="1">
      <c r="A289" s="2"/>
      <c r="B289" s="2"/>
      <c r="C289" s="2"/>
      <c r="D289" s="2"/>
      <c r="E289" s="2"/>
      <c r="F289" s="2"/>
      <c r="G289" s="2"/>
      <c r="H289" s="2"/>
      <c r="I289" s="74"/>
      <c r="J289" s="74"/>
      <c r="K289" s="74"/>
      <c r="L289" s="74"/>
      <c r="M289" s="2"/>
      <c r="N289" s="2"/>
      <c r="O289" s="2"/>
      <c r="P289" s="74"/>
      <c r="Q289" s="2"/>
      <c r="R289" s="2"/>
      <c r="S289" s="76"/>
      <c r="T289" s="88"/>
    </row>
    <row r="290" ht="15.75" customHeight="1">
      <c r="A290" s="2"/>
      <c r="B290" s="2"/>
      <c r="C290" s="2"/>
      <c r="D290" s="2"/>
      <c r="E290" s="2"/>
      <c r="F290" s="2"/>
      <c r="G290" s="2"/>
      <c r="H290" s="2"/>
      <c r="I290" s="74"/>
      <c r="J290" s="74"/>
      <c r="K290" s="74"/>
      <c r="L290" s="74"/>
      <c r="M290" s="2"/>
      <c r="N290" s="2"/>
      <c r="O290" s="2"/>
      <c r="P290" s="74"/>
      <c r="Q290" s="2"/>
      <c r="R290" s="2"/>
      <c r="S290" s="76"/>
      <c r="T290" s="88"/>
    </row>
    <row r="291" ht="15.75" customHeight="1">
      <c r="A291" s="2"/>
      <c r="B291" s="2"/>
      <c r="C291" s="2"/>
      <c r="D291" s="2"/>
      <c r="E291" s="2"/>
      <c r="F291" s="2"/>
      <c r="G291" s="2"/>
      <c r="H291" s="2"/>
      <c r="I291" s="74"/>
      <c r="J291" s="74"/>
      <c r="K291" s="74"/>
      <c r="L291" s="74"/>
      <c r="M291" s="2"/>
      <c r="N291" s="2"/>
      <c r="O291" s="2"/>
      <c r="P291" s="74"/>
      <c r="Q291" s="2"/>
      <c r="R291" s="2"/>
      <c r="S291" s="76"/>
      <c r="T291" s="88"/>
    </row>
    <row r="292" ht="15.75" customHeight="1">
      <c r="A292" s="2"/>
      <c r="B292" s="2"/>
      <c r="C292" s="2"/>
      <c r="D292" s="2"/>
      <c r="E292" s="2"/>
      <c r="F292" s="2"/>
      <c r="G292" s="2"/>
      <c r="H292" s="2"/>
      <c r="I292" s="74"/>
      <c r="J292" s="74"/>
      <c r="K292" s="74"/>
      <c r="L292" s="74"/>
      <c r="M292" s="2"/>
      <c r="N292" s="2"/>
      <c r="O292" s="2"/>
      <c r="P292" s="74"/>
      <c r="Q292" s="2"/>
      <c r="R292" s="2"/>
      <c r="S292" s="76"/>
      <c r="T292" s="88"/>
    </row>
    <row r="293" ht="15.75" customHeight="1">
      <c r="A293" s="2"/>
      <c r="B293" s="2"/>
      <c r="C293" s="2"/>
      <c r="D293" s="2"/>
      <c r="E293" s="2"/>
      <c r="F293" s="2"/>
      <c r="G293" s="2"/>
      <c r="H293" s="2"/>
      <c r="I293" s="74"/>
      <c r="J293" s="74"/>
      <c r="K293" s="74"/>
      <c r="L293" s="74"/>
      <c r="M293" s="2"/>
      <c r="N293" s="2"/>
      <c r="O293" s="2"/>
      <c r="P293" s="74"/>
      <c r="Q293" s="2"/>
      <c r="R293" s="2"/>
      <c r="S293" s="76"/>
      <c r="T293" s="88"/>
    </row>
    <row r="294" ht="15.75" customHeight="1">
      <c r="A294" s="2"/>
      <c r="B294" s="2"/>
      <c r="C294" s="2"/>
      <c r="D294" s="2"/>
      <c r="E294" s="2"/>
      <c r="F294" s="2"/>
      <c r="G294" s="2"/>
      <c r="H294" s="2"/>
      <c r="I294" s="74"/>
      <c r="J294" s="74"/>
      <c r="K294" s="74"/>
      <c r="L294" s="74"/>
      <c r="M294" s="2"/>
      <c r="N294" s="2"/>
      <c r="O294" s="2"/>
      <c r="P294" s="74"/>
      <c r="Q294" s="2"/>
      <c r="R294" s="2"/>
      <c r="S294" s="76"/>
      <c r="T294" s="88"/>
    </row>
    <row r="295" ht="15.75" customHeight="1">
      <c r="A295" s="2"/>
      <c r="B295" s="2"/>
      <c r="C295" s="2"/>
      <c r="D295" s="2"/>
      <c r="E295" s="2"/>
      <c r="F295" s="2"/>
      <c r="G295" s="2"/>
      <c r="H295" s="2"/>
      <c r="I295" s="74"/>
      <c r="J295" s="74"/>
      <c r="K295" s="74"/>
      <c r="L295" s="74"/>
      <c r="M295" s="2"/>
      <c r="N295" s="2"/>
      <c r="O295" s="2"/>
      <c r="P295" s="74"/>
      <c r="Q295" s="2"/>
      <c r="R295" s="2"/>
      <c r="S295" s="76"/>
      <c r="T295" s="88"/>
    </row>
    <row r="296" ht="15.75" customHeight="1">
      <c r="A296" s="2"/>
      <c r="B296" s="2"/>
      <c r="C296" s="2"/>
      <c r="D296" s="2"/>
      <c r="E296" s="2"/>
      <c r="F296" s="2"/>
      <c r="G296" s="2"/>
      <c r="H296" s="2"/>
      <c r="I296" s="74"/>
      <c r="J296" s="74"/>
      <c r="K296" s="74"/>
      <c r="L296" s="74"/>
      <c r="M296" s="2"/>
      <c r="N296" s="2"/>
      <c r="O296" s="2"/>
      <c r="P296" s="74"/>
      <c r="Q296" s="2"/>
      <c r="R296" s="2"/>
      <c r="S296" s="76"/>
      <c r="T296" s="88"/>
    </row>
    <row r="297" ht="15.75" customHeight="1">
      <c r="A297" s="2"/>
      <c r="B297" s="2"/>
      <c r="C297" s="2"/>
      <c r="D297" s="2"/>
      <c r="E297" s="2"/>
      <c r="F297" s="2"/>
      <c r="G297" s="2"/>
      <c r="H297" s="2"/>
      <c r="I297" s="74"/>
      <c r="J297" s="74"/>
      <c r="K297" s="74"/>
      <c r="L297" s="74"/>
      <c r="M297" s="2"/>
      <c r="N297" s="2"/>
      <c r="O297" s="2"/>
      <c r="P297" s="74"/>
      <c r="Q297" s="2"/>
      <c r="R297" s="2"/>
      <c r="S297" s="76"/>
      <c r="T297" s="88"/>
    </row>
    <row r="298" ht="15.75" customHeight="1">
      <c r="A298" s="2"/>
      <c r="B298" s="2"/>
      <c r="C298" s="2"/>
      <c r="D298" s="2"/>
      <c r="E298" s="2"/>
      <c r="F298" s="2"/>
      <c r="G298" s="2"/>
      <c r="H298" s="2"/>
      <c r="I298" s="74"/>
      <c r="J298" s="74"/>
      <c r="K298" s="74"/>
      <c r="L298" s="74"/>
      <c r="M298" s="2"/>
      <c r="N298" s="2"/>
      <c r="O298" s="2"/>
      <c r="P298" s="74"/>
      <c r="Q298" s="2"/>
      <c r="R298" s="2"/>
      <c r="S298" s="76"/>
      <c r="T298" s="88"/>
    </row>
    <row r="299" ht="15.75" customHeight="1">
      <c r="A299" s="2"/>
      <c r="B299" s="2"/>
      <c r="C299" s="2"/>
      <c r="D299" s="2"/>
      <c r="E299" s="2"/>
      <c r="F299" s="2"/>
      <c r="G299" s="2"/>
      <c r="H299" s="2"/>
      <c r="I299" s="74"/>
      <c r="J299" s="74"/>
      <c r="K299" s="74"/>
      <c r="L299" s="74"/>
      <c r="M299" s="2"/>
      <c r="N299" s="2"/>
      <c r="O299" s="2"/>
      <c r="P299" s="74"/>
      <c r="Q299" s="2"/>
      <c r="R299" s="2"/>
      <c r="S299" s="76"/>
      <c r="T299" s="88"/>
    </row>
    <row r="300" ht="15.75" customHeight="1">
      <c r="A300" s="2"/>
      <c r="B300" s="2"/>
      <c r="C300" s="2"/>
      <c r="D300" s="2"/>
      <c r="E300" s="2"/>
      <c r="F300" s="2"/>
      <c r="G300" s="2"/>
      <c r="H300" s="2"/>
      <c r="I300" s="74"/>
      <c r="J300" s="74"/>
      <c r="K300" s="74"/>
      <c r="L300" s="74"/>
      <c r="M300" s="2"/>
      <c r="N300" s="2"/>
      <c r="O300" s="2"/>
      <c r="P300" s="74"/>
      <c r="Q300" s="2"/>
      <c r="R300" s="2"/>
      <c r="S300" s="76"/>
      <c r="T300" s="88"/>
    </row>
    <row r="301" ht="15.75" customHeight="1">
      <c r="A301" s="2"/>
      <c r="B301" s="2"/>
      <c r="C301" s="2"/>
      <c r="D301" s="2"/>
      <c r="E301" s="2"/>
      <c r="F301" s="2"/>
      <c r="G301" s="2"/>
      <c r="H301" s="2"/>
      <c r="I301" s="74"/>
      <c r="J301" s="74"/>
      <c r="K301" s="74"/>
      <c r="L301" s="74"/>
      <c r="M301" s="2"/>
      <c r="N301" s="2"/>
      <c r="O301" s="2"/>
      <c r="P301" s="74"/>
      <c r="Q301" s="2"/>
      <c r="R301" s="2"/>
      <c r="S301" s="76"/>
      <c r="T301" s="88"/>
    </row>
    <row r="302" ht="15.75" customHeight="1">
      <c r="A302" s="2"/>
      <c r="B302" s="2"/>
      <c r="C302" s="2"/>
      <c r="D302" s="2"/>
      <c r="E302" s="2"/>
      <c r="F302" s="2"/>
      <c r="G302" s="2"/>
      <c r="H302" s="2"/>
      <c r="I302" s="74"/>
      <c r="J302" s="74"/>
      <c r="K302" s="74"/>
      <c r="L302" s="74"/>
      <c r="M302" s="2"/>
      <c r="N302" s="2"/>
      <c r="O302" s="2"/>
      <c r="P302" s="74"/>
      <c r="Q302" s="2"/>
      <c r="R302" s="2"/>
      <c r="S302" s="76"/>
      <c r="T302" s="88"/>
    </row>
    <row r="303" ht="15.75" customHeight="1">
      <c r="A303" s="2"/>
      <c r="B303" s="2"/>
      <c r="C303" s="2"/>
      <c r="D303" s="2"/>
      <c r="E303" s="2"/>
      <c r="F303" s="2"/>
      <c r="G303" s="2"/>
      <c r="H303" s="2"/>
      <c r="I303" s="74"/>
      <c r="J303" s="74"/>
      <c r="K303" s="74"/>
      <c r="L303" s="74"/>
      <c r="M303" s="2"/>
      <c r="N303" s="2"/>
      <c r="O303" s="2"/>
      <c r="P303" s="74"/>
      <c r="Q303" s="2"/>
      <c r="R303" s="2"/>
      <c r="S303" s="76"/>
      <c r="T303" s="88"/>
    </row>
    <row r="304" ht="15.75" customHeight="1">
      <c r="A304" s="2"/>
      <c r="B304" s="2"/>
      <c r="C304" s="2"/>
      <c r="D304" s="2"/>
      <c r="E304" s="2"/>
      <c r="F304" s="2"/>
      <c r="G304" s="2"/>
      <c r="H304" s="2"/>
      <c r="I304" s="74"/>
      <c r="J304" s="74"/>
      <c r="K304" s="74"/>
      <c r="L304" s="74"/>
      <c r="M304" s="2"/>
      <c r="N304" s="2"/>
      <c r="O304" s="2"/>
      <c r="P304" s="74"/>
      <c r="Q304" s="2"/>
      <c r="R304" s="2"/>
      <c r="S304" s="76"/>
      <c r="T304" s="88"/>
    </row>
    <row r="305" ht="15.75" customHeight="1">
      <c r="A305" s="2"/>
      <c r="B305" s="2"/>
      <c r="C305" s="2"/>
      <c r="D305" s="2"/>
      <c r="E305" s="2"/>
      <c r="F305" s="2"/>
      <c r="G305" s="2"/>
      <c r="H305" s="2"/>
      <c r="I305" s="74"/>
      <c r="J305" s="74"/>
      <c r="K305" s="74"/>
      <c r="L305" s="74"/>
      <c r="M305" s="2"/>
      <c r="N305" s="2"/>
      <c r="O305" s="2"/>
      <c r="P305" s="74"/>
      <c r="Q305" s="2"/>
      <c r="R305" s="2"/>
      <c r="S305" s="76"/>
      <c r="T305" s="88"/>
    </row>
    <row r="306" ht="15.75" customHeight="1">
      <c r="A306" s="2"/>
      <c r="B306" s="2"/>
      <c r="C306" s="2"/>
      <c r="D306" s="2"/>
      <c r="E306" s="2"/>
      <c r="F306" s="2"/>
      <c r="G306" s="2"/>
      <c r="H306" s="2"/>
      <c r="I306" s="74"/>
      <c r="J306" s="74"/>
      <c r="K306" s="74"/>
      <c r="L306" s="74"/>
      <c r="M306" s="2"/>
      <c r="N306" s="2"/>
      <c r="O306" s="2"/>
      <c r="P306" s="74"/>
      <c r="Q306" s="2"/>
      <c r="R306" s="2"/>
      <c r="S306" s="76"/>
      <c r="T306" s="88"/>
    </row>
    <row r="307" ht="15.75" customHeight="1">
      <c r="A307" s="2"/>
      <c r="B307" s="2"/>
      <c r="C307" s="2"/>
      <c r="D307" s="2"/>
      <c r="E307" s="2"/>
      <c r="F307" s="2"/>
      <c r="G307" s="2"/>
      <c r="H307" s="2"/>
      <c r="I307" s="74"/>
      <c r="J307" s="74"/>
      <c r="K307" s="74"/>
      <c r="L307" s="74"/>
      <c r="M307" s="2"/>
      <c r="N307" s="2"/>
      <c r="O307" s="2"/>
      <c r="P307" s="74"/>
      <c r="Q307" s="2"/>
      <c r="R307" s="2"/>
      <c r="S307" s="76"/>
      <c r="T307" s="88"/>
    </row>
    <row r="308" ht="15.75" customHeight="1">
      <c r="A308" s="2"/>
      <c r="B308" s="2"/>
      <c r="C308" s="2"/>
      <c r="D308" s="2"/>
      <c r="E308" s="2"/>
      <c r="F308" s="2"/>
      <c r="G308" s="2"/>
      <c r="H308" s="2"/>
      <c r="I308" s="74"/>
      <c r="J308" s="74"/>
      <c r="K308" s="74"/>
      <c r="L308" s="74"/>
      <c r="M308" s="2"/>
      <c r="N308" s="2"/>
      <c r="O308" s="2"/>
      <c r="P308" s="74"/>
      <c r="Q308" s="2"/>
      <c r="R308" s="2"/>
      <c r="S308" s="76"/>
      <c r="T308" s="88"/>
    </row>
    <row r="309" ht="15.75" customHeight="1">
      <c r="A309" s="2"/>
      <c r="B309" s="2"/>
      <c r="C309" s="2"/>
      <c r="D309" s="2"/>
      <c r="E309" s="2"/>
      <c r="F309" s="2"/>
      <c r="G309" s="2"/>
      <c r="H309" s="2"/>
      <c r="I309" s="74"/>
      <c r="J309" s="74"/>
      <c r="K309" s="74"/>
      <c r="L309" s="74"/>
      <c r="M309" s="2"/>
      <c r="N309" s="2"/>
      <c r="O309" s="2"/>
      <c r="P309" s="74"/>
      <c r="Q309" s="2"/>
      <c r="R309" s="2"/>
      <c r="S309" s="76"/>
      <c r="T309" s="88"/>
    </row>
    <row r="310" ht="15.75" customHeight="1">
      <c r="A310" s="2"/>
      <c r="B310" s="2"/>
      <c r="C310" s="2"/>
      <c r="D310" s="2"/>
      <c r="E310" s="2"/>
      <c r="F310" s="2"/>
      <c r="G310" s="2"/>
      <c r="H310" s="2"/>
      <c r="I310" s="74"/>
      <c r="J310" s="74"/>
      <c r="K310" s="74"/>
      <c r="L310" s="74"/>
      <c r="M310" s="2"/>
      <c r="N310" s="2"/>
      <c r="O310" s="2"/>
      <c r="P310" s="74"/>
      <c r="Q310" s="2"/>
      <c r="R310" s="2"/>
      <c r="S310" s="76"/>
      <c r="T310" s="88"/>
    </row>
    <row r="311" ht="15.75" customHeight="1">
      <c r="A311" s="2"/>
      <c r="B311" s="2"/>
      <c r="C311" s="2"/>
      <c r="D311" s="2"/>
      <c r="E311" s="2"/>
      <c r="F311" s="2"/>
      <c r="G311" s="2"/>
      <c r="H311" s="2"/>
      <c r="I311" s="74"/>
      <c r="J311" s="74"/>
      <c r="K311" s="74"/>
      <c r="L311" s="74"/>
      <c r="M311" s="2"/>
      <c r="N311" s="2"/>
      <c r="O311" s="2"/>
      <c r="P311" s="74"/>
      <c r="Q311" s="2"/>
      <c r="R311" s="2"/>
      <c r="S311" s="76"/>
      <c r="T311" s="88"/>
    </row>
    <row r="312" ht="15.75" customHeight="1">
      <c r="A312" s="2"/>
      <c r="B312" s="2"/>
      <c r="C312" s="2"/>
      <c r="D312" s="2"/>
      <c r="E312" s="2"/>
      <c r="F312" s="2"/>
      <c r="G312" s="2"/>
      <c r="H312" s="2"/>
      <c r="I312" s="74"/>
      <c r="J312" s="74"/>
      <c r="K312" s="74"/>
      <c r="L312" s="74"/>
      <c r="M312" s="2"/>
      <c r="N312" s="2"/>
      <c r="O312" s="2"/>
      <c r="P312" s="74"/>
      <c r="Q312" s="2"/>
      <c r="R312" s="2"/>
      <c r="S312" s="76"/>
      <c r="T312" s="88"/>
    </row>
    <row r="313" ht="15.75" customHeight="1">
      <c r="A313" s="2"/>
      <c r="B313" s="2"/>
      <c r="C313" s="2"/>
      <c r="D313" s="2"/>
      <c r="E313" s="2"/>
      <c r="F313" s="2"/>
      <c r="G313" s="2"/>
      <c r="H313" s="2"/>
      <c r="I313" s="74"/>
      <c r="J313" s="74"/>
      <c r="K313" s="74"/>
      <c r="L313" s="74"/>
      <c r="M313" s="2"/>
      <c r="N313" s="2"/>
      <c r="O313" s="2"/>
      <c r="P313" s="74"/>
      <c r="Q313" s="2"/>
      <c r="R313" s="2"/>
      <c r="S313" s="76"/>
      <c r="T313" s="88"/>
    </row>
    <row r="314" ht="15.75" customHeight="1">
      <c r="A314" s="2"/>
      <c r="B314" s="2"/>
      <c r="C314" s="2"/>
      <c r="D314" s="2"/>
      <c r="E314" s="2"/>
      <c r="F314" s="2"/>
      <c r="G314" s="2"/>
      <c r="H314" s="2"/>
      <c r="I314" s="74"/>
      <c r="J314" s="74"/>
      <c r="K314" s="74"/>
      <c r="L314" s="74"/>
      <c r="M314" s="2"/>
      <c r="N314" s="2"/>
      <c r="O314" s="2"/>
      <c r="P314" s="74"/>
      <c r="Q314" s="2"/>
      <c r="R314" s="2"/>
      <c r="S314" s="76"/>
      <c r="T314" s="88"/>
    </row>
    <row r="315" ht="15.75" customHeight="1">
      <c r="A315" s="2"/>
      <c r="B315" s="2"/>
      <c r="C315" s="2"/>
      <c r="D315" s="2"/>
      <c r="E315" s="2"/>
      <c r="F315" s="2"/>
      <c r="G315" s="2"/>
      <c r="H315" s="2"/>
      <c r="I315" s="74"/>
      <c r="J315" s="74"/>
      <c r="K315" s="74"/>
      <c r="L315" s="74"/>
      <c r="M315" s="2"/>
      <c r="N315" s="2"/>
      <c r="O315" s="2"/>
      <c r="P315" s="74"/>
      <c r="Q315" s="2"/>
      <c r="R315" s="2"/>
      <c r="S315" s="76"/>
      <c r="T315" s="88"/>
    </row>
    <row r="316" ht="15.75" customHeight="1">
      <c r="A316" s="2"/>
      <c r="B316" s="2"/>
      <c r="C316" s="2"/>
      <c r="D316" s="2"/>
      <c r="E316" s="2"/>
      <c r="F316" s="2"/>
      <c r="G316" s="2"/>
      <c r="H316" s="2"/>
      <c r="I316" s="74"/>
      <c r="J316" s="74"/>
      <c r="K316" s="74"/>
      <c r="L316" s="74"/>
      <c r="M316" s="2"/>
      <c r="N316" s="2"/>
      <c r="O316" s="2"/>
      <c r="P316" s="74"/>
      <c r="Q316" s="2"/>
      <c r="R316" s="2"/>
      <c r="S316" s="76"/>
      <c r="T316" s="88"/>
    </row>
    <row r="317" ht="15.75" customHeight="1">
      <c r="A317" s="2"/>
      <c r="B317" s="2"/>
      <c r="C317" s="2"/>
      <c r="D317" s="2"/>
      <c r="E317" s="2"/>
      <c r="F317" s="2"/>
      <c r="G317" s="2"/>
      <c r="H317" s="2"/>
      <c r="I317" s="74"/>
      <c r="J317" s="74"/>
      <c r="K317" s="74"/>
      <c r="L317" s="74"/>
      <c r="M317" s="2"/>
      <c r="N317" s="2"/>
      <c r="O317" s="2"/>
      <c r="P317" s="74"/>
      <c r="Q317" s="2"/>
      <c r="R317" s="2"/>
      <c r="S317" s="76"/>
      <c r="T317" s="88"/>
    </row>
    <row r="318" ht="15.75" customHeight="1">
      <c r="A318" s="2"/>
      <c r="B318" s="2"/>
      <c r="C318" s="2"/>
      <c r="D318" s="2"/>
      <c r="E318" s="2"/>
      <c r="F318" s="2"/>
      <c r="G318" s="2"/>
      <c r="H318" s="2"/>
      <c r="I318" s="74"/>
      <c r="J318" s="74"/>
      <c r="K318" s="74"/>
      <c r="L318" s="74"/>
      <c r="M318" s="2"/>
      <c r="N318" s="2"/>
      <c r="O318" s="2"/>
      <c r="P318" s="74"/>
      <c r="Q318" s="2"/>
      <c r="R318" s="2"/>
      <c r="S318" s="76"/>
      <c r="T318" s="88"/>
    </row>
    <row r="319" ht="15.75" customHeight="1">
      <c r="A319" s="2"/>
      <c r="B319" s="2"/>
      <c r="C319" s="2"/>
      <c r="D319" s="2"/>
      <c r="E319" s="2"/>
      <c r="F319" s="2"/>
      <c r="G319" s="2"/>
      <c r="H319" s="2"/>
      <c r="I319" s="74"/>
      <c r="J319" s="74"/>
      <c r="K319" s="74"/>
      <c r="L319" s="74"/>
      <c r="M319" s="2"/>
      <c r="N319" s="2"/>
      <c r="O319" s="2"/>
      <c r="P319" s="74"/>
      <c r="Q319" s="2"/>
      <c r="R319" s="2"/>
      <c r="S319" s="76"/>
      <c r="T319" s="88"/>
    </row>
    <row r="320" ht="15.75" customHeight="1">
      <c r="A320" s="2"/>
      <c r="B320" s="2"/>
      <c r="C320" s="2"/>
      <c r="D320" s="2"/>
      <c r="E320" s="2"/>
      <c r="F320" s="2"/>
      <c r="G320" s="2"/>
      <c r="H320" s="2"/>
      <c r="I320" s="74"/>
      <c r="J320" s="74"/>
      <c r="K320" s="74"/>
      <c r="L320" s="74"/>
      <c r="M320" s="2"/>
      <c r="N320" s="2"/>
      <c r="O320" s="2"/>
      <c r="P320" s="74"/>
      <c r="Q320" s="2"/>
      <c r="R320" s="2"/>
      <c r="S320" s="76"/>
      <c r="T320" s="88"/>
    </row>
    <row r="321" ht="15.75" customHeight="1">
      <c r="A321" s="2"/>
      <c r="B321" s="2"/>
      <c r="C321" s="2"/>
      <c r="D321" s="2"/>
      <c r="E321" s="2"/>
      <c r="F321" s="2"/>
      <c r="G321" s="2"/>
      <c r="H321" s="2"/>
      <c r="I321" s="74"/>
      <c r="J321" s="74"/>
      <c r="K321" s="74"/>
      <c r="L321" s="74"/>
      <c r="M321" s="2"/>
      <c r="N321" s="2"/>
      <c r="O321" s="2"/>
      <c r="P321" s="74"/>
      <c r="Q321" s="2"/>
      <c r="R321" s="2"/>
      <c r="S321" s="76"/>
      <c r="T321" s="88"/>
    </row>
    <row r="322" ht="15.75" customHeight="1">
      <c r="A322" s="2"/>
      <c r="B322" s="2"/>
      <c r="C322" s="2"/>
      <c r="D322" s="2"/>
      <c r="E322" s="2"/>
      <c r="F322" s="2"/>
      <c r="G322" s="2"/>
      <c r="H322" s="2"/>
      <c r="I322" s="74"/>
      <c r="J322" s="74"/>
      <c r="K322" s="74"/>
      <c r="L322" s="74"/>
      <c r="M322" s="2"/>
      <c r="N322" s="2"/>
      <c r="O322" s="2"/>
      <c r="P322" s="74"/>
      <c r="Q322" s="2"/>
      <c r="R322" s="2"/>
      <c r="S322" s="76"/>
      <c r="T322" s="88"/>
    </row>
    <row r="323" ht="15.75" customHeight="1">
      <c r="A323" s="2"/>
      <c r="B323" s="2"/>
      <c r="C323" s="2"/>
      <c r="D323" s="2"/>
      <c r="E323" s="2"/>
      <c r="F323" s="2"/>
      <c r="G323" s="2"/>
      <c r="H323" s="2"/>
      <c r="I323" s="74"/>
      <c r="J323" s="74"/>
      <c r="K323" s="74"/>
      <c r="L323" s="74"/>
      <c r="M323" s="2"/>
      <c r="N323" s="2"/>
      <c r="O323" s="2"/>
      <c r="P323" s="74"/>
      <c r="Q323" s="2"/>
      <c r="R323" s="2"/>
      <c r="S323" s="76"/>
      <c r="T323" s="88"/>
    </row>
    <row r="324" ht="15.75" customHeight="1">
      <c r="A324" s="2"/>
      <c r="B324" s="2"/>
      <c r="C324" s="2"/>
      <c r="D324" s="2"/>
      <c r="E324" s="2"/>
      <c r="F324" s="2"/>
      <c r="G324" s="2"/>
      <c r="H324" s="2"/>
      <c r="I324" s="74"/>
      <c r="J324" s="74"/>
      <c r="K324" s="74"/>
      <c r="L324" s="74"/>
      <c r="M324" s="2"/>
      <c r="N324" s="2"/>
      <c r="O324" s="2"/>
      <c r="P324" s="74"/>
      <c r="Q324" s="2"/>
      <c r="R324" s="2"/>
      <c r="S324" s="76"/>
      <c r="T324" s="88"/>
    </row>
    <row r="325" ht="15.75" customHeight="1">
      <c r="A325" s="2"/>
      <c r="B325" s="2"/>
      <c r="C325" s="2"/>
      <c r="D325" s="2"/>
      <c r="E325" s="2"/>
      <c r="F325" s="2"/>
      <c r="G325" s="2"/>
      <c r="H325" s="2"/>
      <c r="I325" s="74"/>
      <c r="J325" s="74"/>
      <c r="K325" s="74"/>
      <c r="L325" s="74"/>
      <c r="M325" s="2"/>
      <c r="N325" s="2"/>
      <c r="O325" s="2"/>
      <c r="P325" s="74"/>
      <c r="Q325" s="2"/>
      <c r="R325" s="2"/>
      <c r="S325" s="76"/>
      <c r="T325" s="88"/>
    </row>
    <row r="326" ht="15.75" customHeight="1">
      <c r="A326" s="2"/>
      <c r="B326" s="2"/>
      <c r="C326" s="2"/>
      <c r="D326" s="2"/>
      <c r="E326" s="2"/>
      <c r="F326" s="2"/>
      <c r="G326" s="2"/>
      <c r="H326" s="2"/>
      <c r="I326" s="74"/>
      <c r="J326" s="74"/>
      <c r="K326" s="74"/>
      <c r="L326" s="74"/>
      <c r="M326" s="2"/>
      <c r="N326" s="2"/>
      <c r="O326" s="2"/>
      <c r="P326" s="74"/>
      <c r="Q326" s="2"/>
      <c r="R326" s="2"/>
      <c r="S326" s="76"/>
      <c r="T326" s="88"/>
    </row>
    <row r="327" ht="15.75" customHeight="1">
      <c r="A327" s="2"/>
      <c r="B327" s="2"/>
      <c r="C327" s="2"/>
      <c r="D327" s="2"/>
      <c r="E327" s="2"/>
      <c r="F327" s="2"/>
      <c r="G327" s="2"/>
      <c r="H327" s="2"/>
      <c r="I327" s="74"/>
      <c r="J327" s="74"/>
      <c r="K327" s="74"/>
      <c r="L327" s="74"/>
      <c r="M327" s="2"/>
      <c r="N327" s="2"/>
      <c r="O327" s="2"/>
      <c r="P327" s="74"/>
      <c r="Q327" s="2"/>
      <c r="R327" s="2"/>
      <c r="S327" s="76"/>
      <c r="T327" s="88"/>
    </row>
    <row r="328" ht="15.75" customHeight="1">
      <c r="A328" s="2"/>
      <c r="B328" s="2"/>
      <c r="C328" s="2"/>
      <c r="D328" s="2"/>
      <c r="E328" s="2"/>
      <c r="F328" s="2"/>
      <c r="G328" s="2"/>
      <c r="H328" s="2"/>
      <c r="I328" s="74"/>
      <c r="J328" s="74"/>
      <c r="K328" s="74"/>
      <c r="L328" s="74"/>
      <c r="M328" s="2"/>
      <c r="N328" s="2"/>
      <c r="O328" s="2"/>
      <c r="P328" s="74"/>
      <c r="Q328" s="2"/>
      <c r="R328" s="2"/>
      <c r="S328" s="76"/>
      <c r="T328" s="88"/>
    </row>
    <row r="329" ht="15.75" customHeight="1">
      <c r="A329" s="2"/>
      <c r="B329" s="2"/>
      <c r="C329" s="2"/>
      <c r="D329" s="2"/>
      <c r="E329" s="2"/>
      <c r="F329" s="2"/>
      <c r="G329" s="2"/>
      <c r="H329" s="2"/>
      <c r="I329" s="74"/>
      <c r="J329" s="74"/>
      <c r="K329" s="74"/>
      <c r="L329" s="74"/>
      <c r="M329" s="2"/>
      <c r="N329" s="2"/>
      <c r="O329" s="2"/>
      <c r="P329" s="74"/>
      <c r="Q329" s="2"/>
      <c r="R329" s="2"/>
      <c r="S329" s="76"/>
      <c r="T329" s="88"/>
    </row>
    <row r="330" ht="15.75" customHeight="1">
      <c r="A330" s="2"/>
      <c r="B330" s="2"/>
      <c r="C330" s="2"/>
      <c r="D330" s="2"/>
      <c r="E330" s="2"/>
      <c r="F330" s="2"/>
      <c r="G330" s="2"/>
      <c r="H330" s="2"/>
      <c r="I330" s="74"/>
      <c r="J330" s="74"/>
      <c r="K330" s="74"/>
      <c r="L330" s="74"/>
      <c r="M330" s="2"/>
      <c r="N330" s="2"/>
      <c r="O330" s="2"/>
      <c r="P330" s="74"/>
      <c r="Q330" s="2"/>
      <c r="R330" s="2"/>
      <c r="S330" s="76"/>
      <c r="T330" s="88"/>
    </row>
    <row r="331" ht="15.75" customHeight="1">
      <c r="A331" s="2"/>
      <c r="B331" s="2"/>
      <c r="C331" s="2"/>
      <c r="D331" s="2"/>
      <c r="E331" s="2"/>
      <c r="F331" s="2"/>
      <c r="G331" s="2"/>
      <c r="H331" s="2"/>
      <c r="I331" s="74"/>
      <c r="J331" s="74"/>
      <c r="K331" s="74"/>
      <c r="L331" s="74"/>
      <c r="M331" s="2"/>
      <c r="N331" s="2"/>
      <c r="O331" s="2"/>
      <c r="P331" s="74"/>
      <c r="Q331" s="2"/>
      <c r="R331" s="2"/>
      <c r="S331" s="76"/>
      <c r="T331" s="88"/>
    </row>
    <row r="332" ht="15.75" customHeight="1">
      <c r="A332" s="2"/>
      <c r="B332" s="2"/>
      <c r="C332" s="2"/>
      <c r="D332" s="2"/>
      <c r="E332" s="2"/>
      <c r="F332" s="2"/>
      <c r="G332" s="2"/>
      <c r="H332" s="2"/>
      <c r="I332" s="74"/>
      <c r="J332" s="74"/>
      <c r="K332" s="74"/>
      <c r="L332" s="74"/>
      <c r="M332" s="2"/>
      <c r="N332" s="2"/>
      <c r="O332" s="2"/>
      <c r="P332" s="74"/>
      <c r="Q332" s="2"/>
      <c r="R332" s="2"/>
      <c r="S332" s="76"/>
      <c r="T332" s="88"/>
    </row>
    <row r="333" ht="15.75" customHeight="1">
      <c r="A333" s="2"/>
      <c r="B333" s="2"/>
      <c r="C333" s="2"/>
      <c r="D333" s="2"/>
      <c r="E333" s="2"/>
      <c r="F333" s="2"/>
      <c r="G333" s="2"/>
      <c r="H333" s="2"/>
      <c r="I333" s="74"/>
      <c r="J333" s="74"/>
      <c r="K333" s="74"/>
      <c r="L333" s="74"/>
      <c r="M333" s="2"/>
      <c r="N333" s="2"/>
      <c r="O333" s="2"/>
      <c r="P333" s="74"/>
      <c r="Q333" s="2"/>
      <c r="R333" s="2"/>
      <c r="S333" s="76"/>
      <c r="T333" s="88"/>
    </row>
    <row r="334" ht="15.75" customHeight="1">
      <c r="A334" s="2"/>
      <c r="B334" s="2"/>
      <c r="C334" s="2"/>
      <c r="D334" s="2"/>
      <c r="E334" s="2"/>
      <c r="F334" s="2"/>
      <c r="G334" s="2"/>
      <c r="H334" s="2"/>
      <c r="I334" s="74"/>
      <c r="J334" s="74"/>
      <c r="K334" s="74"/>
      <c r="L334" s="74"/>
      <c r="M334" s="2"/>
      <c r="N334" s="2"/>
      <c r="O334" s="2"/>
      <c r="P334" s="74"/>
      <c r="Q334" s="2"/>
      <c r="R334" s="2"/>
      <c r="S334" s="76"/>
      <c r="T334" s="88"/>
    </row>
    <row r="335" ht="15.75" customHeight="1">
      <c r="A335" s="2"/>
      <c r="B335" s="2"/>
      <c r="C335" s="2"/>
      <c r="D335" s="2"/>
      <c r="E335" s="2"/>
      <c r="F335" s="2"/>
      <c r="G335" s="2"/>
      <c r="H335" s="2"/>
      <c r="I335" s="74"/>
      <c r="J335" s="74"/>
      <c r="K335" s="74"/>
      <c r="L335" s="74"/>
      <c r="M335" s="2"/>
      <c r="N335" s="2"/>
      <c r="O335" s="2"/>
      <c r="P335" s="74"/>
      <c r="Q335" s="2"/>
      <c r="R335" s="2"/>
      <c r="S335" s="76"/>
      <c r="T335" s="88"/>
    </row>
    <row r="336" ht="15.75" customHeight="1">
      <c r="A336" s="2"/>
      <c r="B336" s="2"/>
      <c r="C336" s="2"/>
      <c r="D336" s="2"/>
      <c r="E336" s="2"/>
      <c r="F336" s="2"/>
      <c r="G336" s="2"/>
      <c r="H336" s="2"/>
      <c r="I336" s="74"/>
      <c r="J336" s="74"/>
      <c r="K336" s="74"/>
      <c r="L336" s="74"/>
      <c r="M336" s="2"/>
      <c r="N336" s="2"/>
      <c r="O336" s="2"/>
      <c r="P336" s="74"/>
      <c r="Q336" s="2"/>
      <c r="R336" s="2"/>
      <c r="S336" s="76"/>
      <c r="T336" s="88"/>
    </row>
    <row r="337" ht="15.75" customHeight="1">
      <c r="A337" s="2"/>
      <c r="B337" s="2"/>
      <c r="C337" s="2"/>
      <c r="D337" s="2"/>
      <c r="E337" s="2"/>
      <c r="F337" s="2"/>
      <c r="G337" s="2"/>
      <c r="H337" s="2"/>
      <c r="I337" s="74"/>
      <c r="J337" s="74"/>
      <c r="K337" s="74"/>
      <c r="L337" s="74"/>
      <c r="M337" s="2"/>
      <c r="N337" s="2"/>
      <c r="O337" s="2"/>
      <c r="P337" s="74"/>
      <c r="Q337" s="2"/>
      <c r="R337" s="2"/>
      <c r="S337" s="76"/>
      <c r="T337" s="88"/>
    </row>
    <row r="338" ht="15.75" customHeight="1">
      <c r="A338" s="2"/>
      <c r="B338" s="2"/>
      <c r="C338" s="2"/>
      <c r="D338" s="2"/>
      <c r="E338" s="2"/>
      <c r="F338" s="2"/>
      <c r="G338" s="2"/>
      <c r="H338" s="2"/>
      <c r="I338" s="74"/>
      <c r="J338" s="74"/>
      <c r="K338" s="74"/>
      <c r="L338" s="74"/>
      <c r="M338" s="2"/>
      <c r="N338" s="2"/>
      <c r="O338" s="2"/>
      <c r="P338" s="74"/>
      <c r="Q338" s="2"/>
      <c r="R338" s="2"/>
      <c r="S338" s="76"/>
      <c r="T338" s="88"/>
    </row>
    <row r="339" ht="15.75" customHeight="1">
      <c r="A339" s="2"/>
      <c r="B339" s="2"/>
      <c r="C339" s="2"/>
      <c r="D339" s="2"/>
      <c r="E339" s="2"/>
      <c r="F339" s="2"/>
      <c r="G339" s="2"/>
      <c r="H339" s="2"/>
      <c r="I339" s="74"/>
      <c r="J339" s="74"/>
      <c r="K339" s="74"/>
      <c r="L339" s="74"/>
      <c r="M339" s="2"/>
      <c r="N339" s="2"/>
      <c r="O339" s="2"/>
      <c r="P339" s="74"/>
      <c r="Q339" s="2"/>
      <c r="R339" s="2"/>
      <c r="S339" s="76"/>
      <c r="T339" s="88"/>
    </row>
    <row r="340" ht="15.75" customHeight="1">
      <c r="A340" s="2"/>
      <c r="B340" s="2"/>
      <c r="C340" s="2"/>
      <c r="D340" s="2"/>
      <c r="E340" s="2"/>
      <c r="F340" s="2"/>
      <c r="G340" s="2"/>
      <c r="H340" s="2"/>
      <c r="I340" s="74"/>
      <c r="J340" s="74"/>
      <c r="K340" s="74"/>
      <c r="L340" s="74"/>
      <c r="M340" s="2"/>
      <c r="N340" s="2"/>
      <c r="O340" s="2"/>
      <c r="P340" s="74"/>
      <c r="Q340" s="2"/>
      <c r="R340" s="2"/>
      <c r="S340" s="76"/>
      <c r="T340" s="88"/>
    </row>
    <row r="341" ht="15.75" customHeight="1">
      <c r="A341" s="2"/>
      <c r="B341" s="2"/>
      <c r="C341" s="2"/>
      <c r="D341" s="2"/>
      <c r="E341" s="2"/>
      <c r="F341" s="2"/>
      <c r="G341" s="2"/>
      <c r="H341" s="2"/>
      <c r="I341" s="74"/>
      <c r="J341" s="74"/>
      <c r="K341" s="74"/>
      <c r="L341" s="74"/>
      <c r="M341" s="2"/>
      <c r="N341" s="2"/>
      <c r="O341" s="2"/>
      <c r="P341" s="74"/>
      <c r="Q341" s="2"/>
      <c r="R341" s="2"/>
      <c r="S341" s="76"/>
      <c r="T341" s="88"/>
    </row>
    <row r="342" ht="15.75" customHeight="1">
      <c r="A342" s="2"/>
      <c r="B342" s="2"/>
      <c r="C342" s="2"/>
      <c r="D342" s="2"/>
      <c r="E342" s="2"/>
      <c r="F342" s="2"/>
      <c r="G342" s="2"/>
      <c r="H342" s="2"/>
      <c r="I342" s="74"/>
      <c r="J342" s="74"/>
      <c r="K342" s="74"/>
      <c r="L342" s="74"/>
      <c r="M342" s="2"/>
      <c r="N342" s="2"/>
      <c r="O342" s="2"/>
      <c r="P342" s="74"/>
      <c r="Q342" s="2"/>
      <c r="R342" s="2"/>
      <c r="S342" s="76"/>
      <c r="T342" s="88"/>
    </row>
    <row r="343" ht="15.75" customHeight="1">
      <c r="A343" s="2"/>
      <c r="B343" s="2"/>
      <c r="C343" s="2"/>
      <c r="D343" s="2"/>
      <c r="E343" s="2"/>
      <c r="F343" s="2"/>
      <c r="G343" s="2"/>
      <c r="H343" s="2"/>
      <c r="I343" s="74"/>
      <c r="J343" s="74"/>
      <c r="K343" s="74"/>
      <c r="L343" s="74"/>
      <c r="M343" s="2"/>
      <c r="N343" s="2"/>
      <c r="O343" s="2"/>
      <c r="P343" s="74"/>
      <c r="Q343" s="2"/>
      <c r="R343" s="2"/>
      <c r="S343" s="76"/>
      <c r="T343" s="88"/>
    </row>
    <row r="344" ht="15.75" customHeight="1">
      <c r="A344" s="2"/>
      <c r="B344" s="2"/>
      <c r="C344" s="2"/>
      <c r="D344" s="2"/>
      <c r="E344" s="2"/>
      <c r="F344" s="2"/>
      <c r="G344" s="2"/>
      <c r="H344" s="2"/>
      <c r="I344" s="74"/>
      <c r="J344" s="74"/>
      <c r="K344" s="74"/>
      <c r="L344" s="74"/>
      <c r="M344" s="2"/>
      <c r="N344" s="2"/>
      <c r="O344" s="2"/>
      <c r="P344" s="74"/>
      <c r="Q344" s="2"/>
      <c r="R344" s="2"/>
      <c r="S344" s="76"/>
      <c r="T344" s="88"/>
    </row>
    <row r="345" ht="15.75" customHeight="1">
      <c r="A345" s="2"/>
      <c r="B345" s="2"/>
      <c r="C345" s="2"/>
      <c r="D345" s="2"/>
      <c r="E345" s="2"/>
      <c r="F345" s="2"/>
      <c r="G345" s="2"/>
      <c r="H345" s="2"/>
      <c r="I345" s="74"/>
      <c r="J345" s="74"/>
      <c r="K345" s="74"/>
      <c r="L345" s="74"/>
      <c r="M345" s="2"/>
      <c r="N345" s="2"/>
      <c r="O345" s="2"/>
      <c r="P345" s="74"/>
      <c r="Q345" s="2"/>
      <c r="R345" s="2"/>
      <c r="S345" s="76"/>
      <c r="T345" s="88"/>
    </row>
    <row r="346" ht="15.75" customHeight="1">
      <c r="A346" s="2"/>
      <c r="B346" s="2"/>
      <c r="C346" s="2"/>
      <c r="D346" s="2"/>
      <c r="E346" s="2"/>
      <c r="F346" s="2"/>
      <c r="G346" s="2"/>
      <c r="H346" s="2"/>
      <c r="I346" s="74"/>
      <c r="J346" s="74"/>
      <c r="K346" s="74"/>
      <c r="L346" s="74"/>
      <c r="M346" s="2"/>
      <c r="N346" s="2"/>
      <c r="O346" s="2"/>
      <c r="P346" s="74"/>
      <c r="Q346" s="2"/>
      <c r="R346" s="2"/>
      <c r="S346" s="76"/>
      <c r="T346" s="88"/>
    </row>
    <row r="347" ht="15.75" customHeight="1">
      <c r="A347" s="2"/>
      <c r="B347" s="2"/>
      <c r="C347" s="2"/>
      <c r="D347" s="2"/>
      <c r="E347" s="2"/>
      <c r="F347" s="2"/>
      <c r="G347" s="2"/>
      <c r="H347" s="2"/>
      <c r="I347" s="74"/>
      <c r="J347" s="74"/>
      <c r="K347" s="74"/>
      <c r="L347" s="74"/>
      <c r="M347" s="2"/>
      <c r="N347" s="2"/>
      <c r="O347" s="2"/>
      <c r="P347" s="74"/>
      <c r="Q347" s="2"/>
      <c r="R347" s="2"/>
      <c r="S347" s="76"/>
      <c r="T347" s="88"/>
    </row>
    <row r="348" ht="15.75" customHeight="1">
      <c r="A348" s="2"/>
      <c r="B348" s="2"/>
      <c r="C348" s="2"/>
      <c r="D348" s="2"/>
      <c r="E348" s="2"/>
      <c r="F348" s="2"/>
      <c r="G348" s="2"/>
      <c r="H348" s="2"/>
      <c r="I348" s="74"/>
      <c r="J348" s="74"/>
      <c r="K348" s="74"/>
      <c r="L348" s="74"/>
      <c r="M348" s="2"/>
      <c r="N348" s="2"/>
      <c r="O348" s="2"/>
      <c r="P348" s="74"/>
      <c r="Q348" s="2"/>
      <c r="R348" s="2"/>
      <c r="S348" s="76"/>
      <c r="T348" s="88"/>
    </row>
    <row r="349" ht="15.75" customHeight="1">
      <c r="A349" s="2"/>
      <c r="B349" s="2"/>
      <c r="C349" s="2"/>
      <c r="D349" s="2"/>
      <c r="E349" s="2"/>
      <c r="F349" s="2"/>
      <c r="G349" s="2"/>
      <c r="H349" s="2"/>
      <c r="I349" s="74"/>
      <c r="J349" s="74"/>
      <c r="K349" s="74"/>
      <c r="L349" s="74"/>
      <c r="M349" s="2"/>
      <c r="N349" s="2"/>
      <c r="O349" s="2"/>
      <c r="P349" s="74"/>
      <c r="Q349" s="2"/>
      <c r="R349" s="2"/>
      <c r="S349" s="76"/>
      <c r="T349" s="88"/>
    </row>
    <row r="350" ht="15.75" customHeight="1">
      <c r="A350" s="2"/>
      <c r="B350" s="2"/>
      <c r="C350" s="2"/>
      <c r="D350" s="2"/>
      <c r="E350" s="2"/>
      <c r="F350" s="2"/>
      <c r="G350" s="2"/>
      <c r="H350" s="2"/>
      <c r="I350" s="74"/>
      <c r="J350" s="74"/>
      <c r="K350" s="74"/>
      <c r="L350" s="74"/>
      <c r="M350" s="2"/>
      <c r="N350" s="2"/>
      <c r="O350" s="2"/>
      <c r="P350" s="74"/>
      <c r="Q350" s="2"/>
      <c r="R350" s="2"/>
      <c r="S350" s="76"/>
      <c r="T350" s="88"/>
    </row>
    <row r="351" ht="15.75" customHeight="1">
      <c r="A351" s="2"/>
      <c r="B351" s="2"/>
      <c r="C351" s="2"/>
      <c r="D351" s="2"/>
      <c r="E351" s="2"/>
      <c r="F351" s="2"/>
      <c r="G351" s="2"/>
      <c r="H351" s="2"/>
      <c r="I351" s="74"/>
      <c r="J351" s="74"/>
      <c r="K351" s="74"/>
      <c r="L351" s="74"/>
      <c r="M351" s="2"/>
      <c r="N351" s="2"/>
      <c r="O351" s="2"/>
      <c r="P351" s="74"/>
      <c r="Q351" s="2"/>
      <c r="R351" s="2"/>
      <c r="S351" s="76"/>
      <c r="T351" s="88"/>
    </row>
    <row r="352" ht="15.75" customHeight="1">
      <c r="A352" s="2"/>
      <c r="B352" s="2"/>
      <c r="C352" s="2"/>
      <c r="D352" s="2"/>
      <c r="E352" s="2"/>
      <c r="F352" s="2"/>
      <c r="G352" s="2"/>
      <c r="H352" s="2"/>
      <c r="I352" s="74"/>
      <c r="J352" s="74"/>
      <c r="K352" s="74"/>
      <c r="L352" s="74"/>
      <c r="M352" s="2"/>
      <c r="N352" s="2"/>
      <c r="O352" s="2"/>
      <c r="P352" s="74"/>
      <c r="Q352" s="2"/>
      <c r="R352" s="2"/>
      <c r="S352" s="76"/>
      <c r="T352" s="88"/>
    </row>
    <row r="353" ht="15.75" customHeight="1">
      <c r="A353" s="2"/>
      <c r="B353" s="2"/>
      <c r="C353" s="2"/>
      <c r="D353" s="2"/>
      <c r="E353" s="2"/>
      <c r="F353" s="2"/>
      <c r="G353" s="2"/>
      <c r="H353" s="2"/>
      <c r="I353" s="74"/>
      <c r="J353" s="74"/>
      <c r="K353" s="74"/>
      <c r="L353" s="74"/>
      <c r="M353" s="2"/>
      <c r="N353" s="2"/>
      <c r="O353" s="2"/>
      <c r="P353" s="74"/>
      <c r="Q353" s="2"/>
      <c r="R353" s="2"/>
      <c r="S353" s="76"/>
      <c r="T353" s="88"/>
    </row>
    <row r="354" ht="15.75" customHeight="1">
      <c r="A354" s="2"/>
      <c r="B354" s="2"/>
      <c r="C354" s="2"/>
      <c r="D354" s="2"/>
      <c r="E354" s="2"/>
      <c r="F354" s="2"/>
      <c r="G354" s="2"/>
      <c r="H354" s="2"/>
      <c r="I354" s="74"/>
      <c r="J354" s="74"/>
      <c r="K354" s="74"/>
      <c r="L354" s="74"/>
      <c r="M354" s="2"/>
      <c r="N354" s="2"/>
      <c r="O354" s="2"/>
      <c r="P354" s="74"/>
      <c r="Q354" s="2"/>
      <c r="R354" s="2"/>
      <c r="S354" s="76"/>
      <c r="T354" s="88"/>
    </row>
    <row r="355" ht="15.75" customHeight="1">
      <c r="A355" s="2"/>
      <c r="B355" s="2"/>
      <c r="C355" s="2"/>
      <c r="D355" s="2"/>
      <c r="E355" s="2"/>
      <c r="F355" s="2"/>
      <c r="G355" s="2"/>
      <c r="H355" s="2"/>
      <c r="I355" s="74"/>
      <c r="J355" s="74"/>
      <c r="K355" s="74"/>
      <c r="L355" s="74"/>
      <c r="M355" s="2"/>
      <c r="N355" s="2"/>
      <c r="O355" s="2"/>
      <c r="P355" s="74"/>
      <c r="Q355" s="2"/>
      <c r="R355" s="2"/>
      <c r="S355" s="76"/>
      <c r="T355" s="88"/>
    </row>
    <row r="356" ht="15.75" customHeight="1">
      <c r="A356" s="2"/>
      <c r="B356" s="2"/>
      <c r="C356" s="2"/>
      <c r="D356" s="2"/>
      <c r="E356" s="2"/>
      <c r="F356" s="2"/>
      <c r="G356" s="2"/>
      <c r="H356" s="2"/>
      <c r="I356" s="74"/>
      <c r="J356" s="74"/>
      <c r="K356" s="74"/>
      <c r="L356" s="74"/>
      <c r="M356" s="2"/>
      <c r="N356" s="2"/>
      <c r="O356" s="2"/>
      <c r="P356" s="74"/>
      <c r="Q356" s="2"/>
      <c r="R356" s="2"/>
      <c r="S356" s="76"/>
      <c r="T356" s="88"/>
    </row>
    <row r="357" ht="15.75" customHeight="1">
      <c r="A357" s="2"/>
      <c r="B357" s="2"/>
      <c r="C357" s="2"/>
      <c r="D357" s="2"/>
      <c r="E357" s="2"/>
      <c r="F357" s="2"/>
      <c r="G357" s="2"/>
      <c r="H357" s="2"/>
      <c r="I357" s="74"/>
      <c r="J357" s="74"/>
      <c r="K357" s="74"/>
      <c r="L357" s="74"/>
      <c r="M357" s="2"/>
      <c r="N357" s="2"/>
      <c r="O357" s="2"/>
      <c r="P357" s="74"/>
      <c r="Q357" s="2"/>
      <c r="R357" s="2"/>
      <c r="S357" s="76"/>
      <c r="T357" s="88"/>
    </row>
    <row r="358" ht="15.75" customHeight="1">
      <c r="A358" s="2"/>
      <c r="B358" s="2"/>
      <c r="C358" s="2"/>
      <c r="D358" s="2"/>
      <c r="E358" s="2"/>
      <c r="F358" s="2"/>
      <c r="G358" s="2"/>
      <c r="H358" s="2"/>
      <c r="I358" s="74"/>
      <c r="J358" s="74"/>
      <c r="K358" s="74"/>
      <c r="L358" s="74"/>
      <c r="M358" s="2"/>
      <c r="N358" s="2"/>
      <c r="O358" s="2"/>
      <c r="P358" s="74"/>
      <c r="Q358" s="2"/>
      <c r="R358" s="2"/>
      <c r="S358" s="76"/>
      <c r="T358" s="88"/>
    </row>
    <row r="359" ht="15.75" customHeight="1">
      <c r="A359" s="2"/>
      <c r="B359" s="2"/>
      <c r="C359" s="2"/>
      <c r="D359" s="2"/>
      <c r="E359" s="2"/>
      <c r="F359" s="2"/>
      <c r="G359" s="2"/>
      <c r="H359" s="2"/>
      <c r="I359" s="74"/>
      <c r="J359" s="74"/>
      <c r="K359" s="74"/>
      <c r="L359" s="74"/>
      <c r="M359" s="2"/>
      <c r="N359" s="2"/>
      <c r="O359" s="2"/>
      <c r="P359" s="74"/>
      <c r="Q359" s="2"/>
      <c r="R359" s="2"/>
      <c r="S359" s="76"/>
      <c r="T359" s="88"/>
    </row>
    <row r="360" ht="15.75" customHeight="1">
      <c r="A360" s="2"/>
      <c r="B360" s="2"/>
      <c r="C360" s="2"/>
      <c r="D360" s="2"/>
      <c r="E360" s="2"/>
      <c r="F360" s="2"/>
      <c r="G360" s="2"/>
      <c r="H360" s="2"/>
      <c r="I360" s="74"/>
      <c r="J360" s="74"/>
      <c r="K360" s="74"/>
      <c r="L360" s="74"/>
      <c r="M360" s="2"/>
      <c r="N360" s="2"/>
      <c r="O360" s="2"/>
      <c r="P360" s="74"/>
      <c r="Q360" s="2"/>
      <c r="R360" s="2"/>
      <c r="S360" s="76"/>
      <c r="T360" s="88"/>
    </row>
    <row r="361" ht="15.75" customHeight="1">
      <c r="A361" s="2"/>
      <c r="B361" s="2"/>
      <c r="C361" s="2"/>
      <c r="D361" s="2"/>
      <c r="E361" s="2"/>
      <c r="F361" s="2"/>
      <c r="G361" s="2"/>
      <c r="H361" s="2"/>
      <c r="I361" s="74"/>
      <c r="J361" s="74"/>
      <c r="K361" s="74"/>
      <c r="L361" s="74"/>
      <c r="M361" s="2"/>
      <c r="N361" s="2"/>
      <c r="O361" s="2"/>
      <c r="P361" s="74"/>
      <c r="Q361" s="2"/>
      <c r="R361" s="2"/>
      <c r="S361" s="76"/>
      <c r="T361" s="88"/>
    </row>
    <row r="362" ht="15.75" customHeight="1">
      <c r="A362" s="2"/>
      <c r="B362" s="2"/>
      <c r="C362" s="2"/>
      <c r="D362" s="2"/>
      <c r="E362" s="2"/>
      <c r="F362" s="2"/>
      <c r="G362" s="2"/>
      <c r="H362" s="2"/>
      <c r="I362" s="74"/>
      <c r="J362" s="74"/>
      <c r="K362" s="74"/>
      <c r="L362" s="74"/>
      <c r="M362" s="2"/>
      <c r="N362" s="2"/>
      <c r="O362" s="2"/>
      <c r="P362" s="74"/>
      <c r="Q362" s="2"/>
      <c r="R362" s="2"/>
      <c r="S362" s="76"/>
      <c r="T362" s="88"/>
    </row>
    <row r="363" ht="15.75" customHeight="1">
      <c r="A363" s="2"/>
      <c r="B363" s="2"/>
      <c r="C363" s="2"/>
      <c r="D363" s="2"/>
      <c r="E363" s="2"/>
      <c r="F363" s="2"/>
      <c r="G363" s="2"/>
      <c r="H363" s="2"/>
      <c r="I363" s="74"/>
      <c r="J363" s="74"/>
      <c r="K363" s="74"/>
      <c r="L363" s="74"/>
      <c r="M363" s="2"/>
      <c r="N363" s="2"/>
      <c r="O363" s="2"/>
      <c r="P363" s="74"/>
      <c r="Q363" s="2"/>
      <c r="R363" s="2"/>
      <c r="S363" s="76"/>
      <c r="T363" s="88"/>
    </row>
    <row r="364" ht="15.75" customHeight="1">
      <c r="A364" s="2"/>
      <c r="B364" s="2"/>
      <c r="C364" s="2"/>
      <c r="D364" s="2"/>
      <c r="E364" s="2"/>
      <c r="F364" s="2"/>
      <c r="G364" s="2"/>
      <c r="H364" s="2"/>
      <c r="I364" s="74"/>
      <c r="J364" s="74"/>
      <c r="K364" s="74"/>
      <c r="L364" s="74"/>
      <c r="M364" s="2"/>
      <c r="N364" s="2"/>
      <c r="O364" s="2"/>
      <c r="P364" s="74"/>
      <c r="Q364" s="2"/>
      <c r="R364" s="2"/>
      <c r="S364" s="76"/>
      <c r="T364" s="88"/>
    </row>
    <row r="365" ht="15.75" customHeight="1">
      <c r="A365" s="2"/>
      <c r="B365" s="2"/>
      <c r="C365" s="2"/>
      <c r="D365" s="2"/>
      <c r="E365" s="2"/>
      <c r="F365" s="2"/>
      <c r="G365" s="2"/>
      <c r="H365" s="2"/>
      <c r="I365" s="74"/>
      <c r="J365" s="74"/>
      <c r="K365" s="74"/>
      <c r="L365" s="74"/>
      <c r="M365" s="2"/>
      <c r="N365" s="2"/>
      <c r="O365" s="2"/>
      <c r="P365" s="74"/>
      <c r="Q365" s="2"/>
      <c r="R365" s="2"/>
      <c r="S365" s="76"/>
      <c r="T365" s="88"/>
    </row>
    <row r="366" ht="15.75" customHeight="1">
      <c r="A366" s="2"/>
      <c r="B366" s="2"/>
      <c r="C366" s="2"/>
      <c r="D366" s="2"/>
      <c r="E366" s="2"/>
      <c r="F366" s="2"/>
      <c r="G366" s="2"/>
      <c r="H366" s="2"/>
      <c r="I366" s="74"/>
      <c r="J366" s="74"/>
      <c r="K366" s="74"/>
      <c r="L366" s="74"/>
      <c r="M366" s="2"/>
      <c r="N366" s="2"/>
      <c r="O366" s="2"/>
      <c r="P366" s="74"/>
      <c r="Q366" s="2"/>
      <c r="R366" s="2"/>
      <c r="S366" s="76"/>
      <c r="T366" s="88"/>
    </row>
    <row r="367" ht="15.75" customHeight="1">
      <c r="A367" s="2"/>
      <c r="B367" s="2"/>
      <c r="C367" s="2"/>
      <c r="D367" s="2"/>
      <c r="E367" s="2"/>
      <c r="F367" s="2"/>
      <c r="G367" s="2"/>
      <c r="H367" s="2"/>
      <c r="I367" s="74"/>
      <c r="J367" s="74"/>
      <c r="K367" s="74"/>
      <c r="L367" s="74"/>
      <c r="M367" s="2"/>
      <c r="N367" s="2"/>
      <c r="O367" s="2"/>
      <c r="P367" s="74"/>
      <c r="Q367" s="2"/>
      <c r="R367" s="2"/>
      <c r="S367" s="76"/>
      <c r="T367" s="88"/>
    </row>
    <row r="368" ht="15.75" customHeight="1">
      <c r="A368" s="2"/>
      <c r="B368" s="2"/>
      <c r="C368" s="2"/>
      <c r="D368" s="2"/>
      <c r="E368" s="2"/>
      <c r="F368" s="2"/>
      <c r="G368" s="2"/>
      <c r="H368" s="2"/>
      <c r="I368" s="74"/>
      <c r="J368" s="74"/>
      <c r="K368" s="74"/>
      <c r="L368" s="74"/>
      <c r="M368" s="2"/>
      <c r="N368" s="2"/>
      <c r="O368" s="2"/>
      <c r="P368" s="74"/>
      <c r="Q368" s="2"/>
      <c r="R368" s="2"/>
      <c r="S368" s="76"/>
      <c r="T368" s="88"/>
    </row>
    <row r="369" ht="15.75" customHeight="1">
      <c r="A369" s="2"/>
      <c r="B369" s="2"/>
      <c r="C369" s="2"/>
      <c r="D369" s="2"/>
      <c r="E369" s="2"/>
      <c r="F369" s="2"/>
      <c r="G369" s="2"/>
      <c r="H369" s="2"/>
      <c r="I369" s="74"/>
      <c r="J369" s="74"/>
      <c r="K369" s="74"/>
      <c r="L369" s="74"/>
      <c r="M369" s="2"/>
      <c r="N369" s="2"/>
      <c r="O369" s="2"/>
      <c r="P369" s="74"/>
      <c r="Q369" s="2"/>
      <c r="R369" s="2"/>
      <c r="S369" s="76"/>
      <c r="T369" s="88"/>
    </row>
    <row r="370" ht="15.75" customHeight="1">
      <c r="A370" s="2"/>
      <c r="B370" s="2"/>
      <c r="C370" s="2"/>
      <c r="D370" s="2"/>
      <c r="E370" s="2"/>
      <c r="F370" s="2"/>
      <c r="G370" s="2"/>
      <c r="H370" s="2"/>
      <c r="I370" s="74"/>
      <c r="J370" s="74"/>
      <c r="K370" s="74"/>
      <c r="L370" s="74"/>
      <c r="M370" s="2"/>
      <c r="N370" s="2"/>
      <c r="O370" s="2"/>
      <c r="P370" s="74"/>
      <c r="Q370" s="2"/>
      <c r="R370" s="2"/>
      <c r="S370" s="76"/>
      <c r="T370" s="88"/>
    </row>
    <row r="371" ht="15.75" customHeight="1">
      <c r="A371" s="2"/>
      <c r="B371" s="2"/>
      <c r="C371" s="2"/>
      <c r="D371" s="2"/>
      <c r="E371" s="2"/>
      <c r="F371" s="2"/>
      <c r="G371" s="2"/>
      <c r="H371" s="2"/>
      <c r="I371" s="74"/>
      <c r="J371" s="74"/>
      <c r="K371" s="74"/>
      <c r="L371" s="74"/>
      <c r="M371" s="2"/>
      <c r="N371" s="2"/>
      <c r="O371" s="2"/>
      <c r="P371" s="74"/>
      <c r="Q371" s="2"/>
      <c r="R371" s="2"/>
      <c r="S371" s="76"/>
      <c r="T371" s="88"/>
    </row>
    <row r="372" ht="15.75" customHeight="1">
      <c r="A372" s="2"/>
      <c r="B372" s="2"/>
      <c r="C372" s="2"/>
      <c r="D372" s="2"/>
      <c r="E372" s="2"/>
      <c r="F372" s="2"/>
      <c r="G372" s="2"/>
      <c r="H372" s="2"/>
      <c r="I372" s="74"/>
      <c r="J372" s="74"/>
      <c r="K372" s="74"/>
      <c r="L372" s="74"/>
      <c r="M372" s="2"/>
      <c r="N372" s="2"/>
      <c r="O372" s="2"/>
      <c r="P372" s="74"/>
      <c r="Q372" s="2"/>
      <c r="R372" s="2"/>
      <c r="S372" s="76"/>
      <c r="T372" s="88"/>
    </row>
    <row r="373" ht="15.75" customHeight="1">
      <c r="A373" s="2"/>
      <c r="B373" s="2"/>
      <c r="C373" s="2"/>
      <c r="D373" s="2"/>
      <c r="E373" s="2"/>
      <c r="F373" s="2"/>
      <c r="G373" s="2"/>
      <c r="H373" s="2"/>
      <c r="I373" s="74"/>
      <c r="J373" s="74"/>
      <c r="K373" s="74"/>
      <c r="L373" s="74"/>
      <c r="M373" s="2"/>
      <c r="N373" s="2"/>
      <c r="O373" s="2"/>
      <c r="P373" s="74"/>
      <c r="Q373" s="2"/>
      <c r="R373" s="2"/>
      <c r="S373" s="76"/>
      <c r="T373" s="88"/>
    </row>
    <row r="374" ht="15.75" customHeight="1">
      <c r="A374" s="2"/>
      <c r="B374" s="2"/>
      <c r="C374" s="2"/>
      <c r="D374" s="2"/>
      <c r="E374" s="2"/>
      <c r="F374" s="2"/>
      <c r="G374" s="2"/>
      <c r="H374" s="2"/>
      <c r="I374" s="74"/>
      <c r="J374" s="74"/>
      <c r="K374" s="74"/>
      <c r="L374" s="74"/>
      <c r="M374" s="2"/>
      <c r="N374" s="2"/>
      <c r="O374" s="2"/>
      <c r="P374" s="74"/>
      <c r="Q374" s="2"/>
      <c r="R374" s="2"/>
      <c r="S374" s="76"/>
      <c r="T374" s="88"/>
    </row>
    <row r="375" ht="15.75" customHeight="1">
      <c r="A375" s="2"/>
      <c r="B375" s="2"/>
      <c r="C375" s="2"/>
      <c r="D375" s="2"/>
      <c r="E375" s="2"/>
      <c r="F375" s="2"/>
      <c r="G375" s="2"/>
      <c r="H375" s="2"/>
      <c r="I375" s="74"/>
      <c r="J375" s="74"/>
      <c r="K375" s="74"/>
      <c r="L375" s="74"/>
      <c r="M375" s="2"/>
      <c r="N375" s="2"/>
      <c r="O375" s="2"/>
      <c r="P375" s="74"/>
      <c r="Q375" s="2"/>
      <c r="R375" s="2"/>
      <c r="S375" s="76"/>
      <c r="T375" s="88"/>
    </row>
    <row r="376" ht="15.75" customHeight="1">
      <c r="A376" s="2"/>
      <c r="B376" s="2"/>
      <c r="C376" s="2"/>
      <c r="D376" s="2"/>
      <c r="E376" s="2"/>
      <c r="F376" s="2"/>
      <c r="G376" s="2"/>
      <c r="H376" s="2"/>
      <c r="I376" s="74"/>
      <c r="J376" s="74"/>
      <c r="K376" s="74"/>
      <c r="L376" s="74"/>
      <c r="M376" s="2"/>
      <c r="N376" s="2"/>
      <c r="O376" s="2"/>
      <c r="P376" s="74"/>
      <c r="Q376" s="2"/>
      <c r="R376" s="2"/>
      <c r="S376" s="76"/>
      <c r="T376" s="88"/>
    </row>
    <row r="377" ht="15.75" customHeight="1">
      <c r="A377" s="2"/>
      <c r="B377" s="2"/>
      <c r="C377" s="2"/>
      <c r="D377" s="2"/>
      <c r="E377" s="2"/>
      <c r="F377" s="2"/>
      <c r="G377" s="2"/>
      <c r="H377" s="2"/>
      <c r="I377" s="74"/>
      <c r="J377" s="74"/>
      <c r="K377" s="74"/>
      <c r="L377" s="74"/>
      <c r="M377" s="2"/>
      <c r="N377" s="2"/>
      <c r="O377" s="2"/>
      <c r="P377" s="74"/>
      <c r="Q377" s="2"/>
      <c r="R377" s="2"/>
      <c r="S377" s="76"/>
      <c r="T377" s="88"/>
    </row>
    <row r="378" ht="15.75" customHeight="1">
      <c r="A378" s="2"/>
      <c r="B378" s="2"/>
      <c r="C378" s="2"/>
      <c r="D378" s="2"/>
      <c r="E378" s="2"/>
      <c r="F378" s="2"/>
      <c r="G378" s="2"/>
      <c r="H378" s="2"/>
      <c r="I378" s="74"/>
      <c r="J378" s="74"/>
      <c r="K378" s="74"/>
      <c r="L378" s="74"/>
      <c r="M378" s="2"/>
      <c r="N378" s="2"/>
      <c r="O378" s="2"/>
      <c r="P378" s="74"/>
      <c r="Q378" s="2"/>
      <c r="R378" s="2"/>
      <c r="S378" s="76"/>
      <c r="T378" s="88"/>
    </row>
    <row r="379" ht="15.75" customHeight="1">
      <c r="A379" s="2"/>
      <c r="B379" s="2"/>
      <c r="C379" s="2"/>
      <c r="D379" s="2"/>
      <c r="E379" s="2"/>
      <c r="F379" s="2"/>
      <c r="G379" s="2"/>
      <c r="H379" s="2"/>
      <c r="I379" s="74"/>
      <c r="J379" s="74"/>
      <c r="K379" s="74"/>
      <c r="L379" s="74"/>
      <c r="M379" s="2"/>
      <c r="N379" s="2"/>
      <c r="O379" s="2"/>
      <c r="P379" s="74"/>
      <c r="Q379" s="2"/>
      <c r="R379" s="2"/>
      <c r="S379" s="76"/>
      <c r="T379" s="88"/>
    </row>
    <row r="380" ht="15.75" customHeight="1">
      <c r="A380" s="2"/>
      <c r="B380" s="2"/>
      <c r="C380" s="2"/>
      <c r="D380" s="2"/>
      <c r="E380" s="2"/>
      <c r="F380" s="2"/>
      <c r="G380" s="2"/>
      <c r="H380" s="2"/>
      <c r="I380" s="74"/>
      <c r="J380" s="74"/>
      <c r="K380" s="74"/>
      <c r="L380" s="74"/>
      <c r="M380" s="2"/>
      <c r="N380" s="2"/>
      <c r="O380" s="2"/>
      <c r="P380" s="74"/>
      <c r="Q380" s="2"/>
      <c r="R380" s="2"/>
      <c r="S380" s="76"/>
      <c r="T380" s="88"/>
    </row>
    <row r="381" ht="15.75" customHeight="1">
      <c r="A381" s="2"/>
      <c r="B381" s="2"/>
      <c r="C381" s="2"/>
      <c r="D381" s="2"/>
      <c r="E381" s="2"/>
      <c r="F381" s="2"/>
      <c r="G381" s="2"/>
      <c r="H381" s="2"/>
      <c r="I381" s="74"/>
      <c r="J381" s="74"/>
      <c r="K381" s="74"/>
      <c r="L381" s="74"/>
      <c r="M381" s="2"/>
      <c r="N381" s="2"/>
      <c r="O381" s="2"/>
      <c r="P381" s="74"/>
      <c r="Q381" s="2"/>
      <c r="R381" s="2"/>
      <c r="S381" s="76"/>
      <c r="T381" s="88"/>
    </row>
    <row r="382" ht="15.75" customHeight="1">
      <c r="A382" s="2"/>
      <c r="B382" s="2"/>
      <c r="C382" s="2"/>
      <c r="D382" s="2"/>
      <c r="E382" s="2"/>
      <c r="F382" s="2"/>
      <c r="G382" s="2"/>
      <c r="H382" s="2"/>
      <c r="I382" s="74"/>
      <c r="J382" s="74"/>
      <c r="K382" s="74"/>
      <c r="L382" s="74"/>
      <c r="M382" s="2"/>
      <c r="N382" s="2"/>
      <c r="O382" s="2"/>
      <c r="P382" s="74"/>
      <c r="Q382" s="2"/>
      <c r="R382" s="2"/>
      <c r="S382" s="76"/>
      <c r="T382" s="88"/>
    </row>
    <row r="383" ht="15.75" customHeight="1">
      <c r="A383" s="2"/>
      <c r="B383" s="2"/>
      <c r="C383" s="2"/>
      <c r="D383" s="2"/>
      <c r="E383" s="2"/>
      <c r="F383" s="2"/>
      <c r="G383" s="2"/>
      <c r="H383" s="2"/>
      <c r="I383" s="74"/>
      <c r="J383" s="74"/>
      <c r="K383" s="74"/>
      <c r="L383" s="74"/>
      <c r="M383" s="2"/>
      <c r="N383" s="2"/>
      <c r="O383" s="2"/>
      <c r="P383" s="74"/>
      <c r="Q383" s="2"/>
      <c r="R383" s="2"/>
      <c r="S383" s="76"/>
      <c r="T383" s="88"/>
    </row>
    <row r="384" ht="15.75" customHeight="1">
      <c r="A384" s="2"/>
      <c r="B384" s="2"/>
      <c r="C384" s="2"/>
      <c r="D384" s="2"/>
      <c r="E384" s="2"/>
      <c r="F384" s="2"/>
      <c r="G384" s="2"/>
      <c r="H384" s="2"/>
      <c r="I384" s="74"/>
      <c r="J384" s="74"/>
      <c r="K384" s="74"/>
      <c r="L384" s="74"/>
      <c r="M384" s="2"/>
      <c r="N384" s="2"/>
      <c r="O384" s="2"/>
      <c r="P384" s="74"/>
      <c r="Q384" s="2"/>
      <c r="R384" s="2"/>
      <c r="S384" s="76"/>
      <c r="T384" s="88"/>
    </row>
    <row r="385" ht="15.75" customHeight="1">
      <c r="A385" s="2"/>
      <c r="B385" s="2"/>
      <c r="C385" s="2"/>
      <c r="D385" s="2"/>
      <c r="E385" s="2"/>
      <c r="F385" s="2"/>
      <c r="G385" s="2"/>
      <c r="H385" s="2"/>
      <c r="I385" s="74"/>
      <c r="J385" s="74"/>
      <c r="K385" s="74"/>
      <c r="L385" s="74"/>
      <c r="M385" s="2"/>
      <c r="N385" s="2"/>
      <c r="O385" s="2"/>
      <c r="P385" s="74"/>
      <c r="Q385" s="2"/>
      <c r="R385" s="2"/>
      <c r="S385" s="76"/>
      <c r="T385" s="88"/>
    </row>
    <row r="386" ht="15.75" customHeight="1">
      <c r="A386" s="2"/>
      <c r="B386" s="2"/>
      <c r="C386" s="2"/>
      <c r="D386" s="2"/>
      <c r="E386" s="2"/>
      <c r="F386" s="2"/>
      <c r="G386" s="2"/>
      <c r="H386" s="2"/>
      <c r="I386" s="74"/>
      <c r="J386" s="74"/>
      <c r="K386" s="74"/>
      <c r="L386" s="74"/>
      <c r="M386" s="2"/>
      <c r="N386" s="2"/>
      <c r="O386" s="2"/>
      <c r="P386" s="74"/>
      <c r="Q386" s="2"/>
      <c r="R386" s="2"/>
      <c r="S386" s="76"/>
      <c r="T386" s="88"/>
    </row>
    <row r="387" ht="15.75" customHeight="1">
      <c r="A387" s="2"/>
      <c r="B387" s="2"/>
      <c r="C387" s="2"/>
      <c r="D387" s="2"/>
      <c r="E387" s="2"/>
      <c r="F387" s="2"/>
      <c r="G387" s="2"/>
      <c r="H387" s="2"/>
      <c r="I387" s="74"/>
      <c r="J387" s="74"/>
      <c r="K387" s="74"/>
      <c r="L387" s="74"/>
      <c r="M387" s="2"/>
      <c r="N387" s="2"/>
      <c r="O387" s="2"/>
      <c r="P387" s="74"/>
      <c r="Q387" s="2"/>
      <c r="R387" s="2"/>
      <c r="S387" s="76"/>
      <c r="T387" s="88"/>
    </row>
    <row r="388" ht="15.75" customHeight="1">
      <c r="A388" s="2"/>
      <c r="B388" s="2"/>
      <c r="C388" s="2"/>
      <c r="D388" s="2"/>
      <c r="E388" s="2"/>
      <c r="F388" s="2"/>
      <c r="G388" s="2"/>
      <c r="H388" s="2"/>
      <c r="I388" s="74"/>
      <c r="J388" s="74"/>
      <c r="K388" s="74"/>
      <c r="L388" s="74"/>
      <c r="M388" s="2"/>
      <c r="N388" s="2"/>
      <c r="O388" s="2"/>
      <c r="P388" s="74"/>
      <c r="Q388" s="2"/>
      <c r="R388" s="2"/>
      <c r="S388" s="76"/>
      <c r="T388" s="88"/>
    </row>
    <row r="389" ht="15.75" customHeight="1">
      <c r="A389" s="2"/>
      <c r="B389" s="2"/>
      <c r="C389" s="2"/>
      <c r="D389" s="2"/>
      <c r="E389" s="2"/>
      <c r="F389" s="2"/>
      <c r="G389" s="2"/>
      <c r="H389" s="2"/>
      <c r="I389" s="74"/>
      <c r="J389" s="74"/>
      <c r="K389" s="74"/>
      <c r="L389" s="74"/>
      <c r="M389" s="2"/>
      <c r="N389" s="2"/>
      <c r="O389" s="2"/>
      <c r="P389" s="74"/>
      <c r="Q389" s="2"/>
      <c r="R389" s="2"/>
      <c r="S389" s="76"/>
      <c r="T389" s="88"/>
    </row>
    <row r="390" ht="15.75" customHeight="1">
      <c r="A390" s="2"/>
      <c r="B390" s="2"/>
      <c r="C390" s="2"/>
      <c r="D390" s="2"/>
      <c r="E390" s="2"/>
      <c r="F390" s="2"/>
      <c r="G390" s="2"/>
      <c r="H390" s="2"/>
      <c r="I390" s="74"/>
      <c r="J390" s="74"/>
      <c r="K390" s="74"/>
      <c r="L390" s="74"/>
      <c r="M390" s="2"/>
      <c r="N390" s="2"/>
      <c r="O390" s="2"/>
      <c r="P390" s="74"/>
      <c r="Q390" s="2"/>
      <c r="R390" s="2"/>
      <c r="S390" s="76"/>
      <c r="T390" s="88"/>
    </row>
    <row r="391" ht="15.75" customHeight="1">
      <c r="A391" s="2"/>
      <c r="B391" s="2"/>
      <c r="C391" s="2"/>
      <c r="D391" s="2"/>
      <c r="E391" s="2"/>
      <c r="F391" s="2"/>
      <c r="G391" s="2"/>
      <c r="H391" s="2"/>
      <c r="I391" s="74"/>
      <c r="J391" s="74"/>
      <c r="K391" s="74"/>
      <c r="L391" s="74"/>
      <c r="M391" s="2"/>
      <c r="N391" s="2"/>
      <c r="O391" s="2"/>
      <c r="P391" s="74"/>
      <c r="Q391" s="2"/>
      <c r="R391" s="2"/>
      <c r="S391" s="76"/>
      <c r="T391" s="88"/>
    </row>
    <row r="392" ht="15.75" customHeight="1">
      <c r="A392" s="2"/>
      <c r="B392" s="2"/>
      <c r="C392" s="2"/>
      <c r="D392" s="2"/>
      <c r="E392" s="2"/>
      <c r="F392" s="2"/>
      <c r="G392" s="2"/>
      <c r="H392" s="2"/>
      <c r="I392" s="74"/>
      <c r="J392" s="74"/>
      <c r="K392" s="74"/>
      <c r="L392" s="74"/>
      <c r="M392" s="2"/>
      <c r="N392" s="2"/>
      <c r="O392" s="2"/>
      <c r="P392" s="74"/>
      <c r="Q392" s="2"/>
      <c r="R392" s="2"/>
      <c r="S392" s="76"/>
      <c r="T392" s="88"/>
    </row>
    <row r="393" ht="15.75" customHeight="1">
      <c r="A393" s="2"/>
      <c r="B393" s="2"/>
      <c r="C393" s="2"/>
      <c r="D393" s="2"/>
      <c r="E393" s="2"/>
      <c r="F393" s="2"/>
      <c r="G393" s="2"/>
      <c r="H393" s="2"/>
      <c r="I393" s="74"/>
      <c r="J393" s="74"/>
      <c r="K393" s="74"/>
      <c r="L393" s="74"/>
      <c r="M393" s="2"/>
      <c r="N393" s="2"/>
      <c r="O393" s="2"/>
      <c r="P393" s="74"/>
      <c r="Q393" s="2"/>
      <c r="R393" s="2"/>
      <c r="S393" s="76"/>
      <c r="T393" s="88"/>
    </row>
    <row r="394" ht="15.75" customHeight="1">
      <c r="A394" s="2"/>
      <c r="B394" s="2"/>
      <c r="C394" s="2"/>
      <c r="D394" s="2"/>
      <c r="E394" s="2"/>
      <c r="F394" s="2"/>
      <c r="G394" s="2"/>
      <c r="H394" s="2"/>
      <c r="I394" s="74"/>
      <c r="J394" s="74"/>
      <c r="K394" s="74"/>
      <c r="L394" s="74"/>
      <c r="M394" s="2"/>
      <c r="N394" s="2"/>
      <c r="O394" s="2"/>
      <c r="P394" s="74"/>
      <c r="Q394" s="2"/>
      <c r="R394" s="2"/>
      <c r="S394" s="76"/>
      <c r="T394" s="88"/>
    </row>
    <row r="395" ht="15.75" customHeight="1">
      <c r="A395" s="2"/>
      <c r="B395" s="2"/>
      <c r="C395" s="2"/>
      <c r="D395" s="2"/>
      <c r="E395" s="2"/>
      <c r="F395" s="2"/>
      <c r="G395" s="2"/>
      <c r="H395" s="2"/>
      <c r="I395" s="74"/>
      <c r="J395" s="74"/>
      <c r="K395" s="74"/>
      <c r="L395" s="74"/>
      <c r="M395" s="2"/>
      <c r="N395" s="2"/>
      <c r="O395" s="2"/>
      <c r="P395" s="74"/>
      <c r="Q395" s="2"/>
      <c r="R395" s="2"/>
      <c r="S395" s="76"/>
      <c r="T395" s="88"/>
    </row>
    <row r="396" ht="15.75" customHeight="1">
      <c r="A396" s="2"/>
      <c r="B396" s="2"/>
      <c r="C396" s="2"/>
      <c r="D396" s="2"/>
      <c r="E396" s="2"/>
      <c r="F396" s="2"/>
      <c r="G396" s="2"/>
      <c r="H396" s="2"/>
      <c r="I396" s="74"/>
      <c r="J396" s="74"/>
      <c r="K396" s="74"/>
      <c r="L396" s="74"/>
      <c r="M396" s="2"/>
      <c r="N396" s="2"/>
      <c r="O396" s="2"/>
      <c r="P396" s="74"/>
      <c r="Q396" s="2"/>
      <c r="R396" s="2"/>
      <c r="S396" s="76"/>
      <c r="T396" s="88"/>
    </row>
    <row r="397" ht="15.75" customHeight="1">
      <c r="A397" s="2"/>
      <c r="B397" s="2"/>
      <c r="C397" s="2"/>
      <c r="D397" s="2"/>
      <c r="E397" s="2"/>
      <c r="F397" s="2"/>
      <c r="G397" s="2"/>
      <c r="H397" s="2"/>
      <c r="I397" s="74"/>
      <c r="J397" s="74"/>
      <c r="K397" s="74"/>
      <c r="L397" s="74"/>
      <c r="M397" s="2"/>
      <c r="N397" s="2"/>
      <c r="O397" s="2"/>
      <c r="P397" s="74"/>
      <c r="Q397" s="2"/>
      <c r="R397" s="2"/>
      <c r="S397" s="76"/>
      <c r="T397" s="88"/>
    </row>
    <row r="398" ht="15.75" customHeight="1">
      <c r="A398" s="2"/>
      <c r="B398" s="2"/>
      <c r="C398" s="2"/>
      <c r="D398" s="2"/>
      <c r="E398" s="2"/>
      <c r="F398" s="2"/>
      <c r="G398" s="2"/>
      <c r="H398" s="2"/>
      <c r="I398" s="74"/>
      <c r="J398" s="74"/>
      <c r="K398" s="74"/>
      <c r="L398" s="74"/>
      <c r="M398" s="2"/>
      <c r="N398" s="2"/>
      <c r="O398" s="2"/>
      <c r="P398" s="74"/>
      <c r="Q398" s="2"/>
      <c r="R398" s="2"/>
      <c r="S398" s="76"/>
      <c r="T398" s="88"/>
    </row>
    <row r="399" ht="15.75" customHeight="1">
      <c r="A399" s="2"/>
      <c r="B399" s="2"/>
      <c r="C399" s="2"/>
      <c r="D399" s="2"/>
      <c r="E399" s="2"/>
      <c r="F399" s="2"/>
      <c r="G399" s="2"/>
      <c r="H399" s="2"/>
      <c r="I399" s="74"/>
      <c r="J399" s="74"/>
      <c r="K399" s="74"/>
      <c r="L399" s="74"/>
      <c r="M399" s="2"/>
      <c r="N399" s="2"/>
      <c r="O399" s="2"/>
      <c r="P399" s="74"/>
      <c r="Q399" s="2"/>
      <c r="R399" s="2"/>
      <c r="S399" s="76"/>
      <c r="T399" s="88"/>
    </row>
    <row r="400" ht="15.75" customHeight="1">
      <c r="A400" s="2"/>
      <c r="B400" s="2"/>
      <c r="C400" s="2"/>
      <c r="D400" s="2"/>
      <c r="E400" s="2"/>
      <c r="F400" s="2"/>
      <c r="G400" s="2"/>
      <c r="H400" s="2"/>
      <c r="I400" s="74"/>
      <c r="J400" s="74"/>
      <c r="K400" s="74"/>
      <c r="L400" s="74"/>
      <c r="M400" s="2"/>
      <c r="N400" s="2"/>
      <c r="O400" s="2"/>
      <c r="P400" s="74"/>
      <c r="Q400" s="2"/>
      <c r="R400" s="2"/>
      <c r="S400" s="76"/>
      <c r="T400" s="88"/>
    </row>
    <row r="401" ht="15.75" customHeight="1">
      <c r="A401" s="2"/>
      <c r="B401" s="2"/>
      <c r="C401" s="2"/>
      <c r="D401" s="2"/>
      <c r="E401" s="2"/>
      <c r="F401" s="2"/>
      <c r="G401" s="2"/>
      <c r="H401" s="2"/>
      <c r="I401" s="74"/>
      <c r="J401" s="74"/>
      <c r="K401" s="74"/>
      <c r="L401" s="74"/>
      <c r="M401" s="2"/>
      <c r="N401" s="2"/>
      <c r="O401" s="2"/>
      <c r="P401" s="74"/>
      <c r="Q401" s="2"/>
      <c r="R401" s="2"/>
      <c r="S401" s="76"/>
      <c r="T401" s="88"/>
    </row>
    <row r="402" ht="15.75" customHeight="1">
      <c r="A402" s="2"/>
      <c r="B402" s="2"/>
      <c r="C402" s="2"/>
      <c r="D402" s="2"/>
      <c r="E402" s="2"/>
      <c r="F402" s="2"/>
      <c r="G402" s="2"/>
      <c r="H402" s="2"/>
      <c r="I402" s="74"/>
      <c r="J402" s="74"/>
      <c r="K402" s="74"/>
      <c r="L402" s="74"/>
      <c r="M402" s="2"/>
      <c r="N402" s="2"/>
      <c r="O402" s="2"/>
      <c r="P402" s="74"/>
      <c r="Q402" s="2"/>
      <c r="R402" s="2"/>
      <c r="S402" s="76"/>
      <c r="T402" s="88"/>
    </row>
    <row r="403" ht="15.75" customHeight="1">
      <c r="A403" s="2"/>
      <c r="B403" s="2"/>
      <c r="C403" s="2"/>
      <c r="D403" s="2"/>
      <c r="E403" s="2"/>
      <c r="F403" s="2"/>
      <c r="G403" s="2"/>
      <c r="H403" s="2"/>
      <c r="I403" s="74"/>
      <c r="J403" s="74"/>
      <c r="K403" s="74"/>
      <c r="L403" s="74"/>
      <c r="M403" s="2"/>
      <c r="N403" s="2"/>
      <c r="O403" s="2"/>
      <c r="P403" s="74"/>
      <c r="Q403" s="2"/>
      <c r="R403" s="2"/>
      <c r="S403" s="76"/>
      <c r="T403" s="88"/>
    </row>
    <row r="404" ht="15.75" customHeight="1">
      <c r="A404" s="2"/>
      <c r="B404" s="2"/>
      <c r="C404" s="2"/>
      <c r="D404" s="2"/>
      <c r="E404" s="2"/>
      <c r="F404" s="2"/>
      <c r="G404" s="2"/>
      <c r="H404" s="2"/>
      <c r="I404" s="74"/>
      <c r="J404" s="74"/>
      <c r="K404" s="74"/>
      <c r="L404" s="74"/>
      <c r="M404" s="2"/>
      <c r="N404" s="2"/>
      <c r="O404" s="2"/>
      <c r="P404" s="74"/>
      <c r="Q404" s="2"/>
      <c r="R404" s="2"/>
      <c r="S404" s="76"/>
      <c r="T404" s="88"/>
    </row>
    <row r="405" ht="15.75" customHeight="1">
      <c r="A405" s="2"/>
      <c r="B405" s="2"/>
      <c r="C405" s="2"/>
      <c r="D405" s="2"/>
      <c r="E405" s="2"/>
      <c r="F405" s="2"/>
      <c r="G405" s="2"/>
      <c r="H405" s="2"/>
      <c r="I405" s="74"/>
      <c r="J405" s="74"/>
      <c r="K405" s="74"/>
      <c r="L405" s="74"/>
      <c r="M405" s="2"/>
      <c r="N405" s="2"/>
      <c r="O405" s="2"/>
      <c r="P405" s="74"/>
      <c r="Q405" s="2"/>
      <c r="R405" s="2"/>
      <c r="S405" s="76"/>
      <c r="T405" s="88"/>
    </row>
    <row r="406" ht="15.75" customHeight="1">
      <c r="A406" s="2"/>
      <c r="B406" s="2"/>
      <c r="C406" s="2"/>
      <c r="D406" s="2"/>
      <c r="E406" s="2"/>
      <c r="F406" s="2"/>
      <c r="G406" s="2"/>
      <c r="H406" s="2"/>
      <c r="I406" s="74"/>
      <c r="J406" s="74"/>
      <c r="K406" s="74"/>
      <c r="L406" s="74"/>
      <c r="M406" s="2"/>
      <c r="N406" s="2"/>
      <c r="O406" s="2"/>
      <c r="P406" s="74"/>
      <c r="Q406" s="2"/>
      <c r="R406" s="2"/>
      <c r="S406" s="76"/>
      <c r="T406" s="88"/>
    </row>
    <row r="407" ht="15.75" customHeight="1">
      <c r="A407" s="2"/>
      <c r="B407" s="2"/>
      <c r="C407" s="2"/>
      <c r="D407" s="2"/>
      <c r="E407" s="2"/>
      <c r="F407" s="2"/>
      <c r="G407" s="2"/>
      <c r="H407" s="2"/>
      <c r="I407" s="74"/>
      <c r="J407" s="74"/>
      <c r="K407" s="74"/>
      <c r="L407" s="74"/>
      <c r="M407" s="2"/>
      <c r="N407" s="2"/>
      <c r="O407" s="2"/>
      <c r="P407" s="74"/>
      <c r="Q407" s="2"/>
      <c r="R407" s="2"/>
      <c r="S407" s="76"/>
      <c r="T407" s="88"/>
    </row>
    <row r="408" ht="15.75" customHeight="1">
      <c r="A408" s="2"/>
      <c r="B408" s="2"/>
      <c r="C408" s="2"/>
      <c r="D408" s="2"/>
      <c r="E408" s="2"/>
      <c r="F408" s="2"/>
      <c r="G408" s="2"/>
      <c r="H408" s="2"/>
      <c r="I408" s="74"/>
      <c r="J408" s="74"/>
      <c r="K408" s="74"/>
      <c r="L408" s="74"/>
      <c r="M408" s="2"/>
      <c r="N408" s="2"/>
      <c r="O408" s="2"/>
      <c r="P408" s="74"/>
      <c r="Q408" s="2"/>
      <c r="R408" s="2"/>
      <c r="S408" s="76"/>
      <c r="T408" s="88"/>
    </row>
    <row r="409" ht="15.75" customHeight="1">
      <c r="A409" s="2"/>
      <c r="B409" s="2"/>
      <c r="C409" s="2"/>
      <c r="D409" s="2"/>
      <c r="E409" s="2"/>
      <c r="F409" s="2"/>
      <c r="G409" s="2"/>
      <c r="H409" s="2"/>
      <c r="I409" s="74"/>
      <c r="J409" s="74"/>
      <c r="K409" s="74"/>
      <c r="L409" s="74"/>
      <c r="M409" s="2"/>
      <c r="N409" s="2"/>
      <c r="O409" s="2"/>
      <c r="P409" s="74"/>
      <c r="Q409" s="2"/>
      <c r="R409" s="2"/>
      <c r="S409" s="76"/>
      <c r="T409" s="88"/>
    </row>
    <row r="410" ht="15.75" customHeight="1">
      <c r="A410" s="2"/>
      <c r="B410" s="2"/>
      <c r="C410" s="2"/>
      <c r="D410" s="2"/>
      <c r="E410" s="2"/>
      <c r="F410" s="2"/>
      <c r="G410" s="2"/>
      <c r="H410" s="2"/>
      <c r="I410" s="74"/>
      <c r="J410" s="74"/>
      <c r="K410" s="74"/>
      <c r="L410" s="74"/>
      <c r="M410" s="2"/>
      <c r="N410" s="2"/>
      <c r="O410" s="2"/>
      <c r="P410" s="74"/>
      <c r="Q410" s="2"/>
      <c r="R410" s="2"/>
      <c r="S410" s="76"/>
      <c r="T410" s="88"/>
    </row>
    <row r="411" ht="15.75" customHeight="1">
      <c r="A411" s="2"/>
      <c r="B411" s="2"/>
      <c r="C411" s="2"/>
      <c r="D411" s="2"/>
      <c r="E411" s="2"/>
      <c r="F411" s="2"/>
      <c r="G411" s="2"/>
      <c r="H411" s="2"/>
      <c r="I411" s="74"/>
      <c r="J411" s="74"/>
      <c r="K411" s="74"/>
      <c r="L411" s="74"/>
      <c r="M411" s="2"/>
      <c r="N411" s="2"/>
      <c r="O411" s="2"/>
      <c r="P411" s="74"/>
      <c r="Q411" s="2"/>
      <c r="R411" s="2"/>
      <c r="S411" s="76"/>
      <c r="T411" s="88"/>
    </row>
    <row r="412" ht="15.75" customHeight="1">
      <c r="A412" s="2"/>
      <c r="B412" s="2"/>
      <c r="C412" s="2"/>
      <c r="D412" s="2"/>
      <c r="E412" s="2"/>
      <c r="F412" s="2"/>
      <c r="G412" s="2"/>
      <c r="H412" s="2"/>
      <c r="I412" s="74"/>
      <c r="J412" s="74"/>
      <c r="K412" s="74"/>
      <c r="L412" s="74"/>
      <c r="M412" s="2"/>
      <c r="N412" s="2"/>
      <c r="O412" s="2"/>
      <c r="P412" s="74"/>
      <c r="Q412" s="2"/>
      <c r="R412" s="2"/>
      <c r="S412" s="76"/>
      <c r="T412" s="88"/>
    </row>
    <row r="413" ht="15.75" customHeight="1">
      <c r="A413" s="2"/>
      <c r="B413" s="2"/>
      <c r="C413" s="2"/>
      <c r="D413" s="2"/>
      <c r="E413" s="2"/>
      <c r="F413" s="2"/>
      <c r="G413" s="2"/>
      <c r="H413" s="2"/>
      <c r="I413" s="74"/>
      <c r="J413" s="74"/>
      <c r="K413" s="74"/>
      <c r="L413" s="74"/>
      <c r="M413" s="2"/>
      <c r="N413" s="2"/>
      <c r="O413" s="2"/>
      <c r="P413" s="74"/>
      <c r="Q413" s="2"/>
      <c r="R413" s="2"/>
      <c r="S413" s="76"/>
      <c r="T413" s="88"/>
    </row>
    <row r="414" ht="15.75" customHeight="1">
      <c r="A414" s="2"/>
      <c r="B414" s="2"/>
      <c r="C414" s="2"/>
      <c r="D414" s="2"/>
      <c r="E414" s="2"/>
      <c r="F414" s="2"/>
      <c r="G414" s="2"/>
      <c r="H414" s="2"/>
      <c r="I414" s="74"/>
      <c r="J414" s="74"/>
      <c r="K414" s="74"/>
      <c r="L414" s="74"/>
      <c r="M414" s="2"/>
      <c r="N414" s="2"/>
      <c r="O414" s="2"/>
      <c r="P414" s="74"/>
      <c r="Q414" s="2"/>
      <c r="R414" s="2"/>
      <c r="S414" s="76"/>
      <c r="T414" s="88"/>
    </row>
    <row r="415" ht="15.75" customHeight="1">
      <c r="A415" s="2"/>
      <c r="B415" s="2"/>
      <c r="C415" s="2"/>
      <c r="D415" s="2"/>
      <c r="E415" s="2"/>
      <c r="F415" s="2"/>
      <c r="G415" s="2"/>
      <c r="H415" s="2"/>
      <c r="I415" s="74"/>
      <c r="J415" s="74"/>
      <c r="K415" s="74"/>
      <c r="L415" s="74"/>
      <c r="M415" s="2"/>
      <c r="N415" s="2"/>
      <c r="O415" s="2"/>
      <c r="P415" s="74"/>
      <c r="Q415" s="2"/>
      <c r="R415" s="2"/>
      <c r="S415" s="76"/>
      <c r="T415" s="88"/>
    </row>
    <row r="416" ht="15.75" customHeight="1">
      <c r="A416" s="2"/>
      <c r="B416" s="2"/>
      <c r="C416" s="2"/>
      <c r="D416" s="2"/>
      <c r="E416" s="2"/>
      <c r="F416" s="2"/>
      <c r="G416" s="2"/>
      <c r="H416" s="2"/>
      <c r="I416" s="74"/>
      <c r="J416" s="74"/>
      <c r="K416" s="74"/>
      <c r="L416" s="74"/>
      <c r="M416" s="2"/>
      <c r="N416" s="2"/>
      <c r="O416" s="2"/>
      <c r="P416" s="74"/>
      <c r="Q416" s="2"/>
      <c r="R416" s="2"/>
      <c r="S416" s="76"/>
      <c r="T416" s="88"/>
    </row>
    <row r="417" ht="15.75" customHeight="1">
      <c r="A417" s="2"/>
      <c r="B417" s="2"/>
      <c r="C417" s="2"/>
      <c r="D417" s="2"/>
      <c r="E417" s="2"/>
      <c r="F417" s="2"/>
      <c r="G417" s="2"/>
      <c r="H417" s="2"/>
      <c r="I417" s="74"/>
      <c r="J417" s="74"/>
      <c r="K417" s="74"/>
      <c r="L417" s="74"/>
      <c r="M417" s="2"/>
      <c r="N417" s="2"/>
      <c r="O417" s="2"/>
      <c r="P417" s="74"/>
      <c r="Q417" s="2"/>
      <c r="R417" s="2"/>
      <c r="S417" s="76"/>
      <c r="T417" s="88"/>
    </row>
    <row r="418" ht="15.75" customHeight="1">
      <c r="A418" s="2"/>
      <c r="B418" s="2"/>
      <c r="C418" s="2"/>
      <c r="D418" s="2"/>
      <c r="E418" s="2"/>
      <c r="F418" s="2"/>
      <c r="G418" s="2"/>
      <c r="H418" s="2"/>
      <c r="I418" s="74"/>
      <c r="J418" s="74"/>
      <c r="K418" s="74"/>
      <c r="L418" s="74"/>
      <c r="M418" s="2"/>
      <c r="N418" s="2"/>
      <c r="O418" s="2"/>
      <c r="P418" s="74"/>
      <c r="Q418" s="2"/>
      <c r="R418" s="2"/>
      <c r="S418" s="76"/>
      <c r="T418" s="88"/>
    </row>
    <row r="419" ht="15.75" customHeight="1">
      <c r="A419" s="2"/>
      <c r="B419" s="2"/>
      <c r="C419" s="2"/>
      <c r="D419" s="2"/>
      <c r="E419" s="2"/>
      <c r="F419" s="2"/>
      <c r="G419" s="2"/>
      <c r="H419" s="2"/>
      <c r="I419" s="74"/>
      <c r="J419" s="74"/>
      <c r="K419" s="74"/>
      <c r="L419" s="74"/>
      <c r="M419" s="2"/>
      <c r="N419" s="2"/>
      <c r="O419" s="2"/>
      <c r="P419" s="74"/>
      <c r="Q419" s="2"/>
      <c r="R419" s="2"/>
      <c r="S419" s="76"/>
      <c r="T419" s="88"/>
    </row>
    <row r="420" ht="15.75" customHeight="1">
      <c r="A420" s="2"/>
      <c r="B420" s="2"/>
      <c r="C420" s="2"/>
      <c r="D420" s="2"/>
      <c r="E420" s="2"/>
      <c r="F420" s="2"/>
      <c r="G420" s="2"/>
      <c r="H420" s="2"/>
      <c r="I420" s="74"/>
      <c r="J420" s="74"/>
      <c r="K420" s="74"/>
      <c r="L420" s="74"/>
      <c r="M420" s="2"/>
      <c r="N420" s="2"/>
      <c r="O420" s="2"/>
      <c r="P420" s="74"/>
      <c r="Q420" s="2"/>
      <c r="R420" s="2"/>
      <c r="S420" s="76"/>
      <c r="T420" s="88"/>
    </row>
    <row r="421" ht="15.75" customHeight="1">
      <c r="A421" s="2"/>
      <c r="B421" s="2"/>
      <c r="C421" s="2"/>
      <c r="D421" s="2"/>
      <c r="E421" s="2"/>
      <c r="F421" s="2"/>
      <c r="G421" s="2"/>
      <c r="H421" s="2"/>
      <c r="I421" s="74"/>
      <c r="J421" s="74"/>
      <c r="K421" s="74"/>
      <c r="L421" s="74"/>
      <c r="M421" s="2"/>
      <c r="N421" s="2"/>
      <c r="O421" s="2"/>
      <c r="P421" s="74"/>
      <c r="Q421" s="2"/>
      <c r="R421" s="2"/>
      <c r="S421" s="76"/>
      <c r="T421" s="88"/>
    </row>
    <row r="422" ht="15.75" customHeight="1">
      <c r="A422" s="2"/>
      <c r="B422" s="2"/>
      <c r="C422" s="2"/>
      <c r="D422" s="2"/>
      <c r="E422" s="2"/>
      <c r="F422" s="2"/>
      <c r="G422" s="2"/>
      <c r="H422" s="2"/>
      <c r="I422" s="74"/>
      <c r="J422" s="74"/>
      <c r="K422" s="74"/>
      <c r="L422" s="74"/>
      <c r="M422" s="2"/>
      <c r="N422" s="2"/>
      <c r="O422" s="2"/>
      <c r="P422" s="74"/>
      <c r="Q422" s="2"/>
      <c r="R422" s="2"/>
      <c r="S422" s="76"/>
      <c r="T422" s="88"/>
    </row>
    <row r="423" ht="15.75" customHeight="1">
      <c r="A423" s="2"/>
      <c r="B423" s="2"/>
      <c r="C423" s="2"/>
      <c r="D423" s="2"/>
      <c r="E423" s="2"/>
      <c r="F423" s="2"/>
      <c r="G423" s="2"/>
      <c r="H423" s="2"/>
      <c r="I423" s="74"/>
      <c r="J423" s="74"/>
      <c r="K423" s="74"/>
      <c r="L423" s="74"/>
      <c r="M423" s="2"/>
      <c r="N423" s="2"/>
      <c r="O423" s="2"/>
      <c r="P423" s="74"/>
      <c r="Q423" s="2"/>
      <c r="R423" s="2"/>
      <c r="S423" s="76"/>
      <c r="T423" s="88"/>
    </row>
    <row r="424" ht="15.75" customHeight="1">
      <c r="A424" s="2"/>
      <c r="B424" s="2"/>
      <c r="C424" s="2"/>
      <c r="D424" s="2"/>
      <c r="E424" s="2"/>
      <c r="F424" s="2"/>
      <c r="G424" s="2"/>
      <c r="H424" s="2"/>
      <c r="I424" s="74"/>
      <c r="J424" s="74"/>
      <c r="K424" s="74"/>
      <c r="L424" s="74"/>
      <c r="M424" s="2"/>
      <c r="N424" s="2"/>
      <c r="O424" s="2"/>
      <c r="P424" s="74"/>
      <c r="Q424" s="2"/>
      <c r="R424" s="2"/>
      <c r="S424" s="76"/>
      <c r="T424" s="88"/>
    </row>
    <row r="425" ht="15.75" customHeight="1">
      <c r="A425" s="2"/>
      <c r="B425" s="2"/>
      <c r="C425" s="2"/>
      <c r="D425" s="2"/>
      <c r="E425" s="2"/>
      <c r="F425" s="2"/>
      <c r="G425" s="2"/>
      <c r="H425" s="2"/>
      <c r="I425" s="74"/>
      <c r="J425" s="74"/>
      <c r="K425" s="74"/>
      <c r="L425" s="74"/>
      <c r="M425" s="2"/>
      <c r="N425" s="2"/>
      <c r="O425" s="2"/>
      <c r="P425" s="74"/>
      <c r="Q425" s="2"/>
      <c r="R425" s="2"/>
      <c r="S425" s="76"/>
      <c r="T425" s="88"/>
    </row>
    <row r="426" ht="15.75" customHeight="1">
      <c r="A426" s="2"/>
      <c r="B426" s="2"/>
      <c r="C426" s="2"/>
      <c r="D426" s="2"/>
      <c r="E426" s="2"/>
      <c r="F426" s="2"/>
      <c r="G426" s="2"/>
      <c r="H426" s="2"/>
      <c r="I426" s="74"/>
      <c r="J426" s="74"/>
      <c r="K426" s="74"/>
      <c r="L426" s="74"/>
      <c r="M426" s="2"/>
      <c r="N426" s="2"/>
      <c r="O426" s="2"/>
      <c r="P426" s="74"/>
      <c r="Q426" s="2"/>
      <c r="R426" s="2"/>
      <c r="S426" s="76"/>
      <c r="T426" s="88"/>
    </row>
    <row r="427" ht="15.75" customHeight="1">
      <c r="A427" s="2"/>
      <c r="B427" s="2"/>
      <c r="C427" s="2"/>
      <c r="D427" s="2"/>
      <c r="E427" s="2"/>
      <c r="F427" s="2"/>
      <c r="G427" s="2"/>
      <c r="H427" s="2"/>
      <c r="I427" s="74"/>
      <c r="J427" s="74"/>
      <c r="K427" s="74"/>
      <c r="L427" s="74"/>
      <c r="M427" s="2"/>
      <c r="N427" s="2"/>
      <c r="O427" s="2"/>
      <c r="P427" s="74"/>
      <c r="Q427" s="2"/>
      <c r="R427" s="2"/>
      <c r="S427" s="76"/>
      <c r="T427" s="88"/>
    </row>
    <row r="428" ht="15.75" customHeight="1">
      <c r="A428" s="2"/>
      <c r="B428" s="2"/>
      <c r="C428" s="2"/>
      <c r="D428" s="2"/>
      <c r="E428" s="2"/>
      <c r="F428" s="2"/>
      <c r="G428" s="2"/>
      <c r="H428" s="2"/>
      <c r="I428" s="74"/>
      <c r="J428" s="74"/>
      <c r="K428" s="74"/>
      <c r="L428" s="74"/>
      <c r="M428" s="2"/>
      <c r="N428" s="2"/>
      <c r="O428" s="2"/>
      <c r="P428" s="74"/>
      <c r="Q428" s="2"/>
      <c r="R428" s="2"/>
      <c r="S428" s="76"/>
      <c r="T428" s="88"/>
    </row>
    <row r="429" ht="15.75" customHeight="1">
      <c r="A429" s="2"/>
      <c r="B429" s="2"/>
      <c r="C429" s="2"/>
      <c r="D429" s="2"/>
      <c r="E429" s="2"/>
      <c r="F429" s="2"/>
      <c r="G429" s="2"/>
      <c r="H429" s="2"/>
      <c r="I429" s="74"/>
      <c r="J429" s="74"/>
      <c r="K429" s="74"/>
      <c r="L429" s="74"/>
      <c r="M429" s="2"/>
      <c r="N429" s="2"/>
      <c r="O429" s="2"/>
      <c r="P429" s="74"/>
      <c r="Q429" s="2"/>
      <c r="R429" s="2"/>
      <c r="S429" s="76"/>
      <c r="T429" s="88"/>
    </row>
    <row r="430" ht="15.75" customHeight="1">
      <c r="A430" s="2"/>
      <c r="B430" s="2"/>
      <c r="C430" s="2"/>
      <c r="D430" s="2"/>
      <c r="E430" s="2"/>
      <c r="F430" s="2"/>
      <c r="G430" s="2"/>
      <c r="H430" s="2"/>
      <c r="I430" s="74"/>
      <c r="J430" s="74"/>
      <c r="K430" s="74"/>
      <c r="L430" s="74"/>
      <c r="M430" s="2"/>
      <c r="N430" s="2"/>
      <c r="O430" s="2"/>
      <c r="P430" s="74"/>
      <c r="Q430" s="2"/>
      <c r="R430" s="2"/>
      <c r="S430" s="76"/>
      <c r="T430" s="88"/>
    </row>
    <row r="431" ht="15.75" customHeight="1">
      <c r="A431" s="2"/>
      <c r="B431" s="2"/>
      <c r="C431" s="2"/>
      <c r="D431" s="2"/>
      <c r="E431" s="2"/>
      <c r="F431" s="2"/>
      <c r="G431" s="2"/>
      <c r="H431" s="2"/>
      <c r="I431" s="74"/>
      <c r="J431" s="74"/>
      <c r="K431" s="74"/>
      <c r="L431" s="74"/>
      <c r="M431" s="2"/>
      <c r="N431" s="2"/>
      <c r="O431" s="2"/>
      <c r="P431" s="74"/>
      <c r="Q431" s="2"/>
      <c r="R431" s="2"/>
      <c r="S431" s="76"/>
      <c r="T431" s="88"/>
    </row>
    <row r="432" ht="15.75" customHeight="1">
      <c r="A432" s="2"/>
      <c r="B432" s="2"/>
      <c r="C432" s="2"/>
      <c r="D432" s="2"/>
      <c r="E432" s="2"/>
      <c r="F432" s="2"/>
      <c r="G432" s="2"/>
      <c r="H432" s="2"/>
      <c r="I432" s="74"/>
      <c r="J432" s="74"/>
      <c r="K432" s="74"/>
      <c r="L432" s="74"/>
      <c r="M432" s="2"/>
      <c r="N432" s="2"/>
      <c r="O432" s="2"/>
      <c r="P432" s="74"/>
      <c r="Q432" s="2"/>
      <c r="R432" s="2"/>
      <c r="S432" s="76"/>
      <c r="T432" s="88"/>
    </row>
    <row r="433" ht="15.75" customHeight="1">
      <c r="A433" s="2"/>
      <c r="B433" s="2"/>
      <c r="C433" s="2"/>
      <c r="D433" s="2"/>
      <c r="E433" s="2"/>
      <c r="F433" s="2"/>
      <c r="G433" s="2"/>
      <c r="H433" s="2"/>
      <c r="I433" s="74"/>
      <c r="J433" s="74"/>
      <c r="K433" s="74"/>
      <c r="L433" s="74"/>
      <c r="M433" s="2"/>
      <c r="N433" s="2"/>
      <c r="O433" s="2"/>
      <c r="P433" s="74"/>
      <c r="Q433" s="2"/>
      <c r="R433" s="2"/>
      <c r="S433" s="76"/>
      <c r="T433" s="88"/>
    </row>
    <row r="434" ht="15.75" customHeight="1">
      <c r="A434" s="2"/>
      <c r="B434" s="2"/>
      <c r="C434" s="2"/>
      <c r="D434" s="2"/>
      <c r="E434" s="2"/>
      <c r="F434" s="2"/>
      <c r="G434" s="2"/>
      <c r="H434" s="2"/>
      <c r="I434" s="74"/>
      <c r="J434" s="74"/>
      <c r="K434" s="74"/>
      <c r="L434" s="74"/>
      <c r="M434" s="2"/>
      <c r="N434" s="2"/>
      <c r="O434" s="2"/>
      <c r="P434" s="74"/>
      <c r="Q434" s="2"/>
      <c r="R434" s="2"/>
      <c r="S434" s="76"/>
      <c r="T434" s="88"/>
    </row>
    <row r="435" ht="15.75" customHeight="1">
      <c r="A435" s="2"/>
      <c r="B435" s="2"/>
      <c r="C435" s="2"/>
      <c r="D435" s="2"/>
      <c r="E435" s="2"/>
      <c r="F435" s="2"/>
      <c r="G435" s="2"/>
      <c r="H435" s="2"/>
      <c r="I435" s="74"/>
      <c r="J435" s="74"/>
      <c r="K435" s="74"/>
      <c r="L435" s="74"/>
      <c r="M435" s="2"/>
      <c r="N435" s="2"/>
      <c r="O435" s="2"/>
      <c r="P435" s="74"/>
      <c r="Q435" s="2"/>
      <c r="R435" s="2"/>
      <c r="S435" s="76"/>
      <c r="T435" s="88"/>
    </row>
    <row r="436" ht="15.75" customHeight="1">
      <c r="A436" s="2"/>
      <c r="B436" s="2"/>
      <c r="C436" s="2"/>
      <c r="D436" s="2"/>
      <c r="E436" s="2"/>
      <c r="F436" s="2"/>
      <c r="G436" s="2"/>
      <c r="H436" s="2"/>
      <c r="I436" s="74"/>
      <c r="J436" s="74"/>
      <c r="K436" s="74"/>
      <c r="L436" s="74"/>
      <c r="M436" s="2"/>
      <c r="N436" s="2"/>
      <c r="O436" s="2"/>
      <c r="P436" s="74"/>
      <c r="Q436" s="2"/>
      <c r="R436" s="2"/>
      <c r="S436" s="76"/>
      <c r="T436" s="88"/>
    </row>
    <row r="437" ht="15.75" customHeight="1">
      <c r="A437" s="2"/>
      <c r="B437" s="2"/>
      <c r="C437" s="2"/>
      <c r="D437" s="2"/>
      <c r="E437" s="2"/>
      <c r="F437" s="2"/>
      <c r="G437" s="2"/>
      <c r="H437" s="2"/>
      <c r="I437" s="74"/>
      <c r="J437" s="74"/>
      <c r="K437" s="74"/>
      <c r="L437" s="74"/>
      <c r="M437" s="2"/>
      <c r="N437" s="2"/>
      <c r="O437" s="2"/>
      <c r="P437" s="74"/>
      <c r="Q437" s="2"/>
      <c r="R437" s="2"/>
      <c r="S437" s="76"/>
      <c r="T437" s="88"/>
    </row>
    <row r="438" ht="15.75" customHeight="1">
      <c r="A438" s="2"/>
      <c r="B438" s="2"/>
      <c r="C438" s="2"/>
      <c r="D438" s="2"/>
      <c r="E438" s="2"/>
      <c r="F438" s="2"/>
      <c r="G438" s="2"/>
      <c r="H438" s="2"/>
      <c r="I438" s="74"/>
      <c r="J438" s="74"/>
      <c r="K438" s="74"/>
      <c r="L438" s="74"/>
      <c r="M438" s="2"/>
      <c r="N438" s="2"/>
      <c r="O438" s="2"/>
      <c r="P438" s="74"/>
      <c r="Q438" s="2"/>
      <c r="R438" s="2"/>
      <c r="S438" s="76"/>
      <c r="T438" s="88"/>
    </row>
    <row r="439" ht="15.75" customHeight="1">
      <c r="A439" s="2"/>
      <c r="B439" s="2"/>
      <c r="C439" s="2"/>
      <c r="D439" s="2"/>
      <c r="E439" s="2"/>
      <c r="F439" s="2"/>
      <c r="G439" s="2"/>
      <c r="H439" s="2"/>
      <c r="I439" s="74"/>
      <c r="J439" s="74"/>
      <c r="K439" s="74"/>
      <c r="L439" s="74"/>
      <c r="M439" s="2"/>
      <c r="N439" s="2"/>
      <c r="O439" s="2"/>
      <c r="P439" s="74"/>
      <c r="Q439" s="2"/>
      <c r="R439" s="2"/>
      <c r="S439" s="76"/>
      <c r="T439" s="88"/>
    </row>
    <row r="440" ht="15.75" customHeight="1">
      <c r="A440" s="2"/>
      <c r="B440" s="2"/>
      <c r="C440" s="2"/>
      <c r="D440" s="2"/>
      <c r="E440" s="2"/>
      <c r="F440" s="2"/>
      <c r="G440" s="2"/>
      <c r="H440" s="2"/>
      <c r="I440" s="74"/>
      <c r="J440" s="74"/>
      <c r="K440" s="74"/>
      <c r="L440" s="74"/>
      <c r="M440" s="2"/>
      <c r="N440" s="2"/>
      <c r="O440" s="2"/>
      <c r="P440" s="74"/>
      <c r="Q440" s="2"/>
      <c r="R440" s="2"/>
      <c r="S440" s="76"/>
      <c r="T440" s="88"/>
    </row>
    <row r="441" ht="15.75" customHeight="1">
      <c r="A441" s="2"/>
      <c r="B441" s="2"/>
      <c r="C441" s="2"/>
      <c r="D441" s="2"/>
      <c r="E441" s="2"/>
      <c r="F441" s="2"/>
      <c r="G441" s="2"/>
      <c r="H441" s="2"/>
      <c r="I441" s="74"/>
      <c r="J441" s="74"/>
      <c r="K441" s="74"/>
      <c r="L441" s="74"/>
      <c r="M441" s="2"/>
      <c r="N441" s="2"/>
      <c r="O441" s="2"/>
      <c r="P441" s="74"/>
      <c r="Q441" s="2"/>
      <c r="R441" s="2"/>
      <c r="S441" s="76"/>
      <c r="T441" s="88"/>
    </row>
    <row r="442" ht="15.75" customHeight="1">
      <c r="A442" s="2"/>
      <c r="B442" s="2"/>
      <c r="C442" s="2"/>
      <c r="D442" s="2"/>
      <c r="E442" s="2"/>
      <c r="F442" s="2"/>
      <c r="G442" s="2"/>
      <c r="H442" s="2"/>
      <c r="I442" s="74"/>
      <c r="J442" s="74"/>
      <c r="K442" s="74"/>
      <c r="L442" s="74"/>
      <c r="M442" s="2"/>
      <c r="N442" s="2"/>
      <c r="O442" s="2"/>
      <c r="P442" s="74"/>
      <c r="Q442" s="2"/>
      <c r="R442" s="2"/>
      <c r="S442" s="76"/>
      <c r="T442" s="88"/>
    </row>
    <row r="443" ht="15.75" customHeight="1">
      <c r="A443" s="2"/>
      <c r="B443" s="2"/>
      <c r="C443" s="2"/>
      <c r="D443" s="2"/>
      <c r="E443" s="2"/>
      <c r="F443" s="2"/>
      <c r="G443" s="2"/>
      <c r="H443" s="2"/>
      <c r="I443" s="74"/>
      <c r="J443" s="74"/>
      <c r="K443" s="74"/>
      <c r="L443" s="74"/>
      <c r="M443" s="2"/>
      <c r="N443" s="2"/>
      <c r="O443" s="2"/>
      <c r="P443" s="74"/>
      <c r="Q443" s="2"/>
      <c r="R443" s="2"/>
      <c r="S443" s="76"/>
      <c r="T443" s="88"/>
    </row>
    <row r="444" ht="15.75" customHeight="1">
      <c r="A444" s="2"/>
      <c r="B444" s="2"/>
      <c r="C444" s="2"/>
      <c r="D444" s="2"/>
      <c r="E444" s="2"/>
      <c r="F444" s="2"/>
      <c r="G444" s="2"/>
      <c r="H444" s="2"/>
      <c r="I444" s="74"/>
      <c r="J444" s="74"/>
      <c r="K444" s="74"/>
      <c r="L444" s="74"/>
      <c r="M444" s="2"/>
      <c r="N444" s="2"/>
      <c r="O444" s="2"/>
      <c r="P444" s="74"/>
      <c r="Q444" s="2"/>
      <c r="R444" s="2"/>
      <c r="S444" s="76"/>
      <c r="T444" s="88"/>
    </row>
    <row r="445" ht="15.75" customHeight="1">
      <c r="A445" s="2"/>
      <c r="B445" s="2"/>
      <c r="C445" s="2"/>
      <c r="D445" s="2"/>
      <c r="E445" s="2"/>
      <c r="F445" s="2"/>
      <c r="G445" s="2"/>
      <c r="H445" s="2"/>
      <c r="I445" s="74"/>
      <c r="J445" s="74"/>
      <c r="K445" s="74"/>
      <c r="L445" s="74"/>
      <c r="M445" s="2"/>
      <c r="N445" s="2"/>
      <c r="O445" s="2"/>
      <c r="P445" s="74"/>
      <c r="Q445" s="2"/>
      <c r="R445" s="2"/>
      <c r="S445" s="76"/>
      <c r="T445" s="88"/>
    </row>
    <row r="446" ht="15.75" customHeight="1">
      <c r="A446" s="2"/>
      <c r="B446" s="2"/>
      <c r="C446" s="2"/>
      <c r="D446" s="2"/>
      <c r="E446" s="2"/>
      <c r="F446" s="2"/>
      <c r="G446" s="2"/>
      <c r="H446" s="2"/>
      <c r="I446" s="74"/>
      <c r="J446" s="74"/>
      <c r="K446" s="74"/>
      <c r="L446" s="74"/>
      <c r="M446" s="2"/>
      <c r="N446" s="2"/>
      <c r="O446" s="2"/>
      <c r="P446" s="74"/>
      <c r="Q446" s="2"/>
      <c r="R446" s="2"/>
      <c r="S446" s="76"/>
      <c r="T446" s="88"/>
    </row>
    <row r="447" ht="15.75" customHeight="1">
      <c r="A447" s="2"/>
      <c r="B447" s="2"/>
      <c r="C447" s="2"/>
      <c r="D447" s="2"/>
      <c r="E447" s="2"/>
      <c r="F447" s="2"/>
      <c r="G447" s="2"/>
      <c r="H447" s="2"/>
      <c r="I447" s="74"/>
      <c r="J447" s="74"/>
      <c r="K447" s="74"/>
      <c r="L447" s="74"/>
      <c r="M447" s="2"/>
      <c r="N447" s="2"/>
      <c r="O447" s="2"/>
      <c r="P447" s="74"/>
      <c r="Q447" s="2"/>
      <c r="R447" s="2"/>
      <c r="S447" s="76"/>
      <c r="T447" s="88"/>
    </row>
    <row r="448" ht="15.75" customHeight="1">
      <c r="A448" s="2"/>
      <c r="B448" s="2"/>
      <c r="C448" s="2"/>
      <c r="D448" s="2"/>
      <c r="E448" s="2"/>
      <c r="F448" s="2"/>
      <c r="G448" s="2"/>
      <c r="H448" s="2"/>
      <c r="I448" s="74"/>
      <c r="J448" s="74"/>
      <c r="K448" s="74"/>
      <c r="L448" s="74"/>
      <c r="M448" s="2"/>
      <c r="N448" s="2"/>
      <c r="O448" s="2"/>
      <c r="P448" s="74"/>
      <c r="Q448" s="2"/>
      <c r="R448" s="2"/>
      <c r="S448" s="76"/>
      <c r="T448" s="88"/>
    </row>
    <row r="449" ht="15.75" customHeight="1">
      <c r="A449" s="2"/>
      <c r="B449" s="2"/>
      <c r="C449" s="2"/>
      <c r="D449" s="2"/>
      <c r="E449" s="2"/>
      <c r="F449" s="2"/>
      <c r="G449" s="2"/>
      <c r="H449" s="2"/>
      <c r="I449" s="74"/>
      <c r="J449" s="74"/>
      <c r="K449" s="74"/>
      <c r="L449" s="74"/>
      <c r="M449" s="2"/>
      <c r="N449" s="2"/>
      <c r="O449" s="2"/>
      <c r="P449" s="74"/>
      <c r="Q449" s="2"/>
      <c r="R449" s="2"/>
      <c r="S449" s="76"/>
      <c r="T449" s="88"/>
    </row>
    <row r="450" ht="15.75" customHeight="1">
      <c r="A450" s="2"/>
      <c r="B450" s="2"/>
      <c r="C450" s="2"/>
      <c r="D450" s="2"/>
      <c r="E450" s="2"/>
      <c r="F450" s="2"/>
      <c r="G450" s="2"/>
      <c r="H450" s="2"/>
      <c r="I450" s="74"/>
      <c r="J450" s="74"/>
      <c r="K450" s="74"/>
      <c r="L450" s="74"/>
      <c r="M450" s="2"/>
      <c r="N450" s="2"/>
      <c r="O450" s="2"/>
      <c r="P450" s="74"/>
      <c r="Q450" s="2"/>
      <c r="R450" s="2"/>
      <c r="S450" s="76"/>
      <c r="T450" s="88"/>
    </row>
    <row r="451" ht="15.75" customHeight="1">
      <c r="A451" s="2"/>
      <c r="B451" s="2"/>
      <c r="C451" s="2"/>
      <c r="D451" s="2"/>
      <c r="E451" s="2"/>
      <c r="F451" s="2"/>
      <c r="G451" s="2"/>
      <c r="H451" s="2"/>
      <c r="I451" s="74"/>
      <c r="J451" s="74"/>
      <c r="K451" s="74"/>
      <c r="L451" s="74"/>
      <c r="M451" s="2"/>
      <c r="N451" s="2"/>
      <c r="O451" s="2"/>
      <c r="P451" s="74"/>
      <c r="Q451" s="2"/>
      <c r="R451" s="2"/>
      <c r="S451" s="76"/>
      <c r="T451" s="88"/>
    </row>
    <row r="452" ht="15.75" customHeight="1">
      <c r="A452" s="2"/>
      <c r="B452" s="2"/>
      <c r="C452" s="2"/>
      <c r="D452" s="2"/>
      <c r="E452" s="2"/>
      <c r="F452" s="2"/>
      <c r="G452" s="2"/>
      <c r="H452" s="2"/>
      <c r="I452" s="74"/>
      <c r="J452" s="74"/>
      <c r="K452" s="74"/>
      <c r="L452" s="74"/>
      <c r="M452" s="2"/>
      <c r="N452" s="2"/>
      <c r="O452" s="2"/>
      <c r="P452" s="74"/>
      <c r="Q452" s="2"/>
      <c r="R452" s="2"/>
      <c r="S452" s="76"/>
      <c r="T452" s="88"/>
    </row>
    <row r="453" ht="15.75" customHeight="1">
      <c r="A453" s="2"/>
      <c r="B453" s="2"/>
      <c r="C453" s="2"/>
      <c r="D453" s="2"/>
      <c r="E453" s="2"/>
      <c r="F453" s="2"/>
      <c r="G453" s="2"/>
      <c r="H453" s="2"/>
      <c r="I453" s="74"/>
      <c r="J453" s="74"/>
      <c r="K453" s="74"/>
      <c r="L453" s="74"/>
      <c r="M453" s="2"/>
      <c r="N453" s="2"/>
      <c r="O453" s="2"/>
      <c r="P453" s="74"/>
      <c r="Q453" s="2"/>
      <c r="R453" s="2"/>
      <c r="S453" s="76"/>
      <c r="T453" s="88"/>
    </row>
    <row r="454" ht="15.75" customHeight="1">
      <c r="A454" s="2"/>
      <c r="B454" s="2"/>
      <c r="C454" s="2"/>
      <c r="D454" s="2"/>
      <c r="E454" s="2"/>
      <c r="F454" s="2"/>
      <c r="G454" s="2"/>
      <c r="H454" s="2"/>
      <c r="I454" s="74"/>
      <c r="J454" s="74"/>
      <c r="K454" s="74"/>
      <c r="L454" s="74"/>
      <c r="M454" s="2"/>
      <c r="N454" s="2"/>
      <c r="O454" s="2"/>
      <c r="P454" s="74"/>
      <c r="Q454" s="2"/>
      <c r="R454" s="2"/>
      <c r="S454" s="76"/>
      <c r="T454" s="88"/>
    </row>
    <row r="455" ht="15.75" customHeight="1">
      <c r="A455" s="2"/>
      <c r="B455" s="2"/>
      <c r="C455" s="2"/>
      <c r="D455" s="2"/>
      <c r="E455" s="2"/>
      <c r="F455" s="2"/>
      <c r="G455" s="2"/>
      <c r="H455" s="2"/>
      <c r="I455" s="74"/>
      <c r="J455" s="74"/>
      <c r="K455" s="74"/>
      <c r="L455" s="74"/>
      <c r="M455" s="2"/>
      <c r="N455" s="2"/>
      <c r="O455" s="2"/>
      <c r="P455" s="74"/>
      <c r="Q455" s="2"/>
      <c r="R455" s="2"/>
      <c r="S455" s="76"/>
      <c r="T455" s="88"/>
    </row>
    <row r="456" ht="15.75" customHeight="1">
      <c r="A456" s="2"/>
      <c r="B456" s="2"/>
      <c r="C456" s="2"/>
      <c r="D456" s="2"/>
      <c r="E456" s="2"/>
      <c r="F456" s="2"/>
      <c r="G456" s="2"/>
      <c r="H456" s="2"/>
      <c r="I456" s="74"/>
      <c r="J456" s="74"/>
      <c r="K456" s="74"/>
      <c r="L456" s="74"/>
      <c r="M456" s="2"/>
      <c r="N456" s="2"/>
      <c r="O456" s="2"/>
      <c r="P456" s="74"/>
      <c r="Q456" s="2"/>
      <c r="R456" s="2"/>
      <c r="S456" s="76"/>
      <c r="T456" s="88"/>
    </row>
    <row r="457" ht="15.75" customHeight="1">
      <c r="A457" s="2"/>
      <c r="B457" s="2"/>
      <c r="C457" s="2"/>
      <c r="D457" s="2"/>
      <c r="E457" s="2"/>
      <c r="F457" s="2"/>
      <c r="G457" s="2"/>
      <c r="H457" s="2"/>
      <c r="I457" s="74"/>
      <c r="J457" s="74"/>
      <c r="K457" s="74"/>
      <c r="L457" s="74"/>
      <c r="M457" s="2"/>
      <c r="N457" s="2"/>
      <c r="O457" s="2"/>
      <c r="P457" s="74"/>
      <c r="Q457" s="2"/>
      <c r="R457" s="2"/>
      <c r="S457" s="76"/>
      <c r="T457" s="88"/>
    </row>
    <row r="458" ht="15.75" customHeight="1">
      <c r="A458" s="2"/>
      <c r="B458" s="2"/>
      <c r="C458" s="2"/>
      <c r="D458" s="2"/>
      <c r="E458" s="2"/>
      <c r="F458" s="2"/>
      <c r="G458" s="2"/>
      <c r="H458" s="2"/>
      <c r="I458" s="74"/>
      <c r="J458" s="74"/>
      <c r="K458" s="74"/>
      <c r="L458" s="74"/>
      <c r="M458" s="2"/>
      <c r="N458" s="2"/>
      <c r="O458" s="2"/>
      <c r="P458" s="74"/>
      <c r="Q458" s="2"/>
      <c r="R458" s="2"/>
      <c r="S458" s="76"/>
      <c r="T458" s="88"/>
    </row>
    <row r="459" ht="15.75" customHeight="1">
      <c r="A459" s="2"/>
      <c r="B459" s="2"/>
      <c r="C459" s="2"/>
      <c r="D459" s="2"/>
      <c r="E459" s="2"/>
      <c r="F459" s="2"/>
      <c r="G459" s="2"/>
      <c r="H459" s="2"/>
      <c r="I459" s="74"/>
      <c r="J459" s="74"/>
      <c r="K459" s="74"/>
      <c r="L459" s="74"/>
      <c r="M459" s="2"/>
      <c r="N459" s="2"/>
      <c r="O459" s="2"/>
      <c r="P459" s="74"/>
      <c r="Q459" s="2"/>
      <c r="R459" s="2"/>
      <c r="S459" s="76"/>
      <c r="T459" s="88"/>
    </row>
    <row r="460" ht="15.75" customHeight="1">
      <c r="A460" s="2"/>
      <c r="B460" s="2"/>
      <c r="C460" s="2"/>
      <c r="D460" s="2"/>
      <c r="E460" s="2"/>
      <c r="F460" s="2"/>
      <c r="G460" s="2"/>
      <c r="H460" s="2"/>
      <c r="I460" s="74"/>
      <c r="J460" s="74"/>
      <c r="K460" s="74"/>
      <c r="L460" s="74"/>
      <c r="M460" s="2"/>
      <c r="N460" s="2"/>
      <c r="O460" s="2"/>
      <c r="P460" s="74"/>
      <c r="Q460" s="2"/>
      <c r="R460" s="2"/>
      <c r="S460" s="76"/>
      <c r="T460" s="88"/>
    </row>
    <row r="461" ht="15.75" customHeight="1">
      <c r="A461" s="2"/>
      <c r="B461" s="2"/>
      <c r="C461" s="2"/>
      <c r="D461" s="2"/>
      <c r="E461" s="2"/>
      <c r="F461" s="2"/>
      <c r="G461" s="2"/>
      <c r="H461" s="2"/>
      <c r="I461" s="74"/>
      <c r="J461" s="74"/>
      <c r="K461" s="74"/>
      <c r="L461" s="74"/>
      <c r="M461" s="2"/>
      <c r="N461" s="2"/>
      <c r="O461" s="2"/>
      <c r="P461" s="74"/>
      <c r="Q461" s="2"/>
      <c r="R461" s="2"/>
      <c r="S461" s="76"/>
      <c r="T461" s="88"/>
    </row>
    <row r="462" ht="15.75" customHeight="1">
      <c r="A462" s="2"/>
      <c r="B462" s="2"/>
      <c r="C462" s="2"/>
      <c r="D462" s="2"/>
      <c r="E462" s="2"/>
      <c r="F462" s="2"/>
      <c r="G462" s="2"/>
      <c r="H462" s="2"/>
      <c r="I462" s="74"/>
      <c r="J462" s="74"/>
      <c r="K462" s="74"/>
      <c r="L462" s="74"/>
      <c r="M462" s="2"/>
      <c r="N462" s="2"/>
      <c r="O462" s="2"/>
      <c r="P462" s="74"/>
      <c r="Q462" s="2"/>
      <c r="R462" s="2"/>
      <c r="S462" s="76"/>
      <c r="T462" s="88"/>
    </row>
    <row r="463" ht="15.75" customHeight="1">
      <c r="A463" s="2"/>
      <c r="B463" s="2"/>
      <c r="C463" s="2"/>
      <c r="D463" s="2"/>
      <c r="E463" s="2"/>
      <c r="F463" s="2"/>
      <c r="G463" s="2"/>
      <c r="H463" s="2"/>
      <c r="I463" s="74"/>
      <c r="J463" s="74"/>
      <c r="K463" s="74"/>
      <c r="L463" s="74"/>
      <c r="M463" s="2"/>
      <c r="N463" s="2"/>
      <c r="O463" s="2"/>
      <c r="P463" s="74"/>
      <c r="Q463" s="2"/>
      <c r="R463" s="2"/>
      <c r="S463" s="76"/>
      <c r="T463" s="88"/>
    </row>
    <row r="464" ht="15.75" customHeight="1">
      <c r="A464" s="2"/>
      <c r="B464" s="2"/>
      <c r="C464" s="2"/>
      <c r="D464" s="2"/>
      <c r="E464" s="2"/>
      <c r="F464" s="2"/>
      <c r="G464" s="2"/>
      <c r="H464" s="2"/>
      <c r="I464" s="74"/>
      <c r="J464" s="74"/>
      <c r="K464" s="74"/>
      <c r="L464" s="74"/>
      <c r="M464" s="2"/>
      <c r="N464" s="2"/>
      <c r="O464" s="2"/>
      <c r="P464" s="74"/>
      <c r="Q464" s="2"/>
      <c r="R464" s="2"/>
      <c r="S464" s="76"/>
      <c r="T464" s="88"/>
    </row>
    <row r="465" ht="15.75" customHeight="1">
      <c r="A465" s="2"/>
      <c r="B465" s="2"/>
      <c r="C465" s="2"/>
      <c r="D465" s="2"/>
      <c r="E465" s="2"/>
      <c r="F465" s="2"/>
      <c r="G465" s="2"/>
      <c r="H465" s="2"/>
      <c r="I465" s="74"/>
      <c r="J465" s="74"/>
      <c r="K465" s="74"/>
      <c r="L465" s="74"/>
      <c r="M465" s="2"/>
      <c r="N465" s="2"/>
      <c r="O465" s="2"/>
      <c r="P465" s="74"/>
      <c r="Q465" s="2"/>
      <c r="R465" s="2"/>
      <c r="S465" s="76"/>
      <c r="T465" s="88"/>
    </row>
    <row r="466" ht="15.75" customHeight="1">
      <c r="A466" s="2"/>
      <c r="B466" s="2"/>
      <c r="C466" s="2"/>
      <c r="D466" s="2"/>
      <c r="E466" s="2"/>
      <c r="F466" s="2"/>
      <c r="G466" s="2"/>
      <c r="H466" s="2"/>
      <c r="I466" s="74"/>
      <c r="J466" s="74"/>
      <c r="K466" s="74"/>
      <c r="L466" s="74"/>
      <c r="M466" s="2"/>
      <c r="N466" s="2"/>
      <c r="O466" s="2"/>
      <c r="P466" s="74"/>
      <c r="Q466" s="2"/>
      <c r="R466" s="2"/>
      <c r="S466" s="76"/>
      <c r="T466" s="88"/>
    </row>
    <row r="467" ht="15.75" customHeight="1">
      <c r="A467" s="2"/>
      <c r="B467" s="2"/>
      <c r="C467" s="2"/>
      <c r="D467" s="2"/>
      <c r="E467" s="2"/>
      <c r="F467" s="2"/>
      <c r="G467" s="2"/>
      <c r="H467" s="2"/>
      <c r="I467" s="74"/>
      <c r="J467" s="74"/>
      <c r="K467" s="74"/>
      <c r="L467" s="74"/>
      <c r="M467" s="2"/>
      <c r="N467" s="2"/>
      <c r="O467" s="2"/>
      <c r="P467" s="74"/>
      <c r="Q467" s="2"/>
      <c r="R467" s="2"/>
      <c r="S467" s="76"/>
      <c r="T467" s="88"/>
    </row>
    <row r="468" ht="15.75" customHeight="1">
      <c r="A468" s="2"/>
      <c r="B468" s="2"/>
      <c r="C468" s="2"/>
      <c r="D468" s="2"/>
      <c r="E468" s="2"/>
      <c r="F468" s="2"/>
      <c r="G468" s="2"/>
      <c r="H468" s="2"/>
      <c r="I468" s="74"/>
      <c r="J468" s="74"/>
      <c r="K468" s="74"/>
      <c r="L468" s="74"/>
      <c r="M468" s="2"/>
      <c r="N468" s="2"/>
      <c r="O468" s="2"/>
      <c r="P468" s="74"/>
      <c r="Q468" s="2"/>
      <c r="R468" s="2"/>
      <c r="S468" s="76"/>
      <c r="T468" s="88"/>
    </row>
    <row r="469" ht="15.75" customHeight="1">
      <c r="A469" s="2"/>
      <c r="B469" s="2"/>
      <c r="C469" s="2"/>
      <c r="D469" s="2"/>
      <c r="E469" s="2"/>
      <c r="F469" s="2"/>
      <c r="G469" s="2"/>
      <c r="H469" s="2"/>
      <c r="I469" s="74"/>
      <c r="J469" s="74"/>
      <c r="K469" s="74"/>
      <c r="L469" s="74"/>
      <c r="M469" s="2"/>
      <c r="N469" s="2"/>
      <c r="O469" s="2"/>
      <c r="P469" s="74"/>
      <c r="Q469" s="2"/>
      <c r="R469" s="2"/>
      <c r="S469" s="76"/>
      <c r="T469" s="88"/>
    </row>
    <row r="470" ht="15.75" customHeight="1">
      <c r="A470" s="2"/>
      <c r="B470" s="2"/>
      <c r="C470" s="2"/>
      <c r="D470" s="2"/>
      <c r="E470" s="2"/>
      <c r="F470" s="2"/>
      <c r="G470" s="2"/>
      <c r="H470" s="2"/>
      <c r="I470" s="74"/>
      <c r="J470" s="74"/>
      <c r="K470" s="74"/>
      <c r="L470" s="74"/>
      <c r="M470" s="2"/>
      <c r="N470" s="2"/>
      <c r="O470" s="2"/>
      <c r="P470" s="74"/>
      <c r="Q470" s="2"/>
      <c r="R470" s="2"/>
      <c r="S470" s="76"/>
      <c r="T470" s="88"/>
    </row>
    <row r="471" ht="15.75" customHeight="1">
      <c r="A471" s="2"/>
      <c r="B471" s="2"/>
      <c r="C471" s="2"/>
      <c r="D471" s="2"/>
      <c r="E471" s="2"/>
      <c r="F471" s="2"/>
      <c r="G471" s="2"/>
      <c r="H471" s="2"/>
      <c r="I471" s="74"/>
      <c r="J471" s="74"/>
      <c r="K471" s="74"/>
      <c r="L471" s="74"/>
      <c r="M471" s="2"/>
      <c r="N471" s="2"/>
      <c r="O471" s="2"/>
      <c r="P471" s="74"/>
      <c r="Q471" s="2"/>
      <c r="R471" s="2"/>
      <c r="S471" s="76"/>
      <c r="T471" s="88"/>
    </row>
    <row r="472" ht="15.75" customHeight="1">
      <c r="A472" s="2"/>
      <c r="B472" s="2"/>
      <c r="C472" s="2"/>
      <c r="D472" s="2"/>
      <c r="E472" s="2"/>
      <c r="F472" s="2"/>
      <c r="G472" s="2"/>
      <c r="H472" s="2"/>
      <c r="I472" s="74"/>
      <c r="J472" s="74"/>
      <c r="K472" s="74"/>
      <c r="L472" s="74"/>
      <c r="M472" s="2"/>
      <c r="N472" s="2"/>
      <c r="O472" s="2"/>
      <c r="P472" s="74"/>
      <c r="Q472" s="2"/>
      <c r="R472" s="2"/>
      <c r="S472" s="76"/>
      <c r="T472" s="88"/>
    </row>
    <row r="473" ht="15.75" customHeight="1">
      <c r="A473" s="2"/>
      <c r="B473" s="2"/>
      <c r="C473" s="2"/>
      <c r="D473" s="2"/>
      <c r="E473" s="2"/>
      <c r="F473" s="2"/>
      <c r="G473" s="2"/>
      <c r="H473" s="2"/>
      <c r="I473" s="74"/>
      <c r="J473" s="74"/>
      <c r="K473" s="74"/>
      <c r="L473" s="74"/>
      <c r="M473" s="2"/>
      <c r="N473" s="2"/>
      <c r="O473" s="2"/>
      <c r="P473" s="74"/>
      <c r="Q473" s="2"/>
      <c r="R473" s="2"/>
      <c r="S473" s="76"/>
      <c r="T473" s="88"/>
    </row>
    <row r="474" ht="15.75" customHeight="1">
      <c r="A474" s="2"/>
      <c r="B474" s="2"/>
      <c r="C474" s="2"/>
      <c r="D474" s="2"/>
      <c r="E474" s="2"/>
      <c r="F474" s="2"/>
      <c r="G474" s="2"/>
      <c r="H474" s="2"/>
      <c r="I474" s="74"/>
      <c r="J474" s="74"/>
      <c r="K474" s="74"/>
      <c r="L474" s="74"/>
      <c r="M474" s="2"/>
      <c r="N474" s="2"/>
      <c r="O474" s="2"/>
      <c r="P474" s="74"/>
      <c r="Q474" s="2"/>
      <c r="R474" s="2"/>
      <c r="S474" s="76"/>
      <c r="T474" s="88"/>
    </row>
    <row r="475" ht="15.75" customHeight="1">
      <c r="A475" s="2"/>
      <c r="B475" s="2"/>
      <c r="C475" s="2"/>
      <c r="D475" s="2"/>
      <c r="E475" s="2"/>
      <c r="F475" s="2"/>
      <c r="G475" s="2"/>
      <c r="H475" s="2"/>
      <c r="I475" s="74"/>
      <c r="J475" s="74"/>
      <c r="K475" s="74"/>
      <c r="L475" s="74"/>
      <c r="M475" s="2"/>
      <c r="N475" s="2"/>
      <c r="O475" s="2"/>
      <c r="P475" s="74"/>
      <c r="Q475" s="2"/>
      <c r="R475" s="2"/>
      <c r="S475" s="76"/>
      <c r="T475" s="88"/>
    </row>
    <row r="476" ht="15.75" customHeight="1">
      <c r="A476" s="2"/>
      <c r="B476" s="2"/>
      <c r="C476" s="2"/>
      <c r="D476" s="2"/>
      <c r="E476" s="2"/>
      <c r="F476" s="2"/>
      <c r="G476" s="2"/>
      <c r="H476" s="2"/>
      <c r="I476" s="74"/>
      <c r="J476" s="74"/>
      <c r="K476" s="74"/>
      <c r="L476" s="74"/>
      <c r="M476" s="2"/>
      <c r="N476" s="2"/>
      <c r="O476" s="2"/>
      <c r="P476" s="74"/>
      <c r="Q476" s="2"/>
      <c r="R476" s="2"/>
      <c r="S476" s="76"/>
      <c r="T476" s="88"/>
    </row>
    <row r="477" ht="15.75" customHeight="1">
      <c r="A477" s="2"/>
      <c r="B477" s="2"/>
      <c r="C477" s="2"/>
      <c r="D477" s="2"/>
      <c r="E477" s="2"/>
      <c r="F477" s="2"/>
      <c r="G477" s="2"/>
      <c r="H477" s="2"/>
      <c r="I477" s="74"/>
      <c r="J477" s="74"/>
      <c r="K477" s="74"/>
      <c r="L477" s="74"/>
      <c r="M477" s="2"/>
      <c r="N477" s="2"/>
      <c r="O477" s="2"/>
      <c r="P477" s="74"/>
      <c r="Q477" s="2"/>
      <c r="R477" s="2"/>
      <c r="S477" s="76"/>
      <c r="T477" s="88"/>
    </row>
    <row r="478" ht="15.75" customHeight="1">
      <c r="A478" s="2"/>
      <c r="B478" s="2"/>
      <c r="C478" s="2"/>
      <c r="D478" s="2"/>
      <c r="E478" s="2"/>
      <c r="F478" s="2"/>
      <c r="G478" s="2"/>
      <c r="H478" s="2"/>
      <c r="I478" s="74"/>
      <c r="J478" s="74"/>
      <c r="K478" s="74"/>
      <c r="L478" s="74"/>
      <c r="M478" s="2"/>
      <c r="N478" s="2"/>
      <c r="O478" s="2"/>
      <c r="P478" s="74"/>
      <c r="Q478" s="2"/>
      <c r="R478" s="2"/>
      <c r="S478" s="76"/>
      <c r="T478" s="88"/>
    </row>
    <row r="479" ht="15.75" customHeight="1">
      <c r="A479" s="2"/>
      <c r="B479" s="2"/>
      <c r="C479" s="2"/>
      <c r="D479" s="2"/>
      <c r="E479" s="2"/>
      <c r="F479" s="2"/>
      <c r="G479" s="2"/>
      <c r="H479" s="2"/>
      <c r="I479" s="74"/>
      <c r="J479" s="74"/>
      <c r="K479" s="74"/>
      <c r="L479" s="74"/>
      <c r="M479" s="2"/>
      <c r="N479" s="2"/>
      <c r="O479" s="2"/>
      <c r="P479" s="74"/>
      <c r="Q479" s="2"/>
      <c r="R479" s="2"/>
      <c r="S479" s="76"/>
      <c r="T479" s="88"/>
    </row>
    <row r="480" ht="15.75" customHeight="1">
      <c r="A480" s="2"/>
      <c r="B480" s="2"/>
      <c r="C480" s="2"/>
      <c r="D480" s="2"/>
      <c r="E480" s="2"/>
      <c r="F480" s="2"/>
      <c r="G480" s="2"/>
      <c r="H480" s="2"/>
      <c r="I480" s="74"/>
      <c r="J480" s="74"/>
      <c r="K480" s="74"/>
      <c r="L480" s="74"/>
      <c r="M480" s="2"/>
      <c r="N480" s="2"/>
      <c r="O480" s="2"/>
      <c r="P480" s="74"/>
      <c r="Q480" s="2"/>
      <c r="R480" s="2"/>
      <c r="S480" s="76"/>
      <c r="T480" s="88"/>
    </row>
    <row r="481" ht="15.75" customHeight="1">
      <c r="A481" s="2"/>
      <c r="B481" s="2"/>
      <c r="C481" s="2"/>
      <c r="D481" s="2"/>
      <c r="E481" s="2"/>
      <c r="F481" s="2"/>
      <c r="G481" s="2"/>
      <c r="H481" s="2"/>
      <c r="I481" s="74"/>
      <c r="J481" s="74"/>
      <c r="K481" s="74"/>
      <c r="L481" s="74"/>
      <c r="M481" s="2"/>
      <c r="N481" s="2"/>
      <c r="O481" s="2"/>
      <c r="P481" s="74"/>
      <c r="Q481" s="2"/>
      <c r="R481" s="2"/>
      <c r="S481" s="76"/>
      <c r="T481" s="88"/>
    </row>
    <row r="482" ht="15.75" customHeight="1">
      <c r="A482" s="2"/>
      <c r="B482" s="2"/>
      <c r="C482" s="2"/>
      <c r="D482" s="2"/>
      <c r="E482" s="2"/>
      <c r="F482" s="2"/>
      <c r="G482" s="2"/>
      <c r="H482" s="2"/>
      <c r="I482" s="74"/>
      <c r="J482" s="74"/>
      <c r="K482" s="74"/>
      <c r="L482" s="74"/>
      <c r="M482" s="2"/>
      <c r="N482" s="2"/>
      <c r="O482" s="2"/>
      <c r="P482" s="74"/>
      <c r="Q482" s="2"/>
      <c r="R482" s="2"/>
      <c r="S482" s="76"/>
      <c r="T482" s="88"/>
    </row>
    <row r="483" ht="15.75" customHeight="1">
      <c r="A483" s="2"/>
      <c r="B483" s="2"/>
      <c r="C483" s="2"/>
      <c r="D483" s="2"/>
      <c r="E483" s="2"/>
      <c r="F483" s="2"/>
      <c r="G483" s="2"/>
      <c r="H483" s="2"/>
      <c r="I483" s="74"/>
      <c r="J483" s="74"/>
      <c r="K483" s="74"/>
      <c r="L483" s="74"/>
      <c r="M483" s="2"/>
      <c r="N483" s="2"/>
      <c r="O483" s="2"/>
      <c r="P483" s="74"/>
      <c r="Q483" s="2"/>
      <c r="R483" s="2"/>
      <c r="S483" s="76"/>
      <c r="T483" s="88"/>
    </row>
    <row r="484" ht="15.75" customHeight="1">
      <c r="A484" s="2"/>
      <c r="B484" s="2"/>
      <c r="C484" s="2"/>
      <c r="D484" s="2"/>
      <c r="E484" s="2"/>
      <c r="F484" s="2"/>
      <c r="G484" s="2"/>
      <c r="H484" s="2"/>
      <c r="I484" s="74"/>
      <c r="J484" s="74"/>
      <c r="K484" s="74"/>
      <c r="L484" s="74"/>
      <c r="M484" s="2"/>
      <c r="N484" s="2"/>
      <c r="O484" s="2"/>
      <c r="P484" s="74"/>
      <c r="Q484" s="2"/>
      <c r="R484" s="2"/>
      <c r="S484" s="76"/>
      <c r="T484" s="88"/>
    </row>
    <row r="485" ht="15.75" customHeight="1">
      <c r="A485" s="2"/>
      <c r="B485" s="2"/>
      <c r="C485" s="2"/>
      <c r="D485" s="2"/>
      <c r="E485" s="2"/>
      <c r="F485" s="2"/>
      <c r="G485" s="2"/>
      <c r="H485" s="2"/>
      <c r="I485" s="74"/>
      <c r="J485" s="74"/>
      <c r="K485" s="74"/>
      <c r="L485" s="74"/>
      <c r="M485" s="2"/>
      <c r="N485" s="2"/>
      <c r="O485" s="2"/>
      <c r="P485" s="74"/>
      <c r="Q485" s="2"/>
      <c r="R485" s="2"/>
      <c r="S485" s="76"/>
      <c r="T485" s="88"/>
    </row>
    <row r="486" ht="15.75" customHeight="1">
      <c r="A486" s="2"/>
      <c r="B486" s="2"/>
      <c r="C486" s="2"/>
      <c r="D486" s="2"/>
      <c r="E486" s="2"/>
      <c r="F486" s="2"/>
      <c r="G486" s="2"/>
      <c r="H486" s="2"/>
      <c r="I486" s="74"/>
      <c r="J486" s="74"/>
      <c r="K486" s="74"/>
      <c r="L486" s="74"/>
      <c r="M486" s="2"/>
      <c r="N486" s="2"/>
      <c r="O486" s="2"/>
      <c r="P486" s="74"/>
      <c r="Q486" s="2"/>
      <c r="R486" s="2"/>
      <c r="S486" s="76"/>
      <c r="T486" s="88"/>
    </row>
    <row r="487" ht="15.75" customHeight="1">
      <c r="A487" s="2"/>
      <c r="B487" s="2"/>
      <c r="C487" s="2"/>
      <c r="D487" s="2"/>
      <c r="E487" s="2"/>
      <c r="F487" s="2"/>
      <c r="G487" s="2"/>
      <c r="H487" s="2"/>
      <c r="I487" s="74"/>
      <c r="J487" s="74"/>
      <c r="K487" s="74"/>
      <c r="L487" s="74"/>
      <c r="M487" s="2"/>
      <c r="N487" s="2"/>
      <c r="O487" s="2"/>
      <c r="P487" s="74"/>
      <c r="Q487" s="2"/>
      <c r="R487" s="2"/>
      <c r="S487" s="76"/>
      <c r="T487" s="88"/>
    </row>
    <row r="488" ht="15.75" customHeight="1">
      <c r="A488" s="2"/>
      <c r="B488" s="2"/>
      <c r="C488" s="2"/>
      <c r="D488" s="2"/>
      <c r="E488" s="2"/>
      <c r="F488" s="2"/>
      <c r="G488" s="2"/>
      <c r="H488" s="2"/>
      <c r="I488" s="74"/>
      <c r="J488" s="74"/>
      <c r="K488" s="74"/>
      <c r="L488" s="74"/>
      <c r="M488" s="2"/>
      <c r="N488" s="2"/>
      <c r="O488" s="2"/>
      <c r="P488" s="74"/>
      <c r="Q488" s="2"/>
      <c r="R488" s="2"/>
      <c r="S488" s="76"/>
      <c r="T488" s="88"/>
    </row>
    <row r="489" ht="15.75" customHeight="1">
      <c r="A489" s="2"/>
      <c r="B489" s="2"/>
      <c r="C489" s="2"/>
      <c r="D489" s="2"/>
      <c r="E489" s="2"/>
      <c r="F489" s="2"/>
      <c r="G489" s="2"/>
      <c r="H489" s="2"/>
      <c r="I489" s="74"/>
      <c r="J489" s="74"/>
      <c r="K489" s="74"/>
      <c r="L489" s="74"/>
      <c r="M489" s="2"/>
      <c r="N489" s="2"/>
      <c r="O489" s="2"/>
      <c r="P489" s="74"/>
      <c r="Q489" s="2"/>
      <c r="R489" s="2"/>
      <c r="S489" s="76"/>
      <c r="T489" s="88"/>
    </row>
    <row r="490" ht="15.75" customHeight="1">
      <c r="A490" s="2"/>
      <c r="B490" s="2"/>
      <c r="C490" s="2"/>
      <c r="D490" s="2"/>
      <c r="E490" s="2"/>
      <c r="F490" s="2"/>
      <c r="G490" s="2"/>
      <c r="H490" s="2"/>
      <c r="I490" s="74"/>
      <c r="J490" s="74"/>
      <c r="K490" s="74"/>
      <c r="L490" s="74"/>
      <c r="M490" s="2"/>
      <c r="N490" s="2"/>
      <c r="O490" s="2"/>
      <c r="P490" s="74"/>
      <c r="Q490" s="2"/>
      <c r="R490" s="2"/>
      <c r="S490" s="76"/>
      <c r="T490" s="88"/>
    </row>
    <row r="491" ht="15.75" customHeight="1">
      <c r="A491" s="2"/>
      <c r="B491" s="2"/>
      <c r="C491" s="2"/>
      <c r="D491" s="2"/>
      <c r="E491" s="2"/>
      <c r="F491" s="2"/>
      <c r="G491" s="2"/>
      <c r="H491" s="2"/>
      <c r="I491" s="74"/>
      <c r="J491" s="74"/>
      <c r="K491" s="74"/>
      <c r="L491" s="74"/>
      <c r="M491" s="2"/>
      <c r="N491" s="2"/>
      <c r="O491" s="2"/>
      <c r="P491" s="74"/>
      <c r="Q491" s="2"/>
      <c r="R491" s="2"/>
      <c r="S491" s="76"/>
      <c r="T491" s="88"/>
    </row>
    <row r="492" ht="15.75" customHeight="1">
      <c r="A492" s="2"/>
      <c r="B492" s="2"/>
      <c r="C492" s="2"/>
      <c r="D492" s="2"/>
      <c r="E492" s="2"/>
      <c r="F492" s="2"/>
      <c r="G492" s="2"/>
      <c r="H492" s="2"/>
      <c r="I492" s="74"/>
      <c r="J492" s="74"/>
      <c r="K492" s="74"/>
      <c r="L492" s="74"/>
      <c r="M492" s="2"/>
      <c r="N492" s="2"/>
      <c r="O492" s="2"/>
      <c r="P492" s="74"/>
      <c r="Q492" s="2"/>
      <c r="R492" s="2"/>
      <c r="S492" s="76"/>
      <c r="T492" s="88"/>
    </row>
    <row r="493" ht="15.75" customHeight="1">
      <c r="A493" s="2"/>
      <c r="B493" s="2"/>
      <c r="C493" s="2"/>
      <c r="D493" s="2"/>
      <c r="E493" s="2"/>
      <c r="F493" s="2"/>
      <c r="G493" s="2"/>
      <c r="H493" s="2"/>
      <c r="I493" s="74"/>
      <c r="J493" s="74"/>
      <c r="K493" s="74"/>
      <c r="L493" s="74"/>
      <c r="M493" s="2"/>
      <c r="N493" s="2"/>
      <c r="O493" s="2"/>
      <c r="P493" s="74"/>
      <c r="Q493" s="2"/>
      <c r="R493" s="2"/>
      <c r="S493" s="76"/>
      <c r="T493" s="88"/>
    </row>
    <row r="494" ht="15.75" customHeight="1">
      <c r="A494" s="2"/>
      <c r="B494" s="2"/>
      <c r="C494" s="2"/>
      <c r="D494" s="2"/>
      <c r="E494" s="2"/>
      <c r="F494" s="2"/>
      <c r="G494" s="2"/>
      <c r="H494" s="2"/>
      <c r="I494" s="74"/>
      <c r="J494" s="74"/>
      <c r="K494" s="74"/>
      <c r="L494" s="74"/>
      <c r="M494" s="2"/>
      <c r="N494" s="2"/>
      <c r="O494" s="2"/>
      <c r="P494" s="74"/>
      <c r="Q494" s="2"/>
      <c r="R494" s="2"/>
      <c r="S494" s="76"/>
      <c r="T494" s="88"/>
    </row>
    <row r="495" ht="15.75" customHeight="1">
      <c r="A495" s="2"/>
      <c r="B495" s="2"/>
      <c r="C495" s="2"/>
      <c r="D495" s="2"/>
      <c r="E495" s="2"/>
      <c r="F495" s="2"/>
      <c r="G495" s="2"/>
      <c r="H495" s="2"/>
      <c r="I495" s="74"/>
      <c r="J495" s="74"/>
      <c r="K495" s="74"/>
      <c r="L495" s="74"/>
      <c r="M495" s="2"/>
      <c r="N495" s="2"/>
      <c r="O495" s="2"/>
      <c r="P495" s="74"/>
      <c r="Q495" s="2"/>
      <c r="R495" s="2"/>
      <c r="S495" s="76"/>
      <c r="T495" s="88"/>
    </row>
    <row r="496" ht="15.75" customHeight="1">
      <c r="A496" s="2"/>
      <c r="B496" s="2"/>
      <c r="C496" s="2"/>
      <c r="D496" s="2"/>
      <c r="E496" s="2"/>
      <c r="F496" s="2"/>
      <c r="G496" s="2"/>
      <c r="H496" s="2"/>
      <c r="I496" s="74"/>
      <c r="J496" s="74"/>
      <c r="K496" s="74"/>
      <c r="L496" s="74"/>
      <c r="M496" s="2"/>
      <c r="N496" s="2"/>
      <c r="O496" s="2"/>
      <c r="P496" s="74"/>
      <c r="Q496" s="2"/>
      <c r="R496" s="2"/>
      <c r="S496" s="76"/>
      <c r="T496" s="88"/>
    </row>
    <row r="497" ht="15.75" customHeight="1">
      <c r="A497" s="2"/>
      <c r="B497" s="2"/>
      <c r="C497" s="2"/>
      <c r="D497" s="2"/>
      <c r="E497" s="2"/>
      <c r="F497" s="2"/>
      <c r="G497" s="2"/>
      <c r="H497" s="2"/>
      <c r="I497" s="74"/>
      <c r="J497" s="74"/>
      <c r="K497" s="74"/>
      <c r="L497" s="74"/>
      <c r="M497" s="2"/>
      <c r="N497" s="2"/>
      <c r="O497" s="2"/>
      <c r="P497" s="74"/>
      <c r="Q497" s="2"/>
      <c r="R497" s="2"/>
      <c r="S497" s="76"/>
      <c r="T497" s="88"/>
    </row>
    <row r="498" ht="15.75" customHeight="1">
      <c r="A498" s="2"/>
      <c r="B498" s="2"/>
      <c r="C498" s="2"/>
      <c r="D498" s="2"/>
      <c r="E498" s="2"/>
      <c r="F498" s="2"/>
      <c r="G498" s="2"/>
      <c r="H498" s="2"/>
      <c r="I498" s="74"/>
      <c r="J498" s="74"/>
      <c r="K498" s="74"/>
      <c r="L498" s="74"/>
      <c r="M498" s="2"/>
      <c r="N498" s="2"/>
      <c r="O498" s="2"/>
      <c r="P498" s="74"/>
      <c r="Q498" s="2"/>
      <c r="R498" s="2"/>
      <c r="S498" s="76"/>
      <c r="T498" s="88"/>
    </row>
    <row r="499" ht="15.75" customHeight="1">
      <c r="A499" s="2"/>
      <c r="B499" s="2"/>
      <c r="C499" s="2"/>
      <c r="D499" s="2"/>
      <c r="E499" s="2"/>
      <c r="F499" s="2"/>
      <c r="G499" s="2"/>
      <c r="H499" s="2"/>
      <c r="I499" s="74"/>
      <c r="J499" s="74"/>
      <c r="K499" s="74"/>
      <c r="L499" s="74"/>
      <c r="M499" s="2"/>
      <c r="N499" s="2"/>
      <c r="O499" s="2"/>
      <c r="P499" s="74"/>
      <c r="Q499" s="2"/>
      <c r="R499" s="2"/>
      <c r="S499" s="76"/>
      <c r="T499" s="88"/>
    </row>
    <row r="500" ht="15.75" customHeight="1">
      <c r="A500" s="2"/>
      <c r="B500" s="2"/>
      <c r="C500" s="2"/>
      <c r="D500" s="2"/>
      <c r="E500" s="2"/>
      <c r="F500" s="2"/>
      <c r="G500" s="2"/>
      <c r="H500" s="2"/>
      <c r="I500" s="74"/>
      <c r="J500" s="74"/>
      <c r="K500" s="74"/>
      <c r="L500" s="74"/>
      <c r="M500" s="2"/>
      <c r="N500" s="2"/>
      <c r="O500" s="2"/>
      <c r="P500" s="74"/>
      <c r="Q500" s="2"/>
      <c r="R500" s="2"/>
      <c r="S500" s="76"/>
      <c r="T500" s="88"/>
    </row>
    <row r="501" ht="15.75" customHeight="1">
      <c r="A501" s="2"/>
      <c r="B501" s="2"/>
      <c r="C501" s="2"/>
      <c r="D501" s="2"/>
      <c r="E501" s="2"/>
      <c r="F501" s="2"/>
      <c r="G501" s="2"/>
      <c r="H501" s="2"/>
      <c r="I501" s="74"/>
      <c r="J501" s="74"/>
      <c r="K501" s="74"/>
      <c r="L501" s="74"/>
      <c r="M501" s="2"/>
      <c r="N501" s="2"/>
      <c r="O501" s="2"/>
      <c r="P501" s="74"/>
      <c r="Q501" s="2"/>
      <c r="R501" s="2"/>
      <c r="S501" s="76"/>
      <c r="T501" s="88"/>
    </row>
    <row r="502" ht="15.75" customHeight="1">
      <c r="A502" s="2"/>
      <c r="B502" s="2"/>
      <c r="C502" s="2"/>
      <c r="D502" s="2"/>
      <c r="E502" s="2"/>
      <c r="F502" s="2"/>
      <c r="G502" s="2"/>
      <c r="H502" s="2"/>
      <c r="I502" s="74"/>
      <c r="J502" s="74"/>
      <c r="K502" s="74"/>
      <c r="L502" s="74"/>
      <c r="M502" s="2"/>
      <c r="N502" s="2"/>
      <c r="O502" s="2"/>
      <c r="P502" s="74"/>
      <c r="Q502" s="2"/>
      <c r="R502" s="2"/>
      <c r="S502" s="76"/>
      <c r="T502" s="88"/>
    </row>
    <row r="503" ht="15.75" customHeight="1">
      <c r="A503" s="2"/>
      <c r="B503" s="2"/>
      <c r="C503" s="2"/>
      <c r="D503" s="2"/>
      <c r="E503" s="2"/>
      <c r="F503" s="2"/>
      <c r="G503" s="2"/>
      <c r="H503" s="2"/>
      <c r="I503" s="74"/>
      <c r="J503" s="74"/>
      <c r="K503" s="74"/>
      <c r="L503" s="74"/>
      <c r="M503" s="2"/>
      <c r="N503" s="2"/>
      <c r="O503" s="2"/>
      <c r="P503" s="74"/>
      <c r="Q503" s="2"/>
      <c r="R503" s="2"/>
      <c r="S503" s="76"/>
      <c r="T503" s="88"/>
    </row>
    <row r="504" ht="15.75" customHeight="1">
      <c r="A504" s="2"/>
      <c r="B504" s="2"/>
      <c r="C504" s="2"/>
      <c r="D504" s="2"/>
      <c r="E504" s="2"/>
      <c r="F504" s="2"/>
      <c r="G504" s="2"/>
      <c r="H504" s="2"/>
      <c r="I504" s="74"/>
      <c r="J504" s="74"/>
      <c r="K504" s="74"/>
      <c r="L504" s="74"/>
      <c r="M504" s="2"/>
      <c r="N504" s="2"/>
      <c r="O504" s="2"/>
      <c r="P504" s="74"/>
      <c r="Q504" s="2"/>
      <c r="R504" s="2"/>
      <c r="S504" s="76"/>
      <c r="T504" s="88"/>
    </row>
    <row r="505" ht="15.75" customHeight="1">
      <c r="A505" s="2"/>
      <c r="B505" s="2"/>
      <c r="C505" s="2"/>
      <c r="D505" s="2"/>
      <c r="E505" s="2"/>
      <c r="F505" s="2"/>
      <c r="G505" s="2"/>
      <c r="H505" s="2"/>
      <c r="I505" s="74"/>
      <c r="J505" s="74"/>
      <c r="K505" s="74"/>
      <c r="L505" s="74"/>
      <c r="M505" s="2"/>
      <c r="N505" s="2"/>
      <c r="O505" s="2"/>
      <c r="P505" s="74"/>
      <c r="Q505" s="2"/>
      <c r="R505" s="2"/>
      <c r="S505" s="76"/>
      <c r="T505" s="88"/>
    </row>
    <row r="506" ht="15.75" customHeight="1">
      <c r="A506" s="2"/>
      <c r="B506" s="2"/>
      <c r="C506" s="2"/>
      <c r="D506" s="2"/>
      <c r="E506" s="2"/>
      <c r="F506" s="2"/>
      <c r="G506" s="2"/>
      <c r="H506" s="2"/>
      <c r="I506" s="74"/>
      <c r="J506" s="74"/>
      <c r="K506" s="74"/>
      <c r="L506" s="74"/>
      <c r="M506" s="2"/>
      <c r="N506" s="2"/>
      <c r="O506" s="2"/>
      <c r="P506" s="74"/>
      <c r="Q506" s="2"/>
      <c r="R506" s="2"/>
      <c r="S506" s="76"/>
      <c r="T506" s="88"/>
    </row>
    <row r="507" ht="15.75" customHeight="1">
      <c r="A507" s="2"/>
      <c r="B507" s="2"/>
      <c r="C507" s="2"/>
      <c r="D507" s="2"/>
      <c r="E507" s="2"/>
      <c r="F507" s="2"/>
      <c r="G507" s="2"/>
      <c r="H507" s="2"/>
      <c r="I507" s="74"/>
      <c r="J507" s="74"/>
      <c r="K507" s="74"/>
      <c r="L507" s="74"/>
      <c r="M507" s="2"/>
      <c r="N507" s="2"/>
      <c r="O507" s="2"/>
      <c r="P507" s="74"/>
      <c r="Q507" s="2"/>
      <c r="R507" s="2"/>
      <c r="S507" s="76"/>
      <c r="T507" s="88"/>
    </row>
    <row r="508" ht="15.75" customHeight="1">
      <c r="A508" s="2"/>
      <c r="B508" s="2"/>
      <c r="C508" s="2"/>
      <c r="D508" s="2"/>
      <c r="E508" s="2"/>
      <c r="F508" s="2"/>
      <c r="G508" s="2"/>
      <c r="H508" s="2"/>
      <c r="I508" s="74"/>
      <c r="J508" s="74"/>
      <c r="K508" s="74"/>
      <c r="L508" s="74"/>
      <c r="M508" s="2"/>
      <c r="N508" s="2"/>
      <c r="O508" s="2"/>
      <c r="P508" s="74"/>
      <c r="Q508" s="2"/>
      <c r="R508" s="2"/>
      <c r="S508" s="76"/>
      <c r="T508" s="88"/>
    </row>
    <row r="509" ht="15.75" customHeight="1">
      <c r="A509" s="2"/>
      <c r="B509" s="2"/>
      <c r="C509" s="2"/>
      <c r="D509" s="2"/>
      <c r="E509" s="2"/>
      <c r="F509" s="2"/>
      <c r="G509" s="2"/>
      <c r="H509" s="2"/>
      <c r="I509" s="74"/>
      <c r="J509" s="74"/>
      <c r="K509" s="74"/>
      <c r="L509" s="74"/>
      <c r="M509" s="2"/>
      <c r="N509" s="2"/>
      <c r="O509" s="2"/>
      <c r="P509" s="74"/>
      <c r="Q509" s="2"/>
      <c r="R509" s="2"/>
      <c r="S509" s="76"/>
      <c r="T509" s="88"/>
    </row>
    <row r="510" ht="15.75" customHeight="1">
      <c r="A510" s="2"/>
      <c r="B510" s="2"/>
      <c r="C510" s="2"/>
      <c r="D510" s="2"/>
      <c r="E510" s="2"/>
      <c r="F510" s="2"/>
      <c r="G510" s="2"/>
      <c r="H510" s="2"/>
      <c r="I510" s="74"/>
      <c r="J510" s="74"/>
      <c r="K510" s="74"/>
      <c r="L510" s="74"/>
      <c r="M510" s="2"/>
      <c r="N510" s="2"/>
      <c r="O510" s="2"/>
      <c r="P510" s="74"/>
      <c r="Q510" s="2"/>
      <c r="R510" s="2"/>
      <c r="S510" s="76"/>
      <c r="T510" s="88"/>
    </row>
    <row r="511" ht="15.75" customHeight="1">
      <c r="A511" s="2"/>
      <c r="B511" s="2"/>
      <c r="C511" s="2"/>
      <c r="D511" s="2"/>
      <c r="E511" s="2"/>
      <c r="F511" s="2"/>
      <c r="G511" s="2"/>
      <c r="H511" s="2"/>
      <c r="I511" s="74"/>
      <c r="J511" s="74"/>
      <c r="K511" s="74"/>
      <c r="L511" s="74"/>
      <c r="M511" s="2"/>
      <c r="N511" s="2"/>
      <c r="O511" s="2"/>
      <c r="P511" s="74"/>
      <c r="Q511" s="2"/>
      <c r="R511" s="2"/>
      <c r="S511" s="76"/>
      <c r="T511" s="88"/>
    </row>
    <row r="512" ht="15.75" customHeight="1">
      <c r="A512" s="2"/>
      <c r="B512" s="2"/>
      <c r="C512" s="2"/>
      <c r="D512" s="2"/>
      <c r="E512" s="2"/>
      <c r="F512" s="2"/>
      <c r="G512" s="2"/>
      <c r="H512" s="2"/>
      <c r="I512" s="74"/>
      <c r="J512" s="74"/>
      <c r="K512" s="74"/>
      <c r="L512" s="74"/>
      <c r="M512" s="2"/>
      <c r="N512" s="2"/>
      <c r="O512" s="2"/>
      <c r="P512" s="74"/>
      <c r="Q512" s="2"/>
      <c r="R512" s="2"/>
      <c r="S512" s="76"/>
      <c r="T512" s="88"/>
    </row>
    <row r="513" ht="15.75" customHeight="1">
      <c r="A513" s="2"/>
      <c r="B513" s="2"/>
      <c r="C513" s="2"/>
      <c r="D513" s="2"/>
      <c r="E513" s="2"/>
      <c r="F513" s="2"/>
      <c r="G513" s="2"/>
      <c r="H513" s="2"/>
      <c r="I513" s="74"/>
      <c r="J513" s="74"/>
      <c r="K513" s="74"/>
      <c r="L513" s="74"/>
      <c r="M513" s="2"/>
      <c r="N513" s="2"/>
      <c r="O513" s="2"/>
      <c r="P513" s="74"/>
      <c r="Q513" s="2"/>
      <c r="R513" s="2"/>
      <c r="S513" s="76"/>
      <c r="T513" s="88"/>
    </row>
    <row r="514" ht="15.75" customHeight="1">
      <c r="A514" s="2"/>
      <c r="B514" s="2"/>
      <c r="C514" s="2"/>
      <c r="D514" s="2"/>
      <c r="E514" s="2"/>
      <c r="F514" s="2"/>
      <c r="G514" s="2"/>
      <c r="H514" s="2"/>
      <c r="I514" s="74"/>
      <c r="J514" s="74"/>
      <c r="K514" s="74"/>
      <c r="L514" s="74"/>
      <c r="M514" s="2"/>
      <c r="N514" s="2"/>
      <c r="O514" s="2"/>
      <c r="P514" s="74"/>
      <c r="Q514" s="2"/>
      <c r="R514" s="2"/>
      <c r="S514" s="76"/>
      <c r="T514" s="88"/>
    </row>
    <row r="515" ht="15.75" customHeight="1">
      <c r="A515" s="2"/>
      <c r="B515" s="2"/>
      <c r="C515" s="2"/>
      <c r="D515" s="2"/>
      <c r="E515" s="2"/>
      <c r="F515" s="2"/>
      <c r="G515" s="2"/>
      <c r="H515" s="2"/>
      <c r="I515" s="74"/>
      <c r="J515" s="74"/>
      <c r="K515" s="74"/>
      <c r="L515" s="74"/>
      <c r="M515" s="2"/>
      <c r="N515" s="2"/>
      <c r="O515" s="2"/>
      <c r="P515" s="74"/>
      <c r="Q515" s="2"/>
      <c r="R515" s="2"/>
      <c r="S515" s="76"/>
      <c r="T515" s="88"/>
    </row>
    <row r="516" ht="15.75" customHeight="1">
      <c r="A516" s="2"/>
      <c r="B516" s="2"/>
      <c r="C516" s="2"/>
      <c r="D516" s="2"/>
      <c r="E516" s="2"/>
      <c r="F516" s="2"/>
      <c r="G516" s="2"/>
      <c r="H516" s="2"/>
      <c r="I516" s="74"/>
      <c r="J516" s="74"/>
      <c r="K516" s="74"/>
      <c r="L516" s="74"/>
      <c r="M516" s="2"/>
      <c r="N516" s="2"/>
      <c r="O516" s="2"/>
      <c r="P516" s="74"/>
      <c r="Q516" s="2"/>
      <c r="R516" s="2"/>
      <c r="S516" s="76"/>
      <c r="T516" s="88"/>
    </row>
    <row r="517" ht="15.75" customHeight="1">
      <c r="A517" s="2"/>
      <c r="B517" s="2"/>
      <c r="C517" s="2"/>
      <c r="D517" s="2"/>
      <c r="E517" s="2"/>
      <c r="F517" s="2"/>
      <c r="G517" s="2"/>
      <c r="H517" s="2"/>
      <c r="I517" s="74"/>
      <c r="J517" s="74"/>
      <c r="K517" s="74"/>
      <c r="L517" s="74"/>
      <c r="M517" s="2"/>
      <c r="N517" s="2"/>
      <c r="O517" s="2"/>
      <c r="P517" s="74"/>
      <c r="Q517" s="2"/>
      <c r="R517" s="2"/>
      <c r="S517" s="76"/>
      <c r="T517" s="88"/>
    </row>
    <row r="518" ht="15.75" customHeight="1">
      <c r="A518" s="2"/>
      <c r="B518" s="2"/>
      <c r="C518" s="2"/>
      <c r="D518" s="2"/>
      <c r="E518" s="2"/>
      <c r="F518" s="2"/>
      <c r="G518" s="2"/>
      <c r="H518" s="2"/>
      <c r="I518" s="74"/>
      <c r="J518" s="74"/>
      <c r="K518" s="74"/>
      <c r="L518" s="74"/>
      <c r="M518" s="2"/>
      <c r="N518" s="2"/>
      <c r="O518" s="2"/>
      <c r="P518" s="74"/>
      <c r="Q518" s="2"/>
      <c r="R518" s="2"/>
      <c r="S518" s="76"/>
      <c r="T518" s="88"/>
    </row>
    <row r="519" ht="15.75" customHeight="1">
      <c r="A519" s="2"/>
      <c r="B519" s="2"/>
      <c r="C519" s="2"/>
      <c r="D519" s="2"/>
      <c r="E519" s="2"/>
      <c r="F519" s="2"/>
      <c r="G519" s="2"/>
      <c r="H519" s="2"/>
      <c r="I519" s="74"/>
      <c r="J519" s="74"/>
      <c r="K519" s="74"/>
      <c r="L519" s="74"/>
      <c r="M519" s="2"/>
      <c r="N519" s="2"/>
      <c r="O519" s="2"/>
      <c r="P519" s="74"/>
      <c r="Q519" s="2"/>
      <c r="R519" s="2"/>
      <c r="S519" s="76"/>
      <c r="T519" s="88"/>
    </row>
    <row r="520" ht="15.75" customHeight="1">
      <c r="A520" s="2"/>
      <c r="B520" s="2"/>
      <c r="C520" s="2"/>
      <c r="D520" s="2"/>
      <c r="E520" s="2"/>
      <c r="F520" s="2"/>
      <c r="G520" s="2"/>
      <c r="H520" s="2"/>
      <c r="I520" s="74"/>
      <c r="J520" s="74"/>
      <c r="K520" s="74"/>
      <c r="L520" s="74"/>
      <c r="M520" s="2"/>
      <c r="N520" s="2"/>
      <c r="O520" s="2"/>
      <c r="P520" s="74"/>
      <c r="Q520" s="2"/>
      <c r="R520" s="2"/>
      <c r="S520" s="76"/>
      <c r="T520" s="88"/>
    </row>
    <row r="521" ht="15.75" customHeight="1">
      <c r="A521" s="2"/>
      <c r="B521" s="2"/>
      <c r="C521" s="2"/>
      <c r="D521" s="2"/>
      <c r="E521" s="2"/>
      <c r="F521" s="2"/>
      <c r="G521" s="2"/>
      <c r="H521" s="2"/>
      <c r="I521" s="74"/>
      <c r="J521" s="74"/>
      <c r="K521" s="74"/>
      <c r="L521" s="74"/>
      <c r="M521" s="2"/>
      <c r="N521" s="2"/>
      <c r="O521" s="2"/>
      <c r="P521" s="74"/>
      <c r="Q521" s="2"/>
      <c r="R521" s="2"/>
      <c r="S521" s="76"/>
      <c r="T521" s="88"/>
    </row>
    <row r="522" ht="15.75" customHeight="1">
      <c r="A522" s="2"/>
      <c r="B522" s="2"/>
      <c r="C522" s="2"/>
      <c r="D522" s="2"/>
      <c r="E522" s="2"/>
      <c r="F522" s="2"/>
      <c r="G522" s="2"/>
      <c r="H522" s="2"/>
      <c r="I522" s="74"/>
      <c r="J522" s="74"/>
      <c r="K522" s="74"/>
      <c r="L522" s="74"/>
      <c r="M522" s="2"/>
      <c r="N522" s="2"/>
      <c r="O522" s="2"/>
      <c r="P522" s="74"/>
      <c r="Q522" s="2"/>
      <c r="R522" s="2"/>
      <c r="S522" s="76"/>
      <c r="T522" s="88"/>
    </row>
    <row r="523" ht="15.75" customHeight="1">
      <c r="A523" s="2"/>
      <c r="B523" s="2"/>
      <c r="C523" s="2"/>
      <c r="D523" s="2"/>
      <c r="E523" s="2"/>
      <c r="F523" s="2"/>
      <c r="G523" s="2"/>
      <c r="H523" s="2"/>
      <c r="I523" s="74"/>
      <c r="J523" s="74"/>
      <c r="K523" s="74"/>
      <c r="L523" s="74"/>
      <c r="M523" s="2"/>
      <c r="N523" s="2"/>
      <c r="O523" s="2"/>
      <c r="P523" s="74"/>
      <c r="Q523" s="2"/>
      <c r="R523" s="2"/>
      <c r="S523" s="76"/>
      <c r="T523" s="88"/>
    </row>
    <row r="524" ht="15.75" customHeight="1">
      <c r="A524" s="2"/>
      <c r="B524" s="2"/>
      <c r="C524" s="2"/>
      <c r="D524" s="2"/>
      <c r="E524" s="2"/>
      <c r="F524" s="2"/>
      <c r="G524" s="2"/>
      <c r="H524" s="2"/>
      <c r="I524" s="74"/>
      <c r="J524" s="74"/>
      <c r="K524" s="74"/>
      <c r="L524" s="74"/>
      <c r="M524" s="2"/>
      <c r="N524" s="2"/>
      <c r="O524" s="2"/>
      <c r="P524" s="74"/>
      <c r="Q524" s="2"/>
      <c r="R524" s="2"/>
      <c r="S524" s="76"/>
      <c r="T524" s="88"/>
    </row>
    <row r="525" ht="15.75" customHeight="1">
      <c r="A525" s="2"/>
      <c r="B525" s="2"/>
      <c r="C525" s="2"/>
      <c r="D525" s="2"/>
      <c r="E525" s="2"/>
      <c r="F525" s="2"/>
      <c r="G525" s="2"/>
      <c r="H525" s="2"/>
      <c r="I525" s="74"/>
      <c r="J525" s="74"/>
      <c r="K525" s="74"/>
      <c r="L525" s="74"/>
      <c r="M525" s="2"/>
      <c r="N525" s="2"/>
      <c r="O525" s="2"/>
      <c r="P525" s="74"/>
      <c r="Q525" s="2"/>
      <c r="R525" s="2"/>
      <c r="S525" s="76"/>
      <c r="T525" s="88"/>
    </row>
    <row r="526" ht="15.75" customHeight="1">
      <c r="A526" s="2"/>
      <c r="B526" s="2"/>
      <c r="C526" s="2"/>
      <c r="D526" s="2"/>
      <c r="E526" s="2"/>
      <c r="F526" s="2"/>
      <c r="G526" s="2"/>
      <c r="H526" s="2"/>
      <c r="I526" s="74"/>
      <c r="J526" s="74"/>
      <c r="K526" s="74"/>
      <c r="L526" s="74"/>
      <c r="M526" s="2"/>
      <c r="N526" s="2"/>
      <c r="O526" s="2"/>
      <c r="P526" s="74"/>
      <c r="Q526" s="2"/>
      <c r="R526" s="2"/>
      <c r="S526" s="76"/>
      <c r="T526" s="88"/>
    </row>
    <row r="527" ht="15.75" customHeight="1">
      <c r="A527" s="2"/>
      <c r="B527" s="2"/>
      <c r="C527" s="2"/>
      <c r="D527" s="2"/>
      <c r="E527" s="2"/>
      <c r="F527" s="2"/>
      <c r="G527" s="2"/>
      <c r="H527" s="2"/>
      <c r="I527" s="74"/>
      <c r="J527" s="74"/>
      <c r="K527" s="74"/>
      <c r="L527" s="74"/>
      <c r="M527" s="2"/>
      <c r="N527" s="2"/>
      <c r="O527" s="2"/>
      <c r="P527" s="74"/>
      <c r="Q527" s="2"/>
      <c r="R527" s="2"/>
      <c r="S527" s="76"/>
      <c r="T527" s="88"/>
    </row>
    <row r="528" ht="15.75" customHeight="1">
      <c r="A528" s="2"/>
      <c r="B528" s="2"/>
      <c r="C528" s="2"/>
      <c r="D528" s="2"/>
      <c r="E528" s="2"/>
      <c r="F528" s="2"/>
      <c r="G528" s="2"/>
      <c r="H528" s="2"/>
      <c r="I528" s="74"/>
      <c r="J528" s="74"/>
      <c r="K528" s="74"/>
      <c r="L528" s="74"/>
      <c r="M528" s="2"/>
      <c r="N528" s="2"/>
      <c r="O528" s="2"/>
      <c r="P528" s="74"/>
      <c r="Q528" s="2"/>
      <c r="R528" s="2"/>
      <c r="S528" s="76"/>
      <c r="T528" s="88"/>
    </row>
    <row r="529" ht="15.75" customHeight="1">
      <c r="A529" s="2"/>
      <c r="B529" s="2"/>
      <c r="C529" s="2"/>
      <c r="D529" s="2"/>
      <c r="E529" s="2"/>
      <c r="F529" s="2"/>
      <c r="G529" s="2"/>
      <c r="H529" s="2"/>
      <c r="I529" s="74"/>
      <c r="J529" s="74"/>
      <c r="K529" s="74"/>
      <c r="L529" s="74"/>
      <c r="M529" s="2"/>
      <c r="N529" s="2"/>
      <c r="O529" s="2"/>
      <c r="P529" s="74"/>
      <c r="Q529" s="2"/>
      <c r="R529" s="2"/>
      <c r="S529" s="76"/>
      <c r="T529" s="88"/>
    </row>
    <row r="530" ht="15.75" customHeight="1">
      <c r="A530" s="2"/>
      <c r="B530" s="2"/>
      <c r="C530" s="2"/>
      <c r="D530" s="2"/>
      <c r="E530" s="2"/>
      <c r="F530" s="2"/>
      <c r="G530" s="2"/>
      <c r="H530" s="2"/>
      <c r="I530" s="74"/>
      <c r="J530" s="74"/>
      <c r="K530" s="74"/>
      <c r="L530" s="74"/>
      <c r="M530" s="2"/>
      <c r="N530" s="2"/>
      <c r="O530" s="2"/>
      <c r="P530" s="74"/>
      <c r="Q530" s="2"/>
      <c r="R530" s="2"/>
      <c r="S530" s="76"/>
      <c r="T530" s="88"/>
    </row>
    <row r="531" ht="15.75" customHeight="1">
      <c r="A531" s="2"/>
      <c r="B531" s="2"/>
      <c r="C531" s="2"/>
      <c r="D531" s="2"/>
      <c r="E531" s="2"/>
      <c r="F531" s="2"/>
      <c r="G531" s="2"/>
      <c r="H531" s="2"/>
      <c r="I531" s="74"/>
      <c r="J531" s="74"/>
      <c r="K531" s="74"/>
      <c r="L531" s="74"/>
      <c r="M531" s="2"/>
      <c r="N531" s="2"/>
      <c r="O531" s="2"/>
      <c r="P531" s="74"/>
      <c r="Q531" s="2"/>
      <c r="R531" s="2"/>
      <c r="S531" s="76"/>
      <c r="T531" s="88"/>
    </row>
    <row r="532" ht="15.75" customHeight="1">
      <c r="A532" s="2"/>
      <c r="B532" s="2"/>
      <c r="C532" s="2"/>
      <c r="D532" s="2"/>
      <c r="E532" s="2"/>
      <c r="F532" s="2"/>
      <c r="G532" s="2"/>
      <c r="H532" s="2"/>
      <c r="I532" s="74"/>
      <c r="J532" s="74"/>
      <c r="K532" s="74"/>
      <c r="L532" s="74"/>
      <c r="M532" s="2"/>
      <c r="N532" s="2"/>
      <c r="O532" s="2"/>
      <c r="P532" s="74"/>
      <c r="Q532" s="2"/>
      <c r="R532" s="2"/>
      <c r="S532" s="76"/>
      <c r="T532" s="88"/>
    </row>
    <row r="533" ht="15.75" customHeight="1">
      <c r="A533" s="2"/>
      <c r="B533" s="2"/>
      <c r="C533" s="2"/>
      <c r="D533" s="2"/>
      <c r="E533" s="2"/>
      <c r="F533" s="2"/>
      <c r="G533" s="2"/>
      <c r="H533" s="2"/>
      <c r="I533" s="74"/>
      <c r="J533" s="74"/>
      <c r="K533" s="74"/>
      <c r="L533" s="74"/>
      <c r="M533" s="2"/>
      <c r="N533" s="2"/>
      <c r="O533" s="2"/>
      <c r="P533" s="74"/>
      <c r="Q533" s="2"/>
      <c r="R533" s="2"/>
      <c r="S533" s="76"/>
      <c r="T533" s="88"/>
    </row>
    <row r="534" ht="15.75" customHeight="1">
      <c r="A534" s="2"/>
      <c r="B534" s="2"/>
      <c r="C534" s="2"/>
      <c r="D534" s="2"/>
      <c r="E534" s="2"/>
      <c r="F534" s="2"/>
      <c r="G534" s="2"/>
      <c r="H534" s="2"/>
      <c r="I534" s="74"/>
      <c r="J534" s="74"/>
      <c r="K534" s="74"/>
      <c r="L534" s="74"/>
      <c r="M534" s="2"/>
      <c r="N534" s="2"/>
      <c r="O534" s="2"/>
      <c r="P534" s="74"/>
      <c r="Q534" s="2"/>
      <c r="R534" s="2"/>
      <c r="S534" s="76"/>
      <c r="T534" s="88"/>
    </row>
    <row r="535" ht="15.75" customHeight="1">
      <c r="A535" s="2"/>
      <c r="B535" s="2"/>
      <c r="C535" s="2"/>
      <c r="D535" s="2"/>
      <c r="E535" s="2"/>
      <c r="F535" s="2"/>
      <c r="G535" s="2"/>
      <c r="H535" s="2"/>
      <c r="I535" s="74"/>
      <c r="J535" s="74"/>
      <c r="K535" s="74"/>
      <c r="L535" s="74"/>
      <c r="M535" s="2"/>
      <c r="N535" s="2"/>
      <c r="O535" s="2"/>
      <c r="P535" s="74"/>
      <c r="Q535" s="2"/>
      <c r="R535" s="2"/>
      <c r="S535" s="76"/>
      <c r="T535" s="88"/>
    </row>
    <row r="536" ht="15.75" customHeight="1">
      <c r="A536" s="2"/>
      <c r="B536" s="2"/>
      <c r="C536" s="2"/>
      <c r="D536" s="2"/>
      <c r="E536" s="2"/>
      <c r="F536" s="2"/>
      <c r="G536" s="2"/>
      <c r="H536" s="2"/>
      <c r="I536" s="74"/>
      <c r="J536" s="74"/>
      <c r="K536" s="74"/>
      <c r="L536" s="74"/>
      <c r="M536" s="2"/>
      <c r="N536" s="2"/>
      <c r="O536" s="2"/>
      <c r="P536" s="74"/>
      <c r="Q536" s="2"/>
      <c r="R536" s="2"/>
      <c r="S536" s="76"/>
      <c r="T536" s="88"/>
    </row>
    <row r="537" ht="15.75" customHeight="1">
      <c r="A537" s="2"/>
      <c r="B537" s="2"/>
      <c r="C537" s="2"/>
      <c r="D537" s="2"/>
      <c r="E537" s="2"/>
      <c r="F537" s="2"/>
      <c r="G537" s="2"/>
      <c r="H537" s="2"/>
      <c r="I537" s="74"/>
      <c r="J537" s="74"/>
      <c r="K537" s="74"/>
      <c r="L537" s="74"/>
      <c r="M537" s="2"/>
      <c r="N537" s="2"/>
      <c r="O537" s="2"/>
      <c r="P537" s="74"/>
      <c r="Q537" s="2"/>
      <c r="R537" s="2"/>
      <c r="S537" s="76"/>
      <c r="T537" s="88"/>
    </row>
    <row r="538" ht="15.75" customHeight="1">
      <c r="A538" s="2"/>
      <c r="B538" s="2"/>
      <c r="C538" s="2"/>
      <c r="D538" s="2"/>
      <c r="E538" s="2"/>
      <c r="F538" s="2"/>
      <c r="G538" s="2"/>
      <c r="H538" s="2"/>
      <c r="I538" s="74"/>
      <c r="J538" s="74"/>
      <c r="K538" s="74"/>
      <c r="L538" s="74"/>
      <c r="M538" s="2"/>
      <c r="N538" s="2"/>
      <c r="O538" s="2"/>
      <c r="P538" s="74"/>
      <c r="Q538" s="2"/>
      <c r="R538" s="2"/>
      <c r="S538" s="76"/>
      <c r="T538" s="88"/>
    </row>
    <row r="539" ht="15.75" customHeight="1">
      <c r="A539" s="2"/>
      <c r="B539" s="2"/>
      <c r="C539" s="2"/>
      <c r="D539" s="2"/>
      <c r="E539" s="2"/>
      <c r="F539" s="2"/>
      <c r="G539" s="2"/>
      <c r="H539" s="2"/>
      <c r="I539" s="74"/>
      <c r="J539" s="74"/>
      <c r="K539" s="74"/>
      <c r="L539" s="74"/>
      <c r="M539" s="2"/>
      <c r="N539" s="2"/>
      <c r="O539" s="2"/>
      <c r="P539" s="74"/>
      <c r="Q539" s="2"/>
      <c r="R539" s="2"/>
      <c r="S539" s="76"/>
      <c r="T539" s="88"/>
    </row>
    <row r="540" ht="15.75" customHeight="1">
      <c r="A540" s="2"/>
      <c r="B540" s="2"/>
      <c r="C540" s="2"/>
      <c r="D540" s="2"/>
      <c r="E540" s="2"/>
      <c r="F540" s="2"/>
      <c r="G540" s="2"/>
      <c r="H540" s="2"/>
      <c r="I540" s="74"/>
      <c r="J540" s="74"/>
      <c r="K540" s="74"/>
      <c r="L540" s="74"/>
      <c r="M540" s="2"/>
      <c r="N540" s="2"/>
      <c r="O540" s="2"/>
      <c r="P540" s="74"/>
      <c r="Q540" s="2"/>
      <c r="R540" s="2"/>
      <c r="S540" s="76"/>
      <c r="T540" s="88"/>
    </row>
    <row r="541" ht="15.75" customHeight="1">
      <c r="A541" s="2"/>
      <c r="B541" s="2"/>
      <c r="C541" s="2"/>
      <c r="D541" s="2"/>
      <c r="E541" s="2"/>
      <c r="F541" s="2"/>
      <c r="G541" s="2"/>
      <c r="H541" s="2"/>
      <c r="I541" s="74"/>
      <c r="J541" s="74"/>
      <c r="K541" s="74"/>
      <c r="L541" s="74"/>
      <c r="M541" s="2"/>
      <c r="N541" s="2"/>
      <c r="O541" s="2"/>
      <c r="P541" s="74"/>
      <c r="Q541" s="2"/>
      <c r="R541" s="2"/>
      <c r="S541" s="76"/>
      <c r="T541" s="88"/>
    </row>
    <row r="542" ht="15.75" customHeight="1">
      <c r="A542" s="2"/>
      <c r="B542" s="2"/>
      <c r="C542" s="2"/>
      <c r="D542" s="2"/>
      <c r="E542" s="2"/>
      <c r="F542" s="2"/>
      <c r="G542" s="2"/>
      <c r="H542" s="2"/>
      <c r="I542" s="74"/>
      <c r="J542" s="74"/>
      <c r="K542" s="74"/>
      <c r="L542" s="74"/>
      <c r="M542" s="2"/>
      <c r="N542" s="2"/>
      <c r="O542" s="2"/>
      <c r="P542" s="74"/>
      <c r="Q542" s="2"/>
      <c r="R542" s="2"/>
      <c r="S542" s="76"/>
      <c r="T542" s="88"/>
    </row>
    <row r="543" ht="15.75" customHeight="1">
      <c r="A543" s="2"/>
      <c r="B543" s="2"/>
      <c r="C543" s="2"/>
      <c r="D543" s="2"/>
      <c r="E543" s="2"/>
      <c r="F543" s="2"/>
      <c r="G543" s="2"/>
      <c r="H543" s="2"/>
      <c r="I543" s="74"/>
      <c r="J543" s="74"/>
      <c r="K543" s="74"/>
      <c r="L543" s="74"/>
      <c r="M543" s="2"/>
      <c r="N543" s="2"/>
      <c r="O543" s="2"/>
      <c r="P543" s="74"/>
      <c r="Q543" s="2"/>
      <c r="R543" s="2"/>
      <c r="S543" s="76"/>
      <c r="T543" s="88"/>
    </row>
    <row r="544" ht="15.75" customHeight="1">
      <c r="A544" s="2"/>
      <c r="B544" s="2"/>
      <c r="C544" s="2"/>
      <c r="D544" s="2"/>
      <c r="E544" s="2"/>
      <c r="F544" s="2"/>
      <c r="G544" s="2"/>
      <c r="H544" s="2"/>
      <c r="I544" s="74"/>
      <c r="J544" s="74"/>
      <c r="K544" s="74"/>
      <c r="L544" s="74"/>
      <c r="M544" s="2"/>
      <c r="N544" s="2"/>
      <c r="O544" s="2"/>
      <c r="P544" s="74"/>
      <c r="Q544" s="2"/>
      <c r="R544" s="2"/>
      <c r="S544" s="76"/>
      <c r="T544" s="88"/>
    </row>
    <row r="545" ht="15.75" customHeight="1">
      <c r="A545" s="2"/>
      <c r="B545" s="2"/>
      <c r="C545" s="2"/>
      <c r="D545" s="2"/>
      <c r="E545" s="2"/>
      <c r="F545" s="2"/>
      <c r="G545" s="2"/>
      <c r="H545" s="2"/>
      <c r="I545" s="74"/>
      <c r="J545" s="74"/>
      <c r="K545" s="74"/>
      <c r="L545" s="74"/>
      <c r="M545" s="2"/>
      <c r="N545" s="2"/>
      <c r="O545" s="2"/>
      <c r="P545" s="74"/>
      <c r="Q545" s="2"/>
      <c r="R545" s="2"/>
      <c r="S545" s="76"/>
      <c r="T545" s="88"/>
    </row>
    <row r="546" ht="15.75" customHeight="1">
      <c r="A546" s="2"/>
      <c r="B546" s="2"/>
      <c r="C546" s="2"/>
      <c r="D546" s="2"/>
      <c r="E546" s="2"/>
      <c r="F546" s="2"/>
      <c r="G546" s="2"/>
      <c r="H546" s="2"/>
      <c r="I546" s="74"/>
      <c r="J546" s="74"/>
      <c r="K546" s="74"/>
      <c r="L546" s="74"/>
      <c r="M546" s="2"/>
      <c r="N546" s="2"/>
      <c r="O546" s="2"/>
      <c r="P546" s="74"/>
      <c r="Q546" s="2"/>
      <c r="R546" s="2"/>
      <c r="S546" s="76"/>
      <c r="T546" s="88"/>
    </row>
    <row r="547" ht="15.75" customHeight="1">
      <c r="A547" s="2"/>
      <c r="B547" s="2"/>
      <c r="C547" s="2"/>
      <c r="D547" s="2"/>
      <c r="E547" s="2"/>
      <c r="F547" s="2"/>
      <c r="G547" s="2"/>
      <c r="H547" s="2"/>
      <c r="I547" s="74"/>
      <c r="J547" s="74"/>
      <c r="K547" s="74"/>
      <c r="L547" s="74"/>
      <c r="M547" s="2"/>
      <c r="N547" s="2"/>
      <c r="O547" s="2"/>
      <c r="P547" s="74"/>
      <c r="Q547" s="2"/>
      <c r="R547" s="2"/>
      <c r="S547" s="76"/>
      <c r="T547" s="88"/>
    </row>
    <row r="548" ht="15.75" customHeight="1">
      <c r="A548" s="2"/>
      <c r="B548" s="2"/>
      <c r="C548" s="2"/>
      <c r="D548" s="2"/>
      <c r="E548" s="2"/>
      <c r="F548" s="2"/>
      <c r="G548" s="2"/>
      <c r="H548" s="2"/>
      <c r="I548" s="74"/>
      <c r="J548" s="74"/>
      <c r="K548" s="74"/>
      <c r="L548" s="74"/>
      <c r="M548" s="2"/>
      <c r="N548" s="2"/>
      <c r="O548" s="2"/>
      <c r="P548" s="74"/>
      <c r="Q548" s="2"/>
      <c r="R548" s="2"/>
      <c r="S548" s="76"/>
      <c r="T548" s="88"/>
    </row>
    <row r="549" ht="15.75" customHeight="1">
      <c r="A549" s="2"/>
      <c r="B549" s="2"/>
      <c r="C549" s="2"/>
      <c r="D549" s="2"/>
      <c r="E549" s="2"/>
      <c r="F549" s="2"/>
      <c r="G549" s="2"/>
      <c r="H549" s="2"/>
      <c r="I549" s="74"/>
      <c r="J549" s="74"/>
      <c r="K549" s="74"/>
      <c r="L549" s="74"/>
      <c r="M549" s="2"/>
      <c r="N549" s="2"/>
      <c r="O549" s="2"/>
      <c r="P549" s="74"/>
      <c r="Q549" s="2"/>
      <c r="R549" s="2"/>
      <c r="S549" s="76"/>
      <c r="T549" s="88"/>
    </row>
    <row r="550" ht="15.75" customHeight="1">
      <c r="A550" s="2"/>
      <c r="B550" s="2"/>
      <c r="C550" s="2"/>
      <c r="D550" s="2"/>
      <c r="E550" s="2"/>
      <c r="F550" s="2"/>
      <c r="G550" s="2"/>
      <c r="H550" s="2"/>
      <c r="I550" s="74"/>
      <c r="J550" s="74"/>
      <c r="K550" s="74"/>
      <c r="L550" s="74"/>
      <c r="M550" s="2"/>
      <c r="N550" s="2"/>
      <c r="O550" s="2"/>
      <c r="P550" s="74"/>
      <c r="Q550" s="2"/>
      <c r="R550" s="2"/>
      <c r="S550" s="76"/>
      <c r="T550" s="88"/>
    </row>
    <row r="551" ht="15.75" customHeight="1">
      <c r="A551" s="2"/>
      <c r="B551" s="2"/>
      <c r="C551" s="2"/>
      <c r="D551" s="2"/>
      <c r="E551" s="2"/>
      <c r="F551" s="2"/>
      <c r="G551" s="2"/>
      <c r="H551" s="2"/>
      <c r="I551" s="74"/>
      <c r="J551" s="74"/>
      <c r="K551" s="74"/>
      <c r="L551" s="74"/>
      <c r="M551" s="2"/>
      <c r="N551" s="2"/>
      <c r="O551" s="2"/>
      <c r="P551" s="74"/>
      <c r="Q551" s="2"/>
      <c r="R551" s="2"/>
      <c r="S551" s="76"/>
      <c r="T551" s="88"/>
    </row>
    <row r="552" ht="15.75" customHeight="1">
      <c r="A552" s="2"/>
      <c r="B552" s="2"/>
      <c r="C552" s="2"/>
      <c r="D552" s="2"/>
      <c r="E552" s="2"/>
      <c r="F552" s="2"/>
      <c r="G552" s="2"/>
      <c r="H552" s="2"/>
      <c r="I552" s="74"/>
      <c r="J552" s="74"/>
      <c r="K552" s="74"/>
      <c r="L552" s="74"/>
      <c r="M552" s="2"/>
      <c r="N552" s="2"/>
      <c r="O552" s="2"/>
      <c r="P552" s="74"/>
      <c r="Q552" s="2"/>
      <c r="R552" s="2"/>
      <c r="S552" s="76"/>
      <c r="T552" s="88"/>
    </row>
    <row r="553" ht="15.75" customHeight="1">
      <c r="A553" s="2"/>
      <c r="B553" s="2"/>
      <c r="C553" s="2"/>
      <c r="D553" s="2"/>
      <c r="E553" s="2"/>
      <c r="F553" s="2"/>
      <c r="G553" s="2"/>
      <c r="H553" s="2"/>
      <c r="I553" s="74"/>
      <c r="J553" s="74"/>
      <c r="K553" s="74"/>
      <c r="L553" s="74"/>
      <c r="M553" s="2"/>
      <c r="N553" s="2"/>
      <c r="O553" s="2"/>
      <c r="P553" s="74"/>
      <c r="Q553" s="2"/>
      <c r="R553" s="2"/>
      <c r="S553" s="76"/>
      <c r="T553" s="88"/>
    </row>
    <row r="554" ht="15.75" customHeight="1">
      <c r="A554" s="2"/>
      <c r="B554" s="2"/>
      <c r="C554" s="2"/>
      <c r="D554" s="2"/>
      <c r="E554" s="2"/>
      <c r="F554" s="2"/>
      <c r="G554" s="2"/>
      <c r="H554" s="2"/>
      <c r="I554" s="74"/>
      <c r="J554" s="74"/>
      <c r="K554" s="74"/>
      <c r="L554" s="74"/>
      <c r="M554" s="2"/>
      <c r="N554" s="2"/>
      <c r="O554" s="2"/>
      <c r="P554" s="74"/>
      <c r="Q554" s="2"/>
      <c r="R554" s="2"/>
      <c r="S554" s="76"/>
      <c r="T554" s="88"/>
    </row>
    <row r="555" ht="15.75" customHeight="1">
      <c r="A555" s="2"/>
      <c r="B555" s="2"/>
      <c r="C555" s="2"/>
      <c r="D555" s="2"/>
      <c r="E555" s="2"/>
      <c r="F555" s="2"/>
      <c r="G555" s="2"/>
      <c r="H555" s="2"/>
      <c r="I555" s="74"/>
      <c r="J555" s="74"/>
      <c r="K555" s="74"/>
      <c r="L555" s="74"/>
      <c r="M555" s="2"/>
      <c r="N555" s="2"/>
      <c r="O555" s="2"/>
      <c r="P555" s="74"/>
      <c r="Q555" s="2"/>
      <c r="R555" s="2"/>
      <c r="S555" s="76"/>
      <c r="T555" s="88"/>
    </row>
    <row r="556" ht="15.75" customHeight="1">
      <c r="A556" s="2"/>
      <c r="B556" s="2"/>
      <c r="C556" s="2"/>
      <c r="D556" s="2"/>
      <c r="E556" s="2"/>
      <c r="F556" s="2"/>
      <c r="G556" s="2"/>
      <c r="H556" s="2"/>
      <c r="I556" s="74"/>
      <c r="J556" s="74"/>
      <c r="K556" s="74"/>
      <c r="L556" s="74"/>
      <c r="M556" s="2"/>
      <c r="N556" s="2"/>
      <c r="O556" s="2"/>
      <c r="P556" s="74"/>
      <c r="Q556" s="2"/>
      <c r="R556" s="2"/>
      <c r="S556" s="76"/>
      <c r="T556" s="88"/>
    </row>
    <row r="557" ht="15.75" customHeight="1">
      <c r="A557" s="2"/>
      <c r="B557" s="2"/>
      <c r="C557" s="2"/>
      <c r="D557" s="2"/>
      <c r="E557" s="2"/>
      <c r="F557" s="2"/>
      <c r="G557" s="2"/>
      <c r="H557" s="2"/>
      <c r="I557" s="74"/>
      <c r="J557" s="74"/>
      <c r="K557" s="74"/>
      <c r="L557" s="74"/>
      <c r="M557" s="2"/>
      <c r="N557" s="2"/>
      <c r="O557" s="2"/>
      <c r="P557" s="74"/>
      <c r="Q557" s="2"/>
      <c r="R557" s="2"/>
      <c r="S557" s="76"/>
      <c r="T557" s="88"/>
    </row>
    <row r="558" ht="15.75" customHeight="1">
      <c r="A558" s="2"/>
      <c r="B558" s="2"/>
      <c r="C558" s="2"/>
      <c r="D558" s="2"/>
      <c r="E558" s="2"/>
      <c r="F558" s="2"/>
      <c r="G558" s="2"/>
      <c r="H558" s="2"/>
      <c r="I558" s="74"/>
      <c r="J558" s="74"/>
      <c r="K558" s="74"/>
      <c r="L558" s="74"/>
      <c r="M558" s="2"/>
      <c r="N558" s="2"/>
      <c r="O558" s="2"/>
      <c r="P558" s="74"/>
      <c r="Q558" s="2"/>
      <c r="R558" s="2"/>
      <c r="S558" s="76"/>
      <c r="T558" s="88"/>
    </row>
    <row r="559" ht="15.75" customHeight="1">
      <c r="A559" s="2"/>
      <c r="B559" s="2"/>
      <c r="C559" s="2"/>
      <c r="D559" s="2"/>
      <c r="E559" s="2"/>
      <c r="F559" s="2"/>
      <c r="G559" s="2"/>
      <c r="H559" s="2"/>
      <c r="I559" s="74"/>
      <c r="J559" s="74"/>
      <c r="K559" s="74"/>
      <c r="L559" s="74"/>
      <c r="M559" s="2"/>
      <c r="N559" s="2"/>
      <c r="O559" s="2"/>
      <c r="P559" s="74"/>
      <c r="Q559" s="2"/>
      <c r="R559" s="2"/>
      <c r="S559" s="76"/>
      <c r="T559" s="88"/>
    </row>
    <row r="560" ht="15.75" customHeight="1">
      <c r="A560" s="2"/>
      <c r="B560" s="2"/>
      <c r="C560" s="2"/>
      <c r="D560" s="2"/>
      <c r="E560" s="2"/>
      <c r="F560" s="2"/>
      <c r="G560" s="2"/>
      <c r="H560" s="2"/>
      <c r="I560" s="74"/>
      <c r="J560" s="74"/>
      <c r="K560" s="74"/>
      <c r="L560" s="74"/>
      <c r="M560" s="2"/>
      <c r="N560" s="2"/>
      <c r="O560" s="2"/>
      <c r="P560" s="74"/>
      <c r="Q560" s="2"/>
      <c r="R560" s="2"/>
      <c r="S560" s="76"/>
      <c r="T560" s="88"/>
    </row>
    <row r="561" ht="15.75" customHeight="1">
      <c r="A561" s="2"/>
      <c r="B561" s="2"/>
      <c r="C561" s="2"/>
      <c r="D561" s="2"/>
      <c r="E561" s="2"/>
      <c r="F561" s="2"/>
      <c r="G561" s="2"/>
      <c r="H561" s="2"/>
      <c r="I561" s="74"/>
      <c r="J561" s="74"/>
      <c r="K561" s="74"/>
      <c r="L561" s="74"/>
      <c r="M561" s="2"/>
      <c r="N561" s="2"/>
      <c r="O561" s="2"/>
      <c r="P561" s="74"/>
      <c r="Q561" s="2"/>
      <c r="R561" s="2"/>
      <c r="S561" s="76"/>
      <c r="T561" s="88"/>
    </row>
    <row r="562" ht="15.75" customHeight="1">
      <c r="A562" s="2"/>
      <c r="B562" s="2"/>
      <c r="C562" s="2"/>
      <c r="D562" s="2"/>
      <c r="E562" s="2"/>
      <c r="F562" s="2"/>
      <c r="G562" s="2"/>
      <c r="H562" s="2"/>
      <c r="I562" s="74"/>
      <c r="J562" s="74"/>
      <c r="K562" s="74"/>
      <c r="L562" s="74"/>
      <c r="M562" s="2"/>
      <c r="N562" s="2"/>
      <c r="O562" s="2"/>
      <c r="P562" s="74"/>
      <c r="Q562" s="2"/>
      <c r="R562" s="2"/>
      <c r="S562" s="76"/>
      <c r="T562" s="88"/>
    </row>
    <row r="563" ht="15.75" customHeight="1">
      <c r="A563" s="2"/>
      <c r="B563" s="2"/>
      <c r="C563" s="2"/>
      <c r="D563" s="2"/>
      <c r="E563" s="2"/>
      <c r="F563" s="2"/>
      <c r="G563" s="2"/>
      <c r="H563" s="2"/>
      <c r="I563" s="74"/>
      <c r="J563" s="74"/>
      <c r="K563" s="74"/>
      <c r="L563" s="74"/>
      <c r="M563" s="2"/>
      <c r="N563" s="2"/>
      <c r="O563" s="2"/>
      <c r="P563" s="74"/>
      <c r="Q563" s="2"/>
      <c r="R563" s="2"/>
      <c r="S563" s="76"/>
      <c r="T563" s="88"/>
    </row>
    <row r="564" ht="15.75" customHeight="1">
      <c r="A564" s="2"/>
      <c r="B564" s="2"/>
      <c r="C564" s="2"/>
      <c r="D564" s="2"/>
      <c r="E564" s="2"/>
      <c r="F564" s="2"/>
      <c r="G564" s="2"/>
      <c r="H564" s="2"/>
      <c r="I564" s="74"/>
      <c r="J564" s="74"/>
      <c r="K564" s="74"/>
      <c r="L564" s="74"/>
      <c r="M564" s="2"/>
      <c r="N564" s="2"/>
      <c r="O564" s="2"/>
      <c r="P564" s="74"/>
      <c r="Q564" s="2"/>
      <c r="R564" s="2"/>
      <c r="S564" s="76"/>
      <c r="T564" s="88"/>
    </row>
    <row r="565" ht="15.75" customHeight="1">
      <c r="A565" s="2"/>
      <c r="B565" s="2"/>
      <c r="C565" s="2"/>
      <c r="D565" s="2"/>
      <c r="E565" s="2"/>
      <c r="F565" s="2"/>
      <c r="G565" s="2"/>
      <c r="H565" s="2"/>
      <c r="I565" s="74"/>
      <c r="J565" s="74"/>
      <c r="K565" s="74"/>
      <c r="L565" s="74"/>
      <c r="M565" s="2"/>
      <c r="N565" s="2"/>
      <c r="O565" s="2"/>
      <c r="P565" s="74"/>
      <c r="Q565" s="2"/>
      <c r="R565" s="2"/>
      <c r="S565" s="76"/>
      <c r="T565" s="88"/>
    </row>
    <row r="566" ht="15.75" customHeight="1">
      <c r="A566" s="2"/>
      <c r="B566" s="2"/>
      <c r="C566" s="2"/>
      <c r="D566" s="2"/>
      <c r="E566" s="2"/>
      <c r="F566" s="2"/>
      <c r="G566" s="2"/>
      <c r="H566" s="2"/>
      <c r="I566" s="74"/>
      <c r="J566" s="74"/>
      <c r="K566" s="74"/>
      <c r="L566" s="74"/>
      <c r="M566" s="2"/>
      <c r="N566" s="2"/>
      <c r="O566" s="2"/>
      <c r="P566" s="74"/>
      <c r="Q566" s="2"/>
      <c r="R566" s="2"/>
      <c r="S566" s="76"/>
      <c r="T566" s="88"/>
    </row>
    <row r="567" ht="15.75" customHeight="1">
      <c r="A567" s="2"/>
      <c r="B567" s="2"/>
      <c r="C567" s="2"/>
      <c r="D567" s="2"/>
      <c r="E567" s="2"/>
      <c r="F567" s="2"/>
      <c r="G567" s="2"/>
      <c r="H567" s="2"/>
      <c r="I567" s="74"/>
      <c r="J567" s="74"/>
      <c r="K567" s="74"/>
      <c r="L567" s="74"/>
      <c r="M567" s="2"/>
      <c r="N567" s="2"/>
      <c r="O567" s="2"/>
      <c r="P567" s="74"/>
      <c r="Q567" s="2"/>
      <c r="R567" s="2"/>
      <c r="S567" s="76"/>
      <c r="T567" s="88"/>
    </row>
    <row r="568" ht="15.75" customHeight="1">
      <c r="A568" s="2"/>
      <c r="B568" s="2"/>
      <c r="C568" s="2"/>
      <c r="D568" s="2"/>
      <c r="E568" s="2"/>
      <c r="F568" s="2"/>
      <c r="G568" s="2"/>
      <c r="H568" s="2"/>
      <c r="I568" s="74"/>
      <c r="J568" s="74"/>
      <c r="K568" s="74"/>
      <c r="L568" s="74"/>
      <c r="M568" s="2"/>
      <c r="N568" s="2"/>
      <c r="O568" s="2"/>
      <c r="P568" s="74"/>
      <c r="Q568" s="2"/>
      <c r="R568" s="2"/>
      <c r="S568" s="76"/>
      <c r="T568" s="88"/>
    </row>
    <row r="569" ht="15.75" customHeight="1">
      <c r="A569" s="2"/>
      <c r="B569" s="2"/>
      <c r="C569" s="2"/>
      <c r="D569" s="2"/>
      <c r="E569" s="2"/>
      <c r="F569" s="2"/>
      <c r="G569" s="2"/>
      <c r="H569" s="2"/>
      <c r="I569" s="74"/>
      <c r="J569" s="74"/>
      <c r="K569" s="74"/>
      <c r="L569" s="74"/>
      <c r="M569" s="2"/>
      <c r="N569" s="2"/>
      <c r="O569" s="2"/>
      <c r="P569" s="74"/>
      <c r="Q569" s="2"/>
      <c r="R569" s="2"/>
      <c r="S569" s="76"/>
      <c r="T569" s="88"/>
    </row>
    <row r="570" ht="15.75" customHeight="1">
      <c r="A570" s="2"/>
      <c r="B570" s="2"/>
      <c r="C570" s="2"/>
      <c r="D570" s="2"/>
      <c r="E570" s="2"/>
      <c r="F570" s="2"/>
      <c r="G570" s="2"/>
      <c r="H570" s="2"/>
      <c r="I570" s="74"/>
      <c r="J570" s="74"/>
      <c r="K570" s="74"/>
      <c r="L570" s="74"/>
      <c r="M570" s="2"/>
      <c r="N570" s="2"/>
      <c r="O570" s="2"/>
      <c r="P570" s="74"/>
      <c r="Q570" s="2"/>
      <c r="R570" s="2"/>
      <c r="S570" s="76"/>
      <c r="T570" s="88"/>
    </row>
    <row r="571" ht="15.75" customHeight="1">
      <c r="A571" s="2"/>
      <c r="B571" s="2"/>
      <c r="C571" s="2"/>
      <c r="D571" s="2"/>
      <c r="E571" s="2"/>
      <c r="F571" s="2"/>
      <c r="G571" s="2"/>
      <c r="H571" s="2"/>
      <c r="I571" s="74"/>
      <c r="J571" s="74"/>
      <c r="K571" s="74"/>
      <c r="L571" s="74"/>
      <c r="M571" s="2"/>
      <c r="N571" s="2"/>
      <c r="O571" s="2"/>
      <c r="P571" s="74"/>
      <c r="Q571" s="2"/>
      <c r="R571" s="2"/>
      <c r="S571" s="76"/>
      <c r="T571" s="88"/>
    </row>
    <row r="572" ht="15.75" customHeight="1">
      <c r="A572" s="2"/>
      <c r="B572" s="2"/>
      <c r="C572" s="2"/>
      <c r="D572" s="2"/>
      <c r="E572" s="2"/>
      <c r="F572" s="2"/>
      <c r="G572" s="2"/>
      <c r="H572" s="2"/>
      <c r="I572" s="74"/>
      <c r="J572" s="74"/>
      <c r="K572" s="74"/>
      <c r="L572" s="74"/>
      <c r="M572" s="2"/>
      <c r="N572" s="2"/>
      <c r="O572" s="2"/>
      <c r="P572" s="74"/>
      <c r="Q572" s="2"/>
      <c r="R572" s="2"/>
      <c r="S572" s="76"/>
      <c r="T572" s="88"/>
    </row>
    <row r="573" ht="15.75" customHeight="1">
      <c r="A573" s="2"/>
      <c r="B573" s="2"/>
      <c r="C573" s="2"/>
      <c r="D573" s="2"/>
      <c r="E573" s="2"/>
      <c r="F573" s="2"/>
      <c r="G573" s="2"/>
      <c r="H573" s="2"/>
      <c r="I573" s="74"/>
      <c r="J573" s="74"/>
      <c r="K573" s="74"/>
      <c r="L573" s="74"/>
      <c r="M573" s="2"/>
      <c r="N573" s="2"/>
      <c r="O573" s="2"/>
      <c r="P573" s="74"/>
      <c r="Q573" s="2"/>
      <c r="R573" s="2"/>
      <c r="S573" s="76"/>
      <c r="T573" s="88"/>
    </row>
    <row r="574" ht="15.75" customHeight="1">
      <c r="A574" s="2"/>
      <c r="B574" s="2"/>
      <c r="C574" s="2"/>
      <c r="D574" s="2"/>
      <c r="E574" s="2"/>
      <c r="F574" s="2"/>
      <c r="G574" s="2"/>
      <c r="H574" s="2"/>
      <c r="I574" s="74"/>
      <c r="J574" s="74"/>
      <c r="K574" s="74"/>
      <c r="L574" s="74"/>
      <c r="M574" s="2"/>
      <c r="N574" s="2"/>
      <c r="O574" s="2"/>
      <c r="P574" s="74"/>
      <c r="Q574" s="2"/>
      <c r="R574" s="2"/>
      <c r="S574" s="76"/>
      <c r="T574" s="88"/>
    </row>
    <row r="575" ht="15.75" customHeight="1">
      <c r="A575" s="2"/>
      <c r="B575" s="2"/>
      <c r="C575" s="2"/>
      <c r="D575" s="2"/>
      <c r="E575" s="2"/>
      <c r="F575" s="2"/>
      <c r="G575" s="2"/>
      <c r="H575" s="2"/>
      <c r="I575" s="74"/>
      <c r="J575" s="74"/>
      <c r="K575" s="74"/>
      <c r="L575" s="74"/>
      <c r="M575" s="2"/>
      <c r="N575" s="2"/>
      <c r="O575" s="2"/>
      <c r="P575" s="74"/>
      <c r="Q575" s="2"/>
      <c r="R575" s="2"/>
      <c r="S575" s="76"/>
      <c r="T575" s="88"/>
    </row>
    <row r="576" ht="15.75" customHeight="1">
      <c r="A576" s="2"/>
      <c r="B576" s="2"/>
      <c r="C576" s="2"/>
      <c r="D576" s="2"/>
      <c r="E576" s="2"/>
      <c r="F576" s="2"/>
      <c r="G576" s="2"/>
      <c r="H576" s="2"/>
      <c r="I576" s="74"/>
      <c r="J576" s="74"/>
      <c r="K576" s="74"/>
      <c r="L576" s="74"/>
      <c r="M576" s="2"/>
      <c r="N576" s="2"/>
      <c r="O576" s="2"/>
      <c r="P576" s="74"/>
      <c r="Q576" s="2"/>
      <c r="R576" s="2"/>
      <c r="S576" s="76"/>
      <c r="T576" s="88"/>
    </row>
    <row r="577" ht="15.75" customHeight="1">
      <c r="A577" s="2"/>
      <c r="B577" s="2"/>
      <c r="C577" s="2"/>
      <c r="D577" s="2"/>
      <c r="E577" s="2"/>
      <c r="F577" s="2"/>
      <c r="G577" s="2"/>
      <c r="H577" s="2"/>
      <c r="I577" s="74"/>
      <c r="J577" s="74"/>
      <c r="K577" s="74"/>
      <c r="L577" s="74"/>
      <c r="M577" s="2"/>
      <c r="N577" s="2"/>
      <c r="O577" s="2"/>
      <c r="P577" s="74"/>
      <c r="Q577" s="2"/>
      <c r="R577" s="2"/>
      <c r="S577" s="76"/>
      <c r="T577" s="88"/>
    </row>
    <row r="578" ht="15.75" customHeight="1">
      <c r="A578" s="2"/>
      <c r="B578" s="2"/>
      <c r="C578" s="2"/>
      <c r="D578" s="2"/>
      <c r="E578" s="2"/>
      <c r="F578" s="2"/>
      <c r="G578" s="2"/>
      <c r="H578" s="2"/>
      <c r="I578" s="74"/>
      <c r="J578" s="74"/>
      <c r="K578" s="74"/>
      <c r="L578" s="74"/>
      <c r="M578" s="2"/>
      <c r="N578" s="2"/>
      <c r="O578" s="2"/>
      <c r="P578" s="74"/>
      <c r="Q578" s="2"/>
      <c r="R578" s="2"/>
      <c r="S578" s="76"/>
      <c r="T578" s="88"/>
    </row>
    <row r="579" ht="15.75" customHeight="1">
      <c r="A579" s="2"/>
      <c r="B579" s="2"/>
      <c r="C579" s="2"/>
      <c r="D579" s="2"/>
      <c r="E579" s="2"/>
      <c r="F579" s="2"/>
      <c r="G579" s="2"/>
      <c r="H579" s="2"/>
      <c r="I579" s="74"/>
      <c r="J579" s="74"/>
      <c r="K579" s="74"/>
      <c r="L579" s="74"/>
      <c r="M579" s="2"/>
      <c r="N579" s="2"/>
      <c r="O579" s="2"/>
      <c r="P579" s="74"/>
      <c r="Q579" s="2"/>
      <c r="R579" s="2"/>
      <c r="S579" s="76"/>
      <c r="T579" s="88"/>
    </row>
    <row r="580" ht="15.75" customHeight="1">
      <c r="A580" s="2"/>
      <c r="B580" s="2"/>
      <c r="C580" s="2"/>
      <c r="D580" s="2"/>
      <c r="E580" s="2"/>
      <c r="F580" s="2"/>
      <c r="G580" s="2"/>
      <c r="H580" s="2"/>
      <c r="I580" s="74"/>
      <c r="J580" s="74"/>
      <c r="K580" s="74"/>
      <c r="L580" s="74"/>
      <c r="M580" s="2"/>
      <c r="N580" s="2"/>
      <c r="O580" s="2"/>
      <c r="P580" s="74"/>
      <c r="Q580" s="2"/>
      <c r="R580" s="2"/>
      <c r="S580" s="76"/>
      <c r="T580" s="88"/>
    </row>
    <row r="581" ht="15.75" customHeight="1">
      <c r="A581" s="2"/>
      <c r="B581" s="2"/>
      <c r="C581" s="2"/>
      <c r="D581" s="2"/>
      <c r="E581" s="2"/>
      <c r="F581" s="2"/>
      <c r="G581" s="2"/>
      <c r="H581" s="2"/>
      <c r="I581" s="74"/>
      <c r="J581" s="74"/>
      <c r="K581" s="74"/>
      <c r="L581" s="74"/>
      <c r="M581" s="2"/>
      <c r="N581" s="2"/>
      <c r="O581" s="2"/>
      <c r="P581" s="74"/>
      <c r="Q581" s="2"/>
      <c r="R581" s="2"/>
      <c r="S581" s="76"/>
      <c r="T581" s="88"/>
    </row>
    <row r="582" ht="15.75" customHeight="1">
      <c r="A582" s="2"/>
      <c r="B582" s="2"/>
      <c r="C582" s="2"/>
      <c r="D582" s="2"/>
      <c r="E582" s="2"/>
      <c r="F582" s="2"/>
      <c r="G582" s="2"/>
      <c r="H582" s="2"/>
      <c r="I582" s="74"/>
      <c r="J582" s="74"/>
      <c r="K582" s="74"/>
      <c r="L582" s="74"/>
      <c r="M582" s="2"/>
      <c r="N582" s="2"/>
      <c r="O582" s="2"/>
      <c r="P582" s="74"/>
      <c r="Q582" s="2"/>
      <c r="R582" s="2"/>
      <c r="S582" s="76"/>
      <c r="T582" s="88"/>
    </row>
    <row r="583" ht="15.75" customHeight="1">
      <c r="A583" s="2"/>
      <c r="B583" s="2"/>
      <c r="C583" s="2"/>
      <c r="D583" s="2"/>
      <c r="E583" s="2"/>
      <c r="F583" s="2"/>
      <c r="G583" s="2"/>
      <c r="H583" s="2"/>
      <c r="I583" s="74"/>
      <c r="J583" s="74"/>
      <c r="K583" s="74"/>
      <c r="L583" s="74"/>
      <c r="M583" s="2"/>
      <c r="N583" s="2"/>
      <c r="O583" s="2"/>
      <c r="P583" s="74"/>
      <c r="Q583" s="2"/>
      <c r="R583" s="2"/>
      <c r="S583" s="76"/>
      <c r="T583" s="88"/>
    </row>
    <row r="584" ht="15.75" customHeight="1">
      <c r="A584" s="2"/>
      <c r="B584" s="2"/>
      <c r="C584" s="2"/>
      <c r="D584" s="2"/>
      <c r="E584" s="2"/>
      <c r="F584" s="2"/>
      <c r="G584" s="2"/>
      <c r="H584" s="2"/>
      <c r="I584" s="74"/>
      <c r="J584" s="74"/>
      <c r="K584" s="74"/>
      <c r="L584" s="74"/>
      <c r="M584" s="2"/>
      <c r="N584" s="2"/>
      <c r="O584" s="2"/>
      <c r="P584" s="74"/>
      <c r="Q584" s="2"/>
      <c r="R584" s="2"/>
      <c r="S584" s="76"/>
      <c r="T584" s="88"/>
    </row>
    <row r="585" ht="15.75" customHeight="1">
      <c r="A585" s="2"/>
      <c r="B585" s="2"/>
      <c r="C585" s="2"/>
      <c r="D585" s="2"/>
      <c r="E585" s="2"/>
      <c r="F585" s="2"/>
      <c r="G585" s="2"/>
      <c r="H585" s="2"/>
      <c r="I585" s="74"/>
      <c r="J585" s="74"/>
      <c r="K585" s="74"/>
      <c r="L585" s="74"/>
      <c r="M585" s="2"/>
      <c r="N585" s="2"/>
      <c r="O585" s="2"/>
      <c r="P585" s="74"/>
      <c r="Q585" s="2"/>
      <c r="R585" s="2"/>
      <c r="S585" s="76"/>
      <c r="T585" s="88"/>
    </row>
    <row r="586" ht="15.75" customHeight="1">
      <c r="A586" s="2"/>
      <c r="B586" s="2"/>
      <c r="C586" s="2"/>
      <c r="D586" s="2"/>
      <c r="E586" s="2"/>
      <c r="F586" s="2"/>
      <c r="G586" s="2"/>
      <c r="H586" s="2"/>
      <c r="I586" s="74"/>
      <c r="J586" s="74"/>
      <c r="K586" s="74"/>
      <c r="L586" s="74"/>
      <c r="M586" s="2"/>
      <c r="N586" s="2"/>
      <c r="O586" s="2"/>
      <c r="P586" s="74"/>
      <c r="Q586" s="2"/>
      <c r="R586" s="2"/>
      <c r="S586" s="76"/>
      <c r="T586" s="88"/>
    </row>
    <row r="587" ht="15.75" customHeight="1">
      <c r="A587" s="2"/>
      <c r="B587" s="2"/>
      <c r="C587" s="2"/>
      <c r="D587" s="2"/>
      <c r="E587" s="2"/>
      <c r="F587" s="2"/>
      <c r="G587" s="2"/>
      <c r="H587" s="2"/>
      <c r="I587" s="74"/>
      <c r="J587" s="74"/>
      <c r="K587" s="74"/>
      <c r="L587" s="74"/>
      <c r="M587" s="2"/>
      <c r="N587" s="2"/>
      <c r="O587" s="2"/>
      <c r="P587" s="74"/>
      <c r="Q587" s="2"/>
      <c r="R587" s="2"/>
      <c r="S587" s="76"/>
      <c r="T587" s="88"/>
    </row>
    <row r="588" ht="15.75" customHeight="1">
      <c r="A588" s="2"/>
      <c r="B588" s="2"/>
      <c r="C588" s="2"/>
      <c r="D588" s="2"/>
      <c r="E588" s="2"/>
      <c r="F588" s="2"/>
      <c r="G588" s="2"/>
      <c r="H588" s="2"/>
      <c r="I588" s="74"/>
      <c r="J588" s="74"/>
      <c r="K588" s="74"/>
      <c r="L588" s="74"/>
      <c r="M588" s="2"/>
      <c r="N588" s="2"/>
      <c r="O588" s="2"/>
      <c r="P588" s="74"/>
      <c r="Q588" s="2"/>
      <c r="R588" s="2"/>
      <c r="S588" s="76"/>
      <c r="T588" s="88"/>
    </row>
    <row r="589" ht="15.75" customHeight="1">
      <c r="A589" s="2"/>
      <c r="B589" s="2"/>
      <c r="C589" s="2"/>
      <c r="D589" s="2"/>
      <c r="E589" s="2"/>
      <c r="F589" s="2"/>
      <c r="G589" s="2"/>
      <c r="H589" s="2"/>
      <c r="I589" s="74"/>
      <c r="J589" s="74"/>
      <c r="K589" s="74"/>
      <c r="L589" s="74"/>
      <c r="M589" s="2"/>
      <c r="N589" s="2"/>
      <c r="O589" s="2"/>
      <c r="P589" s="74"/>
      <c r="Q589" s="2"/>
      <c r="R589" s="2"/>
      <c r="S589" s="76"/>
      <c r="T589" s="88"/>
    </row>
    <row r="590" ht="15.75" customHeight="1">
      <c r="A590" s="2"/>
      <c r="B590" s="2"/>
      <c r="C590" s="2"/>
      <c r="D590" s="2"/>
      <c r="E590" s="2"/>
      <c r="F590" s="2"/>
      <c r="G590" s="2"/>
      <c r="H590" s="2"/>
      <c r="I590" s="74"/>
      <c r="J590" s="74"/>
      <c r="K590" s="74"/>
      <c r="L590" s="74"/>
      <c r="M590" s="2"/>
      <c r="N590" s="2"/>
      <c r="O590" s="2"/>
      <c r="P590" s="74"/>
      <c r="Q590" s="2"/>
      <c r="R590" s="2"/>
      <c r="S590" s="76"/>
      <c r="T590" s="88"/>
    </row>
    <row r="591" ht="15.75" customHeight="1">
      <c r="A591" s="2"/>
      <c r="B591" s="2"/>
      <c r="C591" s="2"/>
      <c r="D591" s="2"/>
      <c r="E591" s="2"/>
      <c r="F591" s="2"/>
      <c r="G591" s="2"/>
      <c r="H591" s="2"/>
      <c r="I591" s="74"/>
      <c r="J591" s="74"/>
      <c r="K591" s="74"/>
      <c r="L591" s="74"/>
      <c r="M591" s="2"/>
      <c r="N591" s="2"/>
      <c r="O591" s="2"/>
      <c r="P591" s="74"/>
      <c r="Q591" s="2"/>
      <c r="R591" s="2"/>
      <c r="S591" s="76"/>
      <c r="T591" s="88"/>
    </row>
    <row r="592" ht="15.75" customHeight="1">
      <c r="A592" s="2"/>
      <c r="B592" s="2"/>
      <c r="C592" s="2"/>
      <c r="D592" s="2"/>
      <c r="E592" s="2"/>
      <c r="F592" s="2"/>
      <c r="G592" s="2"/>
      <c r="H592" s="2"/>
      <c r="I592" s="74"/>
      <c r="J592" s="74"/>
      <c r="K592" s="74"/>
      <c r="L592" s="74"/>
      <c r="M592" s="2"/>
      <c r="N592" s="2"/>
      <c r="O592" s="2"/>
      <c r="P592" s="74"/>
      <c r="Q592" s="2"/>
      <c r="R592" s="2"/>
      <c r="S592" s="76"/>
      <c r="T592" s="88"/>
    </row>
    <row r="593" ht="15.75" customHeight="1">
      <c r="A593" s="2"/>
      <c r="B593" s="2"/>
      <c r="C593" s="2"/>
      <c r="D593" s="2"/>
      <c r="E593" s="2"/>
      <c r="F593" s="2"/>
      <c r="G593" s="2"/>
      <c r="H593" s="2"/>
      <c r="I593" s="74"/>
      <c r="J593" s="74"/>
      <c r="K593" s="74"/>
      <c r="L593" s="74"/>
      <c r="M593" s="2"/>
      <c r="N593" s="2"/>
      <c r="O593" s="2"/>
      <c r="P593" s="74"/>
      <c r="Q593" s="2"/>
      <c r="R593" s="2"/>
      <c r="S593" s="76"/>
      <c r="T593" s="88"/>
    </row>
    <row r="594" ht="15.75" customHeight="1">
      <c r="A594" s="2"/>
      <c r="B594" s="2"/>
      <c r="C594" s="2"/>
      <c r="D594" s="2"/>
      <c r="E594" s="2"/>
      <c r="F594" s="2"/>
      <c r="G594" s="2"/>
      <c r="H594" s="2"/>
      <c r="I594" s="74"/>
      <c r="J594" s="74"/>
      <c r="K594" s="74"/>
      <c r="L594" s="74"/>
      <c r="M594" s="2"/>
      <c r="N594" s="2"/>
      <c r="O594" s="2"/>
      <c r="P594" s="74"/>
      <c r="Q594" s="2"/>
      <c r="R594" s="2"/>
      <c r="S594" s="76"/>
      <c r="T594" s="88"/>
    </row>
    <row r="595" ht="15.75" customHeight="1">
      <c r="A595" s="2"/>
      <c r="B595" s="2"/>
      <c r="C595" s="2"/>
      <c r="D595" s="2"/>
      <c r="E595" s="2"/>
      <c r="F595" s="2"/>
      <c r="G595" s="2"/>
      <c r="H595" s="2"/>
      <c r="I595" s="74"/>
      <c r="J595" s="74"/>
      <c r="K595" s="74"/>
      <c r="L595" s="74"/>
      <c r="M595" s="2"/>
      <c r="N595" s="2"/>
      <c r="O595" s="2"/>
      <c r="P595" s="74"/>
      <c r="Q595" s="2"/>
      <c r="R595" s="2"/>
      <c r="S595" s="76"/>
      <c r="T595" s="88"/>
    </row>
    <row r="596" ht="15.75" customHeight="1">
      <c r="A596" s="2"/>
      <c r="B596" s="2"/>
      <c r="C596" s="2"/>
      <c r="D596" s="2"/>
      <c r="E596" s="2"/>
      <c r="F596" s="2"/>
      <c r="G596" s="2"/>
      <c r="H596" s="2"/>
      <c r="I596" s="74"/>
      <c r="J596" s="74"/>
      <c r="K596" s="74"/>
      <c r="L596" s="74"/>
      <c r="M596" s="2"/>
      <c r="N596" s="2"/>
      <c r="O596" s="2"/>
      <c r="P596" s="74"/>
      <c r="Q596" s="2"/>
      <c r="R596" s="2"/>
      <c r="S596" s="76"/>
      <c r="T596" s="88"/>
    </row>
    <row r="597" ht="15.75" customHeight="1">
      <c r="A597" s="2"/>
      <c r="B597" s="2"/>
      <c r="C597" s="2"/>
      <c r="D597" s="2"/>
      <c r="E597" s="2"/>
      <c r="F597" s="2"/>
      <c r="G597" s="2"/>
      <c r="H597" s="2"/>
      <c r="I597" s="74"/>
      <c r="J597" s="74"/>
      <c r="K597" s="74"/>
      <c r="L597" s="74"/>
      <c r="M597" s="2"/>
      <c r="N597" s="2"/>
      <c r="O597" s="2"/>
      <c r="P597" s="74"/>
      <c r="Q597" s="2"/>
      <c r="R597" s="2"/>
      <c r="S597" s="76"/>
      <c r="T597" s="88"/>
    </row>
    <row r="598" ht="15.75" customHeight="1">
      <c r="A598" s="2"/>
      <c r="B598" s="2"/>
      <c r="C598" s="2"/>
      <c r="D598" s="2"/>
      <c r="E598" s="2"/>
      <c r="F598" s="2"/>
      <c r="G598" s="2"/>
      <c r="H598" s="2"/>
      <c r="I598" s="74"/>
      <c r="J598" s="74"/>
      <c r="K598" s="74"/>
      <c r="L598" s="74"/>
      <c r="M598" s="2"/>
      <c r="N598" s="2"/>
      <c r="O598" s="2"/>
      <c r="P598" s="74"/>
      <c r="Q598" s="2"/>
      <c r="R598" s="2"/>
      <c r="S598" s="76"/>
      <c r="T598" s="88"/>
    </row>
    <row r="599" ht="15.75" customHeight="1">
      <c r="A599" s="2"/>
      <c r="B599" s="2"/>
      <c r="C599" s="2"/>
      <c r="D599" s="2"/>
      <c r="E599" s="2"/>
      <c r="F599" s="2"/>
      <c r="G599" s="2"/>
      <c r="H599" s="2"/>
      <c r="I599" s="74"/>
      <c r="J599" s="74"/>
      <c r="K599" s="74"/>
      <c r="L599" s="74"/>
      <c r="M599" s="2"/>
      <c r="N599" s="2"/>
      <c r="O599" s="2"/>
      <c r="P599" s="74"/>
      <c r="Q599" s="2"/>
      <c r="R599" s="2"/>
      <c r="S599" s="76"/>
      <c r="T599" s="88"/>
    </row>
    <row r="600" ht="15.75" customHeight="1">
      <c r="A600" s="2"/>
      <c r="B600" s="2"/>
      <c r="C600" s="2"/>
      <c r="D600" s="2"/>
      <c r="E600" s="2"/>
      <c r="F600" s="2"/>
      <c r="G600" s="2"/>
      <c r="H600" s="2"/>
      <c r="I600" s="74"/>
      <c r="J600" s="74"/>
      <c r="K600" s="74"/>
      <c r="L600" s="74"/>
      <c r="M600" s="2"/>
      <c r="N600" s="2"/>
      <c r="O600" s="2"/>
      <c r="P600" s="74"/>
      <c r="Q600" s="2"/>
      <c r="R600" s="2"/>
      <c r="S600" s="76"/>
      <c r="T600" s="88"/>
    </row>
    <row r="601" ht="15.75" customHeight="1">
      <c r="A601" s="2"/>
      <c r="B601" s="2"/>
      <c r="C601" s="2"/>
      <c r="D601" s="2"/>
      <c r="E601" s="2"/>
      <c r="F601" s="2"/>
      <c r="G601" s="2"/>
      <c r="H601" s="2"/>
      <c r="I601" s="74"/>
      <c r="J601" s="74"/>
      <c r="K601" s="74"/>
      <c r="L601" s="74"/>
      <c r="M601" s="2"/>
      <c r="N601" s="2"/>
      <c r="O601" s="2"/>
      <c r="P601" s="74"/>
      <c r="Q601" s="2"/>
      <c r="R601" s="2"/>
      <c r="S601" s="76"/>
      <c r="T601" s="88"/>
    </row>
    <row r="602" ht="15.75" customHeight="1">
      <c r="A602" s="2"/>
      <c r="B602" s="2"/>
      <c r="C602" s="2"/>
      <c r="D602" s="2"/>
      <c r="E602" s="2"/>
      <c r="F602" s="2"/>
      <c r="G602" s="2"/>
      <c r="H602" s="2"/>
      <c r="I602" s="74"/>
      <c r="J602" s="74"/>
      <c r="K602" s="74"/>
      <c r="L602" s="74"/>
      <c r="M602" s="2"/>
      <c r="N602" s="2"/>
      <c r="O602" s="2"/>
      <c r="P602" s="74"/>
      <c r="Q602" s="2"/>
      <c r="R602" s="2"/>
      <c r="S602" s="76"/>
      <c r="T602" s="88"/>
    </row>
    <row r="603" ht="15.75" customHeight="1">
      <c r="A603" s="2"/>
      <c r="B603" s="2"/>
      <c r="C603" s="2"/>
      <c r="D603" s="2"/>
      <c r="E603" s="2"/>
      <c r="F603" s="2"/>
      <c r="G603" s="2"/>
      <c r="H603" s="2"/>
      <c r="I603" s="74"/>
      <c r="J603" s="74"/>
      <c r="K603" s="74"/>
      <c r="L603" s="74"/>
      <c r="M603" s="2"/>
      <c r="N603" s="2"/>
      <c r="O603" s="2"/>
      <c r="P603" s="74"/>
      <c r="Q603" s="2"/>
      <c r="R603" s="2"/>
      <c r="S603" s="76"/>
      <c r="T603" s="88"/>
    </row>
    <row r="604" ht="15.75" customHeight="1">
      <c r="A604" s="2"/>
      <c r="B604" s="2"/>
      <c r="C604" s="2"/>
      <c r="D604" s="2"/>
      <c r="E604" s="2"/>
      <c r="F604" s="2"/>
      <c r="G604" s="2"/>
      <c r="H604" s="2"/>
      <c r="I604" s="74"/>
      <c r="J604" s="74"/>
      <c r="K604" s="74"/>
      <c r="L604" s="74"/>
      <c r="M604" s="2"/>
      <c r="N604" s="2"/>
      <c r="O604" s="2"/>
      <c r="P604" s="74"/>
      <c r="Q604" s="2"/>
      <c r="R604" s="2"/>
      <c r="S604" s="76"/>
      <c r="T604" s="88"/>
    </row>
    <row r="605" ht="15.75" customHeight="1">
      <c r="A605" s="2"/>
      <c r="B605" s="2"/>
      <c r="C605" s="2"/>
      <c r="D605" s="2"/>
      <c r="E605" s="2"/>
      <c r="F605" s="2"/>
      <c r="G605" s="2"/>
      <c r="H605" s="2"/>
      <c r="I605" s="74"/>
      <c r="J605" s="74"/>
      <c r="K605" s="74"/>
      <c r="L605" s="74"/>
      <c r="M605" s="2"/>
      <c r="N605" s="2"/>
      <c r="O605" s="2"/>
      <c r="P605" s="74"/>
      <c r="Q605" s="2"/>
      <c r="R605" s="2"/>
      <c r="S605" s="76"/>
      <c r="T605" s="88"/>
    </row>
    <row r="606" ht="15.75" customHeight="1">
      <c r="A606" s="2"/>
      <c r="B606" s="2"/>
      <c r="C606" s="2"/>
      <c r="D606" s="2"/>
      <c r="E606" s="2"/>
      <c r="F606" s="2"/>
      <c r="G606" s="2"/>
      <c r="H606" s="2"/>
      <c r="I606" s="74"/>
      <c r="J606" s="74"/>
      <c r="K606" s="74"/>
      <c r="L606" s="74"/>
      <c r="M606" s="2"/>
      <c r="N606" s="2"/>
      <c r="O606" s="2"/>
      <c r="P606" s="74"/>
      <c r="Q606" s="2"/>
      <c r="R606" s="2"/>
      <c r="S606" s="76"/>
      <c r="T606" s="88"/>
    </row>
    <row r="607" ht="15.75" customHeight="1">
      <c r="A607" s="2"/>
      <c r="B607" s="2"/>
      <c r="C607" s="2"/>
      <c r="D607" s="2"/>
      <c r="E607" s="2"/>
      <c r="F607" s="2"/>
      <c r="G607" s="2"/>
      <c r="H607" s="2"/>
      <c r="I607" s="74"/>
      <c r="J607" s="74"/>
      <c r="K607" s="74"/>
      <c r="L607" s="74"/>
      <c r="M607" s="2"/>
      <c r="N607" s="2"/>
      <c r="O607" s="2"/>
      <c r="P607" s="74"/>
      <c r="Q607" s="2"/>
      <c r="R607" s="2"/>
      <c r="S607" s="76"/>
      <c r="T607" s="88"/>
    </row>
    <row r="608" ht="15.75" customHeight="1">
      <c r="A608" s="2"/>
      <c r="B608" s="2"/>
      <c r="C608" s="2"/>
      <c r="D608" s="2"/>
      <c r="E608" s="2"/>
      <c r="F608" s="2"/>
      <c r="G608" s="2"/>
      <c r="H608" s="2"/>
      <c r="I608" s="74"/>
      <c r="J608" s="74"/>
      <c r="K608" s="74"/>
      <c r="L608" s="74"/>
      <c r="M608" s="2"/>
      <c r="N608" s="2"/>
      <c r="O608" s="2"/>
      <c r="P608" s="74"/>
      <c r="Q608" s="2"/>
      <c r="R608" s="2"/>
      <c r="S608" s="76"/>
      <c r="T608" s="88"/>
    </row>
    <row r="609" ht="15.75" customHeight="1">
      <c r="A609" s="2"/>
      <c r="B609" s="2"/>
      <c r="C609" s="2"/>
      <c r="D609" s="2"/>
      <c r="E609" s="2"/>
      <c r="F609" s="2"/>
      <c r="G609" s="2"/>
      <c r="H609" s="2"/>
      <c r="I609" s="74"/>
      <c r="J609" s="74"/>
      <c r="K609" s="74"/>
      <c r="L609" s="74"/>
      <c r="M609" s="2"/>
      <c r="N609" s="2"/>
      <c r="O609" s="2"/>
      <c r="P609" s="74"/>
      <c r="Q609" s="2"/>
      <c r="R609" s="2"/>
      <c r="S609" s="76"/>
      <c r="T609" s="88"/>
    </row>
    <row r="610" ht="15.75" customHeight="1">
      <c r="A610" s="2"/>
      <c r="B610" s="2"/>
      <c r="C610" s="2"/>
      <c r="D610" s="2"/>
      <c r="E610" s="2"/>
      <c r="F610" s="2"/>
      <c r="G610" s="2"/>
      <c r="H610" s="2"/>
      <c r="I610" s="74"/>
      <c r="J610" s="74"/>
      <c r="K610" s="74"/>
      <c r="L610" s="74"/>
      <c r="M610" s="2"/>
      <c r="N610" s="2"/>
      <c r="O610" s="2"/>
      <c r="P610" s="74"/>
      <c r="Q610" s="2"/>
      <c r="R610" s="2"/>
      <c r="S610" s="76"/>
      <c r="T610" s="88"/>
    </row>
    <row r="611" ht="15.75" customHeight="1">
      <c r="A611" s="2"/>
      <c r="B611" s="2"/>
      <c r="C611" s="2"/>
      <c r="D611" s="2"/>
      <c r="E611" s="2"/>
      <c r="F611" s="2"/>
      <c r="G611" s="2"/>
      <c r="H611" s="2"/>
      <c r="I611" s="74"/>
      <c r="J611" s="74"/>
      <c r="K611" s="74"/>
      <c r="L611" s="74"/>
      <c r="M611" s="2"/>
      <c r="N611" s="2"/>
      <c r="O611" s="2"/>
      <c r="P611" s="74"/>
      <c r="Q611" s="2"/>
      <c r="R611" s="2"/>
      <c r="S611" s="76"/>
      <c r="T611" s="88"/>
    </row>
    <row r="612" ht="15.75" customHeight="1">
      <c r="A612" s="2"/>
      <c r="B612" s="2"/>
      <c r="C612" s="2"/>
      <c r="D612" s="2"/>
      <c r="E612" s="2"/>
      <c r="F612" s="2"/>
      <c r="G612" s="2"/>
      <c r="H612" s="2"/>
      <c r="I612" s="74"/>
      <c r="J612" s="74"/>
      <c r="K612" s="74"/>
      <c r="L612" s="74"/>
      <c r="M612" s="2"/>
      <c r="N612" s="2"/>
      <c r="O612" s="2"/>
      <c r="P612" s="74"/>
      <c r="Q612" s="2"/>
      <c r="R612" s="2"/>
      <c r="S612" s="76"/>
      <c r="T612" s="88"/>
    </row>
    <row r="613" ht="15.75" customHeight="1">
      <c r="A613" s="2"/>
      <c r="B613" s="2"/>
      <c r="C613" s="2"/>
      <c r="D613" s="2"/>
      <c r="E613" s="2"/>
      <c r="F613" s="2"/>
      <c r="G613" s="2"/>
      <c r="H613" s="2"/>
      <c r="I613" s="74"/>
      <c r="J613" s="74"/>
      <c r="K613" s="74"/>
      <c r="L613" s="74"/>
      <c r="M613" s="2"/>
      <c r="N613" s="2"/>
      <c r="O613" s="2"/>
      <c r="P613" s="74"/>
      <c r="Q613" s="2"/>
      <c r="R613" s="2"/>
      <c r="S613" s="76"/>
      <c r="T613" s="88"/>
    </row>
    <row r="614" ht="15.75" customHeight="1">
      <c r="A614" s="2"/>
      <c r="B614" s="2"/>
      <c r="C614" s="2"/>
      <c r="D614" s="2"/>
      <c r="E614" s="2"/>
      <c r="F614" s="2"/>
      <c r="G614" s="2"/>
      <c r="H614" s="2"/>
      <c r="I614" s="74"/>
      <c r="J614" s="74"/>
      <c r="K614" s="74"/>
      <c r="L614" s="74"/>
      <c r="M614" s="2"/>
      <c r="N614" s="2"/>
      <c r="O614" s="2"/>
      <c r="P614" s="74"/>
      <c r="Q614" s="2"/>
      <c r="R614" s="2"/>
      <c r="S614" s="76"/>
      <c r="T614" s="88"/>
    </row>
    <row r="615" ht="15.75" customHeight="1">
      <c r="A615" s="2"/>
      <c r="B615" s="2"/>
      <c r="C615" s="2"/>
      <c r="D615" s="2"/>
      <c r="E615" s="2"/>
      <c r="F615" s="2"/>
      <c r="G615" s="2"/>
      <c r="H615" s="2"/>
      <c r="I615" s="74"/>
      <c r="J615" s="74"/>
      <c r="K615" s="74"/>
      <c r="L615" s="74"/>
      <c r="M615" s="2"/>
      <c r="N615" s="2"/>
      <c r="O615" s="2"/>
      <c r="P615" s="74"/>
      <c r="Q615" s="2"/>
      <c r="R615" s="2"/>
      <c r="S615" s="76"/>
      <c r="T615" s="88"/>
    </row>
    <row r="616" ht="15.75" customHeight="1">
      <c r="A616" s="2"/>
      <c r="B616" s="2"/>
      <c r="C616" s="2"/>
      <c r="D616" s="2"/>
      <c r="E616" s="2"/>
      <c r="F616" s="2"/>
      <c r="G616" s="2"/>
      <c r="H616" s="2"/>
      <c r="I616" s="74"/>
      <c r="J616" s="74"/>
      <c r="K616" s="74"/>
      <c r="L616" s="74"/>
      <c r="M616" s="2"/>
      <c r="N616" s="2"/>
      <c r="O616" s="2"/>
      <c r="P616" s="74"/>
      <c r="Q616" s="2"/>
      <c r="R616" s="2"/>
      <c r="S616" s="76"/>
      <c r="T616" s="88"/>
    </row>
    <row r="617" ht="15.75" customHeight="1">
      <c r="A617" s="2"/>
      <c r="B617" s="2"/>
      <c r="C617" s="2"/>
      <c r="D617" s="2"/>
      <c r="E617" s="2"/>
      <c r="F617" s="2"/>
      <c r="G617" s="2"/>
      <c r="H617" s="2"/>
      <c r="I617" s="74"/>
      <c r="J617" s="74"/>
      <c r="K617" s="74"/>
      <c r="L617" s="74"/>
      <c r="M617" s="2"/>
      <c r="N617" s="2"/>
      <c r="O617" s="2"/>
      <c r="P617" s="74"/>
      <c r="Q617" s="2"/>
      <c r="R617" s="2"/>
      <c r="S617" s="76"/>
      <c r="T617" s="88"/>
    </row>
    <row r="618" ht="15.75" customHeight="1">
      <c r="A618" s="2"/>
      <c r="B618" s="2"/>
      <c r="C618" s="2"/>
      <c r="D618" s="2"/>
      <c r="E618" s="2"/>
      <c r="F618" s="2"/>
      <c r="G618" s="2"/>
      <c r="H618" s="2"/>
      <c r="I618" s="74"/>
      <c r="J618" s="74"/>
      <c r="K618" s="74"/>
      <c r="L618" s="74"/>
      <c r="M618" s="2"/>
      <c r="N618" s="2"/>
      <c r="O618" s="2"/>
      <c r="P618" s="74"/>
      <c r="Q618" s="2"/>
      <c r="R618" s="2"/>
      <c r="S618" s="76"/>
      <c r="T618" s="88"/>
    </row>
    <row r="619" ht="15.75" customHeight="1">
      <c r="A619" s="2"/>
      <c r="B619" s="2"/>
      <c r="C619" s="2"/>
      <c r="D619" s="2"/>
      <c r="E619" s="2"/>
      <c r="F619" s="2"/>
      <c r="G619" s="2"/>
      <c r="H619" s="2"/>
      <c r="I619" s="74"/>
      <c r="J619" s="74"/>
      <c r="K619" s="74"/>
      <c r="L619" s="74"/>
      <c r="M619" s="2"/>
      <c r="N619" s="2"/>
      <c r="O619" s="2"/>
      <c r="P619" s="74"/>
      <c r="Q619" s="2"/>
      <c r="R619" s="2"/>
      <c r="S619" s="76"/>
      <c r="T619" s="88"/>
    </row>
    <row r="620" ht="15.75" customHeight="1">
      <c r="A620" s="2"/>
      <c r="B620" s="2"/>
      <c r="C620" s="2"/>
      <c r="D620" s="2"/>
      <c r="E620" s="2"/>
      <c r="F620" s="2"/>
      <c r="G620" s="2"/>
      <c r="H620" s="2"/>
      <c r="I620" s="74"/>
      <c r="J620" s="74"/>
      <c r="K620" s="74"/>
      <c r="L620" s="74"/>
      <c r="M620" s="2"/>
      <c r="N620" s="2"/>
      <c r="O620" s="2"/>
      <c r="P620" s="74"/>
      <c r="Q620" s="2"/>
      <c r="R620" s="2"/>
      <c r="S620" s="76"/>
      <c r="T620" s="88"/>
    </row>
    <row r="621" ht="15.75" customHeight="1">
      <c r="A621" s="2"/>
      <c r="B621" s="2"/>
      <c r="C621" s="2"/>
      <c r="D621" s="2"/>
      <c r="E621" s="2"/>
      <c r="F621" s="2"/>
      <c r="G621" s="2"/>
      <c r="H621" s="2"/>
      <c r="I621" s="74"/>
      <c r="J621" s="74"/>
      <c r="K621" s="74"/>
      <c r="L621" s="74"/>
      <c r="M621" s="2"/>
      <c r="N621" s="2"/>
      <c r="O621" s="2"/>
      <c r="P621" s="74"/>
      <c r="Q621" s="2"/>
      <c r="R621" s="2"/>
      <c r="S621" s="76"/>
      <c r="T621" s="88"/>
    </row>
    <row r="622" ht="15.75" customHeight="1">
      <c r="A622" s="2"/>
      <c r="B622" s="2"/>
      <c r="C622" s="2"/>
      <c r="D622" s="2"/>
      <c r="E622" s="2"/>
      <c r="F622" s="2"/>
      <c r="G622" s="2"/>
      <c r="H622" s="2"/>
      <c r="I622" s="74"/>
      <c r="J622" s="74"/>
      <c r="K622" s="74"/>
      <c r="L622" s="74"/>
      <c r="M622" s="2"/>
      <c r="N622" s="2"/>
      <c r="O622" s="2"/>
      <c r="P622" s="74"/>
      <c r="Q622" s="2"/>
      <c r="R622" s="2"/>
      <c r="S622" s="76"/>
      <c r="T622" s="88"/>
    </row>
    <row r="623" ht="15.75" customHeight="1">
      <c r="A623" s="2"/>
      <c r="B623" s="2"/>
      <c r="C623" s="2"/>
      <c r="D623" s="2"/>
      <c r="E623" s="2"/>
      <c r="F623" s="2"/>
      <c r="G623" s="2"/>
      <c r="H623" s="2"/>
      <c r="I623" s="74"/>
      <c r="J623" s="74"/>
      <c r="K623" s="74"/>
      <c r="L623" s="74"/>
      <c r="M623" s="2"/>
      <c r="N623" s="2"/>
      <c r="O623" s="2"/>
      <c r="P623" s="74"/>
      <c r="Q623" s="2"/>
      <c r="R623" s="2"/>
      <c r="S623" s="76"/>
      <c r="T623" s="88"/>
    </row>
    <row r="624" ht="15.75" customHeight="1">
      <c r="A624" s="2"/>
      <c r="B624" s="2"/>
      <c r="C624" s="2"/>
      <c r="D624" s="2"/>
      <c r="E624" s="2"/>
      <c r="F624" s="2"/>
      <c r="G624" s="2"/>
      <c r="H624" s="2"/>
      <c r="I624" s="74"/>
      <c r="J624" s="74"/>
      <c r="K624" s="74"/>
      <c r="L624" s="74"/>
      <c r="M624" s="2"/>
      <c r="N624" s="2"/>
      <c r="O624" s="2"/>
      <c r="P624" s="74"/>
      <c r="Q624" s="2"/>
      <c r="R624" s="2"/>
      <c r="S624" s="76"/>
      <c r="T624" s="88"/>
    </row>
    <row r="625" ht="15.75" customHeight="1">
      <c r="A625" s="2"/>
      <c r="B625" s="2"/>
      <c r="C625" s="2"/>
      <c r="D625" s="2"/>
      <c r="E625" s="2"/>
      <c r="F625" s="2"/>
      <c r="G625" s="2"/>
      <c r="H625" s="2"/>
      <c r="I625" s="74"/>
      <c r="J625" s="74"/>
      <c r="K625" s="74"/>
      <c r="L625" s="74"/>
      <c r="M625" s="2"/>
      <c r="N625" s="2"/>
      <c r="O625" s="2"/>
      <c r="P625" s="74"/>
      <c r="Q625" s="2"/>
      <c r="R625" s="2"/>
      <c r="S625" s="76"/>
      <c r="T625" s="88"/>
    </row>
    <row r="626" ht="15.75" customHeight="1">
      <c r="A626" s="2"/>
      <c r="B626" s="2"/>
      <c r="C626" s="2"/>
      <c r="D626" s="2"/>
      <c r="E626" s="2"/>
      <c r="F626" s="2"/>
      <c r="G626" s="2"/>
      <c r="H626" s="2"/>
      <c r="I626" s="74"/>
      <c r="J626" s="74"/>
      <c r="K626" s="74"/>
      <c r="L626" s="74"/>
      <c r="M626" s="2"/>
      <c r="N626" s="2"/>
      <c r="O626" s="2"/>
      <c r="P626" s="74"/>
      <c r="Q626" s="2"/>
      <c r="R626" s="2"/>
      <c r="S626" s="76"/>
      <c r="T626" s="88"/>
    </row>
    <row r="627" ht="15.75" customHeight="1">
      <c r="A627" s="2"/>
      <c r="B627" s="2"/>
      <c r="C627" s="2"/>
      <c r="D627" s="2"/>
      <c r="E627" s="2"/>
      <c r="F627" s="2"/>
      <c r="G627" s="2"/>
      <c r="H627" s="2"/>
      <c r="I627" s="74"/>
      <c r="J627" s="74"/>
      <c r="K627" s="74"/>
      <c r="L627" s="74"/>
      <c r="M627" s="2"/>
      <c r="N627" s="2"/>
      <c r="O627" s="2"/>
      <c r="P627" s="74"/>
      <c r="Q627" s="2"/>
      <c r="R627" s="2"/>
      <c r="S627" s="76"/>
      <c r="T627" s="88"/>
    </row>
    <row r="628" ht="15.75" customHeight="1">
      <c r="A628" s="2"/>
      <c r="B628" s="2"/>
      <c r="C628" s="2"/>
      <c r="D628" s="2"/>
      <c r="E628" s="2"/>
      <c r="F628" s="2"/>
      <c r="G628" s="2"/>
      <c r="H628" s="2"/>
      <c r="I628" s="74"/>
      <c r="J628" s="74"/>
      <c r="K628" s="74"/>
      <c r="L628" s="74"/>
      <c r="M628" s="2"/>
      <c r="N628" s="2"/>
      <c r="O628" s="2"/>
      <c r="P628" s="74"/>
      <c r="Q628" s="2"/>
      <c r="R628" s="2"/>
      <c r="S628" s="76"/>
      <c r="T628" s="88"/>
    </row>
    <row r="629" ht="15.75" customHeight="1">
      <c r="A629" s="2"/>
      <c r="B629" s="2"/>
      <c r="C629" s="2"/>
      <c r="D629" s="2"/>
      <c r="E629" s="2"/>
      <c r="F629" s="2"/>
      <c r="G629" s="2"/>
      <c r="H629" s="2"/>
      <c r="I629" s="74"/>
      <c r="J629" s="74"/>
      <c r="K629" s="74"/>
      <c r="L629" s="74"/>
      <c r="M629" s="2"/>
      <c r="N629" s="2"/>
      <c r="O629" s="2"/>
      <c r="P629" s="74"/>
      <c r="Q629" s="2"/>
      <c r="R629" s="2"/>
      <c r="S629" s="76"/>
      <c r="T629" s="88"/>
    </row>
    <row r="630" ht="15.75" customHeight="1">
      <c r="A630" s="2"/>
      <c r="B630" s="2"/>
      <c r="C630" s="2"/>
      <c r="D630" s="2"/>
      <c r="E630" s="2"/>
      <c r="F630" s="2"/>
      <c r="G630" s="2"/>
      <c r="H630" s="2"/>
      <c r="I630" s="74"/>
      <c r="J630" s="74"/>
      <c r="K630" s="74"/>
      <c r="L630" s="74"/>
      <c r="M630" s="2"/>
      <c r="N630" s="2"/>
      <c r="O630" s="2"/>
      <c r="P630" s="74"/>
      <c r="Q630" s="2"/>
      <c r="R630" s="2"/>
      <c r="S630" s="76"/>
      <c r="T630" s="88"/>
    </row>
    <row r="631" ht="15.75" customHeight="1">
      <c r="A631" s="2"/>
      <c r="B631" s="2"/>
      <c r="C631" s="2"/>
      <c r="D631" s="2"/>
      <c r="E631" s="2"/>
      <c r="F631" s="2"/>
      <c r="G631" s="2"/>
      <c r="H631" s="2"/>
      <c r="I631" s="74"/>
      <c r="J631" s="74"/>
      <c r="K631" s="74"/>
      <c r="L631" s="74"/>
      <c r="M631" s="2"/>
      <c r="N631" s="2"/>
      <c r="O631" s="2"/>
      <c r="P631" s="74"/>
      <c r="Q631" s="2"/>
      <c r="R631" s="2"/>
      <c r="S631" s="76"/>
      <c r="T631" s="88"/>
    </row>
    <row r="632" ht="15.75" customHeight="1">
      <c r="A632" s="2"/>
      <c r="B632" s="2"/>
      <c r="C632" s="2"/>
      <c r="D632" s="2"/>
      <c r="E632" s="2"/>
      <c r="F632" s="2"/>
      <c r="G632" s="2"/>
      <c r="H632" s="2"/>
      <c r="I632" s="74"/>
      <c r="J632" s="74"/>
      <c r="K632" s="74"/>
      <c r="L632" s="74"/>
      <c r="M632" s="2"/>
      <c r="N632" s="2"/>
      <c r="O632" s="2"/>
      <c r="P632" s="74"/>
      <c r="Q632" s="2"/>
      <c r="R632" s="2"/>
      <c r="S632" s="76"/>
      <c r="T632" s="88"/>
    </row>
    <row r="633" ht="15.75" customHeight="1">
      <c r="A633" s="2"/>
      <c r="B633" s="2"/>
      <c r="C633" s="2"/>
      <c r="D633" s="2"/>
      <c r="E633" s="2"/>
      <c r="F633" s="2"/>
      <c r="G633" s="2"/>
      <c r="H633" s="2"/>
      <c r="I633" s="74"/>
      <c r="J633" s="74"/>
      <c r="K633" s="74"/>
      <c r="L633" s="74"/>
      <c r="M633" s="2"/>
      <c r="N633" s="2"/>
      <c r="O633" s="2"/>
      <c r="P633" s="74"/>
      <c r="Q633" s="2"/>
      <c r="R633" s="2"/>
      <c r="S633" s="76"/>
      <c r="T633" s="88"/>
    </row>
    <row r="634" ht="15.75" customHeight="1">
      <c r="A634" s="2"/>
      <c r="B634" s="2"/>
      <c r="C634" s="2"/>
      <c r="D634" s="2"/>
      <c r="E634" s="2"/>
      <c r="F634" s="2"/>
      <c r="G634" s="2"/>
      <c r="H634" s="2"/>
      <c r="I634" s="74"/>
      <c r="J634" s="74"/>
      <c r="K634" s="74"/>
      <c r="L634" s="74"/>
      <c r="M634" s="2"/>
      <c r="N634" s="2"/>
      <c r="O634" s="2"/>
      <c r="P634" s="74"/>
      <c r="Q634" s="2"/>
      <c r="R634" s="2"/>
      <c r="S634" s="76"/>
      <c r="T634" s="88"/>
    </row>
    <row r="635" ht="15.75" customHeight="1">
      <c r="A635" s="2"/>
      <c r="B635" s="2"/>
      <c r="C635" s="2"/>
      <c r="D635" s="2"/>
      <c r="E635" s="2"/>
      <c r="F635" s="2"/>
      <c r="G635" s="2"/>
      <c r="H635" s="2"/>
      <c r="I635" s="74"/>
      <c r="J635" s="74"/>
      <c r="K635" s="74"/>
      <c r="L635" s="74"/>
      <c r="M635" s="2"/>
      <c r="N635" s="2"/>
      <c r="O635" s="2"/>
      <c r="P635" s="74"/>
      <c r="Q635" s="2"/>
      <c r="R635" s="2"/>
      <c r="S635" s="76"/>
      <c r="T635" s="88"/>
    </row>
    <row r="636" ht="15.75" customHeight="1">
      <c r="A636" s="2"/>
      <c r="B636" s="2"/>
      <c r="C636" s="2"/>
      <c r="D636" s="2"/>
      <c r="E636" s="2"/>
      <c r="F636" s="2"/>
      <c r="G636" s="2"/>
      <c r="H636" s="2"/>
      <c r="I636" s="74"/>
      <c r="J636" s="74"/>
      <c r="K636" s="74"/>
      <c r="L636" s="74"/>
      <c r="M636" s="2"/>
      <c r="N636" s="2"/>
      <c r="O636" s="2"/>
      <c r="P636" s="74"/>
      <c r="Q636" s="2"/>
      <c r="R636" s="2"/>
      <c r="S636" s="76"/>
      <c r="T636" s="88"/>
    </row>
    <row r="637" ht="15.75" customHeight="1">
      <c r="A637" s="2"/>
      <c r="B637" s="2"/>
      <c r="C637" s="2"/>
      <c r="D637" s="2"/>
      <c r="E637" s="2"/>
      <c r="F637" s="2"/>
      <c r="G637" s="2"/>
      <c r="H637" s="2"/>
      <c r="I637" s="74"/>
      <c r="J637" s="74"/>
      <c r="K637" s="74"/>
      <c r="L637" s="74"/>
      <c r="M637" s="2"/>
      <c r="N637" s="2"/>
      <c r="O637" s="2"/>
      <c r="P637" s="74"/>
      <c r="Q637" s="2"/>
      <c r="R637" s="2"/>
      <c r="S637" s="76"/>
      <c r="T637" s="88"/>
    </row>
    <row r="638" ht="15.75" customHeight="1">
      <c r="A638" s="2"/>
      <c r="B638" s="2"/>
      <c r="C638" s="2"/>
      <c r="D638" s="2"/>
      <c r="E638" s="2"/>
      <c r="F638" s="2"/>
      <c r="G638" s="2"/>
      <c r="H638" s="2"/>
      <c r="I638" s="74"/>
      <c r="J638" s="74"/>
      <c r="K638" s="74"/>
      <c r="L638" s="74"/>
      <c r="M638" s="2"/>
      <c r="N638" s="2"/>
      <c r="O638" s="2"/>
      <c r="P638" s="74"/>
      <c r="Q638" s="2"/>
      <c r="R638" s="2"/>
      <c r="S638" s="76"/>
      <c r="T638" s="88"/>
    </row>
    <row r="639" ht="15.75" customHeight="1">
      <c r="A639" s="2"/>
      <c r="B639" s="2"/>
      <c r="C639" s="2"/>
      <c r="D639" s="2"/>
      <c r="E639" s="2"/>
      <c r="F639" s="2"/>
      <c r="G639" s="2"/>
      <c r="H639" s="2"/>
      <c r="I639" s="74"/>
      <c r="J639" s="74"/>
      <c r="K639" s="74"/>
      <c r="L639" s="74"/>
      <c r="M639" s="2"/>
      <c r="N639" s="2"/>
      <c r="O639" s="2"/>
      <c r="P639" s="74"/>
      <c r="Q639" s="2"/>
      <c r="R639" s="2"/>
      <c r="S639" s="76"/>
      <c r="T639" s="88"/>
    </row>
    <row r="640" ht="15.75" customHeight="1">
      <c r="A640" s="2"/>
      <c r="B640" s="2"/>
      <c r="C640" s="2"/>
      <c r="D640" s="2"/>
      <c r="E640" s="2"/>
      <c r="F640" s="2"/>
      <c r="G640" s="2"/>
      <c r="H640" s="2"/>
      <c r="I640" s="74"/>
      <c r="J640" s="74"/>
      <c r="K640" s="74"/>
      <c r="L640" s="74"/>
      <c r="M640" s="2"/>
      <c r="N640" s="2"/>
      <c r="O640" s="2"/>
      <c r="P640" s="74"/>
      <c r="Q640" s="2"/>
      <c r="R640" s="2"/>
      <c r="S640" s="76"/>
      <c r="T640" s="88"/>
    </row>
    <row r="641" ht="15.75" customHeight="1">
      <c r="A641" s="2"/>
      <c r="B641" s="2"/>
      <c r="C641" s="2"/>
      <c r="D641" s="2"/>
      <c r="E641" s="2"/>
      <c r="F641" s="2"/>
      <c r="G641" s="2"/>
      <c r="H641" s="2"/>
      <c r="I641" s="74"/>
      <c r="J641" s="74"/>
      <c r="K641" s="74"/>
      <c r="L641" s="74"/>
      <c r="M641" s="2"/>
      <c r="N641" s="2"/>
      <c r="O641" s="2"/>
      <c r="P641" s="74"/>
      <c r="Q641" s="2"/>
      <c r="R641" s="2"/>
      <c r="S641" s="76"/>
      <c r="T641" s="88"/>
    </row>
    <row r="642" ht="15.75" customHeight="1">
      <c r="A642" s="2"/>
      <c r="B642" s="2"/>
      <c r="C642" s="2"/>
      <c r="D642" s="2"/>
      <c r="E642" s="2"/>
      <c r="F642" s="2"/>
      <c r="G642" s="2"/>
      <c r="H642" s="2"/>
      <c r="I642" s="74"/>
      <c r="J642" s="74"/>
      <c r="K642" s="74"/>
      <c r="L642" s="74"/>
      <c r="M642" s="2"/>
      <c r="N642" s="2"/>
      <c r="O642" s="2"/>
      <c r="P642" s="74"/>
      <c r="Q642" s="2"/>
      <c r="R642" s="2"/>
      <c r="S642" s="76"/>
      <c r="T642" s="88"/>
    </row>
    <row r="643" ht="15.75" customHeight="1">
      <c r="A643" s="2"/>
      <c r="B643" s="2"/>
      <c r="C643" s="2"/>
      <c r="D643" s="2"/>
      <c r="E643" s="2"/>
      <c r="F643" s="2"/>
      <c r="G643" s="2"/>
      <c r="H643" s="2"/>
      <c r="I643" s="74"/>
      <c r="J643" s="74"/>
      <c r="K643" s="74"/>
      <c r="L643" s="74"/>
      <c r="M643" s="2"/>
      <c r="N643" s="2"/>
      <c r="O643" s="2"/>
      <c r="P643" s="74"/>
      <c r="Q643" s="2"/>
      <c r="R643" s="2"/>
      <c r="S643" s="76"/>
      <c r="T643" s="88"/>
    </row>
    <row r="644" ht="15.75" customHeight="1">
      <c r="A644" s="2"/>
      <c r="B644" s="2"/>
      <c r="C644" s="2"/>
      <c r="D644" s="2"/>
      <c r="E644" s="2"/>
      <c r="F644" s="2"/>
      <c r="G644" s="2"/>
      <c r="H644" s="2"/>
      <c r="I644" s="74"/>
      <c r="J644" s="74"/>
      <c r="K644" s="74"/>
      <c r="L644" s="74"/>
      <c r="M644" s="2"/>
      <c r="N644" s="2"/>
      <c r="O644" s="2"/>
      <c r="P644" s="74"/>
      <c r="Q644" s="2"/>
      <c r="R644" s="2"/>
      <c r="S644" s="76"/>
      <c r="T644" s="88"/>
    </row>
    <row r="645" ht="15.75" customHeight="1">
      <c r="A645" s="2"/>
      <c r="B645" s="2"/>
      <c r="C645" s="2"/>
      <c r="D645" s="2"/>
      <c r="E645" s="2"/>
      <c r="F645" s="2"/>
      <c r="G645" s="2"/>
      <c r="H645" s="2"/>
      <c r="I645" s="74"/>
      <c r="J645" s="74"/>
      <c r="K645" s="74"/>
      <c r="L645" s="74"/>
      <c r="M645" s="2"/>
      <c r="N645" s="2"/>
      <c r="O645" s="2"/>
      <c r="P645" s="74"/>
      <c r="Q645" s="2"/>
      <c r="R645" s="2"/>
      <c r="S645" s="76"/>
      <c r="T645" s="88"/>
    </row>
    <row r="646" ht="15.75" customHeight="1">
      <c r="A646" s="2"/>
      <c r="B646" s="2"/>
      <c r="C646" s="2"/>
      <c r="D646" s="2"/>
      <c r="E646" s="2"/>
      <c r="F646" s="2"/>
      <c r="G646" s="2"/>
      <c r="H646" s="2"/>
      <c r="I646" s="74"/>
      <c r="J646" s="74"/>
      <c r="K646" s="74"/>
      <c r="L646" s="74"/>
      <c r="M646" s="2"/>
      <c r="N646" s="2"/>
      <c r="O646" s="2"/>
      <c r="P646" s="74"/>
      <c r="Q646" s="2"/>
      <c r="R646" s="2"/>
      <c r="S646" s="76"/>
      <c r="T646" s="88"/>
    </row>
    <row r="647" ht="15.75" customHeight="1">
      <c r="A647" s="2"/>
      <c r="B647" s="2"/>
      <c r="C647" s="2"/>
      <c r="D647" s="2"/>
      <c r="E647" s="2"/>
      <c r="F647" s="2"/>
      <c r="G647" s="2"/>
      <c r="H647" s="2"/>
      <c r="I647" s="74"/>
      <c r="J647" s="74"/>
      <c r="K647" s="74"/>
      <c r="L647" s="74"/>
      <c r="M647" s="2"/>
      <c r="N647" s="2"/>
      <c r="O647" s="2"/>
      <c r="P647" s="74"/>
      <c r="Q647" s="2"/>
      <c r="R647" s="2"/>
      <c r="S647" s="76"/>
      <c r="T647" s="88"/>
    </row>
    <row r="648" ht="15.75" customHeight="1">
      <c r="A648" s="2"/>
      <c r="B648" s="2"/>
      <c r="C648" s="2"/>
      <c r="D648" s="2"/>
      <c r="E648" s="2"/>
      <c r="F648" s="2"/>
      <c r="G648" s="2"/>
      <c r="H648" s="2"/>
      <c r="I648" s="74"/>
      <c r="J648" s="74"/>
      <c r="K648" s="74"/>
      <c r="L648" s="74"/>
      <c r="M648" s="2"/>
      <c r="N648" s="2"/>
      <c r="O648" s="2"/>
      <c r="P648" s="74"/>
      <c r="Q648" s="2"/>
      <c r="R648" s="2"/>
      <c r="S648" s="76"/>
      <c r="T648" s="88"/>
    </row>
    <row r="649" ht="15.75" customHeight="1">
      <c r="A649" s="2"/>
      <c r="B649" s="2"/>
      <c r="C649" s="2"/>
      <c r="D649" s="2"/>
      <c r="E649" s="2"/>
      <c r="F649" s="2"/>
      <c r="G649" s="2"/>
      <c r="H649" s="2"/>
      <c r="I649" s="74"/>
      <c r="J649" s="74"/>
      <c r="K649" s="74"/>
      <c r="L649" s="74"/>
      <c r="M649" s="2"/>
      <c r="N649" s="2"/>
      <c r="O649" s="2"/>
      <c r="P649" s="74"/>
      <c r="Q649" s="2"/>
      <c r="R649" s="2"/>
      <c r="S649" s="76"/>
      <c r="T649" s="88"/>
    </row>
    <row r="650" ht="15.75" customHeight="1">
      <c r="A650" s="2"/>
      <c r="B650" s="2"/>
      <c r="C650" s="2"/>
      <c r="D650" s="2"/>
      <c r="E650" s="2"/>
      <c r="F650" s="2"/>
      <c r="G650" s="2"/>
      <c r="H650" s="2"/>
      <c r="I650" s="74"/>
      <c r="J650" s="74"/>
      <c r="K650" s="74"/>
      <c r="L650" s="74"/>
      <c r="M650" s="2"/>
      <c r="N650" s="2"/>
      <c r="O650" s="2"/>
      <c r="P650" s="74"/>
      <c r="Q650" s="2"/>
      <c r="R650" s="2"/>
      <c r="S650" s="76"/>
      <c r="T650" s="88"/>
    </row>
    <row r="651" ht="15.75" customHeight="1">
      <c r="A651" s="2"/>
      <c r="B651" s="2"/>
      <c r="C651" s="2"/>
      <c r="D651" s="2"/>
      <c r="E651" s="2"/>
      <c r="F651" s="2"/>
      <c r="G651" s="2"/>
      <c r="H651" s="2"/>
      <c r="I651" s="74"/>
      <c r="J651" s="74"/>
      <c r="K651" s="74"/>
      <c r="L651" s="74"/>
      <c r="M651" s="2"/>
      <c r="N651" s="2"/>
      <c r="O651" s="2"/>
      <c r="P651" s="74"/>
      <c r="Q651" s="2"/>
      <c r="R651" s="2"/>
      <c r="S651" s="76"/>
      <c r="T651" s="88"/>
    </row>
    <row r="652" ht="15.75" customHeight="1">
      <c r="A652" s="2"/>
      <c r="B652" s="2"/>
      <c r="C652" s="2"/>
      <c r="D652" s="2"/>
      <c r="E652" s="2"/>
      <c r="F652" s="2"/>
      <c r="G652" s="2"/>
      <c r="H652" s="2"/>
      <c r="I652" s="74"/>
      <c r="J652" s="74"/>
      <c r="K652" s="74"/>
      <c r="L652" s="74"/>
      <c r="M652" s="2"/>
      <c r="N652" s="2"/>
      <c r="O652" s="2"/>
      <c r="P652" s="74"/>
      <c r="Q652" s="2"/>
      <c r="R652" s="2"/>
      <c r="S652" s="76"/>
      <c r="T652" s="88"/>
    </row>
    <row r="653" ht="15.75" customHeight="1">
      <c r="A653" s="2"/>
      <c r="B653" s="2"/>
      <c r="C653" s="2"/>
      <c r="D653" s="2"/>
      <c r="E653" s="2"/>
      <c r="F653" s="2"/>
      <c r="G653" s="2"/>
      <c r="H653" s="2"/>
      <c r="I653" s="74"/>
      <c r="J653" s="74"/>
      <c r="K653" s="74"/>
      <c r="L653" s="74"/>
      <c r="M653" s="2"/>
      <c r="N653" s="2"/>
      <c r="O653" s="2"/>
      <c r="P653" s="74"/>
      <c r="Q653" s="2"/>
      <c r="R653" s="2"/>
      <c r="S653" s="76"/>
      <c r="T653" s="88"/>
    </row>
    <row r="654" ht="15.75" customHeight="1">
      <c r="A654" s="2"/>
      <c r="B654" s="2"/>
      <c r="C654" s="2"/>
      <c r="D654" s="2"/>
      <c r="E654" s="2"/>
      <c r="F654" s="2"/>
      <c r="G654" s="2"/>
      <c r="H654" s="2"/>
      <c r="I654" s="74"/>
      <c r="J654" s="74"/>
      <c r="K654" s="74"/>
      <c r="L654" s="74"/>
      <c r="M654" s="2"/>
      <c r="N654" s="2"/>
      <c r="O654" s="2"/>
      <c r="P654" s="74"/>
      <c r="Q654" s="2"/>
      <c r="R654" s="2"/>
      <c r="S654" s="76"/>
      <c r="T654" s="88"/>
    </row>
    <row r="655" ht="15.75" customHeight="1">
      <c r="A655" s="2"/>
      <c r="B655" s="2"/>
      <c r="C655" s="2"/>
      <c r="D655" s="2"/>
      <c r="E655" s="2"/>
      <c r="F655" s="2"/>
      <c r="G655" s="2"/>
      <c r="H655" s="2"/>
      <c r="I655" s="74"/>
      <c r="J655" s="74"/>
      <c r="K655" s="74"/>
      <c r="L655" s="74"/>
      <c r="M655" s="2"/>
      <c r="N655" s="2"/>
      <c r="O655" s="2"/>
      <c r="P655" s="74"/>
      <c r="Q655" s="2"/>
      <c r="R655" s="2"/>
      <c r="S655" s="76"/>
      <c r="T655" s="88"/>
    </row>
    <row r="656" ht="15.75" customHeight="1">
      <c r="A656" s="2"/>
      <c r="B656" s="2"/>
      <c r="C656" s="2"/>
      <c r="D656" s="2"/>
      <c r="E656" s="2"/>
      <c r="F656" s="2"/>
      <c r="G656" s="2"/>
      <c r="H656" s="2"/>
      <c r="I656" s="74"/>
      <c r="J656" s="74"/>
      <c r="K656" s="74"/>
      <c r="L656" s="74"/>
      <c r="M656" s="2"/>
      <c r="N656" s="2"/>
      <c r="O656" s="2"/>
      <c r="P656" s="74"/>
      <c r="Q656" s="2"/>
      <c r="R656" s="2"/>
      <c r="S656" s="76"/>
      <c r="T656" s="88"/>
    </row>
    <row r="657" ht="15.75" customHeight="1">
      <c r="A657" s="2"/>
      <c r="B657" s="2"/>
      <c r="C657" s="2"/>
      <c r="D657" s="2"/>
      <c r="E657" s="2"/>
      <c r="F657" s="2"/>
      <c r="G657" s="2"/>
      <c r="H657" s="2"/>
      <c r="I657" s="74"/>
      <c r="J657" s="74"/>
      <c r="K657" s="74"/>
      <c r="L657" s="74"/>
      <c r="M657" s="2"/>
      <c r="N657" s="2"/>
      <c r="O657" s="2"/>
      <c r="P657" s="74"/>
      <c r="Q657" s="2"/>
      <c r="R657" s="2"/>
      <c r="S657" s="76"/>
      <c r="T657" s="88"/>
    </row>
    <row r="658" ht="15.75" customHeight="1">
      <c r="A658" s="2"/>
      <c r="B658" s="2"/>
      <c r="C658" s="2"/>
      <c r="D658" s="2"/>
      <c r="E658" s="2"/>
      <c r="F658" s="2"/>
      <c r="G658" s="2"/>
      <c r="H658" s="2"/>
      <c r="I658" s="74"/>
      <c r="J658" s="74"/>
      <c r="K658" s="74"/>
      <c r="L658" s="74"/>
      <c r="M658" s="2"/>
      <c r="N658" s="2"/>
      <c r="O658" s="2"/>
      <c r="P658" s="74"/>
      <c r="Q658" s="2"/>
      <c r="R658" s="2"/>
      <c r="S658" s="76"/>
      <c r="T658" s="88"/>
    </row>
    <row r="659" ht="15.75" customHeight="1">
      <c r="A659" s="2"/>
      <c r="B659" s="2"/>
      <c r="C659" s="2"/>
      <c r="D659" s="2"/>
      <c r="E659" s="2"/>
      <c r="F659" s="2"/>
      <c r="G659" s="2"/>
      <c r="H659" s="2"/>
      <c r="I659" s="74"/>
      <c r="J659" s="74"/>
      <c r="K659" s="74"/>
      <c r="L659" s="74"/>
      <c r="M659" s="2"/>
      <c r="N659" s="2"/>
      <c r="O659" s="2"/>
      <c r="P659" s="74"/>
      <c r="Q659" s="2"/>
      <c r="R659" s="2"/>
      <c r="S659" s="76"/>
      <c r="T659" s="88"/>
    </row>
    <row r="660" ht="15.75" customHeight="1">
      <c r="A660" s="2"/>
      <c r="B660" s="2"/>
      <c r="C660" s="2"/>
      <c r="D660" s="2"/>
      <c r="E660" s="2"/>
      <c r="F660" s="2"/>
      <c r="G660" s="2"/>
      <c r="H660" s="2"/>
      <c r="I660" s="74"/>
      <c r="J660" s="74"/>
      <c r="K660" s="74"/>
      <c r="L660" s="74"/>
      <c r="M660" s="2"/>
      <c r="N660" s="2"/>
      <c r="O660" s="2"/>
      <c r="P660" s="74"/>
      <c r="Q660" s="2"/>
      <c r="R660" s="2"/>
      <c r="S660" s="76"/>
      <c r="T660" s="88"/>
    </row>
    <row r="661" ht="15.75" customHeight="1">
      <c r="A661" s="2"/>
      <c r="B661" s="2"/>
      <c r="C661" s="2"/>
      <c r="D661" s="2"/>
      <c r="E661" s="2"/>
      <c r="F661" s="2"/>
      <c r="G661" s="2"/>
      <c r="H661" s="2"/>
      <c r="I661" s="74"/>
      <c r="J661" s="74"/>
      <c r="K661" s="74"/>
      <c r="L661" s="74"/>
      <c r="M661" s="2"/>
      <c r="N661" s="2"/>
      <c r="O661" s="2"/>
      <c r="P661" s="74"/>
      <c r="Q661" s="2"/>
      <c r="R661" s="2"/>
      <c r="S661" s="76"/>
      <c r="T661" s="88"/>
    </row>
    <row r="662" ht="15.75" customHeight="1">
      <c r="A662" s="2"/>
      <c r="B662" s="2"/>
      <c r="C662" s="2"/>
      <c r="D662" s="2"/>
      <c r="E662" s="2"/>
      <c r="F662" s="2"/>
      <c r="G662" s="2"/>
      <c r="H662" s="2"/>
      <c r="I662" s="74"/>
      <c r="J662" s="74"/>
      <c r="K662" s="74"/>
      <c r="L662" s="74"/>
      <c r="M662" s="2"/>
      <c r="N662" s="2"/>
      <c r="O662" s="2"/>
      <c r="P662" s="74"/>
      <c r="Q662" s="2"/>
      <c r="R662" s="2"/>
      <c r="S662" s="76"/>
      <c r="T662" s="88"/>
    </row>
    <row r="663" ht="15.75" customHeight="1">
      <c r="A663" s="2"/>
      <c r="B663" s="2"/>
      <c r="C663" s="2"/>
      <c r="D663" s="2"/>
      <c r="E663" s="2"/>
      <c r="F663" s="2"/>
      <c r="G663" s="2"/>
      <c r="H663" s="2"/>
      <c r="I663" s="74"/>
      <c r="J663" s="74"/>
      <c r="K663" s="74"/>
      <c r="L663" s="74"/>
      <c r="M663" s="2"/>
      <c r="N663" s="2"/>
      <c r="O663" s="2"/>
      <c r="P663" s="74"/>
      <c r="Q663" s="2"/>
      <c r="R663" s="2"/>
      <c r="S663" s="76"/>
      <c r="T663" s="88"/>
    </row>
    <row r="664" ht="15.75" customHeight="1">
      <c r="A664" s="2"/>
      <c r="B664" s="2"/>
      <c r="C664" s="2"/>
      <c r="D664" s="2"/>
      <c r="E664" s="2"/>
      <c r="F664" s="2"/>
      <c r="G664" s="2"/>
      <c r="H664" s="2"/>
      <c r="I664" s="74"/>
      <c r="J664" s="74"/>
      <c r="K664" s="74"/>
      <c r="L664" s="74"/>
      <c r="M664" s="2"/>
      <c r="N664" s="2"/>
      <c r="O664" s="2"/>
      <c r="P664" s="74"/>
      <c r="Q664" s="2"/>
      <c r="R664" s="2"/>
      <c r="S664" s="76"/>
      <c r="T664" s="88"/>
    </row>
    <row r="665" ht="15.75" customHeight="1">
      <c r="A665" s="2"/>
      <c r="B665" s="2"/>
      <c r="C665" s="2"/>
      <c r="D665" s="2"/>
      <c r="E665" s="2"/>
      <c r="F665" s="2"/>
      <c r="G665" s="2"/>
      <c r="H665" s="2"/>
      <c r="I665" s="74"/>
      <c r="J665" s="74"/>
      <c r="K665" s="74"/>
      <c r="L665" s="74"/>
      <c r="M665" s="2"/>
      <c r="N665" s="2"/>
      <c r="O665" s="2"/>
      <c r="P665" s="74"/>
      <c r="Q665" s="2"/>
      <c r="R665" s="2"/>
      <c r="S665" s="76"/>
      <c r="T665" s="88"/>
    </row>
    <row r="666" ht="15.75" customHeight="1">
      <c r="A666" s="2"/>
      <c r="B666" s="2"/>
      <c r="C666" s="2"/>
      <c r="D666" s="2"/>
      <c r="E666" s="2"/>
      <c r="F666" s="2"/>
      <c r="G666" s="2"/>
      <c r="H666" s="2"/>
      <c r="I666" s="74"/>
      <c r="J666" s="74"/>
      <c r="K666" s="74"/>
      <c r="L666" s="74"/>
      <c r="M666" s="2"/>
      <c r="N666" s="2"/>
      <c r="O666" s="2"/>
      <c r="P666" s="74"/>
      <c r="Q666" s="2"/>
      <c r="R666" s="2"/>
      <c r="S666" s="76"/>
      <c r="T666" s="88"/>
    </row>
    <row r="667" ht="15.75" customHeight="1">
      <c r="A667" s="2"/>
      <c r="B667" s="2"/>
      <c r="C667" s="2"/>
      <c r="D667" s="2"/>
      <c r="E667" s="2"/>
      <c r="F667" s="2"/>
      <c r="G667" s="2"/>
      <c r="H667" s="2"/>
      <c r="I667" s="74"/>
      <c r="J667" s="74"/>
      <c r="K667" s="74"/>
      <c r="L667" s="74"/>
      <c r="M667" s="2"/>
      <c r="N667" s="2"/>
      <c r="O667" s="2"/>
      <c r="P667" s="74"/>
      <c r="Q667" s="2"/>
      <c r="R667" s="2"/>
      <c r="S667" s="76"/>
      <c r="T667" s="88"/>
    </row>
    <row r="668" ht="15.75" customHeight="1">
      <c r="A668" s="2"/>
      <c r="B668" s="2"/>
      <c r="C668" s="2"/>
      <c r="D668" s="2"/>
      <c r="E668" s="2"/>
      <c r="F668" s="2"/>
      <c r="G668" s="2"/>
      <c r="H668" s="2"/>
      <c r="I668" s="74"/>
      <c r="J668" s="74"/>
      <c r="K668" s="74"/>
      <c r="L668" s="74"/>
      <c r="M668" s="2"/>
      <c r="N668" s="2"/>
      <c r="O668" s="2"/>
      <c r="P668" s="74"/>
      <c r="Q668" s="2"/>
      <c r="R668" s="2"/>
      <c r="S668" s="76"/>
      <c r="T668" s="88"/>
    </row>
    <row r="669" ht="15.75" customHeight="1">
      <c r="A669" s="2"/>
      <c r="B669" s="2"/>
      <c r="C669" s="2"/>
      <c r="D669" s="2"/>
      <c r="E669" s="2"/>
      <c r="F669" s="2"/>
      <c r="G669" s="2"/>
      <c r="H669" s="2"/>
      <c r="I669" s="74"/>
      <c r="J669" s="74"/>
      <c r="K669" s="74"/>
      <c r="L669" s="74"/>
      <c r="M669" s="2"/>
      <c r="N669" s="2"/>
      <c r="O669" s="2"/>
      <c r="P669" s="74"/>
      <c r="Q669" s="2"/>
      <c r="R669" s="2"/>
      <c r="S669" s="76"/>
      <c r="T669" s="88"/>
    </row>
    <row r="670" ht="15.75" customHeight="1">
      <c r="A670" s="2"/>
      <c r="B670" s="2"/>
      <c r="C670" s="2"/>
      <c r="D670" s="2"/>
      <c r="E670" s="2"/>
      <c r="F670" s="2"/>
      <c r="G670" s="2"/>
      <c r="H670" s="2"/>
      <c r="I670" s="74"/>
      <c r="J670" s="74"/>
      <c r="K670" s="74"/>
      <c r="L670" s="74"/>
      <c r="M670" s="2"/>
      <c r="N670" s="2"/>
      <c r="O670" s="2"/>
      <c r="P670" s="74"/>
      <c r="Q670" s="2"/>
      <c r="R670" s="2"/>
      <c r="S670" s="76"/>
      <c r="T670" s="88"/>
    </row>
    <row r="671" ht="15.75" customHeight="1">
      <c r="A671" s="2"/>
      <c r="B671" s="2"/>
      <c r="C671" s="2"/>
      <c r="D671" s="2"/>
      <c r="E671" s="2"/>
      <c r="F671" s="2"/>
      <c r="G671" s="2"/>
      <c r="H671" s="2"/>
      <c r="I671" s="74"/>
      <c r="J671" s="74"/>
      <c r="K671" s="74"/>
      <c r="L671" s="74"/>
      <c r="M671" s="2"/>
      <c r="N671" s="2"/>
      <c r="O671" s="2"/>
      <c r="P671" s="74"/>
      <c r="Q671" s="2"/>
      <c r="R671" s="2"/>
      <c r="S671" s="76"/>
      <c r="T671" s="88"/>
    </row>
    <row r="672" ht="15.75" customHeight="1">
      <c r="A672" s="2"/>
      <c r="B672" s="2"/>
      <c r="C672" s="2"/>
      <c r="D672" s="2"/>
      <c r="E672" s="2"/>
      <c r="F672" s="2"/>
      <c r="G672" s="2"/>
      <c r="H672" s="2"/>
      <c r="I672" s="74"/>
      <c r="J672" s="74"/>
      <c r="K672" s="74"/>
      <c r="L672" s="74"/>
      <c r="M672" s="2"/>
      <c r="N672" s="2"/>
      <c r="O672" s="2"/>
      <c r="P672" s="74"/>
      <c r="Q672" s="2"/>
      <c r="R672" s="2"/>
      <c r="S672" s="76"/>
      <c r="T672" s="88"/>
    </row>
    <row r="673" ht="15.75" customHeight="1">
      <c r="A673" s="2"/>
      <c r="B673" s="2"/>
      <c r="C673" s="2"/>
      <c r="D673" s="2"/>
      <c r="E673" s="2"/>
      <c r="F673" s="2"/>
      <c r="G673" s="2"/>
      <c r="H673" s="2"/>
      <c r="I673" s="74"/>
      <c r="J673" s="74"/>
      <c r="K673" s="74"/>
      <c r="L673" s="74"/>
      <c r="M673" s="2"/>
      <c r="N673" s="2"/>
      <c r="O673" s="2"/>
      <c r="P673" s="74"/>
      <c r="Q673" s="2"/>
      <c r="R673" s="2"/>
      <c r="S673" s="76"/>
      <c r="T673" s="88"/>
    </row>
    <row r="674" ht="15.75" customHeight="1">
      <c r="A674" s="2"/>
      <c r="B674" s="2"/>
      <c r="C674" s="2"/>
      <c r="D674" s="2"/>
      <c r="E674" s="2"/>
      <c r="F674" s="2"/>
      <c r="G674" s="2"/>
      <c r="H674" s="2"/>
      <c r="I674" s="74"/>
      <c r="J674" s="74"/>
      <c r="K674" s="74"/>
      <c r="L674" s="74"/>
      <c r="M674" s="2"/>
      <c r="N674" s="2"/>
      <c r="O674" s="2"/>
      <c r="P674" s="74"/>
      <c r="Q674" s="2"/>
      <c r="R674" s="2"/>
      <c r="S674" s="76"/>
      <c r="T674" s="88"/>
    </row>
    <row r="675" ht="15.75" customHeight="1">
      <c r="A675" s="2"/>
      <c r="B675" s="2"/>
      <c r="C675" s="2"/>
      <c r="D675" s="2"/>
      <c r="E675" s="2"/>
      <c r="F675" s="2"/>
      <c r="G675" s="2"/>
      <c r="H675" s="2"/>
      <c r="I675" s="74"/>
      <c r="J675" s="74"/>
      <c r="K675" s="74"/>
      <c r="L675" s="74"/>
      <c r="M675" s="2"/>
      <c r="N675" s="2"/>
      <c r="O675" s="2"/>
      <c r="P675" s="74"/>
      <c r="Q675" s="2"/>
      <c r="R675" s="2"/>
      <c r="S675" s="76"/>
      <c r="T675" s="88"/>
    </row>
    <row r="676" ht="15.75" customHeight="1">
      <c r="A676" s="2"/>
      <c r="B676" s="2"/>
      <c r="C676" s="2"/>
      <c r="D676" s="2"/>
      <c r="E676" s="2"/>
      <c r="F676" s="2"/>
      <c r="G676" s="2"/>
      <c r="H676" s="2"/>
      <c r="I676" s="74"/>
      <c r="J676" s="74"/>
      <c r="K676" s="74"/>
      <c r="L676" s="74"/>
      <c r="M676" s="2"/>
      <c r="N676" s="2"/>
      <c r="O676" s="2"/>
      <c r="P676" s="74"/>
      <c r="Q676" s="2"/>
      <c r="R676" s="2"/>
      <c r="S676" s="76"/>
      <c r="T676" s="88"/>
    </row>
    <row r="677" ht="15.75" customHeight="1">
      <c r="A677" s="2"/>
      <c r="B677" s="2"/>
      <c r="C677" s="2"/>
      <c r="D677" s="2"/>
      <c r="E677" s="2"/>
      <c r="F677" s="2"/>
      <c r="G677" s="2"/>
      <c r="H677" s="2"/>
      <c r="I677" s="74"/>
      <c r="J677" s="74"/>
      <c r="K677" s="74"/>
      <c r="L677" s="74"/>
      <c r="M677" s="2"/>
      <c r="N677" s="2"/>
      <c r="O677" s="2"/>
      <c r="P677" s="74"/>
      <c r="Q677" s="2"/>
      <c r="R677" s="2"/>
      <c r="S677" s="76"/>
      <c r="T677" s="88"/>
    </row>
    <row r="678" ht="15.75" customHeight="1">
      <c r="A678" s="2"/>
      <c r="B678" s="2"/>
      <c r="C678" s="2"/>
      <c r="D678" s="2"/>
      <c r="E678" s="2"/>
      <c r="F678" s="2"/>
      <c r="G678" s="2"/>
      <c r="H678" s="2"/>
      <c r="I678" s="74"/>
      <c r="J678" s="74"/>
      <c r="K678" s="74"/>
      <c r="L678" s="74"/>
      <c r="M678" s="2"/>
      <c r="N678" s="2"/>
      <c r="O678" s="2"/>
      <c r="P678" s="74"/>
      <c r="Q678" s="2"/>
      <c r="R678" s="2"/>
      <c r="S678" s="76"/>
      <c r="T678" s="88"/>
    </row>
    <row r="679" ht="15.75" customHeight="1">
      <c r="A679" s="2"/>
      <c r="B679" s="2"/>
      <c r="C679" s="2"/>
      <c r="D679" s="2"/>
      <c r="E679" s="2"/>
      <c r="F679" s="2"/>
      <c r="G679" s="2"/>
      <c r="H679" s="2"/>
      <c r="I679" s="74"/>
      <c r="J679" s="74"/>
      <c r="K679" s="74"/>
      <c r="L679" s="74"/>
      <c r="M679" s="2"/>
      <c r="N679" s="2"/>
      <c r="O679" s="2"/>
      <c r="P679" s="74"/>
      <c r="Q679" s="2"/>
      <c r="R679" s="2"/>
      <c r="S679" s="76"/>
      <c r="T679" s="88"/>
    </row>
    <row r="680" ht="15.75" customHeight="1">
      <c r="A680" s="2"/>
      <c r="B680" s="2"/>
      <c r="C680" s="2"/>
      <c r="D680" s="2"/>
      <c r="E680" s="2"/>
      <c r="F680" s="2"/>
      <c r="G680" s="2"/>
      <c r="H680" s="2"/>
      <c r="I680" s="74"/>
      <c r="J680" s="74"/>
      <c r="K680" s="74"/>
      <c r="L680" s="74"/>
      <c r="M680" s="2"/>
      <c r="N680" s="2"/>
      <c r="O680" s="2"/>
      <c r="P680" s="74"/>
      <c r="Q680" s="2"/>
      <c r="R680" s="2"/>
      <c r="S680" s="76"/>
      <c r="T680" s="88"/>
    </row>
    <row r="681" ht="15.75" customHeight="1">
      <c r="A681" s="2"/>
      <c r="B681" s="2"/>
      <c r="C681" s="2"/>
      <c r="D681" s="2"/>
      <c r="E681" s="2"/>
      <c r="F681" s="2"/>
      <c r="G681" s="2"/>
      <c r="H681" s="2"/>
      <c r="I681" s="74"/>
      <c r="J681" s="74"/>
      <c r="K681" s="74"/>
      <c r="L681" s="74"/>
      <c r="M681" s="2"/>
      <c r="N681" s="2"/>
      <c r="O681" s="2"/>
      <c r="P681" s="74"/>
      <c r="Q681" s="2"/>
      <c r="R681" s="2"/>
      <c r="S681" s="76"/>
      <c r="T681" s="88"/>
    </row>
    <row r="682" ht="15.75" customHeight="1">
      <c r="A682" s="2"/>
      <c r="B682" s="2"/>
      <c r="C682" s="2"/>
      <c r="D682" s="2"/>
      <c r="E682" s="2"/>
      <c r="F682" s="2"/>
      <c r="G682" s="2"/>
      <c r="H682" s="2"/>
      <c r="I682" s="74"/>
      <c r="J682" s="74"/>
      <c r="K682" s="74"/>
      <c r="L682" s="74"/>
      <c r="M682" s="2"/>
      <c r="N682" s="2"/>
      <c r="O682" s="2"/>
      <c r="P682" s="74"/>
      <c r="Q682" s="2"/>
      <c r="R682" s="2"/>
      <c r="S682" s="76"/>
      <c r="T682" s="88"/>
    </row>
    <row r="683" ht="15.75" customHeight="1">
      <c r="A683" s="2"/>
      <c r="B683" s="2"/>
      <c r="C683" s="2"/>
      <c r="D683" s="2"/>
      <c r="E683" s="2"/>
      <c r="F683" s="2"/>
      <c r="G683" s="2"/>
      <c r="H683" s="2"/>
      <c r="I683" s="74"/>
      <c r="J683" s="74"/>
      <c r="K683" s="74"/>
      <c r="L683" s="74"/>
      <c r="M683" s="2"/>
      <c r="N683" s="2"/>
      <c r="O683" s="2"/>
      <c r="P683" s="74"/>
      <c r="Q683" s="2"/>
      <c r="R683" s="2"/>
      <c r="S683" s="76"/>
      <c r="T683" s="88"/>
    </row>
    <row r="684" ht="15.75" customHeight="1">
      <c r="A684" s="2"/>
      <c r="B684" s="2"/>
      <c r="C684" s="2"/>
      <c r="D684" s="2"/>
      <c r="E684" s="2"/>
      <c r="F684" s="2"/>
      <c r="G684" s="2"/>
      <c r="H684" s="2"/>
      <c r="I684" s="74"/>
      <c r="J684" s="74"/>
      <c r="K684" s="74"/>
      <c r="L684" s="74"/>
      <c r="M684" s="2"/>
      <c r="N684" s="2"/>
      <c r="O684" s="2"/>
      <c r="P684" s="74"/>
      <c r="Q684" s="2"/>
      <c r="R684" s="2"/>
      <c r="S684" s="76"/>
      <c r="T684" s="88"/>
    </row>
    <row r="685" ht="15.75" customHeight="1">
      <c r="A685" s="2"/>
      <c r="B685" s="2"/>
      <c r="C685" s="2"/>
      <c r="D685" s="2"/>
      <c r="E685" s="2"/>
      <c r="F685" s="2"/>
      <c r="G685" s="2"/>
      <c r="H685" s="2"/>
      <c r="I685" s="74"/>
      <c r="J685" s="74"/>
      <c r="K685" s="74"/>
      <c r="L685" s="74"/>
      <c r="M685" s="2"/>
      <c r="N685" s="2"/>
      <c r="O685" s="2"/>
      <c r="P685" s="74"/>
      <c r="Q685" s="2"/>
      <c r="R685" s="2"/>
      <c r="S685" s="76"/>
      <c r="T685" s="88"/>
    </row>
    <row r="686" ht="15.75" customHeight="1">
      <c r="A686" s="2"/>
      <c r="B686" s="2"/>
      <c r="C686" s="2"/>
      <c r="D686" s="2"/>
      <c r="E686" s="2"/>
      <c r="F686" s="2"/>
      <c r="G686" s="2"/>
      <c r="H686" s="2"/>
      <c r="I686" s="74"/>
      <c r="J686" s="74"/>
      <c r="K686" s="74"/>
      <c r="L686" s="74"/>
      <c r="M686" s="2"/>
      <c r="N686" s="2"/>
      <c r="O686" s="2"/>
      <c r="P686" s="74"/>
      <c r="Q686" s="2"/>
      <c r="R686" s="2"/>
      <c r="S686" s="76"/>
      <c r="T686" s="88"/>
    </row>
    <row r="687" ht="15.75" customHeight="1">
      <c r="A687" s="2"/>
      <c r="B687" s="2"/>
      <c r="C687" s="2"/>
      <c r="D687" s="2"/>
      <c r="E687" s="2"/>
      <c r="F687" s="2"/>
      <c r="G687" s="2"/>
      <c r="H687" s="2"/>
      <c r="I687" s="74"/>
      <c r="J687" s="74"/>
      <c r="K687" s="74"/>
      <c r="L687" s="74"/>
      <c r="M687" s="2"/>
      <c r="N687" s="2"/>
      <c r="O687" s="2"/>
      <c r="P687" s="74"/>
      <c r="Q687" s="2"/>
      <c r="R687" s="2"/>
      <c r="S687" s="76"/>
      <c r="T687" s="88"/>
    </row>
    <row r="688" ht="15.75" customHeight="1">
      <c r="A688" s="2"/>
      <c r="B688" s="2"/>
      <c r="C688" s="2"/>
      <c r="D688" s="2"/>
      <c r="E688" s="2"/>
      <c r="F688" s="2"/>
      <c r="G688" s="2"/>
      <c r="H688" s="2"/>
      <c r="I688" s="74"/>
      <c r="J688" s="74"/>
      <c r="K688" s="74"/>
      <c r="L688" s="74"/>
      <c r="M688" s="2"/>
      <c r="N688" s="2"/>
      <c r="O688" s="2"/>
      <c r="P688" s="74"/>
      <c r="Q688" s="2"/>
      <c r="R688" s="2"/>
      <c r="S688" s="76"/>
      <c r="T688" s="88"/>
    </row>
    <row r="689" ht="15.75" customHeight="1">
      <c r="A689" s="2"/>
      <c r="B689" s="2"/>
      <c r="C689" s="2"/>
      <c r="D689" s="2"/>
      <c r="E689" s="2"/>
      <c r="F689" s="2"/>
      <c r="G689" s="2"/>
      <c r="H689" s="2"/>
      <c r="I689" s="74"/>
      <c r="J689" s="74"/>
      <c r="K689" s="74"/>
      <c r="L689" s="74"/>
      <c r="M689" s="2"/>
      <c r="N689" s="2"/>
      <c r="O689" s="2"/>
      <c r="P689" s="74"/>
      <c r="Q689" s="2"/>
      <c r="R689" s="2"/>
      <c r="S689" s="76"/>
      <c r="T689" s="88"/>
    </row>
    <row r="690" ht="15.75" customHeight="1">
      <c r="A690" s="2"/>
      <c r="B690" s="2"/>
      <c r="C690" s="2"/>
      <c r="D690" s="2"/>
      <c r="E690" s="2"/>
      <c r="F690" s="2"/>
      <c r="G690" s="2"/>
      <c r="H690" s="2"/>
      <c r="I690" s="74"/>
      <c r="J690" s="74"/>
      <c r="K690" s="74"/>
      <c r="L690" s="74"/>
      <c r="M690" s="2"/>
      <c r="N690" s="2"/>
      <c r="O690" s="2"/>
      <c r="P690" s="74"/>
      <c r="Q690" s="2"/>
      <c r="R690" s="2"/>
      <c r="S690" s="76"/>
      <c r="T690" s="88"/>
    </row>
    <row r="691" ht="15.75" customHeight="1">
      <c r="A691" s="2"/>
      <c r="B691" s="2"/>
      <c r="C691" s="2"/>
      <c r="D691" s="2"/>
      <c r="E691" s="2"/>
      <c r="F691" s="2"/>
      <c r="G691" s="2"/>
      <c r="H691" s="2"/>
      <c r="I691" s="74"/>
      <c r="J691" s="74"/>
      <c r="K691" s="74"/>
      <c r="L691" s="74"/>
      <c r="M691" s="2"/>
      <c r="N691" s="2"/>
      <c r="O691" s="2"/>
      <c r="P691" s="74"/>
      <c r="Q691" s="2"/>
      <c r="R691" s="2"/>
      <c r="S691" s="76"/>
      <c r="T691" s="88"/>
    </row>
    <row r="692" ht="15.75" customHeight="1">
      <c r="A692" s="2"/>
      <c r="B692" s="2"/>
      <c r="C692" s="2"/>
      <c r="D692" s="2"/>
      <c r="E692" s="2"/>
      <c r="F692" s="2"/>
      <c r="G692" s="2"/>
      <c r="H692" s="2"/>
      <c r="I692" s="74"/>
      <c r="J692" s="74"/>
      <c r="K692" s="74"/>
      <c r="L692" s="74"/>
      <c r="M692" s="2"/>
      <c r="N692" s="2"/>
      <c r="O692" s="2"/>
      <c r="P692" s="74"/>
      <c r="Q692" s="2"/>
      <c r="R692" s="2"/>
      <c r="S692" s="76"/>
      <c r="T692" s="88"/>
    </row>
    <row r="693" ht="15.75" customHeight="1">
      <c r="A693" s="2"/>
      <c r="B693" s="2"/>
      <c r="C693" s="2"/>
      <c r="D693" s="2"/>
      <c r="E693" s="2"/>
      <c r="F693" s="2"/>
      <c r="G693" s="2"/>
      <c r="H693" s="2"/>
      <c r="I693" s="74"/>
      <c r="J693" s="74"/>
      <c r="K693" s="74"/>
      <c r="L693" s="74"/>
      <c r="M693" s="2"/>
      <c r="N693" s="2"/>
      <c r="O693" s="2"/>
      <c r="P693" s="74"/>
      <c r="Q693" s="2"/>
      <c r="R693" s="2"/>
      <c r="S693" s="76"/>
      <c r="T693" s="88"/>
    </row>
    <row r="694" ht="15.75" customHeight="1">
      <c r="A694" s="2"/>
      <c r="B694" s="2"/>
      <c r="C694" s="2"/>
      <c r="D694" s="2"/>
      <c r="E694" s="2"/>
      <c r="F694" s="2"/>
      <c r="G694" s="2"/>
      <c r="H694" s="2"/>
      <c r="I694" s="74"/>
      <c r="J694" s="74"/>
      <c r="K694" s="74"/>
      <c r="L694" s="74"/>
      <c r="M694" s="2"/>
      <c r="N694" s="2"/>
      <c r="O694" s="2"/>
      <c r="P694" s="74"/>
      <c r="Q694" s="2"/>
      <c r="R694" s="2"/>
      <c r="S694" s="76"/>
      <c r="T694" s="88"/>
    </row>
    <row r="695" ht="15.75" customHeight="1">
      <c r="A695" s="2"/>
      <c r="B695" s="2"/>
      <c r="C695" s="2"/>
      <c r="D695" s="2"/>
      <c r="E695" s="2"/>
      <c r="F695" s="2"/>
      <c r="G695" s="2"/>
      <c r="H695" s="2"/>
      <c r="I695" s="74"/>
      <c r="J695" s="74"/>
      <c r="K695" s="74"/>
      <c r="L695" s="74"/>
      <c r="M695" s="2"/>
      <c r="N695" s="2"/>
      <c r="O695" s="2"/>
      <c r="P695" s="74"/>
      <c r="Q695" s="2"/>
      <c r="R695" s="2"/>
      <c r="S695" s="76"/>
      <c r="T695" s="88"/>
    </row>
    <row r="696" ht="15.75" customHeight="1">
      <c r="A696" s="2"/>
      <c r="B696" s="2"/>
      <c r="C696" s="2"/>
      <c r="D696" s="2"/>
      <c r="E696" s="2"/>
      <c r="F696" s="2"/>
      <c r="G696" s="2"/>
      <c r="H696" s="2"/>
      <c r="I696" s="74"/>
      <c r="J696" s="74"/>
      <c r="K696" s="74"/>
      <c r="L696" s="74"/>
      <c r="M696" s="2"/>
      <c r="N696" s="2"/>
      <c r="O696" s="2"/>
      <c r="P696" s="74"/>
      <c r="Q696" s="2"/>
      <c r="R696" s="2"/>
      <c r="S696" s="76"/>
      <c r="T696" s="88"/>
    </row>
    <row r="697" ht="15.75" customHeight="1">
      <c r="A697" s="2"/>
      <c r="B697" s="2"/>
      <c r="C697" s="2"/>
      <c r="D697" s="2"/>
      <c r="E697" s="2"/>
      <c r="F697" s="2"/>
      <c r="G697" s="2"/>
      <c r="H697" s="2"/>
      <c r="I697" s="74"/>
      <c r="J697" s="74"/>
      <c r="K697" s="74"/>
      <c r="L697" s="74"/>
      <c r="M697" s="2"/>
      <c r="N697" s="2"/>
      <c r="O697" s="2"/>
      <c r="P697" s="74"/>
      <c r="Q697" s="2"/>
      <c r="R697" s="2"/>
      <c r="S697" s="76"/>
      <c r="T697" s="88"/>
    </row>
    <row r="698" ht="15.75" customHeight="1">
      <c r="A698" s="2"/>
      <c r="B698" s="2"/>
      <c r="C698" s="2"/>
      <c r="D698" s="2"/>
      <c r="E698" s="2"/>
      <c r="F698" s="2"/>
      <c r="G698" s="2"/>
      <c r="H698" s="2"/>
      <c r="I698" s="74"/>
      <c r="J698" s="74"/>
      <c r="K698" s="74"/>
      <c r="L698" s="74"/>
      <c r="M698" s="2"/>
      <c r="N698" s="2"/>
      <c r="O698" s="2"/>
      <c r="P698" s="74"/>
      <c r="Q698" s="2"/>
      <c r="R698" s="2"/>
      <c r="S698" s="76"/>
      <c r="T698" s="88"/>
    </row>
    <row r="699" ht="15.75" customHeight="1">
      <c r="A699" s="2"/>
      <c r="B699" s="2"/>
      <c r="C699" s="2"/>
      <c r="D699" s="2"/>
      <c r="E699" s="2"/>
      <c r="F699" s="2"/>
      <c r="G699" s="2"/>
      <c r="H699" s="2"/>
      <c r="I699" s="74"/>
      <c r="J699" s="74"/>
      <c r="K699" s="74"/>
      <c r="L699" s="74"/>
      <c r="M699" s="2"/>
      <c r="N699" s="2"/>
      <c r="O699" s="2"/>
      <c r="P699" s="74"/>
      <c r="Q699" s="2"/>
      <c r="R699" s="2"/>
      <c r="S699" s="76"/>
      <c r="T699" s="88"/>
    </row>
    <row r="700" ht="15.75" customHeight="1">
      <c r="A700" s="2"/>
      <c r="B700" s="2"/>
      <c r="C700" s="2"/>
      <c r="D700" s="2"/>
      <c r="E700" s="2"/>
      <c r="F700" s="2"/>
      <c r="G700" s="2"/>
      <c r="H700" s="2"/>
      <c r="I700" s="74"/>
      <c r="J700" s="74"/>
      <c r="K700" s="74"/>
      <c r="L700" s="74"/>
      <c r="M700" s="2"/>
      <c r="N700" s="2"/>
      <c r="O700" s="2"/>
      <c r="P700" s="74"/>
      <c r="Q700" s="2"/>
      <c r="R700" s="2"/>
      <c r="S700" s="76"/>
      <c r="T700" s="88"/>
    </row>
    <row r="701" ht="15.75" customHeight="1">
      <c r="A701" s="2"/>
      <c r="B701" s="2"/>
      <c r="C701" s="2"/>
      <c r="D701" s="2"/>
      <c r="E701" s="2"/>
      <c r="F701" s="2"/>
      <c r="G701" s="2"/>
      <c r="H701" s="2"/>
      <c r="I701" s="74"/>
      <c r="J701" s="74"/>
      <c r="K701" s="74"/>
      <c r="L701" s="74"/>
      <c r="M701" s="2"/>
      <c r="N701" s="2"/>
      <c r="O701" s="2"/>
      <c r="P701" s="74"/>
      <c r="Q701" s="2"/>
      <c r="R701" s="2"/>
      <c r="S701" s="76"/>
      <c r="T701" s="88"/>
    </row>
    <row r="702" ht="15.75" customHeight="1">
      <c r="A702" s="2"/>
      <c r="B702" s="2"/>
      <c r="C702" s="2"/>
      <c r="D702" s="2"/>
      <c r="E702" s="2"/>
      <c r="F702" s="2"/>
      <c r="G702" s="2"/>
      <c r="H702" s="2"/>
      <c r="I702" s="74"/>
      <c r="J702" s="74"/>
      <c r="K702" s="74"/>
      <c r="L702" s="74"/>
      <c r="M702" s="2"/>
      <c r="N702" s="2"/>
      <c r="O702" s="2"/>
      <c r="P702" s="74"/>
      <c r="Q702" s="2"/>
      <c r="R702" s="2"/>
      <c r="S702" s="76"/>
      <c r="T702" s="88"/>
    </row>
    <row r="703" ht="15.75" customHeight="1">
      <c r="A703" s="2"/>
      <c r="B703" s="2"/>
      <c r="C703" s="2"/>
      <c r="D703" s="2"/>
      <c r="E703" s="2"/>
      <c r="F703" s="2"/>
      <c r="G703" s="2"/>
      <c r="H703" s="2"/>
      <c r="I703" s="74"/>
      <c r="J703" s="74"/>
      <c r="K703" s="74"/>
      <c r="L703" s="74"/>
      <c r="M703" s="2"/>
      <c r="N703" s="2"/>
      <c r="O703" s="2"/>
      <c r="P703" s="74"/>
      <c r="Q703" s="2"/>
      <c r="R703" s="2"/>
      <c r="S703" s="76"/>
      <c r="T703" s="88"/>
    </row>
    <row r="704" ht="15.75" customHeight="1">
      <c r="A704" s="2"/>
      <c r="B704" s="2"/>
      <c r="C704" s="2"/>
      <c r="D704" s="2"/>
      <c r="E704" s="2"/>
      <c r="F704" s="2"/>
      <c r="G704" s="2"/>
      <c r="H704" s="2"/>
      <c r="I704" s="74"/>
      <c r="J704" s="74"/>
      <c r="K704" s="74"/>
      <c r="L704" s="74"/>
      <c r="M704" s="2"/>
      <c r="N704" s="2"/>
      <c r="O704" s="2"/>
      <c r="P704" s="74"/>
      <c r="Q704" s="2"/>
      <c r="R704" s="2"/>
      <c r="S704" s="76"/>
      <c r="T704" s="88"/>
    </row>
    <row r="705" ht="15.75" customHeight="1">
      <c r="A705" s="2"/>
      <c r="B705" s="2"/>
      <c r="C705" s="2"/>
      <c r="D705" s="2"/>
      <c r="E705" s="2"/>
      <c r="F705" s="2"/>
      <c r="G705" s="2"/>
      <c r="H705" s="2"/>
      <c r="I705" s="74"/>
      <c r="J705" s="74"/>
      <c r="K705" s="74"/>
      <c r="L705" s="74"/>
      <c r="M705" s="2"/>
      <c r="N705" s="2"/>
      <c r="O705" s="2"/>
      <c r="P705" s="74"/>
      <c r="Q705" s="2"/>
      <c r="R705" s="2"/>
      <c r="S705" s="76"/>
      <c r="T705" s="88"/>
    </row>
    <row r="706" ht="15.75" customHeight="1">
      <c r="A706" s="2"/>
      <c r="B706" s="2"/>
      <c r="C706" s="2"/>
      <c r="D706" s="2"/>
      <c r="E706" s="2"/>
      <c r="F706" s="2"/>
      <c r="G706" s="2"/>
      <c r="H706" s="2"/>
      <c r="I706" s="74"/>
      <c r="J706" s="74"/>
      <c r="K706" s="74"/>
      <c r="L706" s="74"/>
      <c r="M706" s="2"/>
      <c r="N706" s="2"/>
      <c r="O706" s="2"/>
      <c r="P706" s="74"/>
      <c r="Q706" s="2"/>
      <c r="R706" s="2"/>
      <c r="S706" s="76"/>
      <c r="T706" s="88"/>
    </row>
    <row r="707" ht="15.75" customHeight="1">
      <c r="A707" s="2"/>
      <c r="B707" s="2"/>
      <c r="C707" s="2"/>
      <c r="D707" s="2"/>
      <c r="E707" s="2"/>
      <c r="F707" s="2"/>
      <c r="G707" s="2"/>
      <c r="H707" s="2"/>
      <c r="I707" s="74"/>
      <c r="J707" s="74"/>
      <c r="K707" s="74"/>
      <c r="L707" s="74"/>
      <c r="M707" s="2"/>
      <c r="N707" s="2"/>
      <c r="O707" s="2"/>
      <c r="P707" s="74"/>
      <c r="Q707" s="2"/>
      <c r="R707" s="2"/>
      <c r="S707" s="76"/>
      <c r="T707" s="88"/>
    </row>
    <row r="708" ht="15.75" customHeight="1">
      <c r="A708" s="2"/>
      <c r="B708" s="2"/>
      <c r="C708" s="2"/>
      <c r="D708" s="2"/>
      <c r="E708" s="2"/>
      <c r="F708" s="2"/>
      <c r="G708" s="2"/>
      <c r="H708" s="2"/>
      <c r="I708" s="74"/>
      <c r="J708" s="74"/>
      <c r="K708" s="74"/>
      <c r="L708" s="74"/>
      <c r="M708" s="2"/>
      <c r="N708" s="2"/>
      <c r="O708" s="2"/>
      <c r="P708" s="74"/>
      <c r="Q708" s="2"/>
      <c r="R708" s="2"/>
      <c r="S708" s="76"/>
      <c r="T708" s="88"/>
    </row>
    <row r="709" ht="15.75" customHeight="1">
      <c r="A709" s="2"/>
      <c r="B709" s="2"/>
      <c r="C709" s="2"/>
      <c r="D709" s="2"/>
      <c r="E709" s="2"/>
      <c r="F709" s="2"/>
      <c r="G709" s="2"/>
      <c r="H709" s="2"/>
      <c r="I709" s="74"/>
      <c r="J709" s="74"/>
      <c r="K709" s="74"/>
      <c r="L709" s="74"/>
      <c r="M709" s="2"/>
      <c r="N709" s="2"/>
      <c r="O709" s="2"/>
      <c r="P709" s="74"/>
      <c r="Q709" s="2"/>
      <c r="R709" s="2"/>
      <c r="S709" s="76"/>
      <c r="T709" s="88"/>
    </row>
    <row r="710" ht="15.75" customHeight="1">
      <c r="A710" s="2"/>
      <c r="B710" s="2"/>
      <c r="C710" s="2"/>
      <c r="D710" s="2"/>
      <c r="E710" s="2"/>
      <c r="F710" s="2"/>
      <c r="G710" s="2"/>
      <c r="H710" s="2"/>
      <c r="I710" s="74"/>
      <c r="J710" s="74"/>
      <c r="K710" s="74"/>
      <c r="L710" s="74"/>
      <c r="M710" s="2"/>
      <c r="N710" s="2"/>
      <c r="O710" s="2"/>
      <c r="P710" s="74"/>
      <c r="Q710" s="2"/>
      <c r="R710" s="2"/>
      <c r="S710" s="76"/>
      <c r="T710" s="88"/>
    </row>
    <row r="711" ht="15.75" customHeight="1">
      <c r="A711" s="2"/>
      <c r="B711" s="2"/>
      <c r="C711" s="2"/>
      <c r="D711" s="2"/>
      <c r="E711" s="2"/>
      <c r="F711" s="2"/>
      <c r="G711" s="2"/>
      <c r="H711" s="2"/>
      <c r="I711" s="74"/>
      <c r="J711" s="74"/>
      <c r="K711" s="74"/>
      <c r="L711" s="74"/>
      <c r="M711" s="2"/>
      <c r="N711" s="2"/>
      <c r="O711" s="2"/>
      <c r="P711" s="74"/>
      <c r="Q711" s="2"/>
      <c r="R711" s="2"/>
      <c r="S711" s="76"/>
      <c r="T711" s="88"/>
    </row>
    <row r="712" ht="15.75" customHeight="1">
      <c r="A712" s="2"/>
      <c r="B712" s="2"/>
      <c r="C712" s="2"/>
      <c r="D712" s="2"/>
      <c r="E712" s="2"/>
      <c r="F712" s="2"/>
      <c r="G712" s="2"/>
      <c r="H712" s="2"/>
      <c r="I712" s="74"/>
      <c r="J712" s="74"/>
      <c r="K712" s="74"/>
      <c r="L712" s="74"/>
      <c r="M712" s="2"/>
      <c r="N712" s="2"/>
      <c r="O712" s="2"/>
      <c r="P712" s="74"/>
      <c r="Q712" s="2"/>
      <c r="R712" s="2"/>
      <c r="S712" s="76"/>
      <c r="T712" s="88"/>
    </row>
    <row r="713" ht="15.75" customHeight="1">
      <c r="A713" s="2"/>
      <c r="B713" s="2"/>
      <c r="C713" s="2"/>
      <c r="D713" s="2"/>
      <c r="E713" s="2"/>
      <c r="F713" s="2"/>
      <c r="G713" s="2"/>
      <c r="H713" s="2"/>
      <c r="I713" s="74"/>
      <c r="J713" s="74"/>
      <c r="K713" s="74"/>
      <c r="L713" s="74"/>
      <c r="M713" s="2"/>
      <c r="N713" s="2"/>
      <c r="O713" s="2"/>
      <c r="P713" s="74"/>
      <c r="Q713" s="2"/>
      <c r="R713" s="2"/>
      <c r="S713" s="76"/>
      <c r="T713" s="88"/>
    </row>
    <row r="714" ht="15.75" customHeight="1">
      <c r="A714" s="2"/>
      <c r="B714" s="2"/>
      <c r="C714" s="2"/>
      <c r="D714" s="2"/>
      <c r="E714" s="2"/>
      <c r="F714" s="2"/>
      <c r="G714" s="2"/>
      <c r="H714" s="2"/>
      <c r="I714" s="74"/>
      <c r="J714" s="74"/>
      <c r="K714" s="74"/>
      <c r="L714" s="74"/>
      <c r="M714" s="2"/>
      <c r="N714" s="2"/>
      <c r="O714" s="2"/>
      <c r="P714" s="74"/>
      <c r="Q714" s="2"/>
      <c r="R714" s="2"/>
      <c r="S714" s="76"/>
      <c r="T714" s="88"/>
    </row>
    <row r="715" ht="15.75" customHeight="1">
      <c r="A715" s="2"/>
      <c r="B715" s="2"/>
      <c r="C715" s="2"/>
      <c r="D715" s="2"/>
      <c r="E715" s="2"/>
      <c r="F715" s="2"/>
      <c r="G715" s="2"/>
      <c r="H715" s="2"/>
      <c r="I715" s="74"/>
      <c r="J715" s="74"/>
      <c r="K715" s="74"/>
      <c r="L715" s="74"/>
      <c r="M715" s="2"/>
      <c r="N715" s="2"/>
      <c r="O715" s="2"/>
      <c r="P715" s="74"/>
      <c r="Q715" s="2"/>
      <c r="R715" s="2"/>
      <c r="S715" s="76"/>
      <c r="T715" s="88"/>
    </row>
    <row r="716" ht="15.75" customHeight="1">
      <c r="A716" s="2"/>
      <c r="B716" s="2"/>
      <c r="C716" s="2"/>
      <c r="D716" s="2"/>
      <c r="E716" s="2"/>
      <c r="F716" s="2"/>
      <c r="G716" s="2"/>
      <c r="H716" s="2"/>
      <c r="I716" s="74"/>
      <c r="J716" s="74"/>
      <c r="K716" s="74"/>
      <c r="L716" s="74"/>
      <c r="M716" s="2"/>
      <c r="N716" s="2"/>
      <c r="O716" s="2"/>
      <c r="P716" s="74"/>
      <c r="Q716" s="2"/>
      <c r="R716" s="2"/>
      <c r="S716" s="76"/>
      <c r="T716" s="88"/>
    </row>
    <row r="717" ht="15.75" customHeight="1">
      <c r="A717" s="2"/>
      <c r="B717" s="2"/>
      <c r="C717" s="2"/>
      <c r="D717" s="2"/>
      <c r="E717" s="2"/>
      <c r="F717" s="2"/>
      <c r="G717" s="2"/>
      <c r="H717" s="2"/>
      <c r="I717" s="74"/>
      <c r="J717" s="74"/>
      <c r="K717" s="74"/>
      <c r="L717" s="74"/>
      <c r="M717" s="2"/>
      <c r="N717" s="2"/>
      <c r="O717" s="2"/>
      <c r="P717" s="74"/>
      <c r="Q717" s="2"/>
      <c r="R717" s="2"/>
      <c r="S717" s="76"/>
      <c r="T717" s="88"/>
    </row>
    <row r="718" ht="15.75" customHeight="1">
      <c r="A718" s="2"/>
      <c r="B718" s="2"/>
      <c r="C718" s="2"/>
      <c r="D718" s="2"/>
      <c r="E718" s="2"/>
      <c r="F718" s="2"/>
      <c r="G718" s="2"/>
      <c r="H718" s="2"/>
      <c r="I718" s="74"/>
      <c r="J718" s="74"/>
      <c r="K718" s="74"/>
      <c r="L718" s="74"/>
      <c r="M718" s="2"/>
      <c r="N718" s="2"/>
      <c r="O718" s="2"/>
      <c r="P718" s="74"/>
      <c r="Q718" s="2"/>
      <c r="R718" s="2"/>
      <c r="S718" s="76"/>
      <c r="T718" s="88"/>
    </row>
    <row r="719" ht="15.75" customHeight="1">
      <c r="A719" s="2"/>
      <c r="B719" s="2"/>
      <c r="C719" s="2"/>
      <c r="D719" s="2"/>
      <c r="E719" s="2"/>
      <c r="F719" s="2"/>
      <c r="G719" s="2"/>
      <c r="H719" s="2"/>
      <c r="I719" s="74"/>
      <c r="J719" s="74"/>
      <c r="K719" s="74"/>
      <c r="L719" s="74"/>
      <c r="M719" s="2"/>
      <c r="N719" s="2"/>
      <c r="O719" s="2"/>
      <c r="P719" s="74"/>
      <c r="Q719" s="2"/>
      <c r="R719" s="2"/>
      <c r="S719" s="76"/>
      <c r="T719" s="88"/>
    </row>
    <row r="720" ht="15.75" customHeight="1">
      <c r="A720" s="2"/>
      <c r="B720" s="2"/>
      <c r="C720" s="2"/>
      <c r="D720" s="2"/>
      <c r="E720" s="2"/>
      <c r="F720" s="2"/>
      <c r="G720" s="2"/>
      <c r="H720" s="2"/>
      <c r="I720" s="74"/>
      <c r="J720" s="74"/>
      <c r="K720" s="74"/>
      <c r="L720" s="74"/>
      <c r="M720" s="2"/>
      <c r="N720" s="2"/>
      <c r="O720" s="2"/>
      <c r="P720" s="74"/>
      <c r="Q720" s="2"/>
      <c r="R720" s="2"/>
      <c r="S720" s="76"/>
      <c r="T720" s="88"/>
    </row>
    <row r="721" ht="15.75" customHeight="1">
      <c r="A721" s="2"/>
      <c r="B721" s="2"/>
      <c r="C721" s="2"/>
      <c r="D721" s="2"/>
      <c r="E721" s="2"/>
      <c r="F721" s="2"/>
      <c r="G721" s="2"/>
      <c r="H721" s="2"/>
      <c r="I721" s="74"/>
      <c r="J721" s="74"/>
      <c r="K721" s="74"/>
      <c r="L721" s="74"/>
      <c r="M721" s="2"/>
      <c r="N721" s="2"/>
      <c r="O721" s="2"/>
      <c r="P721" s="74"/>
      <c r="Q721" s="2"/>
      <c r="R721" s="2"/>
      <c r="S721" s="76"/>
      <c r="T721" s="88"/>
    </row>
    <row r="722" ht="15.75" customHeight="1">
      <c r="A722" s="2"/>
      <c r="B722" s="2"/>
      <c r="C722" s="2"/>
      <c r="D722" s="2"/>
      <c r="E722" s="2"/>
      <c r="F722" s="2"/>
      <c r="G722" s="2"/>
      <c r="H722" s="2"/>
      <c r="I722" s="74"/>
      <c r="J722" s="74"/>
      <c r="K722" s="74"/>
      <c r="L722" s="74"/>
      <c r="M722" s="2"/>
      <c r="N722" s="2"/>
      <c r="O722" s="2"/>
      <c r="P722" s="74"/>
      <c r="Q722" s="2"/>
      <c r="R722" s="2"/>
      <c r="S722" s="76"/>
      <c r="T722" s="88"/>
    </row>
    <row r="723" ht="15.75" customHeight="1">
      <c r="A723" s="2"/>
      <c r="B723" s="2"/>
      <c r="C723" s="2"/>
      <c r="D723" s="2"/>
      <c r="E723" s="2"/>
      <c r="F723" s="2"/>
      <c r="G723" s="2"/>
      <c r="H723" s="2"/>
      <c r="I723" s="74"/>
      <c r="J723" s="74"/>
      <c r="K723" s="74"/>
      <c r="L723" s="74"/>
      <c r="M723" s="2"/>
      <c r="N723" s="2"/>
      <c r="O723" s="2"/>
      <c r="P723" s="74"/>
      <c r="Q723" s="2"/>
      <c r="R723" s="2"/>
      <c r="S723" s="76"/>
      <c r="T723" s="88"/>
    </row>
    <row r="724" ht="15.75" customHeight="1">
      <c r="A724" s="2"/>
      <c r="B724" s="2"/>
      <c r="C724" s="2"/>
      <c r="D724" s="2"/>
      <c r="E724" s="2"/>
      <c r="F724" s="2"/>
      <c r="G724" s="2"/>
      <c r="H724" s="2"/>
      <c r="I724" s="74"/>
      <c r="J724" s="74"/>
      <c r="K724" s="74"/>
      <c r="L724" s="74"/>
      <c r="M724" s="2"/>
      <c r="N724" s="2"/>
      <c r="O724" s="2"/>
      <c r="P724" s="74"/>
      <c r="Q724" s="2"/>
      <c r="R724" s="2"/>
      <c r="S724" s="76"/>
      <c r="T724" s="88"/>
    </row>
    <row r="725" ht="15.75" customHeight="1">
      <c r="A725" s="2"/>
      <c r="B725" s="2"/>
      <c r="C725" s="2"/>
      <c r="D725" s="2"/>
      <c r="E725" s="2"/>
      <c r="F725" s="2"/>
      <c r="G725" s="2"/>
      <c r="H725" s="2"/>
      <c r="I725" s="74"/>
      <c r="J725" s="74"/>
      <c r="K725" s="74"/>
      <c r="L725" s="74"/>
      <c r="M725" s="2"/>
      <c r="N725" s="2"/>
      <c r="O725" s="2"/>
      <c r="P725" s="74"/>
      <c r="Q725" s="2"/>
      <c r="R725" s="2"/>
      <c r="S725" s="76"/>
      <c r="T725" s="88"/>
    </row>
    <row r="726" ht="15.75" customHeight="1">
      <c r="A726" s="2"/>
      <c r="B726" s="2"/>
      <c r="C726" s="2"/>
      <c r="D726" s="2"/>
      <c r="E726" s="2"/>
      <c r="F726" s="2"/>
      <c r="G726" s="2"/>
      <c r="H726" s="2"/>
      <c r="I726" s="74"/>
      <c r="J726" s="74"/>
      <c r="K726" s="74"/>
      <c r="L726" s="74"/>
      <c r="M726" s="2"/>
      <c r="N726" s="2"/>
      <c r="O726" s="2"/>
      <c r="P726" s="74"/>
      <c r="Q726" s="2"/>
      <c r="R726" s="2"/>
      <c r="S726" s="76"/>
      <c r="T726" s="88"/>
    </row>
    <row r="727" ht="15.75" customHeight="1">
      <c r="A727" s="2"/>
      <c r="B727" s="2"/>
      <c r="C727" s="2"/>
      <c r="D727" s="2"/>
      <c r="E727" s="2"/>
      <c r="F727" s="2"/>
      <c r="G727" s="2"/>
      <c r="H727" s="2"/>
      <c r="I727" s="74"/>
      <c r="J727" s="74"/>
      <c r="K727" s="74"/>
      <c r="L727" s="74"/>
      <c r="M727" s="2"/>
      <c r="N727" s="2"/>
      <c r="O727" s="2"/>
      <c r="P727" s="74"/>
      <c r="Q727" s="2"/>
      <c r="R727" s="2"/>
      <c r="S727" s="76"/>
      <c r="T727" s="88"/>
    </row>
    <row r="728" ht="15.75" customHeight="1">
      <c r="A728" s="2"/>
      <c r="B728" s="2"/>
      <c r="C728" s="2"/>
      <c r="D728" s="2"/>
      <c r="E728" s="2"/>
      <c r="F728" s="2"/>
      <c r="G728" s="2"/>
      <c r="H728" s="2"/>
      <c r="I728" s="74"/>
      <c r="J728" s="74"/>
      <c r="K728" s="74"/>
      <c r="L728" s="74"/>
      <c r="M728" s="2"/>
      <c r="N728" s="2"/>
      <c r="O728" s="2"/>
      <c r="P728" s="74"/>
      <c r="Q728" s="2"/>
      <c r="R728" s="2"/>
      <c r="S728" s="76"/>
      <c r="T728" s="88"/>
    </row>
    <row r="729" ht="15.75" customHeight="1">
      <c r="A729" s="2"/>
      <c r="B729" s="2"/>
      <c r="C729" s="2"/>
      <c r="D729" s="2"/>
      <c r="E729" s="2"/>
      <c r="F729" s="2"/>
      <c r="G729" s="2"/>
      <c r="H729" s="2"/>
      <c r="I729" s="74"/>
      <c r="J729" s="74"/>
      <c r="K729" s="74"/>
      <c r="L729" s="74"/>
      <c r="M729" s="2"/>
      <c r="N729" s="2"/>
      <c r="O729" s="2"/>
      <c r="P729" s="74"/>
      <c r="Q729" s="2"/>
      <c r="R729" s="2"/>
      <c r="S729" s="76"/>
      <c r="T729" s="88"/>
    </row>
    <row r="730" ht="15.75" customHeight="1">
      <c r="A730" s="2"/>
      <c r="B730" s="2"/>
      <c r="C730" s="2"/>
      <c r="D730" s="2"/>
      <c r="E730" s="2"/>
      <c r="F730" s="2"/>
      <c r="G730" s="2"/>
      <c r="H730" s="2"/>
      <c r="I730" s="74"/>
      <c r="J730" s="74"/>
      <c r="K730" s="74"/>
      <c r="L730" s="74"/>
      <c r="M730" s="2"/>
      <c r="N730" s="2"/>
      <c r="O730" s="2"/>
      <c r="P730" s="74"/>
      <c r="Q730" s="2"/>
      <c r="R730" s="2"/>
      <c r="S730" s="76"/>
      <c r="T730" s="88"/>
    </row>
    <row r="731" ht="15.75" customHeight="1">
      <c r="A731" s="2"/>
      <c r="B731" s="2"/>
      <c r="C731" s="2"/>
      <c r="D731" s="2"/>
      <c r="E731" s="2"/>
      <c r="F731" s="2"/>
      <c r="G731" s="2"/>
      <c r="H731" s="2"/>
      <c r="I731" s="74"/>
      <c r="J731" s="74"/>
      <c r="K731" s="74"/>
      <c r="L731" s="74"/>
      <c r="M731" s="2"/>
      <c r="N731" s="2"/>
      <c r="O731" s="2"/>
      <c r="P731" s="74"/>
      <c r="Q731" s="2"/>
      <c r="R731" s="2"/>
      <c r="S731" s="76"/>
      <c r="T731" s="88"/>
    </row>
    <row r="732" ht="15.75" customHeight="1">
      <c r="A732" s="2"/>
      <c r="B732" s="2"/>
      <c r="C732" s="2"/>
      <c r="D732" s="2"/>
      <c r="E732" s="2"/>
      <c r="F732" s="2"/>
      <c r="G732" s="2"/>
      <c r="H732" s="2"/>
      <c r="I732" s="74"/>
      <c r="J732" s="74"/>
      <c r="K732" s="74"/>
      <c r="L732" s="74"/>
      <c r="M732" s="2"/>
      <c r="N732" s="2"/>
      <c r="O732" s="2"/>
      <c r="P732" s="74"/>
      <c r="Q732" s="2"/>
      <c r="R732" s="2"/>
      <c r="S732" s="76"/>
      <c r="T732" s="88"/>
    </row>
    <row r="733" ht="15.75" customHeight="1">
      <c r="A733" s="2"/>
      <c r="B733" s="2"/>
      <c r="C733" s="2"/>
      <c r="D733" s="2"/>
      <c r="E733" s="2"/>
      <c r="F733" s="2"/>
      <c r="G733" s="2"/>
      <c r="H733" s="2"/>
      <c r="I733" s="74"/>
      <c r="J733" s="74"/>
      <c r="K733" s="74"/>
      <c r="L733" s="74"/>
      <c r="M733" s="2"/>
      <c r="N733" s="2"/>
      <c r="O733" s="2"/>
      <c r="P733" s="74"/>
      <c r="Q733" s="2"/>
      <c r="R733" s="2"/>
      <c r="S733" s="76"/>
      <c r="T733" s="88"/>
    </row>
    <row r="734" ht="15.75" customHeight="1">
      <c r="A734" s="2"/>
      <c r="B734" s="2"/>
      <c r="C734" s="2"/>
      <c r="D734" s="2"/>
      <c r="E734" s="2"/>
      <c r="F734" s="2"/>
      <c r="G734" s="2"/>
      <c r="H734" s="2"/>
      <c r="I734" s="74"/>
      <c r="J734" s="74"/>
      <c r="K734" s="74"/>
      <c r="L734" s="74"/>
      <c r="M734" s="2"/>
      <c r="N734" s="2"/>
      <c r="O734" s="2"/>
      <c r="P734" s="74"/>
      <c r="Q734" s="2"/>
      <c r="R734" s="2"/>
      <c r="S734" s="76"/>
      <c r="T734" s="88"/>
    </row>
    <row r="735" ht="15.75" customHeight="1">
      <c r="A735" s="2"/>
      <c r="B735" s="2"/>
      <c r="C735" s="2"/>
      <c r="D735" s="2"/>
      <c r="E735" s="2"/>
      <c r="F735" s="2"/>
      <c r="G735" s="2"/>
      <c r="H735" s="2"/>
      <c r="I735" s="74"/>
      <c r="J735" s="74"/>
      <c r="K735" s="74"/>
      <c r="L735" s="74"/>
      <c r="M735" s="2"/>
      <c r="N735" s="2"/>
      <c r="O735" s="2"/>
      <c r="P735" s="74"/>
      <c r="Q735" s="2"/>
      <c r="R735" s="2"/>
      <c r="S735" s="76"/>
      <c r="T735" s="88"/>
    </row>
    <row r="736" ht="15.75" customHeight="1">
      <c r="A736" s="2"/>
      <c r="B736" s="2"/>
      <c r="C736" s="2"/>
      <c r="D736" s="2"/>
      <c r="E736" s="2"/>
      <c r="F736" s="2"/>
      <c r="G736" s="2"/>
      <c r="H736" s="2"/>
      <c r="I736" s="74"/>
      <c r="J736" s="74"/>
      <c r="K736" s="74"/>
      <c r="L736" s="74"/>
      <c r="M736" s="2"/>
      <c r="N736" s="2"/>
      <c r="O736" s="2"/>
      <c r="P736" s="74"/>
      <c r="Q736" s="2"/>
      <c r="R736" s="2"/>
      <c r="S736" s="76"/>
      <c r="T736" s="88"/>
    </row>
    <row r="737" ht="15.75" customHeight="1">
      <c r="A737" s="2"/>
      <c r="B737" s="2"/>
      <c r="C737" s="2"/>
      <c r="D737" s="2"/>
      <c r="E737" s="2"/>
      <c r="F737" s="2"/>
      <c r="G737" s="2"/>
      <c r="H737" s="2"/>
      <c r="I737" s="74"/>
      <c r="J737" s="74"/>
      <c r="K737" s="74"/>
      <c r="L737" s="74"/>
      <c r="M737" s="2"/>
      <c r="N737" s="2"/>
      <c r="O737" s="2"/>
      <c r="P737" s="74"/>
      <c r="Q737" s="2"/>
      <c r="R737" s="2"/>
      <c r="S737" s="76"/>
      <c r="T737" s="88"/>
    </row>
    <row r="738" ht="15.75" customHeight="1">
      <c r="A738" s="2"/>
      <c r="B738" s="2"/>
      <c r="C738" s="2"/>
      <c r="D738" s="2"/>
      <c r="E738" s="2"/>
      <c r="F738" s="2"/>
      <c r="G738" s="2"/>
      <c r="H738" s="2"/>
      <c r="I738" s="74"/>
      <c r="J738" s="74"/>
      <c r="K738" s="74"/>
      <c r="L738" s="74"/>
      <c r="M738" s="2"/>
      <c r="N738" s="2"/>
      <c r="O738" s="2"/>
      <c r="P738" s="74"/>
      <c r="Q738" s="2"/>
      <c r="R738" s="2"/>
      <c r="S738" s="76"/>
      <c r="T738" s="88"/>
    </row>
    <row r="739" ht="15.75" customHeight="1">
      <c r="A739" s="2"/>
      <c r="B739" s="2"/>
      <c r="C739" s="2"/>
      <c r="D739" s="2"/>
      <c r="E739" s="2"/>
      <c r="F739" s="2"/>
      <c r="G739" s="2"/>
      <c r="H739" s="2"/>
      <c r="I739" s="74"/>
      <c r="J739" s="74"/>
      <c r="K739" s="74"/>
      <c r="L739" s="74"/>
      <c r="M739" s="2"/>
      <c r="N739" s="2"/>
      <c r="O739" s="2"/>
      <c r="P739" s="74"/>
      <c r="Q739" s="2"/>
      <c r="R739" s="2"/>
      <c r="S739" s="76"/>
      <c r="T739" s="88"/>
    </row>
    <row r="740" ht="15.75" customHeight="1">
      <c r="A740" s="2"/>
      <c r="B740" s="2"/>
      <c r="C740" s="2"/>
      <c r="D740" s="2"/>
      <c r="E740" s="2"/>
      <c r="F740" s="2"/>
      <c r="G740" s="2"/>
      <c r="H740" s="2"/>
      <c r="I740" s="74"/>
      <c r="J740" s="74"/>
      <c r="K740" s="74"/>
      <c r="L740" s="74"/>
      <c r="M740" s="2"/>
      <c r="N740" s="2"/>
      <c r="O740" s="2"/>
      <c r="P740" s="74"/>
      <c r="Q740" s="2"/>
      <c r="R740" s="2"/>
      <c r="S740" s="76"/>
      <c r="T740" s="88"/>
    </row>
    <row r="741" ht="15.75" customHeight="1">
      <c r="A741" s="2"/>
      <c r="B741" s="2"/>
      <c r="C741" s="2"/>
      <c r="D741" s="2"/>
      <c r="E741" s="2"/>
      <c r="F741" s="2"/>
      <c r="G741" s="2"/>
      <c r="H741" s="2"/>
      <c r="I741" s="74"/>
      <c r="J741" s="74"/>
      <c r="K741" s="74"/>
      <c r="L741" s="74"/>
      <c r="M741" s="2"/>
      <c r="N741" s="2"/>
      <c r="O741" s="2"/>
      <c r="P741" s="74"/>
      <c r="Q741" s="2"/>
      <c r="R741" s="2"/>
      <c r="S741" s="76"/>
      <c r="T741" s="88"/>
    </row>
    <row r="742" ht="15.75" customHeight="1">
      <c r="A742" s="2"/>
      <c r="B742" s="2"/>
      <c r="C742" s="2"/>
      <c r="D742" s="2"/>
      <c r="E742" s="2"/>
      <c r="F742" s="2"/>
      <c r="G742" s="2"/>
      <c r="H742" s="2"/>
      <c r="I742" s="74"/>
      <c r="J742" s="74"/>
      <c r="K742" s="74"/>
      <c r="L742" s="74"/>
      <c r="M742" s="2"/>
      <c r="N742" s="2"/>
      <c r="O742" s="2"/>
      <c r="P742" s="74"/>
      <c r="Q742" s="2"/>
      <c r="R742" s="2"/>
      <c r="S742" s="76"/>
      <c r="T742" s="88"/>
    </row>
    <row r="743" ht="15.75" customHeight="1">
      <c r="A743" s="2"/>
      <c r="B743" s="2"/>
      <c r="C743" s="2"/>
      <c r="D743" s="2"/>
      <c r="E743" s="2"/>
      <c r="F743" s="2"/>
      <c r="G743" s="2"/>
      <c r="H743" s="2"/>
      <c r="I743" s="74"/>
      <c r="J743" s="74"/>
      <c r="K743" s="74"/>
      <c r="L743" s="74"/>
      <c r="M743" s="2"/>
      <c r="N743" s="2"/>
      <c r="O743" s="2"/>
      <c r="P743" s="74"/>
      <c r="Q743" s="2"/>
      <c r="R743" s="2"/>
      <c r="S743" s="76"/>
      <c r="T743" s="88"/>
    </row>
    <row r="744" ht="15.75" customHeight="1">
      <c r="A744" s="2"/>
      <c r="B744" s="2"/>
      <c r="C744" s="2"/>
      <c r="D744" s="2"/>
      <c r="E744" s="2"/>
      <c r="F744" s="2"/>
      <c r="G744" s="2"/>
      <c r="H744" s="2"/>
      <c r="I744" s="74"/>
      <c r="J744" s="74"/>
      <c r="K744" s="74"/>
      <c r="L744" s="74"/>
      <c r="M744" s="2"/>
      <c r="N744" s="2"/>
      <c r="O744" s="2"/>
      <c r="P744" s="74"/>
      <c r="Q744" s="2"/>
      <c r="R744" s="2"/>
      <c r="S744" s="76"/>
      <c r="T744" s="88"/>
    </row>
    <row r="745" ht="15.75" customHeight="1">
      <c r="A745" s="2"/>
      <c r="B745" s="2"/>
      <c r="C745" s="2"/>
      <c r="D745" s="2"/>
      <c r="E745" s="2"/>
      <c r="F745" s="2"/>
      <c r="G745" s="2"/>
      <c r="H745" s="2"/>
      <c r="I745" s="74"/>
      <c r="J745" s="74"/>
      <c r="K745" s="74"/>
      <c r="L745" s="74"/>
      <c r="M745" s="2"/>
      <c r="N745" s="2"/>
      <c r="O745" s="2"/>
      <c r="P745" s="74"/>
      <c r="Q745" s="2"/>
      <c r="R745" s="2"/>
      <c r="S745" s="76"/>
      <c r="T745" s="88"/>
    </row>
    <row r="746" ht="15.75" customHeight="1">
      <c r="A746" s="2"/>
      <c r="B746" s="2"/>
      <c r="C746" s="2"/>
      <c r="D746" s="2"/>
      <c r="E746" s="2"/>
      <c r="F746" s="2"/>
      <c r="G746" s="2"/>
      <c r="H746" s="2"/>
      <c r="I746" s="74"/>
      <c r="J746" s="74"/>
      <c r="K746" s="74"/>
      <c r="L746" s="74"/>
      <c r="M746" s="2"/>
      <c r="N746" s="2"/>
      <c r="O746" s="2"/>
      <c r="P746" s="74"/>
      <c r="Q746" s="2"/>
      <c r="R746" s="2"/>
      <c r="S746" s="76"/>
      <c r="T746" s="88"/>
    </row>
    <row r="747" ht="15.75" customHeight="1">
      <c r="A747" s="2"/>
      <c r="B747" s="2"/>
      <c r="C747" s="2"/>
      <c r="D747" s="2"/>
      <c r="E747" s="2"/>
      <c r="F747" s="2"/>
      <c r="G747" s="2"/>
      <c r="H747" s="2"/>
      <c r="I747" s="74"/>
      <c r="J747" s="74"/>
      <c r="K747" s="74"/>
      <c r="L747" s="74"/>
      <c r="M747" s="2"/>
      <c r="N747" s="2"/>
      <c r="O747" s="2"/>
      <c r="P747" s="74"/>
      <c r="Q747" s="2"/>
      <c r="R747" s="2"/>
      <c r="S747" s="76"/>
      <c r="T747" s="88"/>
    </row>
    <row r="748" ht="15.75" customHeight="1">
      <c r="A748" s="2"/>
      <c r="B748" s="2"/>
      <c r="C748" s="2"/>
      <c r="D748" s="2"/>
      <c r="E748" s="2"/>
      <c r="F748" s="2"/>
      <c r="G748" s="2"/>
      <c r="H748" s="2"/>
      <c r="I748" s="74"/>
      <c r="J748" s="74"/>
      <c r="K748" s="74"/>
      <c r="L748" s="74"/>
      <c r="M748" s="2"/>
      <c r="N748" s="2"/>
      <c r="O748" s="2"/>
      <c r="P748" s="74"/>
      <c r="Q748" s="2"/>
      <c r="R748" s="2"/>
      <c r="S748" s="76"/>
      <c r="T748" s="88"/>
    </row>
    <row r="749" ht="15.75" customHeight="1">
      <c r="A749" s="2"/>
      <c r="B749" s="2"/>
      <c r="C749" s="2"/>
      <c r="D749" s="2"/>
      <c r="E749" s="2"/>
      <c r="F749" s="2"/>
      <c r="G749" s="2"/>
      <c r="H749" s="2"/>
      <c r="I749" s="74"/>
      <c r="J749" s="74"/>
      <c r="K749" s="74"/>
      <c r="L749" s="74"/>
      <c r="M749" s="2"/>
      <c r="N749" s="2"/>
      <c r="O749" s="2"/>
      <c r="P749" s="74"/>
      <c r="Q749" s="2"/>
      <c r="R749" s="2"/>
      <c r="S749" s="76"/>
      <c r="T749" s="88"/>
    </row>
    <row r="750" ht="15.75" customHeight="1">
      <c r="A750" s="2"/>
      <c r="B750" s="2"/>
      <c r="C750" s="2"/>
      <c r="D750" s="2"/>
      <c r="E750" s="2"/>
      <c r="F750" s="2"/>
      <c r="G750" s="2"/>
      <c r="H750" s="2"/>
      <c r="I750" s="74"/>
      <c r="J750" s="74"/>
      <c r="K750" s="74"/>
      <c r="L750" s="74"/>
      <c r="M750" s="2"/>
      <c r="N750" s="2"/>
      <c r="O750" s="2"/>
      <c r="P750" s="74"/>
      <c r="Q750" s="2"/>
      <c r="R750" s="2"/>
      <c r="S750" s="76"/>
      <c r="T750" s="88"/>
    </row>
    <row r="751" ht="15.75" customHeight="1">
      <c r="A751" s="2"/>
      <c r="B751" s="2"/>
      <c r="C751" s="2"/>
      <c r="D751" s="2"/>
      <c r="E751" s="2"/>
      <c r="F751" s="2"/>
      <c r="G751" s="2"/>
      <c r="H751" s="2"/>
      <c r="I751" s="74"/>
      <c r="J751" s="74"/>
      <c r="K751" s="74"/>
      <c r="L751" s="74"/>
      <c r="M751" s="2"/>
      <c r="N751" s="2"/>
      <c r="O751" s="2"/>
      <c r="P751" s="74"/>
      <c r="Q751" s="2"/>
      <c r="R751" s="2"/>
      <c r="S751" s="76"/>
      <c r="T751" s="88"/>
    </row>
    <row r="752" ht="15.75" customHeight="1">
      <c r="A752" s="2"/>
      <c r="B752" s="2"/>
      <c r="C752" s="2"/>
      <c r="D752" s="2"/>
      <c r="E752" s="2"/>
      <c r="F752" s="2"/>
      <c r="G752" s="2"/>
      <c r="H752" s="2"/>
      <c r="I752" s="74"/>
      <c r="J752" s="74"/>
      <c r="K752" s="74"/>
      <c r="L752" s="74"/>
      <c r="M752" s="2"/>
      <c r="N752" s="2"/>
      <c r="O752" s="2"/>
      <c r="P752" s="74"/>
      <c r="Q752" s="2"/>
      <c r="R752" s="2"/>
      <c r="S752" s="76"/>
      <c r="T752" s="88"/>
    </row>
    <row r="753" ht="15.75" customHeight="1">
      <c r="A753" s="2"/>
      <c r="B753" s="2"/>
      <c r="C753" s="2"/>
      <c r="D753" s="2"/>
      <c r="E753" s="2"/>
      <c r="F753" s="2"/>
      <c r="G753" s="2"/>
      <c r="H753" s="2"/>
      <c r="I753" s="74"/>
      <c r="J753" s="74"/>
      <c r="K753" s="74"/>
      <c r="L753" s="74"/>
      <c r="M753" s="2"/>
      <c r="N753" s="2"/>
      <c r="O753" s="2"/>
      <c r="P753" s="74"/>
      <c r="Q753" s="2"/>
      <c r="R753" s="2"/>
      <c r="S753" s="76"/>
      <c r="T753" s="88"/>
    </row>
    <row r="754" ht="15.75" customHeight="1">
      <c r="A754" s="2"/>
      <c r="B754" s="2"/>
      <c r="C754" s="2"/>
      <c r="D754" s="2"/>
      <c r="E754" s="2"/>
      <c r="F754" s="2"/>
      <c r="G754" s="2"/>
      <c r="H754" s="2"/>
      <c r="I754" s="74"/>
      <c r="J754" s="74"/>
      <c r="K754" s="74"/>
      <c r="L754" s="74"/>
      <c r="M754" s="2"/>
      <c r="N754" s="2"/>
      <c r="O754" s="2"/>
      <c r="P754" s="74"/>
      <c r="Q754" s="2"/>
      <c r="R754" s="2"/>
      <c r="S754" s="76"/>
      <c r="T754" s="88"/>
    </row>
    <row r="755" ht="15.75" customHeight="1">
      <c r="A755" s="2"/>
      <c r="B755" s="2"/>
      <c r="C755" s="2"/>
      <c r="D755" s="2"/>
      <c r="E755" s="2"/>
      <c r="F755" s="2"/>
      <c r="G755" s="2"/>
      <c r="H755" s="2"/>
      <c r="I755" s="74"/>
      <c r="J755" s="74"/>
      <c r="K755" s="74"/>
      <c r="L755" s="74"/>
      <c r="M755" s="2"/>
      <c r="N755" s="2"/>
      <c r="O755" s="2"/>
      <c r="P755" s="74"/>
      <c r="Q755" s="2"/>
      <c r="R755" s="2"/>
      <c r="S755" s="76"/>
      <c r="T755" s="88"/>
    </row>
    <row r="756" ht="15.75" customHeight="1">
      <c r="A756" s="2"/>
      <c r="B756" s="2"/>
      <c r="C756" s="2"/>
      <c r="D756" s="2"/>
      <c r="E756" s="2"/>
      <c r="F756" s="2"/>
      <c r="G756" s="2"/>
      <c r="H756" s="2"/>
      <c r="I756" s="74"/>
      <c r="J756" s="74"/>
      <c r="K756" s="74"/>
      <c r="L756" s="74"/>
      <c r="M756" s="2"/>
      <c r="N756" s="2"/>
      <c r="O756" s="2"/>
      <c r="P756" s="74"/>
      <c r="Q756" s="2"/>
      <c r="R756" s="2"/>
      <c r="S756" s="76"/>
      <c r="T756" s="88"/>
    </row>
    <row r="757" ht="15.75" customHeight="1">
      <c r="A757" s="2"/>
      <c r="B757" s="2"/>
      <c r="C757" s="2"/>
      <c r="D757" s="2"/>
      <c r="E757" s="2"/>
      <c r="F757" s="2"/>
      <c r="G757" s="2"/>
      <c r="H757" s="2"/>
      <c r="I757" s="74"/>
      <c r="J757" s="74"/>
      <c r="K757" s="74"/>
      <c r="L757" s="74"/>
      <c r="M757" s="2"/>
      <c r="N757" s="2"/>
      <c r="O757" s="2"/>
      <c r="P757" s="74"/>
      <c r="Q757" s="2"/>
      <c r="R757" s="2"/>
      <c r="S757" s="76"/>
      <c r="T757" s="88"/>
    </row>
    <row r="758" ht="15.75" customHeight="1">
      <c r="A758" s="2"/>
      <c r="B758" s="2"/>
      <c r="C758" s="2"/>
      <c r="D758" s="2"/>
      <c r="E758" s="2"/>
      <c r="F758" s="2"/>
      <c r="G758" s="2"/>
      <c r="H758" s="2"/>
      <c r="I758" s="74"/>
      <c r="J758" s="74"/>
      <c r="K758" s="74"/>
      <c r="L758" s="74"/>
      <c r="M758" s="2"/>
      <c r="N758" s="2"/>
      <c r="O758" s="2"/>
      <c r="P758" s="74"/>
      <c r="Q758" s="2"/>
      <c r="R758" s="2"/>
      <c r="S758" s="76"/>
      <c r="T758" s="88"/>
    </row>
    <row r="759" ht="15.75" customHeight="1">
      <c r="A759" s="2"/>
      <c r="B759" s="2"/>
      <c r="C759" s="2"/>
      <c r="D759" s="2"/>
      <c r="E759" s="2"/>
      <c r="F759" s="2"/>
      <c r="G759" s="2"/>
      <c r="H759" s="2"/>
      <c r="I759" s="74"/>
      <c r="J759" s="74"/>
      <c r="K759" s="74"/>
      <c r="L759" s="74"/>
      <c r="M759" s="2"/>
      <c r="N759" s="2"/>
      <c r="O759" s="2"/>
      <c r="P759" s="74"/>
      <c r="Q759" s="2"/>
      <c r="R759" s="2"/>
      <c r="S759" s="76"/>
      <c r="T759" s="88"/>
    </row>
    <row r="760" ht="15.75" customHeight="1">
      <c r="A760" s="2"/>
      <c r="B760" s="2"/>
      <c r="C760" s="2"/>
      <c r="D760" s="2"/>
      <c r="E760" s="2"/>
      <c r="F760" s="2"/>
      <c r="G760" s="2"/>
      <c r="H760" s="2"/>
      <c r="I760" s="74"/>
      <c r="J760" s="74"/>
      <c r="K760" s="74"/>
      <c r="L760" s="74"/>
      <c r="M760" s="2"/>
      <c r="N760" s="2"/>
      <c r="O760" s="2"/>
      <c r="P760" s="74"/>
      <c r="Q760" s="2"/>
      <c r="R760" s="2"/>
      <c r="S760" s="76"/>
      <c r="T760" s="88"/>
    </row>
    <row r="761" ht="15.75" customHeight="1">
      <c r="A761" s="2"/>
      <c r="B761" s="2"/>
      <c r="C761" s="2"/>
      <c r="D761" s="2"/>
      <c r="E761" s="2"/>
      <c r="F761" s="2"/>
      <c r="G761" s="2"/>
      <c r="H761" s="2"/>
      <c r="I761" s="74"/>
      <c r="J761" s="74"/>
      <c r="K761" s="74"/>
      <c r="L761" s="74"/>
      <c r="M761" s="2"/>
      <c r="N761" s="2"/>
      <c r="O761" s="2"/>
      <c r="P761" s="74"/>
      <c r="Q761" s="2"/>
      <c r="R761" s="2"/>
      <c r="S761" s="76"/>
      <c r="T761" s="88"/>
    </row>
    <row r="762" ht="15.75" customHeight="1">
      <c r="A762" s="2"/>
      <c r="B762" s="2"/>
      <c r="C762" s="2"/>
      <c r="D762" s="2"/>
      <c r="E762" s="2"/>
      <c r="F762" s="2"/>
      <c r="G762" s="2"/>
      <c r="H762" s="2"/>
      <c r="I762" s="74"/>
      <c r="J762" s="74"/>
      <c r="K762" s="74"/>
      <c r="L762" s="74"/>
      <c r="M762" s="2"/>
      <c r="N762" s="2"/>
      <c r="O762" s="2"/>
      <c r="P762" s="74"/>
      <c r="Q762" s="2"/>
      <c r="R762" s="2"/>
      <c r="S762" s="76"/>
      <c r="T762" s="88"/>
    </row>
    <row r="763" ht="15.75" customHeight="1">
      <c r="A763" s="2"/>
      <c r="B763" s="2"/>
      <c r="C763" s="2"/>
      <c r="D763" s="2"/>
      <c r="E763" s="2"/>
      <c r="F763" s="2"/>
      <c r="G763" s="2"/>
      <c r="H763" s="2"/>
      <c r="I763" s="74"/>
      <c r="J763" s="74"/>
      <c r="K763" s="74"/>
      <c r="L763" s="74"/>
      <c r="M763" s="2"/>
      <c r="N763" s="2"/>
      <c r="O763" s="2"/>
      <c r="P763" s="74"/>
      <c r="Q763" s="2"/>
      <c r="R763" s="2"/>
      <c r="S763" s="76"/>
      <c r="T763" s="88"/>
    </row>
    <row r="764" ht="15.75" customHeight="1">
      <c r="A764" s="2"/>
      <c r="B764" s="2"/>
      <c r="C764" s="2"/>
      <c r="D764" s="2"/>
      <c r="E764" s="2"/>
      <c r="F764" s="2"/>
      <c r="G764" s="2"/>
      <c r="H764" s="2"/>
      <c r="I764" s="74"/>
      <c r="J764" s="74"/>
      <c r="K764" s="74"/>
      <c r="L764" s="74"/>
      <c r="M764" s="2"/>
      <c r="N764" s="2"/>
      <c r="O764" s="2"/>
      <c r="P764" s="74"/>
      <c r="Q764" s="2"/>
      <c r="R764" s="2"/>
      <c r="S764" s="76"/>
      <c r="T764" s="88"/>
    </row>
    <row r="765" ht="15.75" customHeight="1">
      <c r="A765" s="2"/>
      <c r="B765" s="2"/>
      <c r="C765" s="2"/>
      <c r="D765" s="2"/>
      <c r="E765" s="2"/>
      <c r="F765" s="2"/>
      <c r="G765" s="2"/>
      <c r="H765" s="2"/>
      <c r="I765" s="74"/>
      <c r="J765" s="74"/>
      <c r="K765" s="74"/>
      <c r="L765" s="74"/>
      <c r="M765" s="2"/>
      <c r="N765" s="2"/>
      <c r="O765" s="2"/>
      <c r="P765" s="74"/>
      <c r="Q765" s="2"/>
      <c r="R765" s="2"/>
      <c r="S765" s="76"/>
      <c r="T765" s="88"/>
    </row>
    <row r="766" ht="15.75" customHeight="1">
      <c r="A766" s="2"/>
      <c r="B766" s="2"/>
      <c r="C766" s="2"/>
      <c r="D766" s="2"/>
      <c r="E766" s="2"/>
      <c r="F766" s="2"/>
      <c r="G766" s="2"/>
      <c r="H766" s="2"/>
      <c r="I766" s="74"/>
      <c r="J766" s="74"/>
      <c r="K766" s="74"/>
      <c r="L766" s="74"/>
      <c r="M766" s="2"/>
      <c r="N766" s="2"/>
      <c r="O766" s="2"/>
      <c r="P766" s="74"/>
      <c r="Q766" s="2"/>
      <c r="R766" s="2"/>
      <c r="S766" s="76"/>
      <c r="T766" s="88"/>
    </row>
    <row r="767" ht="15.75" customHeight="1">
      <c r="A767" s="2"/>
      <c r="B767" s="2"/>
      <c r="C767" s="2"/>
      <c r="D767" s="2"/>
      <c r="E767" s="2"/>
      <c r="F767" s="2"/>
      <c r="G767" s="2"/>
      <c r="H767" s="2"/>
      <c r="I767" s="74"/>
      <c r="J767" s="74"/>
      <c r="K767" s="74"/>
      <c r="L767" s="74"/>
      <c r="M767" s="2"/>
      <c r="N767" s="2"/>
      <c r="O767" s="2"/>
      <c r="P767" s="74"/>
      <c r="Q767" s="2"/>
      <c r="R767" s="2"/>
      <c r="S767" s="76"/>
      <c r="T767" s="88"/>
    </row>
    <row r="768" ht="15.75" customHeight="1">
      <c r="A768" s="2"/>
      <c r="B768" s="2"/>
      <c r="C768" s="2"/>
      <c r="D768" s="2"/>
      <c r="E768" s="2"/>
      <c r="F768" s="2"/>
      <c r="G768" s="2"/>
      <c r="H768" s="2"/>
      <c r="I768" s="74"/>
      <c r="J768" s="74"/>
      <c r="K768" s="74"/>
      <c r="L768" s="74"/>
      <c r="M768" s="2"/>
      <c r="N768" s="2"/>
      <c r="O768" s="2"/>
      <c r="P768" s="74"/>
      <c r="Q768" s="2"/>
      <c r="R768" s="2"/>
      <c r="S768" s="76"/>
      <c r="T768" s="88"/>
    </row>
    <row r="769" ht="15.75" customHeight="1">
      <c r="A769" s="2"/>
      <c r="B769" s="2"/>
      <c r="C769" s="2"/>
      <c r="D769" s="2"/>
      <c r="E769" s="2"/>
      <c r="F769" s="2"/>
      <c r="G769" s="2"/>
      <c r="H769" s="2"/>
      <c r="I769" s="74"/>
      <c r="J769" s="74"/>
      <c r="K769" s="74"/>
      <c r="L769" s="74"/>
      <c r="M769" s="2"/>
      <c r="N769" s="2"/>
      <c r="O769" s="2"/>
      <c r="P769" s="74"/>
      <c r="Q769" s="2"/>
      <c r="R769" s="2"/>
      <c r="S769" s="76"/>
      <c r="T769" s="88"/>
    </row>
    <row r="770" ht="15.75" customHeight="1">
      <c r="A770" s="2"/>
      <c r="B770" s="2"/>
      <c r="C770" s="2"/>
      <c r="D770" s="2"/>
      <c r="E770" s="2"/>
      <c r="F770" s="2"/>
      <c r="G770" s="2"/>
      <c r="H770" s="2"/>
      <c r="I770" s="74"/>
      <c r="J770" s="74"/>
      <c r="K770" s="74"/>
      <c r="L770" s="74"/>
      <c r="M770" s="2"/>
      <c r="N770" s="2"/>
      <c r="O770" s="2"/>
      <c r="P770" s="74"/>
      <c r="Q770" s="2"/>
      <c r="R770" s="2"/>
      <c r="S770" s="76"/>
      <c r="T770" s="88"/>
    </row>
    <row r="771" ht="15.75" customHeight="1">
      <c r="A771" s="2"/>
      <c r="B771" s="2"/>
      <c r="C771" s="2"/>
      <c r="D771" s="2"/>
      <c r="E771" s="2"/>
      <c r="F771" s="2"/>
      <c r="G771" s="2"/>
      <c r="H771" s="2"/>
      <c r="I771" s="74"/>
      <c r="J771" s="74"/>
      <c r="K771" s="74"/>
      <c r="L771" s="74"/>
      <c r="M771" s="2"/>
      <c r="N771" s="2"/>
      <c r="O771" s="2"/>
      <c r="P771" s="74"/>
      <c r="Q771" s="2"/>
      <c r="R771" s="2"/>
      <c r="S771" s="76"/>
      <c r="T771" s="88"/>
    </row>
    <row r="772" ht="15.75" customHeight="1">
      <c r="A772" s="2"/>
      <c r="B772" s="2"/>
      <c r="C772" s="2"/>
      <c r="D772" s="2"/>
      <c r="E772" s="2"/>
      <c r="F772" s="2"/>
      <c r="G772" s="2"/>
      <c r="H772" s="2"/>
      <c r="I772" s="74"/>
      <c r="J772" s="74"/>
      <c r="K772" s="74"/>
      <c r="L772" s="74"/>
      <c r="M772" s="2"/>
      <c r="N772" s="2"/>
      <c r="O772" s="2"/>
      <c r="P772" s="74"/>
      <c r="Q772" s="2"/>
      <c r="R772" s="2"/>
      <c r="S772" s="76"/>
      <c r="T772" s="88"/>
    </row>
    <row r="773" ht="15.75" customHeight="1">
      <c r="A773" s="2"/>
      <c r="B773" s="2"/>
      <c r="C773" s="2"/>
      <c r="D773" s="2"/>
      <c r="E773" s="2"/>
      <c r="F773" s="2"/>
      <c r="G773" s="2"/>
      <c r="H773" s="2"/>
      <c r="I773" s="74"/>
      <c r="J773" s="74"/>
      <c r="K773" s="74"/>
      <c r="L773" s="74"/>
      <c r="M773" s="2"/>
      <c r="N773" s="2"/>
      <c r="O773" s="2"/>
      <c r="P773" s="74"/>
      <c r="Q773" s="2"/>
      <c r="R773" s="2"/>
      <c r="S773" s="76"/>
      <c r="T773" s="88"/>
    </row>
    <row r="774" ht="15.75" customHeight="1">
      <c r="A774" s="2"/>
      <c r="B774" s="2"/>
      <c r="C774" s="2"/>
      <c r="D774" s="2"/>
      <c r="E774" s="2"/>
      <c r="F774" s="2"/>
      <c r="G774" s="2"/>
      <c r="H774" s="2"/>
      <c r="I774" s="74"/>
      <c r="J774" s="74"/>
      <c r="K774" s="74"/>
      <c r="L774" s="74"/>
      <c r="M774" s="2"/>
      <c r="N774" s="2"/>
      <c r="O774" s="2"/>
      <c r="P774" s="74"/>
      <c r="Q774" s="2"/>
      <c r="R774" s="2"/>
      <c r="S774" s="76"/>
      <c r="T774" s="88"/>
    </row>
    <row r="775" ht="15.75" customHeight="1">
      <c r="A775" s="2"/>
      <c r="B775" s="2"/>
      <c r="C775" s="2"/>
      <c r="D775" s="2"/>
      <c r="E775" s="2"/>
      <c r="F775" s="2"/>
      <c r="G775" s="2"/>
      <c r="H775" s="2"/>
      <c r="I775" s="74"/>
      <c r="J775" s="74"/>
      <c r="K775" s="74"/>
      <c r="L775" s="74"/>
      <c r="M775" s="2"/>
      <c r="N775" s="2"/>
      <c r="O775" s="2"/>
      <c r="P775" s="74"/>
      <c r="Q775" s="2"/>
      <c r="R775" s="2"/>
      <c r="S775" s="76"/>
      <c r="T775" s="88"/>
    </row>
    <row r="776" ht="15.75" customHeight="1">
      <c r="A776" s="2"/>
      <c r="B776" s="2"/>
      <c r="C776" s="2"/>
      <c r="D776" s="2"/>
      <c r="E776" s="2"/>
      <c r="F776" s="2"/>
      <c r="G776" s="2"/>
      <c r="H776" s="2"/>
      <c r="I776" s="74"/>
      <c r="J776" s="74"/>
      <c r="K776" s="74"/>
      <c r="L776" s="74"/>
      <c r="M776" s="2"/>
      <c r="N776" s="2"/>
      <c r="O776" s="2"/>
      <c r="P776" s="74"/>
      <c r="Q776" s="2"/>
      <c r="R776" s="2"/>
      <c r="S776" s="76"/>
      <c r="T776" s="88"/>
    </row>
    <row r="777" ht="15.75" customHeight="1">
      <c r="A777" s="2"/>
      <c r="B777" s="2"/>
      <c r="C777" s="2"/>
      <c r="D777" s="2"/>
      <c r="E777" s="2"/>
      <c r="F777" s="2"/>
      <c r="G777" s="2"/>
      <c r="H777" s="2"/>
      <c r="I777" s="74"/>
      <c r="J777" s="74"/>
      <c r="K777" s="74"/>
      <c r="L777" s="74"/>
      <c r="M777" s="2"/>
      <c r="N777" s="2"/>
      <c r="O777" s="2"/>
      <c r="P777" s="74"/>
      <c r="Q777" s="2"/>
      <c r="R777" s="2"/>
      <c r="S777" s="76"/>
      <c r="T777" s="88"/>
    </row>
    <row r="778" ht="15.75" customHeight="1">
      <c r="A778" s="2"/>
      <c r="B778" s="2"/>
      <c r="C778" s="2"/>
      <c r="D778" s="2"/>
      <c r="E778" s="2"/>
      <c r="F778" s="2"/>
      <c r="G778" s="2"/>
      <c r="H778" s="2"/>
      <c r="I778" s="74"/>
      <c r="J778" s="74"/>
      <c r="K778" s="74"/>
      <c r="L778" s="74"/>
      <c r="M778" s="2"/>
      <c r="N778" s="2"/>
      <c r="O778" s="2"/>
      <c r="P778" s="74"/>
      <c r="Q778" s="2"/>
      <c r="R778" s="2"/>
      <c r="S778" s="76"/>
      <c r="T778" s="88"/>
    </row>
    <row r="779" ht="15.75" customHeight="1">
      <c r="A779" s="2"/>
      <c r="B779" s="2"/>
      <c r="C779" s="2"/>
      <c r="D779" s="2"/>
      <c r="E779" s="2"/>
      <c r="F779" s="2"/>
      <c r="G779" s="2"/>
      <c r="H779" s="2"/>
      <c r="I779" s="74"/>
      <c r="J779" s="74"/>
      <c r="K779" s="74"/>
      <c r="L779" s="74"/>
      <c r="M779" s="2"/>
      <c r="N779" s="2"/>
      <c r="O779" s="2"/>
      <c r="P779" s="74"/>
      <c r="Q779" s="2"/>
      <c r="R779" s="2"/>
      <c r="S779" s="76"/>
      <c r="T779" s="88"/>
    </row>
    <row r="780" ht="15.75" customHeight="1">
      <c r="A780" s="2"/>
      <c r="B780" s="2"/>
      <c r="C780" s="2"/>
      <c r="D780" s="2"/>
      <c r="E780" s="2"/>
      <c r="F780" s="2"/>
      <c r="G780" s="2"/>
      <c r="H780" s="2"/>
      <c r="I780" s="74"/>
      <c r="J780" s="74"/>
      <c r="K780" s="74"/>
      <c r="L780" s="74"/>
      <c r="M780" s="2"/>
      <c r="N780" s="2"/>
      <c r="O780" s="2"/>
      <c r="P780" s="74"/>
      <c r="Q780" s="2"/>
      <c r="R780" s="2"/>
      <c r="S780" s="76"/>
      <c r="T780" s="88"/>
    </row>
    <row r="781" ht="15.75" customHeight="1">
      <c r="A781" s="2"/>
      <c r="B781" s="2"/>
      <c r="C781" s="2"/>
      <c r="D781" s="2"/>
      <c r="E781" s="2"/>
      <c r="F781" s="2"/>
      <c r="G781" s="2"/>
      <c r="H781" s="2"/>
      <c r="I781" s="74"/>
      <c r="J781" s="74"/>
      <c r="K781" s="74"/>
      <c r="L781" s="74"/>
      <c r="M781" s="2"/>
      <c r="N781" s="2"/>
      <c r="O781" s="2"/>
      <c r="P781" s="74"/>
      <c r="Q781" s="2"/>
      <c r="R781" s="2"/>
      <c r="S781" s="76"/>
      <c r="T781" s="88"/>
    </row>
    <row r="782" ht="15.75" customHeight="1">
      <c r="A782" s="2"/>
      <c r="B782" s="2"/>
      <c r="C782" s="2"/>
      <c r="D782" s="2"/>
      <c r="E782" s="2"/>
      <c r="F782" s="2"/>
      <c r="G782" s="2"/>
      <c r="H782" s="2"/>
      <c r="I782" s="74"/>
      <c r="J782" s="74"/>
      <c r="K782" s="74"/>
      <c r="L782" s="74"/>
      <c r="M782" s="2"/>
      <c r="N782" s="2"/>
      <c r="O782" s="2"/>
      <c r="P782" s="74"/>
      <c r="Q782" s="2"/>
      <c r="R782" s="2"/>
      <c r="S782" s="76"/>
      <c r="T782" s="88"/>
    </row>
    <row r="783" ht="15.75" customHeight="1">
      <c r="A783" s="2"/>
      <c r="B783" s="2"/>
      <c r="C783" s="2"/>
      <c r="D783" s="2"/>
      <c r="E783" s="2"/>
      <c r="F783" s="2"/>
      <c r="G783" s="2"/>
      <c r="H783" s="2"/>
      <c r="I783" s="74"/>
      <c r="J783" s="74"/>
      <c r="K783" s="74"/>
      <c r="L783" s="74"/>
      <c r="M783" s="2"/>
      <c r="N783" s="2"/>
      <c r="O783" s="2"/>
      <c r="P783" s="74"/>
      <c r="Q783" s="2"/>
      <c r="R783" s="2"/>
      <c r="S783" s="76"/>
      <c r="T783" s="88"/>
    </row>
    <row r="784" ht="15.75" customHeight="1">
      <c r="A784" s="2"/>
      <c r="B784" s="2"/>
      <c r="C784" s="2"/>
      <c r="D784" s="2"/>
      <c r="E784" s="2"/>
      <c r="F784" s="2"/>
      <c r="G784" s="2"/>
      <c r="H784" s="2"/>
      <c r="I784" s="74"/>
      <c r="J784" s="74"/>
      <c r="K784" s="74"/>
      <c r="L784" s="74"/>
      <c r="M784" s="2"/>
      <c r="N784" s="2"/>
      <c r="O784" s="2"/>
      <c r="P784" s="74"/>
      <c r="Q784" s="2"/>
      <c r="R784" s="2"/>
      <c r="S784" s="76"/>
      <c r="T784" s="88"/>
    </row>
    <row r="785" ht="15.75" customHeight="1">
      <c r="A785" s="2"/>
      <c r="B785" s="2"/>
      <c r="C785" s="2"/>
      <c r="D785" s="2"/>
      <c r="E785" s="2"/>
      <c r="F785" s="2"/>
      <c r="G785" s="2"/>
      <c r="H785" s="2"/>
      <c r="I785" s="74"/>
      <c r="J785" s="74"/>
      <c r="K785" s="74"/>
      <c r="L785" s="74"/>
      <c r="M785" s="2"/>
      <c r="N785" s="2"/>
      <c r="O785" s="2"/>
      <c r="P785" s="74"/>
      <c r="Q785" s="2"/>
      <c r="R785" s="2"/>
      <c r="S785" s="76"/>
      <c r="T785" s="88"/>
    </row>
    <row r="786" ht="15.75" customHeight="1">
      <c r="A786" s="2"/>
      <c r="B786" s="2"/>
      <c r="C786" s="2"/>
      <c r="D786" s="2"/>
      <c r="E786" s="2"/>
      <c r="F786" s="2"/>
      <c r="G786" s="2"/>
      <c r="H786" s="2"/>
      <c r="I786" s="74"/>
      <c r="J786" s="74"/>
      <c r="K786" s="74"/>
      <c r="L786" s="74"/>
      <c r="M786" s="2"/>
      <c r="N786" s="2"/>
      <c r="O786" s="2"/>
      <c r="P786" s="74"/>
      <c r="Q786" s="2"/>
      <c r="R786" s="2"/>
      <c r="S786" s="76"/>
      <c r="T786" s="88"/>
    </row>
    <row r="787" ht="15.75" customHeight="1">
      <c r="A787" s="2"/>
      <c r="B787" s="2"/>
      <c r="C787" s="2"/>
      <c r="D787" s="2"/>
      <c r="E787" s="2"/>
      <c r="F787" s="2"/>
      <c r="G787" s="2"/>
      <c r="H787" s="2"/>
      <c r="I787" s="74"/>
      <c r="J787" s="74"/>
      <c r="K787" s="74"/>
      <c r="L787" s="74"/>
      <c r="M787" s="2"/>
      <c r="N787" s="2"/>
      <c r="O787" s="2"/>
      <c r="P787" s="74"/>
      <c r="Q787" s="2"/>
      <c r="R787" s="2"/>
      <c r="S787" s="76"/>
      <c r="T787" s="88"/>
    </row>
    <row r="788" ht="15.75" customHeight="1">
      <c r="A788" s="2"/>
      <c r="B788" s="2"/>
      <c r="C788" s="2"/>
      <c r="D788" s="2"/>
      <c r="E788" s="2"/>
      <c r="F788" s="2"/>
      <c r="G788" s="2"/>
      <c r="H788" s="2"/>
      <c r="I788" s="74"/>
      <c r="J788" s="74"/>
      <c r="K788" s="74"/>
      <c r="L788" s="74"/>
      <c r="M788" s="2"/>
      <c r="N788" s="2"/>
      <c r="O788" s="2"/>
      <c r="P788" s="74"/>
      <c r="Q788" s="2"/>
      <c r="R788" s="2"/>
      <c r="S788" s="76"/>
      <c r="T788" s="88"/>
    </row>
    <row r="789" ht="15.75" customHeight="1">
      <c r="A789" s="2"/>
      <c r="B789" s="2"/>
      <c r="C789" s="2"/>
      <c r="D789" s="2"/>
      <c r="E789" s="2"/>
      <c r="F789" s="2"/>
      <c r="G789" s="2"/>
      <c r="H789" s="2"/>
      <c r="I789" s="74"/>
      <c r="J789" s="74"/>
      <c r="K789" s="74"/>
      <c r="L789" s="74"/>
      <c r="M789" s="2"/>
      <c r="N789" s="2"/>
      <c r="O789" s="2"/>
      <c r="P789" s="74"/>
      <c r="Q789" s="2"/>
      <c r="R789" s="2"/>
      <c r="S789" s="76"/>
      <c r="T789" s="88"/>
    </row>
    <row r="790" ht="15.75" customHeight="1">
      <c r="A790" s="2"/>
      <c r="B790" s="2"/>
      <c r="C790" s="2"/>
      <c r="D790" s="2"/>
      <c r="E790" s="2"/>
      <c r="F790" s="2"/>
      <c r="G790" s="2"/>
      <c r="H790" s="2"/>
      <c r="I790" s="74"/>
      <c r="J790" s="74"/>
      <c r="K790" s="74"/>
      <c r="L790" s="74"/>
      <c r="M790" s="2"/>
      <c r="N790" s="2"/>
      <c r="O790" s="2"/>
      <c r="P790" s="74"/>
      <c r="Q790" s="2"/>
      <c r="R790" s="2"/>
      <c r="S790" s="76"/>
      <c r="T790" s="88"/>
    </row>
    <row r="791" ht="15.75" customHeight="1">
      <c r="A791" s="2"/>
      <c r="B791" s="2"/>
      <c r="C791" s="2"/>
      <c r="D791" s="2"/>
      <c r="E791" s="2"/>
      <c r="F791" s="2"/>
      <c r="G791" s="2"/>
      <c r="H791" s="2"/>
      <c r="I791" s="74"/>
      <c r="J791" s="74"/>
      <c r="K791" s="74"/>
      <c r="L791" s="74"/>
      <c r="M791" s="2"/>
      <c r="N791" s="2"/>
      <c r="O791" s="2"/>
      <c r="P791" s="74"/>
      <c r="Q791" s="2"/>
      <c r="R791" s="2"/>
      <c r="S791" s="76"/>
      <c r="T791" s="88"/>
    </row>
    <row r="792" ht="15.75" customHeight="1">
      <c r="A792" s="2"/>
      <c r="B792" s="2"/>
      <c r="C792" s="2"/>
      <c r="D792" s="2"/>
      <c r="E792" s="2"/>
      <c r="F792" s="2"/>
      <c r="G792" s="2"/>
      <c r="H792" s="2"/>
      <c r="I792" s="74"/>
      <c r="J792" s="74"/>
      <c r="K792" s="74"/>
      <c r="L792" s="74"/>
      <c r="M792" s="2"/>
      <c r="N792" s="2"/>
      <c r="O792" s="2"/>
      <c r="P792" s="74"/>
      <c r="Q792" s="2"/>
      <c r="R792" s="2"/>
      <c r="S792" s="76"/>
      <c r="T792" s="88"/>
    </row>
    <row r="793" ht="15.75" customHeight="1">
      <c r="A793" s="2"/>
      <c r="B793" s="2"/>
      <c r="C793" s="2"/>
      <c r="D793" s="2"/>
      <c r="E793" s="2"/>
      <c r="F793" s="2"/>
      <c r="G793" s="2"/>
      <c r="H793" s="2"/>
      <c r="I793" s="74"/>
      <c r="J793" s="74"/>
      <c r="K793" s="74"/>
      <c r="L793" s="74"/>
      <c r="M793" s="2"/>
      <c r="N793" s="2"/>
      <c r="O793" s="2"/>
      <c r="P793" s="74"/>
      <c r="Q793" s="2"/>
      <c r="R793" s="2"/>
      <c r="S793" s="76"/>
      <c r="T793" s="88"/>
    </row>
    <row r="794" ht="15.75" customHeight="1">
      <c r="A794" s="2"/>
      <c r="B794" s="2"/>
      <c r="C794" s="2"/>
      <c r="D794" s="2"/>
      <c r="E794" s="2"/>
      <c r="F794" s="2"/>
      <c r="G794" s="2"/>
      <c r="H794" s="2"/>
      <c r="I794" s="74"/>
      <c r="J794" s="74"/>
      <c r="K794" s="74"/>
      <c r="L794" s="74"/>
      <c r="M794" s="2"/>
      <c r="N794" s="2"/>
      <c r="O794" s="2"/>
      <c r="P794" s="74"/>
      <c r="Q794" s="2"/>
      <c r="R794" s="2"/>
      <c r="S794" s="76"/>
      <c r="T794" s="88"/>
    </row>
    <row r="795" ht="15.75" customHeight="1">
      <c r="A795" s="2"/>
      <c r="B795" s="2"/>
      <c r="C795" s="2"/>
      <c r="D795" s="2"/>
      <c r="E795" s="2"/>
      <c r="F795" s="2"/>
      <c r="G795" s="2"/>
      <c r="H795" s="2"/>
      <c r="I795" s="74"/>
      <c r="J795" s="74"/>
      <c r="K795" s="74"/>
      <c r="L795" s="74"/>
      <c r="M795" s="2"/>
      <c r="N795" s="2"/>
      <c r="O795" s="2"/>
      <c r="P795" s="74"/>
      <c r="Q795" s="2"/>
      <c r="R795" s="2"/>
      <c r="S795" s="76"/>
      <c r="T795" s="88"/>
    </row>
    <row r="796" ht="15.75" customHeight="1">
      <c r="A796" s="2"/>
      <c r="B796" s="2"/>
      <c r="C796" s="2"/>
      <c r="D796" s="2"/>
      <c r="E796" s="2"/>
      <c r="F796" s="2"/>
      <c r="G796" s="2"/>
      <c r="H796" s="2"/>
      <c r="I796" s="74"/>
      <c r="J796" s="74"/>
      <c r="K796" s="74"/>
      <c r="L796" s="74"/>
      <c r="M796" s="2"/>
      <c r="N796" s="2"/>
      <c r="O796" s="2"/>
      <c r="P796" s="74"/>
      <c r="Q796" s="2"/>
      <c r="R796" s="2"/>
      <c r="S796" s="76"/>
      <c r="T796" s="88"/>
    </row>
    <row r="797" ht="15.75" customHeight="1">
      <c r="A797" s="2"/>
      <c r="B797" s="2"/>
      <c r="C797" s="2"/>
      <c r="D797" s="2"/>
      <c r="E797" s="2"/>
      <c r="F797" s="2"/>
      <c r="G797" s="2"/>
      <c r="H797" s="2"/>
      <c r="I797" s="74"/>
      <c r="J797" s="74"/>
      <c r="K797" s="74"/>
      <c r="L797" s="74"/>
      <c r="M797" s="2"/>
      <c r="N797" s="2"/>
      <c r="O797" s="2"/>
      <c r="P797" s="74"/>
      <c r="Q797" s="2"/>
      <c r="R797" s="2"/>
      <c r="S797" s="76"/>
      <c r="T797" s="88"/>
    </row>
    <row r="798" ht="15.75" customHeight="1">
      <c r="A798" s="2"/>
      <c r="B798" s="2"/>
      <c r="C798" s="2"/>
      <c r="D798" s="2"/>
      <c r="E798" s="2"/>
      <c r="F798" s="2"/>
      <c r="G798" s="2"/>
      <c r="H798" s="2"/>
      <c r="I798" s="74"/>
      <c r="J798" s="74"/>
      <c r="K798" s="74"/>
      <c r="L798" s="74"/>
      <c r="M798" s="2"/>
      <c r="N798" s="2"/>
      <c r="O798" s="2"/>
      <c r="P798" s="74"/>
      <c r="Q798" s="2"/>
      <c r="R798" s="2"/>
      <c r="S798" s="76"/>
      <c r="T798" s="88"/>
    </row>
    <row r="799" ht="15.75" customHeight="1">
      <c r="A799" s="2"/>
      <c r="B799" s="2"/>
      <c r="C799" s="2"/>
      <c r="D799" s="2"/>
      <c r="E799" s="2"/>
      <c r="F799" s="2"/>
      <c r="G799" s="2"/>
      <c r="H799" s="2"/>
      <c r="I799" s="74"/>
      <c r="J799" s="74"/>
      <c r="K799" s="74"/>
      <c r="L799" s="74"/>
      <c r="M799" s="2"/>
      <c r="N799" s="2"/>
      <c r="O799" s="2"/>
      <c r="P799" s="74"/>
      <c r="Q799" s="2"/>
      <c r="R799" s="2"/>
      <c r="S799" s="76"/>
      <c r="T799" s="88"/>
    </row>
    <row r="800" ht="15.75" customHeight="1">
      <c r="A800" s="2"/>
      <c r="B800" s="2"/>
      <c r="C800" s="2"/>
      <c r="D800" s="2"/>
      <c r="E800" s="2"/>
      <c r="F800" s="2"/>
      <c r="G800" s="2"/>
      <c r="H800" s="2"/>
      <c r="I800" s="74"/>
      <c r="J800" s="74"/>
      <c r="K800" s="74"/>
      <c r="L800" s="74"/>
      <c r="M800" s="2"/>
      <c r="N800" s="2"/>
      <c r="O800" s="2"/>
      <c r="P800" s="74"/>
      <c r="Q800" s="2"/>
      <c r="R800" s="2"/>
      <c r="S800" s="76"/>
      <c r="T800" s="88"/>
    </row>
    <row r="801" ht="15.75" customHeight="1">
      <c r="A801" s="2"/>
      <c r="B801" s="2"/>
      <c r="C801" s="2"/>
      <c r="D801" s="2"/>
      <c r="E801" s="2"/>
      <c r="F801" s="2"/>
      <c r="G801" s="2"/>
      <c r="H801" s="2"/>
      <c r="I801" s="74"/>
      <c r="J801" s="74"/>
      <c r="K801" s="74"/>
      <c r="L801" s="74"/>
      <c r="M801" s="2"/>
      <c r="N801" s="2"/>
      <c r="O801" s="2"/>
      <c r="P801" s="74"/>
      <c r="Q801" s="2"/>
      <c r="R801" s="2"/>
      <c r="S801" s="76"/>
      <c r="T801" s="88"/>
    </row>
    <row r="802" ht="15.75" customHeight="1">
      <c r="A802" s="2"/>
      <c r="B802" s="2"/>
      <c r="C802" s="2"/>
      <c r="D802" s="2"/>
      <c r="E802" s="2"/>
      <c r="F802" s="2"/>
      <c r="G802" s="2"/>
      <c r="H802" s="2"/>
      <c r="I802" s="74"/>
      <c r="J802" s="74"/>
      <c r="K802" s="74"/>
      <c r="L802" s="74"/>
      <c r="M802" s="2"/>
      <c r="N802" s="2"/>
      <c r="O802" s="2"/>
      <c r="P802" s="74"/>
      <c r="Q802" s="2"/>
      <c r="R802" s="2"/>
      <c r="S802" s="76"/>
      <c r="T802" s="88"/>
    </row>
    <row r="803" ht="15.75" customHeight="1">
      <c r="A803" s="2"/>
      <c r="B803" s="2"/>
      <c r="C803" s="2"/>
      <c r="D803" s="2"/>
      <c r="E803" s="2"/>
      <c r="F803" s="2"/>
      <c r="G803" s="2"/>
      <c r="H803" s="2"/>
      <c r="I803" s="74"/>
      <c r="J803" s="74"/>
      <c r="K803" s="74"/>
      <c r="L803" s="74"/>
      <c r="M803" s="2"/>
      <c r="N803" s="2"/>
      <c r="O803" s="2"/>
      <c r="P803" s="74"/>
      <c r="Q803" s="2"/>
      <c r="R803" s="2"/>
      <c r="S803" s="76"/>
      <c r="T803" s="88"/>
    </row>
    <row r="804" ht="15.75" customHeight="1">
      <c r="A804" s="2"/>
      <c r="B804" s="2"/>
      <c r="C804" s="2"/>
      <c r="D804" s="2"/>
      <c r="E804" s="2"/>
      <c r="F804" s="2"/>
      <c r="G804" s="2"/>
      <c r="H804" s="2"/>
      <c r="I804" s="74"/>
      <c r="J804" s="74"/>
      <c r="K804" s="74"/>
      <c r="L804" s="74"/>
      <c r="M804" s="2"/>
      <c r="N804" s="2"/>
      <c r="O804" s="2"/>
      <c r="P804" s="74"/>
      <c r="Q804" s="2"/>
      <c r="R804" s="2"/>
      <c r="S804" s="76"/>
      <c r="T804" s="88"/>
    </row>
    <row r="805" ht="15.75" customHeight="1">
      <c r="A805" s="2"/>
      <c r="B805" s="2"/>
      <c r="C805" s="2"/>
      <c r="D805" s="2"/>
      <c r="E805" s="2"/>
      <c r="F805" s="2"/>
      <c r="G805" s="2"/>
      <c r="H805" s="2"/>
      <c r="I805" s="74"/>
      <c r="J805" s="74"/>
      <c r="K805" s="74"/>
      <c r="L805" s="74"/>
      <c r="M805" s="2"/>
      <c r="N805" s="2"/>
      <c r="O805" s="2"/>
      <c r="P805" s="74"/>
      <c r="Q805" s="2"/>
      <c r="R805" s="2"/>
      <c r="S805" s="76"/>
      <c r="T805" s="88"/>
    </row>
    <row r="806" ht="15.75" customHeight="1">
      <c r="A806" s="2"/>
      <c r="B806" s="2"/>
      <c r="C806" s="2"/>
      <c r="D806" s="2"/>
      <c r="E806" s="2"/>
      <c r="F806" s="2"/>
      <c r="G806" s="2"/>
      <c r="H806" s="2"/>
      <c r="I806" s="74"/>
      <c r="J806" s="74"/>
      <c r="K806" s="74"/>
      <c r="L806" s="74"/>
      <c r="M806" s="2"/>
      <c r="N806" s="2"/>
      <c r="O806" s="2"/>
      <c r="P806" s="74"/>
      <c r="Q806" s="2"/>
      <c r="R806" s="2"/>
      <c r="S806" s="76"/>
      <c r="T806" s="88"/>
    </row>
    <row r="807" ht="15.75" customHeight="1">
      <c r="A807" s="2"/>
      <c r="B807" s="2"/>
      <c r="C807" s="2"/>
      <c r="D807" s="2"/>
      <c r="E807" s="2"/>
      <c r="F807" s="2"/>
      <c r="G807" s="2"/>
      <c r="H807" s="2"/>
      <c r="I807" s="74"/>
      <c r="J807" s="74"/>
      <c r="K807" s="74"/>
      <c r="L807" s="74"/>
      <c r="M807" s="2"/>
      <c r="N807" s="2"/>
      <c r="O807" s="2"/>
      <c r="P807" s="74"/>
      <c r="Q807" s="2"/>
      <c r="R807" s="2"/>
      <c r="S807" s="76"/>
      <c r="T807" s="88"/>
    </row>
    <row r="808" ht="15.75" customHeight="1">
      <c r="A808" s="2"/>
      <c r="B808" s="2"/>
      <c r="C808" s="2"/>
      <c r="D808" s="2"/>
      <c r="E808" s="2"/>
      <c r="F808" s="2"/>
      <c r="G808" s="2"/>
      <c r="H808" s="2"/>
      <c r="I808" s="74"/>
      <c r="J808" s="74"/>
      <c r="K808" s="74"/>
      <c r="L808" s="74"/>
      <c r="M808" s="2"/>
      <c r="N808" s="2"/>
      <c r="O808" s="2"/>
      <c r="P808" s="74"/>
      <c r="Q808" s="2"/>
      <c r="R808" s="2"/>
      <c r="S808" s="76"/>
      <c r="T808" s="88"/>
    </row>
    <row r="809" ht="15.75" customHeight="1">
      <c r="A809" s="2"/>
      <c r="B809" s="2"/>
      <c r="C809" s="2"/>
      <c r="D809" s="2"/>
      <c r="E809" s="2"/>
      <c r="F809" s="2"/>
      <c r="G809" s="2"/>
      <c r="H809" s="2"/>
      <c r="I809" s="74"/>
      <c r="J809" s="74"/>
      <c r="K809" s="74"/>
      <c r="L809" s="74"/>
      <c r="M809" s="2"/>
      <c r="N809" s="2"/>
      <c r="O809" s="2"/>
      <c r="P809" s="74"/>
      <c r="Q809" s="2"/>
      <c r="R809" s="2"/>
      <c r="S809" s="76"/>
      <c r="T809" s="88"/>
    </row>
    <row r="810" ht="15.75" customHeight="1">
      <c r="A810" s="2"/>
      <c r="B810" s="2"/>
      <c r="C810" s="2"/>
      <c r="D810" s="2"/>
      <c r="E810" s="2"/>
      <c r="F810" s="2"/>
      <c r="G810" s="2"/>
      <c r="H810" s="2"/>
      <c r="I810" s="74"/>
      <c r="J810" s="74"/>
      <c r="K810" s="74"/>
      <c r="L810" s="74"/>
      <c r="M810" s="2"/>
      <c r="N810" s="2"/>
      <c r="O810" s="2"/>
      <c r="P810" s="74"/>
      <c r="Q810" s="2"/>
      <c r="R810" s="2"/>
      <c r="S810" s="76"/>
      <c r="T810" s="88"/>
    </row>
    <row r="811" ht="15.75" customHeight="1">
      <c r="A811" s="2"/>
      <c r="B811" s="2"/>
      <c r="C811" s="2"/>
      <c r="D811" s="2"/>
      <c r="E811" s="2"/>
      <c r="F811" s="2"/>
      <c r="G811" s="2"/>
      <c r="H811" s="2"/>
      <c r="I811" s="74"/>
      <c r="J811" s="74"/>
      <c r="K811" s="74"/>
      <c r="L811" s="74"/>
      <c r="M811" s="2"/>
      <c r="N811" s="2"/>
      <c r="O811" s="2"/>
      <c r="P811" s="74"/>
      <c r="Q811" s="2"/>
      <c r="R811" s="2"/>
      <c r="S811" s="76"/>
      <c r="T811" s="88"/>
    </row>
    <row r="812" ht="15.75" customHeight="1">
      <c r="A812" s="2"/>
      <c r="B812" s="2"/>
      <c r="C812" s="2"/>
      <c r="D812" s="2"/>
      <c r="E812" s="2"/>
      <c r="F812" s="2"/>
      <c r="G812" s="2"/>
      <c r="H812" s="2"/>
      <c r="I812" s="74"/>
      <c r="J812" s="74"/>
      <c r="K812" s="74"/>
      <c r="L812" s="74"/>
      <c r="M812" s="2"/>
      <c r="N812" s="2"/>
      <c r="O812" s="2"/>
      <c r="P812" s="74"/>
      <c r="Q812" s="2"/>
      <c r="R812" s="2"/>
      <c r="S812" s="76"/>
      <c r="T812" s="88"/>
    </row>
    <row r="813" ht="15.75" customHeight="1">
      <c r="A813" s="2"/>
      <c r="B813" s="2"/>
      <c r="C813" s="2"/>
      <c r="D813" s="2"/>
      <c r="E813" s="2"/>
      <c r="F813" s="2"/>
      <c r="G813" s="2"/>
      <c r="H813" s="2"/>
      <c r="I813" s="74"/>
      <c r="J813" s="74"/>
      <c r="K813" s="74"/>
      <c r="L813" s="74"/>
      <c r="M813" s="2"/>
      <c r="N813" s="2"/>
      <c r="O813" s="2"/>
      <c r="P813" s="74"/>
      <c r="Q813" s="2"/>
      <c r="R813" s="2"/>
      <c r="S813" s="76"/>
      <c r="T813" s="88"/>
    </row>
    <row r="814" ht="15.75" customHeight="1">
      <c r="A814" s="2"/>
      <c r="B814" s="2"/>
      <c r="C814" s="2"/>
      <c r="D814" s="2"/>
      <c r="E814" s="2"/>
      <c r="F814" s="2"/>
      <c r="G814" s="2"/>
      <c r="H814" s="2"/>
      <c r="I814" s="74"/>
      <c r="J814" s="74"/>
      <c r="K814" s="74"/>
      <c r="L814" s="74"/>
      <c r="M814" s="2"/>
      <c r="N814" s="2"/>
      <c r="O814" s="2"/>
      <c r="P814" s="74"/>
      <c r="Q814" s="2"/>
      <c r="R814" s="2"/>
      <c r="S814" s="76"/>
      <c r="T814" s="88"/>
    </row>
    <row r="815" ht="15.75" customHeight="1">
      <c r="A815" s="2"/>
      <c r="B815" s="2"/>
      <c r="C815" s="2"/>
      <c r="D815" s="2"/>
      <c r="E815" s="2"/>
      <c r="F815" s="2"/>
      <c r="G815" s="2"/>
      <c r="H815" s="2"/>
      <c r="I815" s="74"/>
      <c r="J815" s="74"/>
      <c r="K815" s="74"/>
      <c r="L815" s="74"/>
      <c r="M815" s="2"/>
      <c r="N815" s="2"/>
      <c r="O815" s="2"/>
      <c r="P815" s="74"/>
      <c r="Q815" s="2"/>
      <c r="R815" s="2"/>
      <c r="S815" s="76"/>
      <c r="T815" s="88"/>
    </row>
    <row r="816" ht="15.75" customHeight="1">
      <c r="A816" s="2"/>
      <c r="B816" s="2"/>
      <c r="C816" s="2"/>
      <c r="D816" s="2"/>
      <c r="E816" s="2"/>
      <c r="F816" s="2"/>
      <c r="G816" s="2"/>
      <c r="H816" s="2"/>
      <c r="I816" s="74"/>
      <c r="J816" s="74"/>
      <c r="K816" s="74"/>
      <c r="L816" s="74"/>
      <c r="M816" s="2"/>
      <c r="N816" s="2"/>
      <c r="O816" s="2"/>
      <c r="P816" s="74"/>
      <c r="Q816" s="2"/>
      <c r="R816" s="2"/>
      <c r="S816" s="76"/>
      <c r="T816" s="88"/>
    </row>
    <row r="817" ht="15.75" customHeight="1">
      <c r="A817" s="2"/>
      <c r="B817" s="2"/>
      <c r="C817" s="2"/>
      <c r="D817" s="2"/>
      <c r="E817" s="2"/>
      <c r="F817" s="2"/>
      <c r="G817" s="2"/>
      <c r="H817" s="2"/>
      <c r="I817" s="74"/>
      <c r="J817" s="74"/>
      <c r="K817" s="74"/>
      <c r="L817" s="74"/>
      <c r="M817" s="2"/>
      <c r="N817" s="2"/>
      <c r="O817" s="2"/>
      <c r="P817" s="74"/>
      <c r="Q817" s="2"/>
      <c r="R817" s="2"/>
      <c r="S817" s="76"/>
      <c r="T817" s="88"/>
    </row>
    <row r="818" ht="15.75" customHeight="1">
      <c r="A818" s="2"/>
      <c r="B818" s="2"/>
      <c r="C818" s="2"/>
      <c r="D818" s="2"/>
      <c r="E818" s="2"/>
      <c r="F818" s="2"/>
      <c r="G818" s="2"/>
      <c r="H818" s="2"/>
      <c r="I818" s="74"/>
      <c r="J818" s="74"/>
      <c r="K818" s="74"/>
      <c r="L818" s="74"/>
      <c r="M818" s="2"/>
      <c r="N818" s="2"/>
      <c r="O818" s="2"/>
      <c r="P818" s="74"/>
      <c r="Q818" s="2"/>
      <c r="R818" s="2"/>
      <c r="S818" s="76"/>
      <c r="T818" s="88"/>
    </row>
    <row r="819" ht="15.75" customHeight="1">
      <c r="A819" s="2"/>
      <c r="B819" s="2"/>
      <c r="C819" s="2"/>
      <c r="D819" s="2"/>
      <c r="E819" s="2"/>
      <c r="F819" s="2"/>
      <c r="G819" s="2"/>
      <c r="H819" s="2"/>
      <c r="I819" s="74"/>
      <c r="J819" s="74"/>
      <c r="K819" s="74"/>
      <c r="L819" s="74"/>
      <c r="M819" s="2"/>
      <c r="N819" s="2"/>
      <c r="O819" s="2"/>
      <c r="P819" s="74"/>
      <c r="Q819" s="2"/>
      <c r="R819" s="2"/>
      <c r="S819" s="76"/>
      <c r="T819" s="88"/>
    </row>
    <row r="820" ht="15.75" customHeight="1">
      <c r="A820" s="2"/>
      <c r="B820" s="2"/>
      <c r="C820" s="2"/>
      <c r="D820" s="2"/>
      <c r="E820" s="2"/>
      <c r="F820" s="2"/>
      <c r="G820" s="2"/>
      <c r="H820" s="2"/>
      <c r="I820" s="74"/>
      <c r="J820" s="74"/>
      <c r="K820" s="74"/>
      <c r="L820" s="74"/>
      <c r="M820" s="2"/>
      <c r="N820" s="2"/>
      <c r="O820" s="2"/>
      <c r="P820" s="74"/>
      <c r="Q820" s="2"/>
      <c r="R820" s="2"/>
      <c r="S820" s="76"/>
      <c r="T820" s="88"/>
    </row>
    <row r="821" ht="15.75" customHeight="1">
      <c r="A821" s="2"/>
      <c r="B821" s="2"/>
      <c r="C821" s="2"/>
      <c r="D821" s="2"/>
      <c r="E821" s="2"/>
      <c r="F821" s="2"/>
      <c r="G821" s="2"/>
      <c r="H821" s="2"/>
      <c r="I821" s="74"/>
      <c r="J821" s="74"/>
      <c r="K821" s="74"/>
      <c r="L821" s="74"/>
      <c r="M821" s="2"/>
      <c r="N821" s="2"/>
      <c r="O821" s="2"/>
      <c r="P821" s="74"/>
      <c r="Q821" s="2"/>
      <c r="R821" s="2"/>
      <c r="S821" s="76"/>
      <c r="T821" s="88"/>
    </row>
    <row r="822" ht="15.75" customHeight="1">
      <c r="A822" s="2"/>
      <c r="B822" s="2"/>
      <c r="C822" s="2"/>
      <c r="D822" s="2"/>
      <c r="E822" s="2"/>
      <c r="F822" s="2"/>
      <c r="G822" s="2"/>
      <c r="H822" s="2"/>
      <c r="I822" s="74"/>
      <c r="J822" s="74"/>
      <c r="K822" s="74"/>
      <c r="L822" s="74"/>
      <c r="M822" s="2"/>
      <c r="N822" s="2"/>
      <c r="O822" s="2"/>
      <c r="P822" s="74"/>
      <c r="Q822" s="2"/>
      <c r="R822" s="2"/>
      <c r="S822" s="76"/>
      <c r="T822" s="88"/>
    </row>
    <row r="823" ht="15.75" customHeight="1">
      <c r="A823" s="2"/>
      <c r="B823" s="2"/>
      <c r="C823" s="2"/>
      <c r="D823" s="2"/>
      <c r="E823" s="2"/>
      <c r="F823" s="2"/>
      <c r="G823" s="2"/>
      <c r="H823" s="2"/>
      <c r="I823" s="74"/>
      <c r="J823" s="74"/>
      <c r="K823" s="74"/>
      <c r="L823" s="74"/>
      <c r="M823" s="2"/>
      <c r="N823" s="2"/>
      <c r="O823" s="2"/>
      <c r="P823" s="74"/>
      <c r="Q823" s="2"/>
      <c r="R823" s="2"/>
      <c r="S823" s="76"/>
      <c r="T823" s="88"/>
    </row>
    <row r="824" ht="15.75" customHeight="1">
      <c r="A824" s="2"/>
      <c r="B824" s="2"/>
      <c r="C824" s="2"/>
      <c r="D824" s="2"/>
      <c r="E824" s="2"/>
      <c r="F824" s="2"/>
      <c r="G824" s="2"/>
      <c r="H824" s="2"/>
      <c r="I824" s="74"/>
      <c r="J824" s="74"/>
      <c r="K824" s="74"/>
      <c r="L824" s="74"/>
      <c r="M824" s="2"/>
      <c r="N824" s="2"/>
      <c r="O824" s="2"/>
      <c r="P824" s="74"/>
      <c r="Q824" s="2"/>
      <c r="R824" s="2"/>
      <c r="S824" s="76"/>
      <c r="T824" s="88"/>
    </row>
    <row r="825" ht="15.75" customHeight="1">
      <c r="A825" s="2"/>
      <c r="B825" s="2"/>
      <c r="C825" s="2"/>
      <c r="D825" s="2"/>
      <c r="E825" s="2"/>
      <c r="F825" s="2"/>
      <c r="G825" s="2"/>
      <c r="H825" s="2"/>
      <c r="I825" s="74"/>
      <c r="J825" s="74"/>
      <c r="K825" s="74"/>
      <c r="L825" s="74"/>
      <c r="M825" s="2"/>
      <c r="N825" s="2"/>
      <c r="O825" s="2"/>
      <c r="P825" s="74"/>
      <c r="Q825" s="2"/>
      <c r="R825" s="2"/>
      <c r="S825" s="76"/>
      <c r="T825" s="88"/>
    </row>
    <row r="826" ht="15.75" customHeight="1">
      <c r="A826" s="2"/>
      <c r="B826" s="2"/>
      <c r="C826" s="2"/>
      <c r="D826" s="2"/>
      <c r="E826" s="2"/>
      <c r="F826" s="2"/>
      <c r="G826" s="2"/>
      <c r="H826" s="2"/>
      <c r="I826" s="74"/>
      <c r="J826" s="74"/>
      <c r="K826" s="74"/>
      <c r="L826" s="74"/>
      <c r="M826" s="2"/>
      <c r="N826" s="2"/>
      <c r="O826" s="2"/>
      <c r="P826" s="74"/>
      <c r="Q826" s="2"/>
      <c r="R826" s="2"/>
      <c r="S826" s="76"/>
      <c r="T826" s="88"/>
    </row>
    <row r="827" ht="15.75" customHeight="1">
      <c r="A827" s="2"/>
      <c r="B827" s="2"/>
      <c r="C827" s="2"/>
      <c r="D827" s="2"/>
      <c r="E827" s="2"/>
      <c r="F827" s="2"/>
      <c r="G827" s="2"/>
      <c r="H827" s="2"/>
      <c r="I827" s="74"/>
      <c r="J827" s="74"/>
      <c r="K827" s="74"/>
      <c r="L827" s="74"/>
      <c r="M827" s="2"/>
      <c r="N827" s="2"/>
      <c r="O827" s="2"/>
      <c r="P827" s="74"/>
      <c r="Q827" s="2"/>
      <c r="R827" s="2"/>
      <c r="S827" s="76"/>
      <c r="T827" s="88"/>
    </row>
    <row r="828" ht="15.75" customHeight="1">
      <c r="A828" s="2"/>
      <c r="B828" s="2"/>
      <c r="C828" s="2"/>
      <c r="D828" s="2"/>
      <c r="E828" s="2"/>
      <c r="F828" s="2"/>
      <c r="G828" s="2"/>
      <c r="H828" s="2"/>
      <c r="I828" s="74"/>
      <c r="J828" s="74"/>
      <c r="K828" s="74"/>
      <c r="L828" s="74"/>
      <c r="M828" s="2"/>
      <c r="N828" s="2"/>
      <c r="O828" s="2"/>
      <c r="P828" s="74"/>
      <c r="Q828" s="2"/>
      <c r="R828" s="2"/>
      <c r="S828" s="76"/>
      <c r="T828" s="88"/>
    </row>
    <row r="829" ht="15.75" customHeight="1">
      <c r="A829" s="2"/>
      <c r="B829" s="2"/>
      <c r="C829" s="2"/>
      <c r="D829" s="2"/>
      <c r="E829" s="2"/>
      <c r="F829" s="2"/>
      <c r="G829" s="2"/>
      <c r="H829" s="2"/>
      <c r="I829" s="74"/>
      <c r="J829" s="74"/>
      <c r="K829" s="74"/>
      <c r="L829" s="74"/>
      <c r="M829" s="2"/>
      <c r="N829" s="2"/>
      <c r="O829" s="2"/>
      <c r="P829" s="74"/>
      <c r="Q829" s="2"/>
      <c r="R829" s="2"/>
      <c r="S829" s="76"/>
      <c r="T829" s="88"/>
    </row>
    <row r="830" ht="15.75" customHeight="1">
      <c r="A830" s="2"/>
      <c r="B830" s="2"/>
      <c r="C830" s="2"/>
      <c r="D830" s="2"/>
      <c r="E830" s="2"/>
      <c r="F830" s="2"/>
      <c r="G830" s="2"/>
      <c r="H830" s="2"/>
      <c r="I830" s="74"/>
      <c r="J830" s="74"/>
      <c r="K830" s="74"/>
      <c r="L830" s="74"/>
      <c r="M830" s="2"/>
      <c r="N830" s="2"/>
      <c r="O830" s="2"/>
      <c r="P830" s="74"/>
      <c r="Q830" s="2"/>
      <c r="R830" s="2"/>
      <c r="S830" s="76"/>
      <c r="T830" s="88"/>
    </row>
    <row r="831" ht="15.75" customHeight="1">
      <c r="A831" s="2"/>
      <c r="B831" s="2"/>
      <c r="C831" s="2"/>
      <c r="D831" s="2"/>
      <c r="E831" s="2"/>
      <c r="F831" s="2"/>
      <c r="G831" s="2"/>
      <c r="H831" s="2"/>
      <c r="I831" s="74"/>
      <c r="J831" s="74"/>
      <c r="K831" s="74"/>
      <c r="L831" s="74"/>
      <c r="M831" s="2"/>
      <c r="N831" s="2"/>
      <c r="O831" s="2"/>
      <c r="P831" s="74"/>
      <c r="Q831" s="2"/>
      <c r="R831" s="2"/>
      <c r="S831" s="76"/>
      <c r="T831" s="88"/>
    </row>
    <row r="832" ht="15.75" customHeight="1">
      <c r="A832" s="2"/>
      <c r="B832" s="2"/>
      <c r="C832" s="2"/>
      <c r="D832" s="2"/>
      <c r="E832" s="2"/>
      <c r="F832" s="2"/>
      <c r="G832" s="2"/>
      <c r="H832" s="2"/>
      <c r="I832" s="74"/>
      <c r="J832" s="74"/>
      <c r="K832" s="74"/>
      <c r="L832" s="74"/>
      <c r="M832" s="2"/>
      <c r="N832" s="2"/>
      <c r="O832" s="2"/>
      <c r="P832" s="74"/>
      <c r="Q832" s="2"/>
      <c r="R832" s="2"/>
      <c r="S832" s="76"/>
      <c r="T832" s="88"/>
    </row>
    <row r="833" ht="15.75" customHeight="1">
      <c r="A833" s="2"/>
      <c r="B833" s="2"/>
      <c r="C833" s="2"/>
      <c r="D833" s="2"/>
      <c r="E833" s="2"/>
      <c r="F833" s="2"/>
      <c r="G833" s="2"/>
      <c r="H833" s="2"/>
      <c r="I833" s="74"/>
      <c r="J833" s="74"/>
      <c r="K833" s="74"/>
      <c r="L833" s="74"/>
      <c r="M833" s="2"/>
      <c r="N833" s="2"/>
      <c r="O833" s="2"/>
      <c r="P833" s="74"/>
      <c r="Q833" s="2"/>
      <c r="R833" s="2"/>
      <c r="S833" s="76"/>
      <c r="T833" s="88"/>
    </row>
    <row r="834" ht="15.75" customHeight="1">
      <c r="A834" s="2"/>
      <c r="B834" s="2"/>
      <c r="C834" s="2"/>
      <c r="D834" s="2"/>
      <c r="E834" s="2"/>
      <c r="F834" s="2"/>
      <c r="G834" s="2"/>
      <c r="H834" s="2"/>
      <c r="I834" s="74"/>
      <c r="J834" s="74"/>
      <c r="K834" s="74"/>
      <c r="L834" s="74"/>
      <c r="M834" s="2"/>
      <c r="N834" s="2"/>
      <c r="O834" s="2"/>
      <c r="P834" s="74"/>
      <c r="Q834" s="2"/>
      <c r="R834" s="2"/>
      <c r="S834" s="76"/>
      <c r="T834" s="88"/>
    </row>
    <row r="835" ht="15.75" customHeight="1">
      <c r="A835" s="2"/>
      <c r="B835" s="2"/>
      <c r="C835" s="2"/>
      <c r="D835" s="2"/>
      <c r="E835" s="2"/>
      <c r="F835" s="2"/>
      <c r="G835" s="2"/>
      <c r="H835" s="2"/>
      <c r="I835" s="74"/>
      <c r="J835" s="74"/>
      <c r="K835" s="74"/>
      <c r="L835" s="74"/>
      <c r="M835" s="2"/>
      <c r="N835" s="2"/>
      <c r="O835" s="2"/>
      <c r="P835" s="74"/>
      <c r="Q835" s="2"/>
      <c r="R835" s="2"/>
      <c r="S835" s="76"/>
      <c r="T835" s="88"/>
    </row>
    <row r="836" ht="15.75" customHeight="1">
      <c r="A836" s="2"/>
      <c r="B836" s="2"/>
      <c r="C836" s="2"/>
      <c r="D836" s="2"/>
      <c r="E836" s="2"/>
      <c r="F836" s="2"/>
      <c r="G836" s="2"/>
      <c r="H836" s="2"/>
      <c r="I836" s="74"/>
      <c r="J836" s="74"/>
      <c r="K836" s="74"/>
      <c r="L836" s="74"/>
      <c r="M836" s="2"/>
      <c r="N836" s="2"/>
      <c r="O836" s="2"/>
      <c r="P836" s="74"/>
      <c r="Q836" s="2"/>
      <c r="R836" s="2"/>
      <c r="S836" s="76"/>
      <c r="T836" s="88"/>
    </row>
    <row r="837" ht="15.75" customHeight="1">
      <c r="A837" s="2"/>
      <c r="B837" s="2"/>
      <c r="C837" s="2"/>
      <c r="D837" s="2"/>
      <c r="E837" s="2"/>
      <c r="F837" s="2"/>
      <c r="G837" s="2"/>
      <c r="H837" s="2"/>
      <c r="I837" s="74"/>
      <c r="J837" s="74"/>
      <c r="K837" s="74"/>
      <c r="L837" s="74"/>
      <c r="M837" s="2"/>
      <c r="N837" s="2"/>
      <c r="O837" s="2"/>
      <c r="P837" s="74"/>
      <c r="Q837" s="2"/>
      <c r="R837" s="2"/>
      <c r="S837" s="76"/>
      <c r="T837" s="88"/>
    </row>
    <row r="838" ht="15.75" customHeight="1">
      <c r="A838" s="2"/>
      <c r="B838" s="2"/>
      <c r="C838" s="2"/>
      <c r="D838" s="2"/>
      <c r="E838" s="2"/>
      <c r="F838" s="2"/>
      <c r="G838" s="2"/>
      <c r="H838" s="2"/>
      <c r="I838" s="74"/>
      <c r="J838" s="74"/>
      <c r="K838" s="74"/>
      <c r="L838" s="74"/>
      <c r="M838" s="2"/>
      <c r="N838" s="2"/>
      <c r="O838" s="2"/>
      <c r="P838" s="74"/>
      <c r="Q838" s="2"/>
      <c r="R838" s="2"/>
      <c r="S838" s="76"/>
      <c r="T838" s="88"/>
    </row>
    <row r="839" ht="15.75" customHeight="1">
      <c r="A839" s="2"/>
      <c r="B839" s="2"/>
      <c r="C839" s="2"/>
      <c r="D839" s="2"/>
      <c r="E839" s="2"/>
      <c r="F839" s="2"/>
      <c r="G839" s="2"/>
      <c r="H839" s="2"/>
      <c r="I839" s="74"/>
      <c r="J839" s="74"/>
      <c r="K839" s="74"/>
      <c r="L839" s="74"/>
      <c r="M839" s="2"/>
      <c r="N839" s="2"/>
      <c r="O839" s="2"/>
      <c r="P839" s="74"/>
      <c r="Q839" s="2"/>
      <c r="R839" s="2"/>
      <c r="S839" s="76"/>
      <c r="T839" s="88"/>
    </row>
    <row r="840" ht="15.75" customHeight="1">
      <c r="A840" s="2"/>
      <c r="B840" s="2"/>
      <c r="C840" s="2"/>
      <c r="D840" s="2"/>
      <c r="E840" s="2"/>
      <c r="F840" s="2"/>
      <c r="G840" s="2"/>
      <c r="H840" s="2"/>
      <c r="I840" s="74"/>
      <c r="J840" s="74"/>
      <c r="K840" s="74"/>
      <c r="L840" s="74"/>
      <c r="M840" s="2"/>
      <c r="N840" s="2"/>
      <c r="O840" s="2"/>
      <c r="P840" s="74"/>
      <c r="Q840" s="2"/>
      <c r="R840" s="2"/>
      <c r="S840" s="76"/>
      <c r="T840" s="88"/>
    </row>
    <row r="841" ht="15.75" customHeight="1">
      <c r="A841" s="2"/>
      <c r="B841" s="2"/>
      <c r="C841" s="2"/>
      <c r="D841" s="2"/>
      <c r="E841" s="2"/>
      <c r="F841" s="2"/>
      <c r="G841" s="2"/>
      <c r="H841" s="2"/>
      <c r="I841" s="74"/>
      <c r="J841" s="74"/>
      <c r="K841" s="74"/>
      <c r="L841" s="74"/>
      <c r="M841" s="2"/>
      <c r="N841" s="2"/>
      <c r="O841" s="2"/>
      <c r="P841" s="74"/>
      <c r="Q841" s="2"/>
      <c r="R841" s="2"/>
      <c r="S841" s="76"/>
      <c r="T841" s="88"/>
    </row>
    <row r="842" ht="15.75" customHeight="1">
      <c r="A842" s="2"/>
      <c r="B842" s="2"/>
      <c r="C842" s="2"/>
      <c r="D842" s="2"/>
      <c r="E842" s="2"/>
      <c r="F842" s="2"/>
      <c r="G842" s="2"/>
      <c r="H842" s="2"/>
      <c r="I842" s="74"/>
      <c r="J842" s="74"/>
      <c r="K842" s="74"/>
      <c r="L842" s="74"/>
      <c r="M842" s="2"/>
      <c r="N842" s="2"/>
      <c r="O842" s="2"/>
      <c r="P842" s="74"/>
      <c r="Q842" s="2"/>
      <c r="R842" s="2"/>
      <c r="S842" s="76"/>
      <c r="T842" s="88"/>
    </row>
    <row r="843" ht="15.75" customHeight="1">
      <c r="A843" s="2"/>
      <c r="B843" s="2"/>
      <c r="C843" s="2"/>
      <c r="D843" s="2"/>
      <c r="E843" s="2"/>
      <c r="F843" s="2"/>
      <c r="G843" s="2"/>
      <c r="H843" s="2"/>
      <c r="I843" s="74"/>
      <c r="J843" s="74"/>
      <c r="K843" s="74"/>
      <c r="L843" s="74"/>
      <c r="M843" s="2"/>
      <c r="N843" s="2"/>
      <c r="O843" s="2"/>
      <c r="P843" s="74"/>
      <c r="Q843" s="2"/>
      <c r="R843" s="2"/>
      <c r="S843" s="76"/>
      <c r="T843" s="88"/>
    </row>
    <row r="844" ht="15.75" customHeight="1">
      <c r="A844" s="2"/>
      <c r="B844" s="2"/>
      <c r="C844" s="2"/>
      <c r="D844" s="2"/>
      <c r="E844" s="2"/>
      <c r="F844" s="2"/>
      <c r="G844" s="2"/>
      <c r="H844" s="2"/>
      <c r="I844" s="74"/>
      <c r="J844" s="74"/>
      <c r="K844" s="74"/>
      <c r="L844" s="74"/>
      <c r="M844" s="2"/>
      <c r="N844" s="2"/>
      <c r="O844" s="2"/>
      <c r="P844" s="74"/>
      <c r="Q844" s="2"/>
      <c r="R844" s="2"/>
      <c r="S844" s="76"/>
      <c r="T844" s="88"/>
    </row>
    <row r="845" ht="15.75" customHeight="1">
      <c r="A845" s="2"/>
      <c r="B845" s="2"/>
      <c r="C845" s="2"/>
      <c r="D845" s="2"/>
      <c r="E845" s="2"/>
      <c r="F845" s="2"/>
      <c r="G845" s="2"/>
      <c r="H845" s="2"/>
      <c r="I845" s="74"/>
      <c r="J845" s="74"/>
      <c r="K845" s="74"/>
      <c r="L845" s="74"/>
      <c r="M845" s="2"/>
      <c r="N845" s="2"/>
      <c r="O845" s="2"/>
      <c r="P845" s="74"/>
      <c r="Q845" s="2"/>
      <c r="R845" s="2"/>
      <c r="S845" s="76"/>
      <c r="T845" s="88"/>
    </row>
    <row r="846" ht="15.75" customHeight="1">
      <c r="A846" s="2"/>
      <c r="B846" s="2"/>
      <c r="C846" s="2"/>
      <c r="D846" s="2"/>
      <c r="E846" s="2"/>
      <c r="F846" s="2"/>
      <c r="G846" s="2"/>
      <c r="H846" s="2"/>
      <c r="I846" s="74"/>
      <c r="J846" s="74"/>
      <c r="K846" s="74"/>
      <c r="L846" s="74"/>
      <c r="M846" s="2"/>
      <c r="N846" s="2"/>
      <c r="O846" s="2"/>
      <c r="P846" s="74"/>
      <c r="Q846" s="2"/>
      <c r="R846" s="2"/>
      <c r="S846" s="76"/>
      <c r="T846" s="88"/>
    </row>
    <row r="847" ht="15.75" customHeight="1">
      <c r="A847" s="2"/>
      <c r="B847" s="2"/>
      <c r="C847" s="2"/>
      <c r="D847" s="2"/>
      <c r="E847" s="2"/>
      <c r="F847" s="2"/>
      <c r="G847" s="2"/>
      <c r="H847" s="2"/>
      <c r="I847" s="74"/>
      <c r="J847" s="74"/>
      <c r="K847" s="74"/>
      <c r="L847" s="74"/>
      <c r="M847" s="2"/>
      <c r="N847" s="2"/>
      <c r="O847" s="2"/>
      <c r="P847" s="74"/>
      <c r="Q847" s="2"/>
      <c r="R847" s="2"/>
      <c r="S847" s="76"/>
      <c r="T847" s="88"/>
    </row>
    <row r="848" ht="15.75" customHeight="1">
      <c r="A848" s="2"/>
      <c r="B848" s="2"/>
      <c r="C848" s="2"/>
      <c r="D848" s="2"/>
      <c r="E848" s="2"/>
      <c r="F848" s="2"/>
      <c r="G848" s="2"/>
      <c r="H848" s="2"/>
      <c r="I848" s="74"/>
      <c r="J848" s="74"/>
      <c r="K848" s="74"/>
      <c r="L848" s="74"/>
      <c r="M848" s="2"/>
      <c r="N848" s="2"/>
      <c r="O848" s="2"/>
      <c r="P848" s="74"/>
      <c r="Q848" s="2"/>
      <c r="R848" s="2"/>
      <c r="S848" s="76"/>
      <c r="T848" s="88"/>
    </row>
    <row r="849" ht="15.75" customHeight="1">
      <c r="A849" s="2"/>
      <c r="B849" s="2"/>
      <c r="C849" s="2"/>
      <c r="D849" s="2"/>
      <c r="E849" s="2"/>
      <c r="F849" s="2"/>
      <c r="G849" s="2"/>
      <c r="H849" s="2"/>
      <c r="I849" s="74"/>
      <c r="J849" s="74"/>
      <c r="K849" s="74"/>
      <c r="L849" s="74"/>
      <c r="M849" s="2"/>
      <c r="N849" s="2"/>
      <c r="O849" s="2"/>
      <c r="P849" s="74"/>
      <c r="Q849" s="2"/>
      <c r="R849" s="2"/>
      <c r="S849" s="76"/>
      <c r="T849" s="88"/>
    </row>
    <row r="850" ht="15.75" customHeight="1">
      <c r="A850" s="2"/>
      <c r="B850" s="2"/>
      <c r="C850" s="2"/>
      <c r="D850" s="2"/>
      <c r="E850" s="2"/>
      <c r="F850" s="2"/>
      <c r="G850" s="2"/>
      <c r="H850" s="2"/>
      <c r="I850" s="74"/>
      <c r="J850" s="74"/>
      <c r="K850" s="74"/>
      <c r="L850" s="74"/>
      <c r="M850" s="2"/>
      <c r="N850" s="2"/>
      <c r="O850" s="2"/>
      <c r="P850" s="74"/>
      <c r="Q850" s="2"/>
      <c r="R850" s="2"/>
      <c r="S850" s="76"/>
      <c r="T850" s="88"/>
    </row>
    <row r="851" ht="15.75" customHeight="1">
      <c r="A851" s="2"/>
      <c r="B851" s="2"/>
      <c r="C851" s="2"/>
      <c r="D851" s="2"/>
      <c r="E851" s="2"/>
      <c r="F851" s="2"/>
      <c r="G851" s="2"/>
      <c r="H851" s="2"/>
      <c r="I851" s="74"/>
      <c r="J851" s="74"/>
      <c r="K851" s="74"/>
      <c r="L851" s="74"/>
      <c r="M851" s="2"/>
      <c r="N851" s="2"/>
      <c r="O851" s="2"/>
      <c r="P851" s="74"/>
      <c r="Q851" s="2"/>
      <c r="R851" s="2"/>
      <c r="S851" s="76"/>
      <c r="T851" s="88"/>
    </row>
    <row r="852" ht="15.75" customHeight="1">
      <c r="A852" s="2"/>
      <c r="B852" s="2"/>
      <c r="C852" s="2"/>
      <c r="D852" s="2"/>
      <c r="E852" s="2"/>
      <c r="F852" s="2"/>
      <c r="G852" s="2"/>
      <c r="H852" s="2"/>
      <c r="I852" s="74"/>
      <c r="J852" s="74"/>
      <c r="K852" s="74"/>
      <c r="L852" s="74"/>
      <c r="M852" s="2"/>
      <c r="N852" s="2"/>
      <c r="O852" s="2"/>
      <c r="P852" s="74"/>
      <c r="Q852" s="2"/>
      <c r="R852" s="2"/>
      <c r="S852" s="76"/>
      <c r="T852" s="88"/>
    </row>
    <row r="853" ht="15.75" customHeight="1">
      <c r="A853" s="2"/>
      <c r="B853" s="2"/>
      <c r="C853" s="2"/>
      <c r="D853" s="2"/>
      <c r="E853" s="2"/>
      <c r="F853" s="2"/>
      <c r="G853" s="2"/>
      <c r="H853" s="2"/>
      <c r="I853" s="74"/>
      <c r="J853" s="74"/>
      <c r="K853" s="74"/>
      <c r="L853" s="74"/>
      <c r="M853" s="2"/>
      <c r="N853" s="2"/>
      <c r="O853" s="2"/>
      <c r="P853" s="74"/>
      <c r="Q853" s="2"/>
      <c r="R853" s="2"/>
      <c r="S853" s="76"/>
      <c r="T853" s="88"/>
    </row>
    <row r="854" ht="15.75" customHeight="1">
      <c r="A854" s="2"/>
      <c r="B854" s="2"/>
      <c r="C854" s="2"/>
      <c r="D854" s="2"/>
      <c r="E854" s="2"/>
      <c r="F854" s="2"/>
      <c r="G854" s="2"/>
      <c r="H854" s="2"/>
      <c r="I854" s="74"/>
      <c r="J854" s="74"/>
      <c r="K854" s="74"/>
      <c r="L854" s="74"/>
      <c r="M854" s="2"/>
      <c r="N854" s="2"/>
      <c r="O854" s="2"/>
      <c r="P854" s="74"/>
      <c r="Q854" s="2"/>
      <c r="R854" s="2"/>
      <c r="S854" s="76"/>
      <c r="T854" s="88"/>
    </row>
    <row r="855" ht="15.75" customHeight="1">
      <c r="A855" s="2"/>
      <c r="B855" s="2"/>
      <c r="C855" s="2"/>
      <c r="D855" s="2"/>
      <c r="E855" s="2"/>
      <c r="F855" s="2"/>
      <c r="G855" s="2"/>
      <c r="H855" s="2"/>
      <c r="I855" s="74"/>
      <c r="J855" s="74"/>
      <c r="K855" s="74"/>
      <c r="L855" s="74"/>
      <c r="M855" s="2"/>
      <c r="N855" s="2"/>
      <c r="O855" s="2"/>
      <c r="P855" s="74"/>
      <c r="Q855" s="2"/>
      <c r="R855" s="2"/>
      <c r="S855" s="76"/>
      <c r="T855" s="88"/>
    </row>
    <row r="856" ht="15.75" customHeight="1">
      <c r="A856" s="2"/>
      <c r="B856" s="2"/>
      <c r="C856" s="2"/>
      <c r="D856" s="2"/>
      <c r="E856" s="2"/>
      <c r="F856" s="2"/>
      <c r="G856" s="2"/>
      <c r="H856" s="2"/>
      <c r="I856" s="74"/>
      <c r="J856" s="74"/>
      <c r="K856" s="74"/>
      <c r="L856" s="74"/>
      <c r="M856" s="2"/>
      <c r="N856" s="2"/>
      <c r="O856" s="2"/>
      <c r="P856" s="74"/>
      <c r="Q856" s="2"/>
      <c r="R856" s="2"/>
      <c r="S856" s="76"/>
      <c r="T856" s="88"/>
    </row>
    <row r="857" ht="15.75" customHeight="1">
      <c r="A857" s="2"/>
      <c r="B857" s="2"/>
      <c r="C857" s="2"/>
      <c r="D857" s="2"/>
      <c r="E857" s="2"/>
      <c r="F857" s="2"/>
      <c r="G857" s="2"/>
      <c r="H857" s="2"/>
      <c r="I857" s="74"/>
      <c r="J857" s="74"/>
      <c r="K857" s="74"/>
      <c r="L857" s="74"/>
      <c r="M857" s="2"/>
      <c r="N857" s="2"/>
      <c r="O857" s="2"/>
      <c r="P857" s="74"/>
      <c r="Q857" s="2"/>
      <c r="R857" s="2"/>
      <c r="S857" s="76"/>
      <c r="T857" s="88"/>
    </row>
    <row r="858" ht="15.75" customHeight="1">
      <c r="A858" s="2"/>
      <c r="B858" s="2"/>
      <c r="C858" s="2"/>
      <c r="D858" s="2"/>
      <c r="E858" s="2"/>
      <c r="F858" s="2"/>
      <c r="G858" s="2"/>
      <c r="H858" s="2"/>
      <c r="I858" s="74"/>
      <c r="J858" s="74"/>
      <c r="K858" s="74"/>
      <c r="L858" s="74"/>
      <c r="M858" s="2"/>
      <c r="N858" s="2"/>
      <c r="O858" s="2"/>
      <c r="P858" s="74"/>
      <c r="Q858" s="2"/>
      <c r="R858" s="2"/>
      <c r="S858" s="76"/>
      <c r="T858" s="88"/>
    </row>
    <row r="859" ht="15.75" customHeight="1">
      <c r="A859" s="2"/>
      <c r="B859" s="2"/>
      <c r="C859" s="2"/>
      <c r="D859" s="2"/>
      <c r="E859" s="2"/>
      <c r="F859" s="2"/>
      <c r="G859" s="2"/>
      <c r="H859" s="2"/>
      <c r="I859" s="74"/>
      <c r="J859" s="74"/>
      <c r="K859" s="74"/>
      <c r="L859" s="74"/>
      <c r="M859" s="2"/>
      <c r="N859" s="2"/>
      <c r="O859" s="2"/>
      <c r="P859" s="74"/>
      <c r="Q859" s="2"/>
      <c r="R859" s="2"/>
      <c r="S859" s="76"/>
      <c r="T859" s="88"/>
    </row>
    <row r="860" ht="15.75" customHeight="1">
      <c r="A860" s="2"/>
      <c r="B860" s="2"/>
      <c r="C860" s="2"/>
      <c r="D860" s="2"/>
      <c r="E860" s="2"/>
      <c r="F860" s="2"/>
      <c r="G860" s="2"/>
      <c r="H860" s="2"/>
      <c r="I860" s="74"/>
      <c r="J860" s="74"/>
      <c r="K860" s="74"/>
      <c r="L860" s="74"/>
      <c r="M860" s="2"/>
      <c r="N860" s="2"/>
      <c r="O860" s="2"/>
      <c r="P860" s="74"/>
      <c r="Q860" s="2"/>
      <c r="R860" s="2"/>
      <c r="S860" s="76"/>
      <c r="T860" s="88"/>
    </row>
    <row r="861" ht="15.75" customHeight="1">
      <c r="A861" s="2"/>
      <c r="B861" s="2"/>
      <c r="C861" s="2"/>
      <c r="D861" s="2"/>
      <c r="E861" s="2"/>
      <c r="F861" s="2"/>
      <c r="G861" s="2"/>
      <c r="H861" s="2"/>
      <c r="I861" s="74"/>
      <c r="J861" s="74"/>
      <c r="K861" s="74"/>
      <c r="L861" s="74"/>
      <c r="M861" s="2"/>
      <c r="N861" s="2"/>
      <c r="O861" s="2"/>
      <c r="P861" s="74"/>
      <c r="Q861" s="2"/>
      <c r="R861" s="2"/>
      <c r="S861" s="76"/>
      <c r="T861" s="88"/>
    </row>
    <row r="862" ht="15.75" customHeight="1">
      <c r="A862" s="2"/>
      <c r="B862" s="2"/>
      <c r="C862" s="2"/>
      <c r="D862" s="2"/>
      <c r="E862" s="2"/>
      <c r="F862" s="2"/>
      <c r="G862" s="2"/>
      <c r="H862" s="2"/>
      <c r="I862" s="74"/>
      <c r="J862" s="74"/>
      <c r="K862" s="74"/>
      <c r="L862" s="74"/>
      <c r="M862" s="2"/>
      <c r="N862" s="2"/>
      <c r="O862" s="2"/>
      <c r="P862" s="74"/>
      <c r="Q862" s="2"/>
      <c r="R862" s="2"/>
      <c r="S862" s="76"/>
      <c r="T862" s="88"/>
    </row>
    <row r="863" ht="15.75" customHeight="1">
      <c r="A863" s="2"/>
      <c r="B863" s="2"/>
      <c r="C863" s="2"/>
      <c r="D863" s="2"/>
      <c r="E863" s="2"/>
      <c r="F863" s="2"/>
      <c r="G863" s="2"/>
      <c r="H863" s="2"/>
      <c r="I863" s="74"/>
      <c r="J863" s="74"/>
      <c r="K863" s="74"/>
      <c r="L863" s="74"/>
      <c r="M863" s="2"/>
      <c r="N863" s="2"/>
      <c r="O863" s="2"/>
      <c r="P863" s="74"/>
      <c r="Q863" s="2"/>
      <c r="R863" s="2"/>
      <c r="S863" s="76"/>
      <c r="T863" s="88"/>
    </row>
    <row r="864" ht="15.75" customHeight="1">
      <c r="A864" s="2"/>
      <c r="B864" s="2"/>
      <c r="C864" s="2"/>
      <c r="D864" s="2"/>
      <c r="E864" s="2"/>
      <c r="F864" s="2"/>
      <c r="G864" s="2"/>
      <c r="H864" s="2"/>
      <c r="I864" s="74"/>
      <c r="J864" s="74"/>
      <c r="K864" s="74"/>
      <c r="L864" s="74"/>
      <c r="M864" s="2"/>
      <c r="N864" s="2"/>
      <c r="O864" s="2"/>
      <c r="P864" s="74"/>
      <c r="Q864" s="2"/>
      <c r="R864" s="2"/>
      <c r="S864" s="76"/>
      <c r="T864" s="88"/>
    </row>
    <row r="865" ht="15.75" customHeight="1">
      <c r="A865" s="2"/>
      <c r="B865" s="2"/>
      <c r="C865" s="2"/>
      <c r="D865" s="2"/>
      <c r="E865" s="2"/>
      <c r="F865" s="2"/>
      <c r="G865" s="2"/>
      <c r="H865" s="2"/>
      <c r="I865" s="74"/>
      <c r="J865" s="74"/>
      <c r="K865" s="74"/>
      <c r="L865" s="74"/>
      <c r="M865" s="2"/>
      <c r="N865" s="2"/>
      <c r="O865" s="2"/>
      <c r="P865" s="74"/>
      <c r="Q865" s="2"/>
      <c r="R865" s="2"/>
      <c r="S865" s="76"/>
      <c r="T865" s="88"/>
    </row>
    <row r="866" ht="15.75" customHeight="1">
      <c r="A866" s="2"/>
      <c r="B866" s="2"/>
      <c r="C866" s="2"/>
      <c r="D866" s="2"/>
      <c r="E866" s="2"/>
      <c r="F866" s="2"/>
      <c r="G866" s="2"/>
      <c r="H866" s="2"/>
      <c r="I866" s="74"/>
      <c r="J866" s="74"/>
      <c r="K866" s="74"/>
      <c r="L866" s="74"/>
      <c r="M866" s="2"/>
      <c r="N866" s="2"/>
      <c r="O866" s="2"/>
      <c r="P866" s="74"/>
      <c r="Q866" s="2"/>
      <c r="R866" s="2"/>
      <c r="S866" s="76"/>
      <c r="T866" s="88"/>
    </row>
    <row r="867" ht="15.75" customHeight="1">
      <c r="A867" s="2"/>
      <c r="B867" s="2"/>
      <c r="C867" s="2"/>
      <c r="D867" s="2"/>
      <c r="E867" s="2"/>
      <c r="F867" s="2"/>
      <c r="G867" s="2"/>
      <c r="H867" s="2"/>
      <c r="I867" s="74"/>
      <c r="J867" s="74"/>
      <c r="K867" s="74"/>
      <c r="L867" s="74"/>
      <c r="M867" s="2"/>
      <c r="N867" s="2"/>
      <c r="O867" s="2"/>
      <c r="P867" s="74"/>
      <c r="Q867" s="2"/>
      <c r="R867" s="2"/>
      <c r="S867" s="76"/>
      <c r="T867" s="88"/>
    </row>
    <row r="868" ht="15.75" customHeight="1">
      <c r="A868" s="2"/>
      <c r="B868" s="2"/>
      <c r="C868" s="2"/>
      <c r="D868" s="2"/>
      <c r="E868" s="2"/>
      <c r="F868" s="2"/>
      <c r="G868" s="2"/>
      <c r="H868" s="2"/>
      <c r="I868" s="74"/>
      <c r="J868" s="74"/>
      <c r="K868" s="74"/>
      <c r="L868" s="74"/>
      <c r="M868" s="2"/>
      <c r="N868" s="2"/>
      <c r="O868" s="2"/>
      <c r="P868" s="74"/>
      <c r="Q868" s="2"/>
      <c r="R868" s="2"/>
      <c r="S868" s="76"/>
      <c r="T868" s="88"/>
    </row>
    <row r="869" ht="15.75" customHeight="1">
      <c r="A869" s="2"/>
      <c r="B869" s="2"/>
      <c r="C869" s="2"/>
      <c r="D869" s="2"/>
      <c r="E869" s="2"/>
      <c r="F869" s="2"/>
      <c r="G869" s="2"/>
      <c r="H869" s="2"/>
      <c r="I869" s="74"/>
      <c r="J869" s="74"/>
      <c r="K869" s="74"/>
      <c r="L869" s="74"/>
      <c r="M869" s="2"/>
      <c r="N869" s="2"/>
      <c r="O869" s="2"/>
      <c r="P869" s="74"/>
      <c r="Q869" s="2"/>
      <c r="R869" s="2"/>
      <c r="S869" s="76"/>
      <c r="T869" s="88"/>
    </row>
    <row r="870" ht="15.75" customHeight="1">
      <c r="A870" s="2"/>
      <c r="B870" s="2"/>
      <c r="C870" s="2"/>
      <c r="D870" s="2"/>
      <c r="E870" s="2"/>
      <c r="F870" s="2"/>
      <c r="G870" s="2"/>
      <c r="H870" s="2"/>
      <c r="I870" s="74"/>
      <c r="J870" s="74"/>
      <c r="K870" s="74"/>
      <c r="L870" s="74"/>
      <c r="M870" s="2"/>
      <c r="N870" s="2"/>
      <c r="O870" s="2"/>
      <c r="P870" s="74"/>
      <c r="Q870" s="2"/>
      <c r="R870" s="2"/>
      <c r="S870" s="76"/>
      <c r="T870" s="88"/>
    </row>
    <row r="871" ht="15.75" customHeight="1">
      <c r="A871" s="2"/>
      <c r="B871" s="2"/>
      <c r="C871" s="2"/>
      <c r="D871" s="2"/>
      <c r="E871" s="2"/>
      <c r="F871" s="2"/>
      <c r="G871" s="2"/>
      <c r="H871" s="2"/>
      <c r="I871" s="74"/>
      <c r="J871" s="74"/>
      <c r="K871" s="74"/>
      <c r="L871" s="74"/>
      <c r="M871" s="2"/>
      <c r="N871" s="2"/>
      <c r="O871" s="2"/>
      <c r="P871" s="74"/>
      <c r="Q871" s="2"/>
      <c r="R871" s="2"/>
      <c r="S871" s="76"/>
      <c r="T871" s="88"/>
    </row>
    <row r="872" ht="15.75" customHeight="1">
      <c r="A872" s="2"/>
      <c r="B872" s="2"/>
      <c r="C872" s="2"/>
      <c r="D872" s="2"/>
      <c r="E872" s="2"/>
      <c r="F872" s="2"/>
      <c r="G872" s="2"/>
      <c r="H872" s="2"/>
      <c r="I872" s="74"/>
      <c r="J872" s="74"/>
      <c r="K872" s="74"/>
      <c r="L872" s="74"/>
      <c r="M872" s="2"/>
      <c r="N872" s="2"/>
      <c r="O872" s="2"/>
      <c r="P872" s="74"/>
      <c r="Q872" s="2"/>
      <c r="R872" s="2"/>
      <c r="S872" s="76"/>
      <c r="T872" s="88"/>
    </row>
    <row r="873" ht="15.75" customHeight="1">
      <c r="A873" s="2"/>
      <c r="B873" s="2"/>
      <c r="C873" s="2"/>
      <c r="D873" s="2"/>
      <c r="E873" s="2"/>
      <c r="F873" s="2"/>
      <c r="G873" s="2"/>
      <c r="H873" s="2"/>
      <c r="I873" s="74"/>
      <c r="J873" s="74"/>
      <c r="K873" s="74"/>
      <c r="L873" s="74"/>
      <c r="M873" s="2"/>
      <c r="N873" s="2"/>
      <c r="O873" s="2"/>
      <c r="P873" s="74"/>
      <c r="Q873" s="2"/>
      <c r="R873" s="2"/>
      <c r="S873" s="76"/>
      <c r="T873" s="88"/>
    </row>
    <row r="874" ht="15.75" customHeight="1">
      <c r="A874" s="2"/>
      <c r="B874" s="2"/>
      <c r="C874" s="2"/>
      <c r="D874" s="2"/>
      <c r="E874" s="2"/>
      <c r="F874" s="2"/>
      <c r="G874" s="2"/>
      <c r="H874" s="2"/>
      <c r="I874" s="74"/>
      <c r="J874" s="74"/>
      <c r="K874" s="74"/>
      <c r="L874" s="74"/>
      <c r="M874" s="2"/>
      <c r="N874" s="2"/>
      <c r="O874" s="2"/>
      <c r="P874" s="74"/>
      <c r="Q874" s="2"/>
      <c r="R874" s="2"/>
      <c r="S874" s="76"/>
      <c r="T874" s="88"/>
    </row>
    <row r="875" ht="15.75" customHeight="1">
      <c r="A875" s="2"/>
      <c r="B875" s="2"/>
      <c r="C875" s="2"/>
      <c r="D875" s="2"/>
      <c r="E875" s="2"/>
      <c r="F875" s="2"/>
      <c r="G875" s="2"/>
      <c r="H875" s="2"/>
      <c r="I875" s="74"/>
      <c r="J875" s="74"/>
      <c r="K875" s="74"/>
      <c r="L875" s="74"/>
      <c r="M875" s="2"/>
      <c r="N875" s="2"/>
      <c r="O875" s="2"/>
      <c r="P875" s="74"/>
      <c r="Q875" s="2"/>
      <c r="R875" s="2"/>
      <c r="S875" s="76"/>
      <c r="T875" s="88"/>
    </row>
    <row r="876" ht="15.75" customHeight="1">
      <c r="A876" s="2"/>
      <c r="B876" s="2"/>
      <c r="C876" s="2"/>
      <c r="D876" s="2"/>
      <c r="E876" s="2"/>
      <c r="F876" s="2"/>
      <c r="G876" s="2"/>
      <c r="H876" s="2"/>
      <c r="I876" s="74"/>
      <c r="J876" s="74"/>
      <c r="K876" s="74"/>
      <c r="L876" s="74"/>
      <c r="M876" s="2"/>
      <c r="N876" s="2"/>
      <c r="O876" s="2"/>
      <c r="P876" s="74"/>
      <c r="Q876" s="2"/>
      <c r="R876" s="2"/>
      <c r="S876" s="76"/>
      <c r="T876" s="88"/>
    </row>
    <row r="877" ht="15.75" customHeight="1">
      <c r="A877" s="2"/>
      <c r="B877" s="2"/>
      <c r="C877" s="2"/>
      <c r="D877" s="2"/>
      <c r="E877" s="2"/>
      <c r="F877" s="2"/>
      <c r="G877" s="2"/>
      <c r="H877" s="2"/>
      <c r="I877" s="74"/>
      <c r="J877" s="74"/>
      <c r="K877" s="74"/>
      <c r="L877" s="74"/>
      <c r="M877" s="2"/>
      <c r="N877" s="2"/>
      <c r="O877" s="2"/>
      <c r="P877" s="74"/>
      <c r="Q877" s="2"/>
      <c r="R877" s="2"/>
      <c r="S877" s="76"/>
      <c r="T877" s="88"/>
    </row>
    <row r="878" ht="15.75" customHeight="1">
      <c r="A878" s="2"/>
      <c r="B878" s="2"/>
      <c r="C878" s="2"/>
      <c r="D878" s="2"/>
      <c r="E878" s="2"/>
      <c r="F878" s="2"/>
      <c r="G878" s="2"/>
      <c r="H878" s="2"/>
      <c r="I878" s="74"/>
      <c r="J878" s="74"/>
      <c r="K878" s="74"/>
      <c r="L878" s="74"/>
      <c r="M878" s="2"/>
      <c r="N878" s="2"/>
      <c r="O878" s="2"/>
      <c r="P878" s="74"/>
      <c r="Q878" s="2"/>
      <c r="R878" s="2"/>
      <c r="S878" s="76"/>
      <c r="T878" s="88"/>
    </row>
    <row r="879" ht="15.75" customHeight="1">
      <c r="A879" s="2"/>
      <c r="B879" s="2"/>
      <c r="C879" s="2"/>
      <c r="D879" s="2"/>
      <c r="E879" s="2"/>
      <c r="F879" s="2"/>
      <c r="G879" s="2"/>
      <c r="H879" s="2"/>
      <c r="I879" s="74"/>
      <c r="J879" s="74"/>
      <c r="K879" s="74"/>
      <c r="L879" s="74"/>
      <c r="M879" s="2"/>
      <c r="N879" s="2"/>
      <c r="O879" s="2"/>
      <c r="P879" s="74"/>
      <c r="Q879" s="2"/>
      <c r="R879" s="2"/>
      <c r="S879" s="76"/>
      <c r="T879" s="88"/>
    </row>
    <row r="880" ht="15.75" customHeight="1">
      <c r="A880" s="2"/>
      <c r="B880" s="2"/>
      <c r="C880" s="2"/>
      <c r="D880" s="2"/>
      <c r="E880" s="2"/>
      <c r="F880" s="2"/>
      <c r="G880" s="2"/>
      <c r="H880" s="2"/>
      <c r="I880" s="74"/>
      <c r="J880" s="74"/>
      <c r="K880" s="74"/>
      <c r="L880" s="74"/>
      <c r="M880" s="2"/>
      <c r="N880" s="2"/>
      <c r="O880" s="2"/>
      <c r="P880" s="74"/>
      <c r="Q880" s="2"/>
      <c r="R880" s="2"/>
      <c r="S880" s="76"/>
      <c r="T880" s="88"/>
    </row>
    <row r="881" ht="15.75" customHeight="1">
      <c r="A881" s="2"/>
      <c r="B881" s="2"/>
      <c r="C881" s="2"/>
      <c r="D881" s="2"/>
      <c r="E881" s="2"/>
      <c r="F881" s="2"/>
      <c r="G881" s="2"/>
      <c r="H881" s="2"/>
      <c r="I881" s="74"/>
      <c r="J881" s="74"/>
      <c r="K881" s="74"/>
      <c r="L881" s="74"/>
      <c r="M881" s="2"/>
      <c r="N881" s="2"/>
      <c r="O881" s="2"/>
      <c r="P881" s="74"/>
      <c r="Q881" s="2"/>
      <c r="R881" s="2"/>
      <c r="S881" s="76"/>
      <c r="T881" s="88"/>
    </row>
    <row r="882" ht="15.75" customHeight="1">
      <c r="A882" s="2"/>
      <c r="B882" s="2"/>
      <c r="C882" s="2"/>
      <c r="D882" s="2"/>
      <c r="E882" s="2"/>
      <c r="F882" s="2"/>
      <c r="G882" s="2"/>
      <c r="H882" s="2"/>
      <c r="I882" s="74"/>
      <c r="J882" s="74"/>
      <c r="K882" s="74"/>
      <c r="L882" s="74"/>
      <c r="M882" s="2"/>
      <c r="N882" s="2"/>
      <c r="O882" s="2"/>
      <c r="P882" s="74"/>
      <c r="Q882" s="2"/>
      <c r="R882" s="2"/>
      <c r="S882" s="76"/>
      <c r="T882" s="88"/>
    </row>
    <row r="883" ht="15.75" customHeight="1">
      <c r="A883" s="2"/>
      <c r="B883" s="2"/>
      <c r="C883" s="2"/>
      <c r="D883" s="2"/>
      <c r="E883" s="2"/>
      <c r="F883" s="2"/>
      <c r="G883" s="2"/>
      <c r="H883" s="2"/>
      <c r="I883" s="74"/>
      <c r="J883" s="74"/>
      <c r="K883" s="74"/>
      <c r="L883" s="74"/>
      <c r="M883" s="2"/>
      <c r="N883" s="2"/>
      <c r="O883" s="2"/>
      <c r="P883" s="74"/>
      <c r="Q883" s="2"/>
      <c r="R883" s="2"/>
      <c r="S883" s="76"/>
      <c r="T883" s="88"/>
    </row>
    <row r="884" ht="15.75" customHeight="1">
      <c r="A884" s="2"/>
      <c r="B884" s="2"/>
      <c r="C884" s="2"/>
      <c r="D884" s="2"/>
      <c r="E884" s="2"/>
      <c r="F884" s="2"/>
      <c r="G884" s="2"/>
      <c r="H884" s="2"/>
      <c r="I884" s="74"/>
      <c r="J884" s="74"/>
      <c r="K884" s="74"/>
      <c r="L884" s="74"/>
      <c r="M884" s="2"/>
      <c r="N884" s="2"/>
      <c r="O884" s="2"/>
      <c r="P884" s="74"/>
      <c r="Q884" s="2"/>
      <c r="R884" s="2"/>
      <c r="S884" s="76"/>
      <c r="T884" s="88"/>
    </row>
    <row r="885" ht="15.75" customHeight="1">
      <c r="A885" s="2"/>
      <c r="B885" s="2"/>
      <c r="C885" s="2"/>
      <c r="D885" s="2"/>
      <c r="E885" s="2"/>
      <c r="F885" s="2"/>
      <c r="G885" s="2"/>
      <c r="H885" s="2"/>
      <c r="I885" s="74"/>
      <c r="J885" s="74"/>
      <c r="K885" s="74"/>
      <c r="L885" s="74"/>
      <c r="M885" s="2"/>
      <c r="N885" s="2"/>
      <c r="O885" s="2"/>
      <c r="P885" s="74"/>
      <c r="Q885" s="2"/>
      <c r="R885" s="2"/>
      <c r="S885" s="76"/>
      <c r="T885" s="88"/>
    </row>
    <row r="886" ht="15.75" customHeight="1">
      <c r="A886" s="2"/>
      <c r="B886" s="2"/>
      <c r="C886" s="2"/>
      <c r="D886" s="2"/>
      <c r="E886" s="2"/>
      <c r="F886" s="2"/>
      <c r="G886" s="2"/>
      <c r="H886" s="2"/>
      <c r="I886" s="74"/>
      <c r="J886" s="74"/>
      <c r="K886" s="74"/>
      <c r="L886" s="74"/>
      <c r="M886" s="2"/>
      <c r="N886" s="2"/>
      <c r="O886" s="2"/>
      <c r="P886" s="74"/>
      <c r="Q886" s="2"/>
      <c r="R886" s="2"/>
      <c r="S886" s="76"/>
      <c r="T886" s="88"/>
    </row>
    <row r="887" ht="15.75" customHeight="1">
      <c r="A887" s="2"/>
      <c r="B887" s="2"/>
      <c r="C887" s="2"/>
      <c r="D887" s="2"/>
      <c r="E887" s="2"/>
      <c r="F887" s="2"/>
      <c r="G887" s="2"/>
      <c r="H887" s="2"/>
      <c r="I887" s="74"/>
      <c r="J887" s="74"/>
      <c r="K887" s="74"/>
      <c r="L887" s="74"/>
      <c r="M887" s="2"/>
      <c r="N887" s="2"/>
      <c r="O887" s="2"/>
      <c r="P887" s="74"/>
      <c r="Q887" s="2"/>
      <c r="R887" s="2"/>
      <c r="S887" s="76"/>
      <c r="T887" s="88"/>
    </row>
    <row r="888" ht="15.75" customHeight="1">
      <c r="A888" s="2"/>
      <c r="B888" s="2"/>
      <c r="C888" s="2"/>
      <c r="D888" s="2"/>
      <c r="E888" s="2"/>
      <c r="F888" s="2"/>
      <c r="G888" s="2"/>
      <c r="H888" s="2"/>
      <c r="I888" s="74"/>
      <c r="J888" s="74"/>
      <c r="K888" s="74"/>
      <c r="L888" s="74"/>
      <c r="M888" s="2"/>
      <c r="N888" s="2"/>
      <c r="O888" s="2"/>
      <c r="P888" s="74"/>
      <c r="Q888" s="2"/>
      <c r="R888" s="2"/>
      <c r="S888" s="76"/>
      <c r="T888" s="88"/>
    </row>
    <row r="889" ht="15.75" customHeight="1">
      <c r="A889" s="2"/>
      <c r="B889" s="2"/>
      <c r="C889" s="2"/>
      <c r="D889" s="2"/>
      <c r="E889" s="2"/>
      <c r="F889" s="2"/>
      <c r="G889" s="2"/>
      <c r="H889" s="2"/>
      <c r="I889" s="74"/>
      <c r="J889" s="74"/>
      <c r="K889" s="74"/>
      <c r="L889" s="74"/>
      <c r="M889" s="2"/>
      <c r="N889" s="2"/>
      <c r="O889" s="2"/>
      <c r="P889" s="74"/>
      <c r="Q889" s="2"/>
      <c r="R889" s="2"/>
      <c r="S889" s="76"/>
      <c r="T889" s="88"/>
    </row>
    <row r="890" ht="15.75" customHeight="1">
      <c r="A890" s="2"/>
      <c r="B890" s="2"/>
      <c r="C890" s="2"/>
      <c r="D890" s="2"/>
      <c r="E890" s="2"/>
      <c r="F890" s="2"/>
      <c r="G890" s="2"/>
      <c r="H890" s="2"/>
      <c r="I890" s="74"/>
      <c r="J890" s="74"/>
      <c r="K890" s="74"/>
      <c r="L890" s="74"/>
      <c r="M890" s="2"/>
      <c r="N890" s="2"/>
      <c r="O890" s="2"/>
      <c r="P890" s="74"/>
      <c r="Q890" s="2"/>
      <c r="R890" s="2"/>
      <c r="S890" s="76"/>
      <c r="T890" s="88"/>
    </row>
    <row r="891" ht="15.75" customHeight="1">
      <c r="A891" s="2"/>
      <c r="B891" s="2"/>
      <c r="C891" s="2"/>
      <c r="D891" s="2"/>
      <c r="E891" s="2"/>
      <c r="F891" s="2"/>
      <c r="G891" s="2"/>
      <c r="H891" s="2"/>
      <c r="I891" s="74"/>
      <c r="J891" s="74"/>
      <c r="K891" s="74"/>
      <c r="L891" s="74"/>
      <c r="M891" s="2"/>
      <c r="N891" s="2"/>
      <c r="O891" s="2"/>
      <c r="P891" s="74"/>
      <c r="Q891" s="2"/>
      <c r="R891" s="2"/>
      <c r="S891" s="76"/>
      <c r="T891" s="88"/>
    </row>
    <row r="892" ht="15.75" customHeight="1">
      <c r="A892" s="2"/>
      <c r="B892" s="2"/>
      <c r="C892" s="2"/>
      <c r="D892" s="2"/>
      <c r="E892" s="2"/>
      <c r="F892" s="2"/>
      <c r="G892" s="2"/>
      <c r="H892" s="2"/>
      <c r="I892" s="74"/>
      <c r="J892" s="74"/>
      <c r="K892" s="74"/>
      <c r="L892" s="74"/>
      <c r="M892" s="2"/>
      <c r="N892" s="2"/>
      <c r="O892" s="2"/>
      <c r="P892" s="74"/>
      <c r="Q892" s="2"/>
      <c r="R892" s="2"/>
      <c r="S892" s="76"/>
      <c r="T892" s="88"/>
    </row>
    <row r="893" ht="15.75" customHeight="1">
      <c r="A893" s="2"/>
      <c r="B893" s="2"/>
      <c r="C893" s="2"/>
      <c r="D893" s="2"/>
      <c r="E893" s="2"/>
      <c r="F893" s="2"/>
      <c r="G893" s="2"/>
      <c r="H893" s="2"/>
      <c r="I893" s="74"/>
      <c r="J893" s="74"/>
      <c r="K893" s="74"/>
      <c r="L893" s="74"/>
      <c r="M893" s="2"/>
      <c r="N893" s="2"/>
      <c r="O893" s="2"/>
      <c r="P893" s="74"/>
      <c r="Q893" s="2"/>
      <c r="R893" s="2"/>
      <c r="S893" s="76"/>
      <c r="T893" s="88"/>
    </row>
    <row r="894" ht="15.75" customHeight="1">
      <c r="A894" s="2"/>
      <c r="B894" s="2"/>
      <c r="C894" s="2"/>
      <c r="D894" s="2"/>
      <c r="E894" s="2"/>
      <c r="F894" s="2"/>
      <c r="G894" s="2"/>
      <c r="H894" s="2"/>
      <c r="I894" s="74"/>
      <c r="J894" s="74"/>
      <c r="K894" s="74"/>
      <c r="L894" s="74"/>
      <c r="M894" s="2"/>
      <c r="N894" s="2"/>
      <c r="O894" s="2"/>
      <c r="P894" s="74"/>
      <c r="Q894" s="2"/>
      <c r="R894" s="2"/>
      <c r="S894" s="76"/>
      <c r="T894" s="88"/>
    </row>
    <row r="895" ht="15.75" customHeight="1">
      <c r="A895" s="2"/>
      <c r="B895" s="2"/>
      <c r="C895" s="2"/>
      <c r="D895" s="2"/>
      <c r="E895" s="2"/>
      <c r="F895" s="2"/>
      <c r="G895" s="2"/>
      <c r="H895" s="2"/>
      <c r="I895" s="74"/>
      <c r="J895" s="74"/>
      <c r="K895" s="74"/>
      <c r="L895" s="74"/>
      <c r="M895" s="2"/>
      <c r="N895" s="2"/>
      <c r="O895" s="2"/>
      <c r="P895" s="74"/>
      <c r="Q895" s="2"/>
      <c r="R895" s="2"/>
      <c r="S895" s="76"/>
      <c r="T895" s="88"/>
    </row>
    <row r="896" ht="15.75" customHeight="1">
      <c r="A896" s="2"/>
      <c r="B896" s="2"/>
      <c r="C896" s="2"/>
      <c r="D896" s="2"/>
      <c r="E896" s="2"/>
      <c r="F896" s="2"/>
      <c r="G896" s="2"/>
      <c r="H896" s="2"/>
      <c r="I896" s="74"/>
      <c r="J896" s="74"/>
      <c r="K896" s="74"/>
      <c r="L896" s="74"/>
      <c r="M896" s="2"/>
      <c r="N896" s="2"/>
      <c r="O896" s="2"/>
      <c r="P896" s="74"/>
      <c r="Q896" s="2"/>
      <c r="R896" s="2"/>
      <c r="S896" s="76"/>
      <c r="T896" s="88"/>
    </row>
    <row r="897" ht="15.75" customHeight="1">
      <c r="A897" s="2"/>
      <c r="B897" s="2"/>
      <c r="C897" s="2"/>
      <c r="D897" s="2"/>
      <c r="E897" s="2"/>
      <c r="F897" s="2"/>
      <c r="G897" s="2"/>
      <c r="H897" s="2"/>
      <c r="I897" s="74"/>
      <c r="J897" s="74"/>
      <c r="K897" s="74"/>
      <c r="L897" s="74"/>
      <c r="M897" s="2"/>
      <c r="N897" s="2"/>
      <c r="O897" s="2"/>
      <c r="P897" s="74"/>
      <c r="Q897" s="2"/>
      <c r="R897" s="2"/>
      <c r="S897" s="76"/>
      <c r="T897" s="88"/>
    </row>
    <row r="898" ht="15.75" customHeight="1">
      <c r="A898" s="2"/>
      <c r="B898" s="2"/>
      <c r="C898" s="2"/>
      <c r="D898" s="2"/>
      <c r="E898" s="2"/>
      <c r="F898" s="2"/>
      <c r="G898" s="2"/>
      <c r="H898" s="2"/>
      <c r="I898" s="74"/>
      <c r="J898" s="74"/>
      <c r="K898" s="74"/>
      <c r="L898" s="74"/>
      <c r="M898" s="2"/>
      <c r="N898" s="2"/>
      <c r="O898" s="2"/>
      <c r="P898" s="74"/>
      <c r="Q898" s="2"/>
      <c r="R898" s="2"/>
      <c r="S898" s="76"/>
      <c r="T898" s="88"/>
    </row>
    <row r="899" ht="15.75" customHeight="1">
      <c r="A899" s="2"/>
      <c r="B899" s="2"/>
      <c r="C899" s="2"/>
      <c r="D899" s="2"/>
      <c r="E899" s="2"/>
      <c r="F899" s="2"/>
      <c r="G899" s="2"/>
      <c r="H899" s="2"/>
      <c r="I899" s="74"/>
      <c r="J899" s="74"/>
      <c r="K899" s="74"/>
      <c r="L899" s="74"/>
      <c r="M899" s="2"/>
      <c r="N899" s="2"/>
      <c r="O899" s="2"/>
      <c r="P899" s="74"/>
      <c r="Q899" s="2"/>
      <c r="R899" s="2"/>
      <c r="S899" s="76"/>
      <c r="T899" s="88"/>
    </row>
    <row r="900" ht="15.75" customHeight="1">
      <c r="A900" s="2"/>
      <c r="B900" s="2"/>
      <c r="C900" s="2"/>
      <c r="D900" s="2"/>
      <c r="E900" s="2"/>
      <c r="F900" s="2"/>
      <c r="G900" s="2"/>
      <c r="H900" s="2"/>
      <c r="I900" s="74"/>
      <c r="J900" s="74"/>
      <c r="K900" s="74"/>
      <c r="L900" s="74"/>
      <c r="M900" s="2"/>
      <c r="N900" s="2"/>
      <c r="O900" s="2"/>
      <c r="P900" s="74"/>
      <c r="Q900" s="2"/>
      <c r="R900" s="2"/>
      <c r="S900" s="76"/>
      <c r="T900" s="88"/>
    </row>
    <row r="901" ht="15.75" customHeight="1">
      <c r="A901" s="2"/>
      <c r="B901" s="2"/>
      <c r="C901" s="2"/>
      <c r="D901" s="2"/>
      <c r="E901" s="2"/>
      <c r="F901" s="2"/>
      <c r="G901" s="2"/>
      <c r="H901" s="2"/>
      <c r="I901" s="74"/>
      <c r="J901" s="74"/>
      <c r="K901" s="74"/>
      <c r="L901" s="74"/>
      <c r="M901" s="2"/>
      <c r="N901" s="2"/>
      <c r="O901" s="2"/>
      <c r="P901" s="74"/>
      <c r="Q901" s="2"/>
      <c r="R901" s="2"/>
      <c r="S901" s="76"/>
      <c r="T901" s="88"/>
    </row>
    <row r="902" ht="15.75" customHeight="1">
      <c r="A902" s="2"/>
      <c r="B902" s="2"/>
      <c r="C902" s="2"/>
      <c r="D902" s="2"/>
      <c r="E902" s="2"/>
      <c r="F902" s="2"/>
      <c r="G902" s="2"/>
      <c r="H902" s="2"/>
      <c r="I902" s="74"/>
      <c r="J902" s="74"/>
      <c r="K902" s="74"/>
      <c r="L902" s="74"/>
      <c r="M902" s="2"/>
      <c r="N902" s="2"/>
      <c r="O902" s="2"/>
      <c r="P902" s="74"/>
      <c r="Q902" s="2"/>
      <c r="R902" s="2"/>
      <c r="S902" s="76"/>
      <c r="T902" s="88"/>
    </row>
    <row r="903" ht="15.75" customHeight="1">
      <c r="A903" s="2"/>
      <c r="B903" s="2"/>
      <c r="C903" s="2"/>
      <c r="D903" s="2"/>
      <c r="E903" s="2"/>
      <c r="F903" s="2"/>
      <c r="G903" s="2"/>
      <c r="H903" s="2"/>
      <c r="I903" s="74"/>
      <c r="J903" s="74"/>
      <c r="K903" s="74"/>
      <c r="L903" s="74"/>
      <c r="M903" s="2"/>
      <c r="N903" s="2"/>
      <c r="O903" s="2"/>
      <c r="P903" s="74"/>
      <c r="Q903" s="2"/>
      <c r="R903" s="2"/>
      <c r="S903" s="76"/>
      <c r="T903" s="88"/>
    </row>
    <row r="904" ht="15.75" customHeight="1">
      <c r="A904" s="2"/>
      <c r="B904" s="2"/>
      <c r="C904" s="2"/>
      <c r="D904" s="2"/>
      <c r="E904" s="2"/>
      <c r="F904" s="2"/>
      <c r="G904" s="2"/>
      <c r="H904" s="2"/>
      <c r="I904" s="74"/>
      <c r="J904" s="74"/>
      <c r="K904" s="74"/>
      <c r="L904" s="74"/>
      <c r="M904" s="2"/>
      <c r="N904" s="2"/>
      <c r="O904" s="2"/>
      <c r="P904" s="74"/>
      <c r="Q904" s="2"/>
      <c r="R904" s="2"/>
      <c r="S904" s="76"/>
      <c r="T904" s="88"/>
    </row>
    <row r="905" ht="15.75" customHeight="1">
      <c r="A905" s="2"/>
      <c r="B905" s="2"/>
      <c r="C905" s="2"/>
      <c r="D905" s="2"/>
      <c r="E905" s="2"/>
      <c r="F905" s="2"/>
      <c r="G905" s="2"/>
      <c r="H905" s="2"/>
      <c r="I905" s="74"/>
      <c r="J905" s="74"/>
      <c r="K905" s="74"/>
      <c r="L905" s="74"/>
      <c r="M905" s="2"/>
      <c r="N905" s="2"/>
      <c r="O905" s="2"/>
      <c r="P905" s="74"/>
      <c r="Q905" s="2"/>
      <c r="R905" s="2"/>
      <c r="S905" s="76"/>
      <c r="T905" s="88"/>
    </row>
    <row r="906" ht="15.75" customHeight="1">
      <c r="A906" s="2"/>
      <c r="B906" s="2"/>
      <c r="C906" s="2"/>
      <c r="D906" s="2"/>
      <c r="E906" s="2"/>
      <c r="F906" s="2"/>
      <c r="G906" s="2"/>
      <c r="H906" s="2"/>
      <c r="I906" s="74"/>
      <c r="J906" s="74"/>
      <c r="K906" s="74"/>
      <c r="L906" s="74"/>
      <c r="M906" s="2"/>
      <c r="N906" s="2"/>
      <c r="O906" s="2"/>
      <c r="P906" s="74"/>
      <c r="Q906" s="2"/>
      <c r="R906" s="2"/>
      <c r="S906" s="76"/>
      <c r="T906" s="88"/>
    </row>
    <row r="907" ht="15.75" customHeight="1">
      <c r="A907" s="2"/>
      <c r="B907" s="2"/>
      <c r="C907" s="2"/>
      <c r="D907" s="2"/>
      <c r="E907" s="2"/>
      <c r="F907" s="2"/>
      <c r="G907" s="2"/>
      <c r="H907" s="2"/>
      <c r="I907" s="74"/>
      <c r="J907" s="74"/>
      <c r="K907" s="74"/>
      <c r="L907" s="74"/>
      <c r="M907" s="2"/>
      <c r="N907" s="2"/>
      <c r="O907" s="2"/>
      <c r="P907" s="74"/>
      <c r="Q907" s="2"/>
      <c r="R907" s="2"/>
      <c r="S907" s="76"/>
      <c r="T907" s="88"/>
    </row>
    <row r="908" ht="15.75" customHeight="1">
      <c r="A908" s="2"/>
      <c r="B908" s="2"/>
      <c r="C908" s="2"/>
      <c r="D908" s="2"/>
      <c r="E908" s="2"/>
      <c r="F908" s="2"/>
      <c r="G908" s="2"/>
      <c r="H908" s="2"/>
      <c r="I908" s="74"/>
      <c r="J908" s="74"/>
      <c r="K908" s="74"/>
      <c r="L908" s="74"/>
      <c r="M908" s="2"/>
      <c r="N908" s="2"/>
      <c r="O908" s="2"/>
      <c r="P908" s="74"/>
      <c r="Q908" s="2"/>
      <c r="R908" s="2"/>
      <c r="S908" s="76"/>
      <c r="T908" s="88"/>
    </row>
    <row r="909" ht="15.75" customHeight="1">
      <c r="A909" s="2"/>
      <c r="B909" s="2"/>
      <c r="C909" s="2"/>
      <c r="D909" s="2"/>
      <c r="E909" s="2"/>
      <c r="F909" s="2"/>
      <c r="G909" s="2"/>
      <c r="H909" s="2"/>
      <c r="I909" s="74"/>
      <c r="J909" s="74"/>
      <c r="K909" s="74"/>
      <c r="L909" s="74"/>
      <c r="M909" s="2"/>
      <c r="N909" s="2"/>
      <c r="O909" s="2"/>
      <c r="P909" s="74"/>
      <c r="Q909" s="2"/>
      <c r="R909" s="2"/>
      <c r="S909" s="76"/>
      <c r="T909" s="88"/>
    </row>
    <row r="910" ht="15.75" customHeight="1">
      <c r="A910" s="2"/>
      <c r="B910" s="2"/>
      <c r="C910" s="2"/>
      <c r="D910" s="2"/>
      <c r="E910" s="2"/>
      <c r="F910" s="2"/>
      <c r="G910" s="2"/>
      <c r="H910" s="2"/>
      <c r="I910" s="74"/>
      <c r="J910" s="74"/>
      <c r="K910" s="74"/>
      <c r="L910" s="74"/>
      <c r="M910" s="2"/>
      <c r="N910" s="2"/>
      <c r="O910" s="2"/>
      <c r="P910" s="74"/>
      <c r="Q910" s="2"/>
      <c r="R910" s="2"/>
      <c r="S910" s="76"/>
      <c r="T910" s="88"/>
    </row>
    <row r="911" ht="15.75" customHeight="1">
      <c r="A911" s="2"/>
      <c r="B911" s="2"/>
      <c r="C911" s="2"/>
      <c r="D911" s="2"/>
      <c r="E911" s="2"/>
      <c r="F911" s="2"/>
      <c r="G911" s="2"/>
      <c r="H911" s="2"/>
      <c r="I911" s="74"/>
      <c r="J911" s="74"/>
      <c r="K911" s="74"/>
      <c r="L911" s="74"/>
      <c r="M911" s="2"/>
      <c r="N911" s="2"/>
      <c r="O911" s="2"/>
      <c r="P911" s="74"/>
      <c r="Q911" s="2"/>
      <c r="R911" s="2"/>
      <c r="S911" s="76"/>
      <c r="T911" s="88"/>
    </row>
    <row r="912" ht="15.75" customHeight="1">
      <c r="A912" s="2"/>
      <c r="B912" s="2"/>
      <c r="C912" s="2"/>
      <c r="D912" s="2"/>
      <c r="E912" s="2"/>
      <c r="F912" s="2"/>
      <c r="G912" s="2"/>
      <c r="H912" s="2"/>
      <c r="I912" s="74"/>
      <c r="J912" s="74"/>
      <c r="K912" s="74"/>
      <c r="L912" s="74"/>
      <c r="M912" s="2"/>
      <c r="N912" s="2"/>
      <c r="O912" s="2"/>
      <c r="P912" s="74"/>
      <c r="Q912" s="2"/>
      <c r="R912" s="2"/>
      <c r="S912" s="76"/>
      <c r="T912" s="88"/>
    </row>
    <row r="913" ht="15.75" customHeight="1">
      <c r="A913" s="2"/>
      <c r="B913" s="2"/>
      <c r="C913" s="2"/>
      <c r="D913" s="2"/>
      <c r="E913" s="2"/>
      <c r="F913" s="2"/>
      <c r="G913" s="2"/>
      <c r="H913" s="2"/>
      <c r="I913" s="74"/>
      <c r="J913" s="74"/>
      <c r="K913" s="74"/>
      <c r="L913" s="74"/>
      <c r="M913" s="2"/>
      <c r="N913" s="2"/>
      <c r="O913" s="2"/>
      <c r="P913" s="74"/>
      <c r="Q913" s="2"/>
      <c r="R913" s="2"/>
      <c r="S913" s="76"/>
      <c r="T913" s="88"/>
    </row>
    <row r="914" ht="15.75" customHeight="1">
      <c r="A914" s="2"/>
      <c r="B914" s="2"/>
      <c r="C914" s="2"/>
      <c r="D914" s="2"/>
      <c r="E914" s="2"/>
      <c r="F914" s="2"/>
      <c r="G914" s="2"/>
      <c r="H914" s="2"/>
      <c r="I914" s="74"/>
      <c r="J914" s="74"/>
      <c r="K914" s="74"/>
      <c r="L914" s="74"/>
      <c r="M914" s="2"/>
      <c r="N914" s="2"/>
      <c r="O914" s="2"/>
      <c r="P914" s="74"/>
      <c r="Q914" s="2"/>
      <c r="R914" s="2"/>
      <c r="S914" s="76"/>
      <c r="T914" s="88"/>
    </row>
    <row r="915" ht="15.75" customHeight="1">
      <c r="A915" s="2"/>
      <c r="B915" s="2"/>
      <c r="C915" s="2"/>
      <c r="D915" s="2"/>
      <c r="E915" s="2"/>
      <c r="F915" s="2"/>
      <c r="G915" s="2"/>
      <c r="H915" s="2"/>
      <c r="I915" s="74"/>
      <c r="J915" s="74"/>
      <c r="K915" s="74"/>
      <c r="L915" s="74"/>
      <c r="M915" s="2"/>
      <c r="N915" s="2"/>
      <c r="O915" s="2"/>
      <c r="P915" s="74"/>
      <c r="Q915" s="2"/>
      <c r="R915" s="2"/>
      <c r="S915" s="76"/>
      <c r="T915" s="88"/>
    </row>
    <row r="916" ht="15.75" customHeight="1">
      <c r="A916" s="2"/>
      <c r="B916" s="2"/>
      <c r="C916" s="2"/>
      <c r="D916" s="2"/>
      <c r="E916" s="2"/>
      <c r="F916" s="2"/>
      <c r="G916" s="2"/>
      <c r="H916" s="2"/>
      <c r="I916" s="74"/>
      <c r="J916" s="74"/>
      <c r="K916" s="74"/>
      <c r="L916" s="74"/>
      <c r="M916" s="2"/>
      <c r="N916" s="2"/>
      <c r="O916" s="2"/>
      <c r="P916" s="74"/>
      <c r="Q916" s="2"/>
      <c r="R916" s="2"/>
      <c r="S916" s="76"/>
      <c r="T916" s="88"/>
    </row>
    <row r="917" ht="15.75" customHeight="1">
      <c r="A917" s="2"/>
      <c r="B917" s="2"/>
      <c r="C917" s="2"/>
      <c r="D917" s="2"/>
      <c r="E917" s="2"/>
      <c r="F917" s="2"/>
      <c r="G917" s="2"/>
      <c r="H917" s="2"/>
      <c r="I917" s="74"/>
      <c r="J917" s="74"/>
      <c r="K917" s="74"/>
      <c r="L917" s="74"/>
      <c r="M917" s="2"/>
      <c r="N917" s="2"/>
      <c r="O917" s="2"/>
      <c r="P917" s="74"/>
      <c r="Q917" s="2"/>
      <c r="R917" s="2"/>
      <c r="S917" s="76"/>
      <c r="T917" s="88"/>
    </row>
    <row r="918" ht="15.75" customHeight="1">
      <c r="A918" s="2"/>
      <c r="B918" s="2"/>
      <c r="C918" s="2"/>
      <c r="D918" s="2"/>
      <c r="E918" s="2"/>
      <c r="F918" s="2"/>
      <c r="G918" s="2"/>
      <c r="H918" s="2"/>
      <c r="I918" s="74"/>
      <c r="J918" s="74"/>
      <c r="K918" s="74"/>
      <c r="L918" s="74"/>
      <c r="M918" s="2"/>
      <c r="N918" s="2"/>
      <c r="O918" s="2"/>
      <c r="P918" s="74"/>
      <c r="Q918" s="2"/>
      <c r="R918" s="2"/>
      <c r="S918" s="76"/>
      <c r="T918" s="88"/>
    </row>
    <row r="919" ht="15.75" customHeight="1">
      <c r="A919" s="2"/>
      <c r="B919" s="2"/>
      <c r="C919" s="2"/>
      <c r="D919" s="2"/>
      <c r="E919" s="2"/>
      <c r="F919" s="2"/>
      <c r="G919" s="2"/>
      <c r="H919" s="2"/>
      <c r="I919" s="74"/>
      <c r="J919" s="74"/>
      <c r="K919" s="74"/>
      <c r="L919" s="74"/>
      <c r="M919" s="2"/>
      <c r="N919" s="2"/>
      <c r="O919" s="2"/>
      <c r="P919" s="74"/>
      <c r="Q919" s="2"/>
      <c r="R919" s="2"/>
      <c r="S919" s="76"/>
      <c r="T919" s="88"/>
    </row>
    <row r="920" ht="15.75" customHeight="1">
      <c r="A920" s="2"/>
      <c r="B920" s="2"/>
      <c r="C920" s="2"/>
      <c r="D920" s="2"/>
      <c r="E920" s="2"/>
      <c r="F920" s="2"/>
      <c r="G920" s="2"/>
      <c r="H920" s="2"/>
      <c r="I920" s="74"/>
      <c r="J920" s="74"/>
      <c r="K920" s="74"/>
      <c r="L920" s="74"/>
      <c r="M920" s="2"/>
      <c r="N920" s="2"/>
      <c r="O920" s="2"/>
      <c r="P920" s="74"/>
      <c r="Q920" s="2"/>
      <c r="R920" s="2"/>
      <c r="S920" s="76"/>
      <c r="T920" s="88"/>
    </row>
    <row r="921" ht="15.75" customHeight="1">
      <c r="A921" s="2"/>
      <c r="B921" s="2"/>
      <c r="C921" s="2"/>
      <c r="D921" s="2"/>
      <c r="E921" s="2"/>
      <c r="F921" s="2"/>
      <c r="G921" s="2"/>
      <c r="H921" s="2"/>
      <c r="I921" s="74"/>
      <c r="J921" s="74"/>
      <c r="K921" s="74"/>
      <c r="L921" s="74"/>
      <c r="M921" s="2"/>
      <c r="N921" s="2"/>
      <c r="O921" s="2"/>
      <c r="P921" s="74"/>
      <c r="Q921" s="2"/>
      <c r="R921" s="2"/>
      <c r="S921" s="76"/>
      <c r="T921" s="88"/>
    </row>
    <row r="922" ht="15.75" customHeight="1">
      <c r="A922" s="2"/>
      <c r="B922" s="2"/>
      <c r="C922" s="2"/>
      <c r="D922" s="2"/>
      <c r="E922" s="2"/>
      <c r="F922" s="2"/>
      <c r="G922" s="2"/>
      <c r="H922" s="2"/>
      <c r="I922" s="74"/>
      <c r="J922" s="74"/>
      <c r="K922" s="74"/>
      <c r="L922" s="74"/>
      <c r="M922" s="2"/>
      <c r="N922" s="2"/>
      <c r="O922" s="2"/>
      <c r="P922" s="74"/>
      <c r="Q922" s="2"/>
      <c r="R922" s="2"/>
      <c r="S922" s="76"/>
      <c r="T922" s="88"/>
    </row>
    <row r="923" ht="15.75" customHeight="1">
      <c r="A923" s="2"/>
      <c r="B923" s="2"/>
      <c r="C923" s="2"/>
      <c r="D923" s="2"/>
      <c r="E923" s="2"/>
      <c r="F923" s="2"/>
      <c r="G923" s="2"/>
      <c r="H923" s="2"/>
      <c r="I923" s="74"/>
      <c r="J923" s="74"/>
      <c r="K923" s="74"/>
      <c r="L923" s="74"/>
      <c r="M923" s="2"/>
      <c r="N923" s="2"/>
      <c r="O923" s="2"/>
      <c r="P923" s="74"/>
      <c r="Q923" s="2"/>
      <c r="R923" s="2"/>
      <c r="S923" s="76"/>
      <c r="T923" s="88"/>
    </row>
    <row r="924" ht="15.75" customHeight="1">
      <c r="A924" s="2"/>
      <c r="B924" s="2"/>
      <c r="C924" s="2"/>
      <c r="D924" s="2"/>
      <c r="E924" s="2"/>
      <c r="F924" s="2"/>
      <c r="G924" s="2"/>
      <c r="H924" s="2"/>
      <c r="I924" s="74"/>
      <c r="J924" s="74"/>
      <c r="K924" s="74"/>
      <c r="L924" s="74"/>
      <c r="M924" s="2"/>
      <c r="N924" s="2"/>
      <c r="O924" s="2"/>
      <c r="P924" s="74"/>
      <c r="Q924" s="2"/>
      <c r="R924" s="2"/>
      <c r="S924" s="76"/>
      <c r="T924" s="88"/>
    </row>
    <row r="925" ht="15.75" customHeight="1">
      <c r="A925" s="2"/>
      <c r="B925" s="2"/>
      <c r="C925" s="2"/>
      <c r="D925" s="2"/>
      <c r="E925" s="2"/>
      <c r="F925" s="2"/>
      <c r="G925" s="2"/>
      <c r="H925" s="2"/>
      <c r="I925" s="74"/>
      <c r="J925" s="74"/>
      <c r="K925" s="74"/>
      <c r="L925" s="74"/>
      <c r="M925" s="2"/>
      <c r="N925" s="2"/>
      <c r="O925" s="2"/>
      <c r="P925" s="74"/>
      <c r="Q925" s="2"/>
      <c r="R925" s="2"/>
      <c r="S925" s="76"/>
      <c r="T925" s="88"/>
    </row>
    <row r="926" ht="15.75" customHeight="1">
      <c r="A926" s="2"/>
      <c r="B926" s="2"/>
      <c r="C926" s="2"/>
      <c r="D926" s="2"/>
      <c r="E926" s="2"/>
      <c r="F926" s="2"/>
      <c r="G926" s="2"/>
      <c r="H926" s="2"/>
      <c r="I926" s="74"/>
      <c r="J926" s="74"/>
      <c r="K926" s="74"/>
      <c r="L926" s="74"/>
      <c r="M926" s="2"/>
      <c r="N926" s="2"/>
      <c r="O926" s="2"/>
      <c r="P926" s="74"/>
      <c r="Q926" s="2"/>
      <c r="R926" s="2"/>
      <c r="S926" s="76"/>
      <c r="T926" s="88"/>
    </row>
    <row r="927" ht="15.75" customHeight="1">
      <c r="A927" s="2"/>
      <c r="B927" s="2"/>
      <c r="C927" s="2"/>
      <c r="D927" s="2"/>
      <c r="E927" s="2"/>
      <c r="F927" s="2"/>
      <c r="G927" s="2"/>
      <c r="H927" s="2"/>
      <c r="I927" s="74"/>
      <c r="J927" s="74"/>
      <c r="K927" s="74"/>
      <c r="L927" s="74"/>
      <c r="M927" s="2"/>
      <c r="N927" s="2"/>
      <c r="O927" s="2"/>
      <c r="P927" s="74"/>
      <c r="Q927" s="2"/>
      <c r="R927" s="2"/>
      <c r="S927" s="76"/>
      <c r="T927" s="88"/>
    </row>
    <row r="928" ht="15.75" customHeight="1">
      <c r="A928" s="2"/>
      <c r="B928" s="2"/>
      <c r="C928" s="2"/>
      <c r="D928" s="2"/>
      <c r="E928" s="2"/>
      <c r="F928" s="2"/>
      <c r="G928" s="2"/>
      <c r="H928" s="2"/>
      <c r="I928" s="74"/>
      <c r="J928" s="74"/>
      <c r="K928" s="74"/>
      <c r="L928" s="74"/>
      <c r="M928" s="2"/>
      <c r="N928" s="2"/>
      <c r="O928" s="2"/>
      <c r="P928" s="74"/>
      <c r="Q928" s="2"/>
      <c r="R928" s="2"/>
      <c r="S928" s="76"/>
      <c r="T928" s="88"/>
    </row>
    <row r="929" ht="15.75" customHeight="1">
      <c r="A929" s="2"/>
      <c r="B929" s="2"/>
      <c r="C929" s="2"/>
      <c r="D929" s="2"/>
      <c r="E929" s="2"/>
      <c r="F929" s="2"/>
      <c r="G929" s="2"/>
      <c r="H929" s="2"/>
      <c r="I929" s="74"/>
      <c r="J929" s="74"/>
      <c r="K929" s="74"/>
      <c r="L929" s="74"/>
      <c r="M929" s="2"/>
      <c r="N929" s="2"/>
      <c r="O929" s="2"/>
      <c r="P929" s="74"/>
      <c r="Q929" s="2"/>
      <c r="R929" s="2"/>
      <c r="S929" s="76"/>
      <c r="T929" s="88"/>
    </row>
    <row r="930" ht="15.75" customHeight="1">
      <c r="A930" s="2"/>
      <c r="B930" s="2"/>
      <c r="C930" s="2"/>
      <c r="D930" s="2"/>
      <c r="E930" s="2"/>
      <c r="F930" s="2"/>
      <c r="G930" s="2"/>
      <c r="H930" s="2"/>
      <c r="I930" s="74"/>
      <c r="J930" s="74"/>
      <c r="K930" s="74"/>
      <c r="L930" s="74"/>
      <c r="M930" s="2"/>
      <c r="N930" s="2"/>
      <c r="O930" s="2"/>
      <c r="P930" s="74"/>
      <c r="Q930" s="2"/>
      <c r="R930" s="2"/>
      <c r="S930" s="76"/>
      <c r="T930" s="88"/>
    </row>
    <row r="931" ht="15.75" customHeight="1">
      <c r="A931" s="2"/>
      <c r="B931" s="2"/>
      <c r="C931" s="2"/>
      <c r="D931" s="2"/>
      <c r="E931" s="2"/>
      <c r="F931" s="2"/>
      <c r="G931" s="2"/>
      <c r="H931" s="2"/>
      <c r="I931" s="74"/>
      <c r="J931" s="74"/>
      <c r="K931" s="74"/>
      <c r="L931" s="74"/>
      <c r="M931" s="2"/>
      <c r="N931" s="2"/>
      <c r="O931" s="2"/>
      <c r="P931" s="74"/>
      <c r="Q931" s="2"/>
      <c r="R931" s="2"/>
      <c r="S931" s="76"/>
      <c r="T931" s="88"/>
    </row>
    <row r="932" ht="15.75" customHeight="1">
      <c r="A932" s="2"/>
      <c r="B932" s="2"/>
      <c r="C932" s="2"/>
      <c r="D932" s="2"/>
      <c r="E932" s="2"/>
      <c r="F932" s="2"/>
      <c r="G932" s="2"/>
      <c r="H932" s="2"/>
      <c r="I932" s="74"/>
      <c r="J932" s="74"/>
      <c r="K932" s="74"/>
      <c r="L932" s="74"/>
      <c r="M932" s="2"/>
      <c r="N932" s="2"/>
      <c r="O932" s="2"/>
      <c r="P932" s="74"/>
      <c r="Q932" s="2"/>
      <c r="R932" s="2"/>
      <c r="S932" s="76"/>
      <c r="T932" s="88"/>
    </row>
    <row r="933" ht="15.75" customHeight="1">
      <c r="A933" s="2"/>
      <c r="B933" s="2"/>
      <c r="C933" s="2"/>
      <c r="D933" s="2"/>
      <c r="E933" s="2"/>
      <c r="F933" s="2"/>
      <c r="G933" s="2"/>
      <c r="H933" s="2"/>
      <c r="I933" s="74"/>
      <c r="J933" s="74"/>
      <c r="K933" s="74"/>
      <c r="L933" s="74"/>
      <c r="M933" s="2"/>
      <c r="N933" s="2"/>
      <c r="O933" s="2"/>
      <c r="P933" s="74"/>
      <c r="Q933" s="2"/>
      <c r="R933" s="2"/>
      <c r="S933" s="76"/>
      <c r="T933" s="88"/>
    </row>
    <row r="934" ht="15.75" customHeight="1">
      <c r="A934" s="2"/>
      <c r="B934" s="2"/>
      <c r="C934" s="2"/>
      <c r="D934" s="2"/>
      <c r="E934" s="2"/>
      <c r="F934" s="2"/>
      <c r="G934" s="2"/>
      <c r="H934" s="2"/>
      <c r="I934" s="74"/>
      <c r="J934" s="74"/>
      <c r="K934" s="74"/>
      <c r="L934" s="74"/>
      <c r="M934" s="2"/>
      <c r="N934" s="2"/>
      <c r="O934" s="2"/>
      <c r="P934" s="74"/>
      <c r="Q934" s="2"/>
      <c r="R934" s="2"/>
      <c r="S934" s="76"/>
      <c r="T934" s="88"/>
    </row>
    <row r="935" ht="15.75" customHeight="1">
      <c r="A935" s="2"/>
      <c r="B935" s="2"/>
      <c r="C935" s="2"/>
      <c r="D935" s="2"/>
      <c r="E935" s="2"/>
      <c r="F935" s="2"/>
      <c r="G935" s="2"/>
      <c r="H935" s="2"/>
      <c r="I935" s="74"/>
      <c r="J935" s="74"/>
      <c r="K935" s="74"/>
      <c r="L935" s="74"/>
      <c r="M935" s="2"/>
      <c r="N935" s="2"/>
      <c r="O935" s="2"/>
      <c r="P935" s="74"/>
      <c r="Q935" s="2"/>
      <c r="R935" s="2"/>
      <c r="S935" s="76"/>
      <c r="T935" s="88"/>
    </row>
    <row r="936" ht="15.75" customHeight="1">
      <c r="A936" s="2"/>
      <c r="B936" s="2"/>
      <c r="C936" s="2"/>
      <c r="D936" s="2"/>
      <c r="E936" s="2"/>
      <c r="F936" s="2"/>
      <c r="G936" s="2"/>
      <c r="H936" s="2"/>
      <c r="I936" s="74"/>
      <c r="J936" s="74"/>
      <c r="K936" s="74"/>
      <c r="L936" s="74"/>
      <c r="M936" s="2"/>
      <c r="N936" s="2"/>
      <c r="O936" s="2"/>
      <c r="P936" s="74"/>
      <c r="Q936" s="2"/>
      <c r="R936" s="2"/>
      <c r="S936" s="76"/>
      <c r="T936" s="88"/>
    </row>
    <row r="937" ht="15.75" customHeight="1">
      <c r="A937" s="2"/>
      <c r="B937" s="2"/>
      <c r="C937" s="2"/>
      <c r="D937" s="2"/>
      <c r="E937" s="2"/>
      <c r="F937" s="2"/>
      <c r="G937" s="2"/>
      <c r="H937" s="2"/>
      <c r="I937" s="74"/>
      <c r="J937" s="74"/>
      <c r="K937" s="74"/>
      <c r="L937" s="74"/>
      <c r="M937" s="2"/>
      <c r="N937" s="2"/>
      <c r="O937" s="2"/>
      <c r="P937" s="74"/>
      <c r="Q937" s="2"/>
      <c r="R937" s="2"/>
      <c r="S937" s="76"/>
      <c r="T937" s="88"/>
    </row>
    <row r="938" ht="15.75" customHeight="1">
      <c r="A938" s="2"/>
      <c r="B938" s="2"/>
      <c r="C938" s="2"/>
      <c r="D938" s="2"/>
      <c r="E938" s="2"/>
      <c r="F938" s="2"/>
      <c r="G938" s="2"/>
      <c r="H938" s="2"/>
      <c r="I938" s="74"/>
      <c r="J938" s="74"/>
      <c r="K938" s="74"/>
      <c r="L938" s="74"/>
      <c r="M938" s="2"/>
      <c r="N938" s="2"/>
      <c r="O938" s="2"/>
      <c r="P938" s="74"/>
      <c r="Q938" s="2"/>
      <c r="R938" s="2"/>
      <c r="S938" s="76"/>
      <c r="T938" s="88"/>
    </row>
    <row r="939" ht="15.75" customHeight="1">
      <c r="A939" s="2"/>
      <c r="B939" s="2"/>
      <c r="C939" s="2"/>
      <c r="D939" s="2"/>
      <c r="E939" s="2"/>
      <c r="F939" s="2"/>
      <c r="G939" s="2"/>
      <c r="H939" s="2"/>
      <c r="I939" s="74"/>
      <c r="J939" s="74"/>
      <c r="K939" s="74"/>
      <c r="L939" s="74"/>
      <c r="M939" s="2"/>
      <c r="N939" s="2"/>
      <c r="O939" s="2"/>
      <c r="P939" s="74"/>
      <c r="Q939" s="2"/>
      <c r="R939" s="2"/>
      <c r="S939" s="76"/>
      <c r="T939" s="88"/>
    </row>
    <row r="940" ht="15.75" customHeight="1">
      <c r="A940" s="2"/>
      <c r="B940" s="2"/>
      <c r="C940" s="2"/>
      <c r="D940" s="2"/>
      <c r="E940" s="2"/>
      <c r="F940" s="2"/>
      <c r="G940" s="2"/>
      <c r="H940" s="2"/>
      <c r="I940" s="74"/>
      <c r="J940" s="74"/>
      <c r="K940" s="74"/>
      <c r="L940" s="74"/>
      <c r="M940" s="2"/>
      <c r="N940" s="2"/>
      <c r="O940" s="2"/>
      <c r="P940" s="74"/>
      <c r="Q940" s="2"/>
      <c r="R940" s="2"/>
      <c r="S940" s="76"/>
      <c r="T940" s="88"/>
    </row>
    <row r="941" ht="15.75" customHeight="1">
      <c r="A941" s="2"/>
      <c r="B941" s="2"/>
      <c r="C941" s="2"/>
      <c r="D941" s="2"/>
      <c r="E941" s="2"/>
      <c r="F941" s="2"/>
      <c r="G941" s="2"/>
      <c r="H941" s="2"/>
      <c r="I941" s="74"/>
      <c r="J941" s="74"/>
      <c r="K941" s="74"/>
      <c r="L941" s="74"/>
      <c r="M941" s="2"/>
      <c r="N941" s="2"/>
      <c r="O941" s="2"/>
      <c r="P941" s="74"/>
      <c r="Q941" s="2"/>
      <c r="R941" s="2"/>
      <c r="S941" s="76"/>
      <c r="T941" s="88"/>
    </row>
    <row r="942" ht="15.75" customHeight="1">
      <c r="A942" s="2"/>
      <c r="B942" s="2"/>
      <c r="C942" s="2"/>
      <c r="D942" s="2"/>
      <c r="E942" s="2"/>
      <c r="F942" s="2"/>
      <c r="G942" s="2"/>
      <c r="H942" s="2"/>
      <c r="I942" s="74"/>
      <c r="J942" s="74"/>
      <c r="K942" s="74"/>
      <c r="L942" s="74"/>
      <c r="M942" s="2"/>
      <c r="N942" s="2"/>
      <c r="O942" s="2"/>
      <c r="P942" s="74"/>
      <c r="Q942" s="2"/>
      <c r="R942" s="2"/>
      <c r="S942" s="76"/>
      <c r="T942" s="88"/>
    </row>
    <row r="943" ht="15.75" customHeight="1">
      <c r="A943" s="2"/>
      <c r="B943" s="2"/>
      <c r="C943" s="2"/>
      <c r="D943" s="2"/>
      <c r="E943" s="2"/>
      <c r="F943" s="2"/>
      <c r="G943" s="2"/>
      <c r="H943" s="2"/>
      <c r="I943" s="74"/>
      <c r="J943" s="74"/>
      <c r="K943" s="74"/>
      <c r="L943" s="74"/>
      <c r="M943" s="2"/>
      <c r="N943" s="2"/>
      <c r="O943" s="2"/>
      <c r="P943" s="74"/>
      <c r="Q943" s="2"/>
      <c r="R943" s="2"/>
      <c r="S943" s="76"/>
      <c r="T943" s="88"/>
    </row>
    <row r="944" ht="15.75" customHeight="1">
      <c r="A944" s="2"/>
      <c r="B944" s="2"/>
      <c r="C944" s="2"/>
      <c r="D944" s="2"/>
      <c r="E944" s="2"/>
      <c r="F944" s="2"/>
      <c r="G944" s="2"/>
      <c r="H944" s="2"/>
      <c r="I944" s="74"/>
      <c r="J944" s="74"/>
      <c r="K944" s="74"/>
      <c r="L944" s="74"/>
      <c r="M944" s="2"/>
      <c r="N944" s="2"/>
      <c r="O944" s="2"/>
      <c r="P944" s="74"/>
      <c r="Q944" s="2"/>
      <c r="R944" s="2"/>
      <c r="S944" s="76"/>
      <c r="T944" s="88"/>
    </row>
    <row r="945" ht="15.75" customHeight="1">
      <c r="A945" s="2"/>
      <c r="B945" s="2"/>
      <c r="C945" s="2"/>
      <c r="D945" s="2"/>
      <c r="E945" s="2"/>
      <c r="F945" s="2"/>
      <c r="G945" s="2"/>
      <c r="H945" s="2"/>
      <c r="I945" s="74"/>
      <c r="J945" s="74"/>
      <c r="K945" s="74"/>
      <c r="L945" s="74"/>
      <c r="M945" s="2"/>
      <c r="N945" s="2"/>
      <c r="O945" s="2"/>
      <c r="P945" s="74"/>
      <c r="Q945" s="2"/>
      <c r="R945" s="2"/>
      <c r="S945" s="76"/>
      <c r="T945" s="88"/>
    </row>
    <row r="946" ht="15.75" customHeight="1">
      <c r="A946" s="2"/>
      <c r="B946" s="2"/>
      <c r="C946" s="2"/>
      <c r="D946" s="2"/>
      <c r="E946" s="2"/>
      <c r="F946" s="2"/>
      <c r="G946" s="2"/>
      <c r="H946" s="2"/>
      <c r="I946" s="74"/>
      <c r="J946" s="74"/>
      <c r="K946" s="74"/>
      <c r="L946" s="74"/>
      <c r="M946" s="2"/>
      <c r="N946" s="2"/>
      <c r="O946" s="2"/>
      <c r="P946" s="74"/>
      <c r="Q946" s="2"/>
      <c r="R946" s="2"/>
      <c r="S946" s="76"/>
      <c r="T946" s="88"/>
    </row>
    <row r="947" ht="15.75" customHeight="1">
      <c r="A947" s="2"/>
      <c r="B947" s="2"/>
      <c r="C947" s="2"/>
      <c r="D947" s="2"/>
      <c r="E947" s="2"/>
      <c r="F947" s="2"/>
      <c r="G947" s="2"/>
      <c r="H947" s="2"/>
      <c r="I947" s="74"/>
      <c r="J947" s="74"/>
      <c r="K947" s="74"/>
      <c r="L947" s="74"/>
      <c r="M947" s="2"/>
      <c r="N947" s="2"/>
      <c r="O947" s="2"/>
      <c r="P947" s="74"/>
      <c r="Q947" s="2"/>
      <c r="R947" s="2"/>
      <c r="S947" s="76"/>
      <c r="T947" s="88"/>
    </row>
    <row r="948" ht="15.75" customHeight="1">
      <c r="A948" s="2"/>
      <c r="B948" s="2"/>
      <c r="C948" s="2"/>
      <c r="D948" s="2"/>
      <c r="E948" s="2"/>
      <c r="F948" s="2"/>
      <c r="G948" s="2"/>
      <c r="H948" s="2"/>
      <c r="I948" s="74"/>
      <c r="J948" s="74"/>
      <c r="K948" s="74"/>
      <c r="L948" s="74"/>
      <c r="M948" s="2"/>
      <c r="N948" s="2"/>
      <c r="O948" s="2"/>
      <c r="P948" s="74"/>
      <c r="Q948" s="2"/>
      <c r="R948" s="2"/>
      <c r="S948" s="76"/>
      <c r="T948" s="88"/>
    </row>
    <row r="949" ht="15.75" customHeight="1">
      <c r="A949" s="2"/>
      <c r="B949" s="2"/>
      <c r="C949" s="2"/>
      <c r="D949" s="2"/>
      <c r="E949" s="2"/>
      <c r="F949" s="2"/>
      <c r="G949" s="2"/>
      <c r="H949" s="2"/>
      <c r="I949" s="74"/>
      <c r="J949" s="74"/>
      <c r="K949" s="74"/>
      <c r="L949" s="74"/>
      <c r="M949" s="2"/>
      <c r="N949" s="2"/>
      <c r="O949" s="2"/>
      <c r="P949" s="74"/>
      <c r="Q949" s="2"/>
      <c r="R949" s="2"/>
      <c r="S949" s="76"/>
      <c r="T949" s="88"/>
    </row>
    <row r="950" ht="15.75" customHeight="1">
      <c r="A950" s="2"/>
      <c r="B950" s="2"/>
      <c r="C950" s="2"/>
      <c r="D950" s="2"/>
      <c r="E950" s="2"/>
      <c r="F950" s="2"/>
      <c r="G950" s="2"/>
      <c r="H950" s="2"/>
      <c r="I950" s="74"/>
      <c r="J950" s="74"/>
      <c r="K950" s="74"/>
      <c r="L950" s="74"/>
      <c r="M950" s="2"/>
      <c r="N950" s="2"/>
      <c r="O950" s="2"/>
      <c r="P950" s="74"/>
      <c r="Q950" s="2"/>
      <c r="R950" s="2"/>
      <c r="S950" s="76"/>
      <c r="T950" s="88"/>
    </row>
    <row r="951" ht="15.75" customHeight="1">
      <c r="A951" s="2"/>
      <c r="B951" s="2"/>
      <c r="C951" s="2"/>
      <c r="D951" s="2"/>
      <c r="E951" s="2"/>
      <c r="F951" s="2"/>
      <c r="G951" s="2"/>
      <c r="H951" s="2"/>
      <c r="I951" s="74"/>
      <c r="J951" s="74"/>
      <c r="K951" s="74"/>
      <c r="L951" s="74"/>
      <c r="M951" s="2"/>
      <c r="N951" s="2"/>
      <c r="O951" s="2"/>
      <c r="P951" s="74"/>
      <c r="Q951" s="2"/>
      <c r="R951" s="2"/>
      <c r="S951" s="76"/>
      <c r="T951" s="88"/>
    </row>
    <row r="952" ht="15.75" customHeight="1">
      <c r="A952" s="2"/>
      <c r="B952" s="2"/>
      <c r="C952" s="2"/>
      <c r="D952" s="2"/>
      <c r="E952" s="2"/>
      <c r="F952" s="2"/>
      <c r="G952" s="2"/>
      <c r="H952" s="2"/>
      <c r="I952" s="74"/>
      <c r="J952" s="74"/>
      <c r="K952" s="74"/>
      <c r="L952" s="74"/>
      <c r="M952" s="2"/>
      <c r="N952" s="2"/>
      <c r="O952" s="2"/>
      <c r="P952" s="74"/>
      <c r="Q952" s="2"/>
      <c r="R952" s="2"/>
      <c r="S952" s="76"/>
      <c r="T952" s="88"/>
    </row>
    <row r="953" ht="15.75" customHeight="1">
      <c r="A953" s="2"/>
      <c r="B953" s="2"/>
      <c r="C953" s="2"/>
      <c r="D953" s="2"/>
      <c r="E953" s="2"/>
      <c r="F953" s="2"/>
      <c r="G953" s="2"/>
      <c r="H953" s="2"/>
      <c r="I953" s="74"/>
      <c r="J953" s="74"/>
      <c r="K953" s="74"/>
      <c r="L953" s="74"/>
      <c r="M953" s="2"/>
      <c r="N953" s="2"/>
      <c r="O953" s="2"/>
      <c r="P953" s="74"/>
      <c r="Q953" s="2"/>
      <c r="R953" s="2"/>
      <c r="S953" s="76"/>
      <c r="T953" s="88"/>
    </row>
    <row r="954" ht="15.75" customHeight="1">
      <c r="A954" s="2"/>
      <c r="B954" s="2"/>
      <c r="C954" s="2"/>
      <c r="D954" s="2"/>
      <c r="E954" s="2"/>
      <c r="F954" s="2"/>
      <c r="G954" s="2"/>
      <c r="H954" s="2"/>
      <c r="I954" s="74"/>
      <c r="J954" s="74"/>
      <c r="K954" s="74"/>
      <c r="L954" s="74"/>
      <c r="M954" s="2"/>
      <c r="N954" s="2"/>
      <c r="O954" s="2"/>
      <c r="P954" s="74"/>
      <c r="Q954" s="2"/>
      <c r="R954" s="2"/>
      <c r="S954" s="76"/>
      <c r="T954" s="88"/>
    </row>
    <row r="955" ht="15.75" customHeight="1">
      <c r="A955" s="2"/>
      <c r="B955" s="2"/>
      <c r="C955" s="2"/>
      <c r="D955" s="2"/>
      <c r="E955" s="2"/>
      <c r="F955" s="2"/>
      <c r="G955" s="2"/>
      <c r="H955" s="2"/>
      <c r="I955" s="74"/>
      <c r="J955" s="74"/>
      <c r="K955" s="74"/>
      <c r="L955" s="74"/>
      <c r="M955" s="2"/>
      <c r="N955" s="2"/>
      <c r="O955" s="2"/>
      <c r="P955" s="74"/>
      <c r="Q955" s="2"/>
      <c r="R955" s="2"/>
      <c r="S955" s="76"/>
      <c r="T955" s="88"/>
    </row>
    <row r="956" ht="15.75" customHeight="1">
      <c r="A956" s="2"/>
      <c r="B956" s="2"/>
      <c r="C956" s="2"/>
      <c r="D956" s="2"/>
      <c r="E956" s="2"/>
      <c r="F956" s="2"/>
      <c r="G956" s="2"/>
      <c r="H956" s="2"/>
      <c r="I956" s="74"/>
      <c r="J956" s="74"/>
      <c r="K956" s="74"/>
      <c r="L956" s="74"/>
      <c r="M956" s="2"/>
      <c r="N956" s="2"/>
      <c r="O956" s="2"/>
      <c r="P956" s="74"/>
      <c r="Q956" s="2"/>
      <c r="R956" s="2"/>
      <c r="S956" s="76"/>
      <c r="T956" s="88"/>
    </row>
    <row r="957" ht="15.75" customHeight="1">
      <c r="A957" s="2"/>
      <c r="B957" s="2"/>
      <c r="C957" s="2"/>
      <c r="D957" s="2"/>
      <c r="E957" s="2"/>
      <c r="F957" s="2"/>
      <c r="G957" s="2"/>
      <c r="H957" s="2"/>
      <c r="I957" s="74"/>
      <c r="J957" s="74"/>
      <c r="K957" s="74"/>
      <c r="L957" s="74"/>
      <c r="M957" s="2"/>
      <c r="N957" s="2"/>
      <c r="O957" s="2"/>
      <c r="P957" s="74"/>
      <c r="Q957" s="2"/>
      <c r="R957" s="2"/>
      <c r="S957" s="76"/>
      <c r="T957" s="88"/>
    </row>
    <row r="958" ht="15.75" customHeight="1">
      <c r="A958" s="2"/>
      <c r="B958" s="2"/>
      <c r="C958" s="2"/>
      <c r="D958" s="2"/>
      <c r="E958" s="2"/>
      <c r="F958" s="2"/>
      <c r="G958" s="2"/>
      <c r="H958" s="2"/>
      <c r="I958" s="74"/>
      <c r="J958" s="74"/>
      <c r="K958" s="74"/>
      <c r="L958" s="74"/>
      <c r="M958" s="2"/>
      <c r="N958" s="2"/>
      <c r="O958" s="2"/>
      <c r="P958" s="74"/>
      <c r="Q958" s="2"/>
      <c r="R958" s="2"/>
      <c r="S958" s="76"/>
      <c r="T958" s="88"/>
    </row>
    <row r="959" ht="15.75" customHeight="1">
      <c r="A959" s="2"/>
      <c r="B959" s="2"/>
      <c r="C959" s="2"/>
      <c r="D959" s="2"/>
      <c r="E959" s="2"/>
      <c r="F959" s="2"/>
      <c r="G959" s="2"/>
      <c r="H959" s="2"/>
      <c r="I959" s="74"/>
      <c r="J959" s="74"/>
      <c r="K959" s="74"/>
      <c r="L959" s="74"/>
      <c r="M959" s="2"/>
      <c r="N959" s="2"/>
      <c r="O959" s="2"/>
      <c r="P959" s="74"/>
      <c r="Q959" s="2"/>
      <c r="R959" s="2"/>
      <c r="S959" s="76"/>
      <c r="T959" s="88"/>
    </row>
    <row r="960" ht="15.75" customHeight="1">
      <c r="A960" s="2"/>
      <c r="B960" s="2"/>
      <c r="C960" s="2"/>
      <c r="D960" s="2"/>
      <c r="E960" s="2"/>
      <c r="F960" s="2"/>
      <c r="G960" s="2"/>
      <c r="H960" s="2"/>
      <c r="I960" s="74"/>
      <c r="J960" s="74"/>
      <c r="K960" s="74"/>
      <c r="L960" s="74"/>
      <c r="M960" s="2"/>
      <c r="N960" s="2"/>
      <c r="O960" s="2"/>
      <c r="P960" s="74"/>
      <c r="Q960" s="2"/>
      <c r="R960" s="2"/>
      <c r="S960" s="76"/>
      <c r="T960" s="88"/>
    </row>
    <row r="961" ht="15.75" customHeight="1">
      <c r="A961" s="2"/>
      <c r="B961" s="2"/>
      <c r="C961" s="2"/>
      <c r="D961" s="2"/>
      <c r="E961" s="2"/>
      <c r="F961" s="2"/>
      <c r="G961" s="2"/>
      <c r="H961" s="2"/>
      <c r="I961" s="74"/>
      <c r="J961" s="74"/>
      <c r="K961" s="74"/>
      <c r="L961" s="74"/>
      <c r="M961" s="2"/>
      <c r="N961" s="2"/>
      <c r="O961" s="2"/>
      <c r="P961" s="74"/>
      <c r="Q961" s="2"/>
      <c r="R961" s="2"/>
      <c r="S961" s="76"/>
      <c r="T961" s="88"/>
    </row>
    <row r="962" ht="15.75" customHeight="1">
      <c r="A962" s="2"/>
      <c r="B962" s="2"/>
      <c r="C962" s="2"/>
      <c r="D962" s="2"/>
      <c r="E962" s="2"/>
      <c r="F962" s="2"/>
      <c r="G962" s="2"/>
      <c r="H962" s="2"/>
      <c r="I962" s="74"/>
      <c r="J962" s="74"/>
      <c r="K962" s="74"/>
      <c r="L962" s="74"/>
      <c r="M962" s="2"/>
      <c r="N962" s="2"/>
      <c r="O962" s="2"/>
      <c r="P962" s="74"/>
      <c r="Q962" s="2"/>
      <c r="R962" s="2"/>
      <c r="S962" s="76"/>
      <c r="T962" s="88"/>
    </row>
    <row r="963" ht="15.75" customHeight="1">
      <c r="A963" s="2"/>
      <c r="B963" s="2"/>
      <c r="C963" s="2"/>
      <c r="D963" s="2"/>
      <c r="E963" s="2"/>
      <c r="F963" s="2"/>
      <c r="G963" s="2"/>
      <c r="H963" s="2"/>
      <c r="I963" s="74"/>
      <c r="J963" s="74"/>
      <c r="K963" s="74"/>
      <c r="L963" s="74"/>
      <c r="M963" s="2"/>
      <c r="N963" s="2"/>
      <c r="O963" s="2"/>
      <c r="P963" s="74"/>
      <c r="Q963" s="2"/>
      <c r="R963" s="2"/>
      <c r="S963" s="76"/>
      <c r="T963" s="88"/>
    </row>
    <row r="964" ht="15.75" customHeight="1">
      <c r="A964" s="2"/>
      <c r="B964" s="2"/>
      <c r="C964" s="2"/>
      <c r="D964" s="2"/>
      <c r="E964" s="2"/>
      <c r="F964" s="2"/>
      <c r="G964" s="2"/>
      <c r="H964" s="2"/>
      <c r="I964" s="74"/>
      <c r="J964" s="74"/>
      <c r="K964" s="74"/>
      <c r="L964" s="74"/>
      <c r="M964" s="2"/>
      <c r="N964" s="2"/>
      <c r="O964" s="2"/>
      <c r="P964" s="74"/>
      <c r="Q964" s="2"/>
      <c r="R964" s="2"/>
      <c r="S964" s="76"/>
      <c r="T964" s="88"/>
    </row>
    <row r="965" ht="15.75" customHeight="1">
      <c r="A965" s="2"/>
      <c r="B965" s="2"/>
      <c r="C965" s="2"/>
      <c r="D965" s="2"/>
      <c r="E965" s="2"/>
      <c r="F965" s="2"/>
      <c r="G965" s="2"/>
      <c r="H965" s="2"/>
      <c r="I965" s="74"/>
      <c r="J965" s="74"/>
      <c r="K965" s="74"/>
      <c r="L965" s="74"/>
      <c r="M965" s="2"/>
      <c r="N965" s="2"/>
      <c r="O965" s="2"/>
      <c r="P965" s="74"/>
      <c r="Q965" s="2"/>
      <c r="R965" s="2"/>
      <c r="S965" s="76"/>
      <c r="T965" s="88"/>
    </row>
    <row r="966" ht="15.75" customHeight="1">
      <c r="A966" s="2"/>
      <c r="B966" s="2"/>
      <c r="C966" s="2"/>
      <c r="D966" s="2"/>
      <c r="E966" s="2"/>
      <c r="F966" s="2"/>
      <c r="G966" s="2"/>
      <c r="H966" s="2"/>
      <c r="I966" s="74"/>
      <c r="J966" s="74"/>
      <c r="K966" s="74"/>
      <c r="L966" s="74"/>
      <c r="M966" s="2"/>
      <c r="N966" s="2"/>
      <c r="O966" s="2"/>
      <c r="P966" s="74"/>
      <c r="Q966" s="2"/>
      <c r="R966" s="2"/>
      <c r="S966" s="76"/>
      <c r="T966" s="88"/>
    </row>
    <row r="967" ht="15.75" customHeight="1">
      <c r="A967" s="2"/>
      <c r="B967" s="2"/>
      <c r="C967" s="2"/>
      <c r="D967" s="2"/>
      <c r="E967" s="2"/>
      <c r="F967" s="2"/>
      <c r="G967" s="2"/>
      <c r="H967" s="2"/>
      <c r="I967" s="74"/>
      <c r="J967" s="74"/>
      <c r="K967" s="74"/>
      <c r="L967" s="74"/>
      <c r="M967" s="2"/>
      <c r="N967" s="2"/>
      <c r="O967" s="2"/>
      <c r="P967" s="74"/>
      <c r="Q967" s="2"/>
      <c r="R967" s="2"/>
      <c r="S967" s="76"/>
      <c r="T967" s="88"/>
    </row>
    <row r="968" ht="15.75" customHeight="1">
      <c r="A968" s="2"/>
      <c r="B968" s="2"/>
      <c r="C968" s="2"/>
      <c r="D968" s="2"/>
      <c r="E968" s="2"/>
      <c r="F968" s="2"/>
      <c r="G968" s="2"/>
      <c r="H968" s="2"/>
      <c r="I968" s="74"/>
      <c r="J968" s="74"/>
      <c r="K968" s="74"/>
      <c r="L968" s="74"/>
      <c r="M968" s="2"/>
      <c r="N968" s="2"/>
      <c r="O968" s="2"/>
      <c r="P968" s="74"/>
      <c r="Q968" s="2"/>
      <c r="R968" s="2"/>
      <c r="S968" s="76"/>
      <c r="T968" s="88"/>
    </row>
    <row r="969" ht="15.75" customHeight="1">
      <c r="A969" s="2"/>
      <c r="B969" s="2"/>
      <c r="C969" s="2"/>
      <c r="D969" s="2"/>
      <c r="E969" s="2"/>
      <c r="F969" s="2"/>
      <c r="G969" s="2"/>
      <c r="H969" s="2"/>
      <c r="I969" s="74"/>
      <c r="J969" s="74"/>
      <c r="K969" s="74"/>
      <c r="L969" s="74"/>
      <c r="M969" s="2"/>
      <c r="N969" s="2"/>
      <c r="O969" s="2"/>
      <c r="P969" s="74"/>
      <c r="Q969" s="2"/>
      <c r="R969" s="2"/>
      <c r="S969" s="76"/>
      <c r="T969" s="88"/>
    </row>
    <row r="970" ht="15.75" customHeight="1">
      <c r="A970" s="2"/>
      <c r="B970" s="2"/>
      <c r="C970" s="2"/>
      <c r="D970" s="2"/>
      <c r="E970" s="2"/>
      <c r="F970" s="2"/>
      <c r="G970" s="2"/>
      <c r="H970" s="2"/>
      <c r="I970" s="74"/>
      <c r="J970" s="74"/>
      <c r="K970" s="74"/>
      <c r="L970" s="74"/>
      <c r="M970" s="2"/>
      <c r="N970" s="2"/>
      <c r="O970" s="2"/>
      <c r="P970" s="74"/>
      <c r="Q970" s="2"/>
      <c r="R970" s="2"/>
      <c r="S970" s="76"/>
      <c r="T970" s="88"/>
    </row>
    <row r="971" ht="15.75" customHeight="1">
      <c r="A971" s="2"/>
      <c r="B971" s="2"/>
      <c r="C971" s="2"/>
      <c r="D971" s="2"/>
      <c r="E971" s="2"/>
      <c r="F971" s="2"/>
      <c r="G971" s="2"/>
      <c r="H971" s="2"/>
      <c r="I971" s="74"/>
      <c r="J971" s="74"/>
      <c r="K971" s="74"/>
      <c r="L971" s="74"/>
      <c r="M971" s="2"/>
      <c r="N971" s="2"/>
      <c r="O971" s="2"/>
      <c r="P971" s="74"/>
      <c r="Q971" s="2"/>
      <c r="R971" s="2"/>
      <c r="S971" s="76"/>
      <c r="T971" s="88"/>
    </row>
    <row r="972" ht="15.75" customHeight="1">
      <c r="A972" s="2"/>
      <c r="B972" s="2"/>
      <c r="C972" s="2"/>
      <c r="D972" s="2"/>
      <c r="E972" s="2"/>
      <c r="F972" s="2"/>
      <c r="G972" s="2"/>
      <c r="H972" s="2"/>
      <c r="I972" s="74"/>
      <c r="J972" s="74"/>
      <c r="K972" s="74"/>
      <c r="L972" s="74"/>
      <c r="M972" s="2"/>
      <c r="N972" s="2"/>
      <c r="O972" s="2"/>
      <c r="P972" s="74"/>
      <c r="Q972" s="2"/>
      <c r="R972" s="2"/>
      <c r="S972" s="76"/>
      <c r="T972" s="88"/>
    </row>
    <row r="973" ht="15.75" customHeight="1">
      <c r="A973" s="2"/>
      <c r="B973" s="2"/>
      <c r="C973" s="2"/>
      <c r="D973" s="2"/>
      <c r="E973" s="2"/>
      <c r="F973" s="2"/>
      <c r="G973" s="2"/>
      <c r="H973" s="2"/>
      <c r="I973" s="74"/>
      <c r="J973" s="74"/>
      <c r="K973" s="74"/>
      <c r="L973" s="74"/>
      <c r="M973" s="2"/>
      <c r="N973" s="2"/>
      <c r="O973" s="2"/>
      <c r="P973" s="74"/>
      <c r="Q973" s="2"/>
      <c r="R973" s="2"/>
      <c r="S973" s="76"/>
      <c r="T973" s="88"/>
    </row>
    <row r="974" ht="15.75" customHeight="1">
      <c r="A974" s="2"/>
      <c r="B974" s="2"/>
      <c r="C974" s="2"/>
      <c r="D974" s="2"/>
      <c r="E974" s="2"/>
      <c r="F974" s="2"/>
      <c r="G974" s="2"/>
      <c r="H974" s="2"/>
      <c r="I974" s="74"/>
      <c r="J974" s="74"/>
      <c r="K974" s="74"/>
      <c r="L974" s="74"/>
      <c r="M974" s="2"/>
      <c r="N974" s="2"/>
      <c r="O974" s="2"/>
      <c r="P974" s="74"/>
      <c r="Q974" s="2"/>
      <c r="R974" s="2"/>
      <c r="S974" s="76"/>
      <c r="T974" s="88"/>
    </row>
    <row r="975" ht="15.75" customHeight="1">
      <c r="A975" s="2"/>
      <c r="B975" s="2"/>
      <c r="C975" s="2"/>
      <c r="D975" s="2"/>
      <c r="E975" s="2"/>
      <c r="F975" s="2"/>
      <c r="G975" s="2"/>
      <c r="H975" s="2"/>
      <c r="I975" s="74"/>
      <c r="J975" s="74"/>
      <c r="K975" s="74"/>
      <c r="L975" s="74"/>
      <c r="M975" s="2"/>
      <c r="N975" s="2"/>
      <c r="O975" s="2"/>
      <c r="P975" s="74"/>
      <c r="Q975" s="2"/>
      <c r="R975" s="2"/>
      <c r="S975" s="76"/>
      <c r="T975" s="88"/>
    </row>
    <row r="976" ht="15.75" customHeight="1">
      <c r="A976" s="2"/>
      <c r="B976" s="2"/>
      <c r="C976" s="2"/>
      <c r="D976" s="2"/>
      <c r="E976" s="2"/>
      <c r="F976" s="2"/>
      <c r="G976" s="2"/>
      <c r="H976" s="2"/>
      <c r="I976" s="74"/>
      <c r="J976" s="74"/>
      <c r="K976" s="74"/>
      <c r="L976" s="74"/>
      <c r="M976" s="2"/>
      <c r="N976" s="2"/>
      <c r="O976" s="2"/>
      <c r="P976" s="74"/>
      <c r="Q976" s="2"/>
      <c r="R976" s="2"/>
      <c r="S976" s="76"/>
      <c r="T976" s="88"/>
    </row>
    <row r="977" ht="15.75" customHeight="1">
      <c r="A977" s="2"/>
      <c r="B977" s="2"/>
      <c r="C977" s="2"/>
      <c r="D977" s="2"/>
      <c r="E977" s="2"/>
      <c r="F977" s="2"/>
      <c r="G977" s="2"/>
      <c r="H977" s="2"/>
      <c r="I977" s="74"/>
      <c r="J977" s="74"/>
      <c r="K977" s="74"/>
      <c r="L977" s="74"/>
      <c r="M977" s="2"/>
      <c r="N977" s="2"/>
      <c r="O977" s="2"/>
      <c r="P977" s="74"/>
      <c r="Q977" s="2"/>
      <c r="R977" s="2"/>
      <c r="S977" s="76"/>
      <c r="T977" s="88"/>
    </row>
    <row r="978" ht="15.75" customHeight="1">
      <c r="A978" s="2"/>
      <c r="B978" s="2"/>
      <c r="C978" s="2"/>
      <c r="D978" s="2"/>
      <c r="E978" s="2"/>
      <c r="F978" s="2"/>
      <c r="G978" s="2"/>
      <c r="H978" s="2"/>
      <c r="I978" s="74"/>
      <c r="J978" s="74"/>
      <c r="K978" s="74"/>
      <c r="L978" s="74"/>
      <c r="M978" s="2"/>
      <c r="N978" s="2"/>
      <c r="O978" s="2"/>
      <c r="P978" s="74"/>
      <c r="Q978" s="2"/>
      <c r="R978" s="2"/>
      <c r="S978" s="76"/>
      <c r="T978" s="88"/>
    </row>
    <row r="979" ht="15.75" customHeight="1">
      <c r="A979" s="2"/>
      <c r="B979" s="2"/>
      <c r="C979" s="2"/>
      <c r="D979" s="2"/>
      <c r="E979" s="2"/>
      <c r="F979" s="2"/>
      <c r="G979" s="2"/>
      <c r="H979" s="2"/>
      <c r="I979" s="74"/>
      <c r="J979" s="74"/>
      <c r="K979" s="74"/>
      <c r="L979" s="74"/>
      <c r="M979" s="2"/>
      <c r="N979" s="2"/>
      <c r="O979" s="2"/>
      <c r="P979" s="74"/>
      <c r="Q979" s="2"/>
      <c r="R979" s="2"/>
      <c r="S979" s="76"/>
      <c r="T979" s="88"/>
    </row>
    <row r="980" ht="15.75" customHeight="1">
      <c r="A980" s="2"/>
      <c r="B980" s="2"/>
      <c r="C980" s="2"/>
      <c r="D980" s="2"/>
      <c r="E980" s="2"/>
      <c r="F980" s="2"/>
      <c r="G980" s="2"/>
      <c r="H980" s="2"/>
      <c r="I980" s="74"/>
      <c r="J980" s="74"/>
      <c r="K980" s="74"/>
      <c r="L980" s="74"/>
      <c r="M980" s="2"/>
      <c r="N980" s="2"/>
      <c r="O980" s="2"/>
      <c r="P980" s="74"/>
      <c r="Q980" s="2"/>
      <c r="R980" s="2"/>
      <c r="S980" s="76"/>
      <c r="T980" s="88"/>
    </row>
    <row r="981" ht="15.75" customHeight="1">
      <c r="A981" s="2"/>
      <c r="B981" s="2"/>
      <c r="C981" s="2"/>
      <c r="D981" s="2"/>
      <c r="E981" s="2"/>
      <c r="F981" s="2"/>
      <c r="G981" s="2"/>
      <c r="H981" s="2"/>
      <c r="I981" s="74"/>
      <c r="J981" s="74"/>
      <c r="K981" s="74"/>
      <c r="L981" s="74"/>
      <c r="M981" s="2"/>
      <c r="N981" s="2"/>
      <c r="O981" s="2"/>
      <c r="P981" s="74"/>
      <c r="Q981" s="2"/>
      <c r="R981" s="2"/>
      <c r="S981" s="76"/>
      <c r="T981" s="88"/>
    </row>
    <row r="982" ht="15.75" customHeight="1">
      <c r="A982" s="2"/>
      <c r="B982" s="2"/>
      <c r="C982" s="2"/>
      <c r="D982" s="2"/>
      <c r="E982" s="2"/>
      <c r="F982" s="2"/>
      <c r="G982" s="2"/>
      <c r="H982" s="2"/>
      <c r="I982" s="74"/>
      <c r="J982" s="74"/>
      <c r="K982" s="74"/>
      <c r="L982" s="74"/>
      <c r="M982" s="2"/>
      <c r="N982" s="2"/>
      <c r="O982" s="2"/>
      <c r="P982" s="74"/>
      <c r="Q982" s="2"/>
      <c r="R982" s="2"/>
      <c r="S982" s="76"/>
      <c r="T982" s="88"/>
    </row>
    <row r="983" ht="15.75" customHeight="1">
      <c r="A983" s="2"/>
      <c r="B983" s="2"/>
      <c r="C983" s="2"/>
      <c r="D983" s="2"/>
      <c r="E983" s="2"/>
      <c r="F983" s="2"/>
      <c r="G983" s="2"/>
      <c r="H983" s="2"/>
      <c r="I983" s="74"/>
      <c r="J983" s="74"/>
      <c r="K983" s="74"/>
      <c r="L983" s="74"/>
      <c r="M983" s="2"/>
      <c r="N983" s="2"/>
      <c r="O983" s="2"/>
      <c r="P983" s="74"/>
      <c r="Q983" s="2"/>
      <c r="R983" s="2"/>
      <c r="S983" s="76"/>
      <c r="T983" s="88"/>
    </row>
    <row r="984" ht="15.75" customHeight="1">
      <c r="A984" s="2"/>
      <c r="B984" s="2"/>
      <c r="C984" s="2"/>
      <c r="D984" s="2"/>
      <c r="E984" s="2"/>
      <c r="F984" s="2"/>
      <c r="G984" s="2"/>
      <c r="H984" s="2"/>
      <c r="I984" s="74"/>
      <c r="J984" s="74"/>
      <c r="K984" s="74"/>
      <c r="L984" s="74"/>
      <c r="M984" s="2"/>
      <c r="N984" s="2"/>
      <c r="O984" s="2"/>
      <c r="P984" s="74"/>
      <c r="Q984" s="2"/>
      <c r="R984" s="2"/>
      <c r="S984" s="76"/>
      <c r="T984" s="88"/>
    </row>
    <row r="985" ht="15.75" customHeight="1">
      <c r="A985" s="2"/>
      <c r="B985" s="2"/>
      <c r="C985" s="2"/>
      <c r="D985" s="2"/>
      <c r="E985" s="2"/>
      <c r="F985" s="2"/>
      <c r="G985" s="2"/>
      <c r="H985" s="2"/>
      <c r="I985" s="74"/>
      <c r="J985" s="74"/>
      <c r="K985" s="74"/>
      <c r="L985" s="74"/>
      <c r="M985" s="2"/>
      <c r="N985" s="2"/>
      <c r="O985" s="2"/>
      <c r="P985" s="74"/>
      <c r="Q985" s="2"/>
      <c r="R985" s="2"/>
      <c r="S985" s="76"/>
      <c r="T985" s="88"/>
    </row>
    <row r="986" ht="15.75" customHeight="1">
      <c r="A986" s="2"/>
      <c r="B986" s="2"/>
      <c r="C986" s="2"/>
      <c r="D986" s="2"/>
      <c r="E986" s="2"/>
      <c r="F986" s="2"/>
      <c r="G986" s="2"/>
      <c r="H986" s="2"/>
      <c r="I986" s="74"/>
      <c r="J986" s="74"/>
      <c r="K986" s="74"/>
      <c r="L986" s="74"/>
      <c r="M986" s="2"/>
      <c r="N986" s="2"/>
      <c r="O986" s="2"/>
      <c r="P986" s="74"/>
      <c r="Q986" s="2"/>
      <c r="R986" s="2"/>
      <c r="S986" s="76"/>
      <c r="T986" s="88"/>
    </row>
    <row r="987" ht="15.75" customHeight="1">
      <c r="A987" s="2"/>
      <c r="B987" s="2"/>
      <c r="C987" s="2"/>
      <c r="D987" s="2"/>
      <c r="E987" s="2"/>
      <c r="F987" s="2"/>
      <c r="G987" s="2"/>
      <c r="H987" s="2"/>
      <c r="I987" s="74"/>
      <c r="J987" s="74"/>
      <c r="K987" s="74"/>
      <c r="L987" s="74"/>
      <c r="M987" s="2"/>
      <c r="N987" s="2"/>
      <c r="O987" s="2"/>
      <c r="P987" s="74"/>
      <c r="Q987" s="2"/>
      <c r="R987" s="2"/>
      <c r="S987" s="76"/>
      <c r="T987" s="88"/>
    </row>
    <row r="988" ht="15.75" customHeight="1">
      <c r="A988" s="2"/>
      <c r="B988" s="2"/>
      <c r="C988" s="2"/>
      <c r="D988" s="2"/>
      <c r="E988" s="2"/>
      <c r="F988" s="2"/>
      <c r="G988" s="2"/>
      <c r="H988" s="2"/>
      <c r="I988" s="74"/>
      <c r="J988" s="74"/>
      <c r="K988" s="74"/>
      <c r="L988" s="74"/>
      <c r="M988" s="2"/>
      <c r="N988" s="2"/>
      <c r="O988" s="2"/>
      <c r="P988" s="74"/>
      <c r="Q988" s="2"/>
      <c r="R988" s="2"/>
      <c r="S988" s="76"/>
      <c r="T988" s="88"/>
    </row>
    <row r="989" ht="15.75" customHeight="1">
      <c r="A989" s="2"/>
      <c r="B989" s="2"/>
      <c r="C989" s="2"/>
      <c r="D989" s="2"/>
      <c r="E989" s="2"/>
      <c r="F989" s="2"/>
      <c r="G989" s="2"/>
      <c r="H989" s="2"/>
      <c r="I989" s="74"/>
      <c r="J989" s="74"/>
      <c r="K989" s="74"/>
      <c r="L989" s="74"/>
      <c r="M989" s="2"/>
      <c r="N989" s="2"/>
      <c r="O989" s="2"/>
      <c r="P989" s="74"/>
      <c r="Q989" s="2"/>
      <c r="R989" s="2"/>
      <c r="S989" s="76"/>
      <c r="T989" s="88"/>
    </row>
    <row r="990" ht="15.75" customHeight="1">
      <c r="A990" s="2"/>
      <c r="B990" s="2"/>
      <c r="C990" s="2"/>
      <c r="D990" s="2"/>
      <c r="E990" s="2"/>
      <c r="F990" s="2"/>
      <c r="G990" s="2"/>
      <c r="H990" s="2"/>
      <c r="I990" s="74"/>
      <c r="J990" s="74"/>
      <c r="K990" s="74"/>
      <c r="L990" s="74"/>
      <c r="M990" s="2"/>
      <c r="N990" s="2"/>
      <c r="O990" s="2"/>
      <c r="P990" s="74"/>
      <c r="Q990" s="2"/>
      <c r="R990" s="2"/>
      <c r="S990" s="76"/>
      <c r="T990" s="88"/>
    </row>
    <row r="991" ht="15.75" customHeight="1">
      <c r="A991" s="2"/>
      <c r="B991" s="2"/>
      <c r="C991" s="2"/>
      <c r="D991" s="2"/>
      <c r="E991" s="2"/>
      <c r="F991" s="2"/>
      <c r="G991" s="2"/>
      <c r="H991" s="2"/>
      <c r="I991" s="74"/>
      <c r="J991" s="74"/>
      <c r="K991" s="74"/>
      <c r="L991" s="74"/>
      <c r="M991" s="2"/>
      <c r="N991" s="2"/>
      <c r="O991" s="2"/>
      <c r="P991" s="74"/>
      <c r="Q991" s="2"/>
      <c r="R991" s="2"/>
      <c r="S991" s="76"/>
      <c r="T991" s="88"/>
    </row>
    <row r="992" ht="15.75" customHeight="1">
      <c r="A992" s="2"/>
      <c r="B992" s="2"/>
      <c r="C992" s="2"/>
      <c r="D992" s="2"/>
      <c r="E992" s="2"/>
      <c r="F992" s="2"/>
      <c r="G992" s="2"/>
      <c r="H992" s="2"/>
      <c r="I992" s="74"/>
      <c r="J992" s="74"/>
      <c r="K992" s="74"/>
      <c r="L992" s="74"/>
      <c r="M992" s="2"/>
      <c r="N992" s="2"/>
      <c r="O992" s="2"/>
      <c r="P992" s="74"/>
      <c r="Q992" s="2"/>
      <c r="R992" s="2"/>
      <c r="S992" s="76"/>
      <c r="T992" s="88"/>
    </row>
    <row r="993" ht="15.75" customHeight="1">
      <c r="A993" s="2"/>
      <c r="B993" s="2"/>
      <c r="C993" s="2"/>
      <c r="D993" s="2"/>
      <c r="E993" s="2"/>
      <c r="F993" s="2"/>
      <c r="G993" s="2"/>
      <c r="H993" s="2"/>
      <c r="I993" s="74"/>
      <c r="J993" s="74"/>
      <c r="K993" s="74"/>
      <c r="L993" s="74"/>
      <c r="M993" s="2"/>
      <c r="N993" s="2"/>
      <c r="O993" s="2"/>
      <c r="P993" s="74"/>
      <c r="Q993" s="2"/>
      <c r="R993" s="2"/>
      <c r="S993" s="76"/>
      <c r="T993" s="88"/>
    </row>
    <row r="994" ht="15.75" customHeight="1">
      <c r="A994" s="2"/>
      <c r="B994" s="2"/>
      <c r="C994" s="2"/>
      <c r="D994" s="2"/>
      <c r="E994" s="2"/>
      <c r="F994" s="2"/>
      <c r="G994" s="2"/>
      <c r="H994" s="2"/>
      <c r="I994" s="74"/>
      <c r="J994" s="74"/>
      <c r="K994" s="74"/>
      <c r="L994" s="74"/>
      <c r="M994" s="2"/>
      <c r="N994" s="2"/>
      <c r="O994" s="2"/>
      <c r="P994" s="74"/>
      <c r="Q994" s="2"/>
      <c r="R994" s="2"/>
      <c r="S994" s="76"/>
      <c r="T994" s="88"/>
    </row>
    <row r="995" ht="15.75" customHeight="1">
      <c r="A995" s="2"/>
      <c r="B995" s="2"/>
      <c r="C995" s="2"/>
      <c r="D995" s="2"/>
      <c r="E995" s="2"/>
      <c r="F995" s="2"/>
      <c r="G995" s="2"/>
      <c r="H995" s="2"/>
      <c r="I995" s="74"/>
      <c r="J995" s="74"/>
      <c r="K995" s="74"/>
      <c r="L995" s="74"/>
      <c r="M995" s="2"/>
      <c r="N995" s="2"/>
      <c r="O995" s="2"/>
      <c r="P995" s="74"/>
      <c r="Q995" s="2"/>
      <c r="R995" s="2"/>
      <c r="S995" s="76"/>
      <c r="T995" s="88"/>
    </row>
    <row r="996" ht="15.75" customHeight="1">
      <c r="A996" s="2"/>
      <c r="B996" s="2"/>
      <c r="C996" s="2"/>
      <c r="D996" s="2"/>
      <c r="E996" s="2"/>
      <c r="F996" s="2"/>
      <c r="G996" s="2"/>
      <c r="H996" s="2"/>
      <c r="I996" s="74"/>
      <c r="J996" s="74"/>
      <c r="K996" s="74"/>
      <c r="L996" s="74"/>
      <c r="M996" s="2"/>
      <c r="N996" s="2"/>
      <c r="O996" s="2"/>
      <c r="P996" s="74"/>
      <c r="Q996" s="2"/>
      <c r="R996" s="2"/>
      <c r="S996" s="76"/>
      <c r="T996" s="88"/>
    </row>
    <row r="997" ht="15.75" customHeight="1">
      <c r="A997" s="2"/>
      <c r="B997" s="2"/>
      <c r="C997" s="2"/>
      <c r="D997" s="2"/>
      <c r="E997" s="2"/>
      <c r="F997" s="2"/>
      <c r="G997" s="2"/>
      <c r="H997" s="2"/>
      <c r="I997" s="74"/>
      <c r="J997" s="74"/>
      <c r="K997" s="74"/>
      <c r="L997" s="74"/>
      <c r="M997" s="2"/>
      <c r="N997" s="2"/>
      <c r="O997" s="2"/>
      <c r="P997" s="74"/>
      <c r="Q997" s="2"/>
      <c r="R997" s="2"/>
      <c r="S997" s="76"/>
      <c r="T997" s="88"/>
    </row>
    <row r="998" ht="15.75" customHeight="1">
      <c r="A998" s="2"/>
      <c r="B998" s="2"/>
      <c r="C998" s="2"/>
      <c r="D998" s="2"/>
      <c r="E998" s="2"/>
      <c r="F998" s="2"/>
      <c r="G998" s="2"/>
      <c r="H998" s="2"/>
      <c r="I998" s="74"/>
      <c r="J998" s="74"/>
      <c r="K998" s="74"/>
      <c r="L998" s="74"/>
      <c r="M998" s="2"/>
      <c r="N998" s="2"/>
      <c r="O998" s="2"/>
      <c r="P998" s="74"/>
      <c r="Q998" s="2"/>
      <c r="R998" s="2"/>
      <c r="S998" s="76"/>
      <c r="T998" s="88"/>
    </row>
    <row r="999" ht="15.75" customHeight="1">
      <c r="A999" s="2"/>
      <c r="B999" s="2"/>
      <c r="C999" s="2"/>
      <c r="D999" s="2"/>
      <c r="E999" s="2"/>
      <c r="F999" s="2"/>
      <c r="G999" s="2"/>
      <c r="H999" s="2"/>
      <c r="I999" s="74"/>
      <c r="J999" s="74"/>
      <c r="K999" s="74"/>
      <c r="L999" s="74"/>
      <c r="M999" s="2"/>
      <c r="N999" s="2"/>
      <c r="O999" s="2"/>
      <c r="P999" s="74"/>
      <c r="Q999" s="2"/>
      <c r="R999" s="2"/>
      <c r="S999" s="76"/>
      <c r="T999" s="88"/>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88"/>
    </row>
  </sheetData>
  <autoFilter ref="$A$1:$T$200">
    <filterColumn colId="16">
      <filters blank="1">
        <filter val="Reopened"/>
        <filter val="Open"/>
      </filters>
    </filterColumn>
    <filterColumn colId="6">
      <filters>
        <filter val="HTML/CSS"/>
      </filters>
    </filterColumn>
  </autoFilter>
  <dataValidations>
    <dataValidation type="list" allowBlank="1" showErrorMessage="1" sqref="C2:C37 C39:C66 C80:C1000">
      <formula1>"P0,P1,P2,P3"</formula1>
    </dataValidation>
    <dataValidation type="list" allowBlank="1" showErrorMessage="1" sqref="O44 O60:O62 O64:O65 O80 O82">
      <formula1>"Fixed,In Progress,Need Discussion,Rejected,Blocked"</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43 O45:O54 O56:O59 O63 O66 O81 O83:O1000">
      <formula1>"Fixed,In Progress,Need Discussion"</formula1>
    </dataValidation>
    <dataValidation type="list" allowBlank="1" showErrorMessage="1" sqref="Q2:Q70 Q75:Q77 Q79:Q1000">
      <formula1>"Open,Resolved,Hold,Reopened,Need Discussion"</formula1>
    </dataValidation>
  </dataValidations>
  <hyperlinks>
    <hyperlink r:id="rId1" ref="K2"/>
    <hyperlink r:id="rId2" ref="L2"/>
    <hyperlink r:id="rId3" ref="K3"/>
    <hyperlink r:id="rId4" ref="L3"/>
    <hyperlink r:id="rId5" ref="K4"/>
    <hyperlink r:id="rId6" ref="K5"/>
    <hyperlink r:id="rId7" ref="K6"/>
    <hyperlink r:id="rId8" ref="L6"/>
    <hyperlink r:id="rId9" ref="K7"/>
    <hyperlink r:id="rId10" ref="K8"/>
    <hyperlink r:id="rId11" ref="K9"/>
    <hyperlink r:id="rId12" ref="L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L24"/>
    <hyperlink r:id="rId35" ref="K25"/>
    <hyperlink r:id="rId36" ref="K26"/>
    <hyperlink r:id="rId37" ref="K27"/>
    <hyperlink r:id="rId38" ref="K28"/>
    <hyperlink r:id="rId39" ref="K29"/>
    <hyperlink r:id="rId40" ref="K30"/>
    <hyperlink r:id="rId41" ref="K31"/>
    <hyperlink r:id="rId42" ref="L31"/>
    <hyperlink r:id="rId43" ref="K32"/>
    <hyperlink r:id="rId44" ref="K33"/>
    <hyperlink r:id="rId45" ref="K34"/>
    <hyperlink r:id="rId46" ref="K35"/>
    <hyperlink r:id="rId47" ref="K36"/>
    <hyperlink r:id="rId48" ref="K37"/>
    <hyperlink r:id="rId49" ref="K38"/>
    <hyperlink r:id="rId50" ref="K39"/>
    <hyperlink r:id="rId51" ref="L39"/>
    <hyperlink r:id="rId52" ref="K40"/>
    <hyperlink r:id="rId53" ref="L40"/>
    <hyperlink r:id="rId54" ref="K41"/>
    <hyperlink r:id="rId55" ref="L41"/>
    <hyperlink r:id="rId56" ref="K42"/>
    <hyperlink r:id="rId57" ref="L42"/>
    <hyperlink r:id="rId58" ref="S42"/>
    <hyperlink r:id="rId59" ref="K43"/>
    <hyperlink r:id="rId60" ref="K44"/>
    <hyperlink r:id="rId61" ref="L44"/>
    <hyperlink r:id="rId62" ref="K45"/>
    <hyperlink r:id="rId63" ref="K46"/>
    <hyperlink r:id="rId64" ref="K47"/>
    <hyperlink r:id="rId65" ref="K49"/>
    <hyperlink r:id="rId66" ref="K50"/>
    <hyperlink r:id="rId67" ref="K51"/>
    <hyperlink r:id="rId68" ref="K52"/>
    <hyperlink r:id="rId69" ref="K53"/>
    <hyperlink r:id="rId70" ref="K54"/>
    <hyperlink r:id="rId71" ref="K55"/>
    <hyperlink r:id="rId72" ref="K56"/>
    <hyperlink r:id="rId73" ref="K57"/>
    <hyperlink r:id="rId74" ref="K58"/>
    <hyperlink r:id="rId75" ref="K59"/>
    <hyperlink r:id="rId76" ref="L59"/>
    <hyperlink r:id="rId77" ref="K60"/>
    <hyperlink r:id="rId78" ref="K61"/>
    <hyperlink r:id="rId79" ref="K62"/>
    <hyperlink r:id="rId80" ref="K63"/>
    <hyperlink r:id="rId81" ref="K64"/>
    <hyperlink r:id="rId82" ref="K65"/>
    <hyperlink r:id="rId83" ref="K66"/>
    <hyperlink r:id="rId84" ref="K67"/>
    <hyperlink r:id="rId85" ref="K68"/>
    <hyperlink r:id="rId86" ref="K69"/>
    <hyperlink r:id="rId87" ref="K70"/>
    <hyperlink r:id="rId88" ref="K71"/>
    <hyperlink r:id="rId89" ref="K72"/>
    <hyperlink r:id="rId90" ref="K73"/>
    <hyperlink r:id="rId91" ref="K74"/>
    <hyperlink r:id="rId92" ref="K75"/>
    <hyperlink r:id="rId93" ref="K76"/>
    <hyperlink r:id="rId94" ref="K77"/>
    <hyperlink r:id="rId95" ref="K78"/>
    <hyperlink r:id="rId96" ref="K79"/>
    <hyperlink r:id="rId97" ref="K80"/>
    <hyperlink r:id="rId98" ref="K81"/>
    <hyperlink r:id="rId99" ref="L81"/>
    <hyperlink r:id="rId100" ref="K82"/>
    <hyperlink r:id="rId101" ref="K83"/>
    <hyperlink r:id="rId102" ref="K84"/>
    <hyperlink r:id="rId103" ref="K85"/>
    <hyperlink r:id="rId104" ref="K86"/>
    <hyperlink r:id="rId105" ref="K87"/>
    <hyperlink r:id="rId106" ref="K88"/>
    <hyperlink r:id="rId107" ref="K89"/>
    <hyperlink r:id="rId108" ref="K90"/>
    <hyperlink r:id="rId109" ref="K91"/>
    <hyperlink r:id="rId110" ref="K92"/>
    <hyperlink r:id="rId111" ref="K93"/>
    <hyperlink r:id="rId112" ref="K94"/>
    <hyperlink r:id="rId113" ref="K95"/>
    <hyperlink r:id="rId114" ref="K96"/>
    <hyperlink r:id="rId115" ref="K97"/>
    <hyperlink r:id="rId116" ref="K98"/>
    <hyperlink r:id="rId117" ref="K99"/>
    <hyperlink r:id="rId118" ref="K100"/>
    <hyperlink r:id="rId119" ref="K101"/>
    <hyperlink r:id="rId120" ref="K102"/>
    <hyperlink r:id="rId121" ref="K103"/>
    <hyperlink r:id="rId122" ref="K104"/>
    <hyperlink r:id="rId123" ref="K105"/>
    <hyperlink r:id="rId124" ref="K106"/>
    <hyperlink r:id="rId125" ref="S106"/>
    <hyperlink r:id="rId126" ref="K107"/>
    <hyperlink r:id="rId127" ref="K108"/>
    <hyperlink r:id="rId128" ref="K109"/>
    <hyperlink r:id="rId129" ref="K110"/>
    <hyperlink r:id="rId130" ref="K111"/>
    <hyperlink r:id="rId131" ref="K112"/>
    <hyperlink r:id="rId132" ref="K113"/>
    <hyperlink r:id="rId133" ref="K114"/>
    <hyperlink r:id="rId134" ref="K115"/>
    <hyperlink r:id="rId135" ref="K116"/>
    <hyperlink r:id="rId136" ref="K117"/>
    <hyperlink r:id="rId137" ref="K118"/>
    <hyperlink r:id="rId138" ref="K119"/>
    <hyperlink r:id="rId139" ref="K120"/>
    <hyperlink r:id="rId140" ref="K121"/>
    <hyperlink r:id="rId141" ref="K122"/>
    <hyperlink r:id="rId142" ref="K123"/>
    <hyperlink r:id="rId143" ref="K124"/>
    <hyperlink r:id="rId144" ref="K125"/>
    <hyperlink r:id="rId145" ref="K126"/>
    <hyperlink r:id="rId146" ref="K127"/>
    <hyperlink r:id="rId147" ref="K128"/>
    <hyperlink r:id="rId148" ref="K129"/>
    <hyperlink r:id="rId149" ref="K130"/>
    <hyperlink r:id="rId150" ref="K131"/>
    <hyperlink r:id="rId151" ref="L131"/>
    <hyperlink r:id="rId152" ref="K132"/>
    <hyperlink r:id="rId153" ref="K133"/>
    <hyperlink r:id="rId154" ref="K134"/>
    <hyperlink r:id="rId155" ref="K135"/>
    <hyperlink r:id="rId156" ref="K136"/>
    <hyperlink r:id="rId157" ref="K137"/>
    <hyperlink r:id="rId158" ref="K138"/>
    <hyperlink r:id="rId159" ref="K139"/>
    <hyperlink r:id="rId160" ref="K140"/>
    <hyperlink r:id="rId161" ref="K141"/>
    <hyperlink r:id="rId162" ref="K142"/>
    <hyperlink r:id="rId163" ref="K143"/>
    <hyperlink r:id="rId164" ref="K144"/>
    <hyperlink r:id="rId165" ref="K145"/>
    <hyperlink r:id="rId166" ref="K146"/>
    <hyperlink r:id="rId167" ref="K147"/>
    <hyperlink r:id="rId168" ref="K148"/>
    <hyperlink r:id="rId169" ref="K149"/>
    <hyperlink r:id="rId170" ref="K150"/>
    <hyperlink r:id="rId171" ref="K151"/>
    <hyperlink r:id="rId172" ref="K152"/>
    <hyperlink r:id="rId173" ref="L152"/>
    <hyperlink r:id="rId174" ref="K153"/>
    <hyperlink r:id="rId175" ref="K154"/>
    <hyperlink r:id="rId176" ref="K155"/>
    <hyperlink r:id="rId177" ref="K156"/>
    <hyperlink r:id="rId178" ref="K157"/>
    <hyperlink r:id="rId179" ref="K158"/>
    <hyperlink r:id="rId180" ref="K159"/>
    <hyperlink r:id="rId181" ref="K160"/>
  </hyperlinks>
  <printOptions/>
  <pageMargins bottom="0.75" footer="0.0" header="0.0" left="0.7" right="0.7" top="0.75"/>
  <pageSetup orientation="landscape"/>
  <headerFooter>
    <oddFooter>&amp;C_x000D_#000000 SBI Card Restricted</oddFooter>
  </headerFooter>
  <drawing r:id="rId18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6" width="19.88"/>
    <col customWidth="1" min="7" max="7" width="18.0"/>
    <col customWidth="1" min="8" max="8" width="29.0"/>
    <col customWidth="1" min="9" max="9" width="14.38"/>
    <col customWidth="1" min="10" max="10" width="52.63"/>
    <col customWidth="1" min="11" max="11" width="73.75"/>
    <col customWidth="1" min="12" max="13" width="39.75"/>
    <col customWidth="1" min="14" max="15" width="16.0"/>
    <col customWidth="1" min="16" max="16" width="17.88"/>
    <col customWidth="1" min="17" max="17" width="46.63"/>
    <col customWidth="1" min="18" max="19" width="15.88"/>
    <col customWidth="1" min="20" max="20" width="50.25"/>
    <col customWidth="1" min="21" max="21" width="13.13"/>
    <col customWidth="1" min="22" max="38" width="8.63"/>
  </cols>
  <sheetData>
    <row r="1" ht="24.75" customHeight="1">
      <c r="A1" s="167" t="s">
        <v>890</v>
      </c>
      <c r="B1" s="167" t="s">
        <v>891</v>
      </c>
      <c r="C1" s="167" t="s">
        <v>740</v>
      </c>
      <c r="D1" s="167" t="s">
        <v>892</v>
      </c>
      <c r="E1" s="167" t="s">
        <v>741</v>
      </c>
      <c r="F1" s="167" t="s">
        <v>2600</v>
      </c>
      <c r="G1" s="167" t="s">
        <v>894</v>
      </c>
      <c r="H1" s="167" t="s">
        <v>2601</v>
      </c>
      <c r="I1" s="167" t="s">
        <v>460</v>
      </c>
      <c r="J1" s="167" t="s">
        <v>895</v>
      </c>
      <c r="K1" s="167" t="s">
        <v>896</v>
      </c>
      <c r="L1" s="167" t="s">
        <v>897</v>
      </c>
      <c r="M1" s="167" t="s">
        <v>898</v>
      </c>
      <c r="N1" s="167" t="s">
        <v>899</v>
      </c>
      <c r="O1" s="167" t="s">
        <v>745</v>
      </c>
      <c r="P1" s="167" t="s">
        <v>900</v>
      </c>
      <c r="Q1" s="168" t="s">
        <v>901</v>
      </c>
      <c r="R1" s="167" t="s">
        <v>902</v>
      </c>
      <c r="S1" s="169" t="s">
        <v>903</v>
      </c>
      <c r="T1" s="170" t="s">
        <v>276</v>
      </c>
      <c r="U1" s="167" t="s">
        <v>1521</v>
      </c>
    </row>
    <row r="2">
      <c r="A2" s="7" t="s">
        <v>2602</v>
      </c>
      <c r="B2" s="7" t="s">
        <v>1534</v>
      </c>
      <c r="C2" s="7" t="s">
        <v>747</v>
      </c>
      <c r="D2" s="7" t="s">
        <v>907</v>
      </c>
      <c r="E2" s="35" t="s">
        <v>1004</v>
      </c>
      <c r="F2" s="35" t="s">
        <v>12</v>
      </c>
      <c r="G2" s="35" t="s">
        <v>944</v>
      </c>
      <c r="H2" s="35" t="s">
        <v>2603</v>
      </c>
      <c r="I2" s="7"/>
      <c r="J2" s="33" t="s">
        <v>2604</v>
      </c>
      <c r="K2" s="33" t="s">
        <v>2605</v>
      </c>
      <c r="L2" s="58" t="s">
        <v>2606</v>
      </c>
      <c r="M2" s="58" t="s">
        <v>2607</v>
      </c>
      <c r="N2" s="7" t="s">
        <v>913</v>
      </c>
      <c r="O2" s="7"/>
      <c r="P2" s="7"/>
      <c r="Q2" s="33"/>
      <c r="R2" s="15" t="s">
        <v>3</v>
      </c>
      <c r="S2" s="172">
        <v>46267.0</v>
      </c>
      <c r="T2" s="150" t="s">
        <v>2608</v>
      </c>
      <c r="U2" s="20"/>
    </row>
    <row r="3">
      <c r="A3" s="7" t="s">
        <v>2609</v>
      </c>
      <c r="B3" s="7" t="s">
        <v>906</v>
      </c>
      <c r="C3" s="7" t="s">
        <v>747</v>
      </c>
      <c r="D3" s="15" t="s">
        <v>907</v>
      </c>
      <c r="E3" s="7" t="s">
        <v>829</v>
      </c>
      <c r="F3" s="35" t="s">
        <v>12</v>
      </c>
      <c r="G3" s="7" t="s">
        <v>1110</v>
      </c>
      <c r="H3" s="14" t="s">
        <v>37</v>
      </c>
      <c r="I3" s="14" t="s">
        <v>39</v>
      </c>
      <c r="J3" s="33" t="s">
        <v>2610</v>
      </c>
      <c r="K3" s="33" t="s">
        <v>2611</v>
      </c>
      <c r="L3" s="58" t="s">
        <v>2612</v>
      </c>
      <c r="M3" s="33" t="s">
        <v>39</v>
      </c>
      <c r="N3" s="7" t="s">
        <v>913</v>
      </c>
      <c r="O3" s="7"/>
      <c r="P3" s="7"/>
      <c r="Q3" s="33"/>
      <c r="R3" s="15" t="s">
        <v>3</v>
      </c>
      <c r="S3" s="172">
        <v>46267.0</v>
      </c>
      <c r="T3" s="150" t="s">
        <v>2613</v>
      </c>
      <c r="U3" s="20"/>
    </row>
    <row r="4">
      <c r="A4" s="7" t="s">
        <v>2614</v>
      </c>
      <c r="B4" s="7" t="s">
        <v>906</v>
      </c>
      <c r="C4" s="7" t="s">
        <v>770</v>
      </c>
      <c r="D4" s="15" t="s">
        <v>907</v>
      </c>
      <c r="E4" s="15" t="s">
        <v>829</v>
      </c>
      <c r="F4" s="7" t="s">
        <v>12</v>
      </c>
      <c r="G4" s="14" t="s">
        <v>970</v>
      </c>
      <c r="H4" s="14" t="s">
        <v>37</v>
      </c>
      <c r="I4" s="14" t="s">
        <v>39</v>
      </c>
      <c r="J4" s="33" t="s">
        <v>2615</v>
      </c>
      <c r="K4" s="33" t="s">
        <v>2616</v>
      </c>
      <c r="L4" s="58" t="s">
        <v>2617</v>
      </c>
      <c r="M4" s="58" t="s">
        <v>2618</v>
      </c>
      <c r="N4" s="7" t="s">
        <v>913</v>
      </c>
      <c r="O4" s="7"/>
      <c r="P4" s="7" t="s">
        <v>1029</v>
      </c>
      <c r="Q4" s="33" t="s">
        <v>2104</v>
      </c>
      <c r="R4" s="15" t="s">
        <v>3</v>
      </c>
      <c r="S4" s="172" t="s">
        <v>1027</v>
      </c>
      <c r="T4" s="150" t="s">
        <v>2619</v>
      </c>
      <c r="U4" s="20"/>
    </row>
    <row r="5">
      <c r="A5" s="7" t="s">
        <v>2620</v>
      </c>
      <c r="B5" s="7" t="s">
        <v>906</v>
      </c>
      <c r="C5" s="7" t="s">
        <v>770</v>
      </c>
      <c r="D5" s="15" t="s">
        <v>907</v>
      </c>
      <c r="E5" s="7" t="s">
        <v>756</v>
      </c>
      <c r="F5" s="199" t="s">
        <v>12</v>
      </c>
      <c r="G5" s="7" t="s">
        <v>1031</v>
      </c>
      <c r="H5" s="14" t="s">
        <v>37</v>
      </c>
      <c r="I5" s="14" t="s">
        <v>39</v>
      </c>
      <c r="J5" s="33" t="s">
        <v>2621</v>
      </c>
      <c r="K5" s="33" t="s">
        <v>2622</v>
      </c>
      <c r="L5" s="33" t="s">
        <v>39</v>
      </c>
      <c r="M5" s="33" t="s">
        <v>39</v>
      </c>
      <c r="N5" s="7" t="s">
        <v>913</v>
      </c>
      <c r="O5" s="7"/>
      <c r="P5" s="7"/>
      <c r="Q5" s="33"/>
      <c r="R5" s="15" t="s">
        <v>5</v>
      </c>
      <c r="S5" s="172" t="s">
        <v>1272</v>
      </c>
      <c r="T5" s="150" t="s">
        <v>2623</v>
      </c>
      <c r="U5" s="20"/>
    </row>
    <row r="6">
      <c r="A6" s="7" t="s">
        <v>2624</v>
      </c>
      <c r="B6" s="7" t="s">
        <v>906</v>
      </c>
      <c r="C6" s="7" t="s">
        <v>770</v>
      </c>
      <c r="D6" s="15" t="s">
        <v>907</v>
      </c>
      <c r="E6" s="7" t="s">
        <v>756</v>
      </c>
      <c r="F6" s="35" t="s">
        <v>12</v>
      </c>
      <c r="G6" s="7" t="s">
        <v>1031</v>
      </c>
      <c r="H6" s="14" t="s">
        <v>37</v>
      </c>
      <c r="I6" s="14" t="s">
        <v>39</v>
      </c>
      <c r="J6" s="33" t="s">
        <v>2625</v>
      </c>
      <c r="K6" s="33" t="s">
        <v>2626</v>
      </c>
      <c r="L6" s="33" t="s">
        <v>39</v>
      </c>
      <c r="M6" s="33" t="s">
        <v>39</v>
      </c>
      <c r="N6" s="7" t="s">
        <v>913</v>
      </c>
      <c r="O6" s="7"/>
      <c r="P6" s="7"/>
      <c r="Q6" s="33"/>
      <c r="R6" s="15" t="s">
        <v>5</v>
      </c>
      <c r="S6" s="172" t="s">
        <v>1272</v>
      </c>
      <c r="T6" s="150" t="s">
        <v>2623</v>
      </c>
      <c r="U6" s="20"/>
    </row>
    <row r="7">
      <c r="A7" s="7" t="s">
        <v>2627</v>
      </c>
      <c r="B7" s="7" t="s">
        <v>906</v>
      </c>
      <c r="C7" s="7" t="s">
        <v>755</v>
      </c>
      <c r="D7" s="15" t="s">
        <v>907</v>
      </c>
      <c r="E7" s="7" t="s">
        <v>756</v>
      </c>
      <c r="F7" s="35" t="s">
        <v>12</v>
      </c>
      <c r="G7" s="7" t="s">
        <v>1031</v>
      </c>
      <c r="H7" s="14" t="s">
        <v>37</v>
      </c>
      <c r="I7" s="14" t="s">
        <v>39</v>
      </c>
      <c r="J7" s="33" t="s">
        <v>2628</v>
      </c>
      <c r="K7" s="33" t="s">
        <v>2629</v>
      </c>
      <c r="L7" s="33" t="s">
        <v>39</v>
      </c>
      <c r="M7" s="33" t="s">
        <v>39</v>
      </c>
      <c r="N7" s="7" t="s">
        <v>913</v>
      </c>
      <c r="O7" s="7"/>
      <c r="P7" s="7"/>
      <c r="Q7" s="33"/>
      <c r="R7" s="15" t="s">
        <v>5</v>
      </c>
      <c r="S7" s="172" t="s">
        <v>1272</v>
      </c>
      <c r="T7" s="150" t="s">
        <v>2630</v>
      </c>
      <c r="U7" s="20"/>
    </row>
    <row r="8">
      <c r="A8" s="7" t="s">
        <v>2631</v>
      </c>
      <c r="B8" s="7" t="s">
        <v>906</v>
      </c>
      <c r="C8" s="7" t="s">
        <v>755</v>
      </c>
      <c r="D8" s="15" t="s">
        <v>907</v>
      </c>
      <c r="E8" s="7" t="s">
        <v>756</v>
      </c>
      <c r="F8" s="35" t="s">
        <v>12</v>
      </c>
      <c r="G8" s="7" t="s">
        <v>1031</v>
      </c>
      <c r="H8" s="14" t="s">
        <v>37</v>
      </c>
      <c r="I8" s="14" t="s">
        <v>39</v>
      </c>
      <c r="J8" s="33" t="s">
        <v>2632</v>
      </c>
      <c r="K8" s="33" t="s">
        <v>2633</v>
      </c>
      <c r="L8" s="33" t="s">
        <v>39</v>
      </c>
      <c r="M8" s="33" t="s">
        <v>39</v>
      </c>
      <c r="N8" s="7" t="s">
        <v>913</v>
      </c>
      <c r="O8" s="7"/>
      <c r="P8" s="7"/>
      <c r="Q8" s="33"/>
      <c r="R8" s="15" t="s">
        <v>5</v>
      </c>
      <c r="S8" s="172" t="s">
        <v>1272</v>
      </c>
      <c r="T8" s="150" t="s">
        <v>2630</v>
      </c>
      <c r="U8" s="20"/>
    </row>
    <row r="9">
      <c r="A9" s="7" t="s">
        <v>2634</v>
      </c>
      <c r="B9" s="7" t="s">
        <v>906</v>
      </c>
      <c r="C9" s="7" t="s">
        <v>770</v>
      </c>
      <c r="D9" s="15" t="s">
        <v>907</v>
      </c>
      <c r="E9" s="7" t="s">
        <v>756</v>
      </c>
      <c r="F9" s="35" t="s">
        <v>12</v>
      </c>
      <c r="G9" s="7" t="s">
        <v>1031</v>
      </c>
      <c r="H9" s="14" t="s">
        <v>37</v>
      </c>
      <c r="I9" s="14" t="s">
        <v>39</v>
      </c>
      <c r="J9" s="33" t="s">
        <v>2635</v>
      </c>
      <c r="K9" s="33" t="s">
        <v>2636</v>
      </c>
      <c r="L9" s="33" t="s">
        <v>39</v>
      </c>
      <c r="M9" s="33" t="s">
        <v>39</v>
      </c>
      <c r="N9" s="7" t="s">
        <v>913</v>
      </c>
      <c r="O9" s="7"/>
      <c r="P9" s="7"/>
      <c r="Q9" s="33"/>
      <c r="R9" s="15" t="s">
        <v>5</v>
      </c>
      <c r="S9" s="172" t="s">
        <v>1272</v>
      </c>
      <c r="T9" s="150" t="s">
        <v>2637</v>
      </c>
      <c r="U9" s="20"/>
    </row>
    <row r="10">
      <c r="A10" s="35" t="s">
        <v>2638</v>
      </c>
      <c r="B10" s="35" t="s">
        <v>906</v>
      </c>
      <c r="C10" s="35" t="s">
        <v>755</v>
      </c>
      <c r="D10" s="36" t="s">
        <v>907</v>
      </c>
      <c r="E10" s="35" t="s">
        <v>756</v>
      </c>
      <c r="F10" s="35" t="s">
        <v>12</v>
      </c>
      <c r="G10" s="35" t="s">
        <v>1031</v>
      </c>
      <c r="H10" s="17" t="s">
        <v>37</v>
      </c>
      <c r="I10" s="17" t="s">
        <v>39</v>
      </c>
      <c r="J10" s="69" t="s">
        <v>2639</v>
      </c>
      <c r="K10" s="69" t="s">
        <v>2640</v>
      </c>
      <c r="L10" s="69" t="s">
        <v>39</v>
      </c>
      <c r="M10" s="69" t="s">
        <v>39</v>
      </c>
      <c r="N10" s="35" t="s">
        <v>913</v>
      </c>
      <c r="O10" s="35"/>
      <c r="P10" s="35"/>
      <c r="Q10" s="69"/>
      <c r="R10" s="36" t="s">
        <v>5</v>
      </c>
      <c r="S10" s="175" t="s">
        <v>1272</v>
      </c>
      <c r="T10" s="198" t="s">
        <v>2641</v>
      </c>
      <c r="U10" s="263"/>
    </row>
    <row r="11">
      <c r="A11" s="7" t="s">
        <v>2642</v>
      </c>
      <c r="B11" s="7" t="s">
        <v>1127</v>
      </c>
      <c r="C11" s="7" t="s">
        <v>755</v>
      </c>
      <c r="D11" s="7" t="s">
        <v>907</v>
      </c>
      <c r="E11" s="7" t="s">
        <v>829</v>
      </c>
      <c r="F11" s="7" t="s">
        <v>12</v>
      </c>
      <c r="G11" s="7" t="s">
        <v>944</v>
      </c>
      <c r="H11" s="7" t="s">
        <v>782</v>
      </c>
      <c r="I11" s="7" t="s">
        <v>39</v>
      </c>
      <c r="J11" s="33" t="s">
        <v>2643</v>
      </c>
      <c r="K11" s="33" t="s">
        <v>2644</v>
      </c>
      <c r="L11" s="58" t="s">
        <v>39</v>
      </c>
      <c r="M11" s="33" t="s">
        <v>39</v>
      </c>
      <c r="N11" s="7" t="s">
        <v>913</v>
      </c>
      <c r="O11" s="7"/>
      <c r="P11" s="173"/>
      <c r="Q11" s="33" t="s">
        <v>2645</v>
      </c>
      <c r="R11" s="7" t="s">
        <v>5</v>
      </c>
      <c r="S11" s="7" t="s">
        <v>1090</v>
      </c>
      <c r="T11" s="32" t="s">
        <v>2646</v>
      </c>
      <c r="U11" s="20"/>
    </row>
    <row r="12">
      <c r="A12" s="52" t="s">
        <v>2647</v>
      </c>
      <c r="B12" s="50" t="s">
        <v>1140</v>
      </c>
      <c r="C12" s="50" t="s">
        <v>747</v>
      </c>
      <c r="D12" s="50" t="s">
        <v>907</v>
      </c>
      <c r="E12" s="50" t="s">
        <v>768</v>
      </c>
      <c r="F12" s="199" t="s">
        <v>16</v>
      </c>
      <c r="G12" s="50" t="s">
        <v>1110</v>
      </c>
      <c r="H12" s="50" t="s">
        <v>782</v>
      </c>
      <c r="I12" s="50" t="s">
        <v>39</v>
      </c>
      <c r="J12" s="174" t="s">
        <v>2648</v>
      </c>
      <c r="K12" s="174" t="s">
        <v>2649</v>
      </c>
      <c r="L12" s="57" t="s">
        <v>2650</v>
      </c>
      <c r="M12" s="57" t="s">
        <v>2651</v>
      </c>
      <c r="N12" s="50" t="s">
        <v>913</v>
      </c>
      <c r="O12" s="50" t="s">
        <v>974</v>
      </c>
      <c r="P12" s="50"/>
      <c r="Q12" s="33" t="s">
        <v>2104</v>
      </c>
      <c r="R12" s="50" t="s">
        <v>3</v>
      </c>
      <c r="S12" s="50" t="s">
        <v>1027</v>
      </c>
      <c r="T12" s="233" t="s">
        <v>2652</v>
      </c>
      <c r="U12" s="264" t="s">
        <v>1029</v>
      </c>
    </row>
    <row r="13">
      <c r="A13" s="7" t="s">
        <v>2653</v>
      </c>
      <c r="B13" s="50" t="s">
        <v>1140</v>
      </c>
      <c r="C13" s="50" t="s">
        <v>770</v>
      </c>
      <c r="D13" s="50" t="s">
        <v>907</v>
      </c>
      <c r="E13" s="52" t="s">
        <v>768</v>
      </c>
      <c r="F13" s="7" t="s">
        <v>16</v>
      </c>
      <c r="G13" s="42" t="s">
        <v>1086</v>
      </c>
      <c r="H13" s="50" t="s">
        <v>782</v>
      </c>
      <c r="I13" s="50" t="s">
        <v>39</v>
      </c>
      <c r="J13" s="174" t="s">
        <v>2654</v>
      </c>
      <c r="K13" s="174" t="s">
        <v>2655</v>
      </c>
      <c r="L13" s="57" t="s">
        <v>2656</v>
      </c>
      <c r="M13" s="57" t="s">
        <v>2657</v>
      </c>
      <c r="N13" s="50" t="s">
        <v>913</v>
      </c>
      <c r="O13" s="50" t="s">
        <v>974</v>
      </c>
      <c r="P13" s="50"/>
      <c r="Q13" s="33" t="s">
        <v>2104</v>
      </c>
      <c r="R13" s="52" t="s">
        <v>3</v>
      </c>
      <c r="S13" s="52" t="s">
        <v>1027</v>
      </c>
      <c r="T13" s="177" t="s">
        <v>2658</v>
      </c>
      <c r="U13" s="264" t="s">
        <v>1029</v>
      </c>
    </row>
    <row r="14">
      <c r="A14" s="7" t="s">
        <v>2659</v>
      </c>
      <c r="B14" s="50" t="s">
        <v>1140</v>
      </c>
      <c r="C14" s="50" t="s">
        <v>770</v>
      </c>
      <c r="D14" s="50" t="s">
        <v>907</v>
      </c>
      <c r="E14" s="50" t="s">
        <v>1757</v>
      </c>
      <c r="F14" s="2" t="s">
        <v>12</v>
      </c>
      <c r="G14" s="50" t="s">
        <v>1552</v>
      </c>
      <c r="H14" s="50" t="s">
        <v>45</v>
      </c>
      <c r="I14" s="50" t="s">
        <v>39</v>
      </c>
      <c r="J14" s="265" t="s">
        <v>2660</v>
      </c>
      <c r="K14" s="265" t="s">
        <v>2661</v>
      </c>
      <c r="L14" s="57" t="s">
        <v>2662</v>
      </c>
      <c r="M14" s="266" t="s">
        <v>39</v>
      </c>
      <c r="N14" s="50" t="s">
        <v>913</v>
      </c>
      <c r="O14" s="50"/>
      <c r="P14" s="50"/>
      <c r="Q14" s="33"/>
      <c r="R14" s="15" t="s">
        <v>3</v>
      </c>
      <c r="S14" s="172">
        <v>46082.0</v>
      </c>
      <c r="T14" s="150"/>
      <c r="U14" s="20"/>
    </row>
    <row r="15">
      <c r="A15" s="7" t="s">
        <v>2663</v>
      </c>
      <c r="B15" s="199" t="s">
        <v>1140</v>
      </c>
      <c r="C15" s="199" t="s">
        <v>747</v>
      </c>
      <c r="D15" s="199" t="s">
        <v>907</v>
      </c>
      <c r="E15" s="199" t="s">
        <v>1757</v>
      </c>
      <c r="F15" s="35" t="s">
        <v>12</v>
      </c>
      <c r="G15" s="199" t="s">
        <v>2664</v>
      </c>
      <c r="H15" s="199" t="s">
        <v>782</v>
      </c>
      <c r="I15" s="234" t="s">
        <v>39</v>
      </c>
      <c r="J15" s="201" t="s">
        <v>2665</v>
      </c>
      <c r="K15" s="194" t="s">
        <v>2666</v>
      </c>
      <c r="L15" s="202" t="s">
        <v>2667</v>
      </c>
      <c r="M15" s="46" t="s">
        <v>2668</v>
      </c>
      <c r="N15" s="7" t="s">
        <v>913</v>
      </c>
      <c r="O15" s="7"/>
      <c r="P15" s="7"/>
      <c r="Q15" s="33"/>
      <c r="R15" s="15" t="s">
        <v>3</v>
      </c>
      <c r="S15" s="172">
        <v>46267.0</v>
      </c>
      <c r="T15" s="150"/>
      <c r="U15" s="20"/>
    </row>
    <row r="16">
      <c r="A16" s="35" t="s">
        <v>2669</v>
      </c>
      <c r="B16" s="35" t="s">
        <v>1140</v>
      </c>
      <c r="C16" s="35" t="s">
        <v>1625</v>
      </c>
      <c r="D16" s="35" t="s">
        <v>907</v>
      </c>
      <c r="E16" s="35" t="s">
        <v>768</v>
      </c>
      <c r="F16" s="39" t="s">
        <v>12</v>
      </c>
      <c r="G16" s="35" t="s">
        <v>1552</v>
      </c>
      <c r="H16" s="35" t="s">
        <v>782</v>
      </c>
      <c r="I16" s="35" t="s">
        <v>39</v>
      </c>
      <c r="J16" s="60" t="s">
        <v>2670</v>
      </c>
      <c r="K16" s="60" t="s">
        <v>2671</v>
      </c>
      <c r="L16" s="28" t="s">
        <v>2672</v>
      </c>
      <c r="M16" s="54" t="s">
        <v>39</v>
      </c>
      <c r="N16" s="35" t="s">
        <v>913</v>
      </c>
      <c r="O16" s="35"/>
      <c r="P16" s="35"/>
      <c r="Q16" s="69"/>
      <c r="R16" s="36" t="s">
        <v>3</v>
      </c>
      <c r="S16" s="175">
        <v>46082.0</v>
      </c>
      <c r="T16" s="198"/>
      <c r="U16" s="263"/>
    </row>
    <row r="17">
      <c r="A17" s="35" t="s">
        <v>2673</v>
      </c>
      <c r="B17" s="35" t="s">
        <v>1140</v>
      </c>
      <c r="C17" s="35" t="s">
        <v>755</v>
      </c>
      <c r="D17" s="35" t="s">
        <v>907</v>
      </c>
      <c r="E17" s="35" t="s">
        <v>756</v>
      </c>
      <c r="F17" s="35" t="s">
        <v>16</v>
      </c>
      <c r="G17" s="35" t="s">
        <v>1110</v>
      </c>
      <c r="H17" s="35" t="s">
        <v>782</v>
      </c>
      <c r="I17" s="35" t="s">
        <v>39</v>
      </c>
      <c r="J17" s="69" t="s">
        <v>2674</v>
      </c>
      <c r="K17" s="69" t="s">
        <v>2675</v>
      </c>
      <c r="L17" s="28" t="s">
        <v>2676</v>
      </c>
      <c r="M17" s="69" t="s">
        <v>39</v>
      </c>
      <c r="N17" s="35" t="s">
        <v>913</v>
      </c>
      <c r="O17" s="35" t="s">
        <v>974</v>
      </c>
      <c r="P17" s="35"/>
      <c r="Q17" s="69" t="s">
        <v>2104</v>
      </c>
      <c r="R17" s="35" t="s">
        <v>3</v>
      </c>
      <c r="S17" s="35" t="s">
        <v>1027</v>
      </c>
      <c r="T17" s="61" t="s">
        <v>2677</v>
      </c>
      <c r="U17" s="112" t="s">
        <v>869</v>
      </c>
    </row>
    <row r="18">
      <c r="A18" s="35" t="s">
        <v>2678</v>
      </c>
      <c r="B18" s="267">
        <v>46174.0</v>
      </c>
      <c r="C18" s="268" t="s">
        <v>747</v>
      </c>
      <c r="D18" s="269" t="s">
        <v>907</v>
      </c>
      <c r="E18" s="269" t="s">
        <v>1004</v>
      </c>
      <c r="F18" s="35" t="s">
        <v>16</v>
      </c>
      <c r="G18" s="270" t="s">
        <v>2679</v>
      </c>
      <c r="H18" s="270" t="s">
        <v>782</v>
      </c>
      <c r="I18" s="35" t="s">
        <v>39</v>
      </c>
      <c r="J18" s="69" t="s">
        <v>2680</v>
      </c>
      <c r="K18" s="271" t="s">
        <v>2681</v>
      </c>
      <c r="L18" s="272" t="s">
        <v>2682</v>
      </c>
      <c r="M18" s="272" t="s">
        <v>39</v>
      </c>
      <c r="N18" s="269" t="s">
        <v>913</v>
      </c>
      <c r="O18" s="35" t="s">
        <v>974</v>
      </c>
      <c r="P18" s="273"/>
      <c r="Q18" s="69" t="s">
        <v>2104</v>
      </c>
      <c r="R18" s="35" t="s">
        <v>3</v>
      </c>
      <c r="S18" s="35" t="s">
        <v>1027</v>
      </c>
      <c r="T18" s="61" t="s">
        <v>2683</v>
      </c>
      <c r="U18" s="112" t="s">
        <v>869</v>
      </c>
    </row>
    <row r="19">
      <c r="A19" s="7" t="s">
        <v>2684</v>
      </c>
      <c r="B19" s="274">
        <v>46174.0</v>
      </c>
      <c r="C19" s="275" t="s">
        <v>755</v>
      </c>
      <c r="D19" s="276" t="s">
        <v>907</v>
      </c>
      <c r="E19" s="276" t="s">
        <v>768</v>
      </c>
      <c r="F19" s="7" t="s">
        <v>16</v>
      </c>
      <c r="G19" s="277" t="s">
        <v>1110</v>
      </c>
      <c r="H19" s="277" t="s">
        <v>782</v>
      </c>
      <c r="I19" s="7" t="s">
        <v>39</v>
      </c>
      <c r="J19" s="33" t="s">
        <v>2685</v>
      </c>
      <c r="K19" s="278" t="s">
        <v>2686</v>
      </c>
      <c r="L19" s="279" t="s">
        <v>2687</v>
      </c>
      <c r="M19" s="279" t="s">
        <v>39</v>
      </c>
      <c r="N19" s="276" t="s">
        <v>913</v>
      </c>
      <c r="O19" s="7" t="s">
        <v>974</v>
      </c>
      <c r="P19" s="276" t="s">
        <v>1029</v>
      </c>
      <c r="Q19" s="33" t="s">
        <v>2645</v>
      </c>
      <c r="R19" s="7" t="s">
        <v>4</v>
      </c>
      <c r="S19" s="7" t="s">
        <v>1383</v>
      </c>
      <c r="T19" s="32" t="s">
        <v>2688</v>
      </c>
      <c r="U19" s="13" t="s">
        <v>869</v>
      </c>
    </row>
    <row r="20">
      <c r="A20" s="199" t="s">
        <v>2689</v>
      </c>
      <c r="B20" s="280">
        <v>46174.0</v>
      </c>
      <c r="C20" s="281" t="s">
        <v>755</v>
      </c>
      <c r="D20" s="282" t="s">
        <v>907</v>
      </c>
      <c r="E20" s="282" t="s">
        <v>1757</v>
      </c>
      <c r="F20" s="199" t="s">
        <v>16</v>
      </c>
      <c r="G20" s="283" t="s">
        <v>1110</v>
      </c>
      <c r="H20" s="283" t="s">
        <v>782</v>
      </c>
      <c r="I20" s="199" t="s">
        <v>39</v>
      </c>
      <c r="J20" s="201" t="s">
        <v>2690</v>
      </c>
      <c r="K20" s="284" t="s">
        <v>2691</v>
      </c>
      <c r="L20" s="285" t="s">
        <v>2692</v>
      </c>
      <c r="M20" s="285" t="s">
        <v>2693</v>
      </c>
      <c r="N20" s="199" t="s">
        <v>913</v>
      </c>
      <c r="O20" s="199" t="s">
        <v>974</v>
      </c>
      <c r="P20" s="199"/>
      <c r="Q20" s="201" t="s">
        <v>2104</v>
      </c>
      <c r="R20" s="199" t="s">
        <v>3</v>
      </c>
      <c r="S20" s="199" t="s">
        <v>1027</v>
      </c>
      <c r="T20" s="203" t="s">
        <v>2694</v>
      </c>
      <c r="U20" s="286" t="s">
        <v>1029</v>
      </c>
    </row>
    <row r="21" ht="15.75" customHeight="1">
      <c r="A21" s="7" t="s">
        <v>2695</v>
      </c>
      <c r="B21" s="274">
        <v>46174.0</v>
      </c>
      <c r="C21" s="7" t="s">
        <v>755</v>
      </c>
      <c r="D21" s="276" t="s">
        <v>907</v>
      </c>
      <c r="E21" s="276" t="s">
        <v>1757</v>
      </c>
      <c r="F21" s="7" t="s">
        <v>16</v>
      </c>
      <c r="G21" s="277" t="s">
        <v>460</v>
      </c>
      <c r="H21" s="277" t="s">
        <v>782</v>
      </c>
      <c r="I21" s="7" t="s">
        <v>39</v>
      </c>
      <c r="J21" s="33" t="s">
        <v>2696</v>
      </c>
      <c r="K21" s="278" t="s">
        <v>2697</v>
      </c>
      <c r="L21" s="279" t="s">
        <v>2698</v>
      </c>
      <c r="M21" s="278" t="s">
        <v>39</v>
      </c>
      <c r="N21" s="7" t="s">
        <v>913</v>
      </c>
      <c r="O21" s="7" t="s">
        <v>974</v>
      </c>
      <c r="P21" s="7" t="s">
        <v>1029</v>
      </c>
      <c r="Q21" s="33" t="s">
        <v>2104</v>
      </c>
      <c r="R21" s="7" t="s">
        <v>4</v>
      </c>
      <c r="S21" s="7" t="s">
        <v>1027</v>
      </c>
      <c r="T21" s="32" t="s">
        <v>2699</v>
      </c>
      <c r="U21" s="13" t="s">
        <v>869</v>
      </c>
    </row>
    <row r="22" ht="15.75" customHeight="1">
      <c r="A22" s="50" t="s">
        <v>2700</v>
      </c>
      <c r="B22" s="287">
        <v>46174.0</v>
      </c>
      <c r="C22" s="50" t="s">
        <v>755</v>
      </c>
      <c r="D22" s="288" t="s">
        <v>907</v>
      </c>
      <c r="E22" s="50" t="s">
        <v>829</v>
      </c>
      <c r="F22" s="50" t="s">
        <v>16</v>
      </c>
      <c r="G22" s="289" t="s">
        <v>2679</v>
      </c>
      <c r="H22" s="290" t="s">
        <v>782</v>
      </c>
      <c r="I22" s="42" t="s">
        <v>39</v>
      </c>
      <c r="J22" s="174" t="s">
        <v>2701</v>
      </c>
      <c r="K22" s="291" t="s">
        <v>2702</v>
      </c>
      <c r="L22" s="292" t="s">
        <v>2703</v>
      </c>
      <c r="M22" s="293" t="s">
        <v>39</v>
      </c>
      <c r="N22" s="50" t="s">
        <v>913</v>
      </c>
      <c r="O22" s="50" t="s">
        <v>974</v>
      </c>
      <c r="P22" s="50" t="s">
        <v>1029</v>
      </c>
      <c r="Q22" s="174"/>
      <c r="R22" s="52" t="s">
        <v>4</v>
      </c>
      <c r="S22" s="52" t="s">
        <v>1272</v>
      </c>
      <c r="T22" s="177" t="s">
        <v>2704</v>
      </c>
      <c r="U22" s="264" t="s">
        <v>869</v>
      </c>
    </row>
    <row r="23" ht="15.75" customHeight="1">
      <c r="A23" s="7" t="s">
        <v>2705</v>
      </c>
      <c r="B23" s="294">
        <v>46174.0</v>
      </c>
      <c r="C23" s="7" t="s">
        <v>747</v>
      </c>
      <c r="D23" s="7" t="s">
        <v>907</v>
      </c>
      <c r="E23" s="7" t="s">
        <v>1757</v>
      </c>
      <c r="F23" s="7" t="s">
        <v>16</v>
      </c>
      <c r="G23" s="295" t="s">
        <v>1110</v>
      </c>
      <c r="H23" s="289" t="s">
        <v>782</v>
      </c>
      <c r="I23" s="7" t="s">
        <v>39</v>
      </c>
      <c r="J23" s="174" t="s">
        <v>2706</v>
      </c>
      <c r="K23" s="296" t="s">
        <v>2691</v>
      </c>
      <c r="L23" s="297" t="s">
        <v>2692</v>
      </c>
      <c r="M23" s="298" t="s">
        <v>2693</v>
      </c>
      <c r="N23" s="7" t="s">
        <v>913</v>
      </c>
      <c r="O23" s="7" t="s">
        <v>974</v>
      </c>
      <c r="P23" s="7"/>
      <c r="Q23" s="33"/>
      <c r="R23" s="15" t="s">
        <v>3</v>
      </c>
      <c r="S23" s="172">
        <v>46267.0</v>
      </c>
      <c r="T23" s="150" t="s">
        <v>2707</v>
      </c>
      <c r="U23" s="20"/>
    </row>
    <row r="24" ht="15.75" customHeight="1">
      <c r="A24" s="7" t="s">
        <v>2708</v>
      </c>
      <c r="B24" s="7" t="s">
        <v>1140</v>
      </c>
      <c r="C24" s="7" t="s">
        <v>747</v>
      </c>
      <c r="D24" s="7" t="s">
        <v>907</v>
      </c>
      <c r="E24" s="7" t="s">
        <v>1004</v>
      </c>
      <c r="F24" s="7" t="s">
        <v>16</v>
      </c>
      <c r="G24" s="7" t="s">
        <v>1110</v>
      </c>
      <c r="H24" s="35" t="s">
        <v>782</v>
      </c>
      <c r="I24" s="7" t="s">
        <v>39</v>
      </c>
      <c r="J24" s="33" t="s">
        <v>2709</v>
      </c>
      <c r="K24" s="33" t="s">
        <v>1236</v>
      </c>
      <c r="L24" s="58" t="s">
        <v>1237</v>
      </c>
      <c r="M24" s="33" t="s">
        <v>39</v>
      </c>
      <c r="N24" s="7" t="s">
        <v>913</v>
      </c>
      <c r="O24" s="7" t="s">
        <v>974</v>
      </c>
      <c r="P24" s="7"/>
      <c r="Q24" s="33"/>
      <c r="R24" s="15" t="s">
        <v>3</v>
      </c>
      <c r="S24" s="172">
        <v>46267.0</v>
      </c>
      <c r="T24" s="150" t="s">
        <v>2710</v>
      </c>
      <c r="U24" s="20"/>
    </row>
    <row r="25" ht="15.75" customHeight="1">
      <c r="A25" s="7" t="s">
        <v>2711</v>
      </c>
      <c r="B25" s="7" t="s">
        <v>2712</v>
      </c>
      <c r="C25" s="7" t="s">
        <v>755</v>
      </c>
      <c r="D25" s="7" t="s">
        <v>907</v>
      </c>
      <c r="E25" s="7" t="s">
        <v>756</v>
      </c>
      <c r="F25" s="7" t="s">
        <v>16</v>
      </c>
      <c r="G25" s="15" t="s">
        <v>1031</v>
      </c>
      <c r="H25" s="7" t="s">
        <v>782</v>
      </c>
      <c r="I25" s="14" t="s">
        <v>39</v>
      </c>
      <c r="J25" s="33" t="s">
        <v>2713</v>
      </c>
      <c r="K25" s="33" t="s">
        <v>2714</v>
      </c>
      <c r="L25" s="33" t="s">
        <v>2715</v>
      </c>
      <c r="M25" s="33" t="s">
        <v>39</v>
      </c>
      <c r="N25" s="7" t="s">
        <v>913</v>
      </c>
      <c r="O25" s="7" t="s">
        <v>974</v>
      </c>
      <c r="P25" s="7" t="s">
        <v>1029</v>
      </c>
      <c r="Q25" s="33"/>
      <c r="R25" s="15" t="s">
        <v>4</v>
      </c>
      <c r="S25" s="7" t="s">
        <v>1383</v>
      </c>
      <c r="T25" s="150" t="s">
        <v>2716</v>
      </c>
      <c r="U25" s="20"/>
    </row>
    <row r="26" ht="15.75" customHeight="1">
      <c r="A26" s="7" t="s">
        <v>2717</v>
      </c>
      <c r="B26" s="7" t="s">
        <v>1160</v>
      </c>
      <c r="C26" s="7" t="s">
        <v>747</v>
      </c>
      <c r="D26" s="7" t="s">
        <v>907</v>
      </c>
      <c r="E26" s="7" t="s">
        <v>1004</v>
      </c>
      <c r="F26" s="35" t="s">
        <v>12</v>
      </c>
      <c r="G26" s="7" t="s">
        <v>1005</v>
      </c>
      <c r="H26" s="50" t="s">
        <v>2718</v>
      </c>
      <c r="I26" s="7" t="s">
        <v>39</v>
      </c>
      <c r="J26" s="33" t="s">
        <v>2719</v>
      </c>
      <c r="K26" s="33" t="s">
        <v>2720</v>
      </c>
      <c r="L26" s="58" t="s">
        <v>2721</v>
      </c>
      <c r="M26" s="58" t="s">
        <v>2722</v>
      </c>
      <c r="N26" s="7" t="s">
        <v>913</v>
      </c>
      <c r="O26" s="7"/>
      <c r="P26" s="7"/>
      <c r="Q26" s="33"/>
      <c r="R26" s="15" t="s">
        <v>3</v>
      </c>
      <c r="S26" s="172">
        <v>46267.0</v>
      </c>
      <c r="T26" s="150" t="s">
        <v>2723</v>
      </c>
      <c r="U26" s="20"/>
    </row>
    <row r="27" ht="15.75" customHeight="1">
      <c r="A27" s="7" t="s">
        <v>2724</v>
      </c>
      <c r="B27" s="7" t="s">
        <v>1160</v>
      </c>
      <c r="C27" s="7" t="s">
        <v>747</v>
      </c>
      <c r="D27" s="7" t="s">
        <v>907</v>
      </c>
      <c r="E27" s="7" t="s">
        <v>1004</v>
      </c>
      <c r="F27" s="35" t="s">
        <v>12</v>
      </c>
      <c r="G27" s="7" t="s">
        <v>1051</v>
      </c>
      <c r="H27" s="299" t="s">
        <v>170</v>
      </c>
      <c r="I27" s="7" t="s">
        <v>39</v>
      </c>
      <c r="J27" s="33" t="s">
        <v>2725</v>
      </c>
      <c r="K27" s="33" t="s">
        <v>2726</v>
      </c>
      <c r="L27" s="58" t="s">
        <v>2727</v>
      </c>
      <c r="M27" s="33" t="s">
        <v>39</v>
      </c>
      <c r="N27" s="7" t="s">
        <v>913</v>
      </c>
      <c r="O27" s="7"/>
      <c r="P27" s="7"/>
      <c r="Q27" s="33"/>
      <c r="R27" s="15" t="s">
        <v>3</v>
      </c>
      <c r="S27" s="172">
        <v>46267.0</v>
      </c>
      <c r="T27" s="150" t="s">
        <v>2728</v>
      </c>
      <c r="U27" s="20"/>
    </row>
    <row r="28" ht="15.75" customHeight="1">
      <c r="A28" s="7" t="s">
        <v>2729</v>
      </c>
      <c r="B28" s="7" t="s">
        <v>1160</v>
      </c>
      <c r="C28" s="7" t="s">
        <v>755</v>
      </c>
      <c r="D28" s="7" t="s">
        <v>1085</v>
      </c>
      <c r="E28" s="7" t="s">
        <v>1575</v>
      </c>
      <c r="F28" s="35" t="s">
        <v>16</v>
      </c>
      <c r="G28" s="15" t="s">
        <v>1051</v>
      </c>
      <c r="H28" s="7" t="s">
        <v>782</v>
      </c>
      <c r="I28" s="14" t="s">
        <v>39</v>
      </c>
      <c r="J28" s="33" t="s">
        <v>2730</v>
      </c>
      <c r="K28" s="33" t="s">
        <v>2731</v>
      </c>
      <c r="L28" s="58" t="s">
        <v>2732</v>
      </c>
      <c r="M28" s="33" t="s">
        <v>39</v>
      </c>
      <c r="N28" s="7" t="s">
        <v>913</v>
      </c>
      <c r="O28" s="7" t="s">
        <v>974</v>
      </c>
      <c r="P28" s="7"/>
      <c r="Q28" s="33" t="s">
        <v>2733</v>
      </c>
      <c r="R28" s="15" t="s">
        <v>4</v>
      </c>
      <c r="S28" s="172">
        <v>46176.0</v>
      </c>
      <c r="T28" s="150" t="s">
        <v>2734</v>
      </c>
      <c r="U28" s="20"/>
    </row>
    <row r="29" ht="15.75" customHeight="1">
      <c r="A29" s="7" t="s">
        <v>2735</v>
      </c>
      <c r="B29" s="7" t="s">
        <v>1160</v>
      </c>
      <c r="C29" s="7" t="s">
        <v>747</v>
      </c>
      <c r="D29" s="7" t="s">
        <v>907</v>
      </c>
      <c r="E29" s="7" t="s">
        <v>1757</v>
      </c>
      <c r="F29" s="35" t="s">
        <v>16</v>
      </c>
      <c r="G29" s="7" t="s">
        <v>1051</v>
      </c>
      <c r="H29" s="300" t="s">
        <v>2736</v>
      </c>
      <c r="I29" s="7" t="s">
        <v>39</v>
      </c>
      <c r="J29" s="33" t="s">
        <v>2737</v>
      </c>
      <c r="K29" s="33" t="s">
        <v>2738</v>
      </c>
      <c r="L29" s="58" t="s">
        <v>2739</v>
      </c>
      <c r="M29" s="33" t="s">
        <v>39</v>
      </c>
      <c r="N29" s="7" t="s">
        <v>913</v>
      </c>
      <c r="O29" s="7" t="s">
        <v>974</v>
      </c>
      <c r="P29" s="7"/>
      <c r="Q29" s="33" t="s">
        <v>2104</v>
      </c>
      <c r="R29" s="15" t="s">
        <v>4</v>
      </c>
      <c r="S29" s="172">
        <v>46176.0</v>
      </c>
      <c r="T29" s="150" t="s">
        <v>2740</v>
      </c>
      <c r="U29" s="20"/>
    </row>
    <row r="30" ht="15.75" customHeight="1">
      <c r="A30" s="7" t="s">
        <v>2741</v>
      </c>
      <c r="B30" s="7" t="s">
        <v>1160</v>
      </c>
      <c r="C30" s="7" t="s">
        <v>747</v>
      </c>
      <c r="D30" s="7" t="s">
        <v>907</v>
      </c>
      <c r="E30" s="7" t="s">
        <v>1757</v>
      </c>
      <c r="F30" s="35" t="s">
        <v>16</v>
      </c>
      <c r="G30" s="7" t="s">
        <v>1051</v>
      </c>
      <c r="H30" s="173" t="s">
        <v>2742</v>
      </c>
      <c r="I30" s="7" t="s">
        <v>39</v>
      </c>
      <c r="J30" s="33" t="s">
        <v>2737</v>
      </c>
      <c r="K30" s="33" t="s">
        <v>2738</v>
      </c>
      <c r="L30" s="58" t="s">
        <v>2743</v>
      </c>
      <c r="M30" s="33" t="s">
        <v>39</v>
      </c>
      <c r="N30" s="7" t="s">
        <v>913</v>
      </c>
      <c r="O30" s="7" t="s">
        <v>974</v>
      </c>
      <c r="P30" s="7"/>
      <c r="Q30" s="33" t="s">
        <v>2104</v>
      </c>
      <c r="R30" s="15" t="s">
        <v>4</v>
      </c>
      <c r="S30" s="172">
        <v>46176.0</v>
      </c>
      <c r="T30" s="150" t="s">
        <v>2744</v>
      </c>
      <c r="U30" s="20"/>
    </row>
    <row r="31" ht="15.75" customHeight="1">
      <c r="A31" s="35" t="s">
        <v>2745</v>
      </c>
      <c r="B31" s="35" t="s">
        <v>1160</v>
      </c>
      <c r="C31" s="35" t="s">
        <v>747</v>
      </c>
      <c r="D31" s="35" t="s">
        <v>907</v>
      </c>
      <c r="E31" s="35" t="s">
        <v>1757</v>
      </c>
      <c r="F31" s="35" t="s">
        <v>16</v>
      </c>
      <c r="G31" s="35" t="s">
        <v>1051</v>
      </c>
      <c r="H31" s="299" t="s">
        <v>2746</v>
      </c>
      <c r="I31" s="35" t="s">
        <v>39</v>
      </c>
      <c r="J31" s="69" t="s">
        <v>2737</v>
      </c>
      <c r="K31" s="69" t="s">
        <v>2738</v>
      </c>
      <c r="L31" s="28" t="s">
        <v>2747</v>
      </c>
      <c r="M31" s="69" t="s">
        <v>39</v>
      </c>
      <c r="N31" s="35" t="s">
        <v>913</v>
      </c>
      <c r="O31" s="35" t="s">
        <v>974</v>
      </c>
      <c r="P31" s="35"/>
      <c r="Q31" s="69" t="s">
        <v>2104</v>
      </c>
      <c r="R31" s="36" t="s">
        <v>4</v>
      </c>
      <c r="S31" s="175">
        <v>46176.0</v>
      </c>
      <c r="T31" s="198" t="s">
        <v>2748</v>
      </c>
      <c r="U31" s="263"/>
    </row>
    <row r="32" ht="15.75" customHeight="1">
      <c r="A32" s="7" t="s">
        <v>2749</v>
      </c>
      <c r="B32" s="7" t="s">
        <v>1160</v>
      </c>
      <c r="C32" s="7" t="s">
        <v>747</v>
      </c>
      <c r="D32" s="7" t="s">
        <v>907</v>
      </c>
      <c r="E32" s="7" t="s">
        <v>768</v>
      </c>
      <c r="F32" s="7" t="s">
        <v>16</v>
      </c>
      <c r="G32" s="7" t="s">
        <v>1051</v>
      </c>
      <c r="H32" s="173" t="s">
        <v>2736</v>
      </c>
      <c r="I32" s="7" t="s">
        <v>39</v>
      </c>
      <c r="J32" s="33" t="s">
        <v>2750</v>
      </c>
      <c r="K32" s="33" t="s">
        <v>2751</v>
      </c>
      <c r="L32" s="58" t="s">
        <v>2752</v>
      </c>
      <c r="M32" s="33" t="s">
        <v>39</v>
      </c>
      <c r="N32" s="7" t="s">
        <v>913</v>
      </c>
      <c r="O32" s="7" t="s">
        <v>974</v>
      </c>
      <c r="P32" s="7"/>
      <c r="Q32" s="33" t="s">
        <v>2753</v>
      </c>
      <c r="R32" s="7" t="s">
        <v>4</v>
      </c>
      <c r="S32" s="130">
        <v>46298.0</v>
      </c>
      <c r="T32" s="32" t="s">
        <v>2754</v>
      </c>
      <c r="U32" s="20"/>
    </row>
    <row r="33" ht="15.75" customHeight="1">
      <c r="A33" s="50" t="s">
        <v>2755</v>
      </c>
      <c r="B33" s="50" t="s">
        <v>1160</v>
      </c>
      <c r="C33" s="50" t="s">
        <v>747</v>
      </c>
      <c r="D33" s="50" t="s">
        <v>907</v>
      </c>
      <c r="E33" s="50" t="s">
        <v>768</v>
      </c>
      <c r="F33" s="50" t="s">
        <v>12</v>
      </c>
      <c r="G33" s="50" t="s">
        <v>1051</v>
      </c>
      <c r="H33" s="300" t="s">
        <v>2742</v>
      </c>
      <c r="I33" s="50" t="s">
        <v>39</v>
      </c>
      <c r="J33" s="174" t="s">
        <v>2750</v>
      </c>
      <c r="K33" s="174" t="s">
        <v>2756</v>
      </c>
      <c r="L33" s="57" t="s">
        <v>2757</v>
      </c>
      <c r="M33" s="174" t="s">
        <v>39</v>
      </c>
      <c r="N33" s="50" t="s">
        <v>913</v>
      </c>
      <c r="O33" s="50"/>
      <c r="P33" s="50"/>
      <c r="Q33" s="174" t="s">
        <v>2753</v>
      </c>
      <c r="R33" s="50" t="s">
        <v>3</v>
      </c>
      <c r="S33" s="50" t="s">
        <v>1027</v>
      </c>
      <c r="T33" s="233" t="s">
        <v>2758</v>
      </c>
      <c r="U33" s="301"/>
    </row>
    <row r="34" ht="15.75" customHeight="1">
      <c r="A34" s="7" t="s">
        <v>2759</v>
      </c>
      <c r="B34" s="7" t="s">
        <v>1160</v>
      </c>
      <c r="C34" s="7" t="s">
        <v>747</v>
      </c>
      <c r="D34" s="7" t="s">
        <v>907</v>
      </c>
      <c r="E34" s="7" t="s">
        <v>768</v>
      </c>
      <c r="F34" s="7" t="s">
        <v>12</v>
      </c>
      <c r="G34" s="7" t="s">
        <v>1051</v>
      </c>
      <c r="H34" s="173" t="s">
        <v>2746</v>
      </c>
      <c r="I34" s="7" t="s">
        <v>39</v>
      </c>
      <c r="J34" s="33" t="s">
        <v>2750</v>
      </c>
      <c r="K34" s="33" t="s">
        <v>2756</v>
      </c>
      <c r="L34" s="58" t="s">
        <v>2760</v>
      </c>
      <c r="M34" s="33" t="s">
        <v>39</v>
      </c>
      <c r="N34" s="7" t="s">
        <v>913</v>
      </c>
      <c r="O34" s="7"/>
      <c r="P34" s="7"/>
      <c r="Q34" s="33" t="s">
        <v>2753</v>
      </c>
      <c r="R34" s="7" t="s">
        <v>3</v>
      </c>
      <c r="S34" s="7" t="s">
        <v>1027</v>
      </c>
      <c r="T34" s="32" t="s">
        <v>2761</v>
      </c>
      <c r="U34" s="20"/>
    </row>
    <row r="35" ht="15.75" customHeight="1">
      <c r="A35" s="7" t="s">
        <v>2762</v>
      </c>
      <c r="B35" s="7" t="s">
        <v>1160</v>
      </c>
      <c r="C35" s="7" t="s">
        <v>747</v>
      </c>
      <c r="D35" s="7" t="s">
        <v>907</v>
      </c>
      <c r="E35" s="7" t="s">
        <v>1004</v>
      </c>
      <c r="F35" s="7" t="s">
        <v>12</v>
      </c>
      <c r="G35" s="7" t="s">
        <v>1051</v>
      </c>
      <c r="H35" s="33" t="s">
        <v>2763</v>
      </c>
      <c r="I35" s="7" t="s">
        <v>39</v>
      </c>
      <c r="J35" s="33" t="s">
        <v>2764</v>
      </c>
      <c r="K35" s="33" t="s">
        <v>2765</v>
      </c>
      <c r="L35" s="58" t="s">
        <v>2766</v>
      </c>
      <c r="M35" s="33" t="s">
        <v>39</v>
      </c>
      <c r="N35" s="7" t="s">
        <v>913</v>
      </c>
      <c r="O35" s="7"/>
      <c r="P35" s="7"/>
      <c r="Q35" s="33" t="s">
        <v>2104</v>
      </c>
      <c r="R35" s="7" t="s">
        <v>3</v>
      </c>
      <c r="S35" s="7" t="s">
        <v>1027</v>
      </c>
      <c r="T35" s="32" t="s">
        <v>2767</v>
      </c>
      <c r="U35" s="20"/>
    </row>
    <row r="36" ht="15.75" customHeight="1">
      <c r="A36" s="199" t="s">
        <v>2768</v>
      </c>
      <c r="B36" s="199" t="s">
        <v>1160</v>
      </c>
      <c r="C36" s="199" t="s">
        <v>747</v>
      </c>
      <c r="D36" s="199" t="s">
        <v>907</v>
      </c>
      <c r="E36" s="199" t="s">
        <v>1575</v>
      </c>
      <c r="F36" s="199" t="s">
        <v>12</v>
      </c>
      <c r="G36" s="199" t="s">
        <v>1552</v>
      </c>
      <c r="H36" s="201" t="s">
        <v>2763</v>
      </c>
      <c r="I36" s="199" t="s">
        <v>39</v>
      </c>
      <c r="J36" s="201" t="s">
        <v>2769</v>
      </c>
      <c r="K36" s="201" t="s">
        <v>2770</v>
      </c>
      <c r="L36" s="202" t="s">
        <v>2771</v>
      </c>
      <c r="M36" s="201" t="s">
        <v>39</v>
      </c>
      <c r="N36" s="199" t="s">
        <v>913</v>
      </c>
      <c r="O36" s="199"/>
      <c r="P36" s="199"/>
      <c r="Q36" s="201"/>
      <c r="R36" s="234" t="s">
        <v>3</v>
      </c>
      <c r="S36" s="234" t="s">
        <v>1659</v>
      </c>
      <c r="T36" s="302" t="s">
        <v>2772</v>
      </c>
      <c r="U36" s="227"/>
    </row>
    <row r="37" ht="15.75" customHeight="1">
      <c r="A37" s="35" t="s">
        <v>2773</v>
      </c>
      <c r="B37" s="35" t="s">
        <v>1659</v>
      </c>
      <c r="C37" s="35" t="s">
        <v>747</v>
      </c>
      <c r="D37" s="35" t="s">
        <v>907</v>
      </c>
      <c r="E37" s="35" t="s">
        <v>762</v>
      </c>
      <c r="F37" s="35" t="s">
        <v>12</v>
      </c>
      <c r="G37" s="35" t="s">
        <v>1005</v>
      </c>
      <c r="H37" s="35" t="s">
        <v>782</v>
      </c>
      <c r="I37" s="35" t="s">
        <v>466</v>
      </c>
      <c r="J37" s="69" t="s">
        <v>2774</v>
      </c>
      <c r="K37" s="69" t="s">
        <v>2775</v>
      </c>
      <c r="L37" s="28" t="s">
        <v>2776</v>
      </c>
      <c r="M37" s="69" t="s">
        <v>39</v>
      </c>
      <c r="N37" s="35" t="s">
        <v>913</v>
      </c>
      <c r="O37" s="35"/>
      <c r="P37" s="35"/>
      <c r="Q37" s="69" t="s">
        <v>2777</v>
      </c>
      <c r="R37" s="35" t="s">
        <v>3</v>
      </c>
      <c r="S37" s="35" t="s">
        <v>1027</v>
      </c>
      <c r="T37" s="61" t="s">
        <v>2778</v>
      </c>
      <c r="U37" s="263"/>
    </row>
    <row r="38" ht="15.75" customHeight="1">
      <c r="A38" s="7" t="s">
        <v>2779</v>
      </c>
      <c r="B38" s="7" t="s">
        <v>1659</v>
      </c>
      <c r="C38" s="7" t="s">
        <v>755</v>
      </c>
      <c r="D38" s="7" t="s">
        <v>907</v>
      </c>
      <c r="E38" s="7" t="s">
        <v>1757</v>
      </c>
      <c r="F38" s="7" t="s">
        <v>16</v>
      </c>
      <c r="G38" s="7" t="s">
        <v>1005</v>
      </c>
      <c r="H38" s="7" t="s">
        <v>782</v>
      </c>
      <c r="I38" s="7" t="s">
        <v>39</v>
      </c>
      <c r="J38" s="33" t="s">
        <v>2780</v>
      </c>
      <c r="K38" s="33" t="s">
        <v>2781</v>
      </c>
      <c r="L38" s="58" t="s">
        <v>2782</v>
      </c>
      <c r="M38" s="33" t="s">
        <v>39</v>
      </c>
      <c r="N38" s="7" t="s">
        <v>913</v>
      </c>
      <c r="O38" s="7" t="s">
        <v>974</v>
      </c>
      <c r="P38" s="7" t="s">
        <v>1851</v>
      </c>
      <c r="Q38" s="33" t="s">
        <v>2783</v>
      </c>
      <c r="R38" s="7" t="s">
        <v>4</v>
      </c>
      <c r="S38" s="130">
        <v>46267.0</v>
      </c>
      <c r="T38" s="32" t="s">
        <v>2784</v>
      </c>
      <c r="U38" s="13" t="s">
        <v>869</v>
      </c>
    </row>
    <row r="39" ht="15.75" customHeight="1">
      <c r="A39" s="50" t="s">
        <v>2785</v>
      </c>
      <c r="B39" s="50" t="s">
        <v>1659</v>
      </c>
      <c r="C39" s="50" t="s">
        <v>755</v>
      </c>
      <c r="D39" s="50" t="s">
        <v>907</v>
      </c>
      <c r="E39" s="50" t="s">
        <v>1757</v>
      </c>
      <c r="F39" s="50" t="s">
        <v>12</v>
      </c>
      <c r="G39" s="50" t="s">
        <v>1051</v>
      </c>
      <c r="H39" s="174" t="s">
        <v>2763</v>
      </c>
      <c r="I39" s="50" t="s">
        <v>39</v>
      </c>
      <c r="J39" s="174" t="s">
        <v>2786</v>
      </c>
      <c r="K39" s="174" t="s">
        <v>2787</v>
      </c>
      <c r="L39" s="57" t="s">
        <v>2788</v>
      </c>
      <c r="M39" s="174" t="s">
        <v>39</v>
      </c>
      <c r="N39" s="50" t="s">
        <v>913</v>
      </c>
      <c r="O39" s="50" t="s">
        <v>753</v>
      </c>
      <c r="P39" s="50"/>
      <c r="Q39" s="174" t="s">
        <v>2777</v>
      </c>
      <c r="R39" s="52" t="s">
        <v>4</v>
      </c>
      <c r="S39" s="303">
        <v>46145.0</v>
      </c>
      <c r="T39" s="233" t="s">
        <v>2789</v>
      </c>
      <c r="U39" s="301"/>
    </row>
    <row r="40" ht="15.75" customHeight="1">
      <c r="A40" s="50" t="s">
        <v>2790</v>
      </c>
      <c r="B40" s="50" t="s">
        <v>1659</v>
      </c>
      <c r="C40" s="50" t="s">
        <v>770</v>
      </c>
      <c r="D40" s="50" t="s">
        <v>907</v>
      </c>
      <c r="E40" s="50" t="s">
        <v>1757</v>
      </c>
      <c r="F40" s="50" t="s">
        <v>12</v>
      </c>
      <c r="G40" s="50" t="s">
        <v>1086</v>
      </c>
      <c r="H40" s="50" t="s">
        <v>2791</v>
      </c>
      <c r="I40" s="50" t="s">
        <v>39</v>
      </c>
      <c r="J40" s="174" t="s">
        <v>2792</v>
      </c>
      <c r="K40" s="174" t="s">
        <v>2793</v>
      </c>
      <c r="L40" s="57" t="s">
        <v>2794</v>
      </c>
      <c r="M40" s="174" t="s">
        <v>39</v>
      </c>
      <c r="N40" s="50" t="s">
        <v>913</v>
      </c>
      <c r="O40" s="50"/>
      <c r="P40" s="50"/>
      <c r="Q40" s="174" t="s">
        <v>2104</v>
      </c>
      <c r="R40" s="50" t="s">
        <v>3</v>
      </c>
      <c r="S40" s="50" t="s">
        <v>1027</v>
      </c>
      <c r="T40" s="233" t="s">
        <v>2795</v>
      </c>
      <c r="U40" s="301"/>
    </row>
    <row r="41" ht="15.75" customHeight="1">
      <c r="A41" s="7" t="s">
        <v>2796</v>
      </c>
      <c r="B41" s="130">
        <v>46175.0</v>
      </c>
      <c r="C41" s="7" t="s">
        <v>770</v>
      </c>
      <c r="D41" s="7" t="s">
        <v>907</v>
      </c>
      <c r="E41" s="7" t="s">
        <v>829</v>
      </c>
      <c r="F41" s="7" t="s">
        <v>12</v>
      </c>
      <c r="G41" s="7" t="s">
        <v>2797</v>
      </c>
      <c r="H41" s="173" t="s">
        <v>154</v>
      </c>
      <c r="I41" s="7" t="s">
        <v>39</v>
      </c>
      <c r="J41" s="33" t="s">
        <v>2798</v>
      </c>
      <c r="K41" s="33" t="s">
        <v>2799</v>
      </c>
      <c r="L41" s="58" t="s">
        <v>2800</v>
      </c>
      <c r="M41" s="33" t="s">
        <v>39</v>
      </c>
      <c r="N41" s="7" t="s">
        <v>913</v>
      </c>
      <c r="O41" s="7"/>
      <c r="P41" s="7"/>
      <c r="Q41" s="33" t="s">
        <v>2104</v>
      </c>
      <c r="R41" s="7" t="s">
        <v>3</v>
      </c>
      <c r="S41" s="7" t="s">
        <v>1027</v>
      </c>
      <c r="T41" s="32" t="s">
        <v>2801</v>
      </c>
      <c r="U41" s="20"/>
    </row>
    <row r="42" ht="15.75" customHeight="1">
      <c r="A42" s="7" t="s">
        <v>2802</v>
      </c>
      <c r="B42" s="130">
        <v>46267.0</v>
      </c>
      <c r="C42" s="7" t="s">
        <v>770</v>
      </c>
      <c r="D42" s="7" t="s">
        <v>907</v>
      </c>
      <c r="E42" s="7" t="s">
        <v>1004</v>
      </c>
      <c r="F42" s="7" t="s">
        <v>12</v>
      </c>
      <c r="G42" s="7" t="s">
        <v>1552</v>
      </c>
      <c r="H42" s="7" t="s">
        <v>2803</v>
      </c>
      <c r="I42" s="7" t="s">
        <v>39</v>
      </c>
      <c r="J42" s="33" t="s">
        <v>2804</v>
      </c>
      <c r="K42" s="33" t="s">
        <v>2805</v>
      </c>
      <c r="L42" s="58" t="s">
        <v>2806</v>
      </c>
      <c r="M42" s="33" t="s">
        <v>39</v>
      </c>
      <c r="N42" s="7" t="s">
        <v>913</v>
      </c>
      <c r="O42" s="7"/>
      <c r="P42" s="7"/>
      <c r="Q42" s="33" t="s">
        <v>2104</v>
      </c>
      <c r="R42" s="7" t="s">
        <v>3</v>
      </c>
      <c r="S42" s="7" t="s">
        <v>1027</v>
      </c>
      <c r="T42" s="32" t="s">
        <v>2807</v>
      </c>
      <c r="U42" s="20"/>
    </row>
    <row r="43" ht="15.75" customHeight="1">
      <c r="A43" s="7" t="s">
        <v>2808</v>
      </c>
      <c r="B43" s="130">
        <v>46267.0</v>
      </c>
      <c r="C43" s="7" t="s">
        <v>747</v>
      </c>
      <c r="D43" s="7" t="s">
        <v>907</v>
      </c>
      <c r="E43" s="7" t="s">
        <v>829</v>
      </c>
      <c r="F43" s="7" t="s">
        <v>12</v>
      </c>
      <c r="G43" s="7" t="s">
        <v>908</v>
      </c>
      <c r="H43" s="7" t="s">
        <v>782</v>
      </c>
      <c r="I43" s="7" t="s">
        <v>39</v>
      </c>
      <c r="J43" s="33" t="s">
        <v>2809</v>
      </c>
      <c r="K43" s="33" t="s">
        <v>2810</v>
      </c>
      <c r="L43" s="58" t="s">
        <v>2811</v>
      </c>
      <c r="M43" s="33" t="s">
        <v>39</v>
      </c>
      <c r="N43" s="7" t="s">
        <v>750</v>
      </c>
      <c r="O43" s="7" t="s">
        <v>913</v>
      </c>
      <c r="P43" s="7"/>
      <c r="Q43" s="33" t="s">
        <v>1717</v>
      </c>
      <c r="R43" s="7" t="s">
        <v>3</v>
      </c>
      <c r="S43" s="7" t="s">
        <v>1027</v>
      </c>
      <c r="T43" s="32" t="s">
        <v>2812</v>
      </c>
      <c r="U43" s="20"/>
    </row>
    <row r="44" ht="15.75" customHeight="1">
      <c r="A44" s="50" t="s">
        <v>2813</v>
      </c>
      <c r="B44" s="235">
        <v>46267.0</v>
      </c>
      <c r="C44" s="50" t="s">
        <v>755</v>
      </c>
      <c r="D44" s="50" t="s">
        <v>907</v>
      </c>
      <c r="E44" s="50" t="s">
        <v>1757</v>
      </c>
      <c r="F44" s="50" t="s">
        <v>16</v>
      </c>
      <c r="G44" s="50" t="s">
        <v>1051</v>
      </c>
      <c r="H44" s="50" t="s">
        <v>782</v>
      </c>
      <c r="I44" s="50" t="s">
        <v>39</v>
      </c>
      <c r="J44" s="174" t="s">
        <v>2814</v>
      </c>
      <c r="K44" s="174" t="s">
        <v>2815</v>
      </c>
      <c r="L44" s="57" t="s">
        <v>2816</v>
      </c>
      <c r="M44" s="174" t="s">
        <v>39</v>
      </c>
      <c r="N44" s="50" t="s">
        <v>750</v>
      </c>
      <c r="O44" s="50" t="s">
        <v>974</v>
      </c>
      <c r="P44" s="50" t="s">
        <v>1029</v>
      </c>
      <c r="Q44" s="174"/>
      <c r="R44" s="52" t="s">
        <v>4</v>
      </c>
      <c r="S44" s="52" t="s">
        <v>1272</v>
      </c>
      <c r="T44" s="177" t="s">
        <v>2817</v>
      </c>
      <c r="U44" s="264" t="s">
        <v>976</v>
      </c>
    </row>
    <row r="45" ht="15.75" customHeight="1">
      <c r="A45" s="7" t="s">
        <v>2818</v>
      </c>
      <c r="B45" s="130">
        <v>46114.0</v>
      </c>
      <c r="C45" s="7" t="s">
        <v>747</v>
      </c>
      <c r="D45" s="7" t="s">
        <v>907</v>
      </c>
      <c r="E45" s="7" t="s">
        <v>1757</v>
      </c>
      <c r="F45" s="7" t="s">
        <v>16</v>
      </c>
      <c r="G45" s="7" t="s">
        <v>1183</v>
      </c>
      <c r="H45" s="7" t="s">
        <v>782</v>
      </c>
      <c r="I45" s="7" t="s">
        <v>39</v>
      </c>
      <c r="J45" s="33" t="s">
        <v>2819</v>
      </c>
      <c r="K45" s="33" t="s">
        <v>2820</v>
      </c>
      <c r="L45" s="58" t="s">
        <v>2821</v>
      </c>
      <c r="M45" s="33" t="s">
        <v>39</v>
      </c>
      <c r="N45" s="7" t="s">
        <v>913</v>
      </c>
      <c r="O45" s="7" t="s">
        <v>974</v>
      </c>
      <c r="P45" s="7" t="s">
        <v>1029</v>
      </c>
      <c r="Q45" s="33"/>
      <c r="R45" s="15" t="s">
        <v>4</v>
      </c>
      <c r="S45" s="15" t="s">
        <v>1279</v>
      </c>
      <c r="T45" s="150" t="s">
        <v>2822</v>
      </c>
      <c r="U45" s="13" t="s">
        <v>869</v>
      </c>
    </row>
    <row r="46" ht="15.75" customHeight="1">
      <c r="A46" s="7" t="s">
        <v>2823</v>
      </c>
      <c r="B46" s="7" t="s">
        <v>1272</v>
      </c>
      <c r="C46" s="7" t="s">
        <v>755</v>
      </c>
      <c r="D46" s="7" t="s">
        <v>907</v>
      </c>
      <c r="E46" s="7" t="s">
        <v>1757</v>
      </c>
      <c r="F46" s="7" t="s">
        <v>16</v>
      </c>
      <c r="G46" s="7" t="s">
        <v>1110</v>
      </c>
      <c r="H46" s="7" t="s">
        <v>782</v>
      </c>
      <c r="I46" s="7" t="s">
        <v>39</v>
      </c>
      <c r="J46" s="33" t="s">
        <v>2824</v>
      </c>
      <c r="K46" s="33" t="s">
        <v>2825</v>
      </c>
      <c r="L46" s="58" t="s">
        <v>2826</v>
      </c>
      <c r="M46" s="33" t="s">
        <v>39</v>
      </c>
      <c r="N46" s="7" t="s">
        <v>913</v>
      </c>
      <c r="O46" s="7"/>
      <c r="P46" s="7"/>
      <c r="Q46" s="33"/>
      <c r="R46" s="15" t="s">
        <v>3</v>
      </c>
      <c r="S46" s="15" t="s">
        <v>1272</v>
      </c>
      <c r="T46" s="150" t="s">
        <v>2827</v>
      </c>
      <c r="U46" s="20"/>
    </row>
    <row r="47" ht="15.75" customHeight="1">
      <c r="A47" s="7" t="s">
        <v>2828</v>
      </c>
      <c r="B47" s="7" t="s">
        <v>1272</v>
      </c>
      <c r="C47" s="7" t="s">
        <v>755</v>
      </c>
      <c r="D47" s="7" t="s">
        <v>907</v>
      </c>
      <c r="E47" s="7" t="s">
        <v>768</v>
      </c>
      <c r="F47" s="7" t="s">
        <v>16</v>
      </c>
      <c r="G47" s="7" t="s">
        <v>2829</v>
      </c>
      <c r="H47" s="7" t="s">
        <v>782</v>
      </c>
      <c r="I47" s="7" t="s">
        <v>39</v>
      </c>
      <c r="J47" s="33" t="s">
        <v>2830</v>
      </c>
      <c r="K47" s="33" t="s">
        <v>2831</v>
      </c>
      <c r="L47" s="58" t="s">
        <v>2832</v>
      </c>
      <c r="M47" s="33" t="s">
        <v>39</v>
      </c>
      <c r="N47" s="7" t="s">
        <v>913</v>
      </c>
      <c r="O47" s="7" t="s">
        <v>974</v>
      </c>
      <c r="P47" s="7" t="s">
        <v>1029</v>
      </c>
      <c r="Q47" s="33"/>
      <c r="R47" s="15" t="s">
        <v>4</v>
      </c>
      <c r="S47" s="15" t="s">
        <v>1279</v>
      </c>
      <c r="T47" s="150" t="s">
        <v>2833</v>
      </c>
      <c r="U47" s="13" t="s">
        <v>869</v>
      </c>
    </row>
    <row r="48" ht="15.75" customHeight="1">
      <c r="A48" s="7" t="s">
        <v>2834</v>
      </c>
      <c r="B48" s="7" t="s">
        <v>1272</v>
      </c>
      <c r="C48" s="7" t="s">
        <v>747</v>
      </c>
      <c r="D48" s="7" t="s">
        <v>907</v>
      </c>
      <c r="E48" s="7" t="s">
        <v>768</v>
      </c>
      <c r="F48" s="7" t="s">
        <v>16</v>
      </c>
      <c r="G48" s="7" t="s">
        <v>1110</v>
      </c>
      <c r="H48" s="7" t="s">
        <v>782</v>
      </c>
      <c r="I48" s="7" t="s">
        <v>39</v>
      </c>
      <c r="J48" s="33" t="s">
        <v>2835</v>
      </c>
      <c r="K48" s="33" t="s">
        <v>2836</v>
      </c>
      <c r="L48" s="58" t="s">
        <v>2837</v>
      </c>
      <c r="M48" s="33" t="s">
        <v>39</v>
      </c>
      <c r="N48" s="7" t="s">
        <v>913</v>
      </c>
      <c r="O48" s="7" t="s">
        <v>974</v>
      </c>
      <c r="P48" s="7" t="s">
        <v>1029</v>
      </c>
      <c r="Q48" s="33" t="s">
        <v>2838</v>
      </c>
      <c r="R48" s="15" t="s">
        <v>3</v>
      </c>
      <c r="S48" s="15" t="s">
        <v>1565</v>
      </c>
      <c r="T48" s="150" t="s">
        <v>2839</v>
      </c>
      <c r="U48" s="13" t="s">
        <v>976</v>
      </c>
    </row>
    <row r="49" ht="15.75" customHeight="1">
      <c r="A49" s="7" t="s">
        <v>2840</v>
      </c>
      <c r="B49" s="7" t="s">
        <v>1272</v>
      </c>
      <c r="C49" s="7" t="s">
        <v>755</v>
      </c>
      <c r="D49" s="7" t="s">
        <v>907</v>
      </c>
      <c r="E49" s="7" t="s">
        <v>1757</v>
      </c>
      <c r="F49" s="7" t="s">
        <v>16</v>
      </c>
      <c r="G49" s="7" t="s">
        <v>1051</v>
      </c>
      <c r="H49" s="7" t="s">
        <v>782</v>
      </c>
      <c r="I49" s="7" t="s">
        <v>39</v>
      </c>
      <c r="J49" s="33" t="s">
        <v>2841</v>
      </c>
      <c r="K49" s="33" t="s">
        <v>2842</v>
      </c>
      <c r="L49" s="58" t="s">
        <v>2843</v>
      </c>
      <c r="M49" s="33" t="s">
        <v>39</v>
      </c>
      <c r="N49" s="7" t="s">
        <v>913</v>
      </c>
      <c r="O49" s="7" t="s">
        <v>974</v>
      </c>
      <c r="P49" s="7" t="s">
        <v>1029</v>
      </c>
      <c r="Q49" s="33"/>
      <c r="R49" s="15" t="s">
        <v>4</v>
      </c>
      <c r="S49" s="15" t="s">
        <v>1272</v>
      </c>
      <c r="T49" s="150" t="s">
        <v>2844</v>
      </c>
      <c r="U49" s="13" t="s">
        <v>976</v>
      </c>
    </row>
    <row r="50" ht="15.75" customHeight="1">
      <c r="A50" s="7" t="s">
        <v>2845</v>
      </c>
      <c r="B50" s="7" t="s">
        <v>1272</v>
      </c>
      <c r="C50" s="7" t="s">
        <v>747</v>
      </c>
      <c r="D50" s="7" t="s">
        <v>907</v>
      </c>
      <c r="E50" s="7" t="s">
        <v>1757</v>
      </c>
      <c r="F50" s="7" t="s">
        <v>6</v>
      </c>
      <c r="G50" s="7" t="s">
        <v>908</v>
      </c>
      <c r="H50" s="7" t="s">
        <v>782</v>
      </c>
      <c r="I50" s="7" t="s">
        <v>39</v>
      </c>
      <c r="J50" s="33" t="s">
        <v>2846</v>
      </c>
      <c r="K50" s="33" t="s">
        <v>2847</v>
      </c>
      <c r="L50" s="58" t="s">
        <v>2848</v>
      </c>
      <c r="M50" s="33" t="s">
        <v>39</v>
      </c>
      <c r="N50" s="7" t="s">
        <v>750</v>
      </c>
      <c r="O50" s="7" t="s">
        <v>753</v>
      </c>
      <c r="P50" s="7"/>
      <c r="Q50" s="33" t="s">
        <v>1717</v>
      </c>
      <c r="R50" s="15" t="s">
        <v>3</v>
      </c>
      <c r="S50" s="172">
        <v>46084.0</v>
      </c>
      <c r="T50" s="150" t="s">
        <v>2849</v>
      </c>
      <c r="U50" s="20"/>
    </row>
    <row r="51" ht="15.75" customHeight="1">
      <c r="A51" s="35" t="s">
        <v>2850</v>
      </c>
      <c r="B51" s="35" t="s">
        <v>1272</v>
      </c>
      <c r="C51" s="35" t="s">
        <v>755</v>
      </c>
      <c r="D51" s="35" t="s">
        <v>907</v>
      </c>
      <c r="E51" s="35" t="s">
        <v>1757</v>
      </c>
      <c r="F51" s="35" t="s">
        <v>16</v>
      </c>
      <c r="G51" s="35" t="s">
        <v>1051</v>
      </c>
      <c r="H51" s="35" t="s">
        <v>782</v>
      </c>
      <c r="I51" s="35" t="s">
        <v>39</v>
      </c>
      <c r="J51" s="69" t="s">
        <v>2851</v>
      </c>
      <c r="K51" s="69" t="s">
        <v>2852</v>
      </c>
      <c r="L51" s="28" t="s">
        <v>2853</v>
      </c>
      <c r="M51" s="69" t="s">
        <v>39</v>
      </c>
      <c r="N51" s="35" t="s">
        <v>913</v>
      </c>
      <c r="O51" s="35" t="s">
        <v>974</v>
      </c>
      <c r="P51" s="35" t="s">
        <v>1029</v>
      </c>
      <c r="Q51" s="69"/>
      <c r="R51" s="36" t="s">
        <v>4</v>
      </c>
      <c r="S51" s="36" t="s">
        <v>1272</v>
      </c>
      <c r="T51" s="198" t="s">
        <v>2844</v>
      </c>
      <c r="U51" s="112" t="s">
        <v>976</v>
      </c>
    </row>
    <row r="52" ht="15.75" customHeight="1">
      <c r="A52" s="7" t="s">
        <v>2854</v>
      </c>
      <c r="B52" s="7" t="s">
        <v>1062</v>
      </c>
      <c r="C52" s="7" t="s">
        <v>747</v>
      </c>
      <c r="D52" s="7" t="s">
        <v>907</v>
      </c>
      <c r="E52" s="7" t="s">
        <v>829</v>
      </c>
      <c r="F52" s="7" t="s">
        <v>6</v>
      </c>
      <c r="G52" s="7" t="s">
        <v>908</v>
      </c>
      <c r="H52" s="7" t="s">
        <v>782</v>
      </c>
      <c r="I52" s="7" t="s">
        <v>39</v>
      </c>
      <c r="J52" s="33" t="s">
        <v>2855</v>
      </c>
      <c r="K52" s="33" t="s">
        <v>2856</v>
      </c>
      <c r="L52" s="58" t="s">
        <v>2857</v>
      </c>
      <c r="M52" s="33" t="s">
        <v>39</v>
      </c>
      <c r="N52" s="7" t="s">
        <v>913</v>
      </c>
      <c r="O52" s="7" t="s">
        <v>753</v>
      </c>
      <c r="P52" s="7"/>
      <c r="Q52" s="33" t="s">
        <v>1717</v>
      </c>
      <c r="R52" s="7" t="s">
        <v>3</v>
      </c>
      <c r="S52" s="7" t="s">
        <v>1027</v>
      </c>
      <c r="T52" s="32" t="s">
        <v>2858</v>
      </c>
      <c r="U52" s="20"/>
    </row>
    <row r="53" ht="15.75" customHeight="1">
      <c r="A53" s="199" t="s">
        <v>2859</v>
      </c>
      <c r="B53" s="199" t="s">
        <v>1062</v>
      </c>
      <c r="C53" s="199" t="s">
        <v>747</v>
      </c>
      <c r="D53" s="199" t="s">
        <v>907</v>
      </c>
      <c r="E53" s="199" t="s">
        <v>1757</v>
      </c>
      <c r="F53" s="199" t="s">
        <v>16</v>
      </c>
      <c r="G53" s="199" t="s">
        <v>1086</v>
      </c>
      <c r="H53" s="199" t="s">
        <v>782</v>
      </c>
      <c r="I53" s="199" t="s">
        <v>39</v>
      </c>
      <c r="J53" s="201" t="s">
        <v>2860</v>
      </c>
      <c r="K53" s="201" t="s">
        <v>2861</v>
      </c>
      <c r="L53" s="202" t="s">
        <v>2862</v>
      </c>
      <c r="M53" s="201" t="s">
        <v>39</v>
      </c>
      <c r="N53" s="199" t="s">
        <v>913</v>
      </c>
      <c r="O53" s="199" t="s">
        <v>913</v>
      </c>
      <c r="P53" s="199"/>
      <c r="Q53" s="201" t="s">
        <v>2863</v>
      </c>
      <c r="R53" s="234" t="s">
        <v>3</v>
      </c>
      <c r="S53" s="304">
        <v>46056.0</v>
      </c>
      <c r="T53" s="302" t="s">
        <v>2864</v>
      </c>
      <c r="U53" s="227"/>
    </row>
    <row r="54" ht="15.75" customHeight="1">
      <c r="A54" s="35" t="s">
        <v>2865</v>
      </c>
      <c r="B54" s="35" t="s">
        <v>1062</v>
      </c>
      <c r="C54" s="35" t="s">
        <v>755</v>
      </c>
      <c r="D54" s="35" t="s">
        <v>907</v>
      </c>
      <c r="E54" s="35" t="s">
        <v>756</v>
      </c>
      <c r="F54" s="35" t="s">
        <v>6</v>
      </c>
      <c r="G54" s="35" t="s">
        <v>2866</v>
      </c>
      <c r="H54" s="35" t="s">
        <v>782</v>
      </c>
      <c r="I54" s="35" t="s">
        <v>39</v>
      </c>
      <c r="J54" s="69" t="s">
        <v>2867</v>
      </c>
      <c r="K54" s="69" t="s">
        <v>2868</v>
      </c>
      <c r="L54" s="28" t="s">
        <v>2869</v>
      </c>
      <c r="M54" s="69" t="s">
        <v>39</v>
      </c>
      <c r="N54" s="35" t="s">
        <v>913</v>
      </c>
      <c r="O54" s="35" t="s">
        <v>753</v>
      </c>
      <c r="P54" s="35"/>
      <c r="Q54" s="69" t="s">
        <v>1717</v>
      </c>
      <c r="R54" s="35" t="s">
        <v>3</v>
      </c>
      <c r="S54" s="35" t="s">
        <v>1027</v>
      </c>
      <c r="T54" s="61" t="s">
        <v>2870</v>
      </c>
      <c r="U54" s="263"/>
    </row>
    <row r="55" ht="15.75" customHeight="1">
      <c r="A55" s="7" t="s">
        <v>2871</v>
      </c>
      <c r="B55" s="7" t="s">
        <v>1062</v>
      </c>
      <c r="C55" s="7" t="s">
        <v>747</v>
      </c>
      <c r="D55" s="7" t="s">
        <v>907</v>
      </c>
      <c r="E55" s="7" t="s">
        <v>756</v>
      </c>
      <c r="F55" s="7" t="s">
        <v>6</v>
      </c>
      <c r="G55" s="7" t="s">
        <v>2866</v>
      </c>
      <c r="H55" s="7" t="s">
        <v>782</v>
      </c>
      <c r="I55" s="7" t="s">
        <v>39</v>
      </c>
      <c r="J55" s="33" t="s">
        <v>2872</v>
      </c>
      <c r="K55" s="33" t="s">
        <v>2873</v>
      </c>
      <c r="L55" s="58" t="s">
        <v>2874</v>
      </c>
      <c r="M55" s="33" t="s">
        <v>39</v>
      </c>
      <c r="N55" s="7" t="s">
        <v>913</v>
      </c>
      <c r="O55" s="7" t="s">
        <v>753</v>
      </c>
      <c r="P55" s="7"/>
      <c r="Q55" s="33" t="s">
        <v>2104</v>
      </c>
      <c r="R55" s="7" t="s">
        <v>3</v>
      </c>
      <c r="S55" s="130">
        <v>46145.0</v>
      </c>
      <c r="T55" s="32" t="s">
        <v>2875</v>
      </c>
      <c r="U55" s="20"/>
    </row>
    <row r="56" ht="15.75" customHeight="1">
      <c r="A56" s="199" t="s">
        <v>2876</v>
      </c>
      <c r="B56" s="199" t="s">
        <v>1062</v>
      </c>
      <c r="C56" s="199" t="s">
        <v>755</v>
      </c>
      <c r="D56" s="199" t="s">
        <v>907</v>
      </c>
      <c r="E56" s="199" t="s">
        <v>829</v>
      </c>
      <c r="F56" s="199" t="s">
        <v>6</v>
      </c>
      <c r="G56" s="199" t="s">
        <v>908</v>
      </c>
      <c r="H56" s="199" t="s">
        <v>782</v>
      </c>
      <c r="I56" s="199" t="s">
        <v>39</v>
      </c>
      <c r="J56" s="201" t="s">
        <v>2877</v>
      </c>
      <c r="K56" s="201" t="s">
        <v>2878</v>
      </c>
      <c r="L56" s="202" t="s">
        <v>2879</v>
      </c>
      <c r="M56" s="201" t="s">
        <v>39</v>
      </c>
      <c r="N56" s="199" t="s">
        <v>913</v>
      </c>
      <c r="O56" s="199" t="s">
        <v>753</v>
      </c>
      <c r="P56" s="199"/>
      <c r="Q56" s="201" t="s">
        <v>2104</v>
      </c>
      <c r="R56" s="234" t="s">
        <v>3</v>
      </c>
      <c r="S56" s="197">
        <v>46145.0</v>
      </c>
      <c r="T56" s="302" t="s">
        <v>2880</v>
      </c>
      <c r="U56" s="227"/>
    </row>
    <row r="57" ht="15.75" customHeight="1">
      <c r="A57" s="7" t="s">
        <v>2881</v>
      </c>
      <c r="B57" s="7" t="s">
        <v>1062</v>
      </c>
      <c r="C57" s="7" t="s">
        <v>755</v>
      </c>
      <c r="D57" s="7" t="s">
        <v>907</v>
      </c>
      <c r="E57" s="7" t="s">
        <v>829</v>
      </c>
      <c r="F57" s="7" t="s">
        <v>6</v>
      </c>
      <c r="G57" s="7" t="s">
        <v>908</v>
      </c>
      <c r="H57" s="7" t="s">
        <v>782</v>
      </c>
      <c r="I57" s="7" t="s">
        <v>39</v>
      </c>
      <c r="J57" s="33" t="s">
        <v>2882</v>
      </c>
      <c r="K57" s="33" t="s">
        <v>2883</v>
      </c>
      <c r="L57" s="58" t="s">
        <v>2884</v>
      </c>
      <c r="M57" s="33" t="s">
        <v>39</v>
      </c>
      <c r="N57" s="7" t="s">
        <v>913</v>
      </c>
      <c r="O57" s="7" t="s">
        <v>753</v>
      </c>
      <c r="P57" s="7"/>
      <c r="Q57" s="33" t="s">
        <v>2885</v>
      </c>
      <c r="R57" s="7" t="s">
        <v>4</v>
      </c>
      <c r="S57" s="7" t="s">
        <v>1027</v>
      </c>
      <c r="T57" s="32" t="s">
        <v>2886</v>
      </c>
      <c r="U57" s="20"/>
    </row>
    <row r="58" ht="15.75" customHeight="1">
      <c r="A58" s="50" t="s">
        <v>2887</v>
      </c>
      <c r="B58" s="50" t="s">
        <v>1062</v>
      </c>
      <c r="C58" s="50" t="s">
        <v>755</v>
      </c>
      <c r="D58" s="50" t="s">
        <v>907</v>
      </c>
      <c r="E58" s="50" t="s">
        <v>829</v>
      </c>
      <c r="F58" s="50" t="s">
        <v>6</v>
      </c>
      <c r="G58" s="50" t="s">
        <v>908</v>
      </c>
      <c r="H58" s="50" t="s">
        <v>782</v>
      </c>
      <c r="I58" s="50" t="s">
        <v>39</v>
      </c>
      <c r="J58" s="174" t="s">
        <v>2888</v>
      </c>
      <c r="K58" s="174" t="s">
        <v>2889</v>
      </c>
      <c r="L58" s="57" t="s">
        <v>2890</v>
      </c>
      <c r="M58" s="174" t="s">
        <v>39</v>
      </c>
      <c r="N58" s="50" t="s">
        <v>913</v>
      </c>
      <c r="O58" s="50" t="s">
        <v>753</v>
      </c>
      <c r="P58" s="50"/>
      <c r="Q58" s="174" t="s">
        <v>1717</v>
      </c>
      <c r="R58" s="50" t="s">
        <v>3</v>
      </c>
      <c r="S58" s="50" t="s">
        <v>1027</v>
      </c>
      <c r="T58" s="233" t="s">
        <v>2891</v>
      </c>
      <c r="U58" s="301"/>
    </row>
    <row r="59" ht="15.75" customHeight="1">
      <c r="A59" s="7" t="s">
        <v>2892</v>
      </c>
      <c r="B59" s="7" t="s">
        <v>1062</v>
      </c>
      <c r="C59" s="7" t="s">
        <v>755</v>
      </c>
      <c r="D59" s="7" t="s">
        <v>907</v>
      </c>
      <c r="E59" s="7" t="s">
        <v>829</v>
      </c>
      <c r="F59" s="7" t="s">
        <v>6</v>
      </c>
      <c r="G59" s="7" t="s">
        <v>908</v>
      </c>
      <c r="H59" s="7" t="s">
        <v>782</v>
      </c>
      <c r="I59" s="7" t="s">
        <v>39</v>
      </c>
      <c r="J59" s="33" t="s">
        <v>2893</v>
      </c>
      <c r="K59" s="33" t="s">
        <v>2894</v>
      </c>
      <c r="L59" s="58" t="s">
        <v>2895</v>
      </c>
      <c r="M59" s="33" t="s">
        <v>39</v>
      </c>
      <c r="N59" s="7" t="s">
        <v>913</v>
      </c>
      <c r="O59" s="7" t="s">
        <v>753</v>
      </c>
      <c r="P59" s="7"/>
      <c r="Q59" s="33" t="s">
        <v>1717</v>
      </c>
      <c r="R59" s="7" t="s">
        <v>3</v>
      </c>
      <c r="S59" s="7" t="s">
        <v>1027</v>
      </c>
      <c r="T59" s="32" t="s">
        <v>2896</v>
      </c>
      <c r="U59" s="20"/>
    </row>
    <row r="60" ht="15.75" customHeight="1">
      <c r="A60" s="7" t="s">
        <v>2897</v>
      </c>
      <c r="B60" s="7" t="s">
        <v>1062</v>
      </c>
      <c r="C60" s="7" t="s">
        <v>755</v>
      </c>
      <c r="D60" s="7" t="s">
        <v>907</v>
      </c>
      <c r="E60" s="7" t="s">
        <v>756</v>
      </c>
      <c r="F60" s="7" t="s">
        <v>6</v>
      </c>
      <c r="G60" s="7" t="s">
        <v>908</v>
      </c>
      <c r="H60" s="7" t="s">
        <v>782</v>
      </c>
      <c r="I60" s="7" t="s">
        <v>39</v>
      </c>
      <c r="J60" s="33" t="s">
        <v>2898</v>
      </c>
      <c r="K60" s="33" t="s">
        <v>2899</v>
      </c>
      <c r="L60" s="58" t="s">
        <v>2900</v>
      </c>
      <c r="M60" s="33" t="s">
        <v>39</v>
      </c>
      <c r="N60" s="7" t="s">
        <v>913</v>
      </c>
      <c r="O60" s="7" t="s">
        <v>753</v>
      </c>
      <c r="P60" s="7"/>
      <c r="Q60" s="33" t="s">
        <v>2901</v>
      </c>
      <c r="R60" s="7" t="s">
        <v>3</v>
      </c>
      <c r="S60" s="130">
        <v>46145.0</v>
      </c>
      <c r="T60" s="32" t="s">
        <v>2902</v>
      </c>
      <c r="U60" s="20"/>
    </row>
    <row r="61" ht="15.75" customHeight="1">
      <c r="A61" s="199" t="s">
        <v>2903</v>
      </c>
      <c r="B61" s="199" t="s">
        <v>1062</v>
      </c>
      <c r="C61" s="199" t="s">
        <v>747</v>
      </c>
      <c r="D61" s="199" t="s">
        <v>907</v>
      </c>
      <c r="E61" s="199" t="s">
        <v>1757</v>
      </c>
      <c r="F61" s="199" t="s">
        <v>6</v>
      </c>
      <c r="G61" s="199" t="s">
        <v>1051</v>
      </c>
      <c r="H61" s="199" t="s">
        <v>2904</v>
      </c>
      <c r="I61" s="199" t="s">
        <v>39</v>
      </c>
      <c r="J61" s="201" t="s">
        <v>2905</v>
      </c>
      <c r="K61" s="201" t="s">
        <v>2906</v>
      </c>
      <c r="L61" s="202" t="s">
        <v>2907</v>
      </c>
      <c r="M61" s="201" t="s">
        <v>39</v>
      </c>
      <c r="N61" s="199" t="s">
        <v>913</v>
      </c>
      <c r="O61" s="199" t="s">
        <v>753</v>
      </c>
      <c r="P61" s="199"/>
      <c r="Q61" s="201" t="s">
        <v>2104</v>
      </c>
      <c r="R61" s="234" t="s">
        <v>3</v>
      </c>
      <c r="S61" s="130">
        <v>46145.0</v>
      </c>
      <c r="T61" s="302" t="s">
        <v>2908</v>
      </c>
      <c r="U61" s="227"/>
    </row>
    <row r="62" ht="15.75" customHeight="1">
      <c r="A62" s="35" t="s">
        <v>2909</v>
      </c>
      <c r="B62" s="35" t="s">
        <v>1062</v>
      </c>
      <c r="C62" s="35" t="s">
        <v>755</v>
      </c>
      <c r="D62" s="35" t="s">
        <v>907</v>
      </c>
      <c r="E62" s="35" t="s">
        <v>756</v>
      </c>
      <c r="F62" s="35" t="s">
        <v>6</v>
      </c>
      <c r="G62" s="35" t="s">
        <v>908</v>
      </c>
      <c r="H62" s="35" t="s">
        <v>782</v>
      </c>
      <c r="I62" s="35" t="s">
        <v>39</v>
      </c>
      <c r="J62" s="69" t="s">
        <v>2910</v>
      </c>
      <c r="K62" s="69" t="s">
        <v>2911</v>
      </c>
      <c r="L62" s="28" t="s">
        <v>2912</v>
      </c>
      <c r="M62" s="69" t="s">
        <v>39</v>
      </c>
      <c r="N62" s="35" t="s">
        <v>913</v>
      </c>
      <c r="O62" s="35" t="s">
        <v>753</v>
      </c>
      <c r="P62" s="35"/>
      <c r="Q62" s="69" t="s">
        <v>2901</v>
      </c>
      <c r="R62" s="35" t="s">
        <v>3</v>
      </c>
      <c r="S62" s="197">
        <v>46145.0</v>
      </c>
      <c r="T62" s="61" t="s">
        <v>2913</v>
      </c>
      <c r="U62" s="263"/>
    </row>
    <row r="63" ht="15.75" customHeight="1">
      <c r="A63" s="7" t="s">
        <v>2914</v>
      </c>
      <c r="B63" s="130">
        <v>46329.0</v>
      </c>
      <c r="C63" s="7" t="s">
        <v>747</v>
      </c>
      <c r="D63" s="7" t="s">
        <v>907</v>
      </c>
      <c r="E63" s="7" t="s">
        <v>829</v>
      </c>
      <c r="F63" s="7" t="s">
        <v>6</v>
      </c>
      <c r="G63" s="7" t="s">
        <v>2915</v>
      </c>
      <c r="H63" s="7" t="s">
        <v>782</v>
      </c>
      <c r="I63" s="7" t="s">
        <v>39</v>
      </c>
      <c r="J63" s="33" t="s">
        <v>2916</v>
      </c>
      <c r="K63" s="33" t="s">
        <v>2917</v>
      </c>
      <c r="L63" s="58" t="s">
        <v>2918</v>
      </c>
      <c r="M63" s="33" t="s">
        <v>39</v>
      </c>
      <c r="N63" s="7" t="s">
        <v>913</v>
      </c>
      <c r="O63" s="7" t="s">
        <v>1191</v>
      </c>
      <c r="P63" s="7"/>
      <c r="Q63" s="33"/>
      <c r="R63" s="7" t="s">
        <v>4</v>
      </c>
      <c r="S63" s="7"/>
      <c r="T63" s="32"/>
      <c r="U63" s="20"/>
    </row>
    <row r="64" ht="15.75" customHeight="1">
      <c r="A64" s="50" t="s">
        <v>2919</v>
      </c>
      <c r="B64" s="235">
        <v>46359.0</v>
      </c>
      <c r="C64" s="50" t="s">
        <v>747</v>
      </c>
      <c r="D64" s="50" t="s">
        <v>907</v>
      </c>
      <c r="E64" s="50" t="s">
        <v>756</v>
      </c>
      <c r="F64" s="50" t="s">
        <v>6</v>
      </c>
      <c r="G64" s="50" t="s">
        <v>2920</v>
      </c>
      <c r="H64" s="50" t="s">
        <v>782</v>
      </c>
      <c r="I64" s="50" t="s">
        <v>39</v>
      </c>
      <c r="J64" s="174" t="s">
        <v>2921</v>
      </c>
      <c r="K64" s="174" t="s">
        <v>2922</v>
      </c>
      <c r="L64" s="57" t="s">
        <v>2923</v>
      </c>
      <c r="M64" s="57" t="s">
        <v>2924</v>
      </c>
      <c r="N64" s="50" t="s">
        <v>1010</v>
      </c>
      <c r="O64" s="50" t="s">
        <v>753</v>
      </c>
      <c r="P64" s="50"/>
      <c r="Q64" s="174"/>
      <c r="R64" s="52" t="s">
        <v>3</v>
      </c>
      <c r="S64" s="52" t="s">
        <v>490</v>
      </c>
      <c r="T64" s="177" t="s">
        <v>2925</v>
      </c>
      <c r="U64" s="301"/>
    </row>
    <row r="65" ht="15.75" customHeight="1">
      <c r="A65" s="7" t="s">
        <v>2926</v>
      </c>
      <c r="B65" s="7" t="s">
        <v>2581</v>
      </c>
      <c r="C65" s="7" t="s">
        <v>747</v>
      </c>
      <c r="D65" s="7" t="s">
        <v>907</v>
      </c>
      <c r="E65" s="7" t="s">
        <v>829</v>
      </c>
      <c r="F65" s="7" t="s">
        <v>6</v>
      </c>
      <c r="G65" s="7" t="s">
        <v>1086</v>
      </c>
      <c r="H65" s="7" t="s">
        <v>782</v>
      </c>
      <c r="I65" s="7" t="s">
        <v>39</v>
      </c>
      <c r="J65" s="33" t="s">
        <v>2927</v>
      </c>
      <c r="K65" s="33" t="s">
        <v>2928</v>
      </c>
      <c r="L65" s="33"/>
      <c r="M65" s="33" t="s">
        <v>39</v>
      </c>
      <c r="N65" s="7" t="s">
        <v>750</v>
      </c>
      <c r="O65" s="7" t="s">
        <v>753</v>
      </c>
      <c r="P65" s="7"/>
      <c r="Q65" s="33"/>
      <c r="R65" s="15" t="s">
        <v>4</v>
      </c>
      <c r="S65" s="15"/>
      <c r="T65" s="150"/>
      <c r="U65" s="20"/>
    </row>
    <row r="66" ht="15.75" customHeight="1">
      <c r="A66" s="7" t="s">
        <v>2929</v>
      </c>
      <c r="B66" s="7" t="s">
        <v>701</v>
      </c>
      <c r="C66" s="7" t="s">
        <v>747</v>
      </c>
      <c r="D66" s="7" t="s">
        <v>907</v>
      </c>
      <c r="E66" s="7" t="s">
        <v>829</v>
      </c>
      <c r="F66" s="7" t="s">
        <v>6</v>
      </c>
      <c r="G66" s="7" t="s">
        <v>908</v>
      </c>
      <c r="H66" s="7" t="s">
        <v>782</v>
      </c>
      <c r="I66" s="7" t="s">
        <v>39</v>
      </c>
      <c r="J66" s="33" t="s">
        <v>2930</v>
      </c>
      <c r="K66" s="33" t="s">
        <v>2931</v>
      </c>
      <c r="L66" s="58" t="s">
        <v>2932</v>
      </c>
      <c r="M66" s="33" t="s">
        <v>39</v>
      </c>
      <c r="N66" s="7" t="s">
        <v>750</v>
      </c>
      <c r="O66" s="7" t="s">
        <v>753</v>
      </c>
      <c r="P66" s="7"/>
      <c r="Q66" s="33"/>
      <c r="R66" s="15" t="s">
        <v>4</v>
      </c>
      <c r="S66" s="15" t="s">
        <v>701</v>
      </c>
      <c r="T66" s="150" t="s">
        <v>2933</v>
      </c>
      <c r="U66" s="20"/>
    </row>
    <row r="67" ht="15.75" customHeight="1">
      <c r="A67" s="7" t="s">
        <v>2934</v>
      </c>
      <c r="B67" s="7" t="s">
        <v>701</v>
      </c>
      <c r="C67" s="7" t="s">
        <v>747</v>
      </c>
      <c r="D67" s="7" t="s">
        <v>907</v>
      </c>
      <c r="E67" s="7" t="s">
        <v>756</v>
      </c>
      <c r="F67" s="7" t="s">
        <v>6</v>
      </c>
      <c r="G67" s="7" t="s">
        <v>1051</v>
      </c>
      <c r="H67" s="7" t="s">
        <v>37</v>
      </c>
      <c r="I67" s="7" t="s">
        <v>39</v>
      </c>
      <c r="J67" s="33" t="s">
        <v>2935</v>
      </c>
      <c r="K67" s="33" t="s">
        <v>2936</v>
      </c>
      <c r="L67" s="58" t="s">
        <v>2937</v>
      </c>
      <c r="M67" s="33" t="s">
        <v>39</v>
      </c>
      <c r="N67" s="7" t="s">
        <v>1010</v>
      </c>
      <c r="O67" s="7" t="s">
        <v>753</v>
      </c>
      <c r="P67" s="7"/>
      <c r="Q67" s="33"/>
      <c r="R67" s="15" t="s">
        <v>4</v>
      </c>
      <c r="S67" s="15"/>
      <c r="T67" s="150"/>
      <c r="U67" s="20"/>
    </row>
    <row r="68" ht="15.75" customHeight="1">
      <c r="A68" s="7"/>
      <c r="B68" s="7"/>
      <c r="C68" s="7"/>
      <c r="D68" s="7"/>
      <c r="E68" s="7"/>
      <c r="F68" s="7"/>
      <c r="G68" s="7"/>
      <c r="H68" s="7"/>
      <c r="I68" s="7"/>
      <c r="J68" s="33"/>
      <c r="K68" s="33"/>
      <c r="L68" s="33"/>
      <c r="M68" s="33"/>
      <c r="N68" s="7"/>
      <c r="O68" s="7"/>
      <c r="P68" s="7"/>
      <c r="Q68" s="33"/>
      <c r="R68" s="15"/>
      <c r="S68" s="15"/>
      <c r="T68" s="150"/>
      <c r="U68" s="20"/>
    </row>
    <row r="69" ht="15.75" customHeight="1">
      <c r="A69" s="7"/>
      <c r="B69" s="7"/>
      <c r="C69" s="7"/>
      <c r="D69" s="7"/>
      <c r="E69" s="7"/>
      <c r="F69" s="7"/>
      <c r="G69" s="7"/>
      <c r="H69" s="7"/>
      <c r="I69" s="7"/>
      <c r="J69" s="33"/>
      <c r="K69" s="33"/>
      <c r="L69" s="33"/>
      <c r="M69" s="33"/>
      <c r="N69" s="7"/>
      <c r="O69" s="7"/>
      <c r="P69" s="7"/>
      <c r="Q69" s="33"/>
      <c r="R69" s="15"/>
      <c r="S69" s="15"/>
      <c r="T69" s="150"/>
      <c r="U69" s="20"/>
    </row>
    <row r="70" ht="15.75" customHeight="1">
      <c r="A70" s="7"/>
      <c r="B70" s="7"/>
      <c r="C70" s="7"/>
      <c r="D70" s="7"/>
      <c r="E70" s="7"/>
      <c r="F70" s="7"/>
      <c r="G70" s="7"/>
      <c r="H70" s="7"/>
      <c r="I70" s="7"/>
      <c r="J70" s="58"/>
      <c r="K70" s="33"/>
      <c r="L70" s="33"/>
      <c r="M70" s="33"/>
      <c r="N70" s="7"/>
      <c r="O70" s="7"/>
      <c r="P70" s="7"/>
      <c r="Q70" s="33"/>
      <c r="R70" s="15"/>
      <c r="S70" s="15"/>
      <c r="T70" s="150"/>
      <c r="U70" s="20"/>
    </row>
    <row r="71" ht="15.75" customHeight="1">
      <c r="A71" s="7"/>
      <c r="B71" s="7"/>
      <c r="C71" s="7"/>
      <c r="D71" s="7"/>
      <c r="E71" s="7"/>
      <c r="F71" s="7"/>
      <c r="G71" s="7"/>
      <c r="H71" s="7"/>
      <c r="I71" s="7"/>
      <c r="J71" s="33"/>
      <c r="K71" s="33"/>
      <c r="L71" s="33"/>
      <c r="M71" s="33"/>
      <c r="N71" s="7"/>
      <c r="O71" s="7"/>
      <c r="P71" s="7"/>
      <c r="Q71" s="33"/>
      <c r="R71" s="15"/>
      <c r="S71" s="15"/>
      <c r="T71" s="150"/>
      <c r="U71" s="20"/>
    </row>
    <row r="72" ht="15.75" customHeight="1">
      <c r="A72" s="7"/>
      <c r="B72" s="7"/>
      <c r="C72" s="7"/>
      <c r="D72" s="7"/>
      <c r="E72" s="7"/>
      <c r="F72" s="7"/>
      <c r="G72" s="7"/>
      <c r="H72" s="7"/>
      <c r="I72" s="7"/>
      <c r="J72" s="33"/>
      <c r="K72" s="33"/>
      <c r="L72" s="33"/>
      <c r="M72" s="33"/>
      <c r="N72" s="7"/>
      <c r="O72" s="7"/>
      <c r="P72" s="7"/>
      <c r="Q72" s="33"/>
      <c r="R72" s="15"/>
      <c r="S72" s="15"/>
      <c r="T72" s="150"/>
      <c r="U72" s="20"/>
    </row>
    <row r="73" ht="15.75" customHeight="1">
      <c r="A73" s="7"/>
      <c r="B73" s="7"/>
      <c r="C73" s="7"/>
      <c r="D73" s="7"/>
      <c r="E73" s="7"/>
      <c r="F73" s="7"/>
      <c r="G73" s="7"/>
      <c r="H73" s="7"/>
      <c r="I73" s="7"/>
      <c r="J73" s="33"/>
      <c r="K73" s="33"/>
      <c r="L73" s="33"/>
      <c r="M73" s="33"/>
      <c r="N73" s="7"/>
      <c r="O73" s="7"/>
      <c r="P73" s="7"/>
      <c r="Q73" s="33"/>
      <c r="R73" s="15"/>
      <c r="S73" s="15"/>
      <c r="T73" s="150"/>
      <c r="U73" s="20"/>
    </row>
    <row r="74" ht="15.75" customHeight="1">
      <c r="A74" s="7"/>
      <c r="B74" s="7"/>
      <c r="C74" s="7"/>
      <c r="D74" s="7"/>
      <c r="E74" s="7"/>
      <c r="F74" s="7"/>
      <c r="G74" s="7"/>
      <c r="H74" s="7"/>
      <c r="I74" s="7"/>
      <c r="J74" s="33"/>
      <c r="K74" s="33"/>
      <c r="L74" s="33"/>
      <c r="M74" s="33"/>
      <c r="N74" s="7"/>
      <c r="O74" s="7"/>
      <c r="P74" s="7"/>
      <c r="Q74" s="33"/>
      <c r="R74" s="15"/>
      <c r="S74" s="15"/>
      <c r="T74" s="150"/>
      <c r="U74" s="20"/>
    </row>
    <row r="75" ht="15.75" customHeight="1">
      <c r="A75" s="7"/>
      <c r="B75" s="7"/>
      <c r="C75" s="7"/>
      <c r="D75" s="7"/>
      <c r="E75" s="7"/>
      <c r="F75" s="7"/>
      <c r="G75" s="7"/>
      <c r="H75" s="7"/>
      <c r="I75" s="7"/>
      <c r="J75" s="33"/>
      <c r="K75" s="33"/>
      <c r="L75" s="33"/>
      <c r="M75" s="33"/>
      <c r="N75" s="7"/>
      <c r="O75" s="7"/>
      <c r="P75" s="7"/>
      <c r="Q75" s="33"/>
      <c r="R75" s="15"/>
      <c r="S75" s="15"/>
      <c r="T75" s="150"/>
      <c r="U75" s="20"/>
      <c r="AD75" s="305" t="s">
        <v>467</v>
      </c>
    </row>
    <row r="76" ht="15.75" customHeight="1">
      <c r="A76" s="7"/>
      <c r="B76" s="7"/>
      <c r="C76" s="7"/>
      <c r="D76" s="7"/>
      <c r="E76" s="7"/>
      <c r="F76" s="7"/>
      <c r="G76" s="7"/>
      <c r="H76" s="7"/>
      <c r="I76" s="7"/>
      <c r="J76" s="33"/>
      <c r="K76" s="33"/>
      <c r="L76" s="33"/>
      <c r="M76" s="33"/>
      <c r="N76" s="7"/>
      <c r="O76" s="7"/>
      <c r="P76" s="7"/>
      <c r="Q76" s="33"/>
      <c r="R76" s="15"/>
      <c r="S76" s="15"/>
      <c r="T76" s="150"/>
      <c r="U76" s="20"/>
      <c r="AD76" s="77"/>
      <c r="AE76" s="77"/>
      <c r="AF76" s="77"/>
      <c r="AG76" s="77"/>
      <c r="AH76" s="77"/>
      <c r="AI76" s="77"/>
      <c r="AJ76" s="77"/>
      <c r="AK76" s="77"/>
      <c r="AL76" s="77"/>
    </row>
    <row r="77" ht="15.75" customHeight="1">
      <c r="A77" s="7"/>
      <c r="B77" s="7"/>
      <c r="C77" s="7"/>
      <c r="D77" s="7"/>
      <c r="E77" s="7"/>
      <c r="F77" s="7"/>
      <c r="G77" s="7"/>
      <c r="H77" s="7"/>
      <c r="I77" s="7"/>
      <c r="J77" s="33"/>
      <c r="K77" s="33"/>
      <c r="L77" s="33"/>
      <c r="M77" s="33"/>
      <c r="N77" s="7"/>
      <c r="O77" s="7"/>
      <c r="P77" s="7"/>
      <c r="Q77" s="33"/>
      <c r="R77" s="15"/>
      <c r="S77" s="15"/>
      <c r="T77" s="150"/>
      <c r="U77" s="20"/>
      <c r="AD77" s="77"/>
    </row>
    <row r="78" ht="15.75" customHeight="1">
      <c r="A78" s="7"/>
      <c r="B78" s="7"/>
      <c r="C78" s="7"/>
      <c r="D78" s="7"/>
      <c r="E78" s="7"/>
      <c r="F78" s="7"/>
      <c r="G78" s="7"/>
      <c r="H78" s="7"/>
      <c r="I78" s="7"/>
      <c r="J78" s="33"/>
      <c r="K78" s="33"/>
      <c r="L78" s="33"/>
      <c r="M78" s="33"/>
      <c r="N78" s="7"/>
      <c r="O78" s="7"/>
      <c r="P78" s="7"/>
      <c r="Q78" s="33"/>
      <c r="R78" s="15"/>
      <c r="S78" s="15"/>
      <c r="T78" s="150"/>
      <c r="U78" s="20"/>
      <c r="AD78" s="77"/>
    </row>
    <row r="79" ht="15.75" customHeight="1">
      <c r="A79" s="7"/>
      <c r="B79" s="7"/>
      <c r="C79" s="7"/>
      <c r="D79" s="7"/>
      <c r="E79" s="7"/>
      <c r="F79" s="7"/>
      <c r="G79" s="7"/>
      <c r="H79" s="7"/>
      <c r="I79" s="7"/>
      <c r="J79" s="33"/>
      <c r="K79" s="33"/>
      <c r="L79" s="33"/>
      <c r="M79" s="33"/>
      <c r="N79" s="7"/>
      <c r="O79" s="7"/>
      <c r="P79" s="7"/>
      <c r="Q79" s="33"/>
      <c r="R79" s="15"/>
      <c r="S79" s="15"/>
      <c r="T79" s="150"/>
      <c r="U79" s="20"/>
      <c r="AD79" s="77"/>
    </row>
    <row r="80" ht="15.75" customHeight="1">
      <c r="A80" s="7"/>
      <c r="B80" s="7"/>
      <c r="C80" s="7"/>
      <c r="D80" s="7"/>
      <c r="E80" s="7"/>
      <c r="F80" s="7"/>
      <c r="G80" s="7"/>
      <c r="H80" s="7"/>
      <c r="I80" s="7"/>
      <c r="J80" s="33"/>
      <c r="K80" s="33"/>
      <c r="L80" s="33"/>
      <c r="M80" s="33"/>
      <c r="N80" s="7"/>
      <c r="O80" s="7"/>
      <c r="P80" s="7"/>
      <c r="Q80" s="33"/>
      <c r="R80" s="15"/>
      <c r="S80" s="15"/>
      <c r="T80" s="150"/>
      <c r="U80" s="20"/>
      <c r="AD80" s="77"/>
    </row>
    <row r="81" ht="15.75" customHeight="1">
      <c r="A81" s="7"/>
      <c r="B81" s="7"/>
      <c r="C81" s="7"/>
      <c r="D81" s="7"/>
      <c r="E81" s="7"/>
      <c r="F81" s="7"/>
      <c r="G81" s="7"/>
      <c r="H81" s="7"/>
      <c r="I81" s="7"/>
      <c r="J81" s="33"/>
      <c r="K81" s="33"/>
      <c r="L81" s="33"/>
      <c r="M81" s="33"/>
      <c r="N81" s="7"/>
      <c r="O81" s="7"/>
      <c r="P81" s="7"/>
      <c r="Q81" s="33"/>
      <c r="R81" s="15"/>
      <c r="S81" s="15"/>
      <c r="T81" s="150"/>
      <c r="U81" s="20"/>
      <c r="AD81" s="77"/>
    </row>
    <row r="82" ht="15.75" customHeight="1">
      <c r="A82" s="7"/>
      <c r="B82" s="7"/>
      <c r="C82" s="7"/>
      <c r="D82" s="7"/>
      <c r="E82" s="7"/>
      <c r="F82" s="7"/>
      <c r="G82" s="7"/>
      <c r="H82" s="7"/>
      <c r="I82" s="7"/>
      <c r="J82" s="33"/>
      <c r="K82" s="33"/>
      <c r="L82" s="33"/>
      <c r="M82" s="33"/>
      <c r="N82" s="7"/>
      <c r="O82" s="7"/>
      <c r="P82" s="7"/>
      <c r="Q82" s="33"/>
      <c r="R82" s="15"/>
      <c r="S82" s="15"/>
      <c r="T82" s="150"/>
      <c r="U82" s="20"/>
      <c r="AD82" s="77"/>
    </row>
    <row r="83" ht="15.75" customHeight="1">
      <c r="A83" s="7"/>
      <c r="B83" s="7"/>
      <c r="C83" s="7"/>
      <c r="D83" s="7"/>
      <c r="E83" s="7"/>
      <c r="F83" s="7"/>
      <c r="G83" s="7"/>
      <c r="H83" s="7"/>
      <c r="I83" s="7"/>
      <c r="J83" s="33"/>
      <c r="K83" s="33"/>
      <c r="L83" s="33"/>
      <c r="M83" s="33"/>
      <c r="N83" s="7"/>
      <c r="O83" s="7"/>
      <c r="P83" s="7"/>
      <c r="Q83" s="33"/>
      <c r="R83" s="15"/>
      <c r="S83" s="15"/>
      <c r="T83" s="150"/>
      <c r="U83" s="20"/>
      <c r="AD83" s="77"/>
    </row>
    <row r="84" ht="15.75" customHeight="1">
      <c r="A84" s="7"/>
      <c r="B84" s="7"/>
      <c r="C84" s="7"/>
      <c r="D84" s="7"/>
      <c r="E84" s="7"/>
      <c r="F84" s="7"/>
      <c r="G84" s="7"/>
      <c r="H84" s="7"/>
      <c r="I84" s="7"/>
      <c r="J84" s="33"/>
      <c r="K84" s="33"/>
      <c r="L84" s="33"/>
      <c r="M84" s="33"/>
      <c r="N84" s="7"/>
      <c r="O84" s="7"/>
      <c r="P84" s="7"/>
      <c r="Q84" s="33"/>
      <c r="R84" s="15"/>
      <c r="S84" s="15"/>
      <c r="T84" s="150"/>
      <c r="U84" s="20"/>
      <c r="AD84" s="77"/>
    </row>
    <row r="85" ht="15.75" customHeight="1">
      <c r="A85" s="7"/>
      <c r="B85" s="7"/>
      <c r="C85" s="7"/>
      <c r="D85" s="7"/>
      <c r="E85" s="7"/>
      <c r="F85" s="7"/>
      <c r="G85" s="7"/>
      <c r="H85" s="7"/>
      <c r="I85" s="7"/>
      <c r="J85" s="33"/>
      <c r="K85" s="33"/>
      <c r="L85" s="33"/>
      <c r="M85" s="33"/>
      <c r="N85" s="7"/>
      <c r="O85" s="7"/>
      <c r="P85" s="7"/>
      <c r="Q85" s="33"/>
      <c r="R85" s="15"/>
      <c r="S85" s="15"/>
      <c r="T85" s="150"/>
      <c r="U85" s="20"/>
      <c r="AD85" s="77"/>
    </row>
    <row r="86" ht="15.75" customHeight="1">
      <c r="A86" s="7"/>
      <c r="B86" s="7"/>
      <c r="C86" s="7"/>
      <c r="D86" s="7"/>
      <c r="E86" s="7"/>
      <c r="F86" s="7"/>
      <c r="G86" s="7"/>
      <c r="H86" s="7"/>
      <c r="I86" s="7"/>
      <c r="J86" s="33"/>
      <c r="K86" s="33"/>
      <c r="L86" s="33"/>
      <c r="M86" s="33"/>
      <c r="N86" s="7"/>
      <c r="O86" s="7"/>
      <c r="P86" s="7"/>
      <c r="Q86" s="33"/>
      <c r="R86" s="15"/>
      <c r="S86" s="15"/>
      <c r="T86" s="150"/>
      <c r="U86" s="20"/>
      <c r="AD86" s="305" t="s">
        <v>467</v>
      </c>
    </row>
    <row r="87" ht="15.75" customHeight="1">
      <c r="A87" s="7"/>
      <c r="B87" s="7"/>
      <c r="C87" s="7"/>
      <c r="D87" s="7"/>
      <c r="E87" s="7"/>
      <c r="F87" s="7"/>
      <c r="G87" s="7"/>
      <c r="H87" s="7"/>
      <c r="I87" s="7"/>
      <c r="J87" s="33"/>
      <c r="K87" s="33"/>
      <c r="L87" s="33"/>
      <c r="M87" s="33"/>
      <c r="N87" s="7"/>
      <c r="O87" s="7"/>
      <c r="P87" s="7"/>
      <c r="Q87" s="33"/>
      <c r="R87" s="15"/>
      <c r="S87" s="15"/>
      <c r="T87" s="150"/>
      <c r="U87" s="20"/>
    </row>
    <row r="88" ht="15.75" customHeight="1">
      <c r="A88" s="7"/>
      <c r="B88" s="7"/>
      <c r="C88" s="7"/>
      <c r="D88" s="7"/>
      <c r="E88" s="7"/>
      <c r="F88" s="7"/>
      <c r="G88" s="7"/>
      <c r="H88" s="7"/>
      <c r="I88" s="7"/>
      <c r="J88" s="33"/>
      <c r="K88" s="33"/>
      <c r="L88" s="33"/>
      <c r="M88" s="33"/>
      <c r="N88" s="7"/>
      <c r="O88" s="7"/>
      <c r="P88" s="7"/>
      <c r="Q88" s="33"/>
      <c r="R88" s="15"/>
      <c r="S88" s="15"/>
      <c r="T88" s="150"/>
      <c r="U88" s="20"/>
    </row>
    <row r="89" ht="15.75" customHeight="1">
      <c r="A89" s="7"/>
      <c r="B89" s="7"/>
      <c r="C89" s="7"/>
      <c r="D89" s="7"/>
      <c r="E89" s="7"/>
      <c r="F89" s="7"/>
      <c r="G89" s="7"/>
      <c r="H89" s="7"/>
      <c r="I89" s="7"/>
      <c r="J89" s="33"/>
      <c r="K89" s="33"/>
      <c r="L89" s="33"/>
      <c r="M89" s="33"/>
      <c r="N89" s="7"/>
      <c r="O89" s="7"/>
      <c r="P89" s="7"/>
      <c r="Q89" s="33"/>
      <c r="R89" s="15"/>
      <c r="S89" s="15"/>
      <c r="T89" s="150"/>
      <c r="U89" s="20"/>
    </row>
    <row r="90" ht="15.75" customHeight="1">
      <c r="A90" s="7"/>
      <c r="B90" s="7"/>
      <c r="C90" s="7"/>
      <c r="D90" s="7"/>
      <c r="E90" s="7"/>
      <c r="F90" s="7"/>
      <c r="G90" s="7"/>
      <c r="H90" s="7"/>
      <c r="I90" s="7"/>
      <c r="J90" s="33"/>
      <c r="K90" s="33"/>
      <c r="L90" s="33"/>
      <c r="M90" s="33"/>
      <c r="N90" s="7"/>
      <c r="O90" s="7"/>
      <c r="P90" s="7"/>
      <c r="Q90" s="33"/>
      <c r="R90" s="15"/>
      <c r="S90" s="15"/>
      <c r="T90" s="150"/>
      <c r="U90" s="20"/>
    </row>
    <row r="91" ht="15.75" customHeight="1">
      <c r="A91" s="7"/>
      <c r="B91" s="7"/>
      <c r="C91" s="7"/>
      <c r="D91" s="7"/>
      <c r="E91" s="7"/>
      <c r="F91" s="7"/>
      <c r="G91" s="7"/>
      <c r="H91" s="7"/>
      <c r="I91" s="7"/>
      <c r="J91" s="33"/>
      <c r="K91" s="33"/>
      <c r="L91" s="33"/>
      <c r="M91" s="33"/>
      <c r="N91" s="7"/>
      <c r="O91" s="7"/>
      <c r="P91" s="7"/>
      <c r="Q91" s="33"/>
      <c r="R91" s="15"/>
      <c r="S91" s="15"/>
      <c r="T91" s="150"/>
      <c r="U91" s="20"/>
    </row>
    <row r="92" ht="15.75" customHeight="1">
      <c r="A92" s="7"/>
      <c r="B92" s="7"/>
      <c r="C92" s="7"/>
      <c r="D92" s="7"/>
      <c r="E92" s="7"/>
      <c r="F92" s="7"/>
      <c r="G92" s="7"/>
      <c r="H92" s="7"/>
      <c r="I92" s="7"/>
      <c r="J92" s="33"/>
      <c r="K92" s="33"/>
      <c r="L92" s="33"/>
      <c r="M92" s="33"/>
      <c r="N92" s="7"/>
      <c r="O92" s="7"/>
      <c r="P92" s="7"/>
      <c r="Q92" s="33"/>
      <c r="R92" s="15"/>
      <c r="S92" s="15"/>
      <c r="T92" s="150"/>
      <c r="U92" s="20"/>
    </row>
    <row r="93" ht="15.75" customHeight="1">
      <c r="A93" s="7"/>
      <c r="B93" s="7"/>
      <c r="C93" s="7"/>
      <c r="D93" s="7"/>
      <c r="E93" s="7"/>
      <c r="F93" s="7"/>
      <c r="G93" s="7"/>
      <c r="H93" s="7"/>
      <c r="I93" s="7"/>
      <c r="J93" s="33"/>
      <c r="K93" s="33"/>
      <c r="L93" s="33"/>
      <c r="M93" s="33"/>
      <c r="N93" s="7"/>
      <c r="O93" s="7"/>
      <c r="P93" s="7"/>
      <c r="Q93" s="33"/>
      <c r="R93" s="15"/>
      <c r="S93" s="15"/>
      <c r="T93" s="150"/>
      <c r="U93" s="20"/>
    </row>
    <row r="94" ht="15.75" customHeight="1">
      <c r="A94" s="7"/>
      <c r="B94" s="7"/>
      <c r="C94" s="7"/>
      <c r="D94" s="7"/>
      <c r="E94" s="7"/>
      <c r="F94" s="7"/>
      <c r="G94" s="7"/>
      <c r="H94" s="7"/>
      <c r="I94" s="7"/>
      <c r="J94" s="33"/>
      <c r="K94" s="33"/>
      <c r="L94" s="33"/>
      <c r="M94" s="33"/>
      <c r="N94" s="7"/>
      <c r="O94" s="7"/>
      <c r="P94" s="7"/>
      <c r="Q94" s="33"/>
      <c r="R94" s="15"/>
      <c r="S94" s="15"/>
      <c r="T94" s="150"/>
      <c r="U94" s="20"/>
    </row>
    <row r="95" ht="15.75" customHeight="1">
      <c r="A95" s="7"/>
      <c r="B95" s="7"/>
      <c r="C95" s="7"/>
      <c r="D95" s="7"/>
      <c r="E95" s="7"/>
      <c r="F95" s="7"/>
      <c r="G95" s="7"/>
      <c r="H95" s="7"/>
      <c r="I95" s="7"/>
      <c r="J95" s="33"/>
      <c r="K95" s="33"/>
      <c r="L95" s="33"/>
      <c r="M95" s="33"/>
      <c r="N95" s="7"/>
      <c r="O95" s="7"/>
      <c r="P95" s="7"/>
      <c r="Q95" s="33"/>
      <c r="R95" s="15"/>
      <c r="S95" s="15"/>
      <c r="T95" s="150"/>
      <c r="U95" s="20"/>
    </row>
    <row r="96" ht="15.75" customHeight="1">
      <c r="A96" s="7"/>
      <c r="B96" s="7"/>
      <c r="C96" s="7"/>
      <c r="D96" s="7"/>
      <c r="E96" s="7"/>
      <c r="F96" s="7"/>
      <c r="G96" s="7"/>
      <c r="H96" s="7"/>
      <c r="I96" s="7"/>
      <c r="J96" s="33"/>
      <c r="K96" s="33"/>
      <c r="L96" s="33"/>
      <c r="M96" s="33"/>
      <c r="N96" s="7"/>
      <c r="O96" s="7"/>
      <c r="P96" s="7"/>
      <c r="Q96" s="33"/>
      <c r="R96" s="15"/>
      <c r="S96" s="15"/>
      <c r="T96" s="150"/>
      <c r="U96" s="20"/>
    </row>
    <row r="97" ht="15.75" customHeight="1">
      <c r="A97" s="7"/>
      <c r="B97" s="7"/>
      <c r="C97" s="7"/>
      <c r="D97" s="7"/>
      <c r="E97" s="7"/>
      <c r="F97" s="7"/>
      <c r="G97" s="7"/>
      <c r="H97" s="7"/>
      <c r="I97" s="7"/>
      <c r="J97" s="33"/>
      <c r="K97" s="33"/>
      <c r="L97" s="33"/>
      <c r="M97" s="33"/>
      <c r="N97" s="7"/>
      <c r="O97" s="7"/>
      <c r="P97" s="7"/>
      <c r="Q97" s="33"/>
      <c r="R97" s="15"/>
      <c r="S97" s="15"/>
      <c r="T97" s="150"/>
      <c r="U97" s="20"/>
    </row>
    <row r="98" ht="15.75" customHeight="1">
      <c r="A98" s="7"/>
      <c r="B98" s="7"/>
      <c r="C98" s="7"/>
      <c r="D98" s="7"/>
      <c r="E98" s="7"/>
      <c r="F98" s="7"/>
      <c r="G98" s="7"/>
      <c r="H98" s="7"/>
      <c r="I98" s="7"/>
      <c r="J98" s="33"/>
      <c r="K98" s="33"/>
      <c r="L98" s="33"/>
      <c r="M98" s="33"/>
      <c r="N98" s="7"/>
      <c r="O98" s="7"/>
      <c r="P98" s="7"/>
      <c r="Q98" s="33"/>
      <c r="R98" s="15"/>
      <c r="S98" s="15"/>
      <c r="T98" s="150"/>
      <c r="U98" s="20"/>
    </row>
    <row r="99" ht="15.75" customHeight="1">
      <c r="A99" s="7"/>
      <c r="B99" s="7"/>
      <c r="C99" s="7"/>
      <c r="D99" s="7"/>
      <c r="E99" s="7"/>
      <c r="F99" s="7"/>
      <c r="G99" s="7"/>
      <c r="H99" s="7"/>
      <c r="I99" s="7"/>
      <c r="J99" s="33"/>
      <c r="K99" s="33"/>
      <c r="L99" s="33"/>
      <c r="M99" s="33"/>
      <c r="N99" s="7"/>
      <c r="O99" s="7"/>
      <c r="P99" s="7"/>
      <c r="Q99" s="33"/>
      <c r="R99" s="15"/>
      <c r="S99" s="15"/>
      <c r="T99" s="150"/>
      <c r="U99" s="20"/>
    </row>
    <row r="100" ht="15.75" customHeight="1">
      <c r="A100" s="7"/>
      <c r="B100" s="7"/>
      <c r="C100" s="7"/>
      <c r="D100" s="7"/>
      <c r="E100" s="7"/>
      <c r="F100" s="7"/>
      <c r="G100" s="7"/>
      <c r="H100" s="7"/>
      <c r="I100" s="7"/>
      <c r="J100" s="33"/>
      <c r="K100" s="33"/>
      <c r="L100" s="33"/>
      <c r="M100" s="33"/>
      <c r="N100" s="7"/>
      <c r="O100" s="7"/>
      <c r="P100" s="7"/>
      <c r="Q100" s="33"/>
      <c r="R100" s="15"/>
      <c r="S100" s="15"/>
      <c r="T100" s="150"/>
      <c r="U100" s="20"/>
    </row>
    <row r="101" ht="15.75" customHeight="1">
      <c r="A101" s="7"/>
      <c r="B101" s="7"/>
      <c r="C101" s="7"/>
      <c r="D101" s="7"/>
      <c r="E101" s="7"/>
      <c r="F101" s="7"/>
      <c r="G101" s="7"/>
      <c r="H101" s="7"/>
      <c r="I101" s="7"/>
      <c r="J101" s="33"/>
      <c r="K101" s="33"/>
      <c r="L101" s="33"/>
      <c r="M101" s="33"/>
      <c r="N101" s="7"/>
      <c r="O101" s="7"/>
      <c r="P101" s="7"/>
      <c r="Q101" s="33"/>
      <c r="R101" s="15"/>
      <c r="S101" s="15"/>
      <c r="T101" s="150"/>
      <c r="U101" s="20"/>
    </row>
    <row r="102" ht="15.75" customHeight="1">
      <c r="A102" s="7"/>
      <c r="B102" s="7"/>
      <c r="C102" s="7"/>
      <c r="D102" s="7"/>
      <c r="E102" s="7"/>
      <c r="F102" s="7"/>
      <c r="G102" s="7"/>
      <c r="H102" s="7"/>
      <c r="I102" s="7"/>
      <c r="J102" s="33"/>
      <c r="K102" s="33"/>
      <c r="L102" s="33"/>
      <c r="M102" s="33"/>
      <c r="N102" s="7"/>
      <c r="O102" s="7"/>
      <c r="P102" s="7"/>
      <c r="Q102" s="33"/>
      <c r="R102" s="15"/>
      <c r="S102" s="15"/>
      <c r="T102" s="150"/>
      <c r="U102" s="20"/>
    </row>
    <row r="103" ht="15.75" customHeight="1">
      <c r="A103" s="7"/>
      <c r="B103" s="7"/>
      <c r="C103" s="7"/>
      <c r="D103" s="7"/>
      <c r="E103" s="7"/>
      <c r="F103" s="7"/>
      <c r="G103" s="7"/>
      <c r="H103" s="7"/>
      <c r="I103" s="7"/>
      <c r="J103" s="33"/>
      <c r="K103" s="33"/>
      <c r="L103" s="33"/>
      <c r="M103" s="33"/>
      <c r="N103" s="7"/>
      <c r="O103" s="7"/>
      <c r="P103" s="7"/>
      <c r="Q103" s="33"/>
      <c r="R103" s="15"/>
      <c r="S103" s="15"/>
      <c r="T103" s="150"/>
      <c r="U103" s="20"/>
    </row>
    <row r="104" ht="15.75" customHeight="1">
      <c r="A104" s="7"/>
      <c r="B104" s="7"/>
      <c r="C104" s="7"/>
      <c r="D104" s="7"/>
      <c r="E104" s="7"/>
      <c r="F104" s="7"/>
      <c r="G104" s="7"/>
      <c r="H104" s="7"/>
      <c r="I104" s="7"/>
      <c r="J104" s="33"/>
      <c r="K104" s="33"/>
      <c r="L104" s="33"/>
      <c r="M104" s="33"/>
      <c r="N104" s="7"/>
      <c r="O104" s="7"/>
      <c r="P104" s="7"/>
      <c r="Q104" s="33"/>
      <c r="R104" s="15"/>
      <c r="S104" s="15"/>
      <c r="T104" s="150"/>
      <c r="U104" s="20"/>
    </row>
    <row r="105" ht="15.75" customHeight="1">
      <c r="A105" s="7"/>
      <c r="B105" s="7"/>
      <c r="C105" s="7"/>
      <c r="D105" s="7"/>
      <c r="E105" s="7"/>
      <c r="F105" s="7"/>
      <c r="G105" s="7"/>
      <c r="H105" s="7"/>
      <c r="I105" s="7"/>
      <c r="J105" s="33"/>
      <c r="K105" s="33"/>
      <c r="L105" s="33"/>
      <c r="M105" s="33"/>
      <c r="N105" s="7"/>
      <c r="O105" s="7"/>
      <c r="P105" s="7"/>
      <c r="Q105" s="33"/>
      <c r="R105" s="15"/>
      <c r="S105" s="15"/>
      <c r="T105" s="150"/>
      <c r="U105" s="20"/>
    </row>
    <row r="106" ht="15.75" customHeight="1">
      <c r="A106" s="7"/>
      <c r="B106" s="7"/>
      <c r="C106" s="7"/>
      <c r="D106" s="7"/>
      <c r="E106" s="7"/>
      <c r="F106" s="7"/>
      <c r="G106" s="7"/>
      <c r="H106" s="7"/>
      <c r="I106" s="7"/>
      <c r="J106" s="33"/>
      <c r="K106" s="33"/>
      <c r="L106" s="33"/>
      <c r="M106" s="33"/>
      <c r="N106" s="7"/>
      <c r="O106" s="7"/>
      <c r="P106" s="7"/>
      <c r="Q106" s="33"/>
      <c r="R106" s="15"/>
      <c r="S106" s="15"/>
      <c r="T106" s="150"/>
      <c r="U106" s="20"/>
    </row>
    <row r="107" ht="15.75" customHeight="1">
      <c r="A107" s="7"/>
      <c r="B107" s="7"/>
      <c r="C107" s="7"/>
      <c r="D107" s="7"/>
      <c r="E107" s="7"/>
      <c r="F107" s="7"/>
      <c r="G107" s="7"/>
      <c r="H107" s="7"/>
      <c r="I107" s="7"/>
      <c r="J107" s="33"/>
      <c r="K107" s="33"/>
      <c r="L107" s="33"/>
      <c r="M107" s="33"/>
      <c r="N107" s="7"/>
      <c r="O107" s="7"/>
      <c r="P107" s="7"/>
      <c r="Q107" s="33"/>
      <c r="R107" s="15"/>
      <c r="S107" s="15"/>
      <c r="T107" s="150"/>
      <c r="U107" s="20"/>
    </row>
    <row r="108" ht="15.75" customHeight="1">
      <c r="A108" s="7"/>
      <c r="B108" s="7"/>
      <c r="C108" s="7"/>
      <c r="D108" s="7"/>
      <c r="E108" s="7"/>
      <c r="F108" s="7"/>
      <c r="G108" s="7"/>
      <c r="H108" s="7"/>
      <c r="I108" s="7"/>
      <c r="J108" s="33"/>
      <c r="K108" s="33"/>
      <c r="L108" s="33"/>
      <c r="M108" s="33"/>
      <c r="N108" s="7"/>
      <c r="O108" s="7"/>
      <c r="P108" s="7"/>
      <c r="Q108" s="33"/>
      <c r="R108" s="15"/>
      <c r="S108" s="15"/>
      <c r="T108" s="150"/>
      <c r="U108" s="20"/>
    </row>
    <row r="109" ht="15.75" customHeight="1">
      <c r="A109" s="7"/>
      <c r="B109" s="7"/>
      <c r="C109" s="7"/>
      <c r="D109" s="7"/>
      <c r="E109" s="7"/>
      <c r="F109" s="7"/>
      <c r="G109" s="7"/>
      <c r="H109" s="7"/>
      <c r="I109" s="7"/>
      <c r="J109" s="33"/>
      <c r="K109" s="33"/>
      <c r="L109" s="33"/>
      <c r="M109" s="33"/>
      <c r="N109" s="7"/>
      <c r="O109" s="7"/>
      <c r="P109" s="7"/>
      <c r="Q109" s="33"/>
      <c r="R109" s="15"/>
      <c r="S109" s="15"/>
      <c r="T109" s="150"/>
      <c r="U109" s="20"/>
    </row>
    <row r="110" ht="15.75" customHeight="1">
      <c r="A110" s="7"/>
      <c r="B110" s="7"/>
      <c r="C110" s="7"/>
      <c r="D110" s="7"/>
      <c r="E110" s="7"/>
      <c r="F110" s="7"/>
      <c r="G110" s="7"/>
      <c r="H110" s="7"/>
      <c r="I110" s="7"/>
      <c r="J110" s="33"/>
      <c r="K110" s="33"/>
      <c r="L110" s="33"/>
      <c r="M110" s="33"/>
      <c r="N110" s="7"/>
      <c r="O110" s="7"/>
      <c r="P110" s="7"/>
      <c r="Q110" s="33"/>
      <c r="R110" s="15"/>
      <c r="S110" s="15"/>
      <c r="T110" s="150"/>
      <c r="U110" s="20"/>
    </row>
    <row r="111" ht="15.75" customHeight="1">
      <c r="A111" s="7"/>
      <c r="B111" s="7"/>
      <c r="C111" s="7"/>
      <c r="D111" s="7"/>
      <c r="E111" s="7"/>
      <c r="F111" s="7"/>
      <c r="G111" s="7"/>
      <c r="H111" s="7"/>
      <c r="I111" s="7"/>
      <c r="J111" s="33"/>
      <c r="K111" s="33"/>
      <c r="L111" s="33"/>
      <c r="M111" s="33"/>
      <c r="N111" s="7"/>
      <c r="O111" s="7"/>
      <c r="P111" s="7"/>
      <c r="Q111" s="33"/>
      <c r="R111" s="15"/>
      <c r="S111" s="15"/>
      <c r="T111" s="150"/>
      <c r="U111" s="20"/>
    </row>
    <row r="112" ht="15.75" customHeight="1">
      <c r="A112" s="7"/>
      <c r="B112" s="7"/>
      <c r="C112" s="7"/>
      <c r="D112" s="7"/>
      <c r="E112" s="7"/>
      <c r="F112" s="7"/>
      <c r="G112" s="7"/>
      <c r="H112" s="7"/>
      <c r="I112" s="7"/>
      <c r="J112" s="33"/>
      <c r="K112" s="33"/>
      <c r="L112" s="33"/>
      <c r="M112" s="33"/>
      <c r="N112" s="7"/>
      <c r="O112" s="7"/>
      <c r="P112" s="7"/>
      <c r="Q112" s="33"/>
      <c r="R112" s="15"/>
      <c r="S112" s="15"/>
      <c r="T112" s="150"/>
      <c r="U112" s="20"/>
    </row>
    <row r="113" ht="15.75" customHeight="1">
      <c r="A113" s="7"/>
      <c r="B113" s="7"/>
      <c r="C113" s="7"/>
      <c r="D113" s="7"/>
      <c r="E113" s="7"/>
      <c r="F113" s="7"/>
      <c r="G113" s="7"/>
      <c r="H113" s="7"/>
      <c r="I113" s="7"/>
      <c r="J113" s="33"/>
      <c r="K113" s="33"/>
      <c r="L113" s="33"/>
      <c r="M113" s="33"/>
      <c r="N113" s="7"/>
      <c r="O113" s="7"/>
      <c r="P113" s="7"/>
      <c r="Q113" s="33"/>
      <c r="R113" s="15"/>
      <c r="S113" s="15"/>
      <c r="T113" s="150"/>
      <c r="U113" s="20"/>
    </row>
    <row r="114" ht="15.75" customHeight="1">
      <c r="A114" s="7"/>
      <c r="B114" s="7"/>
      <c r="C114" s="7"/>
      <c r="D114" s="7"/>
      <c r="E114" s="7"/>
      <c r="F114" s="7"/>
      <c r="G114" s="7"/>
      <c r="H114" s="7"/>
      <c r="I114" s="7"/>
      <c r="J114" s="33"/>
      <c r="K114" s="33"/>
      <c r="L114" s="33"/>
      <c r="M114" s="33"/>
      <c r="N114" s="7"/>
      <c r="O114" s="7"/>
      <c r="P114" s="7"/>
      <c r="Q114" s="33"/>
      <c r="R114" s="15"/>
      <c r="S114" s="15"/>
      <c r="T114" s="150"/>
      <c r="U114" s="20"/>
    </row>
    <row r="115" ht="15.75" customHeight="1">
      <c r="A115" s="7"/>
      <c r="B115" s="7"/>
      <c r="C115" s="7"/>
      <c r="D115" s="7"/>
      <c r="E115" s="7"/>
      <c r="F115" s="7"/>
      <c r="G115" s="7"/>
      <c r="H115" s="7"/>
      <c r="I115" s="7"/>
      <c r="J115" s="33"/>
      <c r="K115" s="33"/>
      <c r="L115" s="33"/>
      <c r="M115" s="33"/>
      <c r="N115" s="7"/>
      <c r="O115" s="7"/>
      <c r="P115" s="7"/>
      <c r="Q115" s="33"/>
      <c r="R115" s="15"/>
      <c r="S115" s="15"/>
      <c r="T115" s="150"/>
      <c r="U115" s="20"/>
    </row>
    <row r="116" ht="15.75" customHeight="1">
      <c r="A116" s="7"/>
      <c r="B116" s="7"/>
      <c r="C116" s="7"/>
      <c r="D116" s="7"/>
      <c r="E116" s="7"/>
      <c r="F116" s="7"/>
      <c r="G116" s="7"/>
      <c r="H116" s="7"/>
      <c r="I116" s="7"/>
      <c r="J116" s="33"/>
      <c r="K116" s="33"/>
      <c r="L116" s="33"/>
      <c r="M116" s="33"/>
      <c r="N116" s="7"/>
      <c r="O116" s="7"/>
      <c r="P116" s="7"/>
      <c r="Q116" s="33"/>
      <c r="R116" s="15"/>
      <c r="S116" s="15"/>
      <c r="T116" s="150"/>
      <c r="U116" s="20"/>
    </row>
    <row r="117" ht="15.75" customHeight="1">
      <c r="A117" s="7"/>
      <c r="B117" s="7"/>
      <c r="C117" s="7"/>
      <c r="D117" s="7"/>
      <c r="E117" s="7"/>
      <c r="F117" s="7"/>
      <c r="G117" s="7"/>
      <c r="H117" s="7"/>
      <c r="I117" s="7"/>
      <c r="J117" s="33"/>
      <c r="K117" s="33"/>
      <c r="L117" s="33"/>
      <c r="M117" s="33"/>
      <c r="N117" s="7"/>
      <c r="O117" s="7"/>
      <c r="P117" s="7"/>
      <c r="Q117" s="33"/>
      <c r="R117" s="15"/>
      <c r="S117" s="15"/>
      <c r="T117" s="150"/>
      <c r="U117" s="20"/>
    </row>
    <row r="118" ht="15.75" customHeight="1">
      <c r="A118" s="7"/>
      <c r="B118" s="7"/>
      <c r="C118" s="7"/>
      <c r="D118" s="7"/>
      <c r="E118" s="7"/>
      <c r="F118" s="7"/>
      <c r="G118" s="7"/>
      <c r="H118" s="7"/>
      <c r="I118" s="7"/>
      <c r="J118" s="33"/>
      <c r="K118" s="33"/>
      <c r="L118" s="33"/>
      <c r="M118" s="33"/>
      <c r="N118" s="7"/>
      <c r="O118" s="7"/>
      <c r="P118" s="7"/>
      <c r="Q118" s="33"/>
      <c r="R118" s="15"/>
      <c r="S118" s="15"/>
      <c r="T118" s="150"/>
      <c r="U118" s="20"/>
    </row>
    <row r="119" ht="15.75" customHeight="1">
      <c r="A119" s="7"/>
      <c r="B119" s="7"/>
      <c r="C119" s="7"/>
      <c r="D119" s="7"/>
      <c r="E119" s="7"/>
      <c r="F119" s="7"/>
      <c r="G119" s="7"/>
      <c r="H119" s="7"/>
      <c r="I119" s="7"/>
      <c r="J119" s="33"/>
      <c r="K119" s="33"/>
      <c r="L119" s="33"/>
      <c r="M119" s="33"/>
      <c r="N119" s="7"/>
      <c r="O119" s="7"/>
      <c r="P119" s="7"/>
      <c r="Q119" s="33"/>
      <c r="R119" s="15"/>
      <c r="S119" s="15"/>
      <c r="T119" s="150"/>
      <c r="U119" s="20"/>
    </row>
    <row r="120" ht="15.75" customHeight="1">
      <c r="A120" s="7"/>
      <c r="B120" s="7"/>
      <c r="C120" s="7"/>
      <c r="D120" s="7"/>
      <c r="E120" s="7"/>
      <c r="F120" s="7"/>
      <c r="G120" s="7"/>
      <c r="H120" s="7"/>
      <c r="I120" s="7"/>
      <c r="J120" s="33"/>
      <c r="K120" s="33"/>
      <c r="L120" s="33"/>
      <c r="M120" s="33"/>
      <c r="N120" s="7"/>
      <c r="O120" s="7"/>
      <c r="P120" s="7"/>
      <c r="Q120" s="33"/>
      <c r="R120" s="15"/>
      <c r="S120" s="15"/>
      <c r="T120" s="150"/>
      <c r="U120" s="20"/>
    </row>
    <row r="121" ht="15.75" customHeight="1">
      <c r="A121" s="7"/>
      <c r="B121" s="7"/>
      <c r="C121" s="7"/>
      <c r="D121" s="7"/>
      <c r="E121" s="7"/>
      <c r="F121" s="7"/>
      <c r="G121" s="7"/>
      <c r="H121" s="7"/>
      <c r="I121" s="7"/>
      <c r="J121" s="33"/>
      <c r="K121" s="33"/>
      <c r="L121" s="33"/>
      <c r="M121" s="33"/>
      <c r="N121" s="7"/>
      <c r="O121" s="7"/>
      <c r="P121" s="7"/>
      <c r="Q121" s="33"/>
      <c r="R121" s="15"/>
      <c r="S121" s="15"/>
      <c r="T121" s="150"/>
      <c r="U121" s="20"/>
    </row>
    <row r="122" ht="15.75" customHeight="1">
      <c r="A122" s="7"/>
      <c r="B122" s="7"/>
      <c r="C122" s="7"/>
      <c r="D122" s="7"/>
      <c r="E122" s="7"/>
      <c r="F122" s="7"/>
      <c r="G122" s="7"/>
      <c r="H122" s="7"/>
      <c r="I122" s="7"/>
      <c r="J122" s="33"/>
      <c r="K122" s="33"/>
      <c r="L122" s="33"/>
      <c r="M122" s="33"/>
      <c r="N122" s="7"/>
      <c r="O122" s="7"/>
      <c r="P122" s="7"/>
      <c r="Q122" s="33"/>
      <c r="R122" s="15"/>
      <c r="S122" s="15"/>
      <c r="T122" s="150"/>
      <c r="U122" s="20"/>
    </row>
    <row r="123" ht="15.75" customHeight="1">
      <c r="A123" s="7"/>
      <c r="B123" s="7"/>
      <c r="C123" s="7"/>
      <c r="D123" s="7"/>
      <c r="E123" s="7"/>
      <c r="F123" s="7"/>
      <c r="G123" s="7"/>
      <c r="H123" s="7"/>
      <c r="I123" s="7"/>
      <c r="J123" s="33"/>
      <c r="K123" s="33"/>
      <c r="L123" s="33"/>
      <c r="M123" s="33"/>
      <c r="N123" s="7"/>
      <c r="O123" s="7"/>
      <c r="P123" s="7"/>
      <c r="Q123" s="33"/>
      <c r="R123" s="15"/>
      <c r="S123" s="15"/>
      <c r="T123" s="150"/>
      <c r="U123" s="20"/>
    </row>
    <row r="124" ht="15.75" customHeight="1">
      <c r="A124" s="7"/>
      <c r="B124" s="7"/>
      <c r="C124" s="7"/>
      <c r="D124" s="7"/>
      <c r="E124" s="7"/>
      <c r="F124" s="7"/>
      <c r="G124" s="7"/>
      <c r="H124" s="7"/>
      <c r="I124" s="7"/>
      <c r="J124" s="33"/>
      <c r="K124" s="33"/>
      <c r="L124" s="33"/>
      <c r="M124" s="33"/>
      <c r="N124" s="7"/>
      <c r="O124" s="7"/>
      <c r="P124" s="7"/>
      <c r="Q124" s="33"/>
      <c r="R124" s="15"/>
      <c r="S124" s="15"/>
      <c r="T124" s="150"/>
      <c r="U124" s="20"/>
    </row>
    <row r="125" ht="15.75" customHeight="1">
      <c r="A125" s="7"/>
      <c r="B125" s="7"/>
      <c r="C125" s="7"/>
      <c r="D125" s="7"/>
      <c r="E125" s="7"/>
      <c r="F125" s="7"/>
      <c r="G125" s="7"/>
      <c r="H125" s="7"/>
      <c r="I125" s="7"/>
      <c r="J125" s="33"/>
      <c r="K125" s="33"/>
      <c r="L125" s="33"/>
      <c r="M125" s="33"/>
      <c r="N125" s="7"/>
      <c r="O125" s="7"/>
      <c r="P125" s="7"/>
      <c r="Q125" s="33"/>
      <c r="R125" s="15"/>
      <c r="S125" s="15"/>
      <c r="T125" s="150"/>
      <c r="U125" s="20"/>
    </row>
    <row r="126" ht="15.75" customHeight="1">
      <c r="A126" s="7"/>
      <c r="B126" s="7"/>
      <c r="C126" s="7"/>
      <c r="D126" s="7"/>
      <c r="E126" s="7"/>
      <c r="F126" s="7"/>
      <c r="G126" s="7"/>
      <c r="H126" s="7"/>
      <c r="I126" s="7"/>
      <c r="J126" s="33"/>
      <c r="K126" s="33"/>
      <c r="L126" s="33"/>
      <c r="M126" s="33"/>
      <c r="N126" s="7"/>
      <c r="O126" s="7"/>
      <c r="P126" s="7"/>
      <c r="Q126" s="33"/>
      <c r="R126" s="15"/>
      <c r="S126" s="15"/>
      <c r="T126" s="150"/>
      <c r="U126" s="20"/>
    </row>
    <row r="127" ht="15.75" customHeight="1">
      <c r="A127" s="7"/>
      <c r="B127" s="7"/>
      <c r="C127" s="7"/>
      <c r="D127" s="7"/>
      <c r="E127" s="7"/>
      <c r="F127" s="7"/>
      <c r="G127" s="7"/>
      <c r="H127" s="7"/>
      <c r="I127" s="7"/>
      <c r="J127" s="33"/>
      <c r="K127" s="33"/>
      <c r="L127" s="33"/>
      <c r="M127" s="33"/>
      <c r="N127" s="7"/>
      <c r="O127" s="7"/>
      <c r="P127" s="7"/>
      <c r="Q127" s="33"/>
      <c r="R127" s="15"/>
      <c r="S127" s="15"/>
      <c r="T127" s="150"/>
      <c r="U127" s="20"/>
    </row>
    <row r="128" ht="15.75" customHeight="1">
      <c r="A128" s="7"/>
      <c r="B128" s="7"/>
      <c r="C128" s="7"/>
      <c r="D128" s="7"/>
      <c r="E128" s="7"/>
      <c r="F128" s="7"/>
      <c r="G128" s="7"/>
      <c r="H128" s="7"/>
      <c r="I128" s="7"/>
      <c r="J128" s="33"/>
      <c r="K128" s="33"/>
      <c r="L128" s="33"/>
      <c r="M128" s="33"/>
      <c r="N128" s="7"/>
      <c r="O128" s="7"/>
      <c r="P128" s="7"/>
      <c r="Q128" s="33"/>
      <c r="R128" s="15"/>
      <c r="S128" s="15"/>
      <c r="T128" s="150"/>
      <c r="U128" s="20"/>
    </row>
    <row r="129" ht="15.75" customHeight="1">
      <c r="A129" s="7"/>
      <c r="B129" s="7"/>
      <c r="C129" s="7"/>
      <c r="D129" s="7"/>
      <c r="E129" s="7"/>
      <c r="F129" s="7"/>
      <c r="G129" s="7"/>
      <c r="H129" s="7"/>
      <c r="I129" s="7"/>
      <c r="J129" s="33"/>
      <c r="K129" s="33"/>
      <c r="L129" s="33"/>
      <c r="M129" s="33"/>
      <c r="N129" s="7"/>
      <c r="O129" s="7"/>
      <c r="P129" s="7"/>
      <c r="Q129" s="33"/>
      <c r="R129" s="15"/>
      <c r="S129" s="15"/>
      <c r="T129" s="150"/>
      <c r="U129" s="20"/>
    </row>
    <row r="130" ht="15.75" customHeight="1">
      <c r="A130" s="7"/>
      <c r="B130" s="7"/>
      <c r="C130" s="7"/>
      <c r="D130" s="7"/>
      <c r="E130" s="7"/>
      <c r="F130" s="7"/>
      <c r="G130" s="7"/>
      <c r="H130" s="7"/>
      <c r="I130" s="7"/>
      <c r="J130" s="33"/>
      <c r="K130" s="33"/>
      <c r="L130" s="33"/>
      <c r="M130" s="33"/>
      <c r="N130" s="7"/>
      <c r="O130" s="7"/>
      <c r="P130" s="7"/>
      <c r="Q130" s="33"/>
      <c r="R130" s="15"/>
      <c r="S130" s="15"/>
      <c r="T130" s="150"/>
      <c r="U130" s="20"/>
    </row>
    <row r="131" ht="15.75" customHeight="1">
      <c r="A131" s="7"/>
      <c r="B131" s="7"/>
      <c r="C131" s="7"/>
      <c r="D131" s="7"/>
      <c r="E131" s="7"/>
      <c r="F131" s="7"/>
      <c r="G131" s="7"/>
      <c r="H131" s="7"/>
      <c r="I131" s="7"/>
      <c r="J131" s="33"/>
      <c r="K131" s="33"/>
      <c r="L131" s="33"/>
      <c r="M131" s="33"/>
      <c r="N131" s="7"/>
      <c r="O131" s="7"/>
      <c r="P131" s="7"/>
      <c r="Q131" s="33"/>
      <c r="R131" s="15"/>
      <c r="S131" s="15"/>
      <c r="T131" s="150"/>
      <c r="U131" s="20"/>
    </row>
    <row r="132" ht="15.75" customHeight="1">
      <c r="A132" s="7"/>
      <c r="B132" s="7"/>
      <c r="C132" s="7"/>
      <c r="D132" s="7"/>
      <c r="E132" s="7"/>
      <c r="F132" s="7"/>
      <c r="G132" s="7"/>
      <c r="H132" s="7"/>
      <c r="I132" s="7"/>
      <c r="J132" s="33"/>
      <c r="K132" s="33"/>
      <c r="L132" s="33"/>
      <c r="M132" s="33"/>
      <c r="N132" s="7"/>
      <c r="O132" s="7"/>
      <c r="P132" s="7"/>
      <c r="Q132" s="33"/>
      <c r="R132" s="15"/>
      <c r="S132" s="15"/>
      <c r="T132" s="150"/>
      <c r="U132" s="20"/>
    </row>
    <row r="133" ht="15.75" customHeight="1">
      <c r="A133" s="7"/>
      <c r="B133" s="7"/>
      <c r="C133" s="7"/>
      <c r="D133" s="7"/>
      <c r="E133" s="7"/>
      <c r="F133" s="7"/>
      <c r="G133" s="7"/>
      <c r="H133" s="7"/>
      <c r="I133" s="7"/>
      <c r="J133" s="33"/>
      <c r="K133" s="33"/>
      <c r="L133" s="33"/>
      <c r="M133" s="33"/>
      <c r="N133" s="7"/>
      <c r="O133" s="7"/>
      <c r="P133" s="7"/>
      <c r="Q133" s="33"/>
      <c r="R133" s="15"/>
      <c r="S133" s="15"/>
      <c r="T133" s="150"/>
      <c r="U133" s="20"/>
    </row>
    <row r="134" ht="15.75" customHeight="1">
      <c r="A134" s="2"/>
      <c r="B134" s="2"/>
      <c r="C134" s="2"/>
      <c r="D134" s="2"/>
      <c r="E134" s="2"/>
      <c r="F134" s="2"/>
      <c r="G134" s="2"/>
      <c r="H134" s="2"/>
      <c r="I134" s="2"/>
      <c r="J134" s="74"/>
      <c r="K134" s="74"/>
      <c r="L134" s="74"/>
      <c r="M134" s="74"/>
      <c r="N134" s="2"/>
      <c r="O134" s="2"/>
      <c r="P134" s="2"/>
      <c r="Q134" s="74"/>
      <c r="R134" s="2"/>
      <c r="S134" s="2"/>
      <c r="T134" s="76"/>
      <c r="U134" s="88"/>
    </row>
    <row r="135" ht="15.75" customHeight="1">
      <c r="A135" s="2"/>
      <c r="B135" s="2"/>
      <c r="C135" s="2"/>
      <c r="D135" s="2"/>
      <c r="E135" s="2"/>
      <c r="F135" s="2"/>
      <c r="G135" s="2"/>
      <c r="H135" s="2"/>
      <c r="I135" s="2"/>
      <c r="J135" s="74"/>
      <c r="K135" s="74"/>
      <c r="L135" s="74"/>
      <c r="M135" s="74"/>
      <c r="N135" s="2"/>
      <c r="O135" s="2"/>
      <c r="P135" s="2"/>
      <c r="Q135" s="74"/>
      <c r="R135" s="2"/>
      <c r="S135" s="2"/>
      <c r="T135" s="76"/>
      <c r="U135" s="88"/>
    </row>
    <row r="136" ht="15.75" customHeight="1">
      <c r="A136" s="2"/>
      <c r="B136" s="2"/>
      <c r="C136" s="2"/>
      <c r="D136" s="2"/>
      <c r="E136" s="2"/>
      <c r="F136" s="2"/>
      <c r="G136" s="2"/>
      <c r="H136" s="2"/>
      <c r="I136" s="2"/>
      <c r="J136" s="74"/>
      <c r="K136" s="74"/>
      <c r="L136" s="74"/>
      <c r="M136" s="74"/>
      <c r="N136" s="2"/>
      <c r="O136" s="2"/>
      <c r="P136" s="2"/>
      <c r="Q136" s="74"/>
      <c r="R136" s="2"/>
      <c r="S136" s="2"/>
      <c r="T136" s="76"/>
      <c r="U136" s="88"/>
    </row>
    <row r="137" ht="15.75" customHeight="1">
      <c r="A137" s="2"/>
      <c r="B137" s="2"/>
      <c r="C137" s="2"/>
      <c r="D137" s="2"/>
      <c r="E137" s="2"/>
      <c r="F137" s="2"/>
      <c r="G137" s="2"/>
      <c r="H137" s="2"/>
      <c r="I137" s="2"/>
      <c r="J137" s="74"/>
      <c r="K137" s="74"/>
      <c r="L137" s="74"/>
      <c r="M137" s="74"/>
      <c r="N137" s="2"/>
      <c r="O137" s="2"/>
      <c r="P137" s="2"/>
      <c r="Q137" s="74"/>
      <c r="R137" s="2"/>
      <c r="S137" s="2"/>
      <c r="T137" s="76"/>
      <c r="U137" s="88"/>
    </row>
    <row r="138" ht="15.75" customHeight="1">
      <c r="A138" s="2"/>
      <c r="B138" s="2"/>
      <c r="C138" s="2"/>
      <c r="D138" s="2"/>
      <c r="E138" s="2"/>
      <c r="F138" s="2"/>
      <c r="G138" s="2"/>
      <c r="H138" s="2"/>
      <c r="I138" s="2"/>
      <c r="J138" s="74"/>
      <c r="K138" s="74"/>
      <c r="L138" s="74"/>
      <c r="M138" s="74"/>
      <c r="N138" s="2"/>
      <c r="O138" s="2"/>
      <c r="P138" s="2"/>
      <c r="Q138" s="74"/>
      <c r="R138" s="2"/>
      <c r="S138" s="2"/>
      <c r="T138" s="76"/>
      <c r="U138" s="88"/>
    </row>
    <row r="139" ht="15.75" customHeight="1">
      <c r="A139" s="2"/>
      <c r="B139" s="2"/>
      <c r="C139" s="2"/>
      <c r="D139" s="2"/>
      <c r="E139" s="2"/>
      <c r="F139" s="2"/>
      <c r="G139" s="2"/>
      <c r="H139" s="2"/>
      <c r="I139" s="2"/>
      <c r="J139" s="74"/>
      <c r="K139" s="74"/>
      <c r="L139" s="74"/>
      <c r="M139" s="74"/>
      <c r="N139" s="2"/>
      <c r="O139" s="2"/>
      <c r="P139" s="2"/>
      <c r="Q139" s="74"/>
      <c r="R139" s="2"/>
      <c r="S139" s="2"/>
      <c r="T139" s="76"/>
      <c r="U139" s="88"/>
    </row>
    <row r="140" ht="15.75" customHeight="1">
      <c r="A140" s="2"/>
      <c r="B140" s="2"/>
      <c r="C140" s="2"/>
      <c r="D140" s="2"/>
      <c r="E140" s="2"/>
      <c r="F140" s="2"/>
      <c r="G140" s="2"/>
      <c r="H140" s="2"/>
      <c r="I140" s="2"/>
      <c r="J140" s="74"/>
      <c r="K140" s="74"/>
      <c r="L140" s="74"/>
      <c r="M140" s="74"/>
      <c r="N140" s="2"/>
      <c r="O140" s="2"/>
      <c r="P140" s="2"/>
      <c r="Q140" s="74"/>
      <c r="R140" s="2"/>
      <c r="S140" s="2"/>
      <c r="T140" s="76"/>
      <c r="U140" s="88"/>
    </row>
    <row r="141" ht="15.75" customHeight="1">
      <c r="A141" s="2"/>
      <c r="B141" s="2"/>
      <c r="C141" s="2"/>
      <c r="D141" s="2"/>
      <c r="E141" s="2"/>
      <c r="F141" s="2"/>
      <c r="G141" s="2"/>
      <c r="H141" s="2"/>
      <c r="I141" s="2"/>
      <c r="J141" s="74"/>
      <c r="K141" s="74"/>
      <c r="L141" s="74"/>
      <c r="M141" s="74"/>
      <c r="N141" s="2"/>
      <c r="O141" s="2"/>
      <c r="P141" s="2"/>
      <c r="Q141" s="74"/>
      <c r="R141" s="2"/>
      <c r="S141" s="2"/>
      <c r="T141" s="76"/>
      <c r="U141" s="88"/>
    </row>
    <row r="142" ht="15.75" customHeight="1">
      <c r="A142" s="2"/>
      <c r="B142" s="2"/>
      <c r="C142" s="2"/>
      <c r="D142" s="2"/>
      <c r="E142" s="2"/>
      <c r="F142" s="2"/>
      <c r="G142" s="2"/>
      <c r="H142" s="2"/>
      <c r="I142" s="2"/>
      <c r="J142" s="74"/>
      <c r="K142" s="74"/>
      <c r="L142" s="74"/>
      <c r="M142" s="74"/>
      <c r="N142" s="2"/>
      <c r="O142" s="2"/>
      <c r="P142" s="2"/>
      <c r="Q142" s="74"/>
      <c r="R142" s="2"/>
      <c r="S142" s="2"/>
      <c r="T142" s="76"/>
      <c r="U142" s="88"/>
    </row>
    <row r="143" ht="15.75" customHeight="1">
      <c r="A143" s="2"/>
      <c r="B143" s="2"/>
      <c r="C143" s="2"/>
      <c r="D143" s="2"/>
      <c r="E143" s="2"/>
      <c r="F143" s="2"/>
      <c r="G143" s="2"/>
      <c r="H143" s="2"/>
      <c r="I143" s="2"/>
      <c r="J143" s="74"/>
      <c r="K143" s="74"/>
      <c r="L143" s="74"/>
      <c r="M143" s="74"/>
      <c r="N143" s="2"/>
      <c r="O143" s="2"/>
      <c r="P143" s="2"/>
      <c r="Q143" s="74"/>
      <c r="R143" s="2"/>
      <c r="S143" s="2"/>
      <c r="T143" s="76"/>
      <c r="U143" s="88"/>
    </row>
    <row r="144" ht="15.75" customHeight="1">
      <c r="A144" s="2"/>
      <c r="B144" s="2"/>
      <c r="C144" s="2"/>
      <c r="D144" s="2"/>
      <c r="E144" s="2"/>
      <c r="F144" s="2"/>
      <c r="G144" s="2"/>
      <c r="H144" s="2"/>
      <c r="I144" s="2"/>
      <c r="J144" s="74"/>
      <c r="K144" s="74"/>
      <c r="L144" s="74"/>
      <c r="M144" s="74"/>
      <c r="N144" s="2"/>
      <c r="O144" s="2"/>
      <c r="P144" s="2"/>
      <c r="Q144" s="74"/>
      <c r="R144" s="2"/>
      <c r="S144" s="2"/>
      <c r="T144" s="76"/>
      <c r="U144" s="88"/>
    </row>
    <row r="145" ht="15.75" customHeight="1">
      <c r="A145" s="2"/>
      <c r="B145" s="2"/>
      <c r="C145" s="2"/>
      <c r="D145" s="2"/>
      <c r="E145" s="2"/>
      <c r="F145" s="2"/>
      <c r="G145" s="2"/>
      <c r="H145" s="2"/>
      <c r="I145" s="2"/>
      <c r="J145" s="74"/>
      <c r="K145" s="74"/>
      <c r="L145" s="74"/>
      <c r="M145" s="74"/>
      <c r="N145" s="2"/>
      <c r="O145" s="2"/>
      <c r="P145" s="2"/>
      <c r="Q145" s="74"/>
      <c r="R145" s="2"/>
      <c r="S145" s="2"/>
      <c r="T145" s="76"/>
      <c r="U145" s="88"/>
    </row>
    <row r="146" ht="15.75" customHeight="1">
      <c r="A146" s="2"/>
      <c r="B146" s="2"/>
      <c r="C146" s="2"/>
      <c r="D146" s="2"/>
      <c r="E146" s="2"/>
      <c r="F146" s="2"/>
      <c r="G146" s="2"/>
      <c r="H146" s="2"/>
      <c r="I146" s="2"/>
      <c r="J146" s="74"/>
      <c r="K146" s="74"/>
      <c r="L146" s="74"/>
      <c r="M146" s="74"/>
      <c r="N146" s="2"/>
      <c r="O146" s="2"/>
      <c r="P146" s="2"/>
      <c r="Q146" s="74"/>
      <c r="R146" s="2"/>
      <c r="S146" s="2"/>
      <c r="T146" s="76"/>
      <c r="U146" s="88"/>
    </row>
    <row r="147" ht="15.75" customHeight="1">
      <c r="A147" s="2"/>
      <c r="B147" s="2"/>
      <c r="C147" s="2"/>
      <c r="D147" s="2"/>
      <c r="E147" s="2"/>
      <c r="F147" s="2"/>
      <c r="G147" s="2"/>
      <c r="H147" s="2"/>
      <c r="I147" s="2"/>
      <c r="J147" s="74"/>
      <c r="K147" s="74"/>
      <c r="L147" s="74"/>
      <c r="M147" s="74"/>
      <c r="N147" s="2"/>
      <c r="O147" s="2"/>
      <c r="P147" s="2"/>
      <c r="Q147" s="74"/>
      <c r="R147" s="2"/>
      <c r="S147" s="2"/>
      <c r="T147" s="76"/>
      <c r="U147" s="88"/>
    </row>
    <row r="148" ht="15.75" customHeight="1">
      <c r="A148" s="2"/>
      <c r="B148" s="2"/>
      <c r="C148" s="2"/>
      <c r="D148" s="2"/>
      <c r="E148" s="2"/>
      <c r="F148" s="2"/>
      <c r="G148" s="2"/>
      <c r="H148" s="2"/>
      <c r="I148" s="2"/>
      <c r="J148" s="74"/>
      <c r="K148" s="74"/>
      <c r="L148" s="74"/>
      <c r="M148" s="74"/>
      <c r="N148" s="2"/>
      <c r="O148" s="2"/>
      <c r="P148" s="2"/>
      <c r="Q148" s="74"/>
      <c r="R148" s="2"/>
      <c r="S148" s="2"/>
      <c r="T148" s="76"/>
      <c r="U148" s="88"/>
    </row>
    <row r="149" ht="15.75" customHeight="1">
      <c r="A149" s="2"/>
      <c r="B149" s="2"/>
      <c r="C149" s="2"/>
      <c r="D149" s="2"/>
      <c r="E149" s="2"/>
      <c r="F149" s="2"/>
      <c r="G149" s="2"/>
      <c r="H149" s="2"/>
      <c r="I149" s="2"/>
      <c r="J149" s="74"/>
      <c r="K149" s="74"/>
      <c r="L149" s="74"/>
      <c r="M149" s="74"/>
      <c r="N149" s="2"/>
      <c r="O149" s="2"/>
      <c r="P149" s="2"/>
      <c r="Q149" s="74"/>
      <c r="R149" s="2"/>
      <c r="S149" s="2"/>
      <c r="T149" s="76"/>
      <c r="U149" s="88"/>
    </row>
    <row r="150" ht="15.75" customHeight="1">
      <c r="A150" s="2"/>
      <c r="B150" s="2"/>
      <c r="C150" s="2"/>
      <c r="D150" s="2"/>
      <c r="E150" s="2"/>
      <c r="F150" s="2"/>
      <c r="G150" s="2"/>
      <c r="H150" s="2"/>
      <c r="I150" s="2"/>
      <c r="J150" s="74"/>
      <c r="K150" s="74"/>
      <c r="L150" s="74"/>
      <c r="M150" s="74"/>
      <c r="N150" s="2"/>
      <c r="O150" s="2"/>
      <c r="P150" s="2"/>
      <c r="Q150" s="74"/>
      <c r="R150" s="2"/>
      <c r="S150" s="2"/>
      <c r="T150" s="76"/>
      <c r="U150" s="88"/>
    </row>
    <row r="151" ht="15.75" customHeight="1">
      <c r="A151" s="2"/>
      <c r="B151" s="2"/>
      <c r="C151" s="2"/>
      <c r="D151" s="2"/>
      <c r="E151" s="2"/>
      <c r="F151" s="2"/>
      <c r="G151" s="2"/>
      <c r="H151" s="2"/>
      <c r="I151" s="2"/>
      <c r="J151" s="74"/>
      <c r="K151" s="74"/>
      <c r="L151" s="74"/>
      <c r="M151" s="74"/>
      <c r="N151" s="2"/>
      <c r="O151" s="2"/>
      <c r="P151" s="2"/>
      <c r="Q151" s="74"/>
      <c r="R151" s="2"/>
      <c r="S151" s="2"/>
      <c r="T151" s="76"/>
      <c r="U151" s="88"/>
    </row>
    <row r="152" ht="15.75" customHeight="1">
      <c r="A152" s="2"/>
      <c r="B152" s="2"/>
      <c r="C152" s="2"/>
      <c r="D152" s="2"/>
      <c r="E152" s="2"/>
      <c r="F152" s="2"/>
      <c r="G152" s="2"/>
      <c r="H152" s="2"/>
      <c r="I152" s="2"/>
      <c r="J152" s="74"/>
      <c r="K152" s="74"/>
      <c r="L152" s="74"/>
      <c r="M152" s="74"/>
      <c r="N152" s="2"/>
      <c r="O152" s="2"/>
      <c r="P152" s="2"/>
      <c r="Q152" s="74"/>
      <c r="R152" s="2"/>
      <c r="S152" s="2"/>
      <c r="T152" s="76"/>
      <c r="U152" s="88"/>
    </row>
    <row r="153" ht="15.75" customHeight="1">
      <c r="A153" s="2"/>
      <c r="B153" s="2"/>
      <c r="C153" s="2"/>
      <c r="D153" s="2"/>
      <c r="E153" s="2"/>
      <c r="F153" s="2"/>
      <c r="G153" s="2"/>
      <c r="H153" s="2"/>
      <c r="I153" s="2"/>
      <c r="J153" s="74"/>
      <c r="K153" s="74"/>
      <c r="L153" s="74"/>
      <c r="M153" s="74"/>
      <c r="N153" s="2"/>
      <c r="O153" s="2"/>
      <c r="P153" s="2"/>
      <c r="Q153" s="74"/>
      <c r="R153" s="2"/>
      <c r="S153" s="2"/>
      <c r="T153" s="76"/>
      <c r="U153" s="88"/>
    </row>
    <row r="154" ht="15.75" customHeight="1">
      <c r="A154" s="2"/>
      <c r="B154" s="2"/>
      <c r="C154" s="2"/>
      <c r="D154" s="2"/>
      <c r="E154" s="2"/>
      <c r="F154" s="2"/>
      <c r="G154" s="2"/>
      <c r="H154" s="2"/>
      <c r="I154" s="2"/>
      <c r="J154" s="74"/>
      <c r="K154" s="74"/>
      <c r="L154" s="74"/>
      <c r="M154" s="74"/>
      <c r="N154" s="2"/>
      <c r="O154" s="2"/>
      <c r="P154" s="2"/>
      <c r="Q154" s="74"/>
      <c r="R154" s="2"/>
      <c r="S154" s="2"/>
      <c r="T154" s="76"/>
      <c r="U154" s="88"/>
    </row>
    <row r="155" ht="15.75" customHeight="1">
      <c r="A155" s="2"/>
      <c r="B155" s="2"/>
      <c r="C155" s="2"/>
      <c r="D155" s="2"/>
      <c r="E155" s="2"/>
      <c r="F155" s="2"/>
      <c r="G155" s="2"/>
      <c r="H155" s="2"/>
      <c r="I155" s="2"/>
      <c r="J155" s="74"/>
      <c r="K155" s="74"/>
      <c r="L155" s="74"/>
      <c r="M155" s="74"/>
      <c r="N155" s="2"/>
      <c r="O155" s="2"/>
      <c r="P155" s="2"/>
      <c r="Q155" s="74"/>
      <c r="R155" s="2"/>
      <c r="S155" s="2"/>
      <c r="T155" s="76"/>
      <c r="U155" s="88"/>
    </row>
    <row r="156" ht="15.75" customHeight="1">
      <c r="A156" s="2"/>
      <c r="B156" s="2"/>
      <c r="C156" s="2"/>
      <c r="D156" s="2"/>
      <c r="E156" s="2"/>
      <c r="F156" s="2"/>
      <c r="G156" s="2"/>
      <c r="H156" s="2"/>
      <c r="I156" s="2"/>
      <c r="J156" s="74"/>
      <c r="K156" s="74"/>
      <c r="L156" s="74"/>
      <c r="M156" s="74"/>
      <c r="N156" s="2"/>
      <c r="O156" s="2"/>
      <c r="P156" s="2"/>
      <c r="Q156" s="74"/>
      <c r="R156" s="2"/>
      <c r="S156" s="2"/>
      <c r="T156" s="76"/>
      <c r="U156" s="88"/>
    </row>
    <row r="157" ht="15.75" customHeight="1">
      <c r="A157" s="2"/>
      <c r="B157" s="2"/>
      <c r="C157" s="2"/>
      <c r="D157" s="2"/>
      <c r="E157" s="2"/>
      <c r="F157" s="2"/>
      <c r="G157" s="2"/>
      <c r="H157" s="2"/>
      <c r="I157" s="2"/>
      <c r="J157" s="74"/>
      <c r="K157" s="74"/>
      <c r="L157" s="74"/>
      <c r="M157" s="74"/>
      <c r="N157" s="2"/>
      <c r="O157" s="2"/>
      <c r="P157" s="2"/>
      <c r="Q157" s="74"/>
      <c r="R157" s="2"/>
      <c r="S157" s="2"/>
      <c r="T157" s="76"/>
      <c r="U157" s="88"/>
    </row>
    <row r="158" ht="15.75" customHeight="1">
      <c r="A158" s="2"/>
      <c r="B158" s="2"/>
      <c r="C158" s="2"/>
      <c r="D158" s="2"/>
      <c r="E158" s="2"/>
      <c r="F158" s="2"/>
      <c r="G158" s="2"/>
      <c r="H158" s="2"/>
      <c r="I158" s="2"/>
      <c r="J158" s="74"/>
      <c r="K158" s="74"/>
      <c r="L158" s="74"/>
      <c r="M158" s="74"/>
      <c r="N158" s="2"/>
      <c r="O158" s="2"/>
      <c r="P158" s="2"/>
      <c r="Q158" s="74"/>
      <c r="R158" s="2"/>
      <c r="S158" s="2"/>
      <c r="T158" s="76"/>
      <c r="U158" s="88"/>
    </row>
    <row r="159" ht="15.75" customHeight="1">
      <c r="A159" s="2"/>
      <c r="B159" s="2"/>
      <c r="C159" s="2"/>
      <c r="D159" s="2"/>
      <c r="E159" s="2"/>
      <c r="F159" s="2"/>
      <c r="G159" s="2"/>
      <c r="H159" s="2"/>
      <c r="I159" s="2"/>
      <c r="J159" s="74"/>
      <c r="K159" s="74"/>
      <c r="L159" s="74"/>
      <c r="M159" s="74"/>
      <c r="N159" s="2"/>
      <c r="O159" s="2"/>
      <c r="P159" s="2"/>
      <c r="Q159" s="74"/>
      <c r="R159" s="2"/>
      <c r="S159" s="2"/>
      <c r="T159" s="76"/>
      <c r="U159" s="88"/>
    </row>
    <row r="160" ht="15.75" customHeight="1">
      <c r="A160" s="2"/>
      <c r="B160" s="2"/>
      <c r="C160" s="2"/>
      <c r="D160" s="2"/>
      <c r="E160" s="2"/>
      <c r="F160" s="2"/>
      <c r="G160" s="2"/>
      <c r="H160" s="2"/>
      <c r="I160" s="2"/>
      <c r="J160" s="74"/>
      <c r="K160" s="74"/>
      <c r="L160" s="74"/>
      <c r="M160" s="74"/>
      <c r="N160" s="2"/>
      <c r="O160" s="2"/>
      <c r="P160" s="2"/>
      <c r="Q160" s="74"/>
      <c r="R160" s="2"/>
      <c r="S160" s="2"/>
      <c r="T160" s="76"/>
      <c r="U160" s="88"/>
    </row>
    <row r="161" ht="15.75" customHeight="1">
      <c r="A161" s="2"/>
      <c r="B161" s="2"/>
      <c r="C161" s="2"/>
      <c r="D161" s="2"/>
      <c r="E161" s="2"/>
      <c r="F161" s="2"/>
      <c r="G161" s="2"/>
      <c r="H161" s="2"/>
      <c r="I161" s="2"/>
      <c r="J161" s="74"/>
      <c r="K161" s="74"/>
      <c r="L161" s="74"/>
      <c r="M161" s="74"/>
      <c r="N161" s="2"/>
      <c r="O161" s="2"/>
      <c r="P161" s="2"/>
      <c r="Q161" s="74"/>
      <c r="R161" s="2"/>
      <c r="S161" s="2"/>
      <c r="T161" s="76"/>
      <c r="U161" s="88"/>
    </row>
    <row r="162" ht="15.75" customHeight="1">
      <c r="A162" s="2"/>
      <c r="B162" s="2"/>
      <c r="C162" s="2"/>
      <c r="D162" s="2"/>
      <c r="E162" s="2"/>
      <c r="F162" s="2"/>
      <c r="G162" s="2"/>
      <c r="H162" s="2"/>
      <c r="I162" s="2"/>
      <c r="J162" s="74"/>
      <c r="K162" s="74"/>
      <c r="L162" s="74"/>
      <c r="M162" s="74"/>
      <c r="N162" s="2"/>
      <c r="O162" s="2"/>
      <c r="P162" s="2"/>
      <c r="Q162" s="74"/>
      <c r="R162" s="2"/>
      <c r="S162" s="2"/>
      <c r="T162" s="76"/>
      <c r="U162" s="88"/>
    </row>
    <row r="163" ht="15.75" customHeight="1">
      <c r="A163" s="2"/>
      <c r="B163" s="2"/>
      <c r="C163" s="2"/>
      <c r="D163" s="2"/>
      <c r="E163" s="2"/>
      <c r="F163" s="2"/>
      <c r="G163" s="2"/>
      <c r="H163" s="2"/>
      <c r="I163" s="2"/>
      <c r="J163" s="74"/>
      <c r="K163" s="74"/>
      <c r="L163" s="74"/>
      <c r="M163" s="74"/>
      <c r="N163" s="2"/>
      <c r="O163" s="2"/>
      <c r="P163" s="2"/>
      <c r="Q163" s="74"/>
      <c r="R163" s="2"/>
      <c r="S163" s="2"/>
      <c r="T163" s="76"/>
      <c r="U163" s="88"/>
    </row>
    <row r="164" ht="15.75" customHeight="1">
      <c r="A164" s="2"/>
      <c r="B164" s="2"/>
      <c r="C164" s="2"/>
      <c r="D164" s="2"/>
      <c r="E164" s="2"/>
      <c r="F164" s="2"/>
      <c r="G164" s="2"/>
      <c r="H164" s="2"/>
      <c r="I164" s="2"/>
      <c r="J164" s="74"/>
      <c r="K164" s="74"/>
      <c r="L164" s="74"/>
      <c r="M164" s="74"/>
      <c r="N164" s="2"/>
      <c r="O164" s="2"/>
      <c r="P164" s="2"/>
      <c r="Q164" s="74"/>
      <c r="R164" s="2"/>
      <c r="S164" s="2"/>
      <c r="T164" s="76"/>
      <c r="U164" s="88"/>
    </row>
    <row r="165" ht="15.75" customHeight="1">
      <c r="A165" s="2"/>
      <c r="B165" s="2"/>
      <c r="C165" s="2"/>
      <c r="D165" s="2"/>
      <c r="E165" s="2"/>
      <c r="F165" s="2"/>
      <c r="G165" s="2"/>
      <c r="H165" s="2"/>
      <c r="I165" s="2"/>
      <c r="J165" s="74"/>
      <c r="K165" s="74"/>
      <c r="L165" s="74"/>
      <c r="M165" s="74"/>
      <c r="N165" s="2"/>
      <c r="O165" s="2"/>
      <c r="P165" s="2"/>
      <c r="Q165" s="74"/>
      <c r="R165" s="2"/>
      <c r="S165" s="2"/>
      <c r="T165" s="76"/>
      <c r="U165" s="88"/>
    </row>
    <row r="166" ht="15.75" customHeight="1">
      <c r="A166" s="2"/>
      <c r="B166" s="2"/>
      <c r="C166" s="2"/>
      <c r="D166" s="2"/>
      <c r="E166" s="2"/>
      <c r="F166" s="2"/>
      <c r="G166" s="2"/>
      <c r="H166" s="2"/>
      <c r="I166" s="2"/>
      <c r="J166" s="74"/>
      <c r="K166" s="74"/>
      <c r="L166" s="74"/>
      <c r="M166" s="74"/>
      <c r="N166" s="2"/>
      <c r="O166" s="2"/>
      <c r="P166" s="2"/>
      <c r="Q166" s="74"/>
      <c r="R166" s="2"/>
      <c r="S166" s="2"/>
      <c r="T166" s="76"/>
      <c r="U166" s="88"/>
    </row>
    <row r="167" ht="15.75" customHeight="1">
      <c r="A167" s="2"/>
      <c r="B167" s="2"/>
      <c r="C167" s="2"/>
      <c r="D167" s="2"/>
      <c r="E167" s="2"/>
      <c r="F167" s="2"/>
      <c r="G167" s="2"/>
      <c r="H167" s="2"/>
      <c r="I167" s="2"/>
      <c r="J167" s="74"/>
      <c r="K167" s="74"/>
      <c r="L167" s="74"/>
      <c r="M167" s="74"/>
      <c r="N167" s="2"/>
      <c r="O167" s="2"/>
      <c r="P167" s="2"/>
      <c r="Q167" s="74"/>
      <c r="R167" s="2"/>
      <c r="S167" s="2"/>
      <c r="T167" s="76"/>
      <c r="U167" s="88"/>
    </row>
    <row r="168" ht="15.75" customHeight="1">
      <c r="A168" s="2"/>
      <c r="B168" s="2"/>
      <c r="C168" s="2"/>
      <c r="D168" s="2"/>
      <c r="E168" s="2"/>
      <c r="F168" s="2"/>
      <c r="G168" s="2"/>
      <c r="H168" s="2"/>
      <c r="I168" s="2"/>
      <c r="J168" s="74"/>
      <c r="K168" s="74"/>
      <c r="L168" s="74"/>
      <c r="M168" s="74"/>
      <c r="N168" s="2"/>
      <c r="O168" s="2"/>
      <c r="P168" s="2"/>
      <c r="Q168" s="74"/>
      <c r="R168" s="2"/>
      <c r="S168" s="2"/>
      <c r="T168" s="76"/>
      <c r="U168" s="88"/>
    </row>
    <row r="169" ht="15.75" customHeight="1">
      <c r="A169" s="2"/>
      <c r="B169" s="2"/>
      <c r="C169" s="2"/>
      <c r="D169" s="2"/>
      <c r="E169" s="2"/>
      <c r="F169" s="2"/>
      <c r="G169" s="2"/>
      <c r="H169" s="2"/>
      <c r="I169" s="2"/>
      <c r="J169" s="74"/>
      <c r="K169" s="74"/>
      <c r="L169" s="74"/>
      <c r="M169" s="74"/>
      <c r="N169" s="2"/>
      <c r="O169" s="2"/>
      <c r="P169" s="2"/>
      <c r="Q169" s="74"/>
      <c r="R169" s="2"/>
      <c r="S169" s="2"/>
      <c r="T169" s="76"/>
      <c r="U169" s="88"/>
    </row>
    <row r="170" ht="15.75" customHeight="1">
      <c r="A170" s="2"/>
      <c r="B170" s="2"/>
      <c r="C170" s="2"/>
      <c r="D170" s="2"/>
      <c r="E170" s="2"/>
      <c r="F170" s="2"/>
      <c r="G170" s="2"/>
      <c r="H170" s="2"/>
      <c r="I170" s="2"/>
      <c r="J170" s="74"/>
      <c r="K170" s="74"/>
      <c r="L170" s="74"/>
      <c r="M170" s="74"/>
      <c r="N170" s="2"/>
      <c r="O170" s="2"/>
      <c r="P170" s="2"/>
      <c r="Q170" s="74"/>
      <c r="R170" s="2"/>
      <c r="S170" s="2"/>
      <c r="T170" s="76"/>
      <c r="U170" s="88"/>
    </row>
    <row r="171" ht="15.75" customHeight="1">
      <c r="A171" s="2"/>
      <c r="B171" s="2"/>
      <c r="C171" s="2"/>
      <c r="D171" s="2"/>
      <c r="E171" s="2"/>
      <c r="F171" s="2"/>
      <c r="G171" s="2"/>
      <c r="H171" s="2"/>
      <c r="I171" s="2"/>
      <c r="J171" s="74"/>
      <c r="K171" s="74"/>
      <c r="L171" s="74"/>
      <c r="M171" s="74"/>
      <c r="N171" s="2"/>
      <c r="O171" s="2"/>
      <c r="P171" s="2"/>
      <c r="Q171" s="74"/>
      <c r="R171" s="2"/>
      <c r="S171" s="2"/>
      <c r="T171" s="76"/>
      <c r="U171" s="88"/>
    </row>
    <row r="172" ht="15.75" customHeight="1">
      <c r="A172" s="2"/>
      <c r="B172" s="2"/>
      <c r="C172" s="2"/>
      <c r="D172" s="2"/>
      <c r="E172" s="2"/>
      <c r="F172" s="2"/>
      <c r="G172" s="2"/>
      <c r="H172" s="2"/>
      <c r="I172" s="2"/>
      <c r="J172" s="74"/>
      <c r="K172" s="74"/>
      <c r="L172" s="74"/>
      <c r="M172" s="74"/>
      <c r="N172" s="2"/>
      <c r="O172" s="2"/>
      <c r="P172" s="2"/>
      <c r="Q172" s="74"/>
      <c r="R172" s="2"/>
      <c r="S172" s="2"/>
      <c r="T172" s="76"/>
      <c r="U172" s="88"/>
    </row>
    <row r="173" ht="15.75" customHeight="1">
      <c r="A173" s="2"/>
      <c r="B173" s="2"/>
      <c r="C173" s="2"/>
      <c r="D173" s="2"/>
      <c r="E173" s="2"/>
      <c r="F173" s="2"/>
      <c r="G173" s="2"/>
      <c r="H173" s="2"/>
      <c r="I173" s="2"/>
      <c r="J173" s="74"/>
      <c r="K173" s="74"/>
      <c r="L173" s="74"/>
      <c r="M173" s="74"/>
      <c r="N173" s="2"/>
      <c r="O173" s="2"/>
      <c r="P173" s="2"/>
      <c r="Q173" s="74"/>
      <c r="R173" s="2"/>
      <c r="S173" s="2"/>
      <c r="T173" s="76"/>
      <c r="U173" s="88"/>
    </row>
    <row r="174" ht="15.75" customHeight="1">
      <c r="A174" s="2"/>
      <c r="B174" s="2"/>
      <c r="C174" s="2"/>
      <c r="D174" s="2"/>
      <c r="E174" s="2"/>
      <c r="F174" s="2"/>
      <c r="G174" s="2"/>
      <c r="H174" s="2"/>
      <c r="I174" s="2"/>
      <c r="J174" s="74"/>
      <c r="K174" s="74"/>
      <c r="L174" s="74"/>
      <c r="M174" s="74"/>
      <c r="N174" s="2"/>
      <c r="O174" s="2"/>
      <c r="P174" s="2"/>
      <c r="Q174" s="74"/>
      <c r="R174" s="2"/>
      <c r="S174" s="2"/>
      <c r="T174" s="76"/>
      <c r="U174" s="88"/>
    </row>
    <row r="175" ht="15.75" customHeight="1">
      <c r="A175" s="2"/>
      <c r="B175" s="2"/>
      <c r="C175" s="2"/>
      <c r="D175" s="2"/>
      <c r="E175" s="2"/>
      <c r="F175" s="2"/>
      <c r="G175" s="2"/>
      <c r="H175" s="2"/>
      <c r="I175" s="2"/>
      <c r="J175" s="74"/>
      <c r="K175" s="74"/>
      <c r="L175" s="74"/>
      <c r="M175" s="74"/>
      <c r="N175" s="2"/>
      <c r="O175" s="2"/>
      <c r="P175" s="2"/>
      <c r="Q175" s="74"/>
      <c r="R175" s="2"/>
      <c r="S175" s="2"/>
      <c r="T175" s="76"/>
      <c r="U175" s="88"/>
    </row>
    <row r="176" ht="15.75" customHeight="1">
      <c r="A176" s="2"/>
      <c r="B176" s="2"/>
      <c r="C176" s="2"/>
      <c r="D176" s="2"/>
      <c r="E176" s="2"/>
      <c r="F176" s="2"/>
      <c r="G176" s="2"/>
      <c r="H176" s="2"/>
      <c r="I176" s="2"/>
      <c r="J176" s="74"/>
      <c r="K176" s="74"/>
      <c r="L176" s="74"/>
      <c r="M176" s="74"/>
      <c r="N176" s="2"/>
      <c r="O176" s="2"/>
      <c r="P176" s="2"/>
      <c r="Q176" s="74"/>
      <c r="R176" s="2"/>
      <c r="S176" s="2"/>
      <c r="T176" s="76"/>
      <c r="U176" s="88"/>
    </row>
    <row r="177" ht="15.75" customHeight="1">
      <c r="A177" s="2"/>
      <c r="B177" s="2"/>
      <c r="C177" s="2"/>
      <c r="D177" s="2"/>
      <c r="E177" s="2"/>
      <c r="F177" s="2"/>
      <c r="G177" s="2"/>
      <c r="H177" s="2"/>
      <c r="I177" s="2"/>
      <c r="J177" s="74"/>
      <c r="K177" s="74"/>
      <c r="L177" s="74"/>
      <c r="M177" s="74"/>
      <c r="N177" s="2"/>
      <c r="O177" s="2"/>
      <c r="P177" s="2"/>
      <c r="Q177" s="74"/>
      <c r="R177" s="2"/>
      <c r="S177" s="2"/>
      <c r="T177" s="76"/>
      <c r="U177" s="88"/>
    </row>
    <row r="178" ht="15.75" customHeight="1">
      <c r="A178" s="2"/>
      <c r="B178" s="2"/>
      <c r="C178" s="2"/>
      <c r="D178" s="2"/>
      <c r="E178" s="2"/>
      <c r="F178" s="2"/>
      <c r="G178" s="2"/>
      <c r="H178" s="2"/>
      <c r="I178" s="2"/>
      <c r="J178" s="74"/>
      <c r="K178" s="74"/>
      <c r="L178" s="74"/>
      <c r="M178" s="74"/>
      <c r="N178" s="2"/>
      <c r="O178" s="2"/>
      <c r="P178" s="2"/>
      <c r="Q178" s="74"/>
      <c r="R178" s="2"/>
      <c r="S178" s="2"/>
      <c r="T178" s="76"/>
      <c r="U178" s="88"/>
    </row>
    <row r="179" ht="15.75" customHeight="1">
      <c r="A179" s="2"/>
      <c r="B179" s="2"/>
      <c r="C179" s="2"/>
      <c r="D179" s="2"/>
      <c r="E179" s="2"/>
      <c r="F179" s="2"/>
      <c r="G179" s="2"/>
      <c r="H179" s="2"/>
      <c r="I179" s="2"/>
      <c r="J179" s="74"/>
      <c r="K179" s="74"/>
      <c r="L179" s="74"/>
      <c r="M179" s="74"/>
      <c r="N179" s="2"/>
      <c r="O179" s="2"/>
      <c r="P179" s="2"/>
      <c r="Q179" s="74"/>
      <c r="R179" s="2"/>
      <c r="S179" s="2"/>
      <c r="T179" s="76"/>
      <c r="U179" s="88"/>
    </row>
    <row r="180" ht="15.75" customHeight="1">
      <c r="A180" s="2"/>
      <c r="B180" s="2"/>
      <c r="C180" s="2"/>
      <c r="D180" s="2"/>
      <c r="E180" s="2"/>
      <c r="F180" s="2"/>
      <c r="G180" s="2"/>
      <c r="H180" s="2"/>
      <c r="I180" s="2"/>
      <c r="J180" s="74"/>
      <c r="K180" s="74"/>
      <c r="L180" s="74"/>
      <c r="M180" s="74"/>
      <c r="N180" s="2"/>
      <c r="O180" s="2"/>
      <c r="P180" s="2"/>
      <c r="Q180" s="74"/>
      <c r="R180" s="2"/>
      <c r="S180" s="2"/>
      <c r="T180" s="76"/>
      <c r="U180" s="88"/>
    </row>
    <row r="181" ht="15.75" customHeight="1">
      <c r="A181" s="2"/>
      <c r="B181" s="2"/>
      <c r="C181" s="2"/>
      <c r="D181" s="2"/>
      <c r="E181" s="2"/>
      <c r="F181" s="2"/>
      <c r="G181" s="2"/>
      <c r="H181" s="2"/>
      <c r="I181" s="2"/>
      <c r="J181" s="74"/>
      <c r="K181" s="74"/>
      <c r="L181" s="74"/>
      <c r="M181" s="74"/>
      <c r="N181" s="2"/>
      <c r="O181" s="2"/>
      <c r="P181" s="2"/>
      <c r="Q181" s="74"/>
      <c r="R181" s="2"/>
      <c r="S181" s="2"/>
      <c r="T181" s="76"/>
      <c r="U181" s="88"/>
    </row>
    <row r="182" ht="15.75" customHeight="1">
      <c r="A182" s="2"/>
      <c r="B182" s="2"/>
      <c r="C182" s="2"/>
      <c r="D182" s="2"/>
      <c r="E182" s="2"/>
      <c r="F182" s="2"/>
      <c r="G182" s="2"/>
      <c r="H182" s="2"/>
      <c r="I182" s="2"/>
      <c r="J182" s="74"/>
      <c r="K182" s="74"/>
      <c r="L182" s="74"/>
      <c r="M182" s="74"/>
      <c r="N182" s="2"/>
      <c r="O182" s="2"/>
      <c r="P182" s="2"/>
      <c r="Q182" s="74"/>
      <c r="R182" s="2"/>
      <c r="S182" s="2"/>
      <c r="T182" s="76"/>
      <c r="U182" s="88"/>
    </row>
    <row r="183" ht="15.75" customHeight="1">
      <c r="A183" s="2"/>
      <c r="B183" s="2"/>
      <c r="C183" s="2"/>
      <c r="D183" s="2"/>
      <c r="E183" s="2"/>
      <c r="F183" s="2"/>
      <c r="G183" s="2"/>
      <c r="H183" s="2"/>
      <c r="I183" s="2"/>
      <c r="J183" s="74"/>
      <c r="K183" s="74"/>
      <c r="L183" s="74"/>
      <c r="M183" s="74"/>
      <c r="N183" s="2"/>
      <c r="O183" s="2"/>
      <c r="P183" s="2"/>
      <c r="Q183" s="74"/>
      <c r="R183" s="2"/>
      <c r="S183" s="2"/>
      <c r="T183" s="76"/>
      <c r="U183" s="88"/>
    </row>
    <row r="184" ht="15.75" customHeight="1">
      <c r="A184" s="2"/>
      <c r="B184" s="2"/>
      <c r="C184" s="2"/>
      <c r="D184" s="2"/>
      <c r="E184" s="2"/>
      <c r="F184" s="2"/>
      <c r="G184" s="2"/>
      <c r="H184" s="2"/>
      <c r="I184" s="2"/>
      <c r="J184" s="74"/>
      <c r="K184" s="74"/>
      <c r="L184" s="74"/>
      <c r="M184" s="74"/>
      <c r="N184" s="2"/>
      <c r="O184" s="2"/>
      <c r="P184" s="2"/>
      <c r="Q184" s="74"/>
      <c r="R184" s="2"/>
      <c r="S184" s="2"/>
      <c r="T184" s="76"/>
      <c r="U184" s="88"/>
    </row>
    <row r="185" ht="15.75" customHeight="1">
      <c r="A185" s="2"/>
      <c r="B185" s="2"/>
      <c r="C185" s="2"/>
      <c r="D185" s="2"/>
      <c r="E185" s="2"/>
      <c r="F185" s="2"/>
      <c r="G185" s="2"/>
      <c r="H185" s="2"/>
      <c r="I185" s="2"/>
      <c r="J185" s="74"/>
      <c r="K185" s="74"/>
      <c r="L185" s="74"/>
      <c r="M185" s="74"/>
      <c r="N185" s="2"/>
      <c r="O185" s="2"/>
      <c r="P185" s="2"/>
      <c r="Q185" s="74"/>
      <c r="R185" s="2"/>
      <c r="S185" s="2"/>
      <c r="T185" s="76"/>
      <c r="U185" s="88"/>
    </row>
    <row r="186" ht="15.75" customHeight="1">
      <c r="A186" s="2"/>
      <c r="B186" s="2"/>
      <c r="C186" s="2"/>
      <c r="D186" s="2"/>
      <c r="E186" s="2"/>
      <c r="F186" s="2"/>
      <c r="G186" s="2"/>
      <c r="H186" s="2"/>
      <c r="I186" s="2"/>
      <c r="J186" s="74"/>
      <c r="K186" s="74"/>
      <c r="L186" s="74"/>
      <c r="M186" s="74"/>
      <c r="N186" s="2"/>
      <c r="O186" s="2"/>
      <c r="P186" s="2"/>
      <c r="Q186" s="74"/>
      <c r="R186" s="2"/>
      <c r="S186" s="2"/>
      <c r="T186" s="76"/>
      <c r="U186" s="88"/>
    </row>
    <row r="187" ht="15.75" customHeight="1">
      <c r="A187" s="2"/>
      <c r="B187" s="2"/>
      <c r="C187" s="2"/>
      <c r="D187" s="2"/>
      <c r="E187" s="2"/>
      <c r="F187" s="2"/>
      <c r="G187" s="2"/>
      <c r="H187" s="2"/>
      <c r="I187" s="2"/>
      <c r="J187" s="74"/>
      <c r="K187" s="74"/>
      <c r="L187" s="74"/>
      <c r="M187" s="74"/>
      <c r="N187" s="2"/>
      <c r="O187" s="2"/>
      <c r="P187" s="2"/>
      <c r="Q187" s="74"/>
      <c r="R187" s="2"/>
      <c r="S187" s="2"/>
      <c r="T187" s="76"/>
      <c r="U187" s="88"/>
    </row>
    <row r="188" ht="15.75" customHeight="1">
      <c r="A188" s="2"/>
      <c r="B188" s="2"/>
      <c r="C188" s="2"/>
      <c r="D188" s="2"/>
      <c r="E188" s="2"/>
      <c r="F188" s="2"/>
      <c r="G188" s="2"/>
      <c r="H188" s="2"/>
      <c r="I188" s="2"/>
      <c r="J188" s="74"/>
      <c r="K188" s="74"/>
      <c r="L188" s="74"/>
      <c r="M188" s="74"/>
      <c r="N188" s="2"/>
      <c r="O188" s="2"/>
      <c r="P188" s="2"/>
      <c r="Q188" s="74"/>
      <c r="R188" s="2"/>
      <c r="S188" s="2"/>
      <c r="T188" s="76"/>
      <c r="U188" s="88"/>
    </row>
    <row r="189" ht="15.75" customHeight="1">
      <c r="A189" s="2"/>
      <c r="B189" s="2"/>
      <c r="C189" s="2"/>
      <c r="D189" s="2"/>
      <c r="E189" s="2"/>
      <c r="F189" s="2"/>
      <c r="G189" s="2"/>
      <c r="H189" s="2"/>
      <c r="I189" s="2"/>
      <c r="J189" s="74"/>
      <c r="K189" s="74"/>
      <c r="L189" s="74"/>
      <c r="M189" s="74"/>
      <c r="N189" s="2"/>
      <c r="O189" s="2"/>
      <c r="P189" s="2"/>
      <c r="Q189" s="74"/>
      <c r="R189" s="2"/>
      <c r="S189" s="2"/>
      <c r="T189" s="76"/>
      <c r="U189" s="88"/>
    </row>
    <row r="190" ht="15.75" customHeight="1">
      <c r="A190" s="2"/>
      <c r="B190" s="2"/>
      <c r="C190" s="2"/>
      <c r="D190" s="2"/>
      <c r="E190" s="2"/>
      <c r="F190" s="2"/>
      <c r="G190" s="2"/>
      <c r="H190" s="2"/>
      <c r="I190" s="2"/>
      <c r="J190" s="74"/>
      <c r="K190" s="74"/>
      <c r="L190" s="74"/>
      <c r="M190" s="74"/>
      <c r="N190" s="2"/>
      <c r="O190" s="2"/>
      <c r="P190" s="2"/>
      <c r="Q190" s="74"/>
      <c r="R190" s="2"/>
      <c r="S190" s="2"/>
      <c r="T190" s="76"/>
      <c r="U190" s="88"/>
    </row>
    <row r="191" ht="15.75" customHeight="1">
      <c r="A191" s="2"/>
      <c r="B191" s="2"/>
      <c r="C191" s="2"/>
      <c r="D191" s="2"/>
      <c r="E191" s="2"/>
      <c r="F191" s="2"/>
      <c r="G191" s="2"/>
      <c r="H191" s="2"/>
      <c r="I191" s="2"/>
      <c r="J191" s="74"/>
      <c r="K191" s="74"/>
      <c r="L191" s="74"/>
      <c r="M191" s="74"/>
      <c r="N191" s="2"/>
      <c r="O191" s="2"/>
      <c r="P191" s="2"/>
      <c r="Q191" s="74"/>
      <c r="R191" s="2"/>
      <c r="S191" s="2"/>
      <c r="T191" s="76"/>
      <c r="U191" s="88"/>
    </row>
    <row r="192" ht="15.75" customHeight="1">
      <c r="A192" s="2"/>
      <c r="B192" s="2"/>
      <c r="C192" s="2"/>
      <c r="D192" s="2"/>
      <c r="E192" s="2"/>
      <c r="F192" s="2"/>
      <c r="G192" s="2"/>
      <c r="H192" s="2"/>
      <c r="I192" s="2"/>
      <c r="J192" s="74"/>
      <c r="K192" s="74"/>
      <c r="L192" s="74"/>
      <c r="M192" s="74"/>
      <c r="N192" s="2"/>
      <c r="O192" s="2"/>
      <c r="P192" s="2"/>
      <c r="Q192" s="74"/>
      <c r="R192" s="2"/>
      <c r="S192" s="2"/>
      <c r="T192" s="76"/>
      <c r="U192" s="88"/>
    </row>
    <row r="193" ht="15.75" customHeight="1">
      <c r="A193" s="2"/>
      <c r="B193" s="2"/>
      <c r="C193" s="2"/>
      <c r="D193" s="2"/>
      <c r="E193" s="2"/>
      <c r="F193" s="2"/>
      <c r="G193" s="2"/>
      <c r="H193" s="2"/>
      <c r="I193" s="2"/>
      <c r="J193" s="74"/>
      <c r="K193" s="74"/>
      <c r="L193" s="74"/>
      <c r="M193" s="74"/>
      <c r="N193" s="2"/>
      <c r="O193" s="2"/>
      <c r="P193" s="2"/>
      <c r="Q193" s="74"/>
      <c r="R193" s="2"/>
      <c r="S193" s="2"/>
      <c r="T193" s="76"/>
      <c r="U193" s="88"/>
    </row>
    <row r="194" ht="15.75" customHeight="1">
      <c r="A194" s="2"/>
      <c r="B194" s="2"/>
      <c r="C194" s="2"/>
      <c r="D194" s="2"/>
      <c r="E194" s="2"/>
      <c r="F194" s="2"/>
      <c r="G194" s="2"/>
      <c r="H194" s="2"/>
      <c r="I194" s="2"/>
      <c r="J194" s="74"/>
      <c r="K194" s="74"/>
      <c r="L194" s="74"/>
      <c r="M194" s="74"/>
      <c r="N194" s="2"/>
      <c r="O194" s="2"/>
      <c r="P194" s="2"/>
      <c r="Q194" s="74"/>
      <c r="R194" s="2"/>
      <c r="S194" s="2"/>
      <c r="T194" s="76"/>
      <c r="U194" s="88"/>
    </row>
    <row r="195" ht="15.75" customHeight="1">
      <c r="A195" s="2"/>
      <c r="B195" s="2"/>
      <c r="C195" s="2"/>
      <c r="D195" s="2"/>
      <c r="E195" s="2"/>
      <c r="F195" s="2"/>
      <c r="G195" s="2"/>
      <c r="H195" s="2"/>
      <c r="I195" s="2"/>
      <c r="J195" s="74"/>
      <c r="K195" s="74"/>
      <c r="L195" s="74"/>
      <c r="M195" s="74"/>
      <c r="N195" s="2"/>
      <c r="O195" s="2"/>
      <c r="P195" s="2"/>
      <c r="Q195" s="74"/>
      <c r="R195" s="2"/>
      <c r="S195" s="2"/>
      <c r="T195" s="76"/>
      <c r="U195" s="88"/>
    </row>
    <row r="196" ht="15.75" customHeight="1">
      <c r="A196" s="2"/>
      <c r="B196" s="2"/>
      <c r="C196" s="2"/>
      <c r="D196" s="2"/>
      <c r="E196" s="2"/>
      <c r="F196" s="2"/>
      <c r="G196" s="2"/>
      <c r="H196" s="2"/>
      <c r="I196" s="2"/>
      <c r="J196" s="74"/>
      <c r="K196" s="74"/>
      <c r="L196" s="74"/>
      <c r="M196" s="74"/>
      <c r="N196" s="2"/>
      <c r="O196" s="2"/>
      <c r="P196" s="2"/>
      <c r="Q196" s="74"/>
      <c r="R196" s="2"/>
      <c r="S196" s="2"/>
      <c r="T196" s="76"/>
      <c r="U196" s="88"/>
    </row>
    <row r="197" ht="15.75" customHeight="1">
      <c r="A197" s="2"/>
      <c r="B197" s="2"/>
      <c r="C197" s="2"/>
      <c r="D197" s="2"/>
      <c r="E197" s="2"/>
      <c r="F197" s="2"/>
      <c r="G197" s="2"/>
      <c r="H197" s="2"/>
      <c r="I197" s="2"/>
      <c r="J197" s="74"/>
      <c r="K197" s="74"/>
      <c r="L197" s="74"/>
      <c r="M197" s="74"/>
      <c r="N197" s="2"/>
      <c r="O197" s="2"/>
      <c r="P197" s="2"/>
      <c r="Q197" s="74"/>
      <c r="R197" s="2"/>
      <c r="S197" s="2"/>
      <c r="T197" s="76"/>
      <c r="U197" s="88"/>
    </row>
    <row r="198" ht="15.75" customHeight="1">
      <c r="A198" s="2"/>
      <c r="B198" s="2"/>
      <c r="C198" s="2"/>
      <c r="D198" s="2"/>
      <c r="E198" s="2"/>
      <c r="F198" s="2"/>
      <c r="G198" s="2"/>
      <c r="H198" s="2"/>
      <c r="I198" s="2"/>
      <c r="J198" s="74"/>
      <c r="K198" s="74"/>
      <c r="L198" s="74"/>
      <c r="M198" s="74"/>
      <c r="N198" s="2"/>
      <c r="O198" s="2"/>
      <c r="P198" s="2"/>
      <c r="Q198" s="74"/>
      <c r="R198" s="2"/>
      <c r="S198" s="2"/>
      <c r="T198" s="76"/>
      <c r="U198" s="88"/>
    </row>
    <row r="199" ht="15.75" customHeight="1">
      <c r="A199" s="2"/>
      <c r="B199" s="2"/>
      <c r="C199" s="2"/>
      <c r="D199" s="2"/>
      <c r="E199" s="2"/>
      <c r="F199" s="2"/>
      <c r="G199" s="2"/>
      <c r="H199" s="2"/>
      <c r="I199" s="2"/>
      <c r="J199" s="74"/>
      <c r="K199" s="74"/>
      <c r="L199" s="74"/>
      <c r="M199" s="74"/>
      <c r="N199" s="2"/>
      <c r="O199" s="2"/>
      <c r="P199" s="2"/>
      <c r="Q199" s="74"/>
      <c r="R199" s="2"/>
      <c r="S199" s="2"/>
      <c r="T199" s="76"/>
      <c r="U199" s="88"/>
    </row>
    <row r="200" ht="15.75" customHeight="1">
      <c r="A200" s="2"/>
      <c r="B200" s="2"/>
      <c r="C200" s="2"/>
      <c r="D200" s="2"/>
      <c r="E200" s="2"/>
      <c r="F200" s="2"/>
      <c r="G200" s="2"/>
      <c r="H200" s="2"/>
      <c r="I200" s="2"/>
      <c r="J200" s="74"/>
      <c r="K200" s="74"/>
      <c r="L200" s="74"/>
      <c r="M200" s="74"/>
      <c r="N200" s="2"/>
      <c r="O200" s="2"/>
      <c r="P200" s="2"/>
      <c r="Q200" s="74"/>
      <c r="R200" s="2"/>
      <c r="S200" s="2"/>
      <c r="T200" s="76"/>
      <c r="U200" s="88"/>
    </row>
    <row r="201" ht="15.75" customHeight="1">
      <c r="A201" s="2"/>
      <c r="B201" s="2"/>
      <c r="C201" s="2"/>
      <c r="D201" s="2"/>
      <c r="E201" s="2"/>
      <c r="F201" s="2"/>
      <c r="G201" s="2"/>
      <c r="H201" s="2"/>
      <c r="I201" s="2"/>
      <c r="J201" s="74"/>
      <c r="K201" s="74"/>
      <c r="L201" s="74"/>
      <c r="M201" s="74"/>
      <c r="N201" s="2"/>
      <c r="O201" s="2"/>
      <c r="P201" s="2"/>
      <c r="Q201" s="74"/>
      <c r="R201" s="2"/>
      <c r="S201" s="2"/>
      <c r="T201" s="76"/>
      <c r="U201" s="88"/>
    </row>
    <row r="202" ht="15.75" customHeight="1">
      <c r="A202" s="2"/>
      <c r="B202" s="2"/>
      <c r="C202" s="2"/>
      <c r="D202" s="2"/>
      <c r="E202" s="2"/>
      <c r="F202" s="2"/>
      <c r="G202" s="2"/>
      <c r="H202" s="2"/>
      <c r="I202" s="2"/>
      <c r="J202" s="74"/>
      <c r="K202" s="74"/>
      <c r="L202" s="74"/>
      <c r="M202" s="74"/>
      <c r="N202" s="2"/>
      <c r="O202" s="2"/>
      <c r="P202" s="2"/>
      <c r="Q202" s="74"/>
      <c r="R202" s="2"/>
      <c r="S202" s="2"/>
      <c r="T202" s="76"/>
      <c r="U202" s="88"/>
    </row>
    <row r="203" ht="15.75" customHeight="1">
      <c r="A203" s="2"/>
      <c r="B203" s="2"/>
      <c r="C203" s="2"/>
      <c r="D203" s="2"/>
      <c r="E203" s="2"/>
      <c r="F203" s="2"/>
      <c r="G203" s="2"/>
      <c r="H203" s="2"/>
      <c r="I203" s="2"/>
      <c r="J203" s="74"/>
      <c r="K203" s="74"/>
      <c r="L203" s="74"/>
      <c r="M203" s="74"/>
      <c r="N203" s="2"/>
      <c r="O203" s="2"/>
      <c r="P203" s="2"/>
      <c r="Q203" s="74"/>
      <c r="R203" s="2"/>
      <c r="S203" s="2"/>
      <c r="T203" s="76"/>
      <c r="U203" s="88"/>
    </row>
    <row r="204" ht="15.75" customHeight="1">
      <c r="A204" s="2"/>
      <c r="B204" s="2"/>
      <c r="C204" s="2"/>
      <c r="D204" s="2"/>
      <c r="E204" s="2"/>
      <c r="F204" s="2"/>
      <c r="G204" s="2"/>
      <c r="H204" s="2"/>
      <c r="I204" s="2"/>
      <c r="J204" s="74"/>
      <c r="K204" s="74"/>
      <c r="L204" s="74"/>
      <c r="M204" s="74"/>
      <c r="N204" s="2"/>
      <c r="O204" s="2"/>
      <c r="P204" s="2"/>
      <c r="Q204" s="74"/>
      <c r="R204" s="2"/>
      <c r="S204" s="2"/>
      <c r="T204" s="76"/>
      <c r="U204" s="88"/>
    </row>
    <row r="205" ht="15.75" customHeight="1">
      <c r="A205" s="2"/>
      <c r="B205" s="2"/>
      <c r="C205" s="2"/>
      <c r="D205" s="2"/>
      <c r="E205" s="2"/>
      <c r="F205" s="2"/>
      <c r="G205" s="2"/>
      <c r="H205" s="2"/>
      <c r="I205" s="2"/>
      <c r="J205" s="74"/>
      <c r="K205" s="74"/>
      <c r="L205" s="74"/>
      <c r="M205" s="74"/>
      <c r="N205" s="2"/>
      <c r="O205" s="2"/>
      <c r="P205" s="2"/>
      <c r="Q205" s="74"/>
      <c r="R205" s="2"/>
      <c r="S205" s="2"/>
      <c r="T205" s="76"/>
      <c r="U205" s="88"/>
    </row>
    <row r="206" ht="15.75" customHeight="1">
      <c r="A206" s="2"/>
      <c r="B206" s="2"/>
      <c r="C206" s="2"/>
      <c r="D206" s="2"/>
      <c r="E206" s="2"/>
      <c r="F206" s="2"/>
      <c r="G206" s="2"/>
      <c r="H206" s="2"/>
      <c r="I206" s="2"/>
      <c r="J206" s="74"/>
      <c r="K206" s="74"/>
      <c r="L206" s="74"/>
      <c r="M206" s="74"/>
      <c r="N206" s="2"/>
      <c r="O206" s="2"/>
      <c r="P206" s="2"/>
      <c r="Q206" s="74"/>
      <c r="R206" s="2"/>
      <c r="S206" s="2"/>
      <c r="T206" s="76"/>
      <c r="U206" s="88"/>
    </row>
    <row r="207" ht="15.75" customHeight="1">
      <c r="A207" s="2"/>
      <c r="B207" s="2"/>
      <c r="C207" s="2"/>
      <c r="D207" s="2"/>
      <c r="E207" s="2"/>
      <c r="F207" s="2"/>
      <c r="G207" s="2"/>
      <c r="H207" s="2"/>
      <c r="I207" s="2"/>
      <c r="J207" s="74"/>
      <c r="K207" s="74"/>
      <c r="L207" s="74"/>
      <c r="M207" s="74"/>
      <c r="N207" s="2"/>
      <c r="O207" s="2"/>
      <c r="P207" s="2"/>
      <c r="Q207" s="74"/>
      <c r="R207" s="2"/>
      <c r="S207" s="2"/>
      <c r="T207" s="76"/>
      <c r="U207" s="88"/>
    </row>
    <row r="208" ht="15.75" customHeight="1">
      <c r="A208" s="2"/>
      <c r="B208" s="2"/>
      <c r="C208" s="2"/>
      <c r="D208" s="2"/>
      <c r="E208" s="2"/>
      <c r="F208" s="2"/>
      <c r="G208" s="2"/>
      <c r="H208" s="2"/>
      <c r="I208" s="2"/>
      <c r="J208" s="74"/>
      <c r="K208" s="74"/>
      <c r="L208" s="74"/>
      <c r="M208" s="74"/>
      <c r="N208" s="2"/>
      <c r="O208" s="2"/>
      <c r="P208" s="2"/>
      <c r="Q208" s="74"/>
      <c r="R208" s="2"/>
      <c r="S208" s="2"/>
      <c r="T208" s="76"/>
      <c r="U208" s="88"/>
    </row>
    <row r="209" ht="15.75" customHeight="1">
      <c r="A209" s="2"/>
      <c r="B209" s="2"/>
      <c r="C209" s="2"/>
      <c r="D209" s="2"/>
      <c r="E209" s="2"/>
      <c r="F209" s="2"/>
      <c r="G209" s="2"/>
      <c r="H209" s="2"/>
      <c r="I209" s="2"/>
      <c r="J209" s="74"/>
      <c r="K209" s="74"/>
      <c r="L209" s="74"/>
      <c r="M209" s="74"/>
      <c r="N209" s="2"/>
      <c r="O209" s="2"/>
      <c r="P209" s="2"/>
      <c r="Q209" s="74"/>
      <c r="R209" s="2"/>
      <c r="S209" s="2"/>
      <c r="T209" s="76"/>
      <c r="U209" s="88"/>
    </row>
    <row r="210" ht="15.75" customHeight="1">
      <c r="A210" s="2"/>
      <c r="B210" s="2"/>
      <c r="C210" s="2"/>
      <c r="D210" s="2"/>
      <c r="E210" s="2"/>
      <c r="F210" s="2"/>
      <c r="G210" s="2"/>
      <c r="H210" s="2"/>
      <c r="I210" s="2"/>
      <c r="J210" s="74"/>
      <c r="K210" s="74"/>
      <c r="L210" s="74"/>
      <c r="M210" s="74"/>
      <c r="N210" s="2"/>
      <c r="O210" s="2"/>
      <c r="P210" s="2"/>
      <c r="Q210" s="74"/>
      <c r="R210" s="2"/>
      <c r="S210" s="2"/>
      <c r="T210" s="76"/>
      <c r="U210" s="88"/>
    </row>
    <row r="211" ht="15.75" customHeight="1">
      <c r="A211" s="2"/>
      <c r="B211" s="2"/>
      <c r="C211" s="2"/>
      <c r="D211" s="2"/>
      <c r="E211" s="2"/>
      <c r="F211" s="2"/>
      <c r="G211" s="2"/>
      <c r="H211" s="2"/>
      <c r="I211" s="2"/>
      <c r="J211" s="74"/>
      <c r="K211" s="74"/>
      <c r="L211" s="74"/>
      <c r="M211" s="74"/>
      <c r="N211" s="2"/>
      <c r="O211" s="2"/>
      <c r="P211" s="2"/>
      <c r="Q211" s="74"/>
      <c r="R211" s="2"/>
      <c r="S211" s="2"/>
      <c r="T211" s="76"/>
      <c r="U211" s="88"/>
    </row>
    <row r="212" ht="15.75" customHeight="1">
      <c r="A212" s="2"/>
      <c r="B212" s="2"/>
      <c r="C212" s="2"/>
      <c r="D212" s="2"/>
      <c r="E212" s="2"/>
      <c r="F212" s="2"/>
      <c r="G212" s="2"/>
      <c r="H212" s="2"/>
      <c r="I212" s="2"/>
      <c r="J212" s="74"/>
      <c r="K212" s="74"/>
      <c r="L212" s="74"/>
      <c r="M212" s="74"/>
      <c r="N212" s="2"/>
      <c r="O212" s="2"/>
      <c r="P212" s="2"/>
      <c r="Q212" s="74"/>
      <c r="R212" s="2"/>
      <c r="S212" s="2"/>
      <c r="T212" s="76"/>
      <c r="U212" s="88"/>
    </row>
    <row r="213" ht="15.75" customHeight="1">
      <c r="A213" s="2"/>
      <c r="B213" s="2"/>
      <c r="C213" s="2"/>
      <c r="D213" s="2"/>
      <c r="E213" s="2"/>
      <c r="F213" s="2"/>
      <c r="G213" s="2"/>
      <c r="H213" s="2"/>
      <c r="I213" s="2"/>
      <c r="J213" s="74"/>
      <c r="K213" s="74"/>
      <c r="L213" s="74"/>
      <c r="M213" s="74"/>
      <c r="N213" s="2"/>
      <c r="O213" s="2"/>
      <c r="P213" s="2"/>
      <c r="Q213" s="74"/>
      <c r="R213" s="2"/>
      <c r="S213" s="2"/>
      <c r="T213" s="76"/>
      <c r="U213" s="88"/>
    </row>
    <row r="214" ht="15.75" customHeight="1">
      <c r="A214" s="2"/>
      <c r="B214" s="2"/>
      <c r="C214" s="2"/>
      <c r="D214" s="2"/>
      <c r="E214" s="2"/>
      <c r="F214" s="2"/>
      <c r="G214" s="2"/>
      <c r="H214" s="2"/>
      <c r="I214" s="2"/>
      <c r="J214" s="74"/>
      <c r="K214" s="74"/>
      <c r="L214" s="74"/>
      <c r="M214" s="74"/>
      <c r="N214" s="2"/>
      <c r="O214" s="2"/>
      <c r="P214" s="2"/>
      <c r="Q214" s="74"/>
      <c r="R214" s="2"/>
      <c r="S214" s="2"/>
      <c r="T214" s="76"/>
      <c r="U214" s="88"/>
    </row>
    <row r="215" ht="15.75" customHeight="1">
      <c r="A215" s="2"/>
      <c r="B215" s="2"/>
      <c r="C215" s="2"/>
      <c r="D215" s="2"/>
      <c r="E215" s="2"/>
      <c r="F215" s="2"/>
      <c r="G215" s="2"/>
      <c r="H215" s="2"/>
      <c r="I215" s="2"/>
      <c r="J215" s="74"/>
      <c r="K215" s="74"/>
      <c r="L215" s="74"/>
      <c r="M215" s="74"/>
      <c r="N215" s="2"/>
      <c r="O215" s="2"/>
      <c r="P215" s="2"/>
      <c r="Q215" s="74"/>
      <c r="R215" s="2"/>
      <c r="S215" s="2"/>
      <c r="T215" s="76"/>
      <c r="U215" s="88"/>
    </row>
    <row r="216" ht="15.75" customHeight="1">
      <c r="A216" s="2"/>
      <c r="B216" s="2"/>
      <c r="C216" s="2"/>
      <c r="D216" s="2"/>
      <c r="E216" s="2"/>
      <c r="F216" s="2"/>
      <c r="G216" s="2"/>
      <c r="H216" s="2"/>
      <c r="I216" s="2"/>
      <c r="J216" s="74"/>
      <c r="K216" s="74"/>
      <c r="L216" s="74"/>
      <c r="M216" s="74"/>
      <c r="N216" s="2"/>
      <c r="O216" s="2"/>
      <c r="P216" s="2"/>
      <c r="Q216" s="74"/>
      <c r="R216" s="2"/>
      <c r="S216" s="2"/>
      <c r="T216" s="76"/>
      <c r="U216" s="88"/>
    </row>
    <row r="217" ht="15.75" customHeight="1">
      <c r="A217" s="2"/>
      <c r="B217" s="2"/>
      <c r="C217" s="2"/>
      <c r="D217" s="2"/>
      <c r="E217" s="2"/>
      <c r="F217" s="2"/>
      <c r="G217" s="2"/>
      <c r="H217" s="2"/>
      <c r="I217" s="2"/>
      <c r="J217" s="74"/>
      <c r="K217" s="74"/>
      <c r="L217" s="74"/>
      <c r="M217" s="74"/>
      <c r="N217" s="2"/>
      <c r="O217" s="2"/>
      <c r="P217" s="2"/>
      <c r="Q217" s="74"/>
      <c r="R217" s="2"/>
      <c r="S217" s="2"/>
      <c r="T217" s="76"/>
      <c r="U217" s="88"/>
    </row>
    <row r="218" ht="15.75" customHeight="1">
      <c r="A218" s="2"/>
      <c r="B218" s="2"/>
      <c r="C218" s="2"/>
      <c r="D218" s="2"/>
      <c r="E218" s="2"/>
      <c r="F218" s="2"/>
      <c r="G218" s="2"/>
      <c r="H218" s="2"/>
      <c r="I218" s="2"/>
      <c r="J218" s="74"/>
      <c r="K218" s="74"/>
      <c r="L218" s="74"/>
      <c r="M218" s="74"/>
      <c r="N218" s="2"/>
      <c r="O218" s="2"/>
      <c r="P218" s="2"/>
      <c r="Q218" s="74"/>
      <c r="R218" s="2"/>
      <c r="S218" s="2"/>
      <c r="T218" s="76"/>
      <c r="U218" s="88"/>
    </row>
    <row r="219" ht="15.75" customHeight="1">
      <c r="A219" s="2"/>
      <c r="B219" s="2"/>
      <c r="C219" s="2"/>
      <c r="D219" s="2"/>
      <c r="E219" s="2"/>
      <c r="F219" s="2"/>
      <c r="G219" s="2"/>
      <c r="H219" s="2"/>
      <c r="I219" s="2"/>
      <c r="J219" s="74"/>
      <c r="K219" s="74"/>
      <c r="L219" s="74"/>
      <c r="M219" s="74"/>
      <c r="N219" s="2"/>
      <c r="O219" s="2"/>
      <c r="P219" s="2"/>
      <c r="Q219" s="74"/>
      <c r="R219" s="2"/>
      <c r="S219" s="2"/>
      <c r="T219" s="76"/>
      <c r="U219" s="88"/>
    </row>
    <row r="220" ht="15.75" customHeight="1">
      <c r="A220" s="2"/>
      <c r="B220" s="2"/>
      <c r="C220" s="2"/>
      <c r="D220" s="2"/>
      <c r="E220" s="2"/>
      <c r="F220" s="2"/>
      <c r="G220" s="2"/>
      <c r="H220" s="2"/>
      <c r="I220" s="2"/>
      <c r="J220" s="74"/>
      <c r="K220" s="74"/>
      <c r="L220" s="74"/>
      <c r="M220" s="74"/>
      <c r="N220" s="2"/>
      <c r="O220" s="2"/>
      <c r="P220" s="2"/>
      <c r="Q220" s="74"/>
      <c r="R220" s="2"/>
      <c r="S220" s="2"/>
      <c r="T220" s="76"/>
      <c r="U220" s="88"/>
    </row>
    <row r="221" ht="15.75" customHeight="1">
      <c r="A221" s="2"/>
      <c r="B221" s="2"/>
      <c r="C221" s="2"/>
      <c r="D221" s="2"/>
      <c r="E221" s="2"/>
      <c r="F221" s="2"/>
      <c r="G221" s="2"/>
      <c r="H221" s="2"/>
      <c r="I221" s="2"/>
      <c r="J221" s="74"/>
      <c r="K221" s="74"/>
      <c r="L221" s="74"/>
      <c r="M221" s="74"/>
      <c r="N221" s="2"/>
      <c r="O221" s="2"/>
      <c r="P221" s="2"/>
      <c r="Q221" s="74"/>
      <c r="R221" s="2"/>
      <c r="S221" s="2"/>
      <c r="T221" s="76"/>
      <c r="U221" s="88"/>
    </row>
    <row r="222" ht="15.75" customHeight="1">
      <c r="A222" s="2"/>
      <c r="B222" s="2"/>
      <c r="C222" s="2"/>
      <c r="D222" s="2"/>
      <c r="E222" s="2"/>
      <c r="F222" s="2"/>
      <c r="G222" s="2"/>
      <c r="H222" s="2"/>
      <c r="I222" s="2"/>
      <c r="J222" s="74"/>
      <c r="K222" s="74"/>
      <c r="L222" s="74"/>
      <c r="M222" s="74"/>
      <c r="N222" s="2"/>
      <c r="O222" s="2"/>
      <c r="P222" s="2"/>
      <c r="Q222" s="74"/>
      <c r="R222" s="2"/>
      <c r="S222" s="2"/>
      <c r="T222" s="76"/>
      <c r="U222" s="88"/>
    </row>
    <row r="223" ht="15.75" customHeight="1">
      <c r="A223" s="2"/>
      <c r="B223" s="2"/>
      <c r="C223" s="2"/>
      <c r="D223" s="2"/>
      <c r="E223" s="2"/>
      <c r="F223" s="2"/>
      <c r="G223" s="2"/>
      <c r="H223" s="2"/>
      <c r="I223" s="2"/>
      <c r="J223" s="74"/>
      <c r="K223" s="74"/>
      <c r="L223" s="74"/>
      <c r="M223" s="74"/>
      <c r="N223" s="2"/>
      <c r="O223" s="2"/>
      <c r="P223" s="2"/>
      <c r="Q223" s="74"/>
      <c r="R223" s="2"/>
      <c r="S223" s="2"/>
      <c r="T223" s="76"/>
      <c r="U223" s="88"/>
    </row>
    <row r="224" ht="15.75" customHeight="1">
      <c r="A224" s="2"/>
      <c r="B224" s="2"/>
      <c r="C224" s="2"/>
      <c r="D224" s="2"/>
      <c r="E224" s="2"/>
      <c r="F224" s="2"/>
      <c r="G224" s="2"/>
      <c r="H224" s="2"/>
      <c r="I224" s="2"/>
      <c r="J224" s="74"/>
      <c r="K224" s="74"/>
      <c r="L224" s="74"/>
      <c r="M224" s="74"/>
      <c r="N224" s="2"/>
      <c r="O224" s="2"/>
      <c r="P224" s="2"/>
      <c r="Q224" s="74"/>
      <c r="R224" s="2"/>
      <c r="S224" s="2"/>
      <c r="T224" s="76"/>
      <c r="U224" s="88"/>
    </row>
    <row r="225" ht="15.75" customHeight="1">
      <c r="A225" s="2"/>
      <c r="B225" s="2"/>
      <c r="C225" s="2"/>
      <c r="D225" s="2"/>
      <c r="E225" s="2"/>
      <c r="F225" s="2"/>
      <c r="G225" s="2"/>
      <c r="H225" s="2"/>
      <c r="I225" s="2"/>
      <c r="J225" s="74"/>
      <c r="K225" s="74"/>
      <c r="L225" s="74"/>
      <c r="M225" s="74"/>
      <c r="N225" s="2"/>
      <c r="O225" s="2"/>
      <c r="P225" s="2"/>
      <c r="Q225" s="74"/>
      <c r="R225" s="2"/>
      <c r="S225" s="2"/>
      <c r="T225" s="76"/>
      <c r="U225" s="88"/>
    </row>
    <row r="226" ht="15.75" customHeight="1">
      <c r="A226" s="2"/>
      <c r="B226" s="2"/>
      <c r="C226" s="2"/>
      <c r="D226" s="2"/>
      <c r="E226" s="2"/>
      <c r="F226" s="2"/>
      <c r="G226" s="2"/>
      <c r="H226" s="2"/>
      <c r="I226" s="2"/>
      <c r="J226" s="74"/>
      <c r="K226" s="74"/>
      <c r="L226" s="74"/>
      <c r="M226" s="74"/>
      <c r="N226" s="2"/>
      <c r="O226" s="2"/>
      <c r="P226" s="2"/>
      <c r="Q226" s="74"/>
      <c r="R226" s="2"/>
      <c r="S226" s="2"/>
      <c r="T226" s="76"/>
      <c r="U226" s="88"/>
    </row>
    <row r="227" ht="15.75" customHeight="1">
      <c r="A227" s="2"/>
      <c r="B227" s="2"/>
      <c r="C227" s="2"/>
      <c r="D227" s="2"/>
      <c r="E227" s="2"/>
      <c r="F227" s="2"/>
      <c r="G227" s="2"/>
      <c r="H227" s="2"/>
      <c r="I227" s="2"/>
      <c r="J227" s="74"/>
      <c r="K227" s="74"/>
      <c r="L227" s="74"/>
      <c r="M227" s="74"/>
      <c r="N227" s="2"/>
      <c r="O227" s="2"/>
      <c r="P227" s="2"/>
      <c r="Q227" s="74"/>
      <c r="R227" s="2"/>
      <c r="S227" s="2"/>
      <c r="T227" s="76"/>
      <c r="U227" s="88"/>
    </row>
    <row r="228" ht="15.75" customHeight="1">
      <c r="A228" s="2"/>
      <c r="B228" s="2"/>
      <c r="C228" s="2"/>
      <c r="D228" s="2"/>
      <c r="E228" s="2"/>
      <c r="F228" s="2"/>
      <c r="G228" s="2"/>
      <c r="H228" s="2"/>
      <c r="I228" s="2"/>
      <c r="J228" s="74"/>
      <c r="K228" s="74"/>
      <c r="L228" s="74"/>
      <c r="M228" s="74"/>
      <c r="N228" s="2"/>
      <c r="O228" s="2"/>
      <c r="P228" s="2"/>
      <c r="Q228" s="74"/>
      <c r="R228" s="2"/>
      <c r="S228" s="2"/>
      <c r="T228" s="76"/>
      <c r="U228" s="88"/>
    </row>
    <row r="229" ht="15.75" customHeight="1">
      <c r="A229" s="2"/>
      <c r="B229" s="2"/>
      <c r="C229" s="2"/>
      <c r="D229" s="2"/>
      <c r="E229" s="2"/>
      <c r="F229" s="2"/>
      <c r="G229" s="2"/>
      <c r="H229" s="2"/>
      <c r="I229" s="2"/>
      <c r="J229" s="74"/>
      <c r="K229" s="74"/>
      <c r="L229" s="74"/>
      <c r="M229" s="74"/>
      <c r="N229" s="2"/>
      <c r="O229" s="2"/>
      <c r="P229" s="2"/>
      <c r="Q229" s="74"/>
      <c r="R229" s="2"/>
      <c r="S229" s="2"/>
      <c r="T229" s="76"/>
      <c r="U229" s="88"/>
    </row>
    <row r="230" ht="15.75" customHeight="1">
      <c r="A230" s="2"/>
      <c r="B230" s="2"/>
      <c r="C230" s="2"/>
      <c r="D230" s="2"/>
      <c r="E230" s="2"/>
      <c r="F230" s="2"/>
      <c r="G230" s="2"/>
      <c r="H230" s="2"/>
      <c r="I230" s="2"/>
      <c r="J230" s="74"/>
      <c r="K230" s="74"/>
      <c r="L230" s="74"/>
      <c r="M230" s="74"/>
      <c r="N230" s="2"/>
      <c r="O230" s="2"/>
      <c r="P230" s="2"/>
      <c r="Q230" s="74"/>
      <c r="R230" s="2"/>
      <c r="S230" s="2"/>
      <c r="T230" s="76"/>
      <c r="U230" s="88"/>
    </row>
    <row r="231" ht="15.75" customHeight="1">
      <c r="A231" s="2"/>
      <c r="B231" s="2"/>
      <c r="C231" s="2"/>
      <c r="D231" s="2"/>
      <c r="E231" s="2"/>
      <c r="F231" s="2"/>
      <c r="G231" s="2"/>
      <c r="H231" s="2"/>
      <c r="I231" s="2"/>
      <c r="J231" s="74"/>
      <c r="K231" s="74"/>
      <c r="L231" s="74"/>
      <c r="M231" s="74"/>
      <c r="N231" s="2"/>
      <c r="O231" s="2"/>
      <c r="P231" s="2"/>
      <c r="Q231" s="74"/>
      <c r="R231" s="2"/>
      <c r="S231" s="2"/>
      <c r="T231" s="76"/>
      <c r="U231" s="88"/>
    </row>
    <row r="232" ht="15.75" customHeight="1">
      <c r="A232" s="2"/>
      <c r="B232" s="2"/>
      <c r="C232" s="2"/>
      <c r="D232" s="2"/>
      <c r="E232" s="2"/>
      <c r="F232" s="2"/>
      <c r="G232" s="2"/>
      <c r="H232" s="2"/>
      <c r="I232" s="2"/>
      <c r="J232" s="74"/>
      <c r="K232" s="74"/>
      <c r="L232" s="74"/>
      <c r="M232" s="74"/>
      <c r="N232" s="2"/>
      <c r="O232" s="2"/>
      <c r="P232" s="2"/>
      <c r="Q232" s="74"/>
      <c r="R232" s="2"/>
      <c r="S232" s="2"/>
      <c r="T232" s="76"/>
      <c r="U232" s="88"/>
    </row>
    <row r="233" ht="15.75" customHeight="1">
      <c r="A233" s="2"/>
      <c r="B233" s="2"/>
      <c r="C233" s="2"/>
      <c r="D233" s="2"/>
      <c r="E233" s="2"/>
      <c r="F233" s="2"/>
      <c r="G233" s="2"/>
      <c r="H233" s="2"/>
      <c r="I233" s="2"/>
      <c r="J233" s="74"/>
      <c r="K233" s="74"/>
      <c r="L233" s="74"/>
      <c r="M233" s="74"/>
      <c r="N233" s="2"/>
      <c r="O233" s="2"/>
      <c r="P233" s="2"/>
      <c r="Q233" s="74"/>
      <c r="R233" s="2"/>
      <c r="S233" s="2"/>
      <c r="T233" s="76"/>
      <c r="U233" s="88"/>
    </row>
    <row r="234" ht="15.75" customHeight="1">
      <c r="A234" s="2"/>
      <c r="B234" s="2"/>
      <c r="C234" s="2"/>
      <c r="D234" s="2"/>
      <c r="E234" s="2"/>
      <c r="F234" s="2"/>
      <c r="G234" s="2"/>
      <c r="H234" s="2"/>
      <c r="I234" s="2"/>
      <c r="J234" s="74"/>
      <c r="K234" s="74"/>
      <c r="L234" s="74"/>
      <c r="M234" s="74"/>
      <c r="N234" s="2"/>
      <c r="O234" s="2"/>
      <c r="P234" s="2"/>
      <c r="Q234" s="74"/>
      <c r="R234" s="2"/>
      <c r="S234" s="2"/>
      <c r="T234" s="76"/>
      <c r="U234" s="88"/>
    </row>
    <row r="235" ht="15.75" customHeight="1">
      <c r="A235" s="2"/>
      <c r="B235" s="2"/>
      <c r="C235" s="2"/>
      <c r="D235" s="2"/>
      <c r="E235" s="2"/>
      <c r="F235" s="2"/>
      <c r="G235" s="2"/>
      <c r="H235" s="2"/>
      <c r="I235" s="2"/>
      <c r="J235" s="74"/>
      <c r="K235" s="74"/>
      <c r="L235" s="74"/>
      <c r="M235" s="74"/>
      <c r="N235" s="2"/>
      <c r="O235" s="2"/>
      <c r="P235" s="2"/>
      <c r="Q235" s="74"/>
      <c r="R235" s="2"/>
      <c r="S235" s="2"/>
      <c r="T235" s="76"/>
      <c r="U235" s="88"/>
    </row>
    <row r="236" ht="15.75" customHeight="1">
      <c r="A236" s="2"/>
      <c r="B236" s="2"/>
      <c r="C236" s="2"/>
      <c r="D236" s="2"/>
      <c r="E236" s="2"/>
      <c r="F236" s="2"/>
      <c r="G236" s="2"/>
      <c r="H236" s="2"/>
      <c r="I236" s="2"/>
      <c r="J236" s="74"/>
      <c r="K236" s="74"/>
      <c r="L236" s="74"/>
      <c r="M236" s="74"/>
      <c r="N236" s="2"/>
      <c r="O236" s="2"/>
      <c r="P236" s="2"/>
      <c r="Q236" s="74"/>
      <c r="R236" s="2"/>
      <c r="S236" s="2"/>
      <c r="T236" s="76"/>
      <c r="U236" s="88"/>
    </row>
    <row r="237" ht="15.75" customHeight="1">
      <c r="A237" s="2"/>
      <c r="B237" s="2"/>
      <c r="C237" s="2"/>
      <c r="D237" s="2"/>
      <c r="E237" s="2"/>
      <c r="F237" s="2"/>
      <c r="G237" s="2"/>
      <c r="H237" s="2"/>
      <c r="I237" s="2"/>
      <c r="J237" s="74"/>
      <c r="K237" s="74"/>
      <c r="L237" s="74"/>
      <c r="M237" s="74"/>
      <c r="N237" s="2"/>
      <c r="O237" s="2"/>
      <c r="P237" s="2"/>
      <c r="Q237" s="74"/>
      <c r="R237" s="2"/>
      <c r="S237" s="2"/>
      <c r="T237" s="76"/>
      <c r="U237" s="88"/>
    </row>
    <row r="238" ht="15.75" customHeight="1">
      <c r="A238" s="2"/>
      <c r="B238" s="2"/>
      <c r="C238" s="2"/>
      <c r="D238" s="2"/>
      <c r="E238" s="2"/>
      <c r="F238" s="2"/>
      <c r="G238" s="2"/>
      <c r="H238" s="2"/>
      <c r="I238" s="2"/>
      <c r="J238" s="74"/>
      <c r="K238" s="74"/>
      <c r="L238" s="74"/>
      <c r="M238" s="74"/>
      <c r="N238" s="2"/>
      <c r="O238" s="2"/>
      <c r="P238" s="2"/>
      <c r="Q238" s="74"/>
      <c r="R238" s="2"/>
      <c r="S238" s="2"/>
      <c r="T238" s="76"/>
      <c r="U238" s="88"/>
    </row>
    <row r="239" ht="15.75" customHeight="1">
      <c r="A239" s="2"/>
      <c r="B239" s="2"/>
      <c r="C239" s="2"/>
      <c r="D239" s="2"/>
      <c r="E239" s="2"/>
      <c r="F239" s="2"/>
      <c r="G239" s="2"/>
      <c r="H239" s="2"/>
      <c r="I239" s="2"/>
      <c r="J239" s="74"/>
      <c r="K239" s="74"/>
      <c r="L239" s="74"/>
      <c r="M239" s="74"/>
      <c r="N239" s="2"/>
      <c r="O239" s="2"/>
      <c r="P239" s="2"/>
      <c r="Q239" s="74"/>
      <c r="R239" s="2"/>
      <c r="S239" s="2"/>
      <c r="T239" s="76"/>
      <c r="U239" s="88"/>
    </row>
    <row r="240" ht="15.75" customHeight="1">
      <c r="A240" s="2"/>
      <c r="B240" s="2"/>
      <c r="C240" s="2"/>
      <c r="D240" s="2"/>
      <c r="E240" s="2"/>
      <c r="F240" s="2"/>
      <c r="G240" s="2"/>
      <c r="H240" s="2"/>
      <c r="I240" s="2"/>
      <c r="J240" s="74"/>
      <c r="K240" s="74"/>
      <c r="L240" s="74"/>
      <c r="M240" s="74"/>
      <c r="N240" s="2"/>
      <c r="O240" s="2"/>
      <c r="P240" s="2"/>
      <c r="Q240" s="74"/>
      <c r="R240" s="2"/>
      <c r="S240" s="2"/>
      <c r="T240" s="76"/>
      <c r="U240" s="88"/>
    </row>
    <row r="241" ht="15.75" customHeight="1">
      <c r="A241" s="2"/>
      <c r="B241" s="2"/>
      <c r="C241" s="2"/>
      <c r="D241" s="2"/>
      <c r="E241" s="2"/>
      <c r="F241" s="2"/>
      <c r="G241" s="2"/>
      <c r="H241" s="2"/>
      <c r="I241" s="2"/>
      <c r="J241" s="74"/>
      <c r="K241" s="74"/>
      <c r="L241" s="74"/>
      <c r="M241" s="74"/>
      <c r="N241" s="2"/>
      <c r="O241" s="2"/>
      <c r="P241" s="2"/>
      <c r="Q241" s="74"/>
      <c r="R241" s="2"/>
      <c r="S241" s="2"/>
      <c r="T241" s="76"/>
      <c r="U241" s="88"/>
    </row>
    <row r="242" ht="15.75" customHeight="1">
      <c r="A242" s="2"/>
      <c r="B242" s="2"/>
      <c r="C242" s="2"/>
      <c r="D242" s="2"/>
      <c r="E242" s="2"/>
      <c r="F242" s="2"/>
      <c r="G242" s="2"/>
      <c r="H242" s="2"/>
      <c r="I242" s="2"/>
      <c r="J242" s="74"/>
      <c r="K242" s="74"/>
      <c r="L242" s="74"/>
      <c r="M242" s="74"/>
      <c r="N242" s="2"/>
      <c r="O242" s="2"/>
      <c r="P242" s="2"/>
      <c r="Q242" s="74"/>
      <c r="R242" s="2"/>
      <c r="S242" s="2"/>
      <c r="T242" s="76"/>
      <c r="U242" s="88"/>
    </row>
    <row r="243" ht="15.75" customHeight="1">
      <c r="A243" s="2"/>
      <c r="B243" s="2"/>
      <c r="C243" s="2"/>
      <c r="D243" s="2"/>
      <c r="E243" s="2"/>
      <c r="F243" s="2"/>
      <c r="G243" s="2"/>
      <c r="H243" s="2"/>
      <c r="I243" s="2"/>
      <c r="J243" s="74"/>
      <c r="K243" s="74"/>
      <c r="L243" s="74"/>
      <c r="M243" s="74"/>
      <c r="N243" s="2"/>
      <c r="O243" s="2"/>
      <c r="P243" s="2"/>
      <c r="Q243" s="74"/>
      <c r="R243" s="2"/>
      <c r="S243" s="2"/>
      <c r="T243" s="76"/>
      <c r="U243" s="88"/>
    </row>
    <row r="244" ht="15.75" customHeight="1">
      <c r="A244" s="2"/>
      <c r="B244" s="2"/>
      <c r="C244" s="2"/>
      <c r="D244" s="2"/>
      <c r="E244" s="2"/>
      <c r="F244" s="2"/>
      <c r="G244" s="2"/>
      <c r="H244" s="2"/>
      <c r="I244" s="2"/>
      <c r="J244" s="74"/>
      <c r="K244" s="74"/>
      <c r="L244" s="74"/>
      <c r="M244" s="74"/>
      <c r="N244" s="2"/>
      <c r="O244" s="2"/>
      <c r="P244" s="2"/>
      <c r="Q244" s="74"/>
      <c r="R244" s="2"/>
      <c r="S244" s="2"/>
      <c r="T244" s="76"/>
      <c r="U244" s="88"/>
    </row>
    <row r="245" ht="15.75" customHeight="1">
      <c r="A245" s="2"/>
      <c r="B245" s="2"/>
      <c r="C245" s="2"/>
      <c r="D245" s="2"/>
      <c r="E245" s="2"/>
      <c r="F245" s="2"/>
      <c r="G245" s="2"/>
      <c r="H245" s="2"/>
      <c r="I245" s="2"/>
      <c r="J245" s="74"/>
      <c r="K245" s="74"/>
      <c r="L245" s="74"/>
      <c r="M245" s="74"/>
      <c r="N245" s="2"/>
      <c r="O245" s="2"/>
      <c r="P245" s="2"/>
      <c r="Q245" s="74"/>
      <c r="R245" s="2"/>
      <c r="S245" s="2"/>
      <c r="T245" s="76"/>
      <c r="U245" s="88"/>
    </row>
    <row r="246" ht="15.75" customHeight="1">
      <c r="A246" s="2"/>
      <c r="B246" s="2"/>
      <c r="C246" s="2"/>
      <c r="D246" s="2"/>
      <c r="E246" s="2"/>
      <c r="F246" s="2"/>
      <c r="G246" s="2"/>
      <c r="H246" s="2"/>
      <c r="I246" s="2"/>
      <c r="J246" s="74"/>
      <c r="K246" s="74"/>
      <c r="L246" s="74"/>
      <c r="M246" s="74"/>
      <c r="N246" s="2"/>
      <c r="O246" s="2"/>
      <c r="P246" s="2"/>
      <c r="Q246" s="74"/>
      <c r="R246" s="2"/>
      <c r="S246" s="2"/>
      <c r="T246" s="76"/>
      <c r="U246" s="88"/>
    </row>
    <row r="247" ht="15.75" customHeight="1">
      <c r="A247" s="2"/>
      <c r="B247" s="2"/>
      <c r="C247" s="2"/>
      <c r="D247" s="2"/>
      <c r="E247" s="2"/>
      <c r="F247" s="2"/>
      <c r="G247" s="2"/>
      <c r="H247" s="2"/>
      <c r="I247" s="2"/>
      <c r="J247" s="74"/>
      <c r="K247" s="74"/>
      <c r="L247" s="74"/>
      <c r="M247" s="74"/>
      <c r="N247" s="2"/>
      <c r="O247" s="2"/>
      <c r="P247" s="2"/>
      <c r="Q247" s="74"/>
      <c r="R247" s="2"/>
      <c r="S247" s="2"/>
      <c r="T247" s="76"/>
      <c r="U247" s="88"/>
    </row>
    <row r="248" ht="15.75" customHeight="1">
      <c r="A248" s="2"/>
      <c r="B248" s="2"/>
      <c r="C248" s="2"/>
      <c r="D248" s="2"/>
      <c r="E248" s="2"/>
      <c r="F248" s="2"/>
      <c r="G248" s="2"/>
      <c r="H248" s="2"/>
      <c r="I248" s="2"/>
      <c r="J248" s="74"/>
      <c r="K248" s="74"/>
      <c r="L248" s="74"/>
      <c r="M248" s="74"/>
      <c r="N248" s="2"/>
      <c r="O248" s="2"/>
      <c r="P248" s="2"/>
      <c r="Q248" s="74"/>
      <c r="R248" s="2"/>
      <c r="S248" s="2"/>
      <c r="T248" s="76"/>
      <c r="U248" s="88"/>
    </row>
    <row r="249" ht="15.75" customHeight="1">
      <c r="A249" s="2"/>
      <c r="B249" s="2"/>
      <c r="C249" s="2"/>
      <c r="D249" s="2"/>
      <c r="E249" s="2"/>
      <c r="F249" s="2"/>
      <c r="G249" s="2"/>
      <c r="H249" s="2"/>
      <c r="I249" s="2"/>
      <c r="J249" s="74"/>
      <c r="K249" s="74"/>
      <c r="L249" s="74"/>
      <c r="M249" s="74"/>
      <c r="N249" s="2"/>
      <c r="O249" s="2"/>
      <c r="P249" s="2"/>
      <c r="Q249" s="74"/>
      <c r="R249" s="2"/>
      <c r="S249" s="2"/>
      <c r="T249" s="76"/>
      <c r="U249" s="88"/>
    </row>
    <row r="250" ht="15.75" customHeight="1">
      <c r="A250" s="2"/>
      <c r="B250" s="2"/>
      <c r="C250" s="2"/>
      <c r="D250" s="2"/>
      <c r="E250" s="2"/>
      <c r="F250" s="2"/>
      <c r="G250" s="2"/>
      <c r="H250" s="2"/>
      <c r="I250" s="2"/>
      <c r="J250" s="74"/>
      <c r="K250" s="74"/>
      <c r="L250" s="74"/>
      <c r="M250" s="74"/>
      <c r="N250" s="2"/>
      <c r="O250" s="2"/>
      <c r="P250" s="2"/>
      <c r="Q250" s="74"/>
      <c r="R250" s="2"/>
      <c r="S250" s="2"/>
      <c r="T250" s="76"/>
      <c r="U250" s="88"/>
    </row>
    <row r="251" ht="15.75" customHeight="1">
      <c r="A251" s="2"/>
      <c r="B251" s="2"/>
      <c r="C251" s="2"/>
      <c r="D251" s="2"/>
      <c r="E251" s="2"/>
      <c r="F251" s="2"/>
      <c r="G251" s="2"/>
      <c r="H251" s="2"/>
      <c r="I251" s="2"/>
      <c r="J251" s="74"/>
      <c r="K251" s="74"/>
      <c r="L251" s="74"/>
      <c r="M251" s="74"/>
      <c r="N251" s="2"/>
      <c r="O251" s="2"/>
      <c r="P251" s="2"/>
      <c r="Q251" s="74"/>
      <c r="R251" s="2"/>
      <c r="S251" s="2"/>
      <c r="T251" s="76"/>
      <c r="U251" s="88"/>
    </row>
    <row r="252" ht="15.75" customHeight="1">
      <c r="A252" s="2"/>
      <c r="B252" s="2"/>
      <c r="C252" s="2"/>
      <c r="D252" s="2"/>
      <c r="E252" s="2"/>
      <c r="F252" s="2"/>
      <c r="G252" s="2"/>
      <c r="H252" s="2"/>
      <c r="I252" s="2"/>
      <c r="J252" s="74"/>
      <c r="K252" s="74"/>
      <c r="L252" s="74"/>
      <c r="M252" s="74"/>
      <c r="N252" s="2"/>
      <c r="O252" s="2"/>
      <c r="P252" s="2"/>
      <c r="Q252" s="74"/>
      <c r="R252" s="2"/>
      <c r="S252" s="2"/>
      <c r="T252" s="76"/>
      <c r="U252" s="88"/>
    </row>
    <row r="253" ht="15.75" customHeight="1">
      <c r="A253" s="2"/>
      <c r="B253" s="2"/>
      <c r="C253" s="2"/>
      <c r="D253" s="2"/>
      <c r="E253" s="2"/>
      <c r="F253" s="2"/>
      <c r="G253" s="2"/>
      <c r="H253" s="2"/>
      <c r="I253" s="2"/>
      <c r="J253" s="74"/>
      <c r="K253" s="74"/>
      <c r="L253" s="74"/>
      <c r="M253" s="74"/>
      <c r="N253" s="2"/>
      <c r="O253" s="2"/>
      <c r="P253" s="2"/>
      <c r="Q253" s="74"/>
      <c r="R253" s="2"/>
      <c r="S253" s="2"/>
      <c r="T253" s="76"/>
      <c r="U253" s="88"/>
    </row>
    <row r="254" ht="15.75" customHeight="1">
      <c r="A254" s="2"/>
      <c r="B254" s="2"/>
      <c r="C254" s="2"/>
      <c r="D254" s="2"/>
      <c r="E254" s="2"/>
      <c r="F254" s="2"/>
      <c r="G254" s="2"/>
      <c r="H254" s="2"/>
      <c r="I254" s="2"/>
      <c r="J254" s="74"/>
      <c r="K254" s="74"/>
      <c r="L254" s="74"/>
      <c r="M254" s="74"/>
      <c r="N254" s="2"/>
      <c r="O254" s="2"/>
      <c r="P254" s="2"/>
      <c r="Q254" s="74"/>
      <c r="R254" s="2"/>
      <c r="S254" s="2"/>
      <c r="T254" s="76"/>
      <c r="U254" s="88"/>
    </row>
    <row r="255" ht="15.75" customHeight="1">
      <c r="A255" s="2"/>
      <c r="B255" s="2"/>
      <c r="C255" s="2"/>
      <c r="D255" s="2"/>
      <c r="E255" s="2"/>
      <c r="F255" s="2"/>
      <c r="G255" s="2"/>
      <c r="H255" s="2"/>
      <c r="I255" s="2"/>
      <c r="J255" s="74"/>
      <c r="K255" s="74"/>
      <c r="L255" s="74"/>
      <c r="M255" s="74"/>
      <c r="N255" s="2"/>
      <c r="O255" s="2"/>
      <c r="P255" s="2"/>
      <c r="Q255" s="74"/>
      <c r="R255" s="2"/>
      <c r="S255" s="2"/>
      <c r="T255" s="76"/>
      <c r="U255" s="88"/>
    </row>
    <row r="256" ht="15.75" customHeight="1">
      <c r="A256" s="2"/>
      <c r="B256" s="2"/>
      <c r="C256" s="2"/>
      <c r="D256" s="2"/>
      <c r="E256" s="2"/>
      <c r="F256" s="2"/>
      <c r="G256" s="2"/>
      <c r="H256" s="2"/>
      <c r="I256" s="2"/>
      <c r="J256" s="74"/>
      <c r="K256" s="74"/>
      <c r="L256" s="74"/>
      <c r="M256" s="74"/>
      <c r="N256" s="2"/>
      <c r="O256" s="2"/>
      <c r="P256" s="2"/>
      <c r="Q256" s="74"/>
      <c r="R256" s="2"/>
      <c r="S256" s="2"/>
      <c r="T256" s="76"/>
      <c r="U256" s="88"/>
    </row>
    <row r="257" ht="15.75" customHeight="1">
      <c r="A257" s="2"/>
      <c r="B257" s="2"/>
      <c r="C257" s="2"/>
      <c r="D257" s="2"/>
      <c r="E257" s="2"/>
      <c r="F257" s="2"/>
      <c r="G257" s="2"/>
      <c r="H257" s="2"/>
      <c r="I257" s="2"/>
      <c r="J257" s="74"/>
      <c r="K257" s="74"/>
      <c r="L257" s="74"/>
      <c r="M257" s="74"/>
      <c r="N257" s="2"/>
      <c r="O257" s="2"/>
      <c r="P257" s="2"/>
      <c r="Q257" s="74"/>
      <c r="R257" s="2"/>
      <c r="S257" s="2"/>
      <c r="T257" s="76"/>
      <c r="U257" s="88"/>
    </row>
    <row r="258" ht="15.75" customHeight="1">
      <c r="A258" s="2"/>
      <c r="B258" s="2"/>
      <c r="C258" s="2"/>
      <c r="D258" s="2"/>
      <c r="E258" s="2"/>
      <c r="F258" s="2"/>
      <c r="G258" s="2"/>
      <c r="H258" s="2"/>
      <c r="I258" s="2"/>
      <c r="J258" s="74"/>
      <c r="K258" s="74"/>
      <c r="L258" s="74"/>
      <c r="M258" s="74"/>
      <c r="N258" s="2"/>
      <c r="O258" s="2"/>
      <c r="P258" s="2"/>
      <c r="Q258" s="74"/>
      <c r="R258" s="2"/>
      <c r="S258" s="2"/>
      <c r="T258" s="76"/>
      <c r="U258" s="88"/>
    </row>
    <row r="259" ht="15.75" customHeight="1">
      <c r="A259" s="2"/>
      <c r="B259" s="2"/>
      <c r="C259" s="2"/>
      <c r="D259" s="2"/>
      <c r="E259" s="2"/>
      <c r="F259" s="2"/>
      <c r="G259" s="2"/>
      <c r="H259" s="2"/>
      <c r="I259" s="2"/>
      <c r="J259" s="74"/>
      <c r="K259" s="74"/>
      <c r="L259" s="74"/>
      <c r="M259" s="74"/>
      <c r="N259" s="2"/>
      <c r="O259" s="2"/>
      <c r="P259" s="2"/>
      <c r="Q259" s="74"/>
      <c r="R259" s="2"/>
      <c r="S259" s="2"/>
      <c r="T259" s="76"/>
      <c r="U259" s="88"/>
    </row>
    <row r="260" ht="15.75" customHeight="1">
      <c r="A260" s="2"/>
      <c r="B260" s="2"/>
      <c r="C260" s="2"/>
      <c r="D260" s="2"/>
      <c r="E260" s="2"/>
      <c r="F260" s="2"/>
      <c r="G260" s="2"/>
      <c r="H260" s="2"/>
      <c r="I260" s="2"/>
      <c r="J260" s="74"/>
      <c r="K260" s="74"/>
      <c r="L260" s="74"/>
      <c r="M260" s="74"/>
      <c r="N260" s="2"/>
      <c r="O260" s="2"/>
      <c r="P260" s="2"/>
      <c r="Q260" s="74"/>
      <c r="R260" s="2"/>
      <c r="S260" s="2"/>
      <c r="T260" s="76"/>
      <c r="U260" s="88"/>
    </row>
    <row r="261" ht="15.75" customHeight="1">
      <c r="A261" s="2"/>
      <c r="B261" s="2"/>
      <c r="C261" s="2"/>
      <c r="D261" s="2"/>
      <c r="E261" s="2"/>
      <c r="F261" s="2"/>
      <c r="G261" s="2"/>
      <c r="H261" s="2"/>
      <c r="I261" s="2"/>
      <c r="J261" s="74"/>
      <c r="K261" s="74"/>
      <c r="L261" s="74"/>
      <c r="M261" s="74"/>
      <c r="N261" s="2"/>
      <c r="O261" s="2"/>
      <c r="P261" s="2"/>
      <c r="Q261" s="74"/>
      <c r="R261" s="2"/>
      <c r="S261" s="2"/>
      <c r="T261" s="76"/>
      <c r="U261" s="88"/>
    </row>
    <row r="262" ht="15.75" customHeight="1">
      <c r="A262" s="2"/>
      <c r="B262" s="2"/>
      <c r="C262" s="2"/>
      <c r="D262" s="2"/>
      <c r="E262" s="2"/>
      <c r="F262" s="2"/>
      <c r="G262" s="2"/>
      <c r="H262" s="2"/>
      <c r="I262" s="2"/>
      <c r="J262" s="74"/>
      <c r="K262" s="74"/>
      <c r="L262" s="74"/>
      <c r="M262" s="74"/>
      <c r="N262" s="2"/>
      <c r="O262" s="2"/>
      <c r="P262" s="2"/>
      <c r="Q262" s="74"/>
      <c r="R262" s="2"/>
      <c r="S262" s="2"/>
      <c r="T262" s="76"/>
      <c r="U262" s="88"/>
    </row>
    <row r="263" ht="15.75" customHeight="1">
      <c r="A263" s="2"/>
      <c r="B263" s="2"/>
      <c r="C263" s="2"/>
      <c r="D263" s="2"/>
      <c r="E263" s="2"/>
      <c r="F263" s="2"/>
      <c r="G263" s="2"/>
      <c r="H263" s="2"/>
      <c r="I263" s="2"/>
      <c r="J263" s="74"/>
      <c r="K263" s="74"/>
      <c r="L263" s="74"/>
      <c r="M263" s="74"/>
      <c r="N263" s="2"/>
      <c r="O263" s="2"/>
      <c r="P263" s="2"/>
      <c r="Q263" s="74"/>
      <c r="R263" s="2"/>
      <c r="S263" s="2"/>
      <c r="T263" s="76"/>
      <c r="U263" s="88"/>
    </row>
    <row r="264" ht="15.75" customHeight="1">
      <c r="A264" s="2"/>
      <c r="B264" s="2"/>
      <c r="C264" s="2"/>
      <c r="D264" s="2"/>
      <c r="E264" s="2"/>
      <c r="F264" s="2"/>
      <c r="G264" s="2"/>
      <c r="H264" s="2"/>
      <c r="I264" s="2"/>
      <c r="J264" s="74"/>
      <c r="K264" s="74"/>
      <c r="L264" s="74"/>
      <c r="M264" s="74"/>
      <c r="N264" s="2"/>
      <c r="O264" s="2"/>
      <c r="P264" s="2"/>
      <c r="Q264" s="74"/>
      <c r="R264" s="2"/>
      <c r="S264" s="2"/>
      <c r="T264" s="76"/>
      <c r="U264" s="88"/>
    </row>
    <row r="265" ht="15.75" customHeight="1">
      <c r="A265" s="2"/>
      <c r="B265" s="2"/>
      <c r="C265" s="2"/>
      <c r="D265" s="2"/>
      <c r="E265" s="2"/>
      <c r="F265" s="2"/>
      <c r="G265" s="2"/>
      <c r="H265" s="2"/>
      <c r="I265" s="2"/>
      <c r="J265" s="74"/>
      <c r="K265" s="74"/>
      <c r="L265" s="74"/>
      <c r="M265" s="74"/>
      <c r="N265" s="2"/>
      <c r="O265" s="2"/>
      <c r="P265" s="2"/>
      <c r="Q265" s="74"/>
      <c r="R265" s="2"/>
      <c r="S265" s="2"/>
      <c r="T265" s="76"/>
      <c r="U265" s="88"/>
    </row>
    <row r="266" ht="15.75" customHeight="1">
      <c r="A266" s="2"/>
      <c r="B266" s="2"/>
      <c r="C266" s="2"/>
      <c r="D266" s="2"/>
      <c r="E266" s="2"/>
      <c r="F266" s="2"/>
      <c r="G266" s="2"/>
      <c r="H266" s="2"/>
      <c r="I266" s="2"/>
      <c r="J266" s="74"/>
      <c r="K266" s="74"/>
      <c r="L266" s="74"/>
      <c r="M266" s="74"/>
      <c r="N266" s="2"/>
      <c r="O266" s="2"/>
      <c r="P266" s="2"/>
      <c r="Q266" s="74"/>
      <c r="R266" s="2"/>
      <c r="S266" s="2"/>
      <c r="T266" s="76"/>
      <c r="U266" s="88"/>
    </row>
    <row r="267" ht="15.75" customHeight="1">
      <c r="A267" s="2"/>
      <c r="B267" s="2"/>
      <c r="C267" s="2"/>
      <c r="D267" s="2"/>
      <c r="E267" s="2"/>
      <c r="F267" s="2"/>
      <c r="G267" s="2"/>
      <c r="H267" s="2"/>
      <c r="I267" s="2"/>
      <c r="J267" s="74"/>
      <c r="K267" s="74"/>
      <c r="L267" s="74"/>
      <c r="M267" s="74"/>
      <c r="N267" s="2"/>
      <c r="O267" s="2"/>
      <c r="P267" s="2"/>
      <c r="Q267" s="74"/>
      <c r="R267" s="2"/>
      <c r="S267" s="2"/>
      <c r="T267" s="76"/>
      <c r="U267" s="88"/>
    </row>
    <row r="268" ht="15.75" customHeight="1">
      <c r="A268" s="2"/>
      <c r="B268" s="2"/>
      <c r="C268" s="2"/>
      <c r="D268" s="2"/>
      <c r="E268" s="2"/>
      <c r="F268" s="2"/>
      <c r="G268" s="2"/>
      <c r="H268" s="2"/>
      <c r="I268" s="2"/>
      <c r="J268" s="74"/>
      <c r="K268" s="74"/>
      <c r="L268" s="74"/>
      <c r="M268" s="74"/>
      <c r="N268" s="2"/>
      <c r="O268" s="2"/>
      <c r="P268" s="2"/>
      <c r="Q268" s="74"/>
      <c r="R268" s="2"/>
      <c r="S268" s="2"/>
      <c r="T268" s="76"/>
      <c r="U268" s="88"/>
    </row>
    <row r="269" ht="15.75" customHeight="1">
      <c r="A269" s="2"/>
      <c r="B269" s="2"/>
      <c r="C269" s="2"/>
      <c r="D269" s="2"/>
      <c r="E269" s="2"/>
      <c r="F269" s="2"/>
      <c r="G269" s="2"/>
      <c r="H269" s="2"/>
      <c r="I269" s="2"/>
      <c r="J269" s="74"/>
      <c r="K269" s="74"/>
      <c r="L269" s="74"/>
      <c r="M269" s="74"/>
      <c r="N269" s="2"/>
      <c r="O269" s="2"/>
      <c r="P269" s="2"/>
      <c r="Q269" s="74"/>
      <c r="R269" s="2"/>
      <c r="S269" s="2"/>
      <c r="T269" s="76"/>
      <c r="U269" s="88"/>
    </row>
    <row r="270" ht="15.75" customHeight="1">
      <c r="A270" s="2"/>
      <c r="B270" s="2"/>
      <c r="C270" s="2"/>
      <c r="D270" s="2"/>
      <c r="E270" s="2"/>
      <c r="F270" s="2"/>
      <c r="G270" s="2"/>
      <c r="H270" s="2"/>
      <c r="I270" s="2"/>
      <c r="J270" s="74"/>
      <c r="K270" s="74"/>
      <c r="L270" s="74"/>
      <c r="M270" s="74"/>
      <c r="N270" s="2"/>
      <c r="O270" s="2"/>
      <c r="P270" s="2"/>
      <c r="Q270" s="74"/>
      <c r="R270" s="2"/>
      <c r="S270" s="2"/>
      <c r="T270" s="76"/>
      <c r="U270" s="88"/>
    </row>
    <row r="271" ht="15.75" customHeight="1">
      <c r="A271" s="2"/>
      <c r="B271" s="2"/>
      <c r="C271" s="2"/>
      <c r="D271" s="2"/>
      <c r="E271" s="2"/>
      <c r="F271" s="2"/>
      <c r="G271" s="2"/>
      <c r="H271" s="2"/>
      <c r="I271" s="2"/>
      <c r="J271" s="74"/>
      <c r="K271" s="74"/>
      <c r="L271" s="74"/>
      <c r="M271" s="74"/>
      <c r="N271" s="2"/>
      <c r="O271" s="2"/>
      <c r="P271" s="2"/>
      <c r="Q271" s="74"/>
      <c r="R271" s="2"/>
      <c r="S271" s="2"/>
      <c r="T271" s="76"/>
      <c r="U271" s="88"/>
    </row>
    <row r="272" ht="15.75" customHeight="1">
      <c r="A272" s="2"/>
      <c r="B272" s="2"/>
      <c r="C272" s="2"/>
      <c r="D272" s="2"/>
      <c r="E272" s="2"/>
      <c r="F272" s="2"/>
      <c r="G272" s="2"/>
      <c r="H272" s="2"/>
      <c r="I272" s="2"/>
      <c r="J272" s="74"/>
      <c r="K272" s="74"/>
      <c r="L272" s="74"/>
      <c r="M272" s="74"/>
      <c r="N272" s="2"/>
      <c r="O272" s="2"/>
      <c r="P272" s="2"/>
      <c r="Q272" s="74"/>
      <c r="R272" s="2"/>
      <c r="S272" s="2"/>
      <c r="T272" s="76"/>
      <c r="U272" s="88"/>
    </row>
    <row r="273" ht="15.75" customHeight="1">
      <c r="A273" s="2"/>
      <c r="B273" s="2"/>
      <c r="C273" s="2"/>
      <c r="D273" s="2"/>
      <c r="E273" s="2"/>
      <c r="F273" s="2"/>
      <c r="G273" s="2"/>
      <c r="H273" s="2"/>
      <c r="I273" s="2"/>
      <c r="J273" s="74"/>
      <c r="K273" s="74"/>
      <c r="L273" s="74"/>
      <c r="M273" s="74"/>
      <c r="N273" s="2"/>
      <c r="O273" s="2"/>
      <c r="P273" s="2"/>
      <c r="Q273" s="74"/>
      <c r="R273" s="2"/>
      <c r="S273" s="2"/>
      <c r="T273" s="76"/>
      <c r="U273" s="88"/>
    </row>
    <row r="274" ht="15.75" customHeight="1">
      <c r="A274" s="2"/>
      <c r="B274" s="2"/>
      <c r="C274" s="2"/>
      <c r="D274" s="2"/>
      <c r="E274" s="2"/>
      <c r="F274" s="2"/>
      <c r="G274" s="2"/>
      <c r="H274" s="2"/>
      <c r="I274" s="2"/>
      <c r="J274" s="74"/>
      <c r="K274" s="74"/>
      <c r="L274" s="74"/>
      <c r="M274" s="74"/>
      <c r="N274" s="2"/>
      <c r="O274" s="2"/>
      <c r="P274" s="2"/>
      <c r="Q274" s="74"/>
      <c r="R274" s="2"/>
      <c r="S274" s="2"/>
      <c r="T274" s="76"/>
      <c r="U274" s="88"/>
    </row>
    <row r="275" ht="15.75" customHeight="1">
      <c r="A275" s="2"/>
      <c r="B275" s="2"/>
      <c r="C275" s="2"/>
      <c r="D275" s="2"/>
      <c r="E275" s="2"/>
      <c r="F275" s="2"/>
      <c r="G275" s="2"/>
      <c r="H275" s="2"/>
      <c r="I275" s="2"/>
      <c r="J275" s="74"/>
      <c r="K275" s="74"/>
      <c r="L275" s="74"/>
      <c r="M275" s="74"/>
      <c r="N275" s="2"/>
      <c r="O275" s="2"/>
      <c r="P275" s="2"/>
      <c r="Q275" s="74"/>
      <c r="R275" s="2"/>
      <c r="S275" s="2"/>
      <c r="T275" s="76"/>
      <c r="U275" s="88"/>
    </row>
    <row r="276" ht="15.75" customHeight="1">
      <c r="A276" s="2"/>
      <c r="B276" s="2"/>
      <c r="C276" s="2"/>
      <c r="D276" s="2"/>
      <c r="E276" s="2"/>
      <c r="F276" s="2"/>
      <c r="G276" s="2"/>
      <c r="H276" s="2"/>
      <c r="I276" s="2"/>
      <c r="J276" s="74"/>
      <c r="K276" s="74"/>
      <c r="L276" s="74"/>
      <c r="M276" s="74"/>
      <c r="N276" s="2"/>
      <c r="O276" s="2"/>
      <c r="P276" s="2"/>
      <c r="Q276" s="74"/>
      <c r="R276" s="2"/>
      <c r="S276" s="2"/>
      <c r="T276" s="76"/>
      <c r="U276" s="88"/>
    </row>
    <row r="277" ht="15.75" customHeight="1">
      <c r="A277" s="2"/>
      <c r="B277" s="2"/>
      <c r="C277" s="2"/>
      <c r="D277" s="2"/>
      <c r="E277" s="2"/>
      <c r="F277" s="2"/>
      <c r="G277" s="2"/>
      <c r="H277" s="2"/>
      <c r="I277" s="2"/>
      <c r="J277" s="74"/>
      <c r="K277" s="74"/>
      <c r="L277" s="74"/>
      <c r="M277" s="74"/>
      <c r="N277" s="2"/>
      <c r="O277" s="2"/>
      <c r="P277" s="2"/>
      <c r="Q277" s="74"/>
      <c r="R277" s="2"/>
      <c r="S277" s="2"/>
      <c r="T277" s="76"/>
      <c r="U277" s="88"/>
    </row>
    <row r="278" ht="15.75" customHeight="1">
      <c r="A278" s="2"/>
      <c r="B278" s="2"/>
      <c r="C278" s="2"/>
      <c r="D278" s="2"/>
      <c r="E278" s="2"/>
      <c r="F278" s="2"/>
      <c r="G278" s="2"/>
      <c r="H278" s="2"/>
      <c r="I278" s="2"/>
      <c r="J278" s="74"/>
      <c r="K278" s="74"/>
      <c r="L278" s="74"/>
      <c r="M278" s="74"/>
      <c r="N278" s="2"/>
      <c r="O278" s="2"/>
      <c r="P278" s="2"/>
      <c r="Q278" s="74"/>
      <c r="R278" s="2"/>
      <c r="S278" s="2"/>
      <c r="T278" s="76"/>
      <c r="U278" s="88"/>
    </row>
    <row r="279" ht="15.75" customHeight="1">
      <c r="A279" s="2"/>
      <c r="B279" s="2"/>
      <c r="C279" s="2"/>
      <c r="D279" s="2"/>
      <c r="E279" s="2"/>
      <c r="F279" s="2"/>
      <c r="G279" s="2"/>
      <c r="H279" s="2"/>
      <c r="I279" s="2"/>
      <c r="J279" s="74"/>
      <c r="K279" s="74"/>
      <c r="L279" s="74"/>
      <c r="M279" s="74"/>
      <c r="N279" s="2"/>
      <c r="O279" s="2"/>
      <c r="P279" s="2"/>
      <c r="Q279" s="74"/>
      <c r="R279" s="2"/>
      <c r="S279" s="2"/>
      <c r="T279" s="76"/>
      <c r="U279" s="88"/>
    </row>
    <row r="280" ht="15.75" customHeight="1">
      <c r="A280" s="2"/>
      <c r="B280" s="2"/>
      <c r="C280" s="2"/>
      <c r="D280" s="2"/>
      <c r="E280" s="2"/>
      <c r="F280" s="2"/>
      <c r="G280" s="2"/>
      <c r="H280" s="2"/>
      <c r="I280" s="2"/>
      <c r="J280" s="74"/>
      <c r="K280" s="74"/>
      <c r="L280" s="74"/>
      <c r="M280" s="74"/>
      <c r="N280" s="2"/>
      <c r="O280" s="2"/>
      <c r="P280" s="2"/>
      <c r="Q280" s="74"/>
      <c r="R280" s="2"/>
      <c r="S280" s="2"/>
      <c r="T280" s="76"/>
      <c r="U280" s="88"/>
    </row>
    <row r="281" ht="15.75" customHeight="1">
      <c r="A281" s="2"/>
      <c r="B281" s="2"/>
      <c r="C281" s="2"/>
      <c r="D281" s="2"/>
      <c r="E281" s="2"/>
      <c r="F281" s="2"/>
      <c r="G281" s="2"/>
      <c r="H281" s="2"/>
      <c r="I281" s="2"/>
      <c r="J281" s="74"/>
      <c r="K281" s="74"/>
      <c r="L281" s="74"/>
      <c r="M281" s="74"/>
      <c r="N281" s="2"/>
      <c r="O281" s="2"/>
      <c r="P281" s="2"/>
      <c r="Q281" s="74"/>
      <c r="R281" s="2"/>
      <c r="S281" s="2"/>
      <c r="T281" s="76"/>
      <c r="U281" s="88"/>
    </row>
    <row r="282" ht="15.75" customHeight="1">
      <c r="A282" s="2"/>
      <c r="B282" s="2"/>
      <c r="C282" s="2"/>
      <c r="D282" s="2"/>
      <c r="E282" s="2"/>
      <c r="F282" s="2"/>
      <c r="G282" s="2"/>
      <c r="H282" s="2"/>
      <c r="I282" s="2"/>
      <c r="J282" s="74"/>
      <c r="K282" s="74"/>
      <c r="L282" s="74"/>
      <c r="M282" s="74"/>
      <c r="N282" s="2"/>
      <c r="O282" s="2"/>
      <c r="P282" s="2"/>
      <c r="Q282" s="74"/>
      <c r="R282" s="2"/>
      <c r="S282" s="2"/>
      <c r="T282" s="76"/>
      <c r="U282" s="88"/>
    </row>
    <row r="283" ht="15.75" customHeight="1">
      <c r="A283" s="2"/>
      <c r="B283" s="2"/>
      <c r="C283" s="2"/>
      <c r="D283" s="2"/>
      <c r="E283" s="2"/>
      <c r="F283" s="2"/>
      <c r="G283" s="2"/>
      <c r="H283" s="2"/>
      <c r="I283" s="2"/>
      <c r="J283" s="74"/>
      <c r="K283" s="74"/>
      <c r="L283" s="74"/>
      <c r="M283" s="74"/>
      <c r="N283" s="2"/>
      <c r="O283" s="2"/>
      <c r="P283" s="2"/>
      <c r="Q283" s="74"/>
      <c r="R283" s="2"/>
      <c r="S283" s="2"/>
      <c r="T283" s="76"/>
      <c r="U283" s="88"/>
    </row>
    <row r="284" ht="15.75" customHeight="1">
      <c r="A284" s="2"/>
      <c r="B284" s="2"/>
      <c r="C284" s="2"/>
      <c r="D284" s="2"/>
      <c r="E284" s="2"/>
      <c r="F284" s="2"/>
      <c r="G284" s="2"/>
      <c r="H284" s="2"/>
      <c r="I284" s="2"/>
      <c r="J284" s="74"/>
      <c r="K284" s="74"/>
      <c r="L284" s="74"/>
      <c r="M284" s="74"/>
      <c r="N284" s="2"/>
      <c r="O284" s="2"/>
      <c r="P284" s="2"/>
      <c r="Q284" s="74"/>
      <c r="R284" s="2"/>
      <c r="S284" s="2"/>
      <c r="T284" s="76"/>
      <c r="U284" s="88"/>
    </row>
    <row r="285" ht="15.75" customHeight="1">
      <c r="A285" s="2"/>
      <c r="B285" s="2"/>
      <c r="C285" s="2"/>
      <c r="D285" s="2"/>
      <c r="E285" s="2"/>
      <c r="F285" s="2"/>
      <c r="G285" s="2"/>
      <c r="H285" s="2"/>
      <c r="I285" s="2"/>
      <c r="J285" s="74"/>
      <c r="K285" s="74"/>
      <c r="L285" s="74"/>
      <c r="M285" s="74"/>
      <c r="N285" s="2"/>
      <c r="O285" s="2"/>
      <c r="P285" s="2"/>
      <c r="Q285" s="74"/>
      <c r="R285" s="2"/>
      <c r="S285" s="2"/>
      <c r="T285" s="76"/>
      <c r="U285" s="88"/>
    </row>
    <row r="286" ht="15.75" customHeight="1">
      <c r="A286" s="2"/>
      <c r="B286" s="2"/>
      <c r="C286" s="2"/>
      <c r="D286" s="2"/>
      <c r="E286" s="2"/>
      <c r="F286" s="2"/>
      <c r="G286" s="2"/>
      <c r="H286" s="2"/>
      <c r="I286" s="2"/>
      <c r="J286" s="74"/>
      <c r="K286" s="74"/>
      <c r="L286" s="74"/>
      <c r="M286" s="74"/>
      <c r="N286" s="2"/>
      <c r="O286" s="2"/>
      <c r="P286" s="2"/>
      <c r="Q286" s="74"/>
      <c r="R286" s="2"/>
      <c r="S286" s="2"/>
      <c r="T286" s="76"/>
      <c r="U286" s="88"/>
    </row>
    <row r="287" ht="15.75" customHeight="1">
      <c r="A287" s="2"/>
      <c r="B287" s="2"/>
      <c r="C287" s="2"/>
      <c r="D287" s="2"/>
      <c r="E287" s="2"/>
      <c r="F287" s="2"/>
      <c r="G287" s="2"/>
      <c r="H287" s="2"/>
      <c r="I287" s="2"/>
      <c r="J287" s="74"/>
      <c r="K287" s="74"/>
      <c r="L287" s="74"/>
      <c r="M287" s="74"/>
      <c r="N287" s="2"/>
      <c r="O287" s="2"/>
      <c r="P287" s="2"/>
      <c r="Q287" s="74"/>
      <c r="R287" s="2"/>
      <c r="S287" s="2"/>
      <c r="T287" s="76"/>
      <c r="U287" s="88"/>
    </row>
    <row r="288" ht="15.75" customHeight="1">
      <c r="A288" s="2"/>
      <c r="B288" s="2"/>
      <c r="C288" s="2"/>
      <c r="D288" s="2"/>
      <c r="E288" s="2"/>
      <c r="F288" s="2"/>
      <c r="G288" s="2"/>
      <c r="H288" s="2"/>
      <c r="I288" s="2"/>
      <c r="J288" s="74"/>
      <c r="K288" s="74"/>
      <c r="L288" s="74"/>
      <c r="M288" s="74"/>
      <c r="N288" s="2"/>
      <c r="O288" s="2"/>
      <c r="P288" s="2"/>
      <c r="Q288" s="74"/>
      <c r="R288" s="2"/>
      <c r="S288" s="2"/>
      <c r="T288" s="76"/>
      <c r="U288" s="88"/>
    </row>
    <row r="289" ht="15.75" customHeight="1">
      <c r="A289" s="2"/>
      <c r="B289" s="2"/>
      <c r="C289" s="2"/>
      <c r="D289" s="2"/>
      <c r="E289" s="2"/>
      <c r="F289" s="2"/>
      <c r="G289" s="2"/>
      <c r="H289" s="2"/>
      <c r="I289" s="2"/>
      <c r="J289" s="74"/>
      <c r="K289" s="74"/>
      <c r="L289" s="74"/>
      <c r="M289" s="74"/>
      <c r="N289" s="2"/>
      <c r="O289" s="2"/>
      <c r="P289" s="2"/>
      <c r="Q289" s="74"/>
      <c r="R289" s="2"/>
      <c r="S289" s="2"/>
      <c r="T289" s="76"/>
      <c r="U289" s="88"/>
    </row>
    <row r="290" ht="15.75" customHeight="1">
      <c r="A290" s="2"/>
      <c r="B290" s="2"/>
      <c r="C290" s="2"/>
      <c r="D290" s="2"/>
      <c r="E290" s="2"/>
      <c r="F290" s="2"/>
      <c r="G290" s="2"/>
      <c r="H290" s="2"/>
      <c r="I290" s="2"/>
      <c r="J290" s="74"/>
      <c r="K290" s="74"/>
      <c r="L290" s="74"/>
      <c r="M290" s="74"/>
      <c r="N290" s="2"/>
      <c r="O290" s="2"/>
      <c r="P290" s="2"/>
      <c r="Q290" s="74"/>
      <c r="R290" s="2"/>
      <c r="S290" s="2"/>
      <c r="T290" s="76"/>
      <c r="U290" s="88"/>
    </row>
    <row r="291" ht="15.75" customHeight="1">
      <c r="A291" s="2"/>
      <c r="B291" s="2"/>
      <c r="C291" s="2"/>
      <c r="D291" s="2"/>
      <c r="E291" s="2"/>
      <c r="F291" s="2"/>
      <c r="G291" s="2"/>
      <c r="H291" s="2"/>
      <c r="I291" s="2"/>
      <c r="J291" s="74"/>
      <c r="K291" s="74"/>
      <c r="L291" s="74"/>
      <c r="M291" s="74"/>
      <c r="N291" s="2"/>
      <c r="O291" s="2"/>
      <c r="P291" s="2"/>
      <c r="Q291" s="74"/>
      <c r="R291" s="2"/>
      <c r="S291" s="2"/>
      <c r="T291" s="76"/>
      <c r="U291" s="88"/>
    </row>
    <row r="292" ht="15.75" customHeight="1">
      <c r="A292" s="2"/>
      <c r="B292" s="2"/>
      <c r="C292" s="2"/>
      <c r="D292" s="2"/>
      <c r="E292" s="2"/>
      <c r="F292" s="2"/>
      <c r="G292" s="2"/>
      <c r="H292" s="2"/>
      <c r="I292" s="2"/>
      <c r="J292" s="74"/>
      <c r="K292" s="74"/>
      <c r="L292" s="74"/>
      <c r="M292" s="74"/>
      <c r="N292" s="2"/>
      <c r="O292" s="2"/>
      <c r="P292" s="2"/>
      <c r="Q292" s="74"/>
      <c r="R292" s="2"/>
      <c r="S292" s="2"/>
      <c r="T292" s="76"/>
      <c r="U292" s="88"/>
    </row>
    <row r="293" ht="15.75" customHeight="1">
      <c r="A293" s="2"/>
      <c r="B293" s="2"/>
      <c r="C293" s="2"/>
      <c r="D293" s="2"/>
      <c r="E293" s="2"/>
      <c r="F293" s="2"/>
      <c r="G293" s="2"/>
      <c r="H293" s="2"/>
      <c r="I293" s="2"/>
      <c r="J293" s="74"/>
      <c r="K293" s="74"/>
      <c r="L293" s="74"/>
      <c r="M293" s="74"/>
      <c r="N293" s="2"/>
      <c r="O293" s="2"/>
      <c r="P293" s="2"/>
      <c r="Q293" s="74"/>
      <c r="R293" s="2"/>
      <c r="S293" s="2"/>
      <c r="T293" s="76"/>
      <c r="U293" s="88"/>
    </row>
    <row r="294" ht="15.75" customHeight="1">
      <c r="A294" s="2"/>
      <c r="B294" s="2"/>
      <c r="C294" s="2"/>
      <c r="D294" s="2"/>
      <c r="E294" s="2"/>
      <c r="F294" s="2"/>
      <c r="G294" s="2"/>
      <c r="H294" s="2"/>
      <c r="I294" s="2"/>
      <c r="J294" s="74"/>
      <c r="K294" s="74"/>
      <c r="L294" s="74"/>
      <c r="M294" s="74"/>
      <c r="N294" s="2"/>
      <c r="O294" s="2"/>
      <c r="P294" s="2"/>
      <c r="Q294" s="74"/>
      <c r="R294" s="2"/>
      <c r="S294" s="2"/>
      <c r="T294" s="76"/>
      <c r="U294" s="88"/>
    </row>
    <row r="295" ht="15.75" customHeight="1">
      <c r="A295" s="2"/>
      <c r="B295" s="2"/>
      <c r="C295" s="2"/>
      <c r="D295" s="2"/>
      <c r="E295" s="2"/>
      <c r="F295" s="2"/>
      <c r="G295" s="2"/>
      <c r="H295" s="2"/>
      <c r="I295" s="2"/>
      <c r="J295" s="74"/>
      <c r="K295" s="74"/>
      <c r="L295" s="74"/>
      <c r="M295" s="74"/>
      <c r="N295" s="2"/>
      <c r="O295" s="2"/>
      <c r="P295" s="2"/>
      <c r="Q295" s="74"/>
      <c r="R295" s="2"/>
      <c r="S295" s="2"/>
      <c r="T295" s="76"/>
      <c r="U295" s="88"/>
    </row>
    <row r="296" ht="15.75" customHeight="1">
      <c r="A296" s="2"/>
      <c r="B296" s="2"/>
      <c r="C296" s="2"/>
      <c r="D296" s="2"/>
      <c r="E296" s="2"/>
      <c r="F296" s="2"/>
      <c r="G296" s="2"/>
      <c r="H296" s="2"/>
      <c r="I296" s="2"/>
      <c r="J296" s="74"/>
      <c r="K296" s="74"/>
      <c r="L296" s="74"/>
      <c r="M296" s="74"/>
      <c r="N296" s="2"/>
      <c r="O296" s="2"/>
      <c r="P296" s="2"/>
      <c r="Q296" s="74"/>
      <c r="R296" s="2"/>
      <c r="S296" s="2"/>
      <c r="T296" s="76"/>
      <c r="U296" s="88"/>
    </row>
    <row r="297" ht="15.75" customHeight="1">
      <c r="A297" s="2"/>
      <c r="B297" s="2"/>
      <c r="C297" s="2"/>
      <c r="D297" s="2"/>
      <c r="E297" s="2"/>
      <c r="F297" s="2"/>
      <c r="G297" s="2"/>
      <c r="H297" s="2"/>
      <c r="I297" s="2"/>
      <c r="J297" s="74"/>
      <c r="K297" s="74"/>
      <c r="L297" s="74"/>
      <c r="M297" s="74"/>
      <c r="N297" s="2"/>
      <c r="O297" s="2"/>
      <c r="P297" s="2"/>
      <c r="Q297" s="74"/>
      <c r="R297" s="2"/>
      <c r="S297" s="2"/>
      <c r="T297" s="76"/>
      <c r="U297" s="88"/>
    </row>
    <row r="298" ht="15.75" customHeight="1">
      <c r="A298" s="2"/>
      <c r="B298" s="2"/>
      <c r="C298" s="2"/>
      <c r="D298" s="2"/>
      <c r="E298" s="2"/>
      <c r="F298" s="2"/>
      <c r="G298" s="2"/>
      <c r="H298" s="2"/>
      <c r="I298" s="2"/>
      <c r="J298" s="74"/>
      <c r="K298" s="74"/>
      <c r="L298" s="74"/>
      <c r="M298" s="74"/>
      <c r="N298" s="2"/>
      <c r="O298" s="2"/>
      <c r="P298" s="2"/>
      <c r="Q298" s="74"/>
      <c r="R298" s="2"/>
      <c r="S298" s="2"/>
      <c r="T298" s="76"/>
      <c r="U298" s="88"/>
    </row>
    <row r="299" ht="15.75" customHeight="1">
      <c r="A299" s="2"/>
      <c r="B299" s="2"/>
      <c r="C299" s="2"/>
      <c r="D299" s="2"/>
      <c r="E299" s="2"/>
      <c r="F299" s="2"/>
      <c r="G299" s="2"/>
      <c r="H299" s="2"/>
      <c r="I299" s="2"/>
      <c r="J299" s="74"/>
      <c r="K299" s="74"/>
      <c r="L299" s="74"/>
      <c r="M299" s="74"/>
      <c r="N299" s="2"/>
      <c r="O299" s="2"/>
      <c r="P299" s="2"/>
      <c r="Q299" s="74"/>
      <c r="R299" s="2"/>
      <c r="S299" s="2"/>
      <c r="T299" s="76"/>
      <c r="U299" s="88"/>
    </row>
    <row r="300" ht="15.75" customHeight="1">
      <c r="A300" s="2"/>
      <c r="B300" s="2"/>
      <c r="C300" s="2"/>
      <c r="D300" s="2"/>
      <c r="E300" s="2"/>
      <c r="F300" s="2"/>
      <c r="G300" s="2"/>
      <c r="H300" s="2"/>
      <c r="I300" s="2"/>
      <c r="J300" s="74"/>
      <c r="K300" s="74"/>
      <c r="L300" s="74"/>
      <c r="M300" s="74"/>
      <c r="N300" s="2"/>
      <c r="O300" s="2"/>
      <c r="P300" s="2"/>
      <c r="Q300" s="74"/>
      <c r="R300" s="2"/>
      <c r="S300" s="2"/>
      <c r="T300" s="76"/>
      <c r="U300" s="88"/>
    </row>
    <row r="301" ht="15.75" customHeight="1">
      <c r="A301" s="2"/>
      <c r="B301" s="2"/>
      <c r="C301" s="2"/>
      <c r="D301" s="2"/>
      <c r="E301" s="2"/>
      <c r="F301" s="2"/>
      <c r="G301" s="2"/>
      <c r="H301" s="2"/>
      <c r="I301" s="2"/>
      <c r="J301" s="74"/>
      <c r="K301" s="74"/>
      <c r="L301" s="74"/>
      <c r="M301" s="74"/>
      <c r="N301" s="2"/>
      <c r="O301" s="2"/>
      <c r="P301" s="2"/>
      <c r="Q301" s="74"/>
      <c r="R301" s="2"/>
      <c r="S301" s="2"/>
      <c r="T301" s="76"/>
      <c r="U301" s="88"/>
    </row>
    <row r="302" ht="15.75" customHeight="1">
      <c r="A302" s="2"/>
      <c r="B302" s="2"/>
      <c r="C302" s="2"/>
      <c r="D302" s="2"/>
      <c r="E302" s="2"/>
      <c r="F302" s="2"/>
      <c r="G302" s="2"/>
      <c r="H302" s="2"/>
      <c r="I302" s="2"/>
      <c r="J302" s="74"/>
      <c r="K302" s="74"/>
      <c r="L302" s="74"/>
      <c r="M302" s="74"/>
      <c r="N302" s="2"/>
      <c r="O302" s="2"/>
      <c r="P302" s="2"/>
      <c r="Q302" s="74"/>
      <c r="R302" s="2"/>
      <c r="S302" s="2"/>
      <c r="T302" s="76"/>
      <c r="U302" s="88"/>
    </row>
    <row r="303" ht="15.75" customHeight="1">
      <c r="A303" s="2"/>
      <c r="B303" s="2"/>
      <c r="C303" s="2"/>
      <c r="D303" s="2"/>
      <c r="E303" s="2"/>
      <c r="F303" s="2"/>
      <c r="G303" s="2"/>
      <c r="H303" s="2"/>
      <c r="I303" s="2"/>
      <c r="J303" s="74"/>
      <c r="K303" s="74"/>
      <c r="L303" s="74"/>
      <c r="M303" s="74"/>
      <c r="N303" s="2"/>
      <c r="O303" s="2"/>
      <c r="P303" s="2"/>
      <c r="Q303" s="74"/>
      <c r="R303" s="2"/>
      <c r="S303" s="2"/>
      <c r="T303" s="76"/>
      <c r="U303" s="88"/>
    </row>
    <row r="304" ht="15.75" customHeight="1">
      <c r="A304" s="2"/>
      <c r="B304" s="2"/>
      <c r="C304" s="2"/>
      <c r="D304" s="2"/>
      <c r="E304" s="2"/>
      <c r="F304" s="2"/>
      <c r="G304" s="2"/>
      <c r="H304" s="2"/>
      <c r="I304" s="2"/>
      <c r="J304" s="74"/>
      <c r="K304" s="74"/>
      <c r="L304" s="74"/>
      <c r="M304" s="74"/>
      <c r="N304" s="2"/>
      <c r="O304" s="2"/>
      <c r="P304" s="2"/>
      <c r="Q304" s="74"/>
      <c r="R304" s="2"/>
      <c r="S304" s="2"/>
      <c r="T304" s="76"/>
      <c r="U304" s="88"/>
    </row>
    <row r="305" ht="15.75" customHeight="1">
      <c r="A305" s="2"/>
      <c r="B305" s="2"/>
      <c r="C305" s="2"/>
      <c r="D305" s="2"/>
      <c r="E305" s="2"/>
      <c r="F305" s="2"/>
      <c r="G305" s="2"/>
      <c r="H305" s="2"/>
      <c r="I305" s="2"/>
      <c r="J305" s="74"/>
      <c r="K305" s="74"/>
      <c r="L305" s="74"/>
      <c r="M305" s="74"/>
      <c r="N305" s="2"/>
      <c r="O305" s="2"/>
      <c r="P305" s="2"/>
      <c r="Q305" s="74"/>
      <c r="R305" s="2"/>
      <c r="S305" s="2"/>
      <c r="T305" s="76"/>
      <c r="U305" s="88"/>
    </row>
    <row r="306" ht="15.75" customHeight="1">
      <c r="A306" s="2"/>
      <c r="B306" s="2"/>
      <c r="C306" s="2"/>
      <c r="D306" s="2"/>
      <c r="E306" s="2"/>
      <c r="F306" s="2"/>
      <c r="G306" s="2"/>
      <c r="H306" s="2"/>
      <c r="I306" s="2"/>
      <c r="J306" s="74"/>
      <c r="K306" s="74"/>
      <c r="L306" s="74"/>
      <c r="M306" s="74"/>
      <c r="N306" s="2"/>
      <c r="O306" s="2"/>
      <c r="P306" s="2"/>
      <c r="Q306" s="74"/>
      <c r="R306" s="2"/>
      <c r="S306" s="2"/>
      <c r="T306" s="76"/>
      <c r="U306" s="88"/>
    </row>
    <row r="307" ht="15.75" customHeight="1">
      <c r="A307" s="2"/>
      <c r="B307" s="2"/>
      <c r="C307" s="2"/>
      <c r="D307" s="2"/>
      <c r="E307" s="2"/>
      <c r="F307" s="2"/>
      <c r="G307" s="2"/>
      <c r="H307" s="2"/>
      <c r="I307" s="2"/>
      <c r="J307" s="74"/>
      <c r="K307" s="74"/>
      <c r="L307" s="74"/>
      <c r="M307" s="74"/>
      <c r="N307" s="2"/>
      <c r="O307" s="2"/>
      <c r="P307" s="2"/>
      <c r="Q307" s="74"/>
      <c r="R307" s="2"/>
      <c r="S307" s="2"/>
      <c r="T307" s="76"/>
      <c r="U307" s="88"/>
    </row>
    <row r="308" ht="15.75" customHeight="1">
      <c r="A308" s="2"/>
      <c r="B308" s="2"/>
      <c r="C308" s="2"/>
      <c r="D308" s="2"/>
      <c r="E308" s="2"/>
      <c r="F308" s="2"/>
      <c r="G308" s="2"/>
      <c r="H308" s="2"/>
      <c r="I308" s="2"/>
      <c r="J308" s="74"/>
      <c r="K308" s="74"/>
      <c r="L308" s="74"/>
      <c r="M308" s="74"/>
      <c r="N308" s="2"/>
      <c r="O308" s="2"/>
      <c r="P308" s="2"/>
      <c r="Q308" s="74"/>
      <c r="R308" s="2"/>
      <c r="S308" s="2"/>
      <c r="T308" s="76"/>
      <c r="U308" s="88"/>
    </row>
    <row r="309" ht="15.75" customHeight="1">
      <c r="A309" s="2"/>
      <c r="B309" s="2"/>
      <c r="C309" s="2"/>
      <c r="D309" s="2"/>
      <c r="E309" s="2"/>
      <c r="F309" s="2"/>
      <c r="G309" s="2"/>
      <c r="H309" s="2"/>
      <c r="I309" s="2"/>
      <c r="J309" s="74"/>
      <c r="K309" s="74"/>
      <c r="L309" s="74"/>
      <c r="M309" s="74"/>
      <c r="N309" s="2"/>
      <c r="O309" s="2"/>
      <c r="P309" s="2"/>
      <c r="Q309" s="74"/>
      <c r="R309" s="2"/>
      <c r="S309" s="2"/>
      <c r="T309" s="76"/>
      <c r="U309" s="88"/>
    </row>
    <row r="310" ht="15.75" customHeight="1">
      <c r="A310" s="2"/>
      <c r="B310" s="2"/>
      <c r="C310" s="2"/>
      <c r="D310" s="2"/>
      <c r="E310" s="2"/>
      <c r="F310" s="2"/>
      <c r="G310" s="2"/>
      <c r="H310" s="2"/>
      <c r="I310" s="2"/>
      <c r="J310" s="74"/>
      <c r="K310" s="74"/>
      <c r="L310" s="74"/>
      <c r="M310" s="74"/>
      <c r="N310" s="2"/>
      <c r="O310" s="2"/>
      <c r="P310" s="2"/>
      <c r="Q310" s="74"/>
      <c r="R310" s="2"/>
      <c r="S310" s="2"/>
      <c r="T310" s="76"/>
      <c r="U310" s="88"/>
    </row>
    <row r="311" ht="15.75" customHeight="1">
      <c r="A311" s="2"/>
      <c r="B311" s="2"/>
      <c r="C311" s="2"/>
      <c r="D311" s="2"/>
      <c r="E311" s="2"/>
      <c r="F311" s="2"/>
      <c r="G311" s="2"/>
      <c r="H311" s="2"/>
      <c r="I311" s="2"/>
      <c r="J311" s="74"/>
      <c r="K311" s="74"/>
      <c r="L311" s="74"/>
      <c r="M311" s="74"/>
      <c r="N311" s="2"/>
      <c r="O311" s="2"/>
      <c r="P311" s="2"/>
      <c r="Q311" s="74"/>
      <c r="R311" s="2"/>
      <c r="S311" s="2"/>
      <c r="T311" s="76"/>
      <c r="U311" s="88"/>
    </row>
    <row r="312" ht="15.75" customHeight="1">
      <c r="A312" s="2"/>
      <c r="B312" s="2"/>
      <c r="C312" s="2"/>
      <c r="D312" s="2"/>
      <c r="E312" s="2"/>
      <c r="F312" s="2"/>
      <c r="G312" s="2"/>
      <c r="H312" s="2"/>
      <c r="I312" s="2"/>
      <c r="J312" s="74"/>
      <c r="K312" s="74"/>
      <c r="L312" s="74"/>
      <c r="M312" s="74"/>
      <c r="N312" s="2"/>
      <c r="O312" s="2"/>
      <c r="P312" s="2"/>
      <c r="Q312" s="74"/>
      <c r="R312" s="2"/>
      <c r="S312" s="2"/>
      <c r="T312" s="76"/>
      <c r="U312" s="88"/>
    </row>
    <row r="313" ht="15.75" customHeight="1">
      <c r="A313" s="2"/>
      <c r="B313" s="2"/>
      <c r="C313" s="2"/>
      <c r="D313" s="2"/>
      <c r="E313" s="2"/>
      <c r="F313" s="2"/>
      <c r="G313" s="2"/>
      <c r="H313" s="2"/>
      <c r="I313" s="2"/>
      <c r="J313" s="74"/>
      <c r="K313" s="74"/>
      <c r="L313" s="74"/>
      <c r="M313" s="74"/>
      <c r="N313" s="2"/>
      <c r="O313" s="2"/>
      <c r="P313" s="2"/>
      <c r="Q313" s="74"/>
      <c r="R313" s="2"/>
      <c r="S313" s="2"/>
      <c r="T313" s="76"/>
      <c r="U313" s="88"/>
    </row>
    <row r="314" ht="15.75" customHeight="1">
      <c r="A314" s="2"/>
      <c r="B314" s="2"/>
      <c r="C314" s="2"/>
      <c r="D314" s="2"/>
      <c r="E314" s="2"/>
      <c r="F314" s="2"/>
      <c r="G314" s="2"/>
      <c r="H314" s="2"/>
      <c r="I314" s="2"/>
      <c r="J314" s="74"/>
      <c r="K314" s="74"/>
      <c r="L314" s="74"/>
      <c r="M314" s="74"/>
      <c r="N314" s="2"/>
      <c r="O314" s="2"/>
      <c r="P314" s="2"/>
      <c r="Q314" s="74"/>
      <c r="R314" s="2"/>
      <c r="S314" s="2"/>
      <c r="T314" s="76"/>
      <c r="U314" s="88"/>
    </row>
    <row r="315" ht="15.75" customHeight="1">
      <c r="A315" s="2"/>
      <c r="B315" s="2"/>
      <c r="C315" s="2"/>
      <c r="D315" s="2"/>
      <c r="E315" s="2"/>
      <c r="F315" s="2"/>
      <c r="G315" s="2"/>
      <c r="H315" s="2"/>
      <c r="I315" s="2"/>
      <c r="J315" s="74"/>
      <c r="K315" s="74"/>
      <c r="L315" s="74"/>
      <c r="M315" s="74"/>
      <c r="N315" s="2"/>
      <c r="O315" s="2"/>
      <c r="P315" s="2"/>
      <c r="Q315" s="74"/>
      <c r="R315" s="2"/>
      <c r="S315" s="2"/>
      <c r="T315" s="76"/>
      <c r="U315" s="88"/>
    </row>
    <row r="316" ht="15.75" customHeight="1">
      <c r="A316" s="2"/>
      <c r="B316" s="2"/>
      <c r="C316" s="2"/>
      <c r="D316" s="2"/>
      <c r="E316" s="2"/>
      <c r="F316" s="2"/>
      <c r="G316" s="2"/>
      <c r="H316" s="2"/>
      <c r="I316" s="2"/>
      <c r="J316" s="74"/>
      <c r="K316" s="74"/>
      <c r="L316" s="74"/>
      <c r="M316" s="74"/>
      <c r="N316" s="2"/>
      <c r="O316" s="2"/>
      <c r="P316" s="2"/>
      <c r="Q316" s="74"/>
      <c r="R316" s="2"/>
      <c r="S316" s="2"/>
      <c r="T316" s="76"/>
      <c r="U316" s="88"/>
    </row>
    <row r="317" ht="15.75" customHeight="1">
      <c r="A317" s="2"/>
      <c r="B317" s="2"/>
      <c r="C317" s="2"/>
      <c r="D317" s="2"/>
      <c r="E317" s="2"/>
      <c r="F317" s="2"/>
      <c r="G317" s="2"/>
      <c r="H317" s="2"/>
      <c r="I317" s="2"/>
      <c r="J317" s="74"/>
      <c r="K317" s="74"/>
      <c r="L317" s="74"/>
      <c r="M317" s="74"/>
      <c r="N317" s="2"/>
      <c r="O317" s="2"/>
      <c r="P317" s="2"/>
      <c r="Q317" s="74"/>
      <c r="R317" s="2"/>
      <c r="S317" s="2"/>
      <c r="T317" s="76"/>
      <c r="U317" s="88"/>
    </row>
    <row r="318" ht="15.75" customHeight="1">
      <c r="A318" s="2"/>
      <c r="B318" s="2"/>
      <c r="C318" s="2"/>
      <c r="D318" s="2"/>
      <c r="E318" s="2"/>
      <c r="F318" s="2"/>
      <c r="G318" s="2"/>
      <c r="H318" s="2"/>
      <c r="I318" s="2"/>
      <c r="J318" s="74"/>
      <c r="K318" s="74"/>
      <c r="L318" s="74"/>
      <c r="M318" s="74"/>
      <c r="N318" s="2"/>
      <c r="O318" s="2"/>
      <c r="P318" s="2"/>
      <c r="Q318" s="74"/>
      <c r="R318" s="2"/>
      <c r="S318" s="2"/>
      <c r="T318" s="76"/>
      <c r="U318" s="88"/>
    </row>
    <row r="319" ht="15.75" customHeight="1">
      <c r="A319" s="2"/>
      <c r="B319" s="2"/>
      <c r="C319" s="2"/>
      <c r="D319" s="2"/>
      <c r="E319" s="2"/>
      <c r="F319" s="2"/>
      <c r="G319" s="2"/>
      <c r="H319" s="2"/>
      <c r="I319" s="2"/>
      <c r="J319" s="74"/>
      <c r="K319" s="74"/>
      <c r="L319" s="74"/>
      <c r="M319" s="74"/>
      <c r="N319" s="2"/>
      <c r="O319" s="2"/>
      <c r="P319" s="2"/>
      <c r="Q319" s="74"/>
      <c r="R319" s="2"/>
      <c r="S319" s="2"/>
      <c r="T319" s="76"/>
      <c r="U319" s="88"/>
    </row>
    <row r="320" ht="15.75" customHeight="1">
      <c r="A320" s="2"/>
      <c r="B320" s="2"/>
      <c r="C320" s="2"/>
      <c r="D320" s="2"/>
      <c r="E320" s="2"/>
      <c r="F320" s="2"/>
      <c r="G320" s="2"/>
      <c r="H320" s="2"/>
      <c r="I320" s="2"/>
      <c r="J320" s="74"/>
      <c r="K320" s="74"/>
      <c r="L320" s="74"/>
      <c r="M320" s="74"/>
      <c r="N320" s="2"/>
      <c r="O320" s="2"/>
      <c r="P320" s="2"/>
      <c r="Q320" s="74"/>
      <c r="R320" s="2"/>
      <c r="S320" s="2"/>
      <c r="T320" s="76"/>
      <c r="U320" s="88"/>
    </row>
    <row r="321" ht="15.75" customHeight="1">
      <c r="A321" s="2"/>
      <c r="B321" s="2"/>
      <c r="C321" s="2"/>
      <c r="D321" s="2"/>
      <c r="E321" s="2"/>
      <c r="F321" s="2"/>
      <c r="G321" s="2"/>
      <c r="H321" s="2"/>
      <c r="I321" s="2"/>
      <c r="J321" s="74"/>
      <c r="K321" s="74"/>
      <c r="L321" s="74"/>
      <c r="M321" s="74"/>
      <c r="N321" s="2"/>
      <c r="O321" s="2"/>
      <c r="P321" s="2"/>
      <c r="Q321" s="74"/>
      <c r="R321" s="2"/>
      <c r="S321" s="2"/>
      <c r="T321" s="76"/>
      <c r="U321" s="88"/>
    </row>
    <row r="322" ht="15.75" customHeight="1">
      <c r="A322" s="2"/>
      <c r="B322" s="2"/>
      <c r="C322" s="2"/>
      <c r="D322" s="2"/>
      <c r="E322" s="2"/>
      <c r="F322" s="2"/>
      <c r="G322" s="2"/>
      <c r="H322" s="2"/>
      <c r="I322" s="2"/>
      <c r="J322" s="74"/>
      <c r="K322" s="74"/>
      <c r="L322" s="74"/>
      <c r="M322" s="74"/>
      <c r="N322" s="2"/>
      <c r="O322" s="2"/>
      <c r="P322" s="2"/>
      <c r="Q322" s="74"/>
      <c r="R322" s="2"/>
      <c r="S322" s="2"/>
      <c r="T322" s="76"/>
      <c r="U322" s="88"/>
    </row>
    <row r="323" ht="15.75" customHeight="1">
      <c r="A323" s="2"/>
      <c r="B323" s="2"/>
      <c r="C323" s="2"/>
      <c r="D323" s="2"/>
      <c r="E323" s="2"/>
      <c r="F323" s="2"/>
      <c r="G323" s="2"/>
      <c r="H323" s="2"/>
      <c r="I323" s="2"/>
      <c r="J323" s="74"/>
      <c r="K323" s="74"/>
      <c r="L323" s="74"/>
      <c r="M323" s="74"/>
      <c r="N323" s="2"/>
      <c r="O323" s="2"/>
      <c r="P323" s="2"/>
      <c r="Q323" s="74"/>
      <c r="R323" s="2"/>
      <c r="S323" s="2"/>
      <c r="T323" s="76"/>
      <c r="U323" s="88"/>
    </row>
    <row r="324" ht="15.75" customHeight="1">
      <c r="A324" s="2"/>
      <c r="B324" s="2"/>
      <c r="C324" s="2"/>
      <c r="D324" s="2"/>
      <c r="E324" s="2"/>
      <c r="F324" s="2"/>
      <c r="G324" s="2"/>
      <c r="H324" s="2"/>
      <c r="I324" s="2"/>
      <c r="J324" s="74"/>
      <c r="K324" s="74"/>
      <c r="L324" s="74"/>
      <c r="M324" s="74"/>
      <c r="N324" s="2"/>
      <c r="O324" s="2"/>
      <c r="P324" s="2"/>
      <c r="Q324" s="74"/>
      <c r="R324" s="2"/>
      <c r="S324" s="2"/>
      <c r="T324" s="76"/>
      <c r="U324" s="88"/>
    </row>
    <row r="325" ht="15.75" customHeight="1">
      <c r="A325" s="2"/>
      <c r="B325" s="2"/>
      <c r="C325" s="2"/>
      <c r="D325" s="2"/>
      <c r="E325" s="2"/>
      <c r="F325" s="2"/>
      <c r="G325" s="2"/>
      <c r="H325" s="2"/>
      <c r="I325" s="2"/>
      <c r="J325" s="74"/>
      <c r="K325" s="74"/>
      <c r="L325" s="74"/>
      <c r="M325" s="74"/>
      <c r="N325" s="2"/>
      <c r="O325" s="2"/>
      <c r="P325" s="2"/>
      <c r="Q325" s="74"/>
      <c r="R325" s="2"/>
      <c r="S325" s="2"/>
      <c r="T325" s="76"/>
      <c r="U325" s="88"/>
    </row>
    <row r="326" ht="15.75" customHeight="1">
      <c r="A326" s="2"/>
      <c r="B326" s="2"/>
      <c r="C326" s="2"/>
      <c r="D326" s="2"/>
      <c r="E326" s="2"/>
      <c r="F326" s="2"/>
      <c r="G326" s="2"/>
      <c r="H326" s="2"/>
      <c r="I326" s="2"/>
      <c r="J326" s="74"/>
      <c r="K326" s="74"/>
      <c r="L326" s="74"/>
      <c r="M326" s="74"/>
      <c r="N326" s="2"/>
      <c r="O326" s="2"/>
      <c r="P326" s="2"/>
      <c r="Q326" s="74"/>
      <c r="R326" s="2"/>
      <c r="S326" s="2"/>
      <c r="T326" s="76"/>
      <c r="U326" s="88"/>
    </row>
    <row r="327" ht="15.75" customHeight="1">
      <c r="A327" s="2"/>
      <c r="B327" s="2"/>
      <c r="C327" s="2"/>
      <c r="D327" s="2"/>
      <c r="E327" s="2"/>
      <c r="F327" s="2"/>
      <c r="G327" s="2"/>
      <c r="H327" s="2"/>
      <c r="I327" s="2"/>
      <c r="J327" s="74"/>
      <c r="K327" s="74"/>
      <c r="L327" s="74"/>
      <c r="M327" s="74"/>
      <c r="N327" s="2"/>
      <c r="O327" s="2"/>
      <c r="P327" s="2"/>
      <c r="Q327" s="74"/>
      <c r="R327" s="2"/>
      <c r="S327" s="2"/>
      <c r="T327" s="76"/>
      <c r="U327" s="88"/>
    </row>
    <row r="328" ht="15.75" customHeight="1">
      <c r="A328" s="2"/>
      <c r="B328" s="2"/>
      <c r="C328" s="2"/>
      <c r="D328" s="2"/>
      <c r="E328" s="2"/>
      <c r="F328" s="2"/>
      <c r="G328" s="2"/>
      <c r="H328" s="2"/>
      <c r="I328" s="2"/>
      <c r="J328" s="74"/>
      <c r="K328" s="74"/>
      <c r="L328" s="74"/>
      <c r="M328" s="74"/>
      <c r="N328" s="2"/>
      <c r="O328" s="2"/>
      <c r="P328" s="2"/>
      <c r="Q328" s="74"/>
      <c r="R328" s="2"/>
      <c r="S328" s="2"/>
      <c r="T328" s="76"/>
      <c r="U328" s="88"/>
    </row>
    <row r="329" ht="15.75" customHeight="1">
      <c r="A329" s="2"/>
      <c r="B329" s="2"/>
      <c r="C329" s="2"/>
      <c r="D329" s="2"/>
      <c r="E329" s="2"/>
      <c r="F329" s="2"/>
      <c r="G329" s="2"/>
      <c r="H329" s="2"/>
      <c r="I329" s="2"/>
      <c r="J329" s="74"/>
      <c r="K329" s="74"/>
      <c r="L329" s="74"/>
      <c r="M329" s="74"/>
      <c r="N329" s="2"/>
      <c r="O329" s="2"/>
      <c r="P329" s="2"/>
      <c r="Q329" s="74"/>
      <c r="R329" s="2"/>
      <c r="S329" s="2"/>
      <c r="T329" s="76"/>
      <c r="U329" s="88"/>
    </row>
    <row r="330" ht="15.75" customHeight="1">
      <c r="A330" s="2"/>
      <c r="B330" s="2"/>
      <c r="C330" s="2"/>
      <c r="D330" s="2"/>
      <c r="E330" s="2"/>
      <c r="F330" s="2"/>
      <c r="G330" s="2"/>
      <c r="H330" s="2"/>
      <c r="I330" s="2"/>
      <c r="J330" s="74"/>
      <c r="K330" s="74"/>
      <c r="L330" s="74"/>
      <c r="M330" s="74"/>
      <c r="N330" s="2"/>
      <c r="O330" s="2"/>
      <c r="P330" s="2"/>
      <c r="Q330" s="74"/>
      <c r="R330" s="2"/>
      <c r="S330" s="2"/>
      <c r="T330" s="76"/>
      <c r="U330" s="88"/>
    </row>
    <row r="331" ht="15.75" customHeight="1">
      <c r="A331" s="2"/>
      <c r="B331" s="2"/>
      <c r="C331" s="2"/>
      <c r="D331" s="2"/>
      <c r="E331" s="2"/>
      <c r="F331" s="2"/>
      <c r="G331" s="2"/>
      <c r="H331" s="2"/>
      <c r="I331" s="2"/>
      <c r="J331" s="74"/>
      <c r="K331" s="74"/>
      <c r="L331" s="74"/>
      <c r="M331" s="74"/>
      <c r="N331" s="2"/>
      <c r="O331" s="2"/>
      <c r="P331" s="2"/>
      <c r="Q331" s="74"/>
      <c r="R331" s="2"/>
      <c r="S331" s="2"/>
      <c r="T331" s="76"/>
      <c r="U331" s="88"/>
    </row>
    <row r="332" ht="15.75" customHeight="1">
      <c r="A332" s="2"/>
      <c r="B332" s="2"/>
      <c r="C332" s="2"/>
      <c r="D332" s="2"/>
      <c r="E332" s="2"/>
      <c r="F332" s="2"/>
      <c r="G332" s="2"/>
      <c r="H332" s="2"/>
      <c r="I332" s="2"/>
      <c r="J332" s="74"/>
      <c r="K332" s="74"/>
      <c r="L332" s="74"/>
      <c r="M332" s="74"/>
      <c r="N332" s="2"/>
      <c r="O332" s="2"/>
      <c r="P332" s="2"/>
      <c r="Q332" s="74"/>
      <c r="R332" s="2"/>
      <c r="S332" s="2"/>
      <c r="T332" s="76"/>
      <c r="U332" s="88"/>
    </row>
    <row r="333" ht="15.75" customHeight="1">
      <c r="A333" s="2"/>
      <c r="B333" s="2"/>
      <c r="C333" s="2"/>
      <c r="D333" s="2"/>
      <c r="E333" s="2"/>
      <c r="F333" s="2"/>
      <c r="G333" s="2"/>
      <c r="H333" s="2"/>
      <c r="I333" s="2"/>
      <c r="J333" s="74"/>
      <c r="K333" s="74"/>
      <c r="L333" s="74"/>
      <c r="M333" s="74"/>
      <c r="N333" s="2"/>
      <c r="O333" s="2"/>
      <c r="P333" s="2"/>
      <c r="Q333" s="74"/>
      <c r="R333" s="2"/>
      <c r="S333" s="2"/>
      <c r="T333" s="76"/>
      <c r="U333" s="88"/>
    </row>
    <row r="334" ht="15.75" customHeight="1">
      <c r="A334" s="2"/>
      <c r="B334" s="2"/>
      <c r="C334" s="2"/>
      <c r="D334" s="2"/>
      <c r="E334" s="2"/>
      <c r="F334" s="2"/>
      <c r="G334" s="2"/>
      <c r="H334" s="2"/>
      <c r="I334" s="2"/>
      <c r="J334" s="74"/>
      <c r="K334" s="74"/>
      <c r="L334" s="74"/>
      <c r="M334" s="74"/>
      <c r="N334" s="2"/>
      <c r="O334" s="2"/>
      <c r="P334" s="2"/>
      <c r="Q334" s="74"/>
      <c r="R334" s="2"/>
      <c r="S334" s="2"/>
      <c r="T334" s="76"/>
      <c r="U334" s="88"/>
    </row>
    <row r="335" ht="15.75" customHeight="1">
      <c r="A335" s="2"/>
      <c r="B335" s="2"/>
      <c r="C335" s="2"/>
      <c r="D335" s="2"/>
      <c r="E335" s="2"/>
      <c r="F335" s="2"/>
      <c r="G335" s="2"/>
      <c r="H335" s="2"/>
      <c r="I335" s="2"/>
      <c r="J335" s="74"/>
      <c r="K335" s="74"/>
      <c r="L335" s="74"/>
      <c r="M335" s="74"/>
      <c r="N335" s="2"/>
      <c r="O335" s="2"/>
      <c r="P335" s="2"/>
      <c r="Q335" s="74"/>
      <c r="R335" s="2"/>
      <c r="S335" s="2"/>
      <c r="T335" s="76"/>
      <c r="U335" s="88"/>
    </row>
    <row r="336" ht="15.75" customHeight="1">
      <c r="A336" s="2"/>
      <c r="B336" s="2"/>
      <c r="C336" s="2"/>
      <c r="D336" s="2"/>
      <c r="E336" s="2"/>
      <c r="F336" s="2"/>
      <c r="G336" s="2"/>
      <c r="H336" s="2"/>
      <c r="I336" s="2"/>
      <c r="J336" s="74"/>
      <c r="K336" s="74"/>
      <c r="L336" s="74"/>
      <c r="M336" s="74"/>
      <c r="N336" s="2"/>
      <c r="O336" s="2"/>
      <c r="P336" s="2"/>
      <c r="Q336" s="74"/>
      <c r="R336" s="2"/>
      <c r="S336" s="2"/>
      <c r="T336" s="76"/>
      <c r="U336" s="88"/>
    </row>
    <row r="337" ht="15.75" customHeight="1">
      <c r="A337" s="2"/>
      <c r="B337" s="2"/>
      <c r="C337" s="2"/>
      <c r="D337" s="2"/>
      <c r="E337" s="2"/>
      <c r="F337" s="2"/>
      <c r="G337" s="2"/>
      <c r="H337" s="2"/>
      <c r="I337" s="2"/>
      <c r="J337" s="74"/>
      <c r="K337" s="74"/>
      <c r="L337" s="74"/>
      <c r="M337" s="74"/>
      <c r="N337" s="2"/>
      <c r="O337" s="2"/>
      <c r="P337" s="2"/>
      <c r="Q337" s="74"/>
      <c r="R337" s="2"/>
      <c r="S337" s="2"/>
      <c r="T337" s="76"/>
      <c r="U337" s="88"/>
    </row>
    <row r="338" ht="15.75" customHeight="1">
      <c r="A338" s="2"/>
      <c r="B338" s="2"/>
      <c r="C338" s="2"/>
      <c r="D338" s="2"/>
      <c r="E338" s="2"/>
      <c r="F338" s="2"/>
      <c r="G338" s="2"/>
      <c r="H338" s="2"/>
      <c r="I338" s="2"/>
      <c r="J338" s="74"/>
      <c r="K338" s="74"/>
      <c r="L338" s="74"/>
      <c r="M338" s="74"/>
      <c r="N338" s="2"/>
      <c r="O338" s="2"/>
      <c r="P338" s="2"/>
      <c r="Q338" s="74"/>
      <c r="R338" s="2"/>
      <c r="S338" s="2"/>
      <c r="T338" s="76"/>
      <c r="U338" s="88"/>
    </row>
    <row r="339" ht="15.75" customHeight="1">
      <c r="A339" s="2"/>
      <c r="B339" s="2"/>
      <c r="C339" s="2"/>
      <c r="D339" s="2"/>
      <c r="E339" s="2"/>
      <c r="F339" s="2"/>
      <c r="G339" s="2"/>
      <c r="H339" s="2"/>
      <c r="I339" s="2"/>
      <c r="J339" s="74"/>
      <c r="K339" s="74"/>
      <c r="L339" s="74"/>
      <c r="M339" s="74"/>
      <c r="N339" s="2"/>
      <c r="O339" s="2"/>
      <c r="P339" s="2"/>
      <c r="Q339" s="74"/>
      <c r="R339" s="2"/>
      <c r="S339" s="2"/>
      <c r="T339" s="76"/>
      <c r="U339" s="88"/>
    </row>
    <row r="340" ht="15.75" customHeight="1">
      <c r="A340" s="2"/>
      <c r="B340" s="2"/>
      <c r="C340" s="2"/>
      <c r="D340" s="2"/>
      <c r="E340" s="2"/>
      <c r="F340" s="2"/>
      <c r="G340" s="2"/>
      <c r="H340" s="2"/>
      <c r="I340" s="2"/>
      <c r="J340" s="74"/>
      <c r="K340" s="74"/>
      <c r="L340" s="74"/>
      <c r="M340" s="74"/>
      <c r="N340" s="2"/>
      <c r="O340" s="2"/>
      <c r="P340" s="2"/>
      <c r="Q340" s="74"/>
      <c r="R340" s="2"/>
      <c r="S340" s="2"/>
      <c r="T340" s="76"/>
      <c r="U340" s="88"/>
    </row>
    <row r="341" ht="15.75" customHeight="1">
      <c r="A341" s="2"/>
      <c r="B341" s="2"/>
      <c r="C341" s="2"/>
      <c r="D341" s="2"/>
      <c r="E341" s="2"/>
      <c r="F341" s="2"/>
      <c r="G341" s="2"/>
      <c r="H341" s="2"/>
      <c r="I341" s="2"/>
      <c r="J341" s="74"/>
      <c r="K341" s="74"/>
      <c r="L341" s="74"/>
      <c r="M341" s="74"/>
      <c r="N341" s="2"/>
      <c r="O341" s="2"/>
      <c r="P341" s="2"/>
      <c r="Q341" s="74"/>
      <c r="R341" s="2"/>
      <c r="S341" s="2"/>
      <c r="T341" s="76"/>
      <c r="U341" s="88"/>
    </row>
    <row r="342" ht="15.75" customHeight="1">
      <c r="A342" s="2"/>
      <c r="B342" s="2"/>
      <c r="C342" s="2"/>
      <c r="D342" s="2"/>
      <c r="E342" s="2"/>
      <c r="F342" s="2"/>
      <c r="G342" s="2"/>
      <c r="H342" s="2"/>
      <c r="I342" s="2"/>
      <c r="J342" s="74"/>
      <c r="K342" s="74"/>
      <c r="L342" s="74"/>
      <c r="M342" s="74"/>
      <c r="N342" s="2"/>
      <c r="O342" s="2"/>
      <c r="P342" s="2"/>
      <c r="Q342" s="74"/>
      <c r="R342" s="2"/>
      <c r="S342" s="2"/>
      <c r="T342" s="76"/>
      <c r="U342" s="88"/>
    </row>
    <row r="343" ht="15.75" customHeight="1">
      <c r="A343" s="2"/>
      <c r="B343" s="2"/>
      <c r="C343" s="2"/>
      <c r="D343" s="2"/>
      <c r="E343" s="2"/>
      <c r="F343" s="2"/>
      <c r="G343" s="2"/>
      <c r="H343" s="2"/>
      <c r="I343" s="2"/>
      <c r="J343" s="74"/>
      <c r="K343" s="74"/>
      <c r="L343" s="74"/>
      <c r="M343" s="74"/>
      <c r="N343" s="2"/>
      <c r="O343" s="2"/>
      <c r="P343" s="2"/>
      <c r="Q343" s="74"/>
      <c r="R343" s="2"/>
      <c r="S343" s="2"/>
      <c r="T343" s="76"/>
      <c r="U343" s="88"/>
    </row>
    <row r="344" ht="15.75" customHeight="1">
      <c r="A344" s="2"/>
      <c r="B344" s="2"/>
      <c r="C344" s="2"/>
      <c r="D344" s="2"/>
      <c r="E344" s="2"/>
      <c r="F344" s="2"/>
      <c r="G344" s="2"/>
      <c r="H344" s="2"/>
      <c r="I344" s="2"/>
      <c r="J344" s="74"/>
      <c r="K344" s="74"/>
      <c r="L344" s="74"/>
      <c r="M344" s="74"/>
      <c r="N344" s="2"/>
      <c r="O344" s="2"/>
      <c r="P344" s="2"/>
      <c r="Q344" s="74"/>
      <c r="R344" s="2"/>
      <c r="S344" s="2"/>
      <c r="T344" s="76"/>
      <c r="U344" s="88"/>
    </row>
    <row r="345" ht="15.75" customHeight="1">
      <c r="A345" s="2"/>
      <c r="B345" s="2"/>
      <c r="C345" s="2"/>
      <c r="D345" s="2"/>
      <c r="E345" s="2"/>
      <c r="F345" s="2"/>
      <c r="G345" s="2"/>
      <c r="H345" s="2"/>
      <c r="I345" s="2"/>
      <c r="J345" s="74"/>
      <c r="K345" s="74"/>
      <c r="L345" s="74"/>
      <c r="M345" s="74"/>
      <c r="N345" s="2"/>
      <c r="O345" s="2"/>
      <c r="P345" s="2"/>
      <c r="Q345" s="74"/>
      <c r="R345" s="2"/>
      <c r="S345" s="2"/>
      <c r="T345" s="76"/>
      <c r="U345" s="88"/>
    </row>
    <row r="346" ht="15.75" customHeight="1">
      <c r="A346" s="2"/>
      <c r="B346" s="2"/>
      <c r="C346" s="2"/>
      <c r="D346" s="2"/>
      <c r="E346" s="2"/>
      <c r="F346" s="2"/>
      <c r="G346" s="2"/>
      <c r="H346" s="2"/>
      <c r="I346" s="2"/>
      <c r="J346" s="74"/>
      <c r="K346" s="74"/>
      <c r="L346" s="74"/>
      <c r="M346" s="74"/>
      <c r="N346" s="2"/>
      <c r="O346" s="2"/>
      <c r="P346" s="2"/>
      <c r="Q346" s="74"/>
      <c r="R346" s="2"/>
      <c r="S346" s="2"/>
      <c r="T346" s="76"/>
      <c r="U346" s="88"/>
    </row>
    <row r="347" ht="15.75" customHeight="1">
      <c r="A347" s="2"/>
      <c r="B347" s="2"/>
      <c r="C347" s="2"/>
      <c r="D347" s="2"/>
      <c r="E347" s="2"/>
      <c r="F347" s="2"/>
      <c r="G347" s="2"/>
      <c r="H347" s="2"/>
      <c r="I347" s="2"/>
      <c r="J347" s="74"/>
      <c r="K347" s="74"/>
      <c r="L347" s="74"/>
      <c r="M347" s="74"/>
      <c r="N347" s="2"/>
      <c r="O347" s="2"/>
      <c r="P347" s="2"/>
      <c r="Q347" s="74"/>
      <c r="R347" s="2"/>
      <c r="S347" s="2"/>
      <c r="T347" s="76"/>
      <c r="U347" s="88"/>
    </row>
    <row r="348" ht="15.75" customHeight="1">
      <c r="A348" s="2"/>
      <c r="B348" s="2"/>
      <c r="C348" s="2"/>
      <c r="D348" s="2"/>
      <c r="E348" s="2"/>
      <c r="F348" s="2"/>
      <c r="G348" s="2"/>
      <c r="H348" s="2"/>
      <c r="I348" s="2"/>
      <c r="J348" s="74"/>
      <c r="K348" s="74"/>
      <c r="L348" s="74"/>
      <c r="M348" s="74"/>
      <c r="N348" s="2"/>
      <c r="O348" s="2"/>
      <c r="P348" s="2"/>
      <c r="Q348" s="74"/>
      <c r="R348" s="2"/>
      <c r="S348" s="2"/>
      <c r="T348" s="76"/>
      <c r="U348" s="88"/>
    </row>
    <row r="349" ht="15.75" customHeight="1">
      <c r="A349" s="2"/>
      <c r="B349" s="2"/>
      <c r="C349" s="2"/>
      <c r="D349" s="2"/>
      <c r="E349" s="2"/>
      <c r="F349" s="2"/>
      <c r="G349" s="2"/>
      <c r="H349" s="2"/>
      <c r="I349" s="2"/>
      <c r="J349" s="74"/>
      <c r="K349" s="74"/>
      <c r="L349" s="74"/>
      <c r="M349" s="74"/>
      <c r="N349" s="2"/>
      <c r="O349" s="2"/>
      <c r="P349" s="2"/>
      <c r="Q349" s="74"/>
      <c r="R349" s="2"/>
      <c r="S349" s="2"/>
      <c r="T349" s="76"/>
      <c r="U349" s="88"/>
    </row>
    <row r="350" ht="15.75" customHeight="1">
      <c r="A350" s="2"/>
      <c r="B350" s="2"/>
      <c r="C350" s="2"/>
      <c r="D350" s="2"/>
      <c r="E350" s="2"/>
      <c r="F350" s="2"/>
      <c r="G350" s="2"/>
      <c r="H350" s="2"/>
      <c r="I350" s="2"/>
      <c r="J350" s="74"/>
      <c r="K350" s="74"/>
      <c r="L350" s="74"/>
      <c r="M350" s="74"/>
      <c r="N350" s="2"/>
      <c r="O350" s="2"/>
      <c r="P350" s="2"/>
      <c r="Q350" s="74"/>
      <c r="R350" s="2"/>
      <c r="S350" s="2"/>
      <c r="T350" s="76"/>
      <c r="U350" s="88"/>
    </row>
    <row r="351" ht="15.75" customHeight="1">
      <c r="A351" s="2"/>
      <c r="B351" s="2"/>
      <c r="C351" s="2"/>
      <c r="D351" s="2"/>
      <c r="E351" s="2"/>
      <c r="F351" s="2"/>
      <c r="G351" s="2"/>
      <c r="H351" s="2"/>
      <c r="I351" s="2"/>
      <c r="J351" s="74"/>
      <c r="K351" s="74"/>
      <c r="L351" s="74"/>
      <c r="M351" s="74"/>
      <c r="N351" s="2"/>
      <c r="O351" s="2"/>
      <c r="P351" s="2"/>
      <c r="Q351" s="74"/>
      <c r="R351" s="2"/>
      <c r="S351" s="2"/>
      <c r="T351" s="76"/>
      <c r="U351" s="88"/>
    </row>
    <row r="352" ht="15.75" customHeight="1">
      <c r="A352" s="2"/>
      <c r="B352" s="2"/>
      <c r="C352" s="2"/>
      <c r="D352" s="2"/>
      <c r="E352" s="2"/>
      <c r="F352" s="2"/>
      <c r="G352" s="2"/>
      <c r="H352" s="2"/>
      <c r="I352" s="2"/>
      <c r="J352" s="74"/>
      <c r="K352" s="74"/>
      <c r="L352" s="74"/>
      <c r="M352" s="74"/>
      <c r="N352" s="2"/>
      <c r="O352" s="2"/>
      <c r="P352" s="2"/>
      <c r="Q352" s="74"/>
      <c r="R352" s="2"/>
      <c r="S352" s="2"/>
      <c r="T352" s="76"/>
      <c r="U352" s="88"/>
    </row>
    <row r="353" ht="15.75" customHeight="1">
      <c r="A353" s="2"/>
      <c r="B353" s="2"/>
      <c r="C353" s="2"/>
      <c r="D353" s="2"/>
      <c r="E353" s="2"/>
      <c r="F353" s="2"/>
      <c r="G353" s="2"/>
      <c r="H353" s="2"/>
      <c r="I353" s="2"/>
      <c r="J353" s="74"/>
      <c r="K353" s="74"/>
      <c r="L353" s="74"/>
      <c r="M353" s="74"/>
      <c r="N353" s="2"/>
      <c r="O353" s="2"/>
      <c r="P353" s="2"/>
      <c r="Q353" s="74"/>
      <c r="R353" s="2"/>
      <c r="S353" s="2"/>
      <c r="T353" s="76"/>
      <c r="U353" s="88"/>
    </row>
    <row r="354" ht="15.75" customHeight="1">
      <c r="A354" s="2"/>
      <c r="B354" s="2"/>
      <c r="C354" s="2"/>
      <c r="D354" s="2"/>
      <c r="E354" s="2"/>
      <c r="F354" s="2"/>
      <c r="G354" s="2"/>
      <c r="H354" s="2"/>
      <c r="I354" s="2"/>
      <c r="J354" s="74"/>
      <c r="K354" s="74"/>
      <c r="L354" s="74"/>
      <c r="M354" s="74"/>
      <c r="N354" s="2"/>
      <c r="O354" s="2"/>
      <c r="P354" s="2"/>
      <c r="Q354" s="74"/>
      <c r="R354" s="2"/>
      <c r="S354" s="2"/>
      <c r="T354" s="76"/>
      <c r="U354" s="88"/>
    </row>
    <row r="355" ht="15.75" customHeight="1">
      <c r="A355" s="2"/>
      <c r="B355" s="2"/>
      <c r="C355" s="2"/>
      <c r="D355" s="2"/>
      <c r="E355" s="2"/>
      <c r="F355" s="2"/>
      <c r="G355" s="2"/>
      <c r="H355" s="2"/>
      <c r="I355" s="2"/>
      <c r="J355" s="74"/>
      <c r="K355" s="74"/>
      <c r="L355" s="74"/>
      <c r="M355" s="74"/>
      <c r="N355" s="2"/>
      <c r="O355" s="2"/>
      <c r="P355" s="2"/>
      <c r="Q355" s="74"/>
      <c r="R355" s="2"/>
      <c r="S355" s="2"/>
      <c r="T355" s="76"/>
      <c r="U355" s="88"/>
    </row>
    <row r="356" ht="15.75" customHeight="1">
      <c r="A356" s="2"/>
      <c r="B356" s="2"/>
      <c r="C356" s="2"/>
      <c r="D356" s="2"/>
      <c r="E356" s="2"/>
      <c r="F356" s="2"/>
      <c r="G356" s="2"/>
      <c r="H356" s="2"/>
      <c r="I356" s="2"/>
      <c r="J356" s="74"/>
      <c r="K356" s="74"/>
      <c r="L356" s="74"/>
      <c r="M356" s="74"/>
      <c r="N356" s="2"/>
      <c r="O356" s="2"/>
      <c r="P356" s="2"/>
      <c r="Q356" s="74"/>
      <c r="R356" s="2"/>
      <c r="S356" s="2"/>
      <c r="T356" s="76"/>
      <c r="U356" s="88"/>
    </row>
    <row r="357" ht="15.75" customHeight="1">
      <c r="A357" s="2"/>
      <c r="B357" s="2"/>
      <c r="C357" s="2"/>
      <c r="D357" s="2"/>
      <c r="E357" s="2"/>
      <c r="F357" s="2"/>
      <c r="G357" s="2"/>
      <c r="H357" s="2"/>
      <c r="I357" s="2"/>
      <c r="J357" s="74"/>
      <c r="K357" s="74"/>
      <c r="L357" s="74"/>
      <c r="M357" s="74"/>
      <c r="N357" s="2"/>
      <c r="O357" s="2"/>
      <c r="P357" s="2"/>
      <c r="Q357" s="74"/>
      <c r="R357" s="2"/>
      <c r="S357" s="2"/>
      <c r="T357" s="76"/>
      <c r="U357" s="88"/>
    </row>
    <row r="358" ht="15.75" customHeight="1">
      <c r="A358" s="2"/>
      <c r="B358" s="2"/>
      <c r="C358" s="2"/>
      <c r="D358" s="2"/>
      <c r="E358" s="2"/>
      <c r="F358" s="2"/>
      <c r="G358" s="2"/>
      <c r="H358" s="2"/>
      <c r="I358" s="2"/>
      <c r="J358" s="74"/>
      <c r="K358" s="74"/>
      <c r="L358" s="74"/>
      <c r="M358" s="74"/>
      <c r="N358" s="2"/>
      <c r="O358" s="2"/>
      <c r="P358" s="2"/>
      <c r="Q358" s="74"/>
      <c r="R358" s="2"/>
      <c r="S358" s="2"/>
      <c r="T358" s="76"/>
      <c r="U358" s="88"/>
    </row>
    <row r="359" ht="15.75" customHeight="1">
      <c r="A359" s="2"/>
      <c r="B359" s="2"/>
      <c r="C359" s="2"/>
      <c r="D359" s="2"/>
      <c r="E359" s="2"/>
      <c r="F359" s="2"/>
      <c r="G359" s="2"/>
      <c r="H359" s="2"/>
      <c r="I359" s="2"/>
      <c r="J359" s="74"/>
      <c r="K359" s="74"/>
      <c r="L359" s="74"/>
      <c r="M359" s="74"/>
      <c r="N359" s="2"/>
      <c r="O359" s="2"/>
      <c r="P359" s="2"/>
      <c r="Q359" s="74"/>
      <c r="R359" s="2"/>
      <c r="S359" s="2"/>
      <c r="T359" s="76"/>
      <c r="U359" s="88"/>
    </row>
    <row r="360" ht="15.75" customHeight="1">
      <c r="A360" s="2"/>
      <c r="B360" s="2"/>
      <c r="C360" s="2"/>
      <c r="D360" s="2"/>
      <c r="E360" s="2"/>
      <c r="F360" s="2"/>
      <c r="G360" s="2"/>
      <c r="H360" s="2"/>
      <c r="I360" s="2"/>
      <c r="J360" s="74"/>
      <c r="K360" s="74"/>
      <c r="L360" s="74"/>
      <c r="M360" s="74"/>
      <c r="N360" s="2"/>
      <c r="O360" s="2"/>
      <c r="P360" s="2"/>
      <c r="Q360" s="74"/>
      <c r="R360" s="2"/>
      <c r="S360" s="2"/>
      <c r="T360" s="76"/>
      <c r="U360" s="88"/>
    </row>
    <row r="361" ht="15.75" customHeight="1">
      <c r="A361" s="2"/>
      <c r="B361" s="2"/>
      <c r="C361" s="2"/>
      <c r="D361" s="2"/>
      <c r="E361" s="2"/>
      <c r="F361" s="2"/>
      <c r="G361" s="2"/>
      <c r="H361" s="2"/>
      <c r="I361" s="2"/>
      <c r="J361" s="74"/>
      <c r="K361" s="74"/>
      <c r="L361" s="74"/>
      <c r="M361" s="74"/>
      <c r="N361" s="2"/>
      <c r="O361" s="2"/>
      <c r="P361" s="2"/>
      <c r="Q361" s="74"/>
      <c r="R361" s="2"/>
      <c r="S361" s="2"/>
      <c r="T361" s="76"/>
      <c r="U361" s="88"/>
    </row>
    <row r="362" ht="15.75" customHeight="1">
      <c r="A362" s="2"/>
      <c r="B362" s="2"/>
      <c r="C362" s="2"/>
      <c r="D362" s="2"/>
      <c r="E362" s="2"/>
      <c r="F362" s="2"/>
      <c r="G362" s="2"/>
      <c r="H362" s="2"/>
      <c r="I362" s="2"/>
      <c r="J362" s="74"/>
      <c r="K362" s="74"/>
      <c r="L362" s="74"/>
      <c r="M362" s="74"/>
      <c r="N362" s="2"/>
      <c r="O362" s="2"/>
      <c r="P362" s="2"/>
      <c r="Q362" s="74"/>
      <c r="R362" s="2"/>
      <c r="S362" s="2"/>
      <c r="T362" s="76"/>
      <c r="U362" s="88"/>
    </row>
    <row r="363" ht="15.75" customHeight="1">
      <c r="A363" s="2"/>
      <c r="B363" s="2"/>
      <c r="C363" s="2"/>
      <c r="D363" s="2"/>
      <c r="E363" s="2"/>
      <c r="F363" s="2"/>
      <c r="G363" s="2"/>
      <c r="H363" s="2"/>
      <c r="I363" s="2"/>
      <c r="J363" s="74"/>
      <c r="K363" s="74"/>
      <c r="L363" s="74"/>
      <c r="M363" s="74"/>
      <c r="N363" s="2"/>
      <c r="O363" s="2"/>
      <c r="P363" s="2"/>
      <c r="Q363" s="74"/>
      <c r="R363" s="2"/>
      <c r="S363" s="2"/>
      <c r="T363" s="76"/>
      <c r="U363" s="88"/>
    </row>
    <row r="364" ht="15.75" customHeight="1">
      <c r="A364" s="2"/>
      <c r="B364" s="2"/>
      <c r="C364" s="2"/>
      <c r="D364" s="2"/>
      <c r="E364" s="2"/>
      <c r="F364" s="2"/>
      <c r="G364" s="2"/>
      <c r="H364" s="2"/>
      <c r="I364" s="2"/>
      <c r="J364" s="74"/>
      <c r="K364" s="74"/>
      <c r="L364" s="74"/>
      <c r="M364" s="74"/>
      <c r="N364" s="2"/>
      <c r="O364" s="2"/>
      <c r="P364" s="2"/>
      <c r="Q364" s="74"/>
      <c r="R364" s="2"/>
      <c r="S364" s="2"/>
      <c r="T364" s="76"/>
      <c r="U364" s="88"/>
    </row>
    <row r="365" ht="15.75" customHeight="1">
      <c r="A365" s="2"/>
      <c r="B365" s="2"/>
      <c r="C365" s="2"/>
      <c r="D365" s="2"/>
      <c r="E365" s="2"/>
      <c r="F365" s="2"/>
      <c r="G365" s="2"/>
      <c r="H365" s="2"/>
      <c r="I365" s="2"/>
      <c r="J365" s="74"/>
      <c r="K365" s="74"/>
      <c r="L365" s="74"/>
      <c r="M365" s="74"/>
      <c r="N365" s="2"/>
      <c r="O365" s="2"/>
      <c r="P365" s="2"/>
      <c r="Q365" s="74"/>
      <c r="R365" s="2"/>
      <c r="S365" s="2"/>
      <c r="T365" s="76"/>
      <c r="U365" s="88"/>
    </row>
    <row r="366" ht="15.75" customHeight="1">
      <c r="A366" s="2"/>
      <c r="B366" s="2"/>
      <c r="C366" s="2"/>
      <c r="D366" s="2"/>
      <c r="E366" s="2"/>
      <c r="F366" s="2"/>
      <c r="G366" s="2"/>
      <c r="H366" s="2"/>
      <c r="I366" s="2"/>
      <c r="J366" s="74"/>
      <c r="K366" s="74"/>
      <c r="L366" s="74"/>
      <c r="M366" s="74"/>
      <c r="N366" s="2"/>
      <c r="O366" s="2"/>
      <c r="P366" s="2"/>
      <c r="Q366" s="74"/>
      <c r="R366" s="2"/>
      <c r="S366" s="2"/>
      <c r="T366" s="76"/>
      <c r="U366" s="88"/>
    </row>
    <row r="367" ht="15.75" customHeight="1">
      <c r="A367" s="2"/>
      <c r="B367" s="2"/>
      <c r="C367" s="2"/>
      <c r="D367" s="2"/>
      <c r="E367" s="2"/>
      <c r="F367" s="2"/>
      <c r="G367" s="2"/>
      <c r="H367" s="2"/>
      <c r="I367" s="2"/>
      <c r="J367" s="74"/>
      <c r="K367" s="74"/>
      <c r="L367" s="74"/>
      <c r="M367" s="74"/>
      <c r="N367" s="2"/>
      <c r="O367" s="2"/>
      <c r="P367" s="2"/>
      <c r="Q367" s="74"/>
      <c r="R367" s="2"/>
      <c r="S367" s="2"/>
      <c r="T367" s="76"/>
      <c r="U367" s="88"/>
    </row>
    <row r="368" ht="15.75" customHeight="1">
      <c r="A368" s="2"/>
      <c r="B368" s="2"/>
      <c r="C368" s="2"/>
      <c r="D368" s="2"/>
      <c r="E368" s="2"/>
      <c r="F368" s="2"/>
      <c r="G368" s="2"/>
      <c r="H368" s="2"/>
      <c r="I368" s="2"/>
      <c r="J368" s="74"/>
      <c r="K368" s="74"/>
      <c r="L368" s="74"/>
      <c r="M368" s="74"/>
      <c r="N368" s="2"/>
      <c r="O368" s="2"/>
      <c r="P368" s="2"/>
      <c r="Q368" s="74"/>
      <c r="R368" s="2"/>
      <c r="S368" s="2"/>
      <c r="T368" s="76"/>
      <c r="U368" s="88"/>
    </row>
    <row r="369" ht="15.75" customHeight="1">
      <c r="A369" s="2"/>
      <c r="B369" s="2"/>
      <c r="C369" s="2"/>
      <c r="D369" s="2"/>
      <c r="E369" s="2"/>
      <c r="F369" s="2"/>
      <c r="G369" s="2"/>
      <c r="H369" s="2"/>
      <c r="I369" s="2"/>
      <c r="J369" s="74"/>
      <c r="K369" s="74"/>
      <c r="L369" s="74"/>
      <c r="M369" s="74"/>
      <c r="N369" s="2"/>
      <c r="O369" s="2"/>
      <c r="P369" s="2"/>
      <c r="Q369" s="74"/>
      <c r="R369" s="2"/>
      <c r="S369" s="2"/>
      <c r="T369" s="76"/>
      <c r="U369" s="88"/>
    </row>
    <row r="370" ht="15.75" customHeight="1">
      <c r="A370" s="2"/>
      <c r="B370" s="2"/>
      <c r="C370" s="2"/>
      <c r="D370" s="2"/>
      <c r="E370" s="2"/>
      <c r="F370" s="2"/>
      <c r="G370" s="2"/>
      <c r="H370" s="2"/>
      <c r="I370" s="2"/>
      <c r="J370" s="74"/>
      <c r="K370" s="74"/>
      <c r="L370" s="74"/>
      <c r="M370" s="74"/>
      <c r="N370" s="2"/>
      <c r="O370" s="2"/>
      <c r="P370" s="2"/>
      <c r="Q370" s="74"/>
      <c r="R370" s="2"/>
      <c r="S370" s="2"/>
      <c r="T370" s="76"/>
      <c r="U370" s="88"/>
    </row>
    <row r="371" ht="15.75" customHeight="1">
      <c r="A371" s="2"/>
      <c r="B371" s="2"/>
      <c r="C371" s="2"/>
      <c r="D371" s="2"/>
      <c r="E371" s="2"/>
      <c r="F371" s="2"/>
      <c r="G371" s="2"/>
      <c r="H371" s="2"/>
      <c r="I371" s="2"/>
      <c r="J371" s="74"/>
      <c r="K371" s="74"/>
      <c r="L371" s="74"/>
      <c r="M371" s="74"/>
      <c r="N371" s="2"/>
      <c r="O371" s="2"/>
      <c r="P371" s="2"/>
      <c r="Q371" s="74"/>
      <c r="R371" s="2"/>
      <c r="S371" s="2"/>
      <c r="T371" s="76"/>
      <c r="U371" s="88"/>
    </row>
    <row r="372" ht="15.75" customHeight="1">
      <c r="A372" s="2"/>
      <c r="B372" s="2"/>
      <c r="C372" s="2"/>
      <c r="D372" s="2"/>
      <c r="E372" s="2"/>
      <c r="F372" s="2"/>
      <c r="G372" s="2"/>
      <c r="H372" s="2"/>
      <c r="I372" s="2"/>
      <c r="J372" s="74"/>
      <c r="K372" s="74"/>
      <c r="L372" s="74"/>
      <c r="M372" s="74"/>
      <c r="N372" s="2"/>
      <c r="O372" s="2"/>
      <c r="P372" s="2"/>
      <c r="Q372" s="74"/>
      <c r="R372" s="2"/>
      <c r="S372" s="2"/>
      <c r="T372" s="76"/>
      <c r="U372" s="88"/>
    </row>
    <row r="373" ht="15.75" customHeight="1">
      <c r="A373" s="2"/>
      <c r="B373" s="2"/>
      <c r="C373" s="2"/>
      <c r="D373" s="2"/>
      <c r="E373" s="2"/>
      <c r="F373" s="2"/>
      <c r="G373" s="2"/>
      <c r="H373" s="2"/>
      <c r="I373" s="2"/>
      <c r="J373" s="74"/>
      <c r="K373" s="74"/>
      <c r="L373" s="74"/>
      <c r="M373" s="74"/>
      <c r="N373" s="2"/>
      <c r="O373" s="2"/>
      <c r="P373" s="2"/>
      <c r="Q373" s="74"/>
      <c r="R373" s="2"/>
      <c r="S373" s="2"/>
      <c r="T373" s="76"/>
      <c r="U373" s="88"/>
    </row>
    <row r="374" ht="15.75" customHeight="1">
      <c r="A374" s="2"/>
      <c r="B374" s="2"/>
      <c r="C374" s="2"/>
      <c r="D374" s="2"/>
      <c r="E374" s="2"/>
      <c r="F374" s="2"/>
      <c r="G374" s="2"/>
      <c r="H374" s="2"/>
      <c r="I374" s="2"/>
      <c r="J374" s="74"/>
      <c r="K374" s="74"/>
      <c r="L374" s="74"/>
      <c r="M374" s="74"/>
      <c r="N374" s="2"/>
      <c r="O374" s="2"/>
      <c r="P374" s="2"/>
      <c r="Q374" s="74"/>
      <c r="R374" s="2"/>
      <c r="S374" s="2"/>
      <c r="T374" s="76"/>
      <c r="U374" s="88"/>
    </row>
    <row r="375" ht="15.75" customHeight="1">
      <c r="A375" s="2"/>
      <c r="B375" s="2"/>
      <c r="C375" s="2"/>
      <c r="D375" s="2"/>
      <c r="E375" s="2"/>
      <c r="F375" s="2"/>
      <c r="G375" s="2"/>
      <c r="H375" s="2"/>
      <c r="I375" s="2"/>
      <c r="J375" s="74"/>
      <c r="K375" s="74"/>
      <c r="L375" s="74"/>
      <c r="M375" s="74"/>
      <c r="N375" s="2"/>
      <c r="O375" s="2"/>
      <c r="P375" s="2"/>
      <c r="Q375" s="74"/>
      <c r="R375" s="2"/>
      <c r="S375" s="2"/>
      <c r="T375" s="76"/>
      <c r="U375" s="88"/>
    </row>
    <row r="376" ht="15.75" customHeight="1">
      <c r="A376" s="2"/>
      <c r="B376" s="2"/>
      <c r="C376" s="2"/>
      <c r="D376" s="2"/>
      <c r="E376" s="2"/>
      <c r="F376" s="2"/>
      <c r="G376" s="2"/>
      <c r="H376" s="2"/>
      <c r="I376" s="2"/>
      <c r="J376" s="74"/>
      <c r="K376" s="74"/>
      <c r="L376" s="74"/>
      <c r="M376" s="74"/>
      <c r="N376" s="2"/>
      <c r="O376" s="2"/>
      <c r="P376" s="2"/>
      <c r="Q376" s="74"/>
      <c r="R376" s="2"/>
      <c r="S376" s="2"/>
      <c r="T376" s="76"/>
      <c r="U376" s="88"/>
    </row>
    <row r="377" ht="15.75" customHeight="1">
      <c r="A377" s="2"/>
      <c r="B377" s="2"/>
      <c r="C377" s="2"/>
      <c r="D377" s="2"/>
      <c r="E377" s="2"/>
      <c r="F377" s="2"/>
      <c r="G377" s="2"/>
      <c r="H377" s="2"/>
      <c r="I377" s="2"/>
      <c r="J377" s="74"/>
      <c r="K377" s="74"/>
      <c r="L377" s="74"/>
      <c r="M377" s="74"/>
      <c r="N377" s="2"/>
      <c r="O377" s="2"/>
      <c r="P377" s="2"/>
      <c r="Q377" s="74"/>
      <c r="R377" s="2"/>
      <c r="S377" s="2"/>
      <c r="T377" s="76"/>
      <c r="U377" s="88"/>
    </row>
    <row r="378" ht="15.75" customHeight="1">
      <c r="A378" s="2"/>
      <c r="B378" s="2"/>
      <c r="C378" s="2"/>
      <c r="D378" s="2"/>
      <c r="E378" s="2"/>
      <c r="F378" s="2"/>
      <c r="G378" s="2"/>
      <c r="H378" s="2"/>
      <c r="I378" s="2"/>
      <c r="J378" s="74"/>
      <c r="K378" s="74"/>
      <c r="L378" s="74"/>
      <c r="M378" s="74"/>
      <c r="N378" s="2"/>
      <c r="O378" s="2"/>
      <c r="P378" s="2"/>
      <c r="Q378" s="74"/>
      <c r="R378" s="2"/>
      <c r="S378" s="2"/>
      <c r="T378" s="76"/>
      <c r="U378" s="88"/>
    </row>
    <row r="379" ht="15.75" customHeight="1">
      <c r="A379" s="2"/>
      <c r="B379" s="2"/>
      <c r="C379" s="2"/>
      <c r="D379" s="2"/>
      <c r="E379" s="2"/>
      <c r="F379" s="2"/>
      <c r="G379" s="2"/>
      <c r="H379" s="2"/>
      <c r="I379" s="2"/>
      <c r="J379" s="74"/>
      <c r="K379" s="74"/>
      <c r="L379" s="74"/>
      <c r="M379" s="74"/>
      <c r="N379" s="2"/>
      <c r="O379" s="2"/>
      <c r="P379" s="2"/>
      <c r="Q379" s="74"/>
      <c r="R379" s="2"/>
      <c r="S379" s="2"/>
      <c r="T379" s="76"/>
      <c r="U379" s="88"/>
    </row>
    <row r="380" ht="15.75" customHeight="1">
      <c r="A380" s="2"/>
      <c r="B380" s="2"/>
      <c r="C380" s="2"/>
      <c r="D380" s="2"/>
      <c r="E380" s="2"/>
      <c r="F380" s="2"/>
      <c r="G380" s="2"/>
      <c r="H380" s="2"/>
      <c r="I380" s="2"/>
      <c r="J380" s="74"/>
      <c r="K380" s="74"/>
      <c r="L380" s="74"/>
      <c r="M380" s="74"/>
      <c r="N380" s="2"/>
      <c r="O380" s="2"/>
      <c r="P380" s="2"/>
      <c r="Q380" s="74"/>
      <c r="R380" s="2"/>
      <c r="S380" s="2"/>
      <c r="T380" s="76"/>
      <c r="U380" s="88"/>
    </row>
    <row r="381" ht="15.75" customHeight="1">
      <c r="A381" s="2"/>
      <c r="B381" s="2"/>
      <c r="C381" s="2"/>
      <c r="D381" s="2"/>
      <c r="E381" s="2"/>
      <c r="F381" s="2"/>
      <c r="G381" s="2"/>
      <c r="H381" s="2"/>
      <c r="I381" s="2"/>
      <c r="J381" s="74"/>
      <c r="K381" s="74"/>
      <c r="L381" s="74"/>
      <c r="M381" s="74"/>
      <c r="N381" s="2"/>
      <c r="O381" s="2"/>
      <c r="P381" s="2"/>
      <c r="Q381" s="74"/>
      <c r="R381" s="2"/>
      <c r="S381" s="2"/>
      <c r="T381" s="76"/>
      <c r="U381" s="88"/>
    </row>
    <row r="382" ht="15.75" customHeight="1">
      <c r="A382" s="2"/>
      <c r="B382" s="2"/>
      <c r="C382" s="2"/>
      <c r="D382" s="2"/>
      <c r="E382" s="2"/>
      <c r="F382" s="2"/>
      <c r="G382" s="2"/>
      <c r="H382" s="2"/>
      <c r="I382" s="2"/>
      <c r="J382" s="74"/>
      <c r="K382" s="74"/>
      <c r="L382" s="74"/>
      <c r="M382" s="74"/>
      <c r="N382" s="2"/>
      <c r="O382" s="2"/>
      <c r="P382" s="2"/>
      <c r="Q382" s="74"/>
      <c r="R382" s="2"/>
      <c r="S382" s="2"/>
      <c r="T382" s="76"/>
      <c r="U382" s="88"/>
    </row>
    <row r="383" ht="15.75" customHeight="1">
      <c r="A383" s="2"/>
      <c r="B383" s="2"/>
      <c r="C383" s="2"/>
      <c r="D383" s="2"/>
      <c r="E383" s="2"/>
      <c r="F383" s="2"/>
      <c r="G383" s="2"/>
      <c r="H383" s="2"/>
      <c r="I383" s="2"/>
      <c r="J383" s="74"/>
      <c r="K383" s="74"/>
      <c r="L383" s="74"/>
      <c r="M383" s="74"/>
      <c r="N383" s="2"/>
      <c r="O383" s="2"/>
      <c r="P383" s="2"/>
      <c r="Q383" s="74"/>
      <c r="R383" s="2"/>
      <c r="S383" s="2"/>
      <c r="T383" s="76"/>
      <c r="U383" s="88"/>
    </row>
    <row r="384" ht="15.75" customHeight="1">
      <c r="A384" s="2"/>
      <c r="B384" s="2"/>
      <c r="C384" s="2"/>
      <c r="D384" s="2"/>
      <c r="E384" s="2"/>
      <c r="F384" s="2"/>
      <c r="G384" s="2"/>
      <c r="H384" s="2"/>
      <c r="I384" s="2"/>
      <c r="J384" s="74"/>
      <c r="K384" s="74"/>
      <c r="L384" s="74"/>
      <c r="M384" s="74"/>
      <c r="N384" s="2"/>
      <c r="O384" s="2"/>
      <c r="P384" s="2"/>
      <c r="Q384" s="74"/>
      <c r="R384" s="2"/>
      <c r="S384" s="2"/>
      <c r="T384" s="76"/>
      <c r="U384" s="88"/>
    </row>
    <row r="385" ht="15.75" customHeight="1">
      <c r="A385" s="2"/>
      <c r="B385" s="2"/>
      <c r="C385" s="2"/>
      <c r="D385" s="2"/>
      <c r="E385" s="2"/>
      <c r="F385" s="2"/>
      <c r="G385" s="2"/>
      <c r="H385" s="2"/>
      <c r="I385" s="2"/>
      <c r="J385" s="74"/>
      <c r="K385" s="74"/>
      <c r="L385" s="74"/>
      <c r="M385" s="74"/>
      <c r="N385" s="2"/>
      <c r="O385" s="2"/>
      <c r="P385" s="2"/>
      <c r="Q385" s="74"/>
      <c r="R385" s="2"/>
      <c r="S385" s="2"/>
      <c r="T385" s="76"/>
      <c r="U385" s="88"/>
    </row>
    <row r="386" ht="15.75" customHeight="1">
      <c r="A386" s="2"/>
      <c r="B386" s="2"/>
      <c r="C386" s="2"/>
      <c r="D386" s="2"/>
      <c r="E386" s="2"/>
      <c r="F386" s="2"/>
      <c r="G386" s="2"/>
      <c r="H386" s="2"/>
      <c r="I386" s="2"/>
      <c r="J386" s="74"/>
      <c r="K386" s="74"/>
      <c r="L386" s="74"/>
      <c r="M386" s="74"/>
      <c r="N386" s="2"/>
      <c r="O386" s="2"/>
      <c r="P386" s="2"/>
      <c r="Q386" s="74"/>
      <c r="R386" s="2"/>
      <c r="S386" s="2"/>
      <c r="T386" s="76"/>
      <c r="U386" s="88"/>
    </row>
    <row r="387" ht="15.75" customHeight="1">
      <c r="A387" s="2"/>
      <c r="B387" s="2"/>
      <c r="C387" s="2"/>
      <c r="D387" s="2"/>
      <c r="E387" s="2"/>
      <c r="F387" s="2"/>
      <c r="G387" s="2"/>
      <c r="H387" s="2"/>
      <c r="I387" s="2"/>
      <c r="J387" s="74"/>
      <c r="K387" s="74"/>
      <c r="L387" s="74"/>
      <c r="M387" s="74"/>
      <c r="N387" s="2"/>
      <c r="O387" s="2"/>
      <c r="P387" s="2"/>
      <c r="Q387" s="74"/>
      <c r="R387" s="2"/>
      <c r="S387" s="2"/>
      <c r="T387" s="76"/>
      <c r="U387" s="88"/>
    </row>
    <row r="388" ht="15.75" customHeight="1">
      <c r="A388" s="2"/>
      <c r="B388" s="2"/>
      <c r="C388" s="2"/>
      <c r="D388" s="2"/>
      <c r="E388" s="2"/>
      <c r="F388" s="2"/>
      <c r="G388" s="2"/>
      <c r="H388" s="2"/>
      <c r="I388" s="2"/>
      <c r="J388" s="74"/>
      <c r="K388" s="74"/>
      <c r="L388" s="74"/>
      <c r="M388" s="74"/>
      <c r="N388" s="2"/>
      <c r="O388" s="2"/>
      <c r="P388" s="2"/>
      <c r="Q388" s="74"/>
      <c r="R388" s="2"/>
      <c r="S388" s="2"/>
      <c r="T388" s="76"/>
      <c r="U388" s="88"/>
    </row>
    <row r="389" ht="15.75" customHeight="1">
      <c r="A389" s="2"/>
      <c r="B389" s="2"/>
      <c r="C389" s="2"/>
      <c r="D389" s="2"/>
      <c r="E389" s="2"/>
      <c r="F389" s="2"/>
      <c r="G389" s="2"/>
      <c r="H389" s="2"/>
      <c r="I389" s="2"/>
      <c r="J389" s="74"/>
      <c r="K389" s="74"/>
      <c r="L389" s="74"/>
      <c r="M389" s="74"/>
      <c r="N389" s="2"/>
      <c r="O389" s="2"/>
      <c r="P389" s="2"/>
      <c r="Q389" s="74"/>
      <c r="R389" s="2"/>
      <c r="S389" s="2"/>
      <c r="T389" s="76"/>
      <c r="U389" s="88"/>
    </row>
    <row r="390" ht="15.75" customHeight="1">
      <c r="A390" s="2"/>
      <c r="B390" s="2"/>
      <c r="C390" s="2"/>
      <c r="D390" s="2"/>
      <c r="E390" s="2"/>
      <c r="F390" s="2"/>
      <c r="G390" s="2"/>
      <c r="H390" s="2"/>
      <c r="I390" s="2"/>
      <c r="J390" s="74"/>
      <c r="K390" s="74"/>
      <c r="L390" s="74"/>
      <c r="M390" s="74"/>
      <c r="N390" s="2"/>
      <c r="O390" s="2"/>
      <c r="P390" s="2"/>
      <c r="Q390" s="74"/>
      <c r="R390" s="2"/>
      <c r="S390" s="2"/>
      <c r="T390" s="76"/>
      <c r="U390" s="88"/>
    </row>
    <row r="391" ht="15.75" customHeight="1">
      <c r="A391" s="2"/>
      <c r="B391" s="2"/>
      <c r="C391" s="2"/>
      <c r="D391" s="2"/>
      <c r="E391" s="2"/>
      <c r="F391" s="2"/>
      <c r="G391" s="2"/>
      <c r="H391" s="2"/>
      <c r="I391" s="2"/>
      <c r="J391" s="74"/>
      <c r="K391" s="74"/>
      <c r="L391" s="74"/>
      <c r="M391" s="74"/>
      <c r="N391" s="2"/>
      <c r="O391" s="2"/>
      <c r="P391" s="2"/>
      <c r="Q391" s="74"/>
      <c r="R391" s="2"/>
      <c r="S391" s="2"/>
      <c r="T391" s="76"/>
      <c r="U391" s="88"/>
    </row>
    <row r="392" ht="15.75" customHeight="1">
      <c r="A392" s="2"/>
      <c r="B392" s="2"/>
      <c r="C392" s="2"/>
      <c r="D392" s="2"/>
      <c r="E392" s="2"/>
      <c r="F392" s="2"/>
      <c r="G392" s="2"/>
      <c r="H392" s="2"/>
      <c r="I392" s="2"/>
      <c r="J392" s="74"/>
      <c r="K392" s="74"/>
      <c r="L392" s="74"/>
      <c r="M392" s="74"/>
      <c r="N392" s="2"/>
      <c r="O392" s="2"/>
      <c r="P392" s="2"/>
      <c r="Q392" s="74"/>
      <c r="R392" s="2"/>
      <c r="S392" s="2"/>
      <c r="T392" s="76"/>
      <c r="U392" s="88"/>
    </row>
    <row r="393" ht="15.75" customHeight="1">
      <c r="A393" s="2"/>
      <c r="B393" s="2"/>
      <c r="C393" s="2"/>
      <c r="D393" s="2"/>
      <c r="E393" s="2"/>
      <c r="F393" s="2"/>
      <c r="G393" s="2"/>
      <c r="H393" s="2"/>
      <c r="I393" s="2"/>
      <c r="J393" s="74"/>
      <c r="K393" s="74"/>
      <c r="L393" s="74"/>
      <c r="M393" s="74"/>
      <c r="N393" s="2"/>
      <c r="O393" s="2"/>
      <c r="P393" s="2"/>
      <c r="Q393" s="74"/>
      <c r="R393" s="2"/>
      <c r="S393" s="2"/>
      <c r="T393" s="76"/>
      <c r="U393" s="88"/>
    </row>
    <row r="394" ht="15.75" customHeight="1">
      <c r="A394" s="2"/>
      <c r="B394" s="2"/>
      <c r="C394" s="2"/>
      <c r="D394" s="2"/>
      <c r="E394" s="2"/>
      <c r="F394" s="2"/>
      <c r="G394" s="2"/>
      <c r="H394" s="2"/>
      <c r="I394" s="2"/>
      <c r="J394" s="74"/>
      <c r="K394" s="74"/>
      <c r="L394" s="74"/>
      <c r="M394" s="74"/>
      <c r="N394" s="2"/>
      <c r="O394" s="2"/>
      <c r="P394" s="2"/>
      <c r="Q394" s="74"/>
      <c r="R394" s="2"/>
      <c r="S394" s="2"/>
      <c r="T394" s="76"/>
      <c r="U394" s="88"/>
    </row>
    <row r="395" ht="15.75" customHeight="1">
      <c r="A395" s="2"/>
      <c r="B395" s="2"/>
      <c r="C395" s="2"/>
      <c r="D395" s="2"/>
      <c r="E395" s="2"/>
      <c r="F395" s="2"/>
      <c r="G395" s="2"/>
      <c r="H395" s="2"/>
      <c r="I395" s="2"/>
      <c r="J395" s="74"/>
      <c r="K395" s="74"/>
      <c r="L395" s="74"/>
      <c r="M395" s="74"/>
      <c r="N395" s="2"/>
      <c r="O395" s="2"/>
      <c r="P395" s="2"/>
      <c r="Q395" s="74"/>
      <c r="R395" s="2"/>
      <c r="S395" s="2"/>
      <c r="T395" s="76"/>
      <c r="U395" s="88"/>
    </row>
    <row r="396" ht="15.75" customHeight="1">
      <c r="A396" s="2"/>
      <c r="B396" s="2"/>
      <c r="C396" s="2"/>
      <c r="D396" s="2"/>
      <c r="E396" s="2"/>
      <c r="F396" s="2"/>
      <c r="G396" s="2"/>
      <c r="H396" s="2"/>
      <c r="I396" s="2"/>
      <c r="J396" s="74"/>
      <c r="K396" s="74"/>
      <c r="L396" s="74"/>
      <c r="M396" s="74"/>
      <c r="N396" s="2"/>
      <c r="O396" s="2"/>
      <c r="P396" s="2"/>
      <c r="Q396" s="74"/>
      <c r="R396" s="2"/>
      <c r="S396" s="2"/>
      <c r="T396" s="76"/>
      <c r="U396" s="88"/>
    </row>
    <row r="397" ht="15.75" customHeight="1">
      <c r="A397" s="2"/>
      <c r="B397" s="2"/>
      <c r="C397" s="2"/>
      <c r="D397" s="2"/>
      <c r="E397" s="2"/>
      <c r="F397" s="2"/>
      <c r="G397" s="2"/>
      <c r="H397" s="2"/>
      <c r="I397" s="2"/>
      <c r="J397" s="74"/>
      <c r="K397" s="74"/>
      <c r="L397" s="74"/>
      <c r="M397" s="74"/>
      <c r="N397" s="2"/>
      <c r="O397" s="2"/>
      <c r="P397" s="2"/>
      <c r="Q397" s="74"/>
      <c r="R397" s="2"/>
      <c r="S397" s="2"/>
      <c r="T397" s="76"/>
      <c r="U397" s="88"/>
    </row>
    <row r="398" ht="15.75" customHeight="1">
      <c r="A398" s="2"/>
      <c r="B398" s="2"/>
      <c r="C398" s="2"/>
      <c r="D398" s="2"/>
      <c r="E398" s="2"/>
      <c r="F398" s="2"/>
      <c r="G398" s="2"/>
      <c r="H398" s="2"/>
      <c r="I398" s="2"/>
      <c r="J398" s="74"/>
      <c r="K398" s="74"/>
      <c r="L398" s="74"/>
      <c r="M398" s="74"/>
      <c r="N398" s="2"/>
      <c r="O398" s="2"/>
      <c r="P398" s="2"/>
      <c r="Q398" s="74"/>
      <c r="R398" s="2"/>
      <c r="S398" s="2"/>
      <c r="T398" s="76"/>
      <c r="U398" s="88"/>
    </row>
    <row r="399" ht="15.75" customHeight="1">
      <c r="A399" s="2"/>
      <c r="B399" s="2"/>
      <c r="C399" s="2"/>
      <c r="D399" s="2"/>
      <c r="E399" s="2"/>
      <c r="F399" s="2"/>
      <c r="G399" s="2"/>
      <c r="H399" s="2"/>
      <c r="I399" s="2"/>
      <c r="J399" s="74"/>
      <c r="K399" s="74"/>
      <c r="L399" s="74"/>
      <c r="M399" s="74"/>
      <c r="N399" s="2"/>
      <c r="O399" s="2"/>
      <c r="P399" s="2"/>
      <c r="Q399" s="74"/>
      <c r="R399" s="2"/>
      <c r="S399" s="2"/>
      <c r="T399" s="76"/>
      <c r="U399" s="88"/>
    </row>
    <row r="400" ht="15.75" customHeight="1">
      <c r="A400" s="2"/>
      <c r="B400" s="2"/>
      <c r="C400" s="2"/>
      <c r="D400" s="2"/>
      <c r="E400" s="2"/>
      <c r="F400" s="2"/>
      <c r="G400" s="2"/>
      <c r="H400" s="2"/>
      <c r="I400" s="2"/>
      <c r="J400" s="74"/>
      <c r="K400" s="74"/>
      <c r="L400" s="74"/>
      <c r="M400" s="74"/>
      <c r="N400" s="2"/>
      <c r="O400" s="2"/>
      <c r="P400" s="2"/>
      <c r="Q400" s="74"/>
      <c r="R400" s="2"/>
      <c r="S400" s="2"/>
      <c r="T400" s="76"/>
      <c r="U400" s="88"/>
    </row>
    <row r="401" ht="15.75" customHeight="1">
      <c r="A401" s="2"/>
      <c r="B401" s="2"/>
      <c r="C401" s="2"/>
      <c r="D401" s="2"/>
      <c r="E401" s="2"/>
      <c r="F401" s="2"/>
      <c r="G401" s="2"/>
      <c r="H401" s="2"/>
      <c r="I401" s="2"/>
      <c r="J401" s="74"/>
      <c r="K401" s="74"/>
      <c r="L401" s="74"/>
      <c r="M401" s="74"/>
      <c r="N401" s="2"/>
      <c r="O401" s="2"/>
      <c r="P401" s="2"/>
      <c r="Q401" s="74"/>
      <c r="R401" s="2"/>
      <c r="S401" s="2"/>
      <c r="T401" s="76"/>
      <c r="U401" s="88"/>
    </row>
    <row r="402" ht="15.75" customHeight="1">
      <c r="A402" s="2"/>
      <c r="B402" s="2"/>
      <c r="C402" s="2"/>
      <c r="D402" s="2"/>
      <c r="E402" s="2"/>
      <c r="F402" s="2"/>
      <c r="G402" s="2"/>
      <c r="H402" s="2"/>
      <c r="I402" s="2"/>
      <c r="J402" s="74"/>
      <c r="K402" s="74"/>
      <c r="L402" s="74"/>
      <c r="M402" s="74"/>
      <c r="N402" s="2"/>
      <c r="O402" s="2"/>
      <c r="P402" s="2"/>
      <c r="Q402" s="74"/>
      <c r="R402" s="2"/>
      <c r="S402" s="2"/>
      <c r="T402" s="76"/>
      <c r="U402" s="88"/>
    </row>
    <row r="403" ht="15.75" customHeight="1">
      <c r="A403" s="2"/>
      <c r="B403" s="2"/>
      <c r="C403" s="2"/>
      <c r="D403" s="2"/>
      <c r="E403" s="2"/>
      <c r="F403" s="2"/>
      <c r="G403" s="2"/>
      <c r="H403" s="2"/>
      <c r="I403" s="2"/>
      <c r="J403" s="74"/>
      <c r="K403" s="74"/>
      <c r="L403" s="74"/>
      <c r="M403" s="74"/>
      <c r="N403" s="2"/>
      <c r="O403" s="2"/>
      <c r="P403" s="2"/>
      <c r="Q403" s="74"/>
      <c r="R403" s="2"/>
      <c r="S403" s="2"/>
      <c r="T403" s="76"/>
      <c r="U403" s="88"/>
    </row>
    <row r="404" ht="15.75" customHeight="1">
      <c r="A404" s="2"/>
      <c r="B404" s="2"/>
      <c r="C404" s="2"/>
      <c r="D404" s="2"/>
      <c r="E404" s="2"/>
      <c r="F404" s="2"/>
      <c r="G404" s="2"/>
      <c r="H404" s="2"/>
      <c r="I404" s="2"/>
      <c r="J404" s="74"/>
      <c r="K404" s="74"/>
      <c r="L404" s="74"/>
      <c r="M404" s="74"/>
      <c r="N404" s="2"/>
      <c r="O404" s="2"/>
      <c r="P404" s="2"/>
      <c r="Q404" s="74"/>
      <c r="R404" s="2"/>
      <c r="S404" s="2"/>
      <c r="T404" s="76"/>
      <c r="U404" s="88"/>
    </row>
    <row r="405" ht="15.75" customHeight="1">
      <c r="A405" s="2"/>
      <c r="B405" s="2"/>
      <c r="C405" s="2"/>
      <c r="D405" s="2"/>
      <c r="E405" s="2"/>
      <c r="F405" s="2"/>
      <c r="G405" s="2"/>
      <c r="H405" s="2"/>
      <c r="I405" s="2"/>
      <c r="J405" s="74"/>
      <c r="K405" s="74"/>
      <c r="L405" s="74"/>
      <c r="M405" s="74"/>
      <c r="N405" s="2"/>
      <c r="O405" s="2"/>
      <c r="P405" s="2"/>
      <c r="Q405" s="74"/>
      <c r="R405" s="2"/>
      <c r="S405" s="2"/>
      <c r="T405" s="76"/>
      <c r="U405" s="88"/>
    </row>
    <row r="406" ht="15.75" customHeight="1">
      <c r="A406" s="2"/>
      <c r="B406" s="2"/>
      <c r="C406" s="2"/>
      <c r="D406" s="2"/>
      <c r="E406" s="2"/>
      <c r="F406" s="2"/>
      <c r="G406" s="2"/>
      <c r="H406" s="2"/>
      <c r="I406" s="2"/>
      <c r="J406" s="74"/>
      <c r="K406" s="74"/>
      <c r="L406" s="74"/>
      <c r="M406" s="74"/>
      <c r="N406" s="2"/>
      <c r="O406" s="2"/>
      <c r="P406" s="2"/>
      <c r="Q406" s="74"/>
      <c r="R406" s="2"/>
      <c r="S406" s="2"/>
      <c r="T406" s="76"/>
      <c r="U406" s="88"/>
    </row>
    <row r="407" ht="15.75" customHeight="1">
      <c r="A407" s="2"/>
      <c r="B407" s="2"/>
      <c r="C407" s="2"/>
      <c r="D407" s="2"/>
      <c r="E407" s="2"/>
      <c r="F407" s="2"/>
      <c r="G407" s="2"/>
      <c r="H407" s="2"/>
      <c r="I407" s="2"/>
      <c r="J407" s="74"/>
      <c r="K407" s="74"/>
      <c r="L407" s="74"/>
      <c r="M407" s="74"/>
      <c r="N407" s="2"/>
      <c r="O407" s="2"/>
      <c r="P407" s="2"/>
      <c r="Q407" s="74"/>
      <c r="R407" s="2"/>
      <c r="S407" s="2"/>
      <c r="T407" s="76"/>
      <c r="U407" s="88"/>
    </row>
    <row r="408" ht="15.75" customHeight="1">
      <c r="A408" s="2"/>
      <c r="B408" s="2"/>
      <c r="C408" s="2"/>
      <c r="D408" s="2"/>
      <c r="E408" s="2"/>
      <c r="F408" s="2"/>
      <c r="G408" s="2"/>
      <c r="H408" s="2"/>
      <c r="I408" s="2"/>
      <c r="J408" s="74"/>
      <c r="K408" s="74"/>
      <c r="L408" s="74"/>
      <c r="M408" s="74"/>
      <c r="N408" s="2"/>
      <c r="O408" s="2"/>
      <c r="P408" s="2"/>
      <c r="Q408" s="74"/>
      <c r="R408" s="2"/>
      <c r="S408" s="2"/>
      <c r="T408" s="76"/>
      <c r="U408" s="88"/>
    </row>
    <row r="409" ht="15.75" customHeight="1">
      <c r="A409" s="2"/>
      <c r="B409" s="2"/>
      <c r="C409" s="2"/>
      <c r="D409" s="2"/>
      <c r="E409" s="2"/>
      <c r="F409" s="2"/>
      <c r="G409" s="2"/>
      <c r="H409" s="2"/>
      <c r="I409" s="2"/>
      <c r="J409" s="74"/>
      <c r="K409" s="74"/>
      <c r="L409" s="74"/>
      <c r="M409" s="74"/>
      <c r="N409" s="2"/>
      <c r="O409" s="2"/>
      <c r="P409" s="2"/>
      <c r="Q409" s="74"/>
      <c r="R409" s="2"/>
      <c r="S409" s="2"/>
      <c r="T409" s="76"/>
      <c r="U409" s="88"/>
    </row>
    <row r="410" ht="15.75" customHeight="1">
      <c r="A410" s="2"/>
      <c r="B410" s="2"/>
      <c r="C410" s="2"/>
      <c r="D410" s="2"/>
      <c r="E410" s="2"/>
      <c r="F410" s="2"/>
      <c r="G410" s="2"/>
      <c r="H410" s="2"/>
      <c r="I410" s="2"/>
      <c r="J410" s="74"/>
      <c r="K410" s="74"/>
      <c r="L410" s="74"/>
      <c r="M410" s="74"/>
      <c r="N410" s="2"/>
      <c r="O410" s="2"/>
      <c r="P410" s="2"/>
      <c r="Q410" s="74"/>
      <c r="R410" s="2"/>
      <c r="S410" s="2"/>
      <c r="T410" s="76"/>
      <c r="U410" s="88"/>
    </row>
    <row r="411" ht="15.75" customHeight="1">
      <c r="A411" s="2"/>
      <c r="B411" s="2"/>
      <c r="C411" s="2"/>
      <c r="D411" s="2"/>
      <c r="E411" s="2"/>
      <c r="F411" s="2"/>
      <c r="G411" s="2"/>
      <c r="H411" s="2"/>
      <c r="I411" s="2"/>
      <c r="J411" s="74"/>
      <c r="K411" s="74"/>
      <c r="L411" s="74"/>
      <c r="M411" s="74"/>
      <c r="N411" s="2"/>
      <c r="O411" s="2"/>
      <c r="P411" s="2"/>
      <c r="Q411" s="74"/>
      <c r="R411" s="2"/>
      <c r="S411" s="2"/>
      <c r="T411" s="76"/>
      <c r="U411" s="88"/>
    </row>
    <row r="412" ht="15.75" customHeight="1">
      <c r="A412" s="2"/>
      <c r="B412" s="2"/>
      <c r="C412" s="2"/>
      <c r="D412" s="2"/>
      <c r="E412" s="2"/>
      <c r="F412" s="2"/>
      <c r="G412" s="2"/>
      <c r="H412" s="2"/>
      <c r="I412" s="2"/>
      <c r="J412" s="74"/>
      <c r="K412" s="74"/>
      <c r="L412" s="74"/>
      <c r="M412" s="74"/>
      <c r="N412" s="2"/>
      <c r="O412" s="2"/>
      <c r="P412" s="2"/>
      <c r="Q412" s="74"/>
      <c r="R412" s="2"/>
      <c r="S412" s="2"/>
      <c r="T412" s="76"/>
      <c r="U412" s="88"/>
    </row>
    <row r="413" ht="15.75" customHeight="1">
      <c r="A413" s="2"/>
      <c r="B413" s="2"/>
      <c r="C413" s="2"/>
      <c r="D413" s="2"/>
      <c r="E413" s="2"/>
      <c r="F413" s="2"/>
      <c r="G413" s="2"/>
      <c r="H413" s="2"/>
      <c r="I413" s="2"/>
      <c r="J413" s="74"/>
      <c r="K413" s="74"/>
      <c r="L413" s="74"/>
      <c r="M413" s="74"/>
      <c r="N413" s="2"/>
      <c r="O413" s="2"/>
      <c r="P413" s="2"/>
      <c r="Q413" s="74"/>
      <c r="R413" s="2"/>
      <c r="S413" s="2"/>
      <c r="T413" s="76"/>
      <c r="U413" s="88"/>
    </row>
    <row r="414" ht="15.75" customHeight="1">
      <c r="A414" s="2"/>
      <c r="B414" s="2"/>
      <c r="C414" s="2"/>
      <c r="D414" s="2"/>
      <c r="E414" s="2"/>
      <c r="F414" s="2"/>
      <c r="G414" s="2"/>
      <c r="H414" s="2"/>
      <c r="I414" s="2"/>
      <c r="J414" s="74"/>
      <c r="K414" s="74"/>
      <c r="L414" s="74"/>
      <c r="M414" s="74"/>
      <c r="N414" s="2"/>
      <c r="O414" s="2"/>
      <c r="P414" s="2"/>
      <c r="Q414" s="74"/>
      <c r="R414" s="2"/>
      <c r="S414" s="2"/>
      <c r="T414" s="76"/>
      <c r="U414" s="88"/>
    </row>
    <row r="415" ht="15.75" customHeight="1">
      <c r="A415" s="2"/>
      <c r="B415" s="2"/>
      <c r="C415" s="2"/>
      <c r="D415" s="2"/>
      <c r="E415" s="2"/>
      <c r="F415" s="2"/>
      <c r="G415" s="2"/>
      <c r="H415" s="2"/>
      <c r="I415" s="2"/>
      <c r="J415" s="74"/>
      <c r="K415" s="74"/>
      <c r="L415" s="74"/>
      <c r="M415" s="74"/>
      <c r="N415" s="2"/>
      <c r="O415" s="2"/>
      <c r="P415" s="2"/>
      <c r="Q415" s="74"/>
      <c r="R415" s="2"/>
      <c r="S415" s="2"/>
      <c r="T415" s="76"/>
      <c r="U415" s="88"/>
    </row>
    <row r="416" ht="15.75" customHeight="1">
      <c r="A416" s="2"/>
      <c r="B416" s="2"/>
      <c r="C416" s="2"/>
      <c r="D416" s="2"/>
      <c r="E416" s="2"/>
      <c r="F416" s="2"/>
      <c r="G416" s="2"/>
      <c r="H416" s="2"/>
      <c r="I416" s="2"/>
      <c r="J416" s="74"/>
      <c r="K416" s="74"/>
      <c r="L416" s="74"/>
      <c r="M416" s="74"/>
      <c r="N416" s="2"/>
      <c r="O416" s="2"/>
      <c r="P416" s="2"/>
      <c r="Q416" s="74"/>
      <c r="R416" s="2"/>
      <c r="S416" s="2"/>
      <c r="T416" s="76"/>
      <c r="U416" s="88"/>
    </row>
    <row r="417" ht="15.75" customHeight="1">
      <c r="A417" s="2"/>
      <c r="B417" s="2"/>
      <c r="C417" s="2"/>
      <c r="D417" s="2"/>
      <c r="E417" s="2"/>
      <c r="F417" s="2"/>
      <c r="G417" s="2"/>
      <c r="H417" s="2"/>
      <c r="I417" s="2"/>
      <c r="J417" s="74"/>
      <c r="K417" s="74"/>
      <c r="L417" s="74"/>
      <c r="M417" s="74"/>
      <c r="N417" s="2"/>
      <c r="O417" s="2"/>
      <c r="P417" s="2"/>
      <c r="Q417" s="74"/>
      <c r="R417" s="2"/>
      <c r="S417" s="2"/>
      <c r="T417" s="76"/>
      <c r="U417" s="88"/>
    </row>
    <row r="418" ht="15.75" customHeight="1">
      <c r="A418" s="2"/>
      <c r="B418" s="2"/>
      <c r="C418" s="2"/>
      <c r="D418" s="2"/>
      <c r="E418" s="2"/>
      <c r="F418" s="2"/>
      <c r="G418" s="2"/>
      <c r="H418" s="2"/>
      <c r="I418" s="2"/>
      <c r="J418" s="74"/>
      <c r="K418" s="74"/>
      <c r="L418" s="74"/>
      <c r="M418" s="74"/>
      <c r="N418" s="2"/>
      <c r="O418" s="2"/>
      <c r="P418" s="2"/>
      <c r="Q418" s="74"/>
      <c r="R418" s="2"/>
      <c r="S418" s="2"/>
      <c r="T418" s="76"/>
      <c r="U418" s="88"/>
    </row>
    <row r="419" ht="15.75" customHeight="1">
      <c r="A419" s="2"/>
      <c r="B419" s="2"/>
      <c r="C419" s="2"/>
      <c r="D419" s="2"/>
      <c r="E419" s="2"/>
      <c r="F419" s="2"/>
      <c r="G419" s="2"/>
      <c r="H419" s="2"/>
      <c r="I419" s="2"/>
      <c r="J419" s="74"/>
      <c r="K419" s="74"/>
      <c r="L419" s="74"/>
      <c r="M419" s="74"/>
      <c r="N419" s="2"/>
      <c r="O419" s="2"/>
      <c r="P419" s="2"/>
      <c r="Q419" s="74"/>
      <c r="R419" s="2"/>
      <c r="S419" s="2"/>
      <c r="T419" s="76"/>
      <c r="U419" s="88"/>
    </row>
    <row r="420" ht="15.75" customHeight="1">
      <c r="A420" s="2"/>
      <c r="B420" s="2"/>
      <c r="C420" s="2"/>
      <c r="D420" s="2"/>
      <c r="E420" s="2"/>
      <c r="F420" s="2"/>
      <c r="G420" s="2"/>
      <c r="H420" s="2"/>
      <c r="I420" s="2"/>
      <c r="J420" s="74"/>
      <c r="K420" s="74"/>
      <c r="L420" s="74"/>
      <c r="M420" s="74"/>
      <c r="N420" s="2"/>
      <c r="O420" s="2"/>
      <c r="P420" s="2"/>
      <c r="Q420" s="74"/>
      <c r="R420" s="2"/>
      <c r="S420" s="2"/>
      <c r="T420" s="76"/>
      <c r="U420" s="88"/>
    </row>
    <row r="421" ht="15.75" customHeight="1">
      <c r="A421" s="2"/>
      <c r="B421" s="2"/>
      <c r="C421" s="2"/>
      <c r="D421" s="2"/>
      <c r="E421" s="2"/>
      <c r="F421" s="2"/>
      <c r="G421" s="2"/>
      <c r="H421" s="2"/>
      <c r="I421" s="2"/>
      <c r="J421" s="74"/>
      <c r="K421" s="74"/>
      <c r="L421" s="74"/>
      <c r="M421" s="74"/>
      <c r="N421" s="2"/>
      <c r="O421" s="2"/>
      <c r="P421" s="2"/>
      <c r="Q421" s="74"/>
      <c r="R421" s="2"/>
      <c r="S421" s="2"/>
      <c r="T421" s="76"/>
      <c r="U421" s="88"/>
    </row>
    <row r="422" ht="15.75" customHeight="1">
      <c r="A422" s="2"/>
      <c r="B422" s="2"/>
      <c r="C422" s="2"/>
      <c r="D422" s="2"/>
      <c r="E422" s="2"/>
      <c r="F422" s="2"/>
      <c r="G422" s="2"/>
      <c r="H422" s="2"/>
      <c r="I422" s="2"/>
      <c r="J422" s="74"/>
      <c r="K422" s="74"/>
      <c r="L422" s="74"/>
      <c r="M422" s="74"/>
      <c r="N422" s="2"/>
      <c r="O422" s="2"/>
      <c r="P422" s="2"/>
      <c r="Q422" s="74"/>
      <c r="R422" s="2"/>
      <c r="S422" s="2"/>
      <c r="T422" s="76"/>
      <c r="U422" s="88"/>
    </row>
    <row r="423" ht="15.75" customHeight="1">
      <c r="A423" s="2"/>
      <c r="B423" s="2"/>
      <c r="C423" s="2"/>
      <c r="D423" s="2"/>
      <c r="E423" s="2"/>
      <c r="F423" s="2"/>
      <c r="G423" s="2"/>
      <c r="H423" s="2"/>
      <c r="I423" s="2"/>
      <c r="J423" s="74"/>
      <c r="K423" s="74"/>
      <c r="L423" s="74"/>
      <c r="M423" s="74"/>
      <c r="N423" s="2"/>
      <c r="O423" s="2"/>
      <c r="P423" s="2"/>
      <c r="Q423" s="74"/>
      <c r="R423" s="2"/>
      <c r="S423" s="2"/>
      <c r="T423" s="76"/>
      <c r="U423" s="88"/>
    </row>
    <row r="424" ht="15.75" customHeight="1">
      <c r="A424" s="2"/>
      <c r="B424" s="2"/>
      <c r="C424" s="2"/>
      <c r="D424" s="2"/>
      <c r="E424" s="2"/>
      <c r="F424" s="2"/>
      <c r="G424" s="2"/>
      <c r="H424" s="2"/>
      <c r="I424" s="2"/>
      <c r="J424" s="74"/>
      <c r="K424" s="74"/>
      <c r="L424" s="74"/>
      <c r="M424" s="74"/>
      <c r="N424" s="2"/>
      <c r="O424" s="2"/>
      <c r="P424" s="2"/>
      <c r="Q424" s="74"/>
      <c r="R424" s="2"/>
      <c r="S424" s="2"/>
      <c r="T424" s="76"/>
      <c r="U424" s="88"/>
    </row>
    <row r="425" ht="15.75" customHeight="1">
      <c r="A425" s="2"/>
      <c r="B425" s="2"/>
      <c r="C425" s="2"/>
      <c r="D425" s="2"/>
      <c r="E425" s="2"/>
      <c r="F425" s="2"/>
      <c r="G425" s="2"/>
      <c r="H425" s="2"/>
      <c r="I425" s="2"/>
      <c r="J425" s="74"/>
      <c r="K425" s="74"/>
      <c r="L425" s="74"/>
      <c r="M425" s="74"/>
      <c r="N425" s="2"/>
      <c r="O425" s="2"/>
      <c r="P425" s="2"/>
      <c r="Q425" s="74"/>
      <c r="R425" s="2"/>
      <c r="S425" s="2"/>
      <c r="T425" s="76"/>
      <c r="U425" s="88"/>
    </row>
    <row r="426" ht="15.75" customHeight="1">
      <c r="A426" s="2"/>
      <c r="B426" s="2"/>
      <c r="C426" s="2"/>
      <c r="D426" s="2"/>
      <c r="E426" s="2"/>
      <c r="F426" s="2"/>
      <c r="G426" s="2"/>
      <c r="H426" s="2"/>
      <c r="I426" s="2"/>
      <c r="J426" s="74"/>
      <c r="K426" s="74"/>
      <c r="L426" s="74"/>
      <c r="M426" s="74"/>
      <c r="N426" s="2"/>
      <c r="O426" s="2"/>
      <c r="P426" s="2"/>
      <c r="Q426" s="74"/>
      <c r="R426" s="2"/>
      <c r="S426" s="2"/>
      <c r="T426" s="76"/>
      <c r="U426" s="88"/>
    </row>
    <row r="427" ht="15.75" customHeight="1">
      <c r="A427" s="2"/>
      <c r="B427" s="2"/>
      <c r="C427" s="2"/>
      <c r="D427" s="2"/>
      <c r="E427" s="2"/>
      <c r="F427" s="2"/>
      <c r="G427" s="2"/>
      <c r="H427" s="2"/>
      <c r="I427" s="2"/>
      <c r="J427" s="74"/>
      <c r="K427" s="74"/>
      <c r="L427" s="74"/>
      <c r="M427" s="74"/>
      <c r="N427" s="2"/>
      <c r="O427" s="2"/>
      <c r="P427" s="2"/>
      <c r="Q427" s="74"/>
      <c r="R427" s="2"/>
      <c r="S427" s="2"/>
      <c r="T427" s="76"/>
      <c r="U427" s="88"/>
    </row>
    <row r="428" ht="15.75" customHeight="1">
      <c r="A428" s="2"/>
      <c r="B428" s="2"/>
      <c r="C428" s="2"/>
      <c r="D428" s="2"/>
      <c r="E428" s="2"/>
      <c r="F428" s="2"/>
      <c r="G428" s="2"/>
      <c r="H428" s="2"/>
      <c r="I428" s="2"/>
      <c r="J428" s="74"/>
      <c r="K428" s="74"/>
      <c r="L428" s="74"/>
      <c r="M428" s="74"/>
      <c r="N428" s="2"/>
      <c r="O428" s="2"/>
      <c r="P428" s="2"/>
      <c r="Q428" s="74"/>
      <c r="R428" s="2"/>
      <c r="S428" s="2"/>
      <c r="T428" s="76"/>
      <c r="U428" s="88"/>
    </row>
    <row r="429" ht="15.75" customHeight="1">
      <c r="A429" s="2"/>
      <c r="B429" s="2"/>
      <c r="C429" s="2"/>
      <c r="D429" s="2"/>
      <c r="E429" s="2"/>
      <c r="F429" s="2"/>
      <c r="G429" s="2"/>
      <c r="H429" s="2"/>
      <c r="I429" s="2"/>
      <c r="J429" s="74"/>
      <c r="K429" s="74"/>
      <c r="L429" s="74"/>
      <c r="M429" s="74"/>
      <c r="N429" s="2"/>
      <c r="O429" s="2"/>
      <c r="P429" s="2"/>
      <c r="Q429" s="74"/>
      <c r="R429" s="2"/>
      <c r="S429" s="2"/>
      <c r="T429" s="76"/>
      <c r="U429" s="88"/>
    </row>
    <row r="430" ht="15.75" customHeight="1">
      <c r="A430" s="2"/>
      <c r="B430" s="2"/>
      <c r="C430" s="2"/>
      <c r="D430" s="2"/>
      <c r="E430" s="2"/>
      <c r="F430" s="2"/>
      <c r="G430" s="2"/>
      <c r="H430" s="2"/>
      <c r="I430" s="2"/>
      <c r="J430" s="74"/>
      <c r="K430" s="74"/>
      <c r="L430" s="74"/>
      <c r="M430" s="74"/>
      <c r="N430" s="2"/>
      <c r="O430" s="2"/>
      <c r="P430" s="2"/>
      <c r="Q430" s="74"/>
      <c r="R430" s="2"/>
      <c r="S430" s="2"/>
      <c r="T430" s="76"/>
      <c r="U430" s="88"/>
    </row>
    <row r="431" ht="15.75" customHeight="1">
      <c r="A431" s="2"/>
      <c r="B431" s="2"/>
      <c r="C431" s="2"/>
      <c r="D431" s="2"/>
      <c r="E431" s="2"/>
      <c r="F431" s="2"/>
      <c r="G431" s="2"/>
      <c r="H431" s="2"/>
      <c r="I431" s="2"/>
      <c r="J431" s="74"/>
      <c r="K431" s="74"/>
      <c r="L431" s="74"/>
      <c r="M431" s="74"/>
      <c r="N431" s="2"/>
      <c r="O431" s="2"/>
      <c r="P431" s="2"/>
      <c r="Q431" s="74"/>
      <c r="R431" s="2"/>
      <c r="S431" s="2"/>
      <c r="T431" s="76"/>
      <c r="U431" s="88"/>
    </row>
    <row r="432" ht="15.75" customHeight="1">
      <c r="A432" s="2"/>
      <c r="B432" s="2"/>
      <c r="C432" s="2"/>
      <c r="D432" s="2"/>
      <c r="E432" s="2"/>
      <c r="F432" s="2"/>
      <c r="G432" s="2"/>
      <c r="H432" s="2"/>
      <c r="I432" s="2"/>
      <c r="J432" s="74"/>
      <c r="K432" s="74"/>
      <c r="L432" s="74"/>
      <c r="M432" s="74"/>
      <c r="N432" s="2"/>
      <c r="O432" s="2"/>
      <c r="P432" s="2"/>
      <c r="Q432" s="74"/>
      <c r="R432" s="2"/>
      <c r="S432" s="2"/>
      <c r="T432" s="76"/>
      <c r="U432" s="88"/>
    </row>
    <row r="433" ht="15.75" customHeight="1">
      <c r="A433" s="2"/>
      <c r="B433" s="2"/>
      <c r="C433" s="2"/>
      <c r="D433" s="2"/>
      <c r="E433" s="2"/>
      <c r="F433" s="2"/>
      <c r="G433" s="2"/>
      <c r="H433" s="2"/>
      <c r="I433" s="2"/>
      <c r="J433" s="74"/>
      <c r="K433" s="74"/>
      <c r="L433" s="74"/>
      <c r="M433" s="74"/>
      <c r="N433" s="2"/>
      <c r="O433" s="2"/>
      <c r="P433" s="2"/>
      <c r="Q433" s="74"/>
      <c r="R433" s="2"/>
      <c r="S433" s="2"/>
      <c r="T433" s="76"/>
      <c r="U433" s="88"/>
    </row>
    <row r="434" ht="15.75" customHeight="1">
      <c r="A434" s="2"/>
      <c r="B434" s="2"/>
      <c r="C434" s="2"/>
      <c r="D434" s="2"/>
      <c r="E434" s="2"/>
      <c r="F434" s="2"/>
      <c r="G434" s="2"/>
      <c r="H434" s="2"/>
      <c r="I434" s="2"/>
      <c r="J434" s="74"/>
      <c r="K434" s="74"/>
      <c r="L434" s="74"/>
      <c r="M434" s="74"/>
      <c r="N434" s="2"/>
      <c r="O434" s="2"/>
      <c r="P434" s="2"/>
      <c r="Q434" s="74"/>
      <c r="R434" s="2"/>
      <c r="S434" s="2"/>
      <c r="T434" s="76"/>
      <c r="U434" s="88"/>
    </row>
    <row r="435" ht="15.75" customHeight="1">
      <c r="A435" s="2"/>
      <c r="B435" s="2"/>
      <c r="C435" s="2"/>
      <c r="D435" s="2"/>
      <c r="E435" s="2"/>
      <c r="F435" s="2"/>
      <c r="G435" s="2"/>
      <c r="H435" s="2"/>
      <c r="I435" s="2"/>
      <c r="J435" s="74"/>
      <c r="K435" s="74"/>
      <c r="L435" s="74"/>
      <c r="M435" s="74"/>
      <c r="N435" s="2"/>
      <c r="O435" s="2"/>
      <c r="P435" s="2"/>
      <c r="Q435" s="74"/>
      <c r="R435" s="2"/>
      <c r="S435" s="2"/>
      <c r="T435" s="76"/>
      <c r="U435" s="88"/>
    </row>
    <row r="436" ht="15.75" customHeight="1">
      <c r="A436" s="2"/>
      <c r="B436" s="2"/>
      <c r="C436" s="2"/>
      <c r="D436" s="2"/>
      <c r="E436" s="2"/>
      <c r="F436" s="2"/>
      <c r="G436" s="2"/>
      <c r="H436" s="2"/>
      <c r="I436" s="2"/>
      <c r="J436" s="74"/>
      <c r="K436" s="74"/>
      <c r="L436" s="74"/>
      <c r="M436" s="74"/>
      <c r="N436" s="2"/>
      <c r="O436" s="2"/>
      <c r="P436" s="2"/>
      <c r="Q436" s="74"/>
      <c r="R436" s="2"/>
      <c r="S436" s="2"/>
      <c r="T436" s="76"/>
      <c r="U436" s="88"/>
    </row>
    <row r="437" ht="15.75" customHeight="1">
      <c r="A437" s="2"/>
      <c r="B437" s="2"/>
      <c r="C437" s="2"/>
      <c r="D437" s="2"/>
      <c r="E437" s="2"/>
      <c r="F437" s="2"/>
      <c r="G437" s="2"/>
      <c r="H437" s="2"/>
      <c r="I437" s="2"/>
      <c r="J437" s="74"/>
      <c r="K437" s="74"/>
      <c r="L437" s="74"/>
      <c r="M437" s="74"/>
      <c r="N437" s="2"/>
      <c r="O437" s="2"/>
      <c r="P437" s="2"/>
      <c r="Q437" s="74"/>
      <c r="R437" s="2"/>
      <c r="S437" s="2"/>
      <c r="T437" s="76"/>
      <c r="U437" s="88"/>
    </row>
    <row r="438" ht="15.75" customHeight="1">
      <c r="A438" s="2"/>
      <c r="B438" s="2"/>
      <c r="C438" s="2"/>
      <c r="D438" s="2"/>
      <c r="E438" s="2"/>
      <c r="F438" s="2"/>
      <c r="G438" s="2"/>
      <c r="H438" s="2"/>
      <c r="I438" s="2"/>
      <c r="J438" s="74"/>
      <c r="K438" s="74"/>
      <c r="L438" s="74"/>
      <c r="M438" s="74"/>
      <c r="N438" s="2"/>
      <c r="O438" s="2"/>
      <c r="P438" s="2"/>
      <c r="Q438" s="74"/>
      <c r="R438" s="2"/>
      <c r="S438" s="2"/>
      <c r="T438" s="76"/>
      <c r="U438" s="88"/>
    </row>
    <row r="439" ht="15.75" customHeight="1">
      <c r="A439" s="2"/>
      <c r="B439" s="2"/>
      <c r="C439" s="2"/>
      <c r="D439" s="2"/>
      <c r="E439" s="2"/>
      <c r="F439" s="2"/>
      <c r="G439" s="2"/>
      <c r="H439" s="2"/>
      <c r="I439" s="2"/>
      <c r="J439" s="74"/>
      <c r="K439" s="74"/>
      <c r="L439" s="74"/>
      <c r="M439" s="74"/>
      <c r="N439" s="2"/>
      <c r="O439" s="2"/>
      <c r="P439" s="2"/>
      <c r="Q439" s="74"/>
      <c r="R439" s="2"/>
      <c r="S439" s="2"/>
      <c r="T439" s="76"/>
      <c r="U439" s="88"/>
    </row>
    <row r="440" ht="15.75" customHeight="1">
      <c r="A440" s="2"/>
      <c r="B440" s="2"/>
      <c r="C440" s="2"/>
      <c r="D440" s="2"/>
      <c r="E440" s="2"/>
      <c r="F440" s="2"/>
      <c r="G440" s="2"/>
      <c r="H440" s="2"/>
      <c r="I440" s="2"/>
      <c r="J440" s="74"/>
      <c r="K440" s="74"/>
      <c r="L440" s="74"/>
      <c r="M440" s="74"/>
      <c r="N440" s="2"/>
      <c r="O440" s="2"/>
      <c r="P440" s="2"/>
      <c r="Q440" s="74"/>
      <c r="R440" s="2"/>
      <c r="S440" s="2"/>
      <c r="T440" s="76"/>
      <c r="U440" s="88"/>
    </row>
    <row r="441" ht="15.75" customHeight="1">
      <c r="A441" s="2"/>
      <c r="B441" s="2"/>
      <c r="C441" s="2"/>
      <c r="D441" s="2"/>
      <c r="E441" s="2"/>
      <c r="F441" s="2"/>
      <c r="G441" s="2"/>
      <c r="H441" s="2"/>
      <c r="I441" s="2"/>
      <c r="J441" s="74"/>
      <c r="K441" s="74"/>
      <c r="L441" s="74"/>
      <c r="M441" s="74"/>
      <c r="N441" s="2"/>
      <c r="O441" s="2"/>
      <c r="P441" s="2"/>
      <c r="Q441" s="74"/>
      <c r="R441" s="2"/>
      <c r="S441" s="2"/>
      <c r="T441" s="76"/>
      <c r="U441" s="88"/>
    </row>
    <row r="442" ht="15.75" customHeight="1">
      <c r="A442" s="2"/>
      <c r="B442" s="2"/>
      <c r="C442" s="2"/>
      <c r="D442" s="2"/>
      <c r="E442" s="2"/>
      <c r="F442" s="2"/>
      <c r="G442" s="2"/>
      <c r="H442" s="2"/>
      <c r="I442" s="2"/>
      <c r="J442" s="74"/>
      <c r="K442" s="74"/>
      <c r="L442" s="74"/>
      <c r="M442" s="74"/>
      <c r="N442" s="2"/>
      <c r="O442" s="2"/>
      <c r="P442" s="2"/>
      <c r="Q442" s="74"/>
      <c r="R442" s="2"/>
      <c r="S442" s="2"/>
      <c r="T442" s="76"/>
      <c r="U442" s="88"/>
    </row>
    <row r="443" ht="15.75" customHeight="1">
      <c r="A443" s="2"/>
      <c r="B443" s="2"/>
      <c r="C443" s="2"/>
      <c r="D443" s="2"/>
      <c r="E443" s="2"/>
      <c r="F443" s="2"/>
      <c r="G443" s="2"/>
      <c r="H443" s="2"/>
      <c r="I443" s="2"/>
      <c r="J443" s="74"/>
      <c r="K443" s="74"/>
      <c r="L443" s="74"/>
      <c r="M443" s="74"/>
      <c r="N443" s="2"/>
      <c r="O443" s="2"/>
      <c r="P443" s="2"/>
      <c r="Q443" s="74"/>
      <c r="R443" s="2"/>
      <c r="S443" s="2"/>
      <c r="T443" s="76"/>
      <c r="U443" s="88"/>
    </row>
    <row r="444" ht="15.75" customHeight="1">
      <c r="A444" s="2"/>
      <c r="B444" s="2"/>
      <c r="C444" s="2"/>
      <c r="D444" s="2"/>
      <c r="E444" s="2"/>
      <c r="F444" s="2"/>
      <c r="G444" s="2"/>
      <c r="H444" s="2"/>
      <c r="I444" s="2"/>
      <c r="J444" s="74"/>
      <c r="K444" s="74"/>
      <c r="L444" s="74"/>
      <c r="M444" s="74"/>
      <c r="N444" s="2"/>
      <c r="O444" s="2"/>
      <c r="P444" s="2"/>
      <c r="Q444" s="74"/>
      <c r="R444" s="2"/>
      <c r="S444" s="2"/>
      <c r="T444" s="76"/>
      <c r="U444" s="88"/>
    </row>
    <row r="445" ht="15.75" customHeight="1">
      <c r="A445" s="2"/>
      <c r="B445" s="2"/>
      <c r="C445" s="2"/>
      <c r="D445" s="2"/>
      <c r="E445" s="2"/>
      <c r="F445" s="2"/>
      <c r="G445" s="2"/>
      <c r="H445" s="2"/>
      <c r="I445" s="2"/>
      <c r="J445" s="74"/>
      <c r="K445" s="74"/>
      <c r="L445" s="74"/>
      <c r="M445" s="74"/>
      <c r="N445" s="2"/>
      <c r="O445" s="2"/>
      <c r="P445" s="2"/>
      <c r="Q445" s="74"/>
      <c r="R445" s="2"/>
      <c r="S445" s="2"/>
      <c r="T445" s="76"/>
      <c r="U445" s="88"/>
    </row>
    <row r="446" ht="15.75" customHeight="1">
      <c r="A446" s="2"/>
      <c r="B446" s="2"/>
      <c r="C446" s="2"/>
      <c r="D446" s="2"/>
      <c r="E446" s="2"/>
      <c r="F446" s="2"/>
      <c r="G446" s="2"/>
      <c r="H446" s="2"/>
      <c r="I446" s="2"/>
      <c r="J446" s="74"/>
      <c r="K446" s="74"/>
      <c r="L446" s="74"/>
      <c r="M446" s="74"/>
      <c r="N446" s="2"/>
      <c r="O446" s="2"/>
      <c r="P446" s="2"/>
      <c r="Q446" s="74"/>
      <c r="R446" s="2"/>
      <c r="S446" s="2"/>
      <c r="T446" s="76"/>
      <c r="U446" s="88"/>
    </row>
    <row r="447" ht="15.75" customHeight="1">
      <c r="A447" s="2"/>
      <c r="B447" s="2"/>
      <c r="C447" s="2"/>
      <c r="D447" s="2"/>
      <c r="E447" s="2"/>
      <c r="F447" s="2"/>
      <c r="G447" s="2"/>
      <c r="H447" s="2"/>
      <c r="I447" s="2"/>
      <c r="J447" s="74"/>
      <c r="K447" s="74"/>
      <c r="L447" s="74"/>
      <c r="M447" s="74"/>
      <c r="N447" s="2"/>
      <c r="O447" s="2"/>
      <c r="P447" s="2"/>
      <c r="Q447" s="74"/>
      <c r="R447" s="2"/>
      <c r="S447" s="2"/>
      <c r="T447" s="76"/>
      <c r="U447" s="88"/>
    </row>
    <row r="448" ht="15.75" customHeight="1">
      <c r="A448" s="2"/>
      <c r="B448" s="2"/>
      <c r="C448" s="2"/>
      <c r="D448" s="2"/>
      <c r="E448" s="2"/>
      <c r="F448" s="2"/>
      <c r="G448" s="2"/>
      <c r="H448" s="2"/>
      <c r="I448" s="2"/>
      <c r="J448" s="74"/>
      <c r="K448" s="74"/>
      <c r="L448" s="74"/>
      <c r="M448" s="74"/>
      <c r="N448" s="2"/>
      <c r="O448" s="2"/>
      <c r="P448" s="2"/>
      <c r="Q448" s="74"/>
      <c r="R448" s="2"/>
      <c r="S448" s="2"/>
      <c r="T448" s="76"/>
      <c r="U448" s="88"/>
    </row>
    <row r="449" ht="15.75" customHeight="1">
      <c r="A449" s="2"/>
      <c r="B449" s="2"/>
      <c r="C449" s="2"/>
      <c r="D449" s="2"/>
      <c r="E449" s="2"/>
      <c r="F449" s="2"/>
      <c r="G449" s="2"/>
      <c r="H449" s="2"/>
      <c r="I449" s="2"/>
      <c r="J449" s="74"/>
      <c r="K449" s="74"/>
      <c r="L449" s="74"/>
      <c r="M449" s="74"/>
      <c r="N449" s="2"/>
      <c r="O449" s="2"/>
      <c r="P449" s="2"/>
      <c r="Q449" s="74"/>
      <c r="R449" s="2"/>
      <c r="S449" s="2"/>
      <c r="T449" s="76"/>
      <c r="U449" s="88"/>
    </row>
    <row r="450" ht="15.75" customHeight="1">
      <c r="A450" s="2"/>
      <c r="B450" s="2"/>
      <c r="C450" s="2"/>
      <c r="D450" s="2"/>
      <c r="E450" s="2"/>
      <c r="F450" s="2"/>
      <c r="G450" s="2"/>
      <c r="H450" s="2"/>
      <c r="I450" s="2"/>
      <c r="J450" s="74"/>
      <c r="K450" s="74"/>
      <c r="L450" s="74"/>
      <c r="M450" s="74"/>
      <c r="N450" s="2"/>
      <c r="O450" s="2"/>
      <c r="P450" s="2"/>
      <c r="Q450" s="74"/>
      <c r="R450" s="2"/>
      <c r="S450" s="2"/>
      <c r="T450" s="76"/>
      <c r="U450" s="88"/>
    </row>
    <row r="451" ht="15.75" customHeight="1">
      <c r="A451" s="2"/>
      <c r="B451" s="2"/>
      <c r="C451" s="2"/>
      <c r="D451" s="2"/>
      <c r="E451" s="2"/>
      <c r="F451" s="2"/>
      <c r="G451" s="2"/>
      <c r="H451" s="2"/>
      <c r="I451" s="2"/>
      <c r="J451" s="74"/>
      <c r="K451" s="74"/>
      <c r="L451" s="74"/>
      <c r="M451" s="74"/>
      <c r="N451" s="2"/>
      <c r="O451" s="2"/>
      <c r="P451" s="2"/>
      <c r="Q451" s="74"/>
      <c r="R451" s="2"/>
      <c r="S451" s="2"/>
      <c r="T451" s="76"/>
      <c r="U451" s="88"/>
    </row>
    <row r="452" ht="15.75" customHeight="1">
      <c r="A452" s="2"/>
      <c r="B452" s="2"/>
      <c r="C452" s="2"/>
      <c r="D452" s="2"/>
      <c r="E452" s="2"/>
      <c r="F452" s="2"/>
      <c r="G452" s="2"/>
      <c r="H452" s="2"/>
      <c r="I452" s="2"/>
      <c r="J452" s="74"/>
      <c r="K452" s="74"/>
      <c r="L452" s="74"/>
      <c r="M452" s="74"/>
      <c r="N452" s="2"/>
      <c r="O452" s="2"/>
      <c r="P452" s="2"/>
      <c r="Q452" s="74"/>
      <c r="R452" s="2"/>
      <c r="S452" s="2"/>
      <c r="T452" s="76"/>
      <c r="U452" s="88"/>
    </row>
    <row r="453" ht="15.75" customHeight="1">
      <c r="A453" s="2"/>
      <c r="B453" s="2"/>
      <c r="C453" s="2"/>
      <c r="D453" s="2"/>
      <c r="E453" s="2"/>
      <c r="F453" s="2"/>
      <c r="G453" s="2"/>
      <c r="H453" s="2"/>
      <c r="I453" s="2"/>
      <c r="J453" s="74"/>
      <c r="K453" s="74"/>
      <c r="L453" s="74"/>
      <c r="M453" s="74"/>
      <c r="N453" s="2"/>
      <c r="O453" s="2"/>
      <c r="P453" s="2"/>
      <c r="Q453" s="74"/>
      <c r="R453" s="2"/>
      <c r="S453" s="2"/>
      <c r="T453" s="76"/>
      <c r="U453" s="88"/>
    </row>
    <row r="454" ht="15.75" customHeight="1">
      <c r="A454" s="2"/>
      <c r="B454" s="2"/>
      <c r="C454" s="2"/>
      <c r="D454" s="2"/>
      <c r="E454" s="2"/>
      <c r="F454" s="2"/>
      <c r="G454" s="2"/>
      <c r="H454" s="2"/>
      <c r="I454" s="2"/>
      <c r="J454" s="74"/>
      <c r="K454" s="74"/>
      <c r="L454" s="74"/>
      <c r="M454" s="74"/>
      <c r="N454" s="2"/>
      <c r="O454" s="2"/>
      <c r="P454" s="2"/>
      <c r="Q454" s="74"/>
      <c r="R454" s="2"/>
      <c r="S454" s="2"/>
      <c r="T454" s="76"/>
      <c r="U454" s="88"/>
    </row>
    <row r="455" ht="15.75" customHeight="1">
      <c r="A455" s="2"/>
      <c r="B455" s="2"/>
      <c r="C455" s="2"/>
      <c r="D455" s="2"/>
      <c r="E455" s="2"/>
      <c r="F455" s="2"/>
      <c r="G455" s="2"/>
      <c r="H455" s="2"/>
      <c r="I455" s="2"/>
      <c r="J455" s="74"/>
      <c r="K455" s="74"/>
      <c r="L455" s="74"/>
      <c r="M455" s="74"/>
      <c r="N455" s="2"/>
      <c r="O455" s="2"/>
      <c r="P455" s="2"/>
      <c r="Q455" s="74"/>
      <c r="R455" s="2"/>
      <c r="S455" s="2"/>
      <c r="T455" s="76"/>
      <c r="U455" s="88"/>
    </row>
    <row r="456" ht="15.75" customHeight="1">
      <c r="A456" s="2"/>
      <c r="B456" s="2"/>
      <c r="C456" s="2"/>
      <c r="D456" s="2"/>
      <c r="E456" s="2"/>
      <c r="F456" s="2"/>
      <c r="G456" s="2"/>
      <c r="H456" s="2"/>
      <c r="I456" s="2"/>
      <c r="J456" s="74"/>
      <c r="K456" s="74"/>
      <c r="L456" s="74"/>
      <c r="M456" s="74"/>
      <c r="N456" s="2"/>
      <c r="O456" s="2"/>
      <c r="P456" s="2"/>
      <c r="Q456" s="74"/>
      <c r="R456" s="2"/>
      <c r="S456" s="2"/>
      <c r="T456" s="76"/>
      <c r="U456" s="88"/>
    </row>
    <row r="457" ht="15.75" customHeight="1">
      <c r="A457" s="2"/>
      <c r="B457" s="2"/>
      <c r="C457" s="2"/>
      <c r="D457" s="2"/>
      <c r="E457" s="2"/>
      <c r="F457" s="2"/>
      <c r="G457" s="2"/>
      <c r="H457" s="2"/>
      <c r="I457" s="2"/>
      <c r="J457" s="74"/>
      <c r="K457" s="74"/>
      <c r="L457" s="74"/>
      <c r="M457" s="74"/>
      <c r="N457" s="2"/>
      <c r="O457" s="2"/>
      <c r="P457" s="2"/>
      <c r="Q457" s="74"/>
      <c r="R457" s="2"/>
      <c r="S457" s="2"/>
      <c r="T457" s="76"/>
      <c r="U457" s="88"/>
    </row>
    <row r="458" ht="15.75" customHeight="1">
      <c r="A458" s="2"/>
      <c r="B458" s="2"/>
      <c r="C458" s="2"/>
      <c r="D458" s="2"/>
      <c r="E458" s="2"/>
      <c r="F458" s="2"/>
      <c r="G458" s="2"/>
      <c r="H458" s="2"/>
      <c r="I458" s="2"/>
      <c r="J458" s="74"/>
      <c r="K458" s="74"/>
      <c r="L458" s="74"/>
      <c r="M458" s="74"/>
      <c r="N458" s="2"/>
      <c r="O458" s="2"/>
      <c r="P458" s="2"/>
      <c r="Q458" s="74"/>
      <c r="R458" s="2"/>
      <c r="S458" s="2"/>
      <c r="T458" s="76"/>
      <c r="U458" s="88"/>
    </row>
    <row r="459" ht="15.75" customHeight="1">
      <c r="A459" s="2"/>
      <c r="B459" s="2"/>
      <c r="C459" s="2"/>
      <c r="D459" s="2"/>
      <c r="E459" s="2"/>
      <c r="F459" s="2"/>
      <c r="G459" s="2"/>
      <c r="H459" s="2"/>
      <c r="I459" s="2"/>
      <c r="J459" s="74"/>
      <c r="K459" s="74"/>
      <c r="L459" s="74"/>
      <c r="M459" s="74"/>
      <c r="N459" s="2"/>
      <c r="O459" s="2"/>
      <c r="P459" s="2"/>
      <c r="Q459" s="74"/>
      <c r="R459" s="2"/>
      <c r="S459" s="2"/>
      <c r="T459" s="76"/>
      <c r="U459" s="88"/>
    </row>
    <row r="460" ht="15.75" customHeight="1">
      <c r="A460" s="2"/>
      <c r="B460" s="2"/>
      <c r="C460" s="2"/>
      <c r="D460" s="2"/>
      <c r="E460" s="2"/>
      <c r="F460" s="2"/>
      <c r="G460" s="2"/>
      <c r="H460" s="2"/>
      <c r="I460" s="2"/>
      <c r="J460" s="74"/>
      <c r="K460" s="74"/>
      <c r="L460" s="74"/>
      <c r="M460" s="74"/>
      <c r="N460" s="2"/>
      <c r="O460" s="2"/>
      <c r="P460" s="2"/>
      <c r="Q460" s="74"/>
      <c r="R460" s="2"/>
      <c r="S460" s="2"/>
      <c r="T460" s="76"/>
      <c r="U460" s="88"/>
    </row>
    <row r="461" ht="15.75" customHeight="1">
      <c r="A461" s="2"/>
      <c r="B461" s="2"/>
      <c r="C461" s="2"/>
      <c r="D461" s="2"/>
      <c r="E461" s="2"/>
      <c r="F461" s="2"/>
      <c r="G461" s="2"/>
      <c r="H461" s="2"/>
      <c r="I461" s="2"/>
      <c r="J461" s="74"/>
      <c r="K461" s="74"/>
      <c r="L461" s="74"/>
      <c r="M461" s="74"/>
      <c r="N461" s="2"/>
      <c r="O461" s="2"/>
      <c r="P461" s="2"/>
      <c r="Q461" s="74"/>
      <c r="R461" s="2"/>
      <c r="S461" s="2"/>
      <c r="T461" s="76"/>
      <c r="U461" s="88"/>
    </row>
    <row r="462" ht="15.75" customHeight="1">
      <c r="A462" s="2"/>
      <c r="B462" s="2"/>
      <c r="C462" s="2"/>
      <c r="D462" s="2"/>
      <c r="E462" s="2"/>
      <c r="F462" s="2"/>
      <c r="G462" s="2"/>
      <c r="H462" s="2"/>
      <c r="I462" s="2"/>
      <c r="J462" s="74"/>
      <c r="K462" s="74"/>
      <c r="L462" s="74"/>
      <c r="M462" s="74"/>
      <c r="N462" s="2"/>
      <c r="O462" s="2"/>
      <c r="P462" s="2"/>
      <c r="Q462" s="74"/>
      <c r="R462" s="2"/>
      <c r="S462" s="2"/>
      <c r="T462" s="76"/>
      <c r="U462" s="88"/>
    </row>
    <row r="463" ht="15.75" customHeight="1">
      <c r="A463" s="2"/>
      <c r="B463" s="2"/>
      <c r="C463" s="2"/>
      <c r="D463" s="2"/>
      <c r="E463" s="2"/>
      <c r="F463" s="2"/>
      <c r="G463" s="2"/>
      <c r="H463" s="2"/>
      <c r="I463" s="2"/>
      <c r="J463" s="74"/>
      <c r="K463" s="74"/>
      <c r="L463" s="74"/>
      <c r="M463" s="74"/>
      <c r="N463" s="2"/>
      <c r="O463" s="2"/>
      <c r="P463" s="2"/>
      <c r="Q463" s="74"/>
      <c r="R463" s="2"/>
      <c r="S463" s="2"/>
      <c r="T463" s="76"/>
      <c r="U463" s="88"/>
    </row>
    <row r="464" ht="15.75" customHeight="1">
      <c r="A464" s="2"/>
      <c r="B464" s="2"/>
      <c r="C464" s="2"/>
      <c r="D464" s="2"/>
      <c r="E464" s="2"/>
      <c r="F464" s="2"/>
      <c r="G464" s="2"/>
      <c r="H464" s="2"/>
      <c r="I464" s="2"/>
      <c r="J464" s="74"/>
      <c r="K464" s="74"/>
      <c r="L464" s="74"/>
      <c r="M464" s="74"/>
      <c r="N464" s="2"/>
      <c r="O464" s="2"/>
      <c r="P464" s="2"/>
      <c r="Q464" s="74"/>
      <c r="R464" s="2"/>
      <c r="S464" s="2"/>
      <c r="T464" s="76"/>
      <c r="U464" s="88"/>
    </row>
    <row r="465" ht="15.75" customHeight="1">
      <c r="A465" s="2"/>
      <c r="B465" s="2"/>
      <c r="C465" s="2"/>
      <c r="D465" s="2"/>
      <c r="E465" s="2"/>
      <c r="F465" s="2"/>
      <c r="G465" s="2"/>
      <c r="H465" s="2"/>
      <c r="I465" s="2"/>
      <c r="J465" s="74"/>
      <c r="K465" s="74"/>
      <c r="L465" s="74"/>
      <c r="M465" s="74"/>
      <c r="N465" s="2"/>
      <c r="O465" s="2"/>
      <c r="P465" s="2"/>
      <c r="Q465" s="74"/>
      <c r="R465" s="2"/>
      <c r="S465" s="2"/>
      <c r="T465" s="76"/>
      <c r="U465" s="88"/>
    </row>
    <row r="466" ht="15.75" customHeight="1">
      <c r="A466" s="2"/>
      <c r="B466" s="2"/>
      <c r="C466" s="2"/>
      <c r="D466" s="2"/>
      <c r="E466" s="2"/>
      <c r="F466" s="2"/>
      <c r="G466" s="2"/>
      <c r="H466" s="2"/>
      <c r="I466" s="2"/>
      <c r="J466" s="74"/>
      <c r="K466" s="74"/>
      <c r="L466" s="74"/>
      <c r="M466" s="74"/>
      <c r="N466" s="2"/>
      <c r="O466" s="2"/>
      <c r="P466" s="2"/>
      <c r="Q466" s="74"/>
      <c r="R466" s="2"/>
      <c r="S466" s="2"/>
      <c r="T466" s="76"/>
      <c r="U466" s="88"/>
    </row>
    <row r="467" ht="15.75" customHeight="1">
      <c r="A467" s="2"/>
      <c r="B467" s="2"/>
      <c r="C467" s="2"/>
      <c r="D467" s="2"/>
      <c r="E467" s="2"/>
      <c r="F467" s="2"/>
      <c r="G467" s="2"/>
      <c r="H467" s="2"/>
      <c r="I467" s="2"/>
      <c r="J467" s="74"/>
      <c r="K467" s="74"/>
      <c r="L467" s="74"/>
      <c r="M467" s="74"/>
      <c r="N467" s="2"/>
      <c r="O467" s="2"/>
      <c r="P467" s="2"/>
      <c r="Q467" s="74"/>
      <c r="R467" s="2"/>
      <c r="S467" s="2"/>
      <c r="T467" s="76"/>
      <c r="U467" s="88"/>
    </row>
    <row r="468" ht="15.75" customHeight="1">
      <c r="A468" s="2"/>
      <c r="B468" s="2"/>
      <c r="C468" s="2"/>
      <c r="D468" s="2"/>
      <c r="E468" s="2"/>
      <c r="F468" s="2"/>
      <c r="G468" s="2"/>
      <c r="H468" s="2"/>
      <c r="I468" s="2"/>
      <c r="J468" s="74"/>
      <c r="K468" s="74"/>
      <c r="L468" s="74"/>
      <c r="M468" s="74"/>
      <c r="N468" s="2"/>
      <c r="O468" s="2"/>
      <c r="P468" s="2"/>
      <c r="Q468" s="74"/>
      <c r="R468" s="2"/>
      <c r="S468" s="2"/>
      <c r="T468" s="76"/>
      <c r="U468" s="88"/>
    </row>
    <row r="469" ht="15.75" customHeight="1">
      <c r="A469" s="2"/>
      <c r="B469" s="2"/>
      <c r="C469" s="2"/>
      <c r="D469" s="2"/>
      <c r="E469" s="2"/>
      <c r="F469" s="2"/>
      <c r="G469" s="2"/>
      <c r="H469" s="2"/>
      <c r="I469" s="2"/>
      <c r="J469" s="74"/>
      <c r="K469" s="74"/>
      <c r="L469" s="74"/>
      <c r="M469" s="74"/>
      <c r="N469" s="2"/>
      <c r="O469" s="2"/>
      <c r="P469" s="2"/>
      <c r="Q469" s="74"/>
      <c r="R469" s="2"/>
      <c r="S469" s="2"/>
      <c r="T469" s="76"/>
      <c r="U469" s="88"/>
    </row>
    <row r="470" ht="15.75" customHeight="1">
      <c r="A470" s="2"/>
      <c r="B470" s="2"/>
      <c r="C470" s="2"/>
      <c r="D470" s="2"/>
      <c r="E470" s="2"/>
      <c r="F470" s="2"/>
      <c r="G470" s="2"/>
      <c r="H470" s="2"/>
      <c r="I470" s="2"/>
      <c r="J470" s="74"/>
      <c r="K470" s="74"/>
      <c r="L470" s="74"/>
      <c r="M470" s="74"/>
      <c r="N470" s="2"/>
      <c r="O470" s="2"/>
      <c r="P470" s="2"/>
      <c r="Q470" s="74"/>
      <c r="R470" s="2"/>
      <c r="S470" s="2"/>
      <c r="T470" s="76"/>
      <c r="U470" s="88"/>
    </row>
    <row r="471" ht="15.75" customHeight="1">
      <c r="A471" s="2"/>
      <c r="B471" s="2"/>
      <c r="C471" s="2"/>
      <c r="D471" s="2"/>
      <c r="E471" s="2"/>
      <c r="F471" s="2"/>
      <c r="G471" s="2"/>
      <c r="H471" s="2"/>
      <c r="I471" s="2"/>
      <c r="J471" s="74"/>
      <c r="K471" s="74"/>
      <c r="L471" s="74"/>
      <c r="M471" s="74"/>
      <c r="N471" s="2"/>
      <c r="O471" s="2"/>
      <c r="P471" s="2"/>
      <c r="Q471" s="74"/>
      <c r="R471" s="2"/>
      <c r="S471" s="2"/>
      <c r="T471" s="76"/>
      <c r="U471" s="88"/>
    </row>
    <row r="472" ht="15.75" customHeight="1">
      <c r="A472" s="2"/>
      <c r="B472" s="2"/>
      <c r="C472" s="2"/>
      <c r="D472" s="2"/>
      <c r="E472" s="2"/>
      <c r="F472" s="2"/>
      <c r="G472" s="2"/>
      <c r="H472" s="2"/>
      <c r="I472" s="2"/>
      <c r="J472" s="74"/>
      <c r="K472" s="74"/>
      <c r="L472" s="74"/>
      <c r="M472" s="74"/>
      <c r="N472" s="2"/>
      <c r="O472" s="2"/>
      <c r="P472" s="2"/>
      <c r="Q472" s="74"/>
      <c r="R472" s="2"/>
      <c r="S472" s="2"/>
      <c r="T472" s="76"/>
      <c r="U472" s="88"/>
    </row>
    <row r="473" ht="15.75" customHeight="1">
      <c r="A473" s="2"/>
      <c r="B473" s="2"/>
      <c r="C473" s="2"/>
      <c r="D473" s="2"/>
      <c r="E473" s="2"/>
      <c r="F473" s="2"/>
      <c r="G473" s="2"/>
      <c r="H473" s="2"/>
      <c r="I473" s="2"/>
      <c r="J473" s="74"/>
      <c r="K473" s="74"/>
      <c r="L473" s="74"/>
      <c r="M473" s="74"/>
      <c r="N473" s="2"/>
      <c r="O473" s="2"/>
      <c r="P473" s="2"/>
      <c r="Q473" s="74"/>
      <c r="R473" s="2"/>
      <c r="S473" s="2"/>
      <c r="T473" s="76"/>
      <c r="U473" s="88"/>
    </row>
    <row r="474" ht="15.75" customHeight="1">
      <c r="A474" s="2"/>
      <c r="B474" s="2"/>
      <c r="C474" s="2"/>
      <c r="D474" s="2"/>
      <c r="E474" s="2"/>
      <c r="F474" s="2"/>
      <c r="G474" s="2"/>
      <c r="H474" s="2"/>
      <c r="I474" s="2"/>
      <c r="J474" s="74"/>
      <c r="K474" s="74"/>
      <c r="L474" s="74"/>
      <c r="M474" s="74"/>
      <c r="N474" s="2"/>
      <c r="O474" s="2"/>
      <c r="P474" s="2"/>
      <c r="Q474" s="74"/>
      <c r="R474" s="2"/>
      <c r="S474" s="2"/>
      <c r="T474" s="76"/>
      <c r="U474" s="88"/>
    </row>
    <row r="475" ht="15.75" customHeight="1">
      <c r="A475" s="2"/>
      <c r="B475" s="2"/>
      <c r="C475" s="2"/>
      <c r="D475" s="2"/>
      <c r="E475" s="2"/>
      <c r="F475" s="2"/>
      <c r="G475" s="2"/>
      <c r="H475" s="2"/>
      <c r="I475" s="2"/>
      <c r="J475" s="74"/>
      <c r="K475" s="74"/>
      <c r="L475" s="74"/>
      <c r="M475" s="74"/>
      <c r="N475" s="2"/>
      <c r="O475" s="2"/>
      <c r="P475" s="2"/>
      <c r="Q475" s="74"/>
      <c r="R475" s="2"/>
      <c r="S475" s="2"/>
      <c r="T475" s="76"/>
      <c r="U475" s="88"/>
    </row>
    <row r="476" ht="15.75" customHeight="1">
      <c r="A476" s="2"/>
      <c r="B476" s="2"/>
      <c r="C476" s="2"/>
      <c r="D476" s="2"/>
      <c r="E476" s="2"/>
      <c r="F476" s="2"/>
      <c r="G476" s="2"/>
      <c r="H476" s="2"/>
      <c r="I476" s="2"/>
      <c r="J476" s="74"/>
      <c r="K476" s="74"/>
      <c r="L476" s="74"/>
      <c r="M476" s="74"/>
      <c r="N476" s="2"/>
      <c r="O476" s="2"/>
      <c r="P476" s="2"/>
      <c r="Q476" s="74"/>
      <c r="R476" s="2"/>
      <c r="S476" s="2"/>
      <c r="T476" s="76"/>
      <c r="U476" s="88"/>
    </row>
    <row r="477" ht="15.75" customHeight="1">
      <c r="A477" s="2"/>
      <c r="B477" s="2"/>
      <c r="C477" s="2"/>
      <c r="D477" s="2"/>
      <c r="E477" s="2"/>
      <c r="F477" s="2"/>
      <c r="G477" s="2"/>
      <c r="H477" s="2"/>
      <c r="I477" s="2"/>
      <c r="J477" s="74"/>
      <c r="K477" s="74"/>
      <c r="L477" s="74"/>
      <c r="M477" s="74"/>
      <c r="N477" s="2"/>
      <c r="O477" s="2"/>
      <c r="P477" s="2"/>
      <c r="Q477" s="74"/>
      <c r="R477" s="2"/>
      <c r="S477" s="2"/>
      <c r="T477" s="76"/>
      <c r="U477" s="88"/>
    </row>
    <row r="478" ht="15.75" customHeight="1">
      <c r="A478" s="2"/>
      <c r="B478" s="2"/>
      <c r="C478" s="2"/>
      <c r="D478" s="2"/>
      <c r="E478" s="2"/>
      <c r="F478" s="2"/>
      <c r="G478" s="2"/>
      <c r="H478" s="2"/>
      <c r="I478" s="2"/>
      <c r="J478" s="74"/>
      <c r="K478" s="74"/>
      <c r="L478" s="74"/>
      <c r="M478" s="74"/>
      <c r="N478" s="2"/>
      <c r="O478" s="2"/>
      <c r="P478" s="2"/>
      <c r="Q478" s="74"/>
      <c r="R478" s="2"/>
      <c r="S478" s="2"/>
      <c r="T478" s="76"/>
      <c r="U478" s="88"/>
    </row>
    <row r="479" ht="15.75" customHeight="1">
      <c r="A479" s="2"/>
      <c r="B479" s="2"/>
      <c r="C479" s="2"/>
      <c r="D479" s="2"/>
      <c r="E479" s="2"/>
      <c r="F479" s="2"/>
      <c r="G479" s="2"/>
      <c r="H479" s="2"/>
      <c r="I479" s="2"/>
      <c r="J479" s="74"/>
      <c r="K479" s="74"/>
      <c r="L479" s="74"/>
      <c r="M479" s="74"/>
      <c r="N479" s="2"/>
      <c r="O479" s="2"/>
      <c r="P479" s="2"/>
      <c r="Q479" s="74"/>
      <c r="R479" s="2"/>
      <c r="S479" s="2"/>
      <c r="T479" s="76"/>
      <c r="U479" s="88"/>
    </row>
    <row r="480" ht="15.75" customHeight="1">
      <c r="A480" s="2"/>
      <c r="B480" s="2"/>
      <c r="C480" s="2"/>
      <c r="D480" s="2"/>
      <c r="E480" s="2"/>
      <c r="F480" s="2"/>
      <c r="G480" s="2"/>
      <c r="H480" s="2"/>
      <c r="I480" s="2"/>
      <c r="J480" s="74"/>
      <c r="K480" s="74"/>
      <c r="L480" s="74"/>
      <c r="M480" s="74"/>
      <c r="N480" s="2"/>
      <c r="O480" s="2"/>
      <c r="P480" s="2"/>
      <c r="Q480" s="74"/>
      <c r="R480" s="2"/>
      <c r="S480" s="2"/>
      <c r="T480" s="76"/>
      <c r="U480" s="88"/>
    </row>
    <row r="481" ht="15.75" customHeight="1">
      <c r="A481" s="2"/>
      <c r="B481" s="2"/>
      <c r="C481" s="2"/>
      <c r="D481" s="2"/>
      <c r="E481" s="2"/>
      <c r="F481" s="2"/>
      <c r="G481" s="2"/>
      <c r="H481" s="2"/>
      <c r="I481" s="2"/>
      <c r="J481" s="74"/>
      <c r="K481" s="74"/>
      <c r="L481" s="74"/>
      <c r="M481" s="74"/>
      <c r="N481" s="2"/>
      <c r="O481" s="2"/>
      <c r="P481" s="2"/>
      <c r="Q481" s="74"/>
      <c r="R481" s="2"/>
      <c r="S481" s="2"/>
      <c r="T481" s="76"/>
      <c r="U481" s="88"/>
    </row>
    <row r="482" ht="15.75" customHeight="1">
      <c r="A482" s="2"/>
      <c r="B482" s="2"/>
      <c r="C482" s="2"/>
      <c r="D482" s="2"/>
      <c r="E482" s="2"/>
      <c r="F482" s="2"/>
      <c r="G482" s="2"/>
      <c r="H482" s="2"/>
      <c r="I482" s="2"/>
      <c r="J482" s="74"/>
      <c r="K482" s="74"/>
      <c r="L482" s="74"/>
      <c r="M482" s="74"/>
      <c r="N482" s="2"/>
      <c r="O482" s="2"/>
      <c r="P482" s="2"/>
      <c r="Q482" s="74"/>
      <c r="R482" s="2"/>
      <c r="S482" s="2"/>
      <c r="T482" s="76"/>
      <c r="U482" s="88"/>
    </row>
    <row r="483" ht="15.75" customHeight="1">
      <c r="A483" s="2"/>
      <c r="B483" s="2"/>
      <c r="C483" s="2"/>
      <c r="D483" s="2"/>
      <c r="E483" s="2"/>
      <c r="F483" s="2"/>
      <c r="G483" s="2"/>
      <c r="H483" s="2"/>
      <c r="I483" s="2"/>
      <c r="J483" s="74"/>
      <c r="K483" s="74"/>
      <c r="L483" s="74"/>
      <c r="M483" s="74"/>
      <c r="N483" s="2"/>
      <c r="O483" s="2"/>
      <c r="P483" s="2"/>
      <c r="Q483" s="74"/>
      <c r="R483" s="2"/>
      <c r="S483" s="2"/>
      <c r="T483" s="76"/>
      <c r="U483" s="88"/>
    </row>
    <row r="484" ht="15.75" customHeight="1">
      <c r="A484" s="2"/>
      <c r="B484" s="2"/>
      <c r="C484" s="2"/>
      <c r="D484" s="2"/>
      <c r="E484" s="2"/>
      <c r="F484" s="2"/>
      <c r="G484" s="2"/>
      <c r="H484" s="2"/>
      <c r="I484" s="2"/>
      <c r="J484" s="74"/>
      <c r="K484" s="74"/>
      <c r="L484" s="74"/>
      <c r="M484" s="74"/>
      <c r="N484" s="2"/>
      <c r="O484" s="2"/>
      <c r="P484" s="2"/>
      <c r="Q484" s="74"/>
      <c r="R484" s="2"/>
      <c r="S484" s="2"/>
      <c r="T484" s="76"/>
      <c r="U484" s="88"/>
    </row>
    <row r="485" ht="15.75" customHeight="1">
      <c r="A485" s="2"/>
      <c r="B485" s="2"/>
      <c r="C485" s="2"/>
      <c r="D485" s="2"/>
      <c r="E485" s="2"/>
      <c r="F485" s="2"/>
      <c r="G485" s="2"/>
      <c r="H485" s="2"/>
      <c r="I485" s="2"/>
      <c r="J485" s="74"/>
      <c r="K485" s="74"/>
      <c r="L485" s="74"/>
      <c r="M485" s="74"/>
      <c r="N485" s="2"/>
      <c r="O485" s="2"/>
      <c r="P485" s="2"/>
      <c r="Q485" s="74"/>
      <c r="R485" s="2"/>
      <c r="S485" s="2"/>
      <c r="T485" s="76"/>
      <c r="U485" s="88"/>
    </row>
    <row r="486" ht="15.75" customHeight="1">
      <c r="A486" s="2"/>
      <c r="B486" s="2"/>
      <c r="C486" s="2"/>
      <c r="D486" s="2"/>
      <c r="E486" s="2"/>
      <c r="F486" s="2"/>
      <c r="G486" s="2"/>
      <c r="H486" s="2"/>
      <c r="I486" s="2"/>
      <c r="J486" s="74"/>
      <c r="K486" s="74"/>
      <c r="L486" s="74"/>
      <c r="M486" s="74"/>
      <c r="N486" s="2"/>
      <c r="O486" s="2"/>
      <c r="P486" s="2"/>
      <c r="Q486" s="74"/>
      <c r="R486" s="2"/>
      <c r="S486" s="2"/>
      <c r="T486" s="76"/>
      <c r="U486" s="88"/>
    </row>
    <row r="487" ht="15.75" customHeight="1">
      <c r="A487" s="2"/>
      <c r="B487" s="2"/>
      <c r="C487" s="2"/>
      <c r="D487" s="2"/>
      <c r="E487" s="2"/>
      <c r="F487" s="2"/>
      <c r="G487" s="2"/>
      <c r="H487" s="2"/>
      <c r="I487" s="2"/>
      <c r="J487" s="74"/>
      <c r="K487" s="74"/>
      <c r="L487" s="74"/>
      <c r="M487" s="74"/>
      <c r="N487" s="2"/>
      <c r="O487" s="2"/>
      <c r="P487" s="2"/>
      <c r="Q487" s="74"/>
      <c r="R487" s="2"/>
      <c r="S487" s="2"/>
      <c r="T487" s="76"/>
      <c r="U487" s="88"/>
    </row>
    <row r="488" ht="15.75" customHeight="1">
      <c r="A488" s="2"/>
      <c r="B488" s="2"/>
      <c r="C488" s="2"/>
      <c r="D488" s="2"/>
      <c r="E488" s="2"/>
      <c r="F488" s="2"/>
      <c r="G488" s="2"/>
      <c r="H488" s="2"/>
      <c r="I488" s="2"/>
      <c r="J488" s="74"/>
      <c r="K488" s="74"/>
      <c r="L488" s="74"/>
      <c r="M488" s="74"/>
      <c r="N488" s="2"/>
      <c r="O488" s="2"/>
      <c r="P488" s="2"/>
      <c r="Q488" s="74"/>
      <c r="R488" s="2"/>
      <c r="S488" s="2"/>
      <c r="T488" s="76"/>
      <c r="U488" s="88"/>
    </row>
    <row r="489" ht="15.75" customHeight="1">
      <c r="A489" s="2"/>
      <c r="B489" s="2"/>
      <c r="C489" s="2"/>
      <c r="D489" s="2"/>
      <c r="E489" s="2"/>
      <c r="F489" s="2"/>
      <c r="G489" s="2"/>
      <c r="H489" s="2"/>
      <c r="I489" s="2"/>
      <c r="J489" s="74"/>
      <c r="K489" s="74"/>
      <c r="L489" s="74"/>
      <c r="M489" s="74"/>
      <c r="N489" s="2"/>
      <c r="O489" s="2"/>
      <c r="P489" s="2"/>
      <c r="Q489" s="74"/>
      <c r="R489" s="2"/>
      <c r="S489" s="2"/>
      <c r="T489" s="76"/>
      <c r="U489" s="88"/>
    </row>
    <row r="490" ht="15.75" customHeight="1">
      <c r="A490" s="2"/>
      <c r="B490" s="2"/>
      <c r="C490" s="2"/>
      <c r="D490" s="2"/>
      <c r="E490" s="2"/>
      <c r="F490" s="2"/>
      <c r="G490" s="2"/>
      <c r="H490" s="2"/>
      <c r="I490" s="2"/>
      <c r="J490" s="74"/>
      <c r="K490" s="74"/>
      <c r="L490" s="74"/>
      <c r="M490" s="74"/>
      <c r="N490" s="2"/>
      <c r="O490" s="2"/>
      <c r="P490" s="2"/>
      <c r="Q490" s="74"/>
      <c r="R490" s="2"/>
      <c r="S490" s="2"/>
      <c r="T490" s="76"/>
      <c r="U490" s="88"/>
    </row>
    <row r="491" ht="15.75" customHeight="1">
      <c r="A491" s="2"/>
      <c r="B491" s="2"/>
      <c r="C491" s="2"/>
      <c r="D491" s="2"/>
      <c r="E491" s="2"/>
      <c r="F491" s="2"/>
      <c r="G491" s="2"/>
      <c r="H491" s="2"/>
      <c r="I491" s="2"/>
      <c r="J491" s="74"/>
      <c r="K491" s="74"/>
      <c r="L491" s="74"/>
      <c r="M491" s="74"/>
      <c r="N491" s="2"/>
      <c r="O491" s="2"/>
      <c r="P491" s="2"/>
      <c r="Q491" s="74"/>
      <c r="R491" s="2"/>
      <c r="S491" s="2"/>
      <c r="T491" s="76"/>
      <c r="U491" s="88"/>
    </row>
    <row r="492" ht="15.75" customHeight="1">
      <c r="A492" s="2"/>
      <c r="B492" s="2"/>
      <c r="C492" s="2"/>
      <c r="D492" s="2"/>
      <c r="E492" s="2"/>
      <c r="F492" s="2"/>
      <c r="G492" s="2"/>
      <c r="H492" s="2"/>
      <c r="I492" s="2"/>
      <c r="J492" s="74"/>
      <c r="K492" s="74"/>
      <c r="L492" s="74"/>
      <c r="M492" s="74"/>
      <c r="N492" s="2"/>
      <c r="O492" s="2"/>
      <c r="P492" s="2"/>
      <c r="Q492" s="74"/>
      <c r="R492" s="2"/>
      <c r="S492" s="2"/>
      <c r="T492" s="76"/>
      <c r="U492" s="88"/>
    </row>
    <row r="493" ht="15.75" customHeight="1">
      <c r="A493" s="2"/>
      <c r="B493" s="2"/>
      <c r="C493" s="2"/>
      <c r="D493" s="2"/>
      <c r="E493" s="2"/>
      <c r="F493" s="2"/>
      <c r="G493" s="2"/>
      <c r="H493" s="2"/>
      <c r="I493" s="2"/>
      <c r="J493" s="74"/>
      <c r="K493" s="74"/>
      <c r="L493" s="74"/>
      <c r="M493" s="74"/>
      <c r="N493" s="2"/>
      <c r="O493" s="2"/>
      <c r="P493" s="2"/>
      <c r="Q493" s="74"/>
      <c r="R493" s="2"/>
      <c r="S493" s="2"/>
      <c r="T493" s="76"/>
      <c r="U493" s="88"/>
    </row>
    <row r="494" ht="15.75" customHeight="1">
      <c r="A494" s="2"/>
      <c r="B494" s="2"/>
      <c r="C494" s="2"/>
      <c r="D494" s="2"/>
      <c r="E494" s="2"/>
      <c r="F494" s="2"/>
      <c r="G494" s="2"/>
      <c r="H494" s="2"/>
      <c r="I494" s="2"/>
      <c r="J494" s="74"/>
      <c r="K494" s="74"/>
      <c r="L494" s="74"/>
      <c r="M494" s="74"/>
      <c r="N494" s="2"/>
      <c r="O494" s="2"/>
      <c r="P494" s="2"/>
      <c r="Q494" s="74"/>
      <c r="R494" s="2"/>
      <c r="S494" s="2"/>
      <c r="T494" s="76"/>
      <c r="U494" s="88"/>
    </row>
    <row r="495" ht="15.75" customHeight="1">
      <c r="A495" s="2"/>
      <c r="B495" s="2"/>
      <c r="C495" s="2"/>
      <c r="D495" s="2"/>
      <c r="E495" s="2"/>
      <c r="F495" s="2"/>
      <c r="G495" s="2"/>
      <c r="H495" s="2"/>
      <c r="I495" s="2"/>
      <c r="J495" s="74"/>
      <c r="K495" s="74"/>
      <c r="L495" s="74"/>
      <c r="M495" s="74"/>
      <c r="N495" s="2"/>
      <c r="O495" s="2"/>
      <c r="P495" s="2"/>
      <c r="Q495" s="74"/>
      <c r="R495" s="2"/>
      <c r="S495" s="2"/>
      <c r="T495" s="76"/>
      <c r="U495" s="88"/>
    </row>
    <row r="496" ht="15.75" customHeight="1">
      <c r="A496" s="2"/>
      <c r="B496" s="2"/>
      <c r="C496" s="2"/>
      <c r="D496" s="2"/>
      <c r="E496" s="2"/>
      <c r="F496" s="2"/>
      <c r="G496" s="2"/>
      <c r="H496" s="2"/>
      <c r="I496" s="2"/>
      <c r="J496" s="74"/>
      <c r="K496" s="74"/>
      <c r="L496" s="74"/>
      <c r="M496" s="74"/>
      <c r="N496" s="2"/>
      <c r="O496" s="2"/>
      <c r="P496" s="2"/>
      <c r="Q496" s="74"/>
      <c r="R496" s="2"/>
      <c r="S496" s="2"/>
      <c r="T496" s="76"/>
      <c r="U496" s="88"/>
    </row>
    <row r="497" ht="15.75" customHeight="1">
      <c r="A497" s="2"/>
      <c r="B497" s="2"/>
      <c r="C497" s="2"/>
      <c r="D497" s="2"/>
      <c r="E497" s="2"/>
      <c r="F497" s="2"/>
      <c r="G497" s="2"/>
      <c r="H497" s="2"/>
      <c r="I497" s="2"/>
      <c r="J497" s="74"/>
      <c r="K497" s="74"/>
      <c r="L497" s="74"/>
      <c r="M497" s="74"/>
      <c r="N497" s="2"/>
      <c r="O497" s="2"/>
      <c r="P497" s="2"/>
      <c r="Q497" s="74"/>
      <c r="R497" s="2"/>
      <c r="S497" s="2"/>
      <c r="T497" s="76"/>
      <c r="U497" s="88"/>
    </row>
    <row r="498" ht="15.75" customHeight="1">
      <c r="A498" s="2"/>
      <c r="B498" s="2"/>
      <c r="C498" s="2"/>
      <c r="D498" s="2"/>
      <c r="E498" s="2"/>
      <c r="F498" s="2"/>
      <c r="G498" s="2"/>
      <c r="H498" s="2"/>
      <c r="I498" s="2"/>
      <c r="J498" s="74"/>
      <c r="K498" s="74"/>
      <c r="L498" s="74"/>
      <c r="M498" s="74"/>
      <c r="N498" s="2"/>
      <c r="O498" s="2"/>
      <c r="P498" s="2"/>
      <c r="Q498" s="74"/>
      <c r="R498" s="2"/>
      <c r="S498" s="2"/>
      <c r="T498" s="76"/>
      <c r="U498" s="88"/>
    </row>
    <row r="499" ht="15.75" customHeight="1">
      <c r="A499" s="2"/>
      <c r="B499" s="2"/>
      <c r="C499" s="2"/>
      <c r="D499" s="2"/>
      <c r="E499" s="2"/>
      <c r="F499" s="2"/>
      <c r="G499" s="2"/>
      <c r="H499" s="2"/>
      <c r="I499" s="2"/>
      <c r="J499" s="74"/>
      <c r="K499" s="74"/>
      <c r="L499" s="74"/>
      <c r="M499" s="74"/>
      <c r="N499" s="2"/>
      <c r="O499" s="2"/>
      <c r="P499" s="2"/>
      <c r="Q499" s="74"/>
      <c r="R499" s="2"/>
      <c r="S499" s="2"/>
      <c r="T499" s="76"/>
      <c r="U499" s="88"/>
    </row>
    <row r="500" ht="15.75" customHeight="1">
      <c r="A500" s="2"/>
      <c r="B500" s="2"/>
      <c r="C500" s="2"/>
      <c r="D500" s="2"/>
      <c r="E500" s="2"/>
      <c r="F500" s="2"/>
      <c r="G500" s="2"/>
      <c r="H500" s="2"/>
      <c r="I500" s="2"/>
      <c r="J500" s="74"/>
      <c r="K500" s="74"/>
      <c r="L500" s="74"/>
      <c r="M500" s="74"/>
      <c r="N500" s="2"/>
      <c r="O500" s="2"/>
      <c r="P500" s="2"/>
      <c r="Q500" s="74"/>
      <c r="R500" s="2"/>
      <c r="S500" s="2"/>
      <c r="T500" s="76"/>
      <c r="U500" s="88"/>
    </row>
    <row r="501" ht="15.75" customHeight="1">
      <c r="A501" s="2"/>
      <c r="B501" s="2"/>
      <c r="C501" s="2"/>
      <c r="D501" s="2"/>
      <c r="E501" s="2"/>
      <c r="F501" s="2"/>
      <c r="G501" s="2"/>
      <c r="H501" s="2"/>
      <c r="I501" s="2"/>
      <c r="J501" s="74"/>
      <c r="K501" s="74"/>
      <c r="L501" s="74"/>
      <c r="M501" s="74"/>
      <c r="N501" s="2"/>
      <c r="O501" s="2"/>
      <c r="P501" s="2"/>
      <c r="Q501" s="74"/>
      <c r="R501" s="2"/>
      <c r="S501" s="2"/>
      <c r="T501" s="76"/>
      <c r="U501" s="88"/>
    </row>
    <row r="502" ht="15.75" customHeight="1">
      <c r="A502" s="2"/>
      <c r="B502" s="2"/>
      <c r="C502" s="2"/>
      <c r="D502" s="2"/>
      <c r="E502" s="2"/>
      <c r="F502" s="2"/>
      <c r="G502" s="2"/>
      <c r="H502" s="2"/>
      <c r="I502" s="2"/>
      <c r="J502" s="74"/>
      <c r="K502" s="74"/>
      <c r="L502" s="74"/>
      <c r="M502" s="74"/>
      <c r="N502" s="2"/>
      <c r="O502" s="2"/>
      <c r="P502" s="2"/>
      <c r="Q502" s="74"/>
      <c r="R502" s="2"/>
      <c r="S502" s="2"/>
      <c r="T502" s="76"/>
      <c r="U502" s="88"/>
    </row>
    <row r="503" ht="15.75" customHeight="1">
      <c r="A503" s="2"/>
      <c r="B503" s="2"/>
      <c r="C503" s="2"/>
      <c r="D503" s="2"/>
      <c r="E503" s="2"/>
      <c r="F503" s="2"/>
      <c r="G503" s="2"/>
      <c r="H503" s="2"/>
      <c r="I503" s="2"/>
      <c r="J503" s="74"/>
      <c r="K503" s="74"/>
      <c r="L503" s="74"/>
      <c r="M503" s="74"/>
      <c r="N503" s="2"/>
      <c r="O503" s="2"/>
      <c r="P503" s="2"/>
      <c r="Q503" s="74"/>
      <c r="R503" s="2"/>
      <c r="S503" s="2"/>
      <c r="T503" s="76"/>
      <c r="U503" s="88"/>
    </row>
    <row r="504" ht="15.75" customHeight="1">
      <c r="A504" s="2"/>
      <c r="B504" s="2"/>
      <c r="C504" s="2"/>
      <c r="D504" s="2"/>
      <c r="E504" s="2"/>
      <c r="F504" s="2"/>
      <c r="G504" s="2"/>
      <c r="H504" s="2"/>
      <c r="I504" s="2"/>
      <c r="J504" s="74"/>
      <c r="K504" s="74"/>
      <c r="L504" s="74"/>
      <c r="M504" s="74"/>
      <c r="N504" s="2"/>
      <c r="O504" s="2"/>
      <c r="P504" s="2"/>
      <c r="Q504" s="74"/>
      <c r="R504" s="2"/>
      <c r="S504" s="2"/>
      <c r="T504" s="76"/>
      <c r="U504" s="88"/>
    </row>
    <row r="505" ht="15.75" customHeight="1">
      <c r="A505" s="2"/>
      <c r="B505" s="2"/>
      <c r="C505" s="2"/>
      <c r="D505" s="2"/>
      <c r="E505" s="2"/>
      <c r="F505" s="2"/>
      <c r="G505" s="2"/>
      <c r="H505" s="2"/>
      <c r="I505" s="2"/>
      <c r="J505" s="74"/>
      <c r="K505" s="74"/>
      <c r="L505" s="74"/>
      <c r="M505" s="74"/>
      <c r="N505" s="2"/>
      <c r="O505" s="2"/>
      <c r="P505" s="2"/>
      <c r="Q505" s="74"/>
      <c r="R505" s="2"/>
      <c r="S505" s="2"/>
      <c r="T505" s="76"/>
      <c r="U505" s="88"/>
    </row>
    <row r="506" ht="15.75" customHeight="1">
      <c r="A506" s="2"/>
      <c r="B506" s="2"/>
      <c r="C506" s="2"/>
      <c r="D506" s="2"/>
      <c r="E506" s="2"/>
      <c r="F506" s="2"/>
      <c r="G506" s="2"/>
      <c r="H506" s="2"/>
      <c r="I506" s="2"/>
      <c r="J506" s="74"/>
      <c r="K506" s="74"/>
      <c r="L506" s="74"/>
      <c r="M506" s="74"/>
      <c r="N506" s="2"/>
      <c r="O506" s="2"/>
      <c r="P506" s="2"/>
      <c r="Q506" s="74"/>
      <c r="R506" s="2"/>
      <c r="S506" s="2"/>
      <c r="T506" s="76"/>
      <c r="U506" s="88"/>
    </row>
    <row r="507" ht="15.75" customHeight="1">
      <c r="A507" s="2"/>
      <c r="B507" s="2"/>
      <c r="C507" s="2"/>
      <c r="D507" s="2"/>
      <c r="E507" s="2"/>
      <c r="F507" s="2"/>
      <c r="G507" s="2"/>
      <c r="H507" s="2"/>
      <c r="I507" s="2"/>
      <c r="J507" s="74"/>
      <c r="K507" s="74"/>
      <c r="L507" s="74"/>
      <c r="M507" s="74"/>
      <c r="N507" s="2"/>
      <c r="O507" s="2"/>
      <c r="P507" s="2"/>
      <c r="Q507" s="74"/>
      <c r="R507" s="2"/>
      <c r="S507" s="2"/>
      <c r="T507" s="76"/>
      <c r="U507" s="88"/>
    </row>
    <row r="508" ht="15.75" customHeight="1">
      <c r="A508" s="2"/>
      <c r="B508" s="2"/>
      <c r="C508" s="2"/>
      <c r="D508" s="2"/>
      <c r="E508" s="2"/>
      <c r="F508" s="2"/>
      <c r="G508" s="2"/>
      <c r="H508" s="2"/>
      <c r="I508" s="2"/>
      <c r="J508" s="74"/>
      <c r="K508" s="74"/>
      <c r="L508" s="74"/>
      <c r="M508" s="74"/>
      <c r="N508" s="2"/>
      <c r="O508" s="2"/>
      <c r="P508" s="2"/>
      <c r="Q508" s="74"/>
      <c r="R508" s="2"/>
      <c r="S508" s="2"/>
      <c r="T508" s="76"/>
      <c r="U508" s="88"/>
    </row>
    <row r="509" ht="15.75" customHeight="1">
      <c r="A509" s="2"/>
      <c r="B509" s="2"/>
      <c r="C509" s="2"/>
      <c r="D509" s="2"/>
      <c r="E509" s="2"/>
      <c r="F509" s="2"/>
      <c r="G509" s="2"/>
      <c r="H509" s="2"/>
      <c r="I509" s="2"/>
      <c r="J509" s="74"/>
      <c r="K509" s="74"/>
      <c r="L509" s="74"/>
      <c r="M509" s="74"/>
      <c r="N509" s="2"/>
      <c r="O509" s="2"/>
      <c r="P509" s="2"/>
      <c r="Q509" s="74"/>
      <c r="R509" s="2"/>
      <c r="S509" s="2"/>
      <c r="T509" s="76"/>
      <c r="U509" s="88"/>
    </row>
    <row r="510" ht="15.75" customHeight="1">
      <c r="A510" s="2"/>
      <c r="B510" s="2"/>
      <c r="C510" s="2"/>
      <c r="D510" s="2"/>
      <c r="E510" s="2"/>
      <c r="F510" s="2"/>
      <c r="G510" s="2"/>
      <c r="H510" s="2"/>
      <c r="I510" s="2"/>
      <c r="J510" s="74"/>
      <c r="K510" s="74"/>
      <c r="L510" s="74"/>
      <c r="M510" s="74"/>
      <c r="N510" s="2"/>
      <c r="O510" s="2"/>
      <c r="P510" s="2"/>
      <c r="Q510" s="74"/>
      <c r="R510" s="2"/>
      <c r="S510" s="2"/>
      <c r="T510" s="76"/>
      <c r="U510" s="88"/>
    </row>
    <row r="511" ht="15.75" customHeight="1">
      <c r="A511" s="2"/>
      <c r="B511" s="2"/>
      <c r="C511" s="2"/>
      <c r="D511" s="2"/>
      <c r="E511" s="2"/>
      <c r="F511" s="2"/>
      <c r="G511" s="2"/>
      <c r="H511" s="2"/>
      <c r="I511" s="2"/>
      <c r="J511" s="74"/>
      <c r="K511" s="74"/>
      <c r="L511" s="74"/>
      <c r="M511" s="74"/>
      <c r="N511" s="2"/>
      <c r="O511" s="2"/>
      <c r="P511" s="2"/>
      <c r="Q511" s="74"/>
      <c r="R511" s="2"/>
      <c r="S511" s="2"/>
      <c r="T511" s="76"/>
      <c r="U511" s="88"/>
    </row>
    <row r="512" ht="15.75" customHeight="1">
      <c r="A512" s="2"/>
      <c r="B512" s="2"/>
      <c r="C512" s="2"/>
      <c r="D512" s="2"/>
      <c r="E512" s="2"/>
      <c r="F512" s="2"/>
      <c r="G512" s="2"/>
      <c r="H512" s="2"/>
      <c r="I512" s="2"/>
      <c r="J512" s="74"/>
      <c r="K512" s="74"/>
      <c r="L512" s="74"/>
      <c r="M512" s="74"/>
      <c r="N512" s="2"/>
      <c r="O512" s="2"/>
      <c r="P512" s="2"/>
      <c r="Q512" s="74"/>
      <c r="R512" s="2"/>
      <c r="S512" s="2"/>
      <c r="T512" s="76"/>
      <c r="U512" s="88"/>
    </row>
    <row r="513" ht="15.75" customHeight="1">
      <c r="A513" s="2"/>
      <c r="B513" s="2"/>
      <c r="C513" s="2"/>
      <c r="D513" s="2"/>
      <c r="E513" s="2"/>
      <c r="F513" s="2"/>
      <c r="G513" s="2"/>
      <c r="H513" s="2"/>
      <c r="I513" s="2"/>
      <c r="J513" s="74"/>
      <c r="K513" s="74"/>
      <c r="L513" s="74"/>
      <c r="M513" s="74"/>
      <c r="N513" s="2"/>
      <c r="O513" s="2"/>
      <c r="P513" s="2"/>
      <c r="Q513" s="74"/>
      <c r="R513" s="2"/>
      <c r="S513" s="2"/>
      <c r="T513" s="76"/>
      <c r="U513" s="88"/>
    </row>
    <row r="514" ht="15.75" customHeight="1">
      <c r="A514" s="2"/>
      <c r="B514" s="2"/>
      <c r="C514" s="2"/>
      <c r="D514" s="2"/>
      <c r="E514" s="2"/>
      <c r="F514" s="2"/>
      <c r="G514" s="2"/>
      <c r="H514" s="2"/>
      <c r="I514" s="2"/>
      <c r="J514" s="74"/>
      <c r="K514" s="74"/>
      <c r="L514" s="74"/>
      <c r="M514" s="74"/>
      <c r="N514" s="2"/>
      <c r="O514" s="2"/>
      <c r="P514" s="2"/>
      <c r="Q514" s="74"/>
      <c r="R514" s="2"/>
      <c r="S514" s="2"/>
      <c r="T514" s="76"/>
      <c r="U514" s="88"/>
    </row>
    <row r="515" ht="15.75" customHeight="1">
      <c r="A515" s="2"/>
      <c r="B515" s="2"/>
      <c r="C515" s="2"/>
      <c r="D515" s="2"/>
      <c r="E515" s="2"/>
      <c r="F515" s="2"/>
      <c r="G515" s="2"/>
      <c r="H515" s="2"/>
      <c r="I515" s="2"/>
      <c r="J515" s="74"/>
      <c r="K515" s="74"/>
      <c r="L515" s="74"/>
      <c r="M515" s="74"/>
      <c r="N515" s="2"/>
      <c r="O515" s="2"/>
      <c r="P515" s="2"/>
      <c r="Q515" s="74"/>
      <c r="R515" s="2"/>
      <c r="S515" s="2"/>
      <c r="T515" s="76"/>
      <c r="U515" s="88"/>
    </row>
    <row r="516" ht="15.75" customHeight="1">
      <c r="A516" s="2"/>
      <c r="B516" s="2"/>
      <c r="C516" s="2"/>
      <c r="D516" s="2"/>
      <c r="E516" s="2"/>
      <c r="F516" s="2"/>
      <c r="G516" s="2"/>
      <c r="H516" s="2"/>
      <c r="I516" s="2"/>
      <c r="J516" s="74"/>
      <c r="K516" s="74"/>
      <c r="L516" s="74"/>
      <c r="M516" s="74"/>
      <c r="N516" s="2"/>
      <c r="O516" s="2"/>
      <c r="P516" s="2"/>
      <c r="Q516" s="74"/>
      <c r="R516" s="2"/>
      <c r="S516" s="2"/>
      <c r="T516" s="76"/>
      <c r="U516" s="88"/>
    </row>
    <row r="517" ht="15.75" customHeight="1">
      <c r="A517" s="2"/>
      <c r="B517" s="2"/>
      <c r="C517" s="2"/>
      <c r="D517" s="2"/>
      <c r="E517" s="2"/>
      <c r="F517" s="2"/>
      <c r="G517" s="2"/>
      <c r="H517" s="2"/>
      <c r="I517" s="2"/>
      <c r="J517" s="74"/>
      <c r="K517" s="74"/>
      <c r="L517" s="74"/>
      <c r="M517" s="74"/>
      <c r="N517" s="2"/>
      <c r="O517" s="2"/>
      <c r="P517" s="2"/>
      <c r="Q517" s="74"/>
      <c r="R517" s="2"/>
      <c r="S517" s="2"/>
      <c r="T517" s="76"/>
      <c r="U517" s="88"/>
    </row>
    <row r="518" ht="15.75" customHeight="1">
      <c r="A518" s="2"/>
      <c r="B518" s="2"/>
      <c r="C518" s="2"/>
      <c r="D518" s="2"/>
      <c r="E518" s="2"/>
      <c r="F518" s="2"/>
      <c r="G518" s="2"/>
      <c r="H518" s="2"/>
      <c r="I518" s="2"/>
      <c r="J518" s="74"/>
      <c r="K518" s="74"/>
      <c r="L518" s="74"/>
      <c r="M518" s="74"/>
      <c r="N518" s="2"/>
      <c r="O518" s="2"/>
      <c r="P518" s="2"/>
      <c r="Q518" s="74"/>
      <c r="R518" s="2"/>
      <c r="S518" s="2"/>
      <c r="T518" s="76"/>
      <c r="U518" s="88"/>
    </row>
    <row r="519" ht="15.75" customHeight="1">
      <c r="A519" s="2"/>
      <c r="B519" s="2"/>
      <c r="C519" s="2"/>
      <c r="D519" s="2"/>
      <c r="E519" s="2"/>
      <c r="F519" s="2"/>
      <c r="G519" s="2"/>
      <c r="H519" s="2"/>
      <c r="I519" s="2"/>
      <c r="J519" s="74"/>
      <c r="K519" s="74"/>
      <c r="L519" s="74"/>
      <c r="M519" s="74"/>
      <c r="N519" s="2"/>
      <c r="O519" s="2"/>
      <c r="P519" s="2"/>
      <c r="Q519" s="74"/>
      <c r="R519" s="2"/>
      <c r="S519" s="2"/>
      <c r="T519" s="76"/>
      <c r="U519" s="88"/>
    </row>
    <row r="520" ht="15.75" customHeight="1">
      <c r="A520" s="2"/>
      <c r="B520" s="2"/>
      <c r="C520" s="2"/>
      <c r="D520" s="2"/>
      <c r="E520" s="2"/>
      <c r="F520" s="2"/>
      <c r="G520" s="2"/>
      <c r="H520" s="2"/>
      <c r="I520" s="2"/>
      <c r="J520" s="74"/>
      <c r="K520" s="74"/>
      <c r="L520" s="74"/>
      <c r="M520" s="74"/>
      <c r="N520" s="2"/>
      <c r="O520" s="2"/>
      <c r="P520" s="2"/>
      <c r="Q520" s="74"/>
      <c r="R520" s="2"/>
      <c r="S520" s="2"/>
      <c r="T520" s="76"/>
      <c r="U520" s="88"/>
    </row>
    <row r="521" ht="15.75" customHeight="1">
      <c r="A521" s="2"/>
      <c r="B521" s="2"/>
      <c r="C521" s="2"/>
      <c r="D521" s="2"/>
      <c r="E521" s="2"/>
      <c r="F521" s="2"/>
      <c r="G521" s="2"/>
      <c r="H521" s="2"/>
      <c r="I521" s="2"/>
      <c r="J521" s="74"/>
      <c r="K521" s="74"/>
      <c r="L521" s="74"/>
      <c r="M521" s="74"/>
      <c r="N521" s="2"/>
      <c r="O521" s="2"/>
      <c r="P521" s="2"/>
      <c r="Q521" s="74"/>
      <c r="R521" s="2"/>
      <c r="S521" s="2"/>
      <c r="T521" s="76"/>
      <c r="U521" s="88"/>
    </row>
    <row r="522" ht="15.75" customHeight="1">
      <c r="A522" s="2"/>
      <c r="B522" s="2"/>
      <c r="C522" s="2"/>
      <c r="D522" s="2"/>
      <c r="E522" s="2"/>
      <c r="F522" s="2"/>
      <c r="G522" s="2"/>
      <c r="H522" s="2"/>
      <c r="I522" s="2"/>
      <c r="J522" s="74"/>
      <c r="K522" s="74"/>
      <c r="L522" s="74"/>
      <c r="M522" s="74"/>
      <c r="N522" s="2"/>
      <c r="O522" s="2"/>
      <c r="P522" s="2"/>
      <c r="Q522" s="74"/>
      <c r="R522" s="2"/>
      <c r="S522" s="2"/>
      <c r="T522" s="76"/>
      <c r="U522" s="88"/>
    </row>
    <row r="523" ht="15.75" customHeight="1">
      <c r="A523" s="2"/>
      <c r="B523" s="2"/>
      <c r="C523" s="2"/>
      <c r="D523" s="2"/>
      <c r="E523" s="2"/>
      <c r="F523" s="2"/>
      <c r="G523" s="2"/>
      <c r="H523" s="2"/>
      <c r="I523" s="2"/>
      <c r="J523" s="74"/>
      <c r="K523" s="74"/>
      <c r="L523" s="74"/>
      <c r="M523" s="74"/>
      <c r="N523" s="2"/>
      <c r="O523" s="2"/>
      <c r="P523" s="2"/>
      <c r="Q523" s="74"/>
      <c r="R523" s="2"/>
      <c r="S523" s="2"/>
      <c r="T523" s="76"/>
      <c r="U523" s="88"/>
    </row>
    <row r="524" ht="15.75" customHeight="1">
      <c r="A524" s="2"/>
      <c r="B524" s="2"/>
      <c r="C524" s="2"/>
      <c r="D524" s="2"/>
      <c r="E524" s="2"/>
      <c r="F524" s="2"/>
      <c r="G524" s="2"/>
      <c r="H524" s="2"/>
      <c r="I524" s="2"/>
      <c r="J524" s="74"/>
      <c r="K524" s="74"/>
      <c r="L524" s="74"/>
      <c r="M524" s="74"/>
      <c r="N524" s="2"/>
      <c r="O524" s="2"/>
      <c r="P524" s="2"/>
      <c r="Q524" s="74"/>
      <c r="R524" s="2"/>
      <c r="S524" s="2"/>
      <c r="T524" s="76"/>
      <c r="U524" s="88"/>
    </row>
    <row r="525" ht="15.75" customHeight="1">
      <c r="A525" s="2"/>
      <c r="B525" s="2"/>
      <c r="C525" s="2"/>
      <c r="D525" s="2"/>
      <c r="E525" s="2"/>
      <c r="F525" s="2"/>
      <c r="G525" s="2"/>
      <c r="H525" s="2"/>
      <c r="I525" s="2"/>
      <c r="J525" s="74"/>
      <c r="K525" s="74"/>
      <c r="L525" s="74"/>
      <c r="M525" s="74"/>
      <c r="N525" s="2"/>
      <c r="O525" s="2"/>
      <c r="P525" s="2"/>
      <c r="Q525" s="74"/>
      <c r="R525" s="2"/>
      <c r="S525" s="2"/>
      <c r="T525" s="76"/>
      <c r="U525" s="88"/>
    </row>
    <row r="526" ht="15.75" customHeight="1">
      <c r="A526" s="2"/>
      <c r="B526" s="2"/>
      <c r="C526" s="2"/>
      <c r="D526" s="2"/>
      <c r="E526" s="2"/>
      <c r="F526" s="2"/>
      <c r="G526" s="2"/>
      <c r="H526" s="2"/>
      <c r="I526" s="2"/>
      <c r="J526" s="74"/>
      <c r="K526" s="74"/>
      <c r="L526" s="74"/>
      <c r="M526" s="74"/>
      <c r="N526" s="2"/>
      <c r="O526" s="2"/>
      <c r="P526" s="2"/>
      <c r="Q526" s="74"/>
      <c r="R526" s="2"/>
      <c r="S526" s="2"/>
      <c r="T526" s="76"/>
      <c r="U526" s="88"/>
    </row>
    <row r="527" ht="15.75" customHeight="1">
      <c r="A527" s="2"/>
      <c r="B527" s="2"/>
      <c r="C527" s="2"/>
      <c r="D527" s="2"/>
      <c r="E527" s="2"/>
      <c r="F527" s="2"/>
      <c r="G527" s="2"/>
      <c r="H527" s="2"/>
      <c r="I527" s="2"/>
      <c r="J527" s="74"/>
      <c r="K527" s="74"/>
      <c r="L527" s="74"/>
      <c r="M527" s="74"/>
      <c r="N527" s="2"/>
      <c r="O527" s="2"/>
      <c r="P527" s="2"/>
      <c r="Q527" s="74"/>
      <c r="R527" s="2"/>
      <c r="S527" s="2"/>
      <c r="T527" s="76"/>
      <c r="U527" s="88"/>
    </row>
    <row r="528" ht="15.75" customHeight="1">
      <c r="A528" s="2"/>
      <c r="B528" s="2"/>
      <c r="C528" s="2"/>
      <c r="D528" s="2"/>
      <c r="E528" s="2"/>
      <c r="F528" s="2"/>
      <c r="G528" s="2"/>
      <c r="H528" s="2"/>
      <c r="I528" s="2"/>
      <c r="J528" s="74"/>
      <c r="K528" s="74"/>
      <c r="L528" s="74"/>
      <c r="M528" s="74"/>
      <c r="N528" s="2"/>
      <c r="O528" s="2"/>
      <c r="P528" s="2"/>
      <c r="Q528" s="74"/>
      <c r="R528" s="2"/>
      <c r="S528" s="2"/>
      <c r="T528" s="76"/>
      <c r="U528" s="88"/>
    </row>
    <row r="529" ht="15.75" customHeight="1">
      <c r="A529" s="2"/>
      <c r="B529" s="2"/>
      <c r="C529" s="2"/>
      <c r="D529" s="2"/>
      <c r="E529" s="2"/>
      <c r="F529" s="2"/>
      <c r="G529" s="2"/>
      <c r="H529" s="2"/>
      <c r="I529" s="2"/>
      <c r="J529" s="74"/>
      <c r="K529" s="74"/>
      <c r="L529" s="74"/>
      <c r="M529" s="74"/>
      <c r="N529" s="2"/>
      <c r="O529" s="2"/>
      <c r="P529" s="2"/>
      <c r="Q529" s="74"/>
      <c r="R529" s="2"/>
      <c r="S529" s="2"/>
      <c r="T529" s="76"/>
      <c r="U529" s="88"/>
    </row>
    <row r="530" ht="15.75" customHeight="1">
      <c r="A530" s="2"/>
      <c r="B530" s="2"/>
      <c r="C530" s="2"/>
      <c r="D530" s="2"/>
      <c r="E530" s="2"/>
      <c r="F530" s="2"/>
      <c r="G530" s="2"/>
      <c r="H530" s="2"/>
      <c r="I530" s="2"/>
      <c r="J530" s="74"/>
      <c r="K530" s="74"/>
      <c r="L530" s="74"/>
      <c r="M530" s="74"/>
      <c r="N530" s="2"/>
      <c r="O530" s="2"/>
      <c r="P530" s="2"/>
      <c r="Q530" s="74"/>
      <c r="R530" s="2"/>
      <c r="S530" s="2"/>
      <c r="T530" s="76"/>
      <c r="U530" s="88"/>
    </row>
    <row r="531" ht="15.75" customHeight="1">
      <c r="A531" s="2"/>
      <c r="B531" s="2"/>
      <c r="C531" s="2"/>
      <c r="D531" s="2"/>
      <c r="E531" s="2"/>
      <c r="F531" s="2"/>
      <c r="G531" s="2"/>
      <c r="H531" s="2"/>
      <c r="I531" s="2"/>
      <c r="J531" s="74"/>
      <c r="K531" s="74"/>
      <c r="L531" s="74"/>
      <c r="M531" s="74"/>
      <c r="N531" s="2"/>
      <c r="O531" s="2"/>
      <c r="P531" s="2"/>
      <c r="Q531" s="74"/>
      <c r="R531" s="2"/>
      <c r="S531" s="2"/>
      <c r="T531" s="76"/>
      <c r="U531" s="88"/>
    </row>
    <row r="532" ht="15.75" customHeight="1">
      <c r="A532" s="2"/>
      <c r="B532" s="2"/>
      <c r="C532" s="2"/>
      <c r="D532" s="2"/>
      <c r="E532" s="2"/>
      <c r="F532" s="2"/>
      <c r="G532" s="2"/>
      <c r="H532" s="2"/>
      <c r="I532" s="2"/>
      <c r="J532" s="74"/>
      <c r="K532" s="74"/>
      <c r="L532" s="74"/>
      <c r="M532" s="74"/>
      <c r="N532" s="2"/>
      <c r="O532" s="2"/>
      <c r="P532" s="2"/>
      <c r="Q532" s="74"/>
      <c r="R532" s="2"/>
      <c r="S532" s="2"/>
      <c r="T532" s="76"/>
      <c r="U532" s="88"/>
    </row>
    <row r="533" ht="15.75" customHeight="1">
      <c r="A533" s="2"/>
      <c r="B533" s="2"/>
      <c r="C533" s="2"/>
      <c r="D533" s="2"/>
      <c r="E533" s="2"/>
      <c r="F533" s="2"/>
      <c r="G533" s="2"/>
      <c r="H533" s="2"/>
      <c r="I533" s="2"/>
      <c r="J533" s="74"/>
      <c r="K533" s="74"/>
      <c r="L533" s="74"/>
      <c r="M533" s="74"/>
      <c r="N533" s="2"/>
      <c r="O533" s="2"/>
      <c r="P533" s="2"/>
      <c r="Q533" s="74"/>
      <c r="R533" s="2"/>
      <c r="S533" s="2"/>
      <c r="T533" s="76"/>
      <c r="U533" s="88"/>
    </row>
    <row r="534" ht="15.75" customHeight="1">
      <c r="A534" s="2"/>
      <c r="B534" s="2"/>
      <c r="C534" s="2"/>
      <c r="D534" s="2"/>
      <c r="E534" s="2"/>
      <c r="F534" s="2"/>
      <c r="G534" s="2"/>
      <c r="H534" s="2"/>
      <c r="I534" s="2"/>
      <c r="J534" s="74"/>
      <c r="K534" s="74"/>
      <c r="L534" s="74"/>
      <c r="M534" s="74"/>
      <c r="N534" s="2"/>
      <c r="O534" s="2"/>
      <c r="P534" s="2"/>
      <c r="Q534" s="74"/>
      <c r="R534" s="2"/>
      <c r="S534" s="2"/>
      <c r="T534" s="76"/>
      <c r="U534" s="88"/>
    </row>
    <row r="535" ht="15.75" customHeight="1">
      <c r="A535" s="2"/>
      <c r="B535" s="2"/>
      <c r="C535" s="2"/>
      <c r="D535" s="2"/>
      <c r="E535" s="2"/>
      <c r="F535" s="2"/>
      <c r="G535" s="2"/>
      <c r="H535" s="2"/>
      <c r="I535" s="2"/>
      <c r="J535" s="74"/>
      <c r="K535" s="74"/>
      <c r="L535" s="74"/>
      <c r="M535" s="74"/>
      <c r="N535" s="2"/>
      <c r="O535" s="2"/>
      <c r="P535" s="2"/>
      <c r="Q535" s="74"/>
      <c r="R535" s="2"/>
      <c r="S535" s="2"/>
      <c r="T535" s="76"/>
      <c r="U535" s="88"/>
    </row>
    <row r="536" ht="15.75" customHeight="1">
      <c r="A536" s="2"/>
      <c r="B536" s="2"/>
      <c r="C536" s="2"/>
      <c r="D536" s="2"/>
      <c r="E536" s="2"/>
      <c r="F536" s="2"/>
      <c r="G536" s="2"/>
      <c r="H536" s="2"/>
      <c r="I536" s="2"/>
      <c r="J536" s="74"/>
      <c r="K536" s="74"/>
      <c r="L536" s="74"/>
      <c r="M536" s="74"/>
      <c r="N536" s="2"/>
      <c r="O536" s="2"/>
      <c r="P536" s="2"/>
      <c r="Q536" s="74"/>
      <c r="R536" s="2"/>
      <c r="S536" s="2"/>
      <c r="T536" s="76"/>
      <c r="U536" s="88"/>
    </row>
    <row r="537" ht="15.75" customHeight="1">
      <c r="A537" s="2"/>
      <c r="B537" s="2"/>
      <c r="C537" s="2"/>
      <c r="D537" s="2"/>
      <c r="E537" s="2"/>
      <c r="F537" s="2"/>
      <c r="G537" s="2"/>
      <c r="H537" s="2"/>
      <c r="I537" s="2"/>
      <c r="J537" s="74"/>
      <c r="K537" s="74"/>
      <c r="L537" s="74"/>
      <c r="M537" s="74"/>
      <c r="N537" s="2"/>
      <c r="O537" s="2"/>
      <c r="P537" s="2"/>
      <c r="Q537" s="74"/>
      <c r="R537" s="2"/>
      <c r="S537" s="2"/>
      <c r="T537" s="76"/>
      <c r="U537" s="88"/>
    </row>
    <row r="538" ht="15.75" customHeight="1">
      <c r="A538" s="2"/>
      <c r="B538" s="2"/>
      <c r="C538" s="2"/>
      <c r="D538" s="2"/>
      <c r="E538" s="2"/>
      <c r="F538" s="2"/>
      <c r="G538" s="2"/>
      <c r="H538" s="2"/>
      <c r="I538" s="2"/>
      <c r="J538" s="74"/>
      <c r="K538" s="74"/>
      <c r="L538" s="74"/>
      <c r="M538" s="74"/>
      <c r="N538" s="2"/>
      <c r="O538" s="2"/>
      <c r="P538" s="2"/>
      <c r="Q538" s="74"/>
      <c r="R538" s="2"/>
      <c r="S538" s="2"/>
      <c r="T538" s="76"/>
      <c r="U538" s="88"/>
    </row>
    <row r="539" ht="15.75" customHeight="1">
      <c r="A539" s="2"/>
      <c r="B539" s="2"/>
      <c r="C539" s="2"/>
      <c r="D539" s="2"/>
      <c r="E539" s="2"/>
      <c r="F539" s="2"/>
      <c r="G539" s="2"/>
      <c r="H539" s="2"/>
      <c r="I539" s="2"/>
      <c r="J539" s="74"/>
      <c r="K539" s="74"/>
      <c r="L539" s="74"/>
      <c r="M539" s="74"/>
      <c r="N539" s="2"/>
      <c r="O539" s="2"/>
      <c r="P539" s="2"/>
      <c r="Q539" s="74"/>
      <c r="R539" s="2"/>
      <c r="S539" s="2"/>
      <c r="T539" s="76"/>
      <c r="U539" s="88"/>
    </row>
    <row r="540" ht="15.75" customHeight="1">
      <c r="A540" s="2"/>
      <c r="B540" s="2"/>
      <c r="C540" s="2"/>
      <c r="D540" s="2"/>
      <c r="E540" s="2"/>
      <c r="F540" s="2"/>
      <c r="G540" s="2"/>
      <c r="H540" s="2"/>
      <c r="I540" s="2"/>
      <c r="J540" s="74"/>
      <c r="K540" s="74"/>
      <c r="L540" s="74"/>
      <c r="M540" s="74"/>
      <c r="N540" s="2"/>
      <c r="O540" s="2"/>
      <c r="P540" s="2"/>
      <c r="Q540" s="74"/>
      <c r="R540" s="2"/>
      <c r="S540" s="2"/>
      <c r="T540" s="76"/>
      <c r="U540" s="88"/>
    </row>
    <row r="541" ht="15.75" customHeight="1">
      <c r="A541" s="2"/>
      <c r="B541" s="2"/>
      <c r="C541" s="2"/>
      <c r="D541" s="2"/>
      <c r="E541" s="2"/>
      <c r="F541" s="2"/>
      <c r="G541" s="2"/>
      <c r="H541" s="2"/>
      <c r="I541" s="2"/>
      <c r="J541" s="74"/>
      <c r="K541" s="74"/>
      <c r="L541" s="74"/>
      <c r="M541" s="74"/>
      <c r="N541" s="2"/>
      <c r="O541" s="2"/>
      <c r="P541" s="2"/>
      <c r="Q541" s="74"/>
      <c r="R541" s="2"/>
      <c r="S541" s="2"/>
      <c r="T541" s="76"/>
      <c r="U541" s="88"/>
    </row>
    <row r="542" ht="15.75" customHeight="1">
      <c r="A542" s="2"/>
      <c r="B542" s="2"/>
      <c r="C542" s="2"/>
      <c r="D542" s="2"/>
      <c r="E542" s="2"/>
      <c r="F542" s="2"/>
      <c r="G542" s="2"/>
      <c r="H542" s="2"/>
      <c r="I542" s="2"/>
      <c r="J542" s="74"/>
      <c r="K542" s="74"/>
      <c r="L542" s="74"/>
      <c r="M542" s="74"/>
      <c r="N542" s="2"/>
      <c r="O542" s="2"/>
      <c r="P542" s="2"/>
      <c r="Q542" s="74"/>
      <c r="R542" s="2"/>
      <c r="S542" s="2"/>
      <c r="T542" s="76"/>
      <c r="U542" s="88"/>
    </row>
    <row r="543" ht="15.75" customHeight="1">
      <c r="A543" s="2"/>
      <c r="B543" s="2"/>
      <c r="C543" s="2"/>
      <c r="D543" s="2"/>
      <c r="E543" s="2"/>
      <c r="F543" s="2"/>
      <c r="G543" s="2"/>
      <c r="H543" s="2"/>
      <c r="I543" s="2"/>
      <c r="J543" s="74"/>
      <c r="K543" s="74"/>
      <c r="L543" s="74"/>
      <c r="M543" s="74"/>
      <c r="N543" s="2"/>
      <c r="O543" s="2"/>
      <c r="P543" s="2"/>
      <c r="Q543" s="74"/>
      <c r="R543" s="2"/>
      <c r="S543" s="2"/>
      <c r="T543" s="76"/>
      <c r="U543" s="88"/>
    </row>
    <row r="544" ht="15.75" customHeight="1">
      <c r="A544" s="2"/>
      <c r="B544" s="2"/>
      <c r="C544" s="2"/>
      <c r="D544" s="2"/>
      <c r="E544" s="2"/>
      <c r="F544" s="2"/>
      <c r="G544" s="2"/>
      <c r="H544" s="2"/>
      <c r="I544" s="2"/>
      <c r="J544" s="74"/>
      <c r="K544" s="74"/>
      <c r="L544" s="74"/>
      <c r="M544" s="74"/>
      <c r="N544" s="2"/>
      <c r="O544" s="2"/>
      <c r="P544" s="2"/>
      <c r="Q544" s="74"/>
      <c r="R544" s="2"/>
      <c r="S544" s="2"/>
      <c r="T544" s="76"/>
      <c r="U544" s="88"/>
    </row>
    <row r="545" ht="15.75" customHeight="1">
      <c r="A545" s="2"/>
      <c r="B545" s="2"/>
      <c r="C545" s="2"/>
      <c r="D545" s="2"/>
      <c r="E545" s="2"/>
      <c r="F545" s="2"/>
      <c r="G545" s="2"/>
      <c r="H545" s="2"/>
      <c r="I545" s="2"/>
      <c r="J545" s="74"/>
      <c r="K545" s="74"/>
      <c r="L545" s="74"/>
      <c r="M545" s="74"/>
      <c r="N545" s="2"/>
      <c r="O545" s="2"/>
      <c r="P545" s="2"/>
      <c r="Q545" s="74"/>
      <c r="R545" s="2"/>
      <c r="S545" s="2"/>
      <c r="T545" s="76"/>
      <c r="U545" s="88"/>
    </row>
    <row r="546" ht="15.75" customHeight="1">
      <c r="A546" s="2"/>
      <c r="B546" s="2"/>
      <c r="C546" s="2"/>
      <c r="D546" s="2"/>
      <c r="E546" s="2"/>
      <c r="F546" s="2"/>
      <c r="G546" s="2"/>
      <c r="H546" s="2"/>
      <c r="I546" s="2"/>
      <c r="J546" s="74"/>
      <c r="K546" s="74"/>
      <c r="L546" s="74"/>
      <c r="M546" s="74"/>
      <c r="N546" s="2"/>
      <c r="O546" s="2"/>
      <c r="P546" s="2"/>
      <c r="Q546" s="74"/>
      <c r="R546" s="2"/>
      <c r="S546" s="2"/>
      <c r="T546" s="76"/>
      <c r="U546" s="88"/>
    </row>
    <row r="547" ht="15.75" customHeight="1">
      <c r="A547" s="2"/>
      <c r="B547" s="2"/>
      <c r="C547" s="2"/>
      <c r="D547" s="2"/>
      <c r="E547" s="2"/>
      <c r="F547" s="2"/>
      <c r="G547" s="2"/>
      <c r="H547" s="2"/>
      <c r="I547" s="2"/>
      <c r="J547" s="74"/>
      <c r="K547" s="74"/>
      <c r="L547" s="74"/>
      <c r="M547" s="74"/>
      <c r="N547" s="2"/>
      <c r="O547" s="2"/>
      <c r="P547" s="2"/>
      <c r="Q547" s="74"/>
      <c r="R547" s="2"/>
      <c r="S547" s="2"/>
      <c r="T547" s="76"/>
      <c r="U547" s="88"/>
    </row>
    <row r="548" ht="15.75" customHeight="1">
      <c r="A548" s="2"/>
      <c r="B548" s="2"/>
      <c r="C548" s="2"/>
      <c r="D548" s="2"/>
      <c r="E548" s="2"/>
      <c r="F548" s="2"/>
      <c r="G548" s="2"/>
      <c r="H548" s="2"/>
      <c r="I548" s="2"/>
      <c r="J548" s="74"/>
      <c r="K548" s="74"/>
      <c r="L548" s="74"/>
      <c r="M548" s="74"/>
      <c r="N548" s="2"/>
      <c r="O548" s="2"/>
      <c r="P548" s="2"/>
      <c r="Q548" s="74"/>
      <c r="R548" s="2"/>
      <c r="S548" s="2"/>
      <c r="T548" s="76"/>
      <c r="U548" s="88"/>
    </row>
    <row r="549" ht="15.75" customHeight="1">
      <c r="A549" s="2"/>
      <c r="B549" s="2"/>
      <c r="C549" s="2"/>
      <c r="D549" s="2"/>
      <c r="E549" s="2"/>
      <c r="F549" s="2"/>
      <c r="G549" s="2"/>
      <c r="H549" s="2"/>
      <c r="I549" s="2"/>
      <c r="J549" s="74"/>
      <c r="K549" s="74"/>
      <c r="L549" s="74"/>
      <c r="M549" s="74"/>
      <c r="N549" s="2"/>
      <c r="O549" s="2"/>
      <c r="P549" s="2"/>
      <c r="Q549" s="74"/>
      <c r="R549" s="2"/>
      <c r="S549" s="2"/>
      <c r="T549" s="76"/>
      <c r="U549" s="88"/>
    </row>
    <row r="550" ht="15.75" customHeight="1">
      <c r="A550" s="2"/>
      <c r="B550" s="2"/>
      <c r="C550" s="2"/>
      <c r="D550" s="2"/>
      <c r="E550" s="2"/>
      <c r="F550" s="2"/>
      <c r="G550" s="2"/>
      <c r="H550" s="2"/>
      <c r="I550" s="2"/>
      <c r="J550" s="74"/>
      <c r="K550" s="74"/>
      <c r="L550" s="74"/>
      <c r="M550" s="74"/>
      <c r="N550" s="2"/>
      <c r="O550" s="2"/>
      <c r="P550" s="2"/>
      <c r="Q550" s="74"/>
      <c r="R550" s="2"/>
      <c r="S550" s="2"/>
      <c r="T550" s="76"/>
      <c r="U550" s="88"/>
    </row>
    <row r="551" ht="15.75" customHeight="1">
      <c r="A551" s="2"/>
      <c r="B551" s="2"/>
      <c r="C551" s="2"/>
      <c r="D551" s="2"/>
      <c r="E551" s="2"/>
      <c r="F551" s="2"/>
      <c r="G551" s="2"/>
      <c r="H551" s="2"/>
      <c r="I551" s="2"/>
      <c r="J551" s="74"/>
      <c r="K551" s="74"/>
      <c r="L551" s="74"/>
      <c r="M551" s="74"/>
      <c r="N551" s="2"/>
      <c r="O551" s="2"/>
      <c r="P551" s="2"/>
      <c r="Q551" s="74"/>
      <c r="R551" s="2"/>
      <c r="S551" s="2"/>
      <c r="T551" s="76"/>
      <c r="U551" s="88"/>
    </row>
    <row r="552" ht="15.75" customHeight="1">
      <c r="A552" s="2"/>
      <c r="B552" s="2"/>
      <c r="C552" s="2"/>
      <c r="D552" s="2"/>
      <c r="E552" s="2"/>
      <c r="F552" s="2"/>
      <c r="G552" s="2"/>
      <c r="H552" s="2"/>
      <c r="I552" s="2"/>
      <c r="J552" s="74"/>
      <c r="K552" s="74"/>
      <c r="L552" s="74"/>
      <c r="M552" s="74"/>
      <c r="N552" s="2"/>
      <c r="O552" s="2"/>
      <c r="P552" s="2"/>
      <c r="Q552" s="74"/>
      <c r="R552" s="2"/>
      <c r="S552" s="2"/>
      <c r="T552" s="76"/>
      <c r="U552" s="88"/>
    </row>
    <row r="553" ht="15.75" customHeight="1">
      <c r="A553" s="2"/>
      <c r="B553" s="2"/>
      <c r="C553" s="2"/>
      <c r="D553" s="2"/>
      <c r="E553" s="2"/>
      <c r="F553" s="2"/>
      <c r="G553" s="2"/>
      <c r="H553" s="2"/>
      <c r="I553" s="2"/>
      <c r="J553" s="74"/>
      <c r="K553" s="74"/>
      <c r="L553" s="74"/>
      <c r="M553" s="74"/>
      <c r="N553" s="2"/>
      <c r="O553" s="2"/>
      <c r="P553" s="2"/>
      <c r="Q553" s="74"/>
      <c r="R553" s="2"/>
      <c r="S553" s="2"/>
      <c r="T553" s="76"/>
      <c r="U553" s="88"/>
    </row>
    <row r="554" ht="15.75" customHeight="1">
      <c r="A554" s="2"/>
      <c r="B554" s="2"/>
      <c r="C554" s="2"/>
      <c r="D554" s="2"/>
      <c r="E554" s="2"/>
      <c r="F554" s="2"/>
      <c r="G554" s="2"/>
      <c r="H554" s="2"/>
      <c r="I554" s="2"/>
      <c r="J554" s="74"/>
      <c r="K554" s="74"/>
      <c r="L554" s="74"/>
      <c r="M554" s="74"/>
      <c r="N554" s="2"/>
      <c r="O554" s="2"/>
      <c r="P554" s="2"/>
      <c r="Q554" s="74"/>
      <c r="R554" s="2"/>
      <c r="S554" s="2"/>
      <c r="T554" s="76"/>
      <c r="U554" s="88"/>
    </row>
    <row r="555" ht="15.75" customHeight="1">
      <c r="A555" s="2"/>
      <c r="B555" s="2"/>
      <c r="C555" s="2"/>
      <c r="D555" s="2"/>
      <c r="E555" s="2"/>
      <c r="F555" s="2"/>
      <c r="G555" s="2"/>
      <c r="H555" s="2"/>
      <c r="I555" s="2"/>
      <c r="J555" s="74"/>
      <c r="K555" s="74"/>
      <c r="L555" s="74"/>
      <c r="M555" s="74"/>
      <c r="N555" s="2"/>
      <c r="O555" s="2"/>
      <c r="P555" s="2"/>
      <c r="Q555" s="74"/>
      <c r="R555" s="2"/>
      <c r="S555" s="2"/>
      <c r="T555" s="76"/>
      <c r="U555" s="88"/>
    </row>
    <row r="556" ht="15.75" customHeight="1">
      <c r="A556" s="2"/>
      <c r="B556" s="2"/>
      <c r="C556" s="2"/>
      <c r="D556" s="2"/>
      <c r="E556" s="2"/>
      <c r="F556" s="2"/>
      <c r="G556" s="2"/>
      <c r="H556" s="2"/>
      <c r="I556" s="2"/>
      <c r="J556" s="74"/>
      <c r="K556" s="74"/>
      <c r="L556" s="74"/>
      <c r="M556" s="74"/>
      <c r="N556" s="2"/>
      <c r="O556" s="2"/>
      <c r="P556" s="2"/>
      <c r="Q556" s="74"/>
      <c r="R556" s="2"/>
      <c r="S556" s="2"/>
      <c r="T556" s="76"/>
      <c r="U556" s="88"/>
    </row>
    <row r="557" ht="15.75" customHeight="1">
      <c r="A557" s="2"/>
      <c r="B557" s="2"/>
      <c r="C557" s="2"/>
      <c r="D557" s="2"/>
      <c r="E557" s="2"/>
      <c r="F557" s="2"/>
      <c r="G557" s="2"/>
      <c r="H557" s="2"/>
      <c r="I557" s="2"/>
      <c r="J557" s="74"/>
      <c r="K557" s="74"/>
      <c r="L557" s="74"/>
      <c r="M557" s="74"/>
      <c r="N557" s="2"/>
      <c r="O557" s="2"/>
      <c r="P557" s="2"/>
      <c r="Q557" s="74"/>
      <c r="R557" s="2"/>
      <c r="S557" s="2"/>
      <c r="T557" s="76"/>
      <c r="U557" s="88"/>
    </row>
    <row r="558" ht="15.75" customHeight="1">
      <c r="A558" s="2"/>
      <c r="B558" s="2"/>
      <c r="C558" s="2"/>
      <c r="D558" s="2"/>
      <c r="E558" s="2"/>
      <c r="F558" s="2"/>
      <c r="G558" s="2"/>
      <c r="H558" s="2"/>
      <c r="I558" s="2"/>
      <c r="J558" s="74"/>
      <c r="K558" s="74"/>
      <c r="L558" s="74"/>
      <c r="M558" s="74"/>
      <c r="N558" s="2"/>
      <c r="O558" s="2"/>
      <c r="P558" s="2"/>
      <c r="Q558" s="74"/>
      <c r="R558" s="2"/>
      <c r="S558" s="2"/>
      <c r="T558" s="76"/>
      <c r="U558" s="88"/>
    </row>
    <row r="559" ht="15.75" customHeight="1">
      <c r="A559" s="2"/>
      <c r="B559" s="2"/>
      <c r="C559" s="2"/>
      <c r="D559" s="2"/>
      <c r="E559" s="2"/>
      <c r="F559" s="2"/>
      <c r="G559" s="2"/>
      <c r="H559" s="2"/>
      <c r="I559" s="2"/>
      <c r="J559" s="74"/>
      <c r="K559" s="74"/>
      <c r="L559" s="74"/>
      <c r="M559" s="74"/>
      <c r="N559" s="2"/>
      <c r="O559" s="2"/>
      <c r="P559" s="2"/>
      <c r="Q559" s="74"/>
      <c r="R559" s="2"/>
      <c r="S559" s="2"/>
      <c r="T559" s="76"/>
      <c r="U559" s="88"/>
    </row>
    <row r="560" ht="15.75" customHeight="1">
      <c r="A560" s="2"/>
      <c r="B560" s="2"/>
      <c r="C560" s="2"/>
      <c r="D560" s="2"/>
      <c r="E560" s="2"/>
      <c r="F560" s="2"/>
      <c r="G560" s="2"/>
      <c r="H560" s="2"/>
      <c r="I560" s="2"/>
      <c r="J560" s="74"/>
      <c r="K560" s="74"/>
      <c r="L560" s="74"/>
      <c r="M560" s="74"/>
      <c r="N560" s="2"/>
      <c r="O560" s="2"/>
      <c r="P560" s="2"/>
      <c r="Q560" s="74"/>
      <c r="R560" s="2"/>
      <c r="S560" s="2"/>
      <c r="T560" s="76"/>
      <c r="U560" s="88"/>
    </row>
    <row r="561" ht="15.75" customHeight="1">
      <c r="A561" s="2"/>
      <c r="B561" s="2"/>
      <c r="C561" s="2"/>
      <c r="D561" s="2"/>
      <c r="E561" s="2"/>
      <c r="F561" s="2"/>
      <c r="G561" s="2"/>
      <c r="H561" s="2"/>
      <c r="I561" s="2"/>
      <c r="J561" s="74"/>
      <c r="K561" s="74"/>
      <c r="L561" s="74"/>
      <c r="M561" s="74"/>
      <c r="N561" s="2"/>
      <c r="O561" s="2"/>
      <c r="P561" s="2"/>
      <c r="Q561" s="74"/>
      <c r="R561" s="2"/>
      <c r="S561" s="2"/>
      <c r="T561" s="76"/>
      <c r="U561" s="88"/>
    </row>
    <row r="562" ht="15.75" customHeight="1">
      <c r="A562" s="2"/>
      <c r="B562" s="2"/>
      <c r="C562" s="2"/>
      <c r="D562" s="2"/>
      <c r="E562" s="2"/>
      <c r="F562" s="2"/>
      <c r="G562" s="2"/>
      <c r="H562" s="2"/>
      <c r="I562" s="2"/>
      <c r="J562" s="74"/>
      <c r="K562" s="74"/>
      <c r="L562" s="74"/>
      <c r="M562" s="74"/>
      <c r="N562" s="2"/>
      <c r="O562" s="2"/>
      <c r="P562" s="2"/>
      <c r="Q562" s="74"/>
      <c r="R562" s="2"/>
      <c r="S562" s="2"/>
      <c r="T562" s="76"/>
      <c r="U562" s="88"/>
    </row>
    <row r="563" ht="15.75" customHeight="1">
      <c r="A563" s="2"/>
      <c r="B563" s="2"/>
      <c r="C563" s="2"/>
      <c r="D563" s="2"/>
      <c r="E563" s="2"/>
      <c r="F563" s="2"/>
      <c r="G563" s="2"/>
      <c r="H563" s="2"/>
      <c r="I563" s="2"/>
      <c r="J563" s="74"/>
      <c r="K563" s="74"/>
      <c r="L563" s="74"/>
      <c r="M563" s="74"/>
      <c r="N563" s="2"/>
      <c r="O563" s="2"/>
      <c r="P563" s="2"/>
      <c r="Q563" s="74"/>
      <c r="R563" s="2"/>
      <c r="S563" s="2"/>
      <c r="T563" s="76"/>
      <c r="U563" s="88"/>
    </row>
    <row r="564" ht="15.75" customHeight="1">
      <c r="A564" s="2"/>
      <c r="B564" s="2"/>
      <c r="C564" s="2"/>
      <c r="D564" s="2"/>
      <c r="E564" s="2"/>
      <c r="F564" s="2"/>
      <c r="G564" s="2"/>
      <c r="H564" s="2"/>
      <c r="I564" s="2"/>
      <c r="J564" s="74"/>
      <c r="K564" s="74"/>
      <c r="L564" s="74"/>
      <c r="M564" s="74"/>
      <c r="N564" s="2"/>
      <c r="O564" s="2"/>
      <c r="P564" s="2"/>
      <c r="Q564" s="74"/>
      <c r="R564" s="2"/>
      <c r="S564" s="2"/>
      <c r="T564" s="76"/>
      <c r="U564" s="88"/>
    </row>
    <row r="565" ht="15.75" customHeight="1">
      <c r="A565" s="2"/>
      <c r="B565" s="2"/>
      <c r="C565" s="2"/>
      <c r="D565" s="2"/>
      <c r="E565" s="2"/>
      <c r="F565" s="2"/>
      <c r="G565" s="2"/>
      <c r="H565" s="2"/>
      <c r="I565" s="2"/>
      <c r="J565" s="74"/>
      <c r="K565" s="74"/>
      <c r="L565" s="74"/>
      <c r="M565" s="74"/>
      <c r="N565" s="2"/>
      <c r="O565" s="2"/>
      <c r="P565" s="2"/>
      <c r="Q565" s="74"/>
      <c r="R565" s="2"/>
      <c r="S565" s="2"/>
      <c r="T565" s="76"/>
      <c r="U565" s="88"/>
    </row>
    <row r="566" ht="15.75" customHeight="1">
      <c r="A566" s="2"/>
      <c r="B566" s="2"/>
      <c r="C566" s="2"/>
      <c r="D566" s="2"/>
      <c r="E566" s="2"/>
      <c r="F566" s="2"/>
      <c r="G566" s="2"/>
      <c r="H566" s="2"/>
      <c r="I566" s="2"/>
      <c r="J566" s="74"/>
      <c r="K566" s="74"/>
      <c r="L566" s="74"/>
      <c r="M566" s="74"/>
      <c r="N566" s="2"/>
      <c r="O566" s="2"/>
      <c r="P566" s="2"/>
      <c r="Q566" s="74"/>
      <c r="R566" s="2"/>
      <c r="S566" s="2"/>
      <c r="T566" s="76"/>
      <c r="U566" s="88"/>
    </row>
    <row r="567" ht="15.75" customHeight="1">
      <c r="A567" s="2"/>
      <c r="B567" s="2"/>
      <c r="C567" s="2"/>
      <c r="D567" s="2"/>
      <c r="E567" s="2"/>
      <c r="F567" s="2"/>
      <c r="G567" s="2"/>
      <c r="H567" s="2"/>
      <c r="I567" s="2"/>
      <c r="J567" s="74"/>
      <c r="K567" s="74"/>
      <c r="L567" s="74"/>
      <c r="M567" s="74"/>
      <c r="N567" s="2"/>
      <c r="O567" s="2"/>
      <c r="P567" s="2"/>
      <c r="Q567" s="74"/>
      <c r="R567" s="2"/>
      <c r="S567" s="2"/>
      <c r="T567" s="76"/>
      <c r="U567" s="88"/>
    </row>
    <row r="568" ht="15.75" customHeight="1">
      <c r="A568" s="2"/>
      <c r="B568" s="2"/>
      <c r="C568" s="2"/>
      <c r="D568" s="2"/>
      <c r="E568" s="2"/>
      <c r="F568" s="2"/>
      <c r="G568" s="2"/>
      <c r="H568" s="2"/>
      <c r="I568" s="2"/>
      <c r="J568" s="74"/>
      <c r="K568" s="74"/>
      <c r="L568" s="74"/>
      <c r="M568" s="74"/>
      <c r="N568" s="2"/>
      <c r="O568" s="2"/>
      <c r="P568" s="2"/>
      <c r="Q568" s="74"/>
      <c r="R568" s="2"/>
      <c r="S568" s="2"/>
      <c r="T568" s="76"/>
      <c r="U568" s="88"/>
    </row>
    <row r="569" ht="15.75" customHeight="1">
      <c r="A569" s="2"/>
      <c r="B569" s="2"/>
      <c r="C569" s="2"/>
      <c r="D569" s="2"/>
      <c r="E569" s="2"/>
      <c r="F569" s="2"/>
      <c r="G569" s="2"/>
      <c r="H569" s="2"/>
      <c r="I569" s="2"/>
      <c r="J569" s="74"/>
      <c r="K569" s="74"/>
      <c r="L569" s="74"/>
      <c r="M569" s="74"/>
      <c r="N569" s="2"/>
      <c r="O569" s="2"/>
      <c r="P569" s="2"/>
      <c r="Q569" s="74"/>
      <c r="R569" s="2"/>
      <c r="S569" s="2"/>
      <c r="T569" s="76"/>
      <c r="U569" s="88"/>
    </row>
    <row r="570" ht="15.75" customHeight="1">
      <c r="A570" s="2"/>
      <c r="B570" s="2"/>
      <c r="C570" s="2"/>
      <c r="D570" s="2"/>
      <c r="E570" s="2"/>
      <c r="F570" s="2"/>
      <c r="G570" s="2"/>
      <c r="H570" s="2"/>
      <c r="I570" s="2"/>
      <c r="J570" s="74"/>
      <c r="K570" s="74"/>
      <c r="L570" s="74"/>
      <c r="M570" s="74"/>
      <c r="N570" s="2"/>
      <c r="O570" s="2"/>
      <c r="P570" s="2"/>
      <c r="Q570" s="74"/>
      <c r="R570" s="2"/>
      <c r="S570" s="2"/>
      <c r="T570" s="76"/>
      <c r="U570" s="88"/>
    </row>
    <row r="571" ht="15.75" customHeight="1">
      <c r="A571" s="2"/>
      <c r="B571" s="2"/>
      <c r="C571" s="2"/>
      <c r="D571" s="2"/>
      <c r="E571" s="2"/>
      <c r="F571" s="2"/>
      <c r="G571" s="2"/>
      <c r="H571" s="2"/>
      <c r="I571" s="2"/>
      <c r="J571" s="74"/>
      <c r="K571" s="74"/>
      <c r="L571" s="74"/>
      <c r="M571" s="74"/>
      <c r="N571" s="2"/>
      <c r="O571" s="2"/>
      <c r="P571" s="2"/>
      <c r="Q571" s="74"/>
      <c r="R571" s="2"/>
      <c r="S571" s="2"/>
      <c r="T571" s="76"/>
      <c r="U571" s="88"/>
    </row>
    <row r="572" ht="15.75" customHeight="1">
      <c r="A572" s="2"/>
      <c r="B572" s="2"/>
      <c r="C572" s="2"/>
      <c r="D572" s="2"/>
      <c r="E572" s="2"/>
      <c r="F572" s="2"/>
      <c r="G572" s="2"/>
      <c r="H572" s="2"/>
      <c r="I572" s="2"/>
      <c r="J572" s="74"/>
      <c r="K572" s="74"/>
      <c r="L572" s="74"/>
      <c r="M572" s="74"/>
      <c r="N572" s="2"/>
      <c r="O572" s="2"/>
      <c r="P572" s="2"/>
      <c r="Q572" s="74"/>
      <c r="R572" s="2"/>
      <c r="S572" s="2"/>
      <c r="T572" s="76"/>
      <c r="U572" s="88"/>
    </row>
    <row r="573" ht="15.75" customHeight="1">
      <c r="A573" s="2"/>
      <c r="B573" s="2"/>
      <c r="C573" s="2"/>
      <c r="D573" s="2"/>
      <c r="E573" s="2"/>
      <c r="F573" s="2"/>
      <c r="G573" s="2"/>
      <c r="H573" s="2"/>
      <c r="I573" s="2"/>
      <c r="J573" s="74"/>
      <c r="K573" s="74"/>
      <c r="L573" s="74"/>
      <c r="M573" s="74"/>
      <c r="N573" s="2"/>
      <c r="O573" s="2"/>
      <c r="P573" s="2"/>
      <c r="Q573" s="74"/>
      <c r="R573" s="2"/>
      <c r="S573" s="2"/>
      <c r="T573" s="76"/>
      <c r="U573" s="88"/>
    </row>
    <row r="574" ht="15.75" customHeight="1">
      <c r="A574" s="2"/>
      <c r="B574" s="2"/>
      <c r="C574" s="2"/>
      <c r="D574" s="2"/>
      <c r="E574" s="2"/>
      <c r="F574" s="2"/>
      <c r="G574" s="2"/>
      <c r="H574" s="2"/>
      <c r="I574" s="2"/>
      <c r="J574" s="74"/>
      <c r="K574" s="74"/>
      <c r="L574" s="74"/>
      <c r="M574" s="74"/>
      <c r="N574" s="2"/>
      <c r="O574" s="2"/>
      <c r="P574" s="2"/>
      <c r="Q574" s="74"/>
      <c r="R574" s="2"/>
      <c r="S574" s="2"/>
      <c r="T574" s="76"/>
      <c r="U574" s="88"/>
    </row>
    <row r="575" ht="15.75" customHeight="1">
      <c r="A575" s="2"/>
      <c r="B575" s="2"/>
      <c r="C575" s="2"/>
      <c r="D575" s="2"/>
      <c r="E575" s="2"/>
      <c r="F575" s="2"/>
      <c r="G575" s="2"/>
      <c r="H575" s="2"/>
      <c r="I575" s="2"/>
      <c r="J575" s="74"/>
      <c r="K575" s="74"/>
      <c r="L575" s="74"/>
      <c r="M575" s="74"/>
      <c r="N575" s="2"/>
      <c r="O575" s="2"/>
      <c r="P575" s="2"/>
      <c r="Q575" s="74"/>
      <c r="R575" s="2"/>
      <c r="S575" s="2"/>
      <c r="T575" s="76"/>
      <c r="U575" s="88"/>
    </row>
    <row r="576" ht="15.75" customHeight="1">
      <c r="A576" s="2"/>
      <c r="B576" s="2"/>
      <c r="C576" s="2"/>
      <c r="D576" s="2"/>
      <c r="E576" s="2"/>
      <c r="F576" s="2"/>
      <c r="G576" s="2"/>
      <c r="H576" s="2"/>
      <c r="I576" s="2"/>
      <c r="J576" s="74"/>
      <c r="K576" s="74"/>
      <c r="L576" s="74"/>
      <c r="M576" s="74"/>
      <c r="N576" s="2"/>
      <c r="O576" s="2"/>
      <c r="P576" s="2"/>
      <c r="Q576" s="74"/>
      <c r="R576" s="2"/>
      <c r="S576" s="2"/>
      <c r="T576" s="76"/>
      <c r="U576" s="88"/>
    </row>
    <row r="577" ht="15.75" customHeight="1">
      <c r="A577" s="2"/>
      <c r="B577" s="2"/>
      <c r="C577" s="2"/>
      <c r="D577" s="2"/>
      <c r="E577" s="2"/>
      <c r="F577" s="2"/>
      <c r="G577" s="2"/>
      <c r="H577" s="2"/>
      <c r="I577" s="2"/>
      <c r="J577" s="74"/>
      <c r="K577" s="74"/>
      <c r="L577" s="74"/>
      <c r="M577" s="74"/>
      <c r="N577" s="2"/>
      <c r="O577" s="2"/>
      <c r="P577" s="2"/>
      <c r="Q577" s="74"/>
      <c r="R577" s="2"/>
      <c r="S577" s="2"/>
      <c r="T577" s="76"/>
      <c r="U577" s="88"/>
    </row>
    <row r="578" ht="15.75" customHeight="1">
      <c r="A578" s="2"/>
      <c r="B578" s="2"/>
      <c r="C578" s="2"/>
      <c r="D578" s="2"/>
      <c r="E578" s="2"/>
      <c r="F578" s="2"/>
      <c r="G578" s="2"/>
      <c r="H578" s="2"/>
      <c r="I578" s="2"/>
      <c r="J578" s="74"/>
      <c r="K578" s="74"/>
      <c r="L578" s="74"/>
      <c r="M578" s="74"/>
      <c r="N578" s="2"/>
      <c r="O578" s="2"/>
      <c r="P578" s="2"/>
      <c r="Q578" s="74"/>
      <c r="R578" s="2"/>
      <c r="S578" s="2"/>
      <c r="T578" s="76"/>
      <c r="U578" s="88"/>
    </row>
    <row r="579" ht="15.75" customHeight="1">
      <c r="A579" s="2"/>
      <c r="B579" s="2"/>
      <c r="C579" s="2"/>
      <c r="D579" s="2"/>
      <c r="E579" s="2"/>
      <c r="F579" s="2"/>
      <c r="G579" s="2"/>
      <c r="H579" s="2"/>
      <c r="I579" s="2"/>
      <c r="J579" s="74"/>
      <c r="K579" s="74"/>
      <c r="L579" s="74"/>
      <c r="M579" s="74"/>
      <c r="N579" s="2"/>
      <c r="O579" s="2"/>
      <c r="P579" s="2"/>
      <c r="Q579" s="74"/>
      <c r="R579" s="2"/>
      <c r="S579" s="2"/>
      <c r="T579" s="76"/>
      <c r="U579" s="88"/>
    </row>
    <row r="580" ht="15.75" customHeight="1">
      <c r="A580" s="2"/>
      <c r="B580" s="2"/>
      <c r="C580" s="2"/>
      <c r="D580" s="2"/>
      <c r="E580" s="2"/>
      <c r="F580" s="2"/>
      <c r="G580" s="2"/>
      <c r="H580" s="2"/>
      <c r="I580" s="2"/>
      <c r="J580" s="74"/>
      <c r="K580" s="74"/>
      <c r="L580" s="74"/>
      <c r="M580" s="74"/>
      <c r="N580" s="2"/>
      <c r="O580" s="2"/>
      <c r="P580" s="2"/>
      <c r="Q580" s="74"/>
      <c r="R580" s="2"/>
      <c r="S580" s="2"/>
      <c r="T580" s="76"/>
      <c r="U580" s="88"/>
    </row>
    <row r="581" ht="15.75" customHeight="1">
      <c r="A581" s="2"/>
      <c r="B581" s="2"/>
      <c r="C581" s="2"/>
      <c r="D581" s="2"/>
      <c r="E581" s="2"/>
      <c r="F581" s="2"/>
      <c r="G581" s="2"/>
      <c r="H581" s="2"/>
      <c r="I581" s="2"/>
      <c r="J581" s="74"/>
      <c r="K581" s="74"/>
      <c r="L581" s="74"/>
      <c r="M581" s="74"/>
      <c r="N581" s="2"/>
      <c r="O581" s="2"/>
      <c r="P581" s="2"/>
      <c r="Q581" s="74"/>
      <c r="R581" s="2"/>
      <c r="S581" s="2"/>
      <c r="T581" s="76"/>
      <c r="U581" s="88"/>
    </row>
    <row r="582" ht="15.75" customHeight="1">
      <c r="A582" s="2"/>
      <c r="B582" s="2"/>
      <c r="C582" s="2"/>
      <c r="D582" s="2"/>
      <c r="E582" s="2"/>
      <c r="F582" s="2"/>
      <c r="G582" s="2"/>
      <c r="H582" s="2"/>
      <c r="I582" s="2"/>
      <c r="J582" s="74"/>
      <c r="K582" s="74"/>
      <c r="L582" s="74"/>
      <c r="M582" s="74"/>
      <c r="N582" s="2"/>
      <c r="O582" s="2"/>
      <c r="P582" s="2"/>
      <c r="Q582" s="74"/>
      <c r="R582" s="2"/>
      <c r="S582" s="2"/>
      <c r="T582" s="76"/>
      <c r="U582" s="88"/>
    </row>
    <row r="583" ht="15.75" customHeight="1">
      <c r="A583" s="2"/>
      <c r="B583" s="2"/>
      <c r="C583" s="2"/>
      <c r="D583" s="2"/>
      <c r="E583" s="2"/>
      <c r="F583" s="2"/>
      <c r="G583" s="2"/>
      <c r="H583" s="2"/>
      <c r="I583" s="2"/>
      <c r="J583" s="74"/>
      <c r="K583" s="74"/>
      <c r="L583" s="74"/>
      <c r="M583" s="74"/>
      <c r="N583" s="2"/>
      <c r="O583" s="2"/>
      <c r="P583" s="2"/>
      <c r="Q583" s="74"/>
      <c r="R583" s="2"/>
      <c r="S583" s="2"/>
      <c r="T583" s="76"/>
      <c r="U583" s="88"/>
    </row>
    <row r="584" ht="15.75" customHeight="1">
      <c r="A584" s="2"/>
      <c r="B584" s="2"/>
      <c r="C584" s="2"/>
      <c r="D584" s="2"/>
      <c r="E584" s="2"/>
      <c r="F584" s="2"/>
      <c r="G584" s="2"/>
      <c r="H584" s="2"/>
      <c r="I584" s="2"/>
      <c r="J584" s="74"/>
      <c r="K584" s="74"/>
      <c r="L584" s="74"/>
      <c r="M584" s="74"/>
      <c r="N584" s="2"/>
      <c r="O584" s="2"/>
      <c r="P584" s="2"/>
      <c r="Q584" s="74"/>
      <c r="R584" s="2"/>
      <c r="S584" s="2"/>
      <c r="T584" s="76"/>
      <c r="U584" s="88"/>
    </row>
    <row r="585" ht="15.75" customHeight="1">
      <c r="A585" s="2"/>
      <c r="B585" s="2"/>
      <c r="C585" s="2"/>
      <c r="D585" s="2"/>
      <c r="E585" s="2"/>
      <c r="F585" s="2"/>
      <c r="G585" s="2"/>
      <c r="H585" s="2"/>
      <c r="I585" s="2"/>
      <c r="J585" s="74"/>
      <c r="K585" s="74"/>
      <c r="L585" s="74"/>
      <c r="M585" s="74"/>
      <c r="N585" s="2"/>
      <c r="O585" s="2"/>
      <c r="P585" s="2"/>
      <c r="Q585" s="74"/>
      <c r="R585" s="2"/>
      <c r="S585" s="2"/>
      <c r="T585" s="76"/>
      <c r="U585" s="88"/>
    </row>
    <row r="586" ht="15.75" customHeight="1">
      <c r="A586" s="2"/>
      <c r="B586" s="2"/>
      <c r="C586" s="2"/>
      <c r="D586" s="2"/>
      <c r="E586" s="2"/>
      <c r="F586" s="2"/>
      <c r="G586" s="2"/>
      <c r="H586" s="2"/>
      <c r="I586" s="2"/>
      <c r="J586" s="74"/>
      <c r="K586" s="74"/>
      <c r="L586" s="74"/>
      <c r="M586" s="74"/>
      <c r="N586" s="2"/>
      <c r="O586" s="2"/>
      <c r="P586" s="2"/>
      <c r="Q586" s="74"/>
      <c r="R586" s="2"/>
      <c r="S586" s="2"/>
      <c r="T586" s="76"/>
      <c r="U586" s="88"/>
    </row>
    <row r="587" ht="15.75" customHeight="1">
      <c r="A587" s="2"/>
      <c r="B587" s="2"/>
      <c r="C587" s="2"/>
      <c r="D587" s="2"/>
      <c r="E587" s="2"/>
      <c r="F587" s="2"/>
      <c r="G587" s="2"/>
      <c r="H587" s="2"/>
      <c r="I587" s="2"/>
      <c r="J587" s="74"/>
      <c r="K587" s="74"/>
      <c r="L587" s="74"/>
      <c r="M587" s="74"/>
      <c r="N587" s="2"/>
      <c r="O587" s="2"/>
      <c r="P587" s="2"/>
      <c r="Q587" s="74"/>
      <c r="R587" s="2"/>
      <c r="S587" s="2"/>
      <c r="T587" s="76"/>
      <c r="U587" s="88"/>
    </row>
    <row r="588" ht="15.75" customHeight="1">
      <c r="A588" s="2"/>
      <c r="B588" s="2"/>
      <c r="C588" s="2"/>
      <c r="D588" s="2"/>
      <c r="E588" s="2"/>
      <c r="F588" s="2"/>
      <c r="G588" s="2"/>
      <c r="H588" s="2"/>
      <c r="I588" s="2"/>
      <c r="J588" s="74"/>
      <c r="K588" s="74"/>
      <c r="L588" s="74"/>
      <c r="M588" s="74"/>
      <c r="N588" s="2"/>
      <c r="O588" s="2"/>
      <c r="P588" s="2"/>
      <c r="Q588" s="74"/>
      <c r="R588" s="2"/>
      <c r="S588" s="2"/>
      <c r="T588" s="76"/>
      <c r="U588" s="88"/>
    </row>
    <row r="589" ht="15.75" customHeight="1">
      <c r="A589" s="2"/>
      <c r="B589" s="2"/>
      <c r="C589" s="2"/>
      <c r="D589" s="2"/>
      <c r="E589" s="2"/>
      <c r="F589" s="2"/>
      <c r="G589" s="2"/>
      <c r="H589" s="2"/>
      <c r="I589" s="2"/>
      <c r="J589" s="74"/>
      <c r="K589" s="74"/>
      <c r="L589" s="74"/>
      <c r="M589" s="74"/>
      <c r="N589" s="2"/>
      <c r="O589" s="2"/>
      <c r="P589" s="2"/>
      <c r="Q589" s="74"/>
      <c r="R589" s="2"/>
      <c r="S589" s="2"/>
      <c r="T589" s="76"/>
      <c r="U589" s="88"/>
    </row>
    <row r="590" ht="15.75" customHeight="1">
      <c r="A590" s="2"/>
      <c r="B590" s="2"/>
      <c r="C590" s="2"/>
      <c r="D590" s="2"/>
      <c r="E590" s="2"/>
      <c r="F590" s="2"/>
      <c r="G590" s="2"/>
      <c r="H590" s="2"/>
      <c r="I590" s="2"/>
      <c r="J590" s="74"/>
      <c r="K590" s="74"/>
      <c r="L590" s="74"/>
      <c r="M590" s="74"/>
      <c r="N590" s="2"/>
      <c r="O590" s="2"/>
      <c r="P590" s="2"/>
      <c r="Q590" s="74"/>
      <c r="R590" s="2"/>
      <c r="S590" s="2"/>
      <c r="T590" s="76"/>
      <c r="U590" s="88"/>
    </row>
    <row r="591" ht="15.75" customHeight="1">
      <c r="A591" s="2"/>
      <c r="B591" s="2"/>
      <c r="C591" s="2"/>
      <c r="D591" s="2"/>
      <c r="E591" s="2"/>
      <c r="F591" s="2"/>
      <c r="G591" s="2"/>
      <c r="H591" s="2"/>
      <c r="I591" s="2"/>
      <c r="J591" s="74"/>
      <c r="K591" s="74"/>
      <c r="L591" s="74"/>
      <c r="M591" s="74"/>
      <c r="N591" s="2"/>
      <c r="O591" s="2"/>
      <c r="P591" s="2"/>
      <c r="Q591" s="74"/>
      <c r="R591" s="2"/>
      <c r="S591" s="2"/>
      <c r="T591" s="76"/>
      <c r="U591" s="88"/>
    </row>
    <row r="592" ht="15.75" customHeight="1">
      <c r="A592" s="2"/>
      <c r="B592" s="2"/>
      <c r="C592" s="2"/>
      <c r="D592" s="2"/>
      <c r="E592" s="2"/>
      <c r="F592" s="2"/>
      <c r="G592" s="2"/>
      <c r="H592" s="2"/>
      <c r="I592" s="2"/>
      <c r="J592" s="74"/>
      <c r="K592" s="74"/>
      <c r="L592" s="74"/>
      <c r="M592" s="74"/>
      <c r="N592" s="2"/>
      <c r="O592" s="2"/>
      <c r="P592" s="2"/>
      <c r="Q592" s="74"/>
      <c r="R592" s="2"/>
      <c r="S592" s="2"/>
      <c r="T592" s="76"/>
      <c r="U592" s="88"/>
    </row>
    <row r="593" ht="15.75" customHeight="1">
      <c r="A593" s="2"/>
      <c r="B593" s="2"/>
      <c r="C593" s="2"/>
      <c r="D593" s="2"/>
      <c r="E593" s="2"/>
      <c r="F593" s="2"/>
      <c r="G593" s="2"/>
      <c r="H593" s="2"/>
      <c r="I593" s="2"/>
      <c r="J593" s="74"/>
      <c r="K593" s="74"/>
      <c r="L593" s="74"/>
      <c r="M593" s="74"/>
      <c r="N593" s="2"/>
      <c r="O593" s="2"/>
      <c r="P593" s="2"/>
      <c r="Q593" s="74"/>
      <c r="R593" s="2"/>
      <c r="S593" s="2"/>
      <c r="T593" s="76"/>
      <c r="U593" s="88"/>
    </row>
    <row r="594" ht="15.75" customHeight="1">
      <c r="A594" s="2"/>
      <c r="B594" s="2"/>
      <c r="C594" s="2"/>
      <c r="D594" s="2"/>
      <c r="E594" s="2"/>
      <c r="F594" s="2"/>
      <c r="G594" s="2"/>
      <c r="H594" s="2"/>
      <c r="I594" s="2"/>
      <c r="J594" s="74"/>
      <c r="K594" s="74"/>
      <c r="L594" s="74"/>
      <c r="M594" s="74"/>
      <c r="N594" s="2"/>
      <c r="O594" s="2"/>
      <c r="P594" s="2"/>
      <c r="Q594" s="74"/>
      <c r="R594" s="2"/>
      <c r="S594" s="2"/>
      <c r="T594" s="76"/>
      <c r="U594" s="88"/>
    </row>
    <row r="595" ht="15.75" customHeight="1">
      <c r="A595" s="2"/>
      <c r="B595" s="2"/>
      <c r="C595" s="2"/>
      <c r="D595" s="2"/>
      <c r="E595" s="2"/>
      <c r="F595" s="2"/>
      <c r="G595" s="2"/>
      <c r="H595" s="2"/>
      <c r="I595" s="2"/>
      <c r="J595" s="74"/>
      <c r="K595" s="74"/>
      <c r="L595" s="74"/>
      <c r="M595" s="74"/>
      <c r="N595" s="2"/>
      <c r="O595" s="2"/>
      <c r="P595" s="2"/>
      <c r="Q595" s="74"/>
      <c r="R595" s="2"/>
      <c r="S595" s="2"/>
      <c r="T595" s="76"/>
      <c r="U595" s="88"/>
    </row>
    <row r="596" ht="15.75" customHeight="1">
      <c r="A596" s="2"/>
      <c r="B596" s="2"/>
      <c r="C596" s="2"/>
      <c r="D596" s="2"/>
      <c r="E596" s="2"/>
      <c r="F596" s="2"/>
      <c r="G596" s="2"/>
      <c r="H596" s="2"/>
      <c r="I596" s="2"/>
      <c r="J596" s="74"/>
      <c r="K596" s="74"/>
      <c r="L596" s="74"/>
      <c r="M596" s="74"/>
      <c r="N596" s="2"/>
      <c r="O596" s="2"/>
      <c r="P596" s="2"/>
      <c r="Q596" s="74"/>
      <c r="R596" s="2"/>
      <c r="S596" s="2"/>
      <c r="T596" s="76"/>
      <c r="U596" s="88"/>
    </row>
    <row r="597" ht="15.75" customHeight="1">
      <c r="A597" s="2"/>
      <c r="B597" s="2"/>
      <c r="C597" s="2"/>
      <c r="D597" s="2"/>
      <c r="E597" s="2"/>
      <c r="F597" s="2"/>
      <c r="G597" s="2"/>
      <c r="H597" s="2"/>
      <c r="I597" s="2"/>
      <c r="J597" s="74"/>
      <c r="K597" s="74"/>
      <c r="L597" s="74"/>
      <c r="M597" s="74"/>
      <c r="N597" s="2"/>
      <c r="O597" s="2"/>
      <c r="P597" s="2"/>
      <c r="Q597" s="74"/>
      <c r="R597" s="2"/>
      <c r="S597" s="2"/>
      <c r="T597" s="76"/>
      <c r="U597" s="88"/>
    </row>
    <row r="598" ht="15.75" customHeight="1">
      <c r="A598" s="2"/>
      <c r="B598" s="2"/>
      <c r="C598" s="2"/>
      <c r="D598" s="2"/>
      <c r="E598" s="2"/>
      <c r="F598" s="2"/>
      <c r="G598" s="2"/>
      <c r="H598" s="2"/>
      <c r="I598" s="2"/>
      <c r="J598" s="74"/>
      <c r="K598" s="74"/>
      <c r="L598" s="74"/>
      <c r="M598" s="74"/>
      <c r="N598" s="2"/>
      <c r="O598" s="2"/>
      <c r="P598" s="2"/>
      <c r="Q598" s="74"/>
      <c r="R598" s="2"/>
      <c r="S598" s="2"/>
      <c r="T598" s="76"/>
      <c r="U598" s="88"/>
    </row>
    <row r="599" ht="15.75" customHeight="1">
      <c r="A599" s="2"/>
      <c r="B599" s="2"/>
      <c r="C599" s="2"/>
      <c r="D599" s="2"/>
      <c r="E599" s="2"/>
      <c r="F599" s="2"/>
      <c r="G599" s="2"/>
      <c r="H599" s="2"/>
      <c r="I599" s="2"/>
      <c r="J599" s="74"/>
      <c r="K599" s="74"/>
      <c r="L599" s="74"/>
      <c r="M599" s="74"/>
      <c r="N599" s="2"/>
      <c r="O599" s="2"/>
      <c r="P599" s="2"/>
      <c r="Q599" s="74"/>
      <c r="R599" s="2"/>
      <c r="S599" s="2"/>
      <c r="T599" s="76"/>
      <c r="U599" s="88"/>
    </row>
    <row r="600" ht="15.75" customHeight="1">
      <c r="A600" s="2"/>
      <c r="B600" s="2"/>
      <c r="C600" s="2"/>
      <c r="D600" s="2"/>
      <c r="E600" s="2"/>
      <c r="F600" s="2"/>
      <c r="G600" s="2"/>
      <c r="H600" s="2"/>
      <c r="I600" s="2"/>
      <c r="J600" s="74"/>
      <c r="K600" s="74"/>
      <c r="L600" s="74"/>
      <c r="M600" s="74"/>
      <c r="N600" s="2"/>
      <c r="O600" s="2"/>
      <c r="P600" s="2"/>
      <c r="Q600" s="74"/>
      <c r="R600" s="2"/>
      <c r="S600" s="2"/>
      <c r="T600" s="76"/>
      <c r="U600" s="88"/>
    </row>
    <row r="601" ht="15.75" customHeight="1">
      <c r="A601" s="2"/>
      <c r="B601" s="2"/>
      <c r="C601" s="2"/>
      <c r="D601" s="2"/>
      <c r="E601" s="2"/>
      <c r="F601" s="2"/>
      <c r="G601" s="2"/>
      <c r="H601" s="2"/>
      <c r="I601" s="2"/>
      <c r="J601" s="74"/>
      <c r="K601" s="74"/>
      <c r="L601" s="74"/>
      <c r="M601" s="74"/>
      <c r="N601" s="2"/>
      <c r="O601" s="2"/>
      <c r="P601" s="2"/>
      <c r="Q601" s="74"/>
      <c r="R601" s="2"/>
      <c r="S601" s="2"/>
      <c r="T601" s="76"/>
      <c r="U601" s="88"/>
    </row>
    <row r="602" ht="15.75" customHeight="1">
      <c r="A602" s="2"/>
      <c r="B602" s="2"/>
      <c r="C602" s="2"/>
      <c r="D602" s="2"/>
      <c r="E602" s="2"/>
      <c r="F602" s="2"/>
      <c r="G602" s="2"/>
      <c r="H602" s="2"/>
      <c r="I602" s="2"/>
      <c r="J602" s="74"/>
      <c r="K602" s="74"/>
      <c r="L602" s="74"/>
      <c r="M602" s="74"/>
      <c r="N602" s="2"/>
      <c r="O602" s="2"/>
      <c r="P602" s="2"/>
      <c r="Q602" s="74"/>
      <c r="R602" s="2"/>
      <c r="S602" s="2"/>
      <c r="T602" s="76"/>
      <c r="U602" s="88"/>
    </row>
    <row r="603" ht="15.75" customHeight="1">
      <c r="A603" s="2"/>
      <c r="B603" s="2"/>
      <c r="C603" s="2"/>
      <c r="D603" s="2"/>
      <c r="E603" s="2"/>
      <c r="F603" s="2"/>
      <c r="G603" s="2"/>
      <c r="H603" s="2"/>
      <c r="I603" s="2"/>
      <c r="J603" s="74"/>
      <c r="K603" s="74"/>
      <c r="L603" s="74"/>
      <c r="M603" s="74"/>
      <c r="N603" s="2"/>
      <c r="O603" s="2"/>
      <c r="P603" s="2"/>
      <c r="Q603" s="74"/>
      <c r="R603" s="2"/>
      <c r="S603" s="2"/>
      <c r="T603" s="76"/>
      <c r="U603" s="88"/>
    </row>
    <row r="604" ht="15.75" customHeight="1">
      <c r="A604" s="2"/>
      <c r="B604" s="2"/>
      <c r="C604" s="2"/>
      <c r="D604" s="2"/>
      <c r="E604" s="2"/>
      <c r="F604" s="2"/>
      <c r="G604" s="2"/>
      <c r="H604" s="2"/>
      <c r="I604" s="2"/>
      <c r="J604" s="74"/>
      <c r="K604" s="74"/>
      <c r="L604" s="74"/>
      <c r="M604" s="74"/>
      <c r="N604" s="2"/>
      <c r="O604" s="2"/>
      <c r="P604" s="2"/>
      <c r="Q604" s="74"/>
      <c r="R604" s="2"/>
      <c r="S604" s="2"/>
      <c r="T604" s="76"/>
      <c r="U604" s="88"/>
    </row>
    <row r="605" ht="15.75" customHeight="1">
      <c r="A605" s="2"/>
      <c r="B605" s="2"/>
      <c r="C605" s="2"/>
      <c r="D605" s="2"/>
      <c r="E605" s="2"/>
      <c r="F605" s="2"/>
      <c r="G605" s="2"/>
      <c r="H605" s="2"/>
      <c r="I605" s="2"/>
      <c r="J605" s="74"/>
      <c r="K605" s="74"/>
      <c r="L605" s="74"/>
      <c r="M605" s="74"/>
      <c r="N605" s="2"/>
      <c r="O605" s="2"/>
      <c r="P605" s="2"/>
      <c r="Q605" s="74"/>
      <c r="R605" s="2"/>
      <c r="S605" s="2"/>
      <c r="T605" s="76"/>
      <c r="U605" s="88"/>
    </row>
    <row r="606" ht="15.75" customHeight="1">
      <c r="A606" s="2"/>
      <c r="B606" s="2"/>
      <c r="C606" s="2"/>
      <c r="D606" s="2"/>
      <c r="E606" s="2"/>
      <c r="F606" s="2"/>
      <c r="G606" s="2"/>
      <c r="H606" s="2"/>
      <c r="I606" s="2"/>
      <c r="J606" s="74"/>
      <c r="K606" s="74"/>
      <c r="L606" s="74"/>
      <c r="M606" s="74"/>
      <c r="N606" s="2"/>
      <c r="O606" s="2"/>
      <c r="P606" s="2"/>
      <c r="Q606" s="74"/>
      <c r="R606" s="2"/>
      <c r="S606" s="2"/>
      <c r="T606" s="76"/>
      <c r="U606" s="88"/>
    </row>
    <row r="607" ht="15.75" customHeight="1">
      <c r="A607" s="2"/>
      <c r="B607" s="2"/>
      <c r="C607" s="2"/>
      <c r="D607" s="2"/>
      <c r="E607" s="2"/>
      <c r="F607" s="2"/>
      <c r="G607" s="2"/>
      <c r="H607" s="2"/>
      <c r="I607" s="2"/>
      <c r="J607" s="74"/>
      <c r="K607" s="74"/>
      <c r="L607" s="74"/>
      <c r="M607" s="74"/>
      <c r="N607" s="2"/>
      <c r="O607" s="2"/>
      <c r="P607" s="2"/>
      <c r="Q607" s="74"/>
      <c r="R607" s="2"/>
      <c r="S607" s="2"/>
      <c r="T607" s="76"/>
      <c r="U607" s="88"/>
    </row>
    <row r="608" ht="15.75" customHeight="1">
      <c r="A608" s="2"/>
      <c r="B608" s="2"/>
      <c r="C608" s="2"/>
      <c r="D608" s="2"/>
      <c r="E608" s="2"/>
      <c r="F608" s="2"/>
      <c r="G608" s="2"/>
      <c r="H608" s="2"/>
      <c r="I608" s="2"/>
      <c r="J608" s="74"/>
      <c r="K608" s="74"/>
      <c r="L608" s="74"/>
      <c r="M608" s="74"/>
      <c r="N608" s="2"/>
      <c r="O608" s="2"/>
      <c r="P608" s="2"/>
      <c r="Q608" s="74"/>
      <c r="R608" s="2"/>
      <c r="S608" s="2"/>
      <c r="T608" s="76"/>
      <c r="U608" s="88"/>
    </row>
    <row r="609" ht="15.75" customHeight="1">
      <c r="A609" s="2"/>
      <c r="B609" s="2"/>
      <c r="C609" s="2"/>
      <c r="D609" s="2"/>
      <c r="E609" s="2"/>
      <c r="F609" s="2"/>
      <c r="G609" s="2"/>
      <c r="H609" s="2"/>
      <c r="I609" s="2"/>
      <c r="J609" s="74"/>
      <c r="K609" s="74"/>
      <c r="L609" s="74"/>
      <c r="M609" s="74"/>
      <c r="N609" s="2"/>
      <c r="O609" s="2"/>
      <c r="P609" s="2"/>
      <c r="Q609" s="74"/>
      <c r="R609" s="2"/>
      <c r="S609" s="2"/>
      <c r="T609" s="76"/>
      <c r="U609" s="88"/>
    </row>
    <row r="610" ht="15.75" customHeight="1">
      <c r="A610" s="2"/>
      <c r="B610" s="2"/>
      <c r="C610" s="2"/>
      <c r="D610" s="2"/>
      <c r="E610" s="2"/>
      <c r="F610" s="2"/>
      <c r="G610" s="2"/>
      <c r="H610" s="2"/>
      <c r="I610" s="2"/>
      <c r="J610" s="74"/>
      <c r="K610" s="74"/>
      <c r="L610" s="74"/>
      <c r="M610" s="74"/>
      <c r="N610" s="2"/>
      <c r="O610" s="2"/>
      <c r="P610" s="2"/>
      <c r="Q610" s="74"/>
      <c r="R610" s="2"/>
      <c r="S610" s="2"/>
      <c r="T610" s="76"/>
      <c r="U610" s="88"/>
    </row>
    <row r="611" ht="15.75" customHeight="1">
      <c r="A611" s="2"/>
      <c r="B611" s="2"/>
      <c r="C611" s="2"/>
      <c r="D611" s="2"/>
      <c r="E611" s="2"/>
      <c r="F611" s="2"/>
      <c r="G611" s="2"/>
      <c r="H611" s="2"/>
      <c r="I611" s="2"/>
      <c r="J611" s="74"/>
      <c r="K611" s="74"/>
      <c r="L611" s="74"/>
      <c r="M611" s="74"/>
      <c r="N611" s="2"/>
      <c r="O611" s="2"/>
      <c r="P611" s="2"/>
      <c r="Q611" s="74"/>
      <c r="R611" s="2"/>
      <c r="S611" s="2"/>
      <c r="T611" s="76"/>
      <c r="U611" s="88"/>
    </row>
    <row r="612" ht="15.75" customHeight="1">
      <c r="A612" s="2"/>
      <c r="B612" s="2"/>
      <c r="C612" s="2"/>
      <c r="D612" s="2"/>
      <c r="E612" s="2"/>
      <c r="F612" s="2"/>
      <c r="G612" s="2"/>
      <c r="H612" s="2"/>
      <c r="I612" s="2"/>
      <c r="J612" s="74"/>
      <c r="K612" s="74"/>
      <c r="L612" s="74"/>
      <c r="M612" s="74"/>
      <c r="N612" s="2"/>
      <c r="O612" s="2"/>
      <c r="P612" s="2"/>
      <c r="Q612" s="74"/>
      <c r="R612" s="2"/>
      <c r="S612" s="2"/>
      <c r="T612" s="76"/>
      <c r="U612" s="88"/>
    </row>
    <row r="613" ht="15.75" customHeight="1">
      <c r="A613" s="2"/>
      <c r="B613" s="2"/>
      <c r="C613" s="2"/>
      <c r="D613" s="2"/>
      <c r="E613" s="2"/>
      <c r="F613" s="2"/>
      <c r="G613" s="2"/>
      <c r="H613" s="2"/>
      <c r="I613" s="2"/>
      <c r="J613" s="74"/>
      <c r="K613" s="74"/>
      <c r="L613" s="74"/>
      <c r="M613" s="74"/>
      <c r="N613" s="2"/>
      <c r="O613" s="2"/>
      <c r="P613" s="2"/>
      <c r="Q613" s="74"/>
      <c r="R613" s="2"/>
      <c r="S613" s="2"/>
      <c r="T613" s="76"/>
      <c r="U613" s="88"/>
    </row>
    <row r="614" ht="15.75" customHeight="1">
      <c r="A614" s="2"/>
      <c r="B614" s="2"/>
      <c r="C614" s="2"/>
      <c r="D614" s="2"/>
      <c r="E614" s="2"/>
      <c r="F614" s="2"/>
      <c r="G614" s="2"/>
      <c r="H614" s="2"/>
      <c r="I614" s="2"/>
      <c r="J614" s="74"/>
      <c r="K614" s="74"/>
      <c r="L614" s="74"/>
      <c r="M614" s="74"/>
      <c r="N614" s="2"/>
      <c r="O614" s="2"/>
      <c r="P614" s="2"/>
      <c r="Q614" s="74"/>
      <c r="R614" s="2"/>
      <c r="S614" s="2"/>
      <c r="T614" s="76"/>
      <c r="U614" s="88"/>
    </row>
    <row r="615" ht="15.75" customHeight="1">
      <c r="A615" s="2"/>
      <c r="B615" s="2"/>
      <c r="C615" s="2"/>
      <c r="D615" s="2"/>
      <c r="E615" s="2"/>
      <c r="F615" s="2"/>
      <c r="G615" s="2"/>
      <c r="H615" s="2"/>
      <c r="I615" s="2"/>
      <c r="J615" s="74"/>
      <c r="K615" s="74"/>
      <c r="L615" s="74"/>
      <c r="M615" s="74"/>
      <c r="N615" s="2"/>
      <c r="O615" s="2"/>
      <c r="P615" s="2"/>
      <c r="Q615" s="74"/>
      <c r="R615" s="2"/>
      <c r="S615" s="2"/>
      <c r="T615" s="76"/>
      <c r="U615" s="88"/>
    </row>
    <row r="616" ht="15.75" customHeight="1">
      <c r="A616" s="2"/>
      <c r="B616" s="2"/>
      <c r="C616" s="2"/>
      <c r="D616" s="2"/>
      <c r="E616" s="2"/>
      <c r="F616" s="2"/>
      <c r="G616" s="2"/>
      <c r="H616" s="2"/>
      <c r="I616" s="2"/>
      <c r="J616" s="74"/>
      <c r="K616" s="74"/>
      <c r="L616" s="74"/>
      <c r="M616" s="74"/>
      <c r="N616" s="2"/>
      <c r="O616" s="2"/>
      <c r="P616" s="2"/>
      <c r="Q616" s="74"/>
      <c r="R616" s="2"/>
      <c r="S616" s="2"/>
      <c r="T616" s="76"/>
      <c r="U616" s="88"/>
    </row>
    <row r="617" ht="15.75" customHeight="1">
      <c r="A617" s="2"/>
      <c r="B617" s="2"/>
      <c r="C617" s="2"/>
      <c r="D617" s="2"/>
      <c r="E617" s="2"/>
      <c r="F617" s="2"/>
      <c r="G617" s="2"/>
      <c r="H617" s="2"/>
      <c r="I617" s="2"/>
      <c r="J617" s="74"/>
      <c r="K617" s="74"/>
      <c r="L617" s="74"/>
      <c r="M617" s="74"/>
      <c r="N617" s="2"/>
      <c r="O617" s="2"/>
      <c r="P617" s="2"/>
      <c r="Q617" s="74"/>
      <c r="R617" s="2"/>
      <c r="S617" s="2"/>
      <c r="T617" s="76"/>
      <c r="U617" s="88"/>
    </row>
    <row r="618" ht="15.75" customHeight="1">
      <c r="A618" s="2"/>
      <c r="B618" s="2"/>
      <c r="C618" s="2"/>
      <c r="D618" s="2"/>
      <c r="E618" s="2"/>
      <c r="F618" s="2"/>
      <c r="G618" s="2"/>
      <c r="H618" s="2"/>
      <c r="I618" s="2"/>
      <c r="J618" s="74"/>
      <c r="K618" s="74"/>
      <c r="L618" s="74"/>
      <c r="M618" s="74"/>
      <c r="N618" s="2"/>
      <c r="O618" s="2"/>
      <c r="P618" s="2"/>
      <c r="Q618" s="74"/>
      <c r="R618" s="2"/>
      <c r="S618" s="2"/>
      <c r="T618" s="76"/>
      <c r="U618" s="88"/>
    </row>
    <row r="619" ht="15.75" customHeight="1">
      <c r="A619" s="2"/>
      <c r="B619" s="2"/>
      <c r="C619" s="2"/>
      <c r="D619" s="2"/>
      <c r="E619" s="2"/>
      <c r="F619" s="2"/>
      <c r="G619" s="2"/>
      <c r="H619" s="2"/>
      <c r="I619" s="2"/>
      <c r="J619" s="74"/>
      <c r="K619" s="74"/>
      <c r="L619" s="74"/>
      <c r="M619" s="74"/>
      <c r="N619" s="2"/>
      <c r="O619" s="2"/>
      <c r="P619" s="2"/>
      <c r="Q619" s="74"/>
      <c r="R619" s="2"/>
      <c r="S619" s="2"/>
      <c r="T619" s="76"/>
      <c r="U619" s="88"/>
    </row>
    <row r="620" ht="15.75" customHeight="1">
      <c r="A620" s="2"/>
      <c r="B620" s="2"/>
      <c r="C620" s="2"/>
      <c r="D620" s="2"/>
      <c r="E620" s="2"/>
      <c r="F620" s="2"/>
      <c r="G620" s="2"/>
      <c r="H620" s="2"/>
      <c r="I620" s="2"/>
      <c r="J620" s="74"/>
      <c r="K620" s="74"/>
      <c r="L620" s="74"/>
      <c r="M620" s="74"/>
      <c r="N620" s="2"/>
      <c r="O620" s="2"/>
      <c r="P620" s="2"/>
      <c r="Q620" s="74"/>
      <c r="R620" s="2"/>
      <c r="S620" s="2"/>
      <c r="T620" s="76"/>
      <c r="U620" s="88"/>
    </row>
    <row r="621" ht="15.75" customHeight="1">
      <c r="A621" s="2"/>
      <c r="B621" s="2"/>
      <c r="C621" s="2"/>
      <c r="D621" s="2"/>
      <c r="E621" s="2"/>
      <c r="F621" s="2"/>
      <c r="G621" s="2"/>
      <c r="H621" s="2"/>
      <c r="I621" s="2"/>
      <c r="J621" s="74"/>
      <c r="K621" s="74"/>
      <c r="L621" s="74"/>
      <c r="M621" s="74"/>
      <c r="N621" s="2"/>
      <c r="O621" s="2"/>
      <c r="P621" s="2"/>
      <c r="Q621" s="74"/>
      <c r="R621" s="2"/>
      <c r="S621" s="2"/>
      <c r="T621" s="76"/>
      <c r="U621" s="88"/>
    </row>
    <row r="622" ht="15.75" customHeight="1">
      <c r="A622" s="2"/>
      <c r="B622" s="2"/>
      <c r="C622" s="2"/>
      <c r="D622" s="2"/>
      <c r="E622" s="2"/>
      <c r="F622" s="2"/>
      <c r="G622" s="2"/>
      <c r="H622" s="2"/>
      <c r="I622" s="2"/>
      <c r="J622" s="74"/>
      <c r="K622" s="74"/>
      <c r="L622" s="74"/>
      <c r="M622" s="74"/>
      <c r="N622" s="2"/>
      <c r="O622" s="2"/>
      <c r="P622" s="2"/>
      <c r="Q622" s="74"/>
      <c r="R622" s="2"/>
      <c r="S622" s="2"/>
      <c r="T622" s="76"/>
      <c r="U622" s="88"/>
    </row>
    <row r="623" ht="15.75" customHeight="1">
      <c r="A623" s="2"/>
      <c r="B623" s="2"/>
      <c r="C623" s="2"/>
      <c r="D623" s="2"/>
      <c r="E623" s="2"/>
      <c r="F623" s="2"/>
      <c r="G623" s="2"/>
      <c r="H623" s="2"/>
      <c r="I623" s="2"/>
      <c r="J623" s="74"/>
      <c r="K623" s="74"/>
      <c r="L623" s="74"/>
      <c r="M623" s="74"/>
      <c r="N623" s="2"/>
      <c r="O623" s="2"/>
      <c r="P623" s="2"/>
      <c r="Q623" s="74"/>
      <c r="R623" s="2"/>
      <c r="S623" s="2"/>
      <c r="T623" s="76"/>
      <c r="U623" s="88"/>
    </row>
    <row r="624" ht="15.75" customHeight="1">
      <c r="A624" s="2"/>
      <c r="B624" s="2"/>
      <c r="C624" s="2"/>
      <c r="D624" s="2"/>
      <c r="E624" s="2"/>
      <c r="F624" s="2"/>
      <c r="G624" s="2"/>
      <c r="H624" s="2"/>
      <c r="I624" s="2"/>
      <c r="J624" s="74"/>
      <c r="K624" s="74"/>
      <c r="L624" s="74"/>
      <c r="M624" s="74"/>
      <c r="N624" s="2"/>
      <c r="O624" s="2"/>
      <c r="P624" s="2"/>
      <c r="Q624" s="74"/>
      <c r="R624" s="2"/>
      <c r="S624" s="2"/>
      <c r="T624" s="76"/>
      <c r="U624" s="88"/>
    </row>
    <row r="625" ht="15.75" customHeight="1">
      <c r="A625" s="2"/>
      <c r="B625" s="2"/>
      <c r="C625" s="2"/>
      <c r="D625" s="2"/>
      <c r="E625" s="2"/>
      <c r="F625" s="2"/>
      <c r="G625" s="2"/>
      <c r="H625" s="2"/>
      <c r="I625" s="2"/>
      <c r="J625" s="74"/>
      <c r="K625" s="74"/>
      <c r="L625" s="74"/>
      <c r="M625" s="74"/>
      <c r="N625" s="2"/>
      <c r="O625" s="2"/>
      <c r="P625" s="2"/>
      <c r="Q625" s="74"/>
      <c r="R625" s="2"/>
      <c r="S625" s="2"/>
      <c r="T625" s="76"/>
      <c r="U625" s="88"/>
    </row>
    <row r="626" ht="15.75" customHeight="1">
      <c r="A626" s="2"/>
      <c r="B626" s="2"/>
      <c r="C626" s="2"/>
      <c r="D626" s="2"/>
      <c r="E626" s="2"/>
      <c r="F626" s="2"/>
      <c r="G626" s="2"/>
      <c r="H626" s="2"/>
      <c r="I626" s="2"/>
      <c r="J626" s="74"/>
      <c r="K626" s="74"/>
      <c r="L626" s="74"/>
      <c r="M626" s="74"/>
      <c r="N626" s="2"/>
      <c r="O626" s="2"/>
      <c r="P626" s="2"/>
      <c r="Q626" s="74"/>
      <c r="R626" s="2"/>
      <c r="S626" s="2"/>
      <c r="T626" s="76"/>
      <c r="U626" s="88"/>
    </row>
    <row r="627" ht="15.75" customHeight="1">
      <c r="A627" s="2"/>
      <c r="B627" s="2"/>
      <c r="C627" s="2"/>
      <c r="D627" s="2"/>
      <c r="E627" s="2"/>
      <c r="F627" s="2"/>
      <c r="G627" s="2"/>
      <c r="H627" s="2"/>
      <c r="I627" s="2"/>
      <c r="J627" s="74"/>
      <c r="K627" s="74"/>
      <c r="L627" s="74"/>
      <c r="M627" s="74"/>
      <c r="N627" s="2"/>
      <c r="O627" s="2"/>
      <c r="P627" s="2"/>
      <c r="Q627" s="74"/>
      <c r="R627" s="2"/>
      <c r="S627" s="2"/>
      <c r="T627" s="76"/>
      <c r="U627" s="88"/>
    </row>
    <row r="628" ht="15.75" customHeight="1">
      <c r="A628" s="2"/>
      <c r="B628" s="2"/>
      <c r="C628" s="2"/>
      <c r="D628" s="2"/>
      <c r="E628" s="2"/>
      <c r="F628" s="2"/>
      <c r="G628" s="2"/>
      <c r="H628" s="2"/>
      <c r="I628" s="2"/>
      <c r="J628" s="74"/>
      <c r="K628" s="74"/>
      <c r="L628" s="74"/>
      <c r="M628" s="74"/>
      <c r="N628" s="2"/>
      <c r="O628" s="2"/>
      <c r="P628" s="2"/>
      <c r="Q628" s="74"/>
      <c r="R628" s="2"/>
      <c r="S628" s="2"/>
      <c r="T628" s="76"/>
      <c r="U628" s="88"/>
    </row>
    <row r="629" ht="15.75" customHeight="1">
      <c r="A629" s="2"/>
      <c r="B629" s="2"/>
      <c r="C629" s="2"/>
      <c r="D629" s="2"/>
      <c r="E629" s="2"/>
      <c r="F629" s="2"/>
      <c r="G629" s="2"/>
      <c r="H629" s="2"/>
      <c r="I629" s="2"/>
      <c r="J629" s="74"/>
      <c r="K629" s="74"/>
      <c r="L629" s="74"/>
      <c r="M629" s="74"/>
      <c r="N629" s="2"/>
      <c r="O629" s="2"/>
      <c r="P629" s="2"/>
      <c r="Q629" s="74"/>
      <c r="R629" s="2"/>
      <c r="S629" s="2"/>
      <c r="T629" s="76"/>
      <c r="U629" s="88"/>
    </row>
    <row r="630" ht="15.75" customHeight="1">
      <c r="A630" s="2"/>
      <c r="B630" s="2"/>
      <c r="C630" s="2"/>
      <c r="D630" s="2"/>
      <c r="E630" s="2"/>
      <c r="F630" s="2"/>
      <c r="G630" s="2"/>
      <c r="H630" s="2"/>
      <c r="I630" s="2"/>
      <c r="J630" s="74"/>
      <c r="K630" s="74"/>
      <c r="L630" s="74"/>
      <c r="M630" s="74"/>
      <c r="N630" s="2"/>
      <c r="O630" s="2"/>
      <c r="P630" s="2"/>
      <c r="Q630" s="74"/>
      <c r="R630" s="2"/>
      <c r="S630" s="2"/>
      <c r="T630" s="76"/>
      <c r="U630" s="88"/>
    </row>
    <row r="631" ht="15.75" customHeight="1">
      <c r="A631" s="2"/>
      <c r="B631" s="2"/>
      <c r="C631" s="2"/>
      <c r="D631" s="2"/>
      <c r="E631" s="2"/>
      <c r="F631" s="2"/>
      <c r="G631" s="2"/>
      <c r="H631" s="2"/>
      <c r="I631" s="2"/>
      <c r="J631" s="74"/>
      <c r="K631" s="74"/>
      <c r="L631" s="74"/>
      <c r="M631" s="74"/>
      <c r="N631" s="2"/>
      <c r="O631" s="2"/>
      <c r="P631" s="2"/>
      <c r="Q631" s="74"/>
      <c r="R631" s="2"/>
      <c r="S631" s="2"/>
      <c r="T631" s="76"/>
      <c r="U631" s="88"/>
    </row>
    <row r="632" ht="15.75" customHeight="1">
      <c r="A632" s="2"/>
      <c r="B632" s="2"/>
      <c r="C632" s="2"/>
      <c r="D632" s="2"/>
      <c r="E632" s="2"/>
      <c r="F632" s="2"/>
      <c r="G632" s="2"/>
      <c r="H632" s="2"/>
      <c r="I632" s="2"/>
      <c r="J632" s="74"/>
      <c r="K632" s="74"/>
      <c r="L632" s="74"/>
      <c r="M632" s="74"/>
      <c r="N632" s="2"/>
      <c r="O632" s="2"/>
      <c r="P632" s="2"/>
      <c r="Q632" s="74"/>
      <c r="R632" s="2"/>
      <c r="S632" s="2"/>
      <c r="T632" s="76"/>
      <c r="U632" s="88"/>
    </row>
    <row r="633" ht="15.75" customHeight="1">
      <c r="A633" s="2"/>
      <c r="B633" s="2"/>
      <c r="C633" s="2"/>
      <c r="D633" s="2"/>
      <c r="E633" s="2"/>
      <c r="F633" s="2"/>
      <c r="G633" s="2"/>
      <c r="H633" s="2"/>
      <c r="I633" s="2"/>
      <c r="J633" s="74"/>
      <c r="K633" s="74"/>
      <c r="L633" s="74"/>
      <c r="M633" s="74"/>
      <c r="N633" s="2"/>
      <c r="O633" s="2"/>
      <c r="P633" s="2"/>
      <c r="Q633" s="74"/>
      <c r="R633" s="2"/>
      <c r="S633" s="2"/>
      <c r="T633" s="76"/>
      <c r="U633" s="88"/>
    </row>
    <row r="634" ht="15.75" customHeight="1">
      <c r="A634" s="2"/>
      <c r="B634" s="2"/>
      <c r="C634" s="2"/>
      <c r="D634" s="2"/>
      <c r="E634" s="2"/>
      <c r="F634" s="2"/>
      <c r="G634" s="2"/>
      <c r="H634" s="2"/>
      <c r="I634" s="2"/>
      <c r="J634" s="74"/>
      <c r="K634" s="74"/>
      <c r="L634" s="74"/>
      <c r="M634" s="74"/>
      <c r="N634" s="2"/>
      <c r="O634" s="2"/>
      <c r="P634" s="2"/>
      <c r="Q634" s="74"/>
      <c r="R634" s="2"/>
      <c r="S634" s="2"/>
      <c r="T634" s="76"/>
      <c r="U634" s="88"/>
    </row>
    <row r="635" ht="15.75" customHeight="1">
      <c r="A635" s="2"/>
      <c r="B635" s="2"/>
      <c r="C635" s="2"/>
      <c r="D635" s="2"/>
      <c r="E635" s="2"/>
      <c r="F635" s="2"/>
      <c r="G635" s="2"/>
      <c r="H635" s="2"/>
      <c r="I635" s="2"/>
      <c r="J635" s="74"/>
      <c r="K635" s="74"/>
      <c r="L635" s="74"/>
      <c r="M635" s="74"/>
      <c r="N635" s="2"/>
      <c r="O635" s="2"/>
      <c r="P635" s="2"/>
      <c r="Q635" s="74"/>
      <c r="R635" s="2"/>
      <c r="S635" s="2"/>
      <c r="T635" s="76"/>
      <c r="U635" s="88"/>
    </row>
    <row r="636" ht="15.75" customHeight="1">
      <c r="A636" s="2"/>
      <c r="B636" s="2"/>
      <c r="C636" s="2"/>
      <c r="D636" s="2"/>
      <c r="E636" s="2"/>
      <c r="F636" s="2"/>
      <c r="G636" s="2"/>
      <c r="H636" s="2"/>
      <c r="I636" s="2"/>
      <c r="J636" s="74"/>
      <c r="K636" s="74"/>
      <c r="L636" s="74"/>
      <c r="M636" s="74"/>
      <c r="N636" s="2"/>
      <c r="O636" s="2"/>
      <c r="P636" s="2"/>
      <c r="Q636" s="74"/>
      <c r="R636" s="2"/>
      <c r="S636" s="2"/>
      <c r="T636" s="76"/>
      <c r="U636" s="88"/>
    </row>
    <row r="637" ht="15.75" customHeight="1">
      <c r="A637" s="2"/>
      <c r="B637" s="2"/>
      <c r="C637" s="2"/>
      <c r="D637" s="2"/>
      <c r="E637" s="2"/>
      <c r="F637" s="2"/>
      <c r="G637" s="2"/>
      <c r="H637" s="2"/>
      <c r="I637" s="2"/>
      <c r="J637" s="74"/>
      <c r="K637" s="74"/>
      <c r="L637" s="74"/>
      <c r="M637" s="74"/>
      <c r="N637" s="2"/>
      <c r="O637" s="2"/>
      <c r="P637" s="2"/>
      <c r="Q637" s="74"/>
      <c r="R637" s="2"/>
      <c r="S637" s="2"/>
      <c r="T637" s="76"/>
      <c r="U637" s="88"/>
    </row>
    <row r="638" ht="15.75" customHeight="1">
      <c r="A638" s="2"/>
      <c r="B638" s="2"/>
      <c r="C638" s="2"/>
      <c r="D638" s="2"/>
      <c r="E638" s="2"/>
      <c r="F638" s="2"/>
      <c r="G638" s="2"/>
      <c r="H638" s="2"/>
      <c r="I638" s="2"/>
      <c r="J638" s="74"/>
      <c r="K638" s="74"/>
      <c r="L638" s="74"/>
      <c r="M638" s="74"/>
      <c r="N638" s="2"/>
      <c r="O638" s="2"/>
      <c r="P638" s="2"/>
      <c r="Q638" s="74"/>
      <c r="R638" s="2"/>
      <c r="S638" s="2"/>
      <c r="T638" s="76"/>
      <c r="U638" s="88"/>
    </row>
    <row r="639" ht="15.75" customHeight="1">
      <c r="A639" s="2"/>
      <c r="B639" s="2"/>
      <c r="C639" s="2"/>
      <c r="D639" s="2"/>
      <c r="E639" s="2"/>
      <c r="F639" s="2"/>
      <c r="G639" s="2"/>
      <c r="H639" s="2"/>
      <c r="I639" s="2"/>
      <c r="J639" s="74"/>
      <c r="K639" s="74"/>
      <c r="L639" s="74"/>
      <c r="M639" s="74"/>
      <c r="N639" s="2"/>
      <c r="O639" s="2"/>
      <c r="P639" s="2"/>
      <c r="Q639" s="74"/>
      <c r="R639" s="2"/>
      <c r="S639" s="2"/>
      <c r="T639" s="76"/>
      <c r="U639" s="88"/>
    </row>
    <row r="640" ht="15.75" customHeight="1">
      <c r="A640" s="2"/>
      <c r="B640" s="2"/>
      <c r="C640" s="2"/>
      <c r="D640" s="2"/>
      <c r="E640" s="2"/>
      <c r="F640" s="2"/>
      <c r="G640" s="2"/>
      <c r="H640" s="2"/>
      <c r="I640" s="2"/>
      <c r="J640" s="74"/>
      <c r="K640" s="74"/>
      <c r="L640" s="74"/>
      <c r="M640" s="74"/>
      <c r="N640" s="2"/>
      <c r="O640" s="2"/>
      <c r="P640" s="2"/>
      <c r="Q640" s="74"/>
      <c r="R640" s="2"/>
      <c r="S640" s="2"/>
      <c r="T640" s="76"/>
      <c r="U640" s="88"/>
    </row>
    <row r="641" ht="15.75" customHeight="1">
      <c r="A641" s="2"/>
      <c r="B641" s="2"/>
      <c r="C641" s="2"/>
      <c r="D641" s="2"/>
      <c r="E641" s="2"/>
      <c r="F641" s="2"/>
      <c r="G641" s="2"/>
      <c r="H641" s="2"/>
      <c r="I641" s="2"/>
      <c r="J641" s="74"/>
      <c r="K641" s="74"/>
      <c r="L641" s="74"/>
      <c r="M641" s="74"/>
      <c r="N641" s="2"/>
      <c r="O641" s="2"/>
      <c r="P641" s="2"/>
      <c r="Q641" s="74"/>
      <c r="R641" s="2"/>
      <c r="S641" s="2"/>
      <c r="T641" s="76"/>
      <c r="U641" s="88"/>
    </row>
    <row r="642" ht="15.75" customHeight="1">
      <c r="A642" s="2"/>
      <c r="B642" s="2"/>
      <c r="C642" s="2"/>
      <c r="D642" s="2"/>
      <c r="E642" s="2"/>
      <c r="F642" s="2"/>
      <c r="G642" s="2"/>
      <c r="H642" s="2"/>
      <c r="I642" s="2"/>
      <c r="J642" s="74"/>
      <c r="K642" s="74"/>
      <c r="L642" s="74"/>
      <c r="M642" s="74"/>
      <c r="N642" s="2"/>
      <c r="O642" s="2"/>
      <c r="P642" s="2"/>
      <c r="Q642" s="74"/>
      <c r="R642" s="2"/>
      <c r="S642" s="2"/>
      <c r="T642" s="76"/>
      <c r="U642" s="88"/>
    </row>
    <row r="643" ht="15.75" customHeight="1">
      <c r="A643" s="2"/>
      <c r="B643" s="2"/>
      <c r="C643" s="2"/>
      <c r="D643" s="2"/>
      <c r="E643" s="2"/>
      <c r="F643" s="2"/>
      <c r="G643" s="2"/>
      <c r="H643" s="2"/>
      <c r="I643" s="2"/>
      <c r="J643" s="74"/>
      <c r="K643" s="74"/>
      <c r="L643" s="74"/>
      <c r="M643" s="74"/>
      <c r="N643" s="2"/>
      <c r="O643" s="2"/>
      <c r="P643" s="2"/>
      <c r="Q643" s="74"/>
      <c r="R643" s="2"/>
      <c r="S643" s="2"/>
      <c r="T643" s="76"/>
      <c r="U643" s="88"/>
    </row>
    <row r="644" ht="15.75" customHeight="1">
      <c r="A644" s="2"/>
      <c r="B644" s="2"/>
      <c r="C644" s="2"/>
      <c r="D644" s="2"/>
      <c r="E644" s="2"/>
      <c r="F644" s="2"/>
      <c r="G644" s="2"/>
      <c r="H644" s="2"/>
      <c r="I644" s="2"/>
      <c r="J644" s="74"/>
      <c r="K644" s="74"/>
      <c r="L644" s="74"/>
      <c r="M644" s="74"/>
      <c r="N644" s="2"/>
      <c r="O644" s="2"/>
      <c r="P644" s="2"/>
      <c r="Q644" s="74"/>
      <c r="R644" s="2"/>
      <c r="S644" s="2"/>
      <c r="T644" s="76"/>
      <c r="U644" s="88"/>
    </row>
    <row r="645" ht="15.75" customHeight="1">
      <c r="A645" s="2"/>
      <c r="B645" s="2"/>
      <c r="C645" s="2"/>
      <c r="D645" s="2"/>
      <c r="E645" s="2"/>
      <c r="F645" s="2"/>
      <c r="G645" s="2"/>
      <c r="H645" s="2"/>
      <c r="I645" s="2"/>
      <c r="J645" s="74"/>
      <c r="K645" s="74"/>
      <c r="L645" s="74"/>
      <c r="M645" s="74"/>
      <c r="N645" s="2"/>
      <c r="O645" s="2"/>
      <c r="P645" s="2"/>
      <c r="Q645" s="74"/>
      <c r="R645" s="2"/>
      <c r="S645" s="2"/>
      <c r="T645" s="76"/>
      <c r="U645" s="88"/>
    </row>
    <row r="646" ht="15.75" customHeight="1">
      <c r="A646" s="2"/>
      <c r="B646" s="2"/>
      <c r="C646" s="2"/>
      <c r="D646" s="2"/>
      <c r="E646" s="2"/>
      <c r="F646" s="2"/>
      <c r="G646" s="2"/>
      <c r="H646" s="2"/>
      <c r="I646" s="2"/>
      <c r="J646" s="74"/>
      <c r="K646" s="74"/>
      <c r="L646" s="74"/>
      <c r="M646" s="74"/>
      <c r="N646" s="2"/>
      <c r="O646" s="2"/>
      <c r="P646" s="2"/>
      <c r="Q646" s="74"/>
      <c r="R646" s="2"/>
      <c r="S646" s="2"/>
      <c r="T646" s="76"/>
      <c r="U646" s="88"/>
    </row>
    <row r="647" ht="15.75" customHeight="1">
      <c r="A647" s="2"/>
      <c r="B647" s="2"/>
      <c r="C647" s="2"/>
      <c r="D647" s="2"/>
      <c r="E647" s="2"/>
      <c r="F647" s="2"/>
      <c r="G647" s="2"/>
      <c r="H647" s="2"/>
      <c r="I647" s="2"/>
      <c r="J647" s="74"/>
      <c r="K647" s="74"/>
      <c r="L647" s="74"/>
      <c r="M647" s="74"/>
      <c r="N647" s="2"/>
      <c r="O647" s="2"/>
      <c r="P647" s="2"/>
      <c r="Q647" s="74"/>
      <c r="R647" s="2"/>
      <c r="S647" s="2"/>
      <c r="T647" s="76"/>
      <c r="U647" s="88"/>
    </row>
    <row r="648" ht="15.75" customHeight="1">
      <c r="A648" s="2"/>
      <c r="B648" s="2"/>
      <c r="C648" s="2"/>
      <c r="D648" s="2"/>
      <c r="E648" s="2"/>
      <c r="F648" s="2"/>
      <c r="G648" s="2"/>
      <c r="H648" s="2"/>
      <c r="I648" s="2"/>
      <c r="J648" s="74"/>
      <c r="K648" s="74"/>
      <c r="L648" s="74"/>
      <c r="M648" s="74"/>
      <c r="N648" s="2"/>
      <c r="O648" s="2"/>
      <c r="P648" s="2"/>
      <c r="Q648" s="74"/>
      <c r="R648" s="2"/>
      <c r="S648" s="2"/>
      <c r="T648" s="76"/>
      <c r="U648" s="88"/>
    </row>
    <row r="649" ht="15.75" customHeight="1">
      <c r="A649" s="2"/>
      <c r="B649" s="2"/>
      <c r="C649" s="2"/>
      <c r="D649" s="2"/>
      <c r="E649" s="2"/>
      <c r="F649" s="2"/>
      <c r="G649" s="2"/>
      <c r="H649" s="2"/>
      <c r="I649" s="2"/>
      <c r="J649" s="74"/>
      <c r="K649" s="74"/>
      <c r="L649" s="74"/>
      <c r="M649" s="74"/>
      <c r="N649" s="2"/>
      <c r="O649" s="2"/>
      <c r="P649" s="2"/>
      <c r="Q649" s="74"/>
      <c r="R649" s="2"/>
      <c r="S649" s="2"/>
      <c r="T649" s="76"/>
      <c r="U649" s="88"/>
    </row>
    <row r="650" ht="15.75" customHeight="1">
      <c r="A650" s="2"/>
      <c r="B650" s="2"/>
      <c r="C650" s="2"/>
      <c r="D650" s="2"/>
      <c r="E650" s="2"/>
      <c r="F650" s="2"/>
      <c r="G650" s="2"/>
      <c r="H650" s="2"/>
      <c r="I650" s="2"/>
      <c r="J650" s="74"/>
      <c r="K650" s="74"/>
      <c r="L650" s="74"/>
      <c r="M650" s="74"/>
      <c r="N650" s="2"/>
      <c r="O650" s="2"/>
      <c r="P650" s="2"/>
      <c r="Q650" s="74"/>
      <c r="R650" s="2"/>
      <c r="S650" s="2"/>
      <c r="T650" s="76"/>
      <c r="U650" s="88"/>
    </row>
    <row r="651" ht="15.75" customHeight="1">
      <c r="A651" s="2"/>
      <c r="B651" s="2"/>
      <c r="C651" s="2"/>
      <c r="D651" s="2"/>
      <c r="E651" s="2"/>
      <c r="F651" s="2"/>
      <c r="G651" s="2"/>
      <c r="H651" s="2"/>
      <c r="I651" s="2"/>
      <c r="J651" s="74"/>
      <c r="K651" s="74"/>
      <c r="L651" s="74"/>
      <c r="M651" s="74"/>
      <c r="N651" s="2"/>
      <c r="O651" s="2"/>
      <c r="P651" s="2"/>
      <c r="Q651" s="74"/>
      <c r="R651" s="2"/>
      <c r="S651" s="2"/>
      <c r="T651" s="76"/>
      <c r="U651" s="88"/>
    </row>
    <row r="652" ht="15.75" customHeight="1">
      <c r="A652" s="2"/>
      <c r="B652" s="2"/>
      <c r="C652" s="2"/>
      <c r="D652" s="2"/>
      <c r="E652" s="2"/>
      <c r="F652" s="2"/>
      <c r="G652" s="2"/>
      <c r="H652" s="2"/>
      <c r="I652" s="2"/>
      <c r="J652" s="74"/>
      <c r="K652" s="74"/>
      <c r="L652" s="74"/>
      <c r="M652" s="74"/>
      <c r="N652" s="2"/>
      <c r="O652" s="2"/>
      <c r="P652" s="2"/>
      <c r="Q652" s="74"/>
      <c r="R652" s="2"/>
      <c r="S652" s="2"/>
      <c r="T652" s="76"/>
      <c r="U652" s="88"/>
    </row>
    <row r="653" ht="15.75" customHeight="1">
      <c r="A653" s="2"/>
      <c r="B653" s="2"/>
      <c r="C653" s="2"/>
      <c r="D653" s="2"/>
      <c r="E653" s="2"/>
      <c r="F653" s="2"/>
      <c r="G653" s="2"/>
      <c r="H653" s="2"/>
      <c r="I653" s="2"/>
      <c r="J653" s="74"/>
      <c r="K653" s="74"/>
      <c r="L653" s="74"/>
      <c r="M653" s="74"/>
      <c r="N653" s="2"/>
      <c r="O653" s="2"/>
      <c r="P653" s="2"/>
      <c r="Q653" s="74"/>
      <c r="R653" s="2"/>
      <c r="S653" s="2"/>
      <c r="T653" s="76"/>
      <c r="U653" s="88"/>
    </row>
    <row r="654" ht="15.75" customHeight="1">
      <c r="A654" s="2"/>
      <c r="B654" s="2"/>
      <c r="C654" s="2"/>
      <c r="D654" s="2"/>
      <c r="E654" s="2"/>
      <c r="F654" s="2"/>
      <c r="G654" s="2"/>
      <c r="H654" s="2"/>
      <c r="I654" s="2"/>
      <c r="J654" s="74"/>
      <c r="K654" s="74"/>
      <c r="L654" s="74"/>
      <c r="M654" s="74"/>
      <c r="N654" s="2"/>
      <c r="O654" s="2"/>
      <c r="P654" s="2"/>
      <c r="Q654" s="74"/>
      <c r="R654" s="2"/>
      <c r="S654" s="2"/>
      <c r="T654" s="76"/>
      <c r="U654" s="88"/>
    </row>
    <row r="655" ht="15.75" customHeight="1">
      <c r="A655" s="2"/>
      <c r="B655" s="2"/>
      <c r="C655" s="2"/>
      <c r="D655" s="2"/>
      <c r="E655" s="2"/>
      <c r="F655" s="2"/>
      <c r="G655" s="2"/>
      <c r="H655" s="2"/>
      <c r="I655" s="2"/>
      <c r="J655" s="74"/>
      <c r="K655" s="74"/>
      <c r="L655" s="74"/>
      <c r="M655" s="74"/>
      <c r="N655" s="2"/>
      <c r="O655" s="2"/>
      <c r="P655" s="2"/>
      <c r="Q655" s="74"/>
      <c r="R655" s="2"/>
      <c r="S655" s="2"/>
      <c r="T655" s="76"/>
      <c r="U655" s="88"/>
    </row>
    <row r="656" ht="15.75" customHeight="1">
      <c r="A656" s="2"/>
      <c r="B656" s="2"/>
      <c r="C656" s="2"/>
      <c r="D656" s="2"/>
      <c r="E656" s="2"/>
      <c r="F656" s="2"/>
      <c r="G656" s="2"/>
      <c r="H656" s="2"/>
      <c r="I656" s="2"/>
      <c r="J656" s="74"/>
      <c r="K656" s="74"/>
      <c r="L656" s="74"/>
      <c r="M656" s="74"/>
      <c r="N656" s="2"/>
      <c r="O656" s="2"/>
      <c r="P656" s="2"/>
      <c r="Q656" s="74"/>
      <c r="R656" s="2"/>
      <c r="S656" s="2"/>
      <c r="T656" s="76"/>
      <c r="U656" s="88"/>
    </row>
    <row r="657" ht="15.75" customHeight="1">
      <c r="A657" s="2"/>
      <c r="B657" s="2"/>
      <c r="C657" s="2"/>
      <c r="D657" s="2"/>
      <c r="E657" s="2"/>
      <c r="F657" s="2"/>
      <c r="G657" s="2"/>
      <c r="H657" s="2"/>
      <c r="I657" s="2"/>
      <c r="J657" s="74"/>
      <c r="K657" s="74"/>
      <c r="L657" s="74"/>
      <c r="M657" s="74"/>
      <c r="N657" s="2"/>
      <c r="O657" s="2"/>
      <c r="P657" s="2"/>
      <c r="Q657" s="74"/>
      <c r="R657" s="2"/>
      <c r="S657" s="2"/>
      <c r="T657" s="76"/>
      <c r="U657" s="88"/>
    </row>
    <row r="658" ht="15.75" customHeight="1">
      <c r="A658" s="2"/>
      <c r="B658" s="2"/>
      <c r="C658" s="2"/>
      <c r="D658" s="2"/>
      <c r="E658" s="2"/>
      <c r="F658" s="2"/>
      <c r="G658" s="2"/>
      <c r="H658" s="2"/>
      <c r="I658" s="2"/>
      <c r="J658" s="74"/>
      <c r="K658" s="74"/>
      <c r="L658" s="74"/>
      <c r="M658" s="74"/>
      <c r="N658" s="2"/>
      <c r="O658" s="2"/>
      <c r="P658" s="2"/>
      <c r="Q658" s="74"/>
      <c r="R658" s="2"/>
      <c r="S658" s="2"/>
      <c r="T658" s="76"/>
      <c r="U658" s="88"/>
    </row>
    <row r="659" ht="15.75" customHeight="1">
      <c r="A659" s="2"/>
      <c r="B659" s="2"/>
      <c r="C659" s="2"/>
      <c r="D659" s="2"/>
      <c r="E659" s="2"/>
      <c r="F659" s="2"/>
      <c r="G659" s="2"/>
      <c r="H659" s="2"/>
      <c r="I659" s="2"/>
      <c r="J659" s="74"/>
      <c r="K659" s="74"/>
      <c r="L659" s="74"/>
      <c r="M659" s="74"/>
      <c r="N659" s="2"/>
      <c r="O659" s="2"/>
      <c r="P659" s="2"/>
      <c r="Q659" s="74"/>
      <c r="R659" s="2"/>
      <c r="S659" s="2"/>
      <c r="T659" s="76"/>
      <c r="U659" s="88"/>
    </row>
    <row r="660" ht="15.75" customHeight="1">
      <c r="A660" s="2"/>
      <c r="B660" s="2"/>
      <c r="C660" s="2"/>
      <c r="D660" s="2"/>
      <c r="E660" s="2"/>
      <c r="F660" s="2"/>
      <c r="G660" s="2"/>
      <c r="H660" s="2"/>
      <c r="I660" s="2"/>
      <c r="J660" s="74"/>
      <c r="K660" s="74"/>
      <c r="L660" s="74"/>
      <c r="M660" s="74"/>
      <c r="N660" s="2"/>
      <c r="O660" s="2"/>
      <c r="P660" s="2"/>
      <c r="Q660" s="74"/>
      <c r="R660" s="2"/>
      <c r="S660" s="2"/>
      <c r="T660" s="76"/>
      <c r="U660" s="88"/>
    </row>
    <row r="661" ht="15.75" customHeight="1">
      <c r="A661" s="2"/>
      <c r="B661" s="2"/>
      <c r="C661" s="2"/>
      <c r="D661" s="2"/>
      <c r="E661" s="2"/>
      <c r="F661" s="2"/>
      <c r="G661" s="2"/>
      <c r="H661" s="2"/>
      <c r="I661" s="2"/>
      <c r="J661" s="74"/>
      <c r="K661" s="74"/>
      <c r="L661" s="74"/>
      <c r="M661" s="74"/>
      <c r="N661" s="2"/>
      <c r="O661" s="2"/>
      <c r="P661" s="2"/>
      <c r="Q661" s="74"/>
      <c r="R661" s="2"/>
      <c r="S661" s="2"/>
      <c r="T661" s="76"/>
      <c r="U661" s="88"/>
    </row>
    <row r="662" ht="15.75" customHeight="1">
      <c r="A662" s="2"/>
      <c r="B662" s="2"/>
      <c r="C662" s="2"/>
      <c r="D662" s="2"/>
      <c r="E662" s="2"/>
      <c r="F662" s="2"/>
      <c r="G662" s="2"/>
      <c r="H662" s="2"/>
      <c r="I662" s="2"/>
      <c r="J662" s="74"/>
      <c r="K662" s="74"/>
      <c r="L662" s="74"/>
      <c r="M662" s="74"/>
      <c r="N662" s="2"/>
      <c r="O662" s="2"/>
      <c r="P662" s="2"/>
      <c r="Q662" s="74"/>
      <c r="R662" s="2"/>
      <c r="S662" s="2"/>
      <c r="T662" s="76"/>
      <c r="U662" s="88"/>
    </row>
    <row r="663" ht="15.75" customHeight="1">
      <c r="A663" s="2"/>
      <c r="B663" s="2"/>
      <c r="C663" s="2"/>
      <c r="D663" s="2"/>
      <c r="E663" s="2"/>
      <c r="F663" s="2"/>
      <c r="G663" s="2"/>
      <c r="H663" s="2"/>
      <c r="I663" s="2"/>
      <c r="J663" s="74"/>
      <c r="K663" s="74"/>
      <c r="L663" s="74"/>
      <c r="M663" s="74"/>
      <c r="N663" s="2"/>
      <c r="O663" s="2"/>
      <c r="P663" s="2"/>
      <c r="Q663" s="74"/>
      <c r="R663" s="2"/>
      <c r="S663" s="2"/>
      <c r="T663" s="76"/>
      <c r="U663" s="88"/>
    </row>
    <row r="664" ht="15.75" customHeight="1">
      <c r="A664" s="2"/>
      <c r="B664" s="2"/>
      <c r="C664" s="2"/>
      <c r="D664" s="2"/>
      <c r="E664" s="2"/>
      <c r="F664" s="2"/>
      <c r="G664" s="2"/>
      <c r="H664" s="2"/>
      <c r="I664" s="2"/>
      <c r="J664" s="74"/>
      <c r="K664" s="74"/>
      <c r="L664" s="74"/>
      <c r="M664" s="74"/>
      <c r="N664" s="2"/>
      <c r="O664" s="2"/>
      <c r="P664" s="2"/>
      <c r="Q664" s="74"/>
      <c r="R664" s="2"/>
      <c r="S664" s="2"/>
      <c r="T664" s="76"/>
      <c r="U664" s="88"/>
    </row>
    <row r="665" ht="15.75" customHeight="1">
      <c r="A665" s="2"/>
      <c r="B665" s="2"/>
      <c r="C665" s="2"/>
      <c r="D665" s="2"/>
      <c r="E665" s="2"/>
      <c r="F665" s="2"/>
      <c r="G665" s="2"/>
      <c r="H665" s="2"/>
      <c r="I665" s="2"/>
      <c r="J665" s="74"/>
      <c r="K665" s="74"/>
      <c r="L665" s="74"/>
      <c r="M665" s="74"/>
      <c r="N665" s="2"/>
      <c r="O665" s="2"/>
      <c r="P665" s="2"/>
      <c r="Q665" s="74"/>
      <c r="R665" s="2"/>
      <c r="S665" s="2"/>
      <c r="T665" s="76"/>
      <c r="U665" s="88"/>
    </row>
    <row r="666" ht="15.75" customHeight="1">
      <c r="A666" s="2"/>
      <c r="B666" s="2"/>
      <c r="C666" s="2"/>
      <c r="D666" s="2"/>
      <c r="E666" s="2"/>
      <c r="F666" s="2"/>
      <c r="G666" s="2"/>
      <c r="H666" s="2"/>
      <c r="I666" s="2"/>
      <c r="J666" s="74"/>
      <c r="K666" s="74"/>
      <c r="L666" s="74"/>
      <c r="M666" s="74"/>
      <c r="N666" s="2"/>
      <c r="O666" s="2"/>
      <c r="P666" s="2"/>
      <c r="Q666" s="74"/>
      <c r="R666" s="2"/>
      <c r="S666" s="2"/>
      <c r="T666" s="76"/>
      <c r="U666" s="88"/>
    </row>
    <row r="667" ht="15.75" customHeight="1">
      <c r="A667" s="2"/>
      <c r="B667" s="2"/>
      <c r="C667" s="2"/>
      <c r="D667" s="2"/>
      <c r="E667" s="2"/>
      <c r="F667" s="2"/>
      <c r="G667" s="2"/>
      <c r="H667" s="2"/>
      <c r="I667" s="2"/>
      <c r="J667" s="74"/>
      <c r="K667" s="74"/>
      <c r="L667" s="74"/>
      <c r="M667" s="74"/>
      <c r="N667" s="2"/>
      <c r="O667" s="2"/>
      <c r="P667" s="2"/>
      <c r="Q667" s="74"/>
      <c r="R667" s="2"/>
      <c r="S667" s="2"/>
      <c r="T667" s="76"/>
      <c r="U667" s="88"/>
    </row>
    <row r="668" ht="15.75" customHeight="1">
      <c r="A668" s="2"/>
      <c r="B668" s="2"/>
      <c r="C668" s="2"/>
      <c r="D668" s="2"/>
      <c r="E668" s="2"/>
      <c r="F668" s="2"/>
      <c r="G668" s="2"/>
      <c r="H668" s="2"/>
      <c r="I668" s="2"/>
      <c r="J668" s="74"/>
      <c r="K668" s="74"/>
      <c r="L668" s="74"/>
      <c r="M668" s="74"/>
      <c r="N668" s="2"/>
      <c r="O668" s="2"/>
      <c r="P668" s="2"/>
      <c r="Q668" s="74"/>
      <c r="R668" s="2"/>
      <c r="S668" s="2"/>
      <c r="T668" s="76"/>
      <c r="U668" s="88"/>
    </row>
    <row r="669" ht="15.75" customHeight="1">
      <c r="A669" s="2"/>
      <c r="B669" s="2"/>
      <c r="C669" s="2"/>
      <c r="D669" s="2"/>
      <c r="E669" s="2"/>
      <c r="F669" s="2"/>
      <c r="G669" s="2"/>
      <c r="H669" s="2"/>
      <c r="I669" s="2"/>
      <c r="J669" s="74"/>
      <c r="K669" s="74"/>
      <c r="L669" s="74"/>
      <c r="M669" s="74"/>
      <c r="N669" s="2"/>
      <c r="O669" s="2"/>
      <c r="P669" s="2"/>
      <c r="Q669" s="74"/>
      <c r="R669" s="2"/>
      <c r="S669" s="2"/>
      <c r="T669" s="76"/>
      <c r="U669" s="88"/>
    </row>
    <row r="670" ht="15.75" customHeight="1">
      <c r="A670" s="2"/>
      <c r="B670" s="2"/>
      <c r="C670" s="2"/>
      <c r="D670" s="2"/>
      <c r="E670" s="2"/>
      <c r="F670" s="2"/>
      <c r="G670" s="2"/>
      <c r="H670" s="2"/>
      <c r="I670" s="2"/>
      <c r="J670" s="74"/>
      <c r="K670" s="74"/>
      <c r="L670" s="74"/>
      <c r="M670" s="74"/>
      <c r="N670" s="2"/>
      <c r="O670" s="2"/>
      <c r="P670" s="2"/>
      <c r="Q670" s="74"/>
      <c r="R670" s="2"/>
      <c r="S670" s="2"/>
      <c r="T670" s="76"/>
      <c r="U670" s="88"/>
    </row>
    <row r="671" ht="15.75" customHeight="1">
      <c r="A671" s="2"/>
      <c r="B671" s="2"/>
      <c r="C671" s="2"/>
      <c r="D671" s="2"/>
      <c r="E671" s="2"/>
      <c r="F671" s="2"/>
      <c r="G671" s="2"/>
      <c r="H671" s="2"/>
      <c r="I671" s="2"/>
      <c r="J671" s="74"/>
      <c r="K671" s="74"/>
      <c r="L671" s="74"/>
      <c r="M671" s="74"/>
      <c r="N671" s="2"/>
      <c r="O671" s="2"/>
      <c r="P671" s="2"/>
      <c r="Q671" s="74"/>
      <c r="R671" s="2"/>
      <c r="S671" s="2"/>
      <c r="T671" s="76"/>
      <c r="U671" s="88"/>
    </row>
    <row r="672" ht="15.75" customHeight="1">
      <c r="A672" s="2"/>
      <c r="B672" s="2"/>
      <c r="C672" s="2"/>
      <c r="D672" s="2"/>
      <c r="E672" s="2"/>
      <c r="F672" s="2"/>
      <c r="G672" s="2"/>
      <c r="H672" s="2"/>
      <c r="I672" s="2"/>
      <c r="J672" s="74"/>
      <c r="K672" s="74"/>
      <c r="L672" s="74"/>
      <c r="M672" s="74"/>
      <c r="N672" s="2"/>
      <c r="O672" s="2"/>
      <c r="P672" s="2"/>
      <c r="Q672" s="74"/>
      <c r="R672" s="2"/>
      <c r="S672" s="2"/>
      <c r="T672" s="76"/>
      <c r="U672" s="88"/>
    </row>
    <row r="673" ht="15.75" customHeight="1">
      <c r="A673" s="2"/>
      <c r="B673" s="2"/>
      <c r="C673" s="2"/>
      <c r="D673" s="2"/>
      <c r="E673" s="2"/>
      <c r="F673" s="2"/>
      <c r="G673" s="2"/>
      <c r="H673" s="2"/>
      <c r="I673" s="2"/>
      <c r="J673" s="74"/>
      <c r="K673" s="74"/>
      <c r="L673" s="74"/>
      <c r="M673" s="74"/>
      <c r="N673" s="2"/>
      <c r="O673" s="2"/>
      <c r="P673" s="2"/>
      <c r="Q673" s="74"/>
      <c r="R673" s="2"/>
      <c r="S673" s="2"/>
      <c r="T673" s="76"/>
      <c r="U673" s="88"/>
    </row>
    <row r="674" ht="15.75" customHeight="1">
      <c r="A674" s="2"/>
      <c r="B674" s="2"/>
      <c r="C674" s="2"/>
      <c r="D674" s="2"/>
      <c r="E674" s="2"/>
      <c r="F674" s="2"/>
      <c r="G674" s="2"/>
      <c r="H674" s="2"/>
      <c r="I674" s="2"/>
      <c r="J674" s="74"/>
      <c r="K674" s="74"/>
      <c r="L674" s="74"/>
      <c r="M674" s="74"/>
      <c r="N674" s="2"/>
      <c r="O674" s="2"/>
      <c r="P674" s="2"/>
      <c r="Q674" s="74"/>
      <c r="R674" s="2"/>
      <c r="S674" s="2"/>
      <c r="T674" s="76"/>
      <c r="U674" s="88"/>
    </row>
    <row r="675" ht="15.75" customHeight="1">
      <c r="A675" s="2"/>
      <c r="B675" s="2"/>
      <c r="C675" s="2"/>
      <c r="D675" s="2"/>
      <c r="E675" s="2"/>
      <c r="F675" s="2"/>
      <c r="G675" s="2"/>
      <c r="H675" s="2"/>
      <c r="I675" s="2"/>
      <c r="J675" s="74"/>
      <c r="K675" s="74"/>
      <c r="L675" s="74"/>
      <c r="M675" s="74"/>
      <c r="N675" s="2"/>
      <c r="O675" s="2"/>
      <c r="P675" s="2"/>
      <c r="Q675" s="74"/>
      <c r="R675" s="2"/>
      <c r="S675" s="2"/>
      <c r="T675" s="76"/>
      <c r="U675" s="88"/>
    </row>
    <row r="676" ht="15.75" customHeight="1">
      <c r="A676" s="2"/>
      <c r="B676" s="2"/>
      <c r="C676" s="2"/>
      <c r="D676" s="2"/>
      <c r="E676" s="2"/>
      <c r="F676" s="2"/>
      <c r="G676" s="2"/>
      <c r="H676" s="2"/>
      <c r="I676" s="2"/>
      <c r="J676" s="74"/>
      <c r="K676" s="74"/>
      <c r="L676" s="74"/>
      <c r="M676" s="74"/>
      <c r="N676" s="2"/>
      <c r="O676" s="2"/>
      <c r="P676" s="2"/>
      <c r="Q676" s="74"/>
      <c r="R676" s="2"/>
      <c r="S676" s="2"/>
      <c r="T676" s="76"/>
      <c r="U676" s="88"/>
    </row>
    <row r="677" ht="15.75" customHeight="1">
      <c r="A677" s="2"/>
      <c r="B677" s="2"/>
      <c r="C677" s="2"/>
      <c r="D677" s="2"/>
      <c r="E677" s="2"/>
      <c r="F677" s="2"/>
      <c r="G677" s="2"/>
      <c r="H677" s="2"/>
      <c r="I677" s="2"/>
      <c r="J677" s="74"/>
      <c r="K677" s="74"/>
      <c r="L677" s="74"/>
      <c r="M677" s="74"/>
      <c r="N677" s="2"/>
      <c r="O677" s="2"/>
      <c r="P677" s="2"/>
      <c r="Q677" s="74"/>
      <c r="R677" s="2"/>
      <c r="S677" s="2"/>
      <c r="T677" s="76"/>
      <c r="U677" s="88"/>
    </row>
    <row r="678" ht="15.75" customHeight="1">
      <c r="A678" s="2"/>
      <c r="B678" s="2"/>
      <c r="C678" s="2"/>
      <c r="D678" s="2"/>
      <c r="E678" s="2"/>
      <c r="F678" s="2"/>
      <c r="G678" s="2"/>
      <c r="H678" s="2"/>
      <c r="I678" s="2"/>
      <c r="J678" s="74"/>
      <c r="K678" s="74"/>
      <c r="L678" s="74"/>
      <c r="M678" s="74"/>
      <c r="N678" s="2"/>
      <c r="O678" s="2"/>
      <c r="P678" s="2"/>
      <c r="Q678" s="74"/>
      <c r="R678" s="2"/>
      <c r="S678" s="2"/>
      <c r="T678" s="76"/>
      <c r="U678" s="88"/>
    </row>
    <row r="679" ht="15.75" customHeight="1">
      <c r="A679" s="2"/>
      <c r="B679" s="2"/>
      <c r="C679" s="2"/>
      <c r="D679" s="2"/>
      <c r="E679" s="2"/>
      <c r="F679" s="2"/>
      <c r="G679" s="2"/>
      <c r="H679" s="2"/>
      <c r="I679" s="2"/>
      <c r="J679" s="74"/>
      <c r="K679" s="74"/>
      <c r="L679" s="74"/>
      <c r="M679" s="74"/>
      <c r="N679" s="2"/>
      <c r="O679" s="2"/>
      <c r="P679" s="2"/>
      <c r="Q679" s="74"/>
      <c r="R679" s="2"/>
      <c r="S679" s="2"/>
      <c r="T679" s="76"/>
      <c r="U679" s="88"/>
    </row>
    <row r="680" ht="15.75" customHeight="1">
      <c r="A680" s="2"/>
      <c r="B680" s="2"/>
      <c r="C680" s="2"/>
      <c r="D680" s="2"/>
      <c r="E680" s="2"/>
      <c r="F680" s="2"/>
      <c r="G680" s="2"/>
      <c r="H680" s="2"/>
      <c r="I680" s="2"/>
      <c r="J680" s="74"/>
      <c r="K680" s="74"/>
      <c r="L680" s="74"/>
      <c r="M680" s="74"/>
      <c r="N680" s="2"/>
      <c r="O680" s="2"/>
      <c r="P680" s="2"/>
      <c r="Q680" s="74"/>
      <c r="R680" s="2"/>
      <c r="S680" s="2"/>
      <c r="T680" s="76"/>
      <c r="U680" s="88"/>
    </row>
    <row r="681" ht="15.75" customHeight="1">
      <c r="A681" s="2"/>
      <c r="B681" s="2"/>
      <c r="C681" s="2"/>
      <c r="D681" s="2"/>
      <c r="E681" s="2"/>
      <c r="F681" s="2"/>
      <c r="G681" s="2"/>
      <c r="H681" s="2"/>
      <c r="I681" s="2"/>
      <c r="J681" s="74"/>
      <c r="K681" s="74"/>
      <c r="L681" s="74"/>
      <c r="M681" s="74"/>
      <c r="N681" s="2"/>
      <c r="O681" s="2"/>
      <c r="P681" s="2"/>
      <c r="Q681" s="74"/>
      <c r="R681" s="2"/>
      <c r="S681" s="2"/>
      <c r="T681" s="76"/>
      <c r="U681" s="88"/>
    </row>
    <row r="682" ht="15.75" customHeight="1">
      <c r="A682" s="2"/>
      <c r="B682" s="2"/>
      <c r="C682" s="2"/>
      <c r="D682" s="2"/>
      <c r="E682" s="2"/>
      <c r="F682" s="2"/>
      <c r="G682" s="2"/>
      <c r="H682" s="2"/>
      <c r="I682" s="2"/>
      <c r="J682" s="74"/>
      <c r="K682" s="74"/>
      <c r="L682" s="74"/>
      <c r="M682" s="74"/>
      <c r="N682" s="2"/>
      <c r="O682" s="2"/>
      <c r="P682" s="2"/>
      <c r="Q682" s="74"/>
      <c r="R682" s="2"/>
      <c r="S682" s="2"/>
      <c r="T682" s="76"/>
      <c r="U682" s="88"/>
    </row>
    <row r="683" ht="15.75" customHeight="1">
      <c r="A683" s="2"/>
      <c r="B683" s="2"/>
      <c r="C683" s="2"/>
      <c r="D683" s="2"/>
      <c r="E683" s="2"/>
      <c r="F683" s="2"/>
      <c r="G683" s="2"/>
      <c r="H683" s="2"/>
      <c r="I683" s="2"/>
      <c r="J683" s="74"/>
      <c r="K683" s="74"/>
      <c r="L683" s="74"/>
      <c r="M683" s="74"/>
      <c r="N683" s="2"/>
      <c r="O683" s="2"/>
      <c r="P683" s="2"/>
      <c r="Q683" s="74"/>
      <c r="R683" s="2"/>
      <c r="S683" s="2"/>
      <c r="T683" s="76"/>
      <c r="U683" s="88"/>
    </row>
    <row r="684" ht="15.75" customHeight="1">
      <c r="A684" s="2"/>
      <c r="B684" s="2"/>
      <c r="C684" s="2"/>
      <c r="D684" s="2"/>
      <c r="E684" s="2"/>
      <c r="F684" s="2"/>
      <c r="G684" s="2"/>
      <c r="H684" s="2"/>
      <c r="I684" s="2"/>
      <c r="J684" s="74"/>
      <c r="K684" s="74"/>
      <c r="L684" s="74"/>
      <c r="M684" s="74"/>
      <c r="N684" s="2"/>
      <c r="O684" s="2"/>
      <c r="P684" s="2"/>
      <c r="Q684" s="74"/>
      <c r="R684" s="2"/>
      <c r="S684" s="2"/>
      <c r="T684" s="76"/>
      <c r="U684" s="88"/>
    </row>
    <row r="685" ht="15.75" customHeight="1">
      <c r="A685" s="2"/>
      <c r="B685" s="2"/>
      <c r="C685" s="2"/>
      <c r="D685" s="2"/>
      <c r="E685" s="2"/>
      <c r="F685" s="2"/>
      <c r="G685" s="2"/>
      <c r="H685" s="2"/>
      <c r="I685" s="2"/>
      <c r="J685" s="74"/>
      <c r="K685" s="74"/>
      <c r="L685" s="74"/>
      <c r="M685" s="74"/>
      <c r="N685" s="2"/>
      <c r="O685" s="2"/>
      <c r="P685" s="2"/>
      <c r="Q685" s="74"/>
      <c r="R685" s="2"/>
      <c r="S685" s="2"/>
      <c r="T685" s="76"/>
      <c r="U685" s="88"/>
    </row>
    <row r="686" ht="15.75" customHeight="1">
      <c r="A686" s="2"/>
      <c r="B686" s="2"/>
      <c r="C686" s="2"/>
      <c r="D686" s="2"/>
      <c r="E686" s="2"/>
      <c r="F686" s="2"/>
      <c r="G686" s="2"/>
      <c r="H686" s="2"/>
      <c r="I686" s="2"/>
      <c r="J686" s="74"/>
      <c r="K686" s="74"/>
      <c r="L686" s="74"/>
      <c r="M686" s="74"/>
      <c r="N686" s="2"/>
      <c r="O686" s="2"/>
      <c r="P686" s="2"/>
      <c r="Q686" s="74"/>
      <c r="R686" s="2"/>
      <c r="S686" s="2"/>
      <c r="T686" s="76"/>
      <c r="U686" s="88"/>
    </row>
    <row r="687" ht="15.75" customHeight="1">
      <c r="A687" s="2"/>
      <c r="B687" s="2"/>
      <c r="C687" s="2"/>
      <c r="D687" s="2"/>
      <c r="E687" s="2"/>
      <c r="F687" s="2"/>
      <c r="G687" s="2"/>
      <c r="H687" s="2"/>
      <c r="I687" s="2"/>
      <c r="J687" s="74"/>
      <c r="K687" s="74"/>
      <c r="L687" s="74"/>
      <c r="M687" s="74"/>
      <c r="N687" s="2"/>
      <c r="O687" s="2"/>
      <c r="P687" s="2"/>
      <c r="Q687" s="74"/>
      <c r="R687" s="2"/>
      <c r="S687" s="2"/>
      <c r="T687" s="76"/>
      <c r="U687" s="88"/>
    </row>
    <row r="688" ht="15.75" customHeight="1">
      <c r="A688" s="2"/>
      <c r="B688" s="2"/>
      <c r="C688" s="2"/>
      <c r="D688" s="2"/>
      <c r="E688" s="2"/>
      <c r="F688" s="2"/>
      <c r="G688" s="2"/>
      <c r="H688" s="2"/>
      <c r="I688" s="2"/>
      <c r="J688" s="74"/>
      <c r="K688" s="74"/>
      <c r="L688" s="74"/>
      <c r="M688" s="74"/>
      <c r="N688" s="2"/>
      <c r="O688" s="2"/>
      <c r="P688" s="2"/>
      <c r="Q688" s="74"/>
      <c r="R688" s="2"/>
      <c r="S688" s="2"/>
      <c r="T688" s="76"/>
      <c r="U688" s="88"/>
    </row>
    <row r="689" ht="15.75" customHeight="1">
      <c r="A689" s="2"/>
      <c r="B689" s="2"/>
      <c r="C689" s="2"/>
      <c r="D689" s="2"/>
      <c r="E689" s="2"/>
      <c r="F689" s="2"/>
      <c r="G689" s="2"/>
      <c r="H689" s="2"/>
      <c r="I689" s="2"/>
      <c r="J689" s="74"/>
      <c r="K689" s="74"/>
      <c r="L689" s="74"/>
      <c r="M689" s="74"/>
      <c r="N689" s="2"/>
      <c r="O689" s="2"/>
      <c r="P689" s="2"/>
      <c r="Q689" s="74"/>
      <c r="R689" s="2"/>
      <c r="S689" s="2"/>
      <c r="T689" s="76"/>
      <c r="U689" s="88"/>
    </row>
    <row r="690" ht="15.75" customHeight="1">
      <c r="A690" s="2"/>
      <c r="B690" s="2"/>
      <c r="C690" s="2"/>
      <c r="D690" s="2"/>
      <c r="E690" s="2"/>
      <c r="F690" s="2"/>
      <c r="G690" s="2"/>
      <c r="H690" s="2"/>
      <c r="I690" s="2"/>
      <c r="J690" s="74"/>
      <c r="K690" s="74"/>
      <c r="L690" s="74"/>
      <c r="M690" s="74"/>
      <c r="N690" s="2"/>
      <c r="O690" s="2"/>
      <c r="P690" s="2"/>
      <c r="Q690" s="74"/>
      <c r="R690" s="2"/>
      <c r="S690" s="2"/>
      <c r="T690" s="76"/>
      <c r="U690" s="88"/>
    </row>
    <row r="691" ht="15.75" customHeight="1">
      <c r="A691" s="2"/>
      <c r="B691" s="2"/>
      <c r="C691" s="2"/>
      <c r="D691" s="2"/>
      <c r="E691" s="2"/>
      <c r="F691" s="2"/>
      <c r="G691" s="2"/>
      <c r="H691" s="2"/>
      <c r="I691" s="2"/>
      <c r="J691" s="74"/>
      <c r="K691" s="74"/>
      <c r="L691" s="74"/>
      <c r="M691" s="74"/>
      <c r="N691" s="2"/>
      <c r="O691" s="2"/>
      <c r="P691" s="2"/>
      <c r="Q691" s="74"/>
      <c r="R691" s="2"/>
      <c r="S691" s="2"/>
      <c r="T691" s="76"/>
      <c r="U691" s="88"/>
    </row>
    <row r="692" ht="15.75" customHeight="1">
      <c r="A692" s="2"/>
      <c r="B692" s="2"/>
      <c r="C692" s="2"/>
      <c r="D692" s="2"/>
      <c r="E692" s="2"/>
      <c r="F692" s="2"/>
      <c r="G692" s="2"/>
      <c r="H692" s="2"/>
      <c r="I692" s="2"/>
      <c r="J692" s="74"/>
      <c r="K692" s="74"/>
      <c r="L692" s="74"/>
      <c r="M692" s="74"/>
      <c r="N692" s="2"/>
      <c r="O692" s="2"/>
      <c r="P692" s="2"/>
      <c r="Q692" s="74"/>
      <c r="R692" s="2"/>
      <c r="S692" s="2"/>
      <c r="T692" s="76"/>
      <c r="U692" s="88"/>
    </row>
    <row r="693" ht="15.75" customHeight="1">
      <c r="A693" s="2"/>
      <c r="B693" s="2"/>
      <c r="C693" s="2"/>
      <c r="D693" s="2"/>
      <c r="E693" s="2"/>
      <c r="F693" s="2"/>
      <c r="G693" s="2"/>
      <c r="H693" s="2"/>
      <c r="I693" s="2"/>
      <c r="J693" s="74"/>
      <c r="K693" s="74"/>
      <c r="L693" s="74"/>
      <c r="M693" s="74"/>
      <c r="N693" s="2"/>
      <c r="O693" s="2"/>
      <c r="P693" s="2"/>
      <c r="Q693" s="74"/>
      <c r="R693" s="2"/>
      <c r="S693" s="2"/>
      <c r="T693" s="76"/>
      <c r="U693" s="88"/>
    </row>
    <row r="694" ht="15.75" customHeight="1">
      <c r="A694" s="2"/>
      <c r="B694" s="2"/>
      <c r="C694" s="2"/>
      <c r="D694" s="2"/>
      <c r="E694" s="2"/>
      <c r="F694" s="2"/>
      <c r="G694" s="2"/>
      <c r="H694" s="2"/>
      <c r="I694" s="2"/>
      <c r="J694" s="74"/>
      <c r="K694" s="74"/>
      <c r="L694" s="74"/>
      <c r="M694" s="74"/>
      <c r="N694" s="2"/>
      <c r="O694" s="2"/>
      <c r="P694" s="2"/>
      <c r="Q694" s="74"/>
      <c r="R694" s="2"/>
      <c r="S694" s="2"/>
      <c r="T694" s="76"/>
      <c r="U694" s="88"/>
    </row>
    <row r="695" ht="15.75" customHeight="1">
      <c r="A695" s="2"/>
      <c r="B695" s="2"/>
      <c r="C695" s="2"/>
      <c r="D695" s="2"/>
      <c r="E695" s="2"/>
      <c r="F695" s="2"/>
      <c r="G695" s="2"/>
      <c r="H695" s="2"/>
      <c r="I695" s="2"/>
      <c r="J695" s="74"/>
      <c r="K695" s="74"/>
      <c r="L695" s="74"/>
      <c r="M695" s="74"/>
      <c r="N695" s="2"/>
      <c r="O695" s="2"/>
      <c r="P695" s="2"/>
      <c r="Q695" s="74"/>
      <c r="R695" s="2"/>
      <c r="S695" s="2"/>
      <c r="T695" s="76"/>
      <c r="U695" s="88"/>
    </row>
    <row r="696" ht="15.75" customHeight="1">
      <c r="A696" s="2"/>
      <c r="B696" s="2"/>
      <c r="C696" s="2"/>
      <c r="D696" s="2"/>
      <c r="E696" s="2"/>
      <c r="F696" s="2"/>
      <c r="G696" s="2"/>
      <c r="H696" s="2"/>
      <c r="I696" s="2"/>
      <c r="J696" s="74"/>
      <c r="K696" s="74"/>
      <c r="L696" s="74"/>
      <c r="M696" s="74"/>
      <c r="N696" s="2"/>
      <c r="O696" s="2"/>
      <c r="P696" s="2"/>
      <c r="Q696" s="74"/>
      <c r="R696" s="2"/>
      <c r="S696" s="2"/>
      <c r="T696" s="76"/>
      <c r="U696" s="88"/>
    </row>
    <row r="697" ht="15.75" customHeight="1">
      <c r="A697" s="2"/>
      <c r="B697" s="2"/>
      <c r="C697" s="2"/>
      <c r="D697" s="2"/>
      <c r="E697" s="2"/>
      <c r="F697" s="2"/>
      <c r="G697" s="2"/>
      <c r="H697" s="2"/>
      <c r="I697" s="2"/>
      <c r="J697" s="74"/>
      <c r="K697" s="74"/>
      <c r="L697" s="74"/>
      <c r="M697" s="74"/>
      <c r="N697" s="2"/>
      <c r="O697" s="2"/>
      <c r="P697" s="2"/>
      <c r="Q697" s="74"/>
      <c r="R697" s="2"/>
      <c r="S697" s="2"/>
      <c r="T697" s="76"/>
      <c r="U697" s="88"/>
    </row>
    <row r="698" ht="15.75" customHeight="1">
      <c r="A698" s="2"/>
      <c r="B698" s="2"/>
      <c r="C698" s="2"/>
      <c r="D698" s="2"/>
      <c r="E698" s="2"/>
      <c r="F698" s="2"/>
      <c r="G698" s="2"/>
      <c r="H698" s="2"/>
      <c r="I698" s="2"/>
      <c r="J698" s="74"/>
      <c r="K698" s="74"/>
      <c r="L698" s="74"/>
      <c r="M698" s="74"/>
      <c r="N698" s="2"/>
      <c r="O698" s="2"/>
      <c r="P698" s="2"/>
      <c r="Q698" s="74"/>
      <c r="R698" s="2"/>
      <c r="S698" s="2"/>
      <c r="T698" s="76"/>
      <c r="U698" s="88"/>
    </row>
    <row r="699" ht="15.75" customHeight="1">
      <c r="A699" s="2"/>
      <c r="B699" s="2"/>
      <c r="C699" s="2"/>
      <c r="D699" s="2"/>
      <c r="E699" s="2"/>
      <c r="F699" s="2"/>
      <c r="G699" s="2"/>
      <c r="H699" s="2"/>
      <c r="I699" s="2"/>
      <c r="J699" s="74"/>
      <c r="K699" s="74"/>
      <c r="L699" s="74"/>
      <c r="M699" s="74"/>
      <c r="N699" s="2"/>
      <c r="O699" s="2"/>
      <c r="P699" s="2"/>
      <c r="Q699" s="74"/>
      <c r="R699" s="2"/>
      <c r="S699" s="2"/>
      <c r="T699" s="76"/>
      <c r="U699" s="88"/>
    </row>
    <row r="700" ht="15.75" customHeight="1">
      <c r="A700" s="2"/>
      <c r="B700" s="2"/>
      <c r="C700" s="2"/>
      <c r="D700" s="2"/>
      <c r="E700" s="2"/>
      <c r="F700" s="2"/>
      <c r="G700" s="2"/>
      <c r="H700" s="2"/>
      <c r="I700" s="2"/>
      <c r="J700" s="74"/>
      <c r="K700" s="74"/>
      <c r="L700" s="74"/>
      <c r="M700" s="74"/>
      <c r="N700" s="2"/>
      <c r="O700" s="2"/>
      <c r="P700" s="2"/>
      <c r="Q700" s="74"/>
      <c r="R700" s="2"/>
      <c r="S700" s="2"/>
      <c r="T700" s="76"/>
      <c r="U700" s="88"/>
    </row>
    <row r="701" ht="15.75" customHeight="1">
      <c r="A701" s="2"/>
      <c r="B701" s="2"/>
      <c r="C701" s="2"/>
      <c r="D701" s="2"/>
      <c r="E701" s="2"/>
      <c r="F701" s="2"/>
      <c r="G701" s="2"/>
      <c r="H701" s="2"/>
      <c r="I701" s="2"/>
      <c r="J701" s="74"/>
      <c r="K701" s="74"/>
      <c r="L701" s="74"/>
      <c r="M701" s="74"/>
      <c r="N701" s="2"/>
      <c r="O701" s="2"/>
      <c r="P701" s="2"/>
      <c r="Q701" s="74"/>
      <c r="R701" s="2"/>
      <c r="S701" s="2"/>
      <c r="T701" s="76"/>
      <c r="U701" s="88"/>
    </row>
    <row r="702" ht="15.75" customHeight="1">
      <c r="A702" s="2"/>
      <c r="B702" s="2"/>
      <c r="C702" s="2"/>
      <c r="D702" s="2"/>
      <c r="E702" s="2"/>
      <c r="F702" s="2"/>
      <c r="G702" s="2"/>
      <c r="H702" s="2"/>
      <c r="I702" s="2"/>
      <c r="J702" s="74"/>
      <c r="K702" s="74"/>
      <c r="L702" s="74"/>
      <c r="M702" s="74"/>
      <c r="N702" s="2"/>
      <c r="O702" s="2"/>
      <c r="P702" s="2"/>
      <c r="Q702" s="74"/>
      <c r="R702" s="2"/>
      <c r="S702" s="2"/>
      <c r="T702" s="76"/>
      <c r="U702" s="88"/>
    </row>
    <row r="703" ht="15.75" customHeight="1">
      <c r="A703" s="2"/>
      <c r="B703" s="2"/>
      <c r="C703" s="2"/>
      <c r="D703" s="2"/>
      <c r="E703" s="2"/>
      <c r="F703" s="2"/>
      <c r="G703" s="2"/>
      <c r="H703" s="2"/>
      <c r="I703" s="2"/>
      <c r="J703" s="74"/>
      <c r="K703" s="74"/>
      <c r="L703" s="74"/>
      <c r="M703" s="74"/>
      <c r="N703" s="2"/>
      <c r="O703" s="2"/>
      <c r="P703" s="2"/>
      <c r="Q703" s="74"/>
      <c r="R703" s="2"/>
      <c r="S703" s="2"/>
      <c r="T703" s="76"/>
      <c r="U703" s="88"/>
    </row>
    <row r="704" ht="15.75" customHeight="1">
      <c r="A704" s="2"/>
      <c r="B704" s="2"/>
      <c r="C704" s="2"/>
      <c r="D704" s="2"/>
      <c r="E704" s="2"/>
      <c r="F704" s="2"/>
      <c r="G704" s="2"/>
      <c r="H704" s="2"/>
      <c r="I704" s="2"/>
      <c r="J704" s="74"/>
      <c r="K704" s="74"/>
      <c r="L704" s="74"/>
      <c r="M704" s="74"/>
      <c r="N704" s="2"/>
      <c r="O704" s="2"/>
      <c r="P704" s="2"/>
      <c r="Q704" s="74"/>
      <c r="R704" s="2"/>
      <c r="S704" s="2"/>
      <c r="T704" s="76"/>
      <c r="U704" s="88"/>
    </row>
    <row r="705" ht="15.75" customHeight="1">
      <c r="A705" s="2"/>
      <c r="B705" s="2"/>
      <c r="C705" s="2"/>
      <c r="D705" s="2"/>
      <c r="E705" s="2"/>
      <c r="F705" s="2"/>
      <c r="G705" s="2"/>
      <c r="H705" s="2"/>
      <c r="I705" s="2"/>
      <c r="J705" s="74"/>
      <c r="K705" s="74"/>
      <c r="L705" s="74"/>
      <c r="M705" s="74"/>
      <c r="N705" s="2"/>
      <c r="O705" s="2"/>
      <c r="P705" s="2"/>
      <c r="Q705" s="74"/>
      <c r="R705" s="2"/>
      <c r="S705" s="2"/>
      <c r="T705" s="76"/>
      <c r="U705" s="88"/>
    </row>
    <row r="706" ht="15.75" customHeight="1">
      <c r="A706" s="2"/>
      <c r="B706" s="2"/>
      <c r="C706" s="2"/>
      <c r="D706" s="2"/>
      <c r="E706" s="2"/>
      <c r="F706" s="2"/>
      <c r="G706" s="2"/>
      <c r="H706" s="2"/>
      <c r="I706" s="2"/>
      <c r="J706" s="74"/>
      <c r="K706" s="74"/>
      <c r="L706" s="74"/>
      <c r="M706" s="74"/>
      <c r="N706" s="2"/>
      <c r="O706" s="2"/>
      <c r="P706" s="2"/>
      <c r="Q706" s="74"/>
      <c r="R706" s="2"/>
      <c r="S706" s="2"/>
      <c r="T706" s="76"/>
      <c r="U706" s="88"/>
    </row>
    <row r="707" ht="15.75" customHeight="1">
      <c r="A707" s="2"/>
      <c r="B707" s="2"/>
      <c r="C707" s="2"/>
      <c r="D707" s="2"/>
      <c r="E707" s="2"/>
      <c r="F707" s="2"/>
      <c r="G707" s="2"/>
      <c r="H707" s="2"/>
      <c r="I707" s="2"/>
      <c r="J707" s="74"/>
      <c r="K707" s="74"/>
      <c r="L707" s="74"/>
      <c r="M707" s="74"/>
      <c r="N707" s="2"/>
      <c r="O707" s="2"/>
      <c r="P707" s="2"/>
      <c r="Q707" s="74"/>
      <c r="R707" s="2"/>
      <c r="S707" s="2"/>
      <c r="T707" s="76"/>
      <c r="U707" s="88"/>
    </row>
    <row r="708" ht="15.75" customHeight="1">
      <c r="A708" s="2"/>
      <c r="B708" s="2"/>
      <c r="C708" s="2"/>
      <c r="D708" s="2"/>
      <c r="E708" s="2"/>
      <c r="F708" s="2"/>
      <c r="G708" s="2"/>
      <c r="H708" s="2"/>
      <c r="I708" s="2"/>
      <c r="J708" s="74"/>
      <c r="K708" s="74"/>
      <c r="L708" s="74"/>
      <c r="M708" s="74"/>
      <c r="N708" s="2"/>
      <c r="O708" s="2"/>
      <c r="P708" s="2"/>
      <c r="Q708" s="74"/>
      <c r="R708" s="2"/>
      <c r="S708" s="2"/>
      <c r="T708" s="76"/>
      <c r="U708" s="88"/>
    </row>
    <row r="709" ht="15.75" customHeight="1">
      <c r="A709" s="2"/>
      <c r="B709" s="2"/>
      <c r="C709" s="2"/>
      <c r="D709" s="2"/>
      <c r="E709" s="2"/>
      <c r="F709" s="2"/>
      <c r="G709" s="2"/>
      <c r="H709" s="2"/>
      <c r="I709" s="2"/>
      <c r="J709" s="74"/>
      <c r="K709" s="74"/>
      <c r="L709" s="74"/>
      <c r="M709" s="74"/>
      <c r="N709" s="2"/>
      <c r="O709" s="2"/>
      <c r="P709" s="2"/>
      <c r="Q709" s="74"/>
      <c r="R709" s="2"/>
      <c r="S709" s="2"/>
      <c r="T709" s="76"/>
      <c r="U709" s="88"/>
    </row>
    <row r="710" ht="15.75" customHeight="1">
      <c r="A710" s="2"/>
      <c r="B710" s="2"/>
      <c r="C710" s="2"/>
      <c r="D710" s="2"/>
      <c r="E710" s="2"/>
      <c r="F710" s="2"/>
      <c r="G710" s="2"/>
      <c r="H710" s="2"/>
      <c r="I710" s="2"/>
      <c r="J710" s="74"/>
      <c r="K710" s="74"/>
      <c r="L710" s="74"/>
      <c r="M710" s="74"/>
      <c r="N710" s="2"/>
      <c r="O710" s="2"/>
      <c r="P710" s="2"/>
      <c r="Q710" s="74"/>
      <c r="R710" s="2"/>
      <c r="S710" s="2"/>
      <c r="T710" s="76"/>
      <c r="U710" s="88"/>
    </row>
    <row r="711" ht="15.75" customHeight="1">
      <c r="A711" s="2"/>
      <c r="B711" s="2"/>
      <c r="C711" s="2"/>
      <c r="D711" s="2"/>
      <c r="E711" s="2"/>
      <c r="F711" s="2"/>
      <c r="G711" s="2"/>
      <c r="H711" s="2"/>
      <c r="I711" s="2"/>
      <c r="J711" s="74"/>
      <c r="K711" s="74"/>
      <c r="L711" s="74"/>
      <c r="M711" s="74"/>
      <c r="N711" s="2"/>
      <c r="O711" s="2"/>
      <c r="P711" s="2"/>
      <c r="Q711" s="74"/>
      <c r="R711" s="2"/>
      <c r="S711" s="2"/>
      <c r="T711" s="76"/>
      <c r="U711" s="88"/>
    </row>
    <row r="712" ht="15.75" customHeight="1">
      <c r="A712" s="2"/>
      <c r="B712" s="2"/>
      <c r="C712" s="2"/>
      <c r="D712" s="2"/>
      <c r="E712" s="2"/>
      <c r="F712" s="2"/>
      <c r="G712" s="2"/>
      <c r="H712" s="2"/>
      <c r="I712" s="2"/>
      <c r="J712" s="74"/>
      <c r="K712" s="74"/>
      <c r="L712" s="74"/>
      <c r="M712" s="74"/>
      <c r="N712" s="2"/>
      <c r="O712" s="2"/>
      <c r="P712" s="2"/>
      <c r="Q712" s="74"/>
      <c r="R712" s="2"/>
      <c r="S712" s="2"/>
      <c r="T712" s="76"/>
      <c r="U712" s="88"/>
    </row>
    <row r="713" ht="15.75" customHeight="1">
      <c r="A713" s="2"/>
      <c r="B713" s="2"/>
      <c r="C713" s="2"/>
      <c r="D713" s="2"/>
      <c r="E713" s="2"/>
      <c r="F713" s="2"/>
      <c r="G713" s="2"/>
      <c r="H713" s="2"/>
      <c r="I713" s="2"/>
      <c r="J713" s="74"/>
      <c r="K713" s="74"/>
      <c r="L713" s="74"/>
      <c r="M713" s="74"/>
      <c r="N713" s="2"/>
      <c r="O713" s="2"/>
      <c r="P713" s="2"/>
      <c r="Q713" s="74"/>
      <c r="R713" s="2"/>
      <c r="S713" s="2"/>
      <c r="T713" s="76"/>
      <c r="U713" s="88"/>
    </row>
    <row r="714" ht="15.75" customHeight="1">
      <c r="A714" s="2"/>
      <c r="B714" s="2"/>
      <c r="C714" s="2"/>
      <c r="D714" s="2"/>
      <c r="E714" s="2"/>
      <c r="F714" s="2"/>
      <c r="G714" s="2"/>
      <c r="H714" s="2"/>
      <c r="I714" s="2"/>
      <c r="J714" s="74"/>
      <c r="K714" s="74"/>
      <c r="L714" s="74"/>
      <c r="M714" s="74"/>
      <c r="N714" s="2"/>
      <c r="O714" s="2"/>
      <c r="P714" s="2"/>
      <c r="Q714" s="74"/>
      <c r="R714" s="2"/>
      <c r="S714" s="2"/>
      <c r="T714" s="76"/>
      <c r="U714" s="88"/>
    </row>
    <row r="715" ht="15.75" customHeight="1">
      <c r="A715" s="2"/>
      <c r="B715" s="2"/>
      <c r="C715" s="2"/>
      <c r="D715" s="2"/>
      <c r="E715" s="2"/>
      <c r="F715" s="2"/>
      <c r="G715" s="2"/>
      <c r="H715" s="2"/>
      <c r="I715" s="2"/>
      <c r="J715" s="74"/>
      <c r="K715" s="74"/>
      <c r="L715" s="74"/>
      <c r="M715" s="74"/>
      <c r="N715" s="2"/>
      <c r="O715" s="2"/>
      <c r="P715" s="2"/>
      <c r="Q715" s="74"/>
      <c r="R715" s="2"/>
      <c r="S715" s="2"/>
      <c r="T715" s="76"/>
      <c r="U715" s="88"/>
    </row>
    <row r="716" ht="15.75" customHeight="1">
      <c r="A716" s="2"/>
      <c r="B716" s="2"/>
      <c r="C716" s="2"/>
      <c r="D716" s="2"/>
      <c r="E716" s="2"/>
      <c r="F716" s="2"/>
      <c r="G716" s="2"/>
      <c r="H716" s="2"/>
      <c r="I716" s="2"/>
      <c r="J716" s="74"/>
      <c r="K716" s="74"/>
      <c r="L716" s="74"/>
      <c r="M716" s="74"/>
      <c r="N716" s="2"/>
      <c r="O716" s="2"/>
      <c r="P716" s="2"/>
      <c r="Q716" s="74"/>
      <c r="R716" s="2"/>
      <c r="S716" s="2"/>
      <c r="T716" s="76"/>
      <c r="U716" s="88"/>
    </row>
    <row r="717" ht="15.75" customHeight="1">
      <c r="A717" s="2"/>
      <c r="B717" s="2"/>
      <c r="C717" s="2"/>
      <c r="D717" s="2"/>
      <c r="E717" s="2"/>
      <c r="F717" s="2"/>
      <c r="G717" s="2"/>
      <c r="H717" s="2"/>
      <c r="I717" s="2"/>
      <c r="J717" s="74"/>
      <c r="K717" s="74"/>
      <c r="L717" s="74"/>
      <c r="M717" s="74"/>
      <c r="N717" s="2"/>
      <c r="O717" s="2"/>
      <c r="P717" s="2"/>
      <c r="Q717" s="74"/>
      <c r="R717" s="2"/>
      <c r="S717" s="2"/>
      <c r="T717" s="76"/>
      <c r="U717" s="88"/>
    </row>
    <row r="718" ht="15.75" customHeight="1">
      <c r="A718" s="2"/>
      <c r="B718" s="2"/>
      <c r="C718" s="2"/>
      <c r="D718" s="2"/>
      <c r="E718" s="2"/>
      <c r="F718" s="2"/>
      <c r="G718" s="2"/>
      <c r="H718" s="2"/>
      <c r="I718" s="2"/>
      <c r="J718" s="74"/>
      <c r="K718" s="74"/>
      <c r="L718" s="74"/>
      <c r="M718" s="74"/>
      <c r="N718" s="2"/>
      <c r="O718" s="2"/>
      <c r="P718" s="2"/>
      <c r="Q718" s="74"/>
      <c r="R718" s="2"/>
      <c r="S718" s="2"/>
      <c r="T718" s="76"/>
      <c r="U718" s="88"/>
    </row>
    <row r="719" ht="15.75" customHeight="1">
      <c r="A719" s="2"/>
      <c r="B719" s="2"/>
      <c r="C719" s="2"/>
      <c r="D719" s="2"/>
      <c r="E719" s="2"/>
      <c r="F719" s="2"/>
      <c r="G719" s="2"/>
      <c r="H719" s="2"/>
      <c r="I719" s="2"/>
      <c r="J719" s="74"/>
      <c r="K719" s="74"/>
      <c r="L719" s="74"/>
      <c r="M719" s="74"/>
      <c r="N719" s="2"/>
      <c r="O719" s="2"/>
      <c r="P719" s="2"/>
      <c r="Q719" s="74"/>
      <c r="R719" s="2"/>
      <c r="S719" s="2"/>
      <c r="T719" s="76"/>
      <c r="U719" s="88"/>
    </row>
    <row r="720" ht="15.75" customHeight="1">
      <c r="A720" s="2"/>
      <c r="B720" s="2"/>
      <c r="C720" s="2"/>
      <c r="D720" s="2"/>
      <c r="E720" s="2"/>
      <c r="F720" s="2"/>
      <c r="G720" s="2"/>
      <c r="H720" s="2"/>
      <c r="I720" s="2"/>
      <c r="J720" s="74"/>
      <c r="K720" s="74"/>
      <c r="L720" s="74"/>
      <c r="M720" s="74"/>
      <c r="N720" s="2"/>
      <c r="O720" s="2"/>
      <c r="P720" s="2"/>
      <c r="Q720" s="74"/>
      <c r="R720" s="2"/>
      <c r="S720" s="2"/>
      <c r="T720" s="76"/>
      <c r="U720" s="88"/>
    </row>
    <row r="721" ht="15.75" customHeight="1">
      <c r="A721" s="2"/>
      <c r="B721" s="2"/>
      <c r="C721" s="2"/>
      <c r="D721" s="2"/>
      <c r="E721" s="2"/>
      <c r="F721" s="2"/>
      <c r="G721" s="2"/>
      <c r="H721" s="2"/>
      <c r="I721" s="2"/>
      <c r="J721" s="74"/>
      <c r="K721" s="74"/>
      <c r="L721" s="74"/>
      <c r="M721" s="74"/>
      <c r="N721" s="2"/>
      <c r="O721" s="2"/>
      <c r="P721" s="2"/>
      <c r="Q721" s="74"/>
      <c r="R721" s="2"/>
      <c r="S721" s="2"/>
      <c r="T721" s="76"/>
      <c r="U721" s="88"/>
    </row>
    <row r="722" ht="15.75" customHeight="1">
      <c r="A722" s="2"/>
      <c r="B722" s="2"/>
      <c r="C722" s="2"/>
      <c r="D722" s="2"/>
      <c r="E722" s="2"/>
      <c r="F722" s="2"/>
      <c r="G722" s="2"/>
      <c r="H722" s="2"/>
      <c r="I722" s="2"/>
      <c r="J722" s="74"/>
      <c r="K722" s="74"/>
      <c r="L722" s="74"/>
      <c r="M722" s="74"/>
      <c r="N722" s="2"/>
      <c r="O722" s="2"/>
      <c r="P722" s="2"/>
      <c r="Q722" s="74"/>
      <c r="R722" s="2"/>
      <c r="S722" s="2"/>
      <c r="T722" s="76"/>
      <c r="U722" s="88"/>
    </row>
    <row r="723" ht="15.75" customHeight="1">
      <c r="A723" s="2"/>
      <c r="B723" s="2"/>
      <c r="C723" s="2"/>
      <c r="D723" s="2"/>
      <c r="E723" s="2"/>
      <c r="F723" s="2"/>
      <c r="G723" s="2"/>
      <c r="H723" s="2"/>
      <c r="I723" s="2"/>
      <c r="J723" s="74"/>
      <c r="K723" s="74"/>
      <c r="L723" s="74"/>
      <c r="M723" s="74"/>
      <c r="N723" s="2"/>
      <c r="O723" s="2"/>
      <c r="P723" s="2"/>
      <c r="Q723" s="74"/>
      <c r="R723" s="2"/>
      <c r="S723" s="2"/>
      <c r="T723" s="76"/>
      <c r="U723" s="88"/>
    </row>
    <row r="724" ht="15.75" customHeight="1">
      <c r="A724" s="2"/>
      <c r="B724" s="2"/>
      <c r="C724" s="2"/>
      <c r="D724" s="2"/>
      <c r="E724" s="2"/>
      <c r="F724" s="2"/>
      <c r="G724" s="2"/>
      <c r="H724" s="2"/>
      <c r="I724" s="2"/>
      <c r="J724" s="74"/>
      <c r="K724" s="74"/>
      <c r="L724" s="74"/>
      <c r="M724" s="74"/>
      <c r="N724" s="2"/>
      <c r="O724" s="2"/>
      <c r="P724" s="2"/>
      <c r="Q724" s="74"/>
      <c r="R724" s="2"/>
      <c r="S724" s="2"/>
      <c r="T724" s="76"/>
      <c r="U724" s="88"/>
    </row>
    <row r="725" ht="15.75" customHeight="1">
      <c r="A725" s="2"/>
      <c r="B725" s="2"/>
      <c r="C725" s="2"/>
      <c r="D725" s="2"/>
      <c r="E725" s="2"/>
      <c r="F725" s="2"/>
      <c r="G725" s="2"/>
      <c r="H725" s="2"/>
      <c r="I725" s="2"/>
      <c r="J725" s="74"/>
      <c r="K725" s="74"/>
      <c r="L725" s="74"/>
      <c r="M725" s="74"/>
      <c r="N725" s="2"/>
      <c r="O725" s="2"/>
      <c r="P725" s="2"/>
      <c r="Q725" s="74"/>
      <c r="R725" s="2"/>
      <c r="S725" s="2"/>
      <c r="T725" s="76"/>
      <c r="U725" s="88"/>
    </row>
    <row r="726" ht="15.75" customHeight="1">
      <c r="A726" s="2"/>
      <c r="B726" s="2"/>
      <c r="C726" s="2"/>
      <c r="D726" s="2"/>
      <c r="E726" s="2"/>
      <c r="F726" s="2"/>
      <c r="G726" s="2"/>
      <c r="H726" s="2"/>
      <c r="I726" s="2"/>
      <c r="J726" s="74"/>
      <c r="K726" s="74"/>
      <c r="L726" s="74"/>
      <c r="M726" s="74"/>
      <c r="N726" s="2"/>
      <c r="O726" s="2"/>
      <c r="P726" s="2"/>
      <c r="Q726" s="74"/>
      <c r="R726" s="2"/>
      <c r="S726" s="2"/>
      <c r="T726" s="76"/>
      <c r="U726" s="88"/>
    </row>
    <row r="727" ht="15.75" customHeight="1">
      <c r="A727" s="2"/>
      <c r="B727" s="2"/>
      <c r="C727" s="2"/>
      <c r="D727" s="2"/>
      <c r="E727" s="2"/>
      <c r="F727" s="2"/>
      <c r="G727" s="2"/>
      <c r="H727" s="2"/>
      <c r="I727" s="2"/>
      <c r="J727" s="74"/>
      <c r="K727" s="74"/>
      <c r="L727" s="74"/>
      <c r="M727" s="74"/>
      <c r="N727" s="2"/>
      <c r="O727" s="2"/>
      <c r="P727" s="2"/>
      <c r="Q727" s="74"/>
      <c r="R727" s="2"/>
      <c r="S727" s="2"/>
      <c r="T727" s="76"/>
      <c r="U727" s="88"/>
    </row>
    <row r="728" ht="15.75" customHeight="1">
      <c r="A728" s="2"/>
      <c r="B728" s="2"/>
      <c r="C728" s="2"/>
      <c r="D728" s="2"/>
      <c r="E728" s="2"/>
      <c r="F728" s="2"/>
      <c r="G728" s="2"/>
      <c r="H728" s="2"/>
      <c r="I728" s="2"/>
      <c r="J728" s="74"/>
      <c r="K728" s="74"/>
      <c r="L728" s="74"/>
      <c r="M728" s="74"/>
      <c r="N728" s="2"/>
      <c r="O728" s="2"/>
      <c r="P728" s="2"/>
      <c r="Q728" s="74"/>
      <c r="R728" s="2"/>
      <c r="S728" s="2"/>
      <c r="T728" s="76"/>
      <c r="U728" s="88"/>
    </row>
    <row r="729" ht="15.75" customHeight="1">
      <c r="A729" s="2"/>
      <c r="B729" s="2"/>
      <c r="C729" s="2"/>
      <c r="D729" s="2"/>
      <c r="E729" s="2"/>
      <c r="F729" s="2"/>
      <c r="G729" s="2"/>
      <c r="H729" s="2"/>
      <c r="I729" s="2"/>
      <c r="J729" s="74"/>
      <c r="K729" s="74"/>
      <c r="L729" s="74"/>
      <c r="M729" s="74"/>
      <c r="N729" s="2"/>
      <c r="O729" s="2"/>
      <c r="P729" s="2"/>
      <c r="Q729" s="74"/>
      <c r="R729" s="2"/>
      <c r="S729" s="2"/>
      <c r="T729" s="76"/>
      <c r="U729" s="88"/>
    </row>
    <row r="730" ht="15.75" customHeight="1">
      <c r="A730" s="2"/>
      <c r="B730" s="2"/>
      <c r="C730" s="2"/>
      <c r="D730" s="2"/>
      <c r="E730" s="2"/>
      <c r="F730" s="2"/>
      <c r="G730" s="2"/>
      <c r="H730" s="2"/>
      <c r="I730" s="2"/>
      <c r="J730" s="74"/>
      <c r="K730" s="74"/>
      <c r="L730" s="74"/>
      <c r="M730" s="74"/>
      <c r="N730" s="2"/>
      <c r="O730" s="2"/>
      <c r="P730" s="2"/>
      <c r="Q730" s="74"/>
      <c r="R730" s="2"/>
      <c r="S730" s="2"/>
      <c r="T730" s="76"/>
      <c r="U730" s="88"/>
    </row>
    <row r="731" ht="15.75" customHeight="1">
      <c r="A731" s="2"/>
      <c r="B731" s="2"/>
      <c r="C731" s="2"/>
      <c r="D731" s="2"/>
      <c r="E731" s="2"/>
      <c r="F731" s="2"/>
      <c r="G731" s="2"/>
      <c r="H731" s="2"/>
      <c r="I731" s="2"/>
      <c r="J731" s="74"/>
      <c r="K731" s="74"/>
      <c r="L731" s="74"/>
      <c r="M731" s="74"/>
      <c r="N731" s="2"/>
      <c r="O731" s="2"/>
      <c r="P731" s="2"/>
      <c r="Q731" s="74"/>
      <c r="R731" s="2"/>
      <c r="S731" s="2"/>
      <c r="T731" s="76"/>
      <c r="U731" s="88"/>
    </row>
    <row r="732" ht="15.75" customHeight="1">
      <c r="A732" s="2"/>
      <c r="B732" s="2"/>
      <c r="C732" s="2"/>
      <c r="D732" s="2"/>
      <c r="E732" s="2"/>
      <c r="F732" s="2"/>
      <c r="G732" s="2"/>
      <c r="H732" s="2"/>
      <c r="I732" s="2"/>
      <c r="J732" s="74"/>
      <c r="K732" s="74"/>
      <c r="L732" s="74"/>
      <c r="M732" s="74"/>
      <c r="N732" s="2"/>
      <c r="O732" s="2"/>
      <c r="P732" s="2"/>
      <c r="Q732" s="74"/>
      <c r="R732" s="2"/>
      <c r="S732" s="2"/>
      <c r="T732" s="76"/>
      <c r="U732" s="88"/>
    </row>
    <row r="733" ht="15.75" customHeight="1">
      <c r="A733" s="2"/>
      <c r="B733" s="2"/>
      <c r="C733" s="2"/>
      <c r="D733" s="2"/>
      <c r="E733" s="2"/>
      <c r="F733" s="2"/>
      <c r="G733" s="2"/>
      <c r="H733" s="2"/>
      <c r="I733" s="2"/>
      <c r="J733" s="74"/>
      <c r="K733" s="74"/>
      <c r="L733" s="74"/>
      <c r="M733" s="74"/>
      <c r="N733" s="2"/>
      <c r="O733" s="2"/>
      <c r="P733" s="2"/>
      <c r="Q733" s="74"/>
      <c r="R733" s="2"/>
      <c r="S733" s="2"/>
      <c r="T733" s="76"/>
      <c r="U733" s="88"/>
    </row>
    <row r="734" ht="15.75" customHeight="1">
      <c r="A734" s="2"/>
      <c r="B734" s="2"/>
      <c r="C734" s="2"/>
      <c r="D734" s="2"/>
      <c r="E734" s="2"/>
      <c r="F734" s="2"/>
      <c r="G734" s="2"/>
      <c r="H734" s="2"/>
      <c r="I734" s="2"/>
      <c r="J734" s="74"/>
      <c r="K734" s="74"/>
      <c r="L734" s="74"/>
      <c r="M734" s="74"/>
      <c r="N734" s="2"/>
      <c r="O734" s="2"/>
      <c r="P734" s="2"/>
      <c r="Q734" s="74"/>
      <c r="R734" s="2"/>
      <c r="S734" s="2"/>
      <c r="T734" s="76"/>
      <c r="U734" s="88"/>
    </row>
    <row r="735" ht="15.75" customHeight="1">
      <c r="A735" s="2"/>
      <c r="B735" s="2"/>
      <c r="C735" s="2"/>
      <c r="D735" s="2"/>
      <c r="E735" s="2"/>
      <c r="F735" s="2"/>
      <c r="G735" s="2"/>
      <c r="H735" s="2"/>
      <c r="I735" s="2"/>
      <c r="J735" s="74"/>
      <c r="K735" s="74"/>
      <c r="L735" s="74"/>
      <c r="M735" s="74"/>
      <c r="N735" s="2"/>
      <c r="O735" s="2"/>
      <c r="P735" s="2"/>
      <c r="Q735" s="74"/>
      <c r="R735" s="2"/>
      <c r="S735" s="2"/>
      <c r="T735" s="76"/>
      <c r="U735" s="88"/>
    </row>
    <row r="736" ht="15.75" customHeight="1">
      <c r="A736" s="2"/>
      <c r="B736" s="2"/>
      <c r="C736" s="2"/>
      <c r="D736" s="2"/>
      <c r="E736" s="2"/>
      <c r="F736" s="2"/>
      <c r="G736" s="2"/>
      <c r="H736" s="2"/>
      <c r="I736" s="2"/>
      <c r="J736" s="74"/>
      <c r="K736" s="74"/>
      <c r="L736" s="74"/>
      <c r="M736" s="74"/>
      <c r="N736" s="2"/>
      <c r="O736" s="2"/>
      <c r="P736" s="2"/>
      <c r="Q736" s="74"/>
      <c r="R736" s="2"/>
      <c r="S736" s="2"/>
      <c r="T736" s="76"/>
      <c r="U736" s="88"/>
    </row>
    <row r="737" ht="15.75" customHeight="1">
      <c r="A737" s="2"/>
      <c r="B737" s="2"/>
      <c r="C737" s="2"/>
      <c r="D737" s="2"/>
      <c r="E737" s="2"/>
      <c r="F737" s="2"/>
      <c r="G737" s="2"/>
      <c r="H737" s="2"/>
      <c r="I737" s="2"/>
      <c r="J737" s="74"/>
      <c r="K737" s="74"/>
      <c r="L737" s="74"/>
      <c r="M737" s="74"/>
      <c r="N737" s="2"/>
      <c r="O737" s="2"/>
      <c r="P737" s="2"/>
      <c r="Q737" s="74"/>
      <c r="R737" s="2"/>
      <c r="S737" s="2"/>
      <c r="T737" s="76"/>
      <c r="U737" s="88"/>
    </row>
    <row r="738" ht="15.75" customHeight="1">
      <c r="A738" s="2"/>
      <c r="B738" s="2"/>
      <c r="C738" s="2"/>
      <c r="D738" s="2"/>
      <c r="E738" s="2"/>
      <c r="F738" s="2"/>
      <c r="G738" s="2"/>
      <c r="H738" s="2"/>
      <c r="I738" s="2"/>
      <c r="J738" s="74"/>
      <c r="K738" s="74"/>
      <c r="L738" s="74"/>
      <c r="M738" s="74"/>
      <c r="N738" s="2"/>
      <c r="O738" s="2"/>
      <c r="P738" s="2"/>
      <c r="Q738" s="74"/>
      <c r="R738" s="2"/>
      <c r="S738" s="2"/>
      <c r="T738" s="76"/>
      <c r="U738" s="88"/>
    </row>
    <row r="739" ht="15.75" customHeight="1">
      <c r="A739" s="2"/>
      <c r="B739" s="2"/>
      <c r="C739" s="2"/>
      <c r="D739" s="2"/>
      <c r="E739" s="2"/>
      <c r="F739" s="2"/>
      <c r="G739" s="2"/>
      <c r="H739" s="2"/>
      <c r="I739" s="2"/>
      <c r="J739" s="74"/>
      <c r="K739" s="74"/>
      <c r="L739" s="74"/>
      <c r="M739" s="74"/>
      <c r="N739" s="2"/>
      <c r="O739" s="2"/>
      <c r="P739" s="2"/>
      <c r="Q739" s="74"/>
      <c r="R739" s="2"/>
      <c r="S739" s="2"/>
      <c r="T739" s="76"/>
      <c r="U739" s="88"/>
    </row>
    <row r="740" ht="15.75" customHeight="1">
      <c r="A740" s="2"/>
      <c r="B740" s="2"/>
      <c r="C740" s="2"/>
      <c r="D740" s="2"/>
      <c r="E740" s="2"/>
      <c r="F740" s="2"/>
      <c r="G740" s="2"/>
      <c r="H740" s="2"/>
      <c r="I740" s="2"/>
      <c r="J740" s="74"/>
      <c r="K740" s="74"/>
      <c r="L740" s="74"/>
      <c r="M740" s="74"/>
      <c r="N740" s="2"/>
      <c r="O740" s="2"/>
      <c r="P740" s="2"/>
      <c r="Q740" s="74"/>
      <c r="R740" s="2"/>
      <c r="S740" s="2"/>
      <c r="T740" s="76"/>
      <c r="U740" s="88"/>
    </row>
    <row r="741" ht="15.75" customHeight="1">
      <c r="A741" s="2"/>
      <c r="B741" s="2"/>
      <c r="C741" s="2"/>
      <c r="D741" s="2"/>
      <c r="E741" s="2"/>
      <c r="F741" s="2"/>
      <c r="G741" s="2"/>
      <c r="H741" s="2"/>
      <c r="I741" s="2"/>
      <c r="J741" s="74"/>
      <c r="K741" s="74"/>
      <c r="L741" s="74"/>
      <c r="M741" s="74"/>
      <c r="N741" s="2"/>
      <c r="O741" s="2"/>
      <c r="P741" s="2"/>
      <c r="Q741" s="74"/>
      <c r="R741" s="2"/>
      <c r="S741" s="2"/>
      <c r="T741" s="76"/>
      <c r="U741" s="88"/>
    </row>
    <row r="742" ht="15.75" customHeight="1">
      <c r="A742" s="2"/>
      <c r="B742" s="2"/>
      <c r="C742" s="2"/>
      <c r="D742" s="2"/>
      <c r="E742" s="2"/>
      <c r="F742" s="2"/>
      <c r="G742" s="2"/>
      <c r="H742" s="2"/>
      <c r="I742" s="2"/>
      <c r="J742" s="74"/>
      <c r="K742" s="74"/>
      <c r="L742" s="74"/>
      <c r="M742" s="74"/>
      <c r="N742" s="2"/>
      <c r="O742" s="2"/>
      <c r="P742" s="2"/>
      <c r="Q742" s="74"/>
      <c r="R742" s="2"/>
      <c r="S742" s="2"/>
      <c r="T742" s="76"/>
      <c r="U742" s="88"/>
    </row>
    <row r="743" ht="15.75" customHeight="1">
      <c r="A743" s="2"/>
      <c r="B743" s="2"/>
      <c r="C743" s="2"/>
      <c r="D743" s="2"/>
      <c r="E743" s="2"/>
      <c r="F743" s="2"/>
      <c r="G743" s="2"/>
      <c r="H743" s="2"/>
      <c r="I743" s="2"/>
      <c r="J743" s="74"/>
      <c r="K743" s="74"/>
      <c r="L743" s="74"/>
      <c r="M743" s="74"/>
      <c r="N743" s="2"/>
      <c r="O743" s="2"/>
      <c r="P743" s="2"/>
      <c r="Q743" s="74"/>
      <c r="R743" s="2"/>
      <c r="S743" s="2"/>
      <c r="T743" s="76"/>
      <c r="U743" s="88"/>
    </row>
    <row r="744" ht="15.75" customHeight="1">
      <c r="A744" s="2"/>
      <c r="B744" s="2"/>
      <c r="C744" s="2"/>
      <c r="D744" s="2"/>
      <c r="E744" s="2"/>
      <c r="F744" s="2"/>
      <c r="G744" s="2"/>
      <c r="H744" s="2"/>
      <c r="I744" s="2"/>
      <c r="J744" s="74"/>
      <c r="K744" s="74"/>
      <c r="L744" s="74"/>
      <c r="M744" s="74"/>
      <c r="N744" s="2"/>
      <c r="O744" s="2"/>
      <c r="P744" s="2"/>
      <c r="Q744" s="74"/>
      <c r="R744" s="2"/>
      <c r="S744" s="2"/>
      <c r="T744" s="76"/>
      <c r="U744" s="88"/>
    </row>
    <row r="745" ht="15.75" customHeight="1">
      <c r="A745" s="2"/>
      <c r="B745" s="2"/>
      <c r="C745" s="2"/>
      <c r="D745" s="2"/>
      <c r="E745" s="2"/>
      <c r="F745" s="2"/>
      <c r="G745" s="2"/>
      <c r="H745" s="2"/>
      <c r="I745" s="2"/>
      <c r="J745" s="74"/>
      <c r="K745" s="74"/>
      <c r="L745" s="74"/>
      <c r="M745" s="74"/>
      <c r="N745" s="2"/>
      <c r="O745" s="2"/>
      <c r="P745" s="2"/>
      <c r="Q745" s="74"/>
      <c r="R745" s="2"/>
      <c r="S745" s="2"/>
      <c r="T745" s="76"/>
      <c r="U745" s="88"/>
    </row>
    <row r="746" ht="15.75" customHeight="1">
      <c r="A746" s="2"/>
      <c r="B746" s="2"/>
      <c r="C746" s="2"/>
      <c r="D746" s="2"/>
      <c r="E746" s="2"/>
      <c r="F746" s="2"/>
      <c r="G746" s="2"/>
      <c r="H746" s="2"/>
      <c r="I746" s="2"/>
      <c r="J746" s="74"/>
      <c r="K746" s="74"/>
      <c r="L746" s="74"/>
      <c r="M746" s="74"/>
      <c r="N746" s="2"/>
      <c r="O746" s="2"/>
      <c r="P746" s="2"/>
      <c r="Q746" s="74"/>
      <c r="R746" s="2"/>
      <c r="S746" s="2"/>
      <c r="T746" s="76"/>
      <c r="U746" s="88"/>
    </row>
    <row r="747" ht="15.75" customHeight="1">
      <c r="A747" s="2"/>
      <c r="B747" s="2"/>
      <c r="C747" s="2"/>
      <c r="D747" s="2"/>
      <c r="E747" s="2"/>
      <c r="F747" s="2"/>
      <c r="G747" s="2"/>
      <c r="H747" s="2"/>
      <c r="I747" s="2"/>
      <c r="J747" s="74"/>
      <c r="K747" s="74"/>
      <c r="L747" s="74"/>
      <c r="M747" s="74"/>
      <c r="N747" s="2"/>
      <c r="O747" s="2"/>
      <c r="P747" s="2"/>
      <c r="Q747" s="74"/>
      <c r="R747" s="2"/>
      <c r="S747" s="2"/>
      <c r="T747" s="76"/>
      <c r="U747" s="88"/>
    </row>
    <row r="748" ht="15.75" customHeight="1">
      <c r="A748" s="2"/>
      <c r="B748" s="2"/>
      <c r="C748" s="2"/>
      <c r="D748" s="2"/>
      <c r="E748" s="2"/>
      <c r="F748" s="2"/>
      <c r="G748" s="2"/>
      <c r="H748" s="2"/>
      <c r="I748" s="2"/>
      <c r="J748" s="74"/>
      <c r="K748" s="74"/>
      <c r="L748" s="74"/>
      <c r="M748" s="74"/>
      <c r="N748" s="2"/>
      <c r="O748" s="2"/>
      <c r="P748" s="2"/>
      <c r="Q748" s="74"/>
      <c r="R748" s="2"/>
      <c r="S748" s="2"/>
      <c r="T748" s="76"/>
      <c r="U748" s="88"/>
    </row>
    <row r="749" ht="15.75" customHeight="1">
      <c r="A749" s="2"/>
      <c r="B749" s="2"/>
      <c r="C749" s="2"/>
      <c r="D749" s="2"/>
      <c r="E749" s="2"/>
      <c r="F749" s="2"/>
      <c r="G749" s="2"/>
      <c r="H749" s="2"/>
      <c r="I749" s="2"/>
      <c r="J749" s="74"/>
      <c r="K749" s="74"/>
      <c r="L749" s="74"/>
      <c r="M749" s="74"/>
      <c r="N749" s="2"/>
      <c r="O749" s="2"/>
      <c r="P749" s="2"/>
      <c r="Q749" s="74"/>
      <c r="R749" s="2"/>
      <c r="S749" s="2"/>
      <c r="T749" s="76"/>
      <c r="U749" s="88"/>
    </row>
    <row r="750" ht="15.75" customHeight="1">
      <c r="A750" s="2"/>
      <c r="B750" s="2"/>
      <c r="C750" s="2"/>
      <c r="D750" s="2"/>
      <c r="E750" s="2"/>
      <c r="F750" s="2"/>
      <c r="G750" s="2"/>
      <c r="H750" s="2"/>
      <c r="I750" s="2"/>
      <c r="J750" s="74"/>
      <c r="K750" s="74"/>
      <c r="L750" s="74"/>
      <c r="M750" s="74"/>
      <c r="N750" s="2"/>
      <c r="O750" s="2"/>
      <c r="P750" s="2"/>
      <c r="Q750" s="74"/>
      <c r="R750" s="2"/>
      <c r="S750" s="2"/>
      <c r="T750" s="76"/>
      <c r="U750" s="88"/>
    </row>
    <row r="751" ht="15.75" customHeight="1">
      <c r="A751" s="2"/>
      <c r="B751" s="2"/>
      <c r="C751" s="2"/>
      <c r="D751" s="2"/>
      <c r="E751" s="2"/>
      <c r="F751" s="2"/>
      <c r="G751" s="2"/>
      <c r="H751" s="2"/>
      <c r="I751" s="2"/>
      <c r="J751" s="74"/>
      <c r="K751" s="74"/>
      <c r="L751" s="74"/>
      <c r="M751" s="74"/>
      <c r="N751" s="2"/>
      <c r="O751" s="2"/>
      <c r="P751" s="2"/>
      <c r="Q751" s="74"/>
      <c r="R751" s="2"/>
      <c r="S751" s="2"/>
      <c r="T751" s="76"/>
      <c r="U751" s="88"/>
    </row>
    <row r="752" ht="15.75" customHeight="1">
      <c r="A752" s="2"/>
      <c r="B752" s="2"/>
      <c r="C752" s="2"/>
      <c r="D752" s="2"/>
      <c r="E752" s="2"/>
      <c r="F752" s="2"/>
      <c r="G752" s="2"/>
      <c r="H752" s="2"/>
      <c r="I752" s="2"/>
      <c r="J752" s="74"/>
      <c r="K752" s="74"/>
      <c r="L752" s="74"/>
      <c r="M752" s="74"/>
      <c r="N752" s="2"/>
      <c r="O752" s="2"/>
      <c r="P752" s="2"/>
      <c r="Q752" s="74"/>
      <c r="R752" s="2"/>
      <c r="S752" s="2"/>
      <c r="T752" s="76"/>
      <c r="U752" s="88"/>
    </row>
    <row r="753" ht="15.75" customHeight="1">
      <c r="A753" s="2"/>
      <c r="B753" s="2"/>
      <c r="C753" s="2"/>
      <c r="D753" s="2"/>
      <c r="E753" s="2"/>
      <c r="F753" s="2"/>
      <c r="G753" s="2"/>
      <c r="H753" s="2"/>
      <c r="I753" s="2"/>
      <c r="J753" s="74"/>
      <c r="K753" s="74"/>
      <c r="L753" s="74"/>
      <c r="M753" s="74"/>
      <c r="N753" s="2"/>
      <c r="O753" s="2"/>
      <c r="P753" s="2"/>
      <c r="Q753" s="74"/>
      <c r="R753" s="2"/>
      <c r="S753" s="2"/>
      <c r="T753" s="76"/>
      <c r="U753" s="88"/>
    </row>
    <row r="754" ht="15.75" customHeight="1">
      <c r="A754" s="2"/>
      <c r="B754" s="2"/>
      <c r="C754" s="2"/>
      <c r="D754" s="2"/>
      <c r="E754" s="2"/>
      <c r="F754" s="2"/>
      <c r="G754" s="2"/>
      <c r="H754" s="2"/>
      <c r="I754" s="2"/>
      <c r="J754" s="74"/>
      <c r="K754" s="74"/>
      <c r="L754" s="74"/>
      <c r="M754" s="74"/>
      <c r="N754" s="2"/>
      <c r="O754" s="2"/>
      <c r="P754" s="2"/>
      <c r="Q754" s="74"/>
      <c r="R754" s="2"/>
      <c r="S754" s="2"/>
      <c r="T754" s="76"/>
      <c r="U754" s="88"/>
    </row>
    <row r="755" ht="15.75" customHeight="1">
      <c r="A755" s="2"/>
      <c r="B755" s="2"/>
      <c r="C755" s="2"/>
      <c r="D755" s="2"/>
      <c r="E755" s="2"/>
      <c r="F755" s="2"/>
      <c r="G755" s="2"/>
      <c r="H755" s="2"/>
      <c r="I755" s="2"/>
      <c r="J755" s="74"/>
      <c r="K755" s="74"/>
      <c r="L755" s="74"/>
      <c r="M755" s="74"/>
      <c r="N755" s="2"/>
      <c r="O755" s="2"/>
      <c r="P755" s="2"/>
      <c r="Q755" s="74"/>
      <c r="R755" s="2"/>
      <c r="S755" s="2"/>
      <c r="T755" s="76"/>
      <c r="U755" s="88"/>
    </row>
    <row r="756" ht="15.75" customHeight="1">
      <c r="A756" s="2"/>
      <c r="B756" s="2"/>
      <c r="C756" s="2"/>
      <c r="D756" s="2"/>
      <c r="E756" s="2"/>
      <c r="F756" s="2"/>
      <c r="G756" s="2"/>
      <c r="H756" s="2"/>
      <c r="I756" s="2"/>
      <c r="J756" s="74"/>
      <c r="K756" s="74"/>
      <c r="L756" s="74"/>
      <c r="M756" s="74"/>
      <c r="N756" s="2"/>
      <c r="O756" s="2"/>
      <c r="P756" s="2"/>
      <c r="Q756" s="74"/>
      <c r="R756" s="2"/>
      <c r="S756" s="2"/>
      <c r="T756" s="76"/>
      <c r="U756" s="88"/>
    </row>
    <row r="757" ht="15.75" customHeight="1">
      <c r="A757" s="2"/>
      <c r="B757" s="2"/>
      <c r="C757" s="2"/>
      <c r="D757" s="2"/>
      <c r="E757" s="2"/>
      <c r="F757" s="2"/>
      <c r="G757" s="2"/>
      <c r="H757" s="2"/>
      <c r="I757" s="2"/>
      <c r="J757" s="74"/>
      <c r="K757" s="74"/>
      <c r="L757" s="74"/>
      <c r="M757" s="74"/>
      <c r="N757" s="2"/>
      <c r="O757" s="2"/>
      <c r="P757" s="2"/>
      <c r="Q757" s="74"/>
      <c r="R757" s="2"/>
      <c r="S757" s="2"/>
      <c r="T757" s="76"/>
      <c r="U757" s="88"/>
    </row>
    <row r="758" ht="15.75" customHeight="1">
      <c r="A758" s="2"/>
      <c r="B758" s="2"/>
      <c r="C758" s="2"/>
      <c r="D758" s="2"/>
      <c r="E758" s="2"/>
      <c r="F758" s="2"/>
      <c r="G758" s="2"/>
      <c r="H758" s="2"/>
      <c r="I758" s="2"/>
      <c r="J758" s="74"/>
      <c r="K758" s="74"/>
      <c r="L758" s="74"/>
      <c r="M758" s="74"/>
      <c r="N758" s="2"/>
      <c r="O758" s="2"/>
      <c r="P758" s="2"/>
      <c r="Q758" s="74"/>
      <c r="R758" s="2"/>
      <c r="S758" s="2"/>
      <c r="T758" s="76"/>
      <c r="U758" s="88"/>
    </row>
    <row r="759" ht="15.75" customHeight="1">
      <c r="A759" s="2"/>
      <c r="B759" s="2"/>
      <c r="C759" s="2"/>
      <c r="D759" s="2"/>
      <c r="E759" s="2"/>
      <c r="F759" s="2"/>
      <c r="G759" s="2"/>
      <c r="H759" s="2"/>
      <c r="I759" s="2"/>
      <c r="J759" s="74"/>
      <c r="K759" s="74"/>
      <c r="L759" s="74"/>
      <c r="M759" s="74"/>
      <c r="N759" s="2"/>
      <c r="O759" s="2"/>
      <c r="P759" s="2"/>
      <c r="Q759" s="74"/>
      <c r="R759" s="2"/>
      <c r="S759" s="2"/>
      <c r="T759" s="76"/>
      <c r="U759" s="88"/>
    </row>
    <row r="760" ht="15.75" customHeight="1">
      <c r="A760" s="2"/>
      <c r="B760" s="2"/>
      <c r="C760" s="2"/>
      <c r="D760" s="2"/>
      <c r="E760" s="2"/>
      <c r="F760" s="2"/>
      <c r="G760" s="2"/>
      <c r="H760" s="2"/>
      <c r="I760" s="2"/>
      <c r="J760" s="74"/>
      <c r="K760" s="74"/>
      <c r="L760" s="74"/>
      <c r="M760" s="74"/>
      <c r="N760" s="2"/>
      <c r="O760" s="2"/>
      <c r="P760" s="2"/>
      <c r="Q760" s="74"/>
      <c r="R760" s="2"/>
      <c r="S760" s="2"/>
      <c r="T760" s="76"/>
      <c r="U760" s="88"/>
    </row>
    <row r="761" ht="15.75" customHeight="1">
      <c r="A761" s="2"/>
      <c r="B761" s="2"/>
      <c r="C761" s="2"/>
      <c r="D761" s="2"/>
      <c r="E761" s="2"/>
      <c r="F761" s="2"/>
      <c r="G761" s="2"/>
      <c r="H761" s="2"/>
      <c r="I761" s="2"/>
      <c r="J761" s="74"/>
      <c r="K761" s="74"/>
      <c r="L761" s="74"/>
      <c r="M761" s="74"/>
      <c r="N761" s="2"/>
      <c r="O761" s="2"/>
      <c r="P761" s="2"/>
      <c r="Q761" s="74"/>
      <c r="R761" s="2"/>
      <c r="S761" s="2"/>
      <c r="T761" s="76"/>
      <c r="U761" s="88"/>
    </row>
    <row r="762" ht="15.75" customHeight="1">
      <c r="A762" s="2"/>
      <c r="B762" s="2"/>
      <c r="C762" s="2"/>
      <c r="D762" s="2"/>
      <c r="E762" s="2"/>
      <c r="F762" s="2"/>
      <c r="G762" s="2"/>
      <c r="H762" s="2"/>
      <c r="I762" s="2"/>
      <c r="J762" s="74"/>
      <c r="K762" s="74"/>
      <c r="L762" s="74"/>
      <c r="M762" s="74"/>
      <c r="N762" s="2"/>
      <c r="O762" s="2"/>
      <c r="P762" s="2"/>
      <c r="Q762" s="74"/>
      <c r="R762" s="2"/>
      <c r="S762" s="2"/>
      <c r="T762" s="76"/>
      <c r="U762" s="88"/>
    </row>
    <row r="763" ht="15.75" customHeight="1">
      <c r="A763" s="2"/>
      <c r="B763" s="2"/>
      <c r="C763" s="2"/>
      <c r="D763" s="2"/>
      <c r="E763" s="2"/>
      <c r="F763" s="2"/>
      <c r="G763" s="2"/>
      <c r="H763" s="2"/>
      <c r="I763" s="2"/>
      <c r="J763" s="74"/>
      <c r="K763" s="74"/>
      <c r="L763" s="74"/>
      <c r="M763" s="74"/>
      <c r="N763" s="2"/>
      <c r="O763" s="2"/>
      <c r="P763" s="2"/>
      <c r="Q763" s="74"/>
      <c r="R763" s="2"/>
      <c r="S763" s="2"/>
      <c r="T763" s="76"/>
      <c r="U763" s="88"/>
    </row>
    <row r="764" ht="15.75" customHeight="1">
      <c r="A764" s="2"/>
      <c r="B764" s="2"/>
      <c r="C764" s="2"/>
      <c r="D764" s="2"/>
      <c r="E764" s="2"/>
      <c r="F764" s="2"/>
      <c r="G764" s="2"/>
      <c r="H764" s="2"/>
      <c r="I764" s="2"/>
      <c r="J764" s="74"/>
      <c r="K764" s="74"/>
      <c r="L764" s="74"/>
      <c r="M764" s="74"/>
      <c r="N764" s="2"/>
      <c r="O764" s="2"/>
      <c r="P764" s="2"/>
      <c r="Q764" s="74"/>
      <c r="R764" s="2"/>
      <c r="S764" s="2"/>
      <c r="T764" s="76"/>
      <c r="U764" s="88"/>
    </row>
    <row r="765" ht="15.75" customHeight="1">
      <c r="A765" s="2"/>
      <c r="B765" s="2"/>
      <c r="C765" s="2"/>
      <c r="D765" s="2"/>
      <c r="E765" s="2"/>
      <c r="F765" s="2"/>
      <c r="G765" s="2"/>
      <c r="H765" s="2"/>
      <c r="I765" s="2"/>
      <c r="J765" s="74"/>
      <c r="K765" s="74"/>
      <c r="L765" s="74"/>
      <c r="M765" s="74"/>
      <c r="N765" s="2"/>
      <c r="O765" s="2"/>
      <c r="P765" s="2"/>
      <c r="Q765" s="74"/>
      <c r="R765" s="2"/>
      <c r="S765" s="2"/>
      <c r="T765" s="76"/>
      <c r="U765" s="88"/>
    </row>
    <row r="766" ht="15.75" customHeight="1">
      <c r="A766" s="2"/>
      <c r="B766" s="2"/>
      <c r="C766" s="2"/>
      <c r="D766" s="2"/>
      <c r="E766" s="2"/>
      <c r="F766" s="2"/>
      <c r="G766" s="2"/>
      <c r="H766" s="2"/>
      <c r="I766" s="2"/>
      <c r="J766" s="74"/>
      <c r="K766" s="74"/>
      <c r="L766" s="74"/>
      <c r="M766" s="74"/>
      <c r="N766" s="2"/>
      <c r="O766" s="2"/>
      <c r="P766" s="2"/>
      <c r="Q766" s="74"/>
      <c r="R766" s="2"/>
      <c r="S766" s="2"/>
      <c r="T766" s="76"/>
      <c r="U766" s="88"/>
    </row>
    <row r="767" ht="15.75" customHeight="1">
      <c r="A767" s="2"/>
      <c r="B767" s="2"/>
      <c r="C767" s="2"/>
      <c r="D767" s="2"/>
      <c r="E767" s="2"/>
      <c r="F767" s="2"/>
      <c r="G767" s="2"/>
      <c r="H767" s="2"/>
      <c r="I767" s="2"/>
      <c r="J767" s="74"/>
      <c r="K767" s="74"/>
      <c r="L767" s="74"/>
      <c r="M767" s="74"/>
      <c r="N767" s="2"/>
      <c r="O767" s="2"/>
      <c r="P767" s="2"/>
      <c r="Q767" s="74"/>
      <c r="R767" s="2"/>
      <c r="S767" s="2"/>
      <c r="T767" s="76"/>
      <c r="U767" s="88"/>
    </row>
    <row r="768" ht="15.75" customHeight="1">
      <c r="A768" s="2"/>
      <c r="B768" s="2"/>
      <c r="C768" s="2"/>
      <c r="D768" s="2"/>
      <c r="E768" s="2"/>
      <c r="F768" s="2"/>
      <c r="G768" s="2"/>
      <c r="H768" s="2"/>
      <c r="I768" s="2"/>
      <c r="J768" s="74"/>
      <c r="K768" s="74"/>
      <c r="L768" s="74"/>
      <c r="M768" s="74"/>
      <c r="N768" s="2"/>
      <c r="O768" s="2"/>
      <c r="P768" s="2"/>
      <c r="Q768" s="74"/>
      <c r="R768" s="2"/>
      <c r="S768" s="2"/>
      <c r="T768" s="76"/>
      <c r="U768" s="88"/>
    </row>
    <row r="769" ht="15.75" customHeight="1">
      <c r="A769" s="2"/>
      <c r="B769" s="2"/>
      <c r="C769" s="2"/>
      <c r="D769" s="2"/>
      <c r="E769" s="2"/>
      <c r="F769" s="2"/>
      <c r="G769" s="2"/>
      <c r="H769" s="2"/>
      <c r="I769" s="2"/>
      <c r="J769" s="74"/>
      <c r="K769" s="74"/>
      <c r="L769" s="74"/>
      <c r="M769" s="74"/>
      <c r="N769" s="2"/>
      <c r="O769" s="2"/>
      <c r="P769" s="2"/>
      <c r="Q769" s="74"/>
      <c r="R769" s="2"/>
      <c r="S769" s="2"/>
      <c r="T769" s="76"/>
      <c r="U769" s="88"/>
    </row>
    <row r="770" ht="15.75" customHeight="1">
      <c r="A770" s="2"/>
      <c r="B770" s="2"/>
      <c r="C770" s="2"/>
      <c r="D770" s="2"/>
      <c r="E770" s="2"/>
      <c r="F770" s="2"/>
      <c r="G770" s="2"/>
      <c r="H770" s="2"/>
      <c r="I770" s="2"/>
      <c r="J770" s="74"/>
      <c r="K770" s="74"/>
      <c r="L770" s="74"/>
      <c r="M770" s="74"/>
      <c r="N770" s="2"/>
      <c r="O770" s="2"/>
      <c r="P770" s="2"/>
      <c r="Q770" s="74"/>
      <c r="R770" s="2"/>
      <c r="S770" s="2"/>
      <c r="T770" s="76"/>
      <c r="U770" s="88"/>
    </row>
    <row r="771" ht="15.75" customHeight="1">
      <c r="A771" s="2"/>
      <c r="B771" s="2"/>
      <c r="C771" s="2"/>
      <c r="D771" s="2"/>
      <c r="E771" s="2"/>
      <c r="F771" s="2"/>
      <c r="G771" s="2"/>
      <c r="H771" s="2"/>
      <c r="I771" s="2"/>
      <c r="J771" s="74"/>
      <c r="K771" s="74"/>
      <c r="L771" s="74"/>
      <c r="M771" s="74"/>
      <c r="N771" s="2"/>
      <c r="O771" s="2"/>
      <c r="P771" s="2"/>
      <c r="Q771" s="74"/>
      <c r="R771" s="2"/>
      <c r="S771" s="2"/>
      <c r="T771" s="76"/>
      <c r="U771" s="88"/>
    </row>
    <row r="772" ht="15.75" customHeight="1">
      <c r="A772" s="2"/>
      <c r="B772" s="2"/>
      <c r="C772" s="2"/>
      <c r="D772" s="2"/>
      <c r="E772" s="2"/>
      <c r="F772" s="2"/>
      <c r="G772" s="2"/>
      <c r="H772" s="2"/>
      <c r="I772" s="2"/>
      <c r="J772" s="74"/>
      <c r="K772" s="74"/>
      <c r="L772" s="74"/>
      <c r="M772" s="74"/>
      <c r="N772" s="2"/>
      <c r="O772" s="2"/>
      <c r="P772" s="2"/>
      <c r="Q772" s="74"/>
      <c r="R772" s="2"/>
      <c r="S772" s="2"/>
      <c r="T772" s="76"/>
      <c r="U772" s="88"/>
    </row>
    <row r="773" ht="15.75" customHeight="1">
      <c r="A773" s="2"/>
      <c r="B773" s="2"/>
      <c r="C773" s="2"/>
      <c r="D773" s="2"/>
      <c r="E773" s="2"/>
      <c r="F773" s="2"/>
      <c r="G773" s="2"/>
      <c r="H773" s="2"/>
      <c r="I773" s="2"/>
      <c r="J773" s="74"/>
      <c r="K773" s="74"/>
      <c r="L773" s="74"/>
      <c r="M773" s="74"/>
      <c r="N773" s="2"/>
      <c r="O773" s="2"/>
      <c r="P773" s="2"/>
      <c r="Q773" s="74"/>
      <c r="R773" s="2"/>
      <c r="S773" s="2"/>
      <c r="T773" s="76"/>
      <c r="U773" s="88"/>
    </row>
    <row r="774" ht="15.75" customHeight="1">
      <c r="A774" s="2"/>
      <c r="B774" s="2"/>
      <c r="C774" s="2"/>
      <c r="D774" s="2"/>
      <c r="E774" s="2"/>
      <c r="F774" s="2"/>
      <c r="G774" s="2"/>
      <c r="H774" s="2"/>
      <c r="I774" s="2"/>
      <c r="J774" s="74"/>
      <c r="K774" s="74"/>
      <c r="L774" s="74"/>
      <c r="M774" s="74"/>
      <c r="N774" s="2"/>
      <c r="O774" s="2"/>
      <c r="P774" s="2"/>
      <c r="Q774" s="74"/>
      <c r="R774" s="2"/>
      <c r="S774" s="2"/>
      <c r="T774" s="76"/>
      <c r="U774" s="88"/>
    </row>
    <row r="775" ht="15.75" customHeight="1">
      <c r="A775" s="2"/>
      <c r="B775" s="2"/>
      <c r="C775" s="2"/>
      <c r="D775" s="2"/>
      <c r="E775" s="2"/>
      <c r="F775" s="2"/>
      <c r="G775" s="2"/>
      <c r="H775" s="2"/>
      <c r="I775" s="2"/>
      <c r="J775" s="74"/>
      <c r="K775" s="74"/>
      <c r="L775" s="74"/>
      <c r="M775" s="74"/>
      <c r="N775" s="2"/>
      <c r="O775" s="2"/>
      <c r="P775" s="2"/>
      <c r="Q775" s="74"/>
      <c r="R775" s="2"/>
      <c r="S775" s="2"/>
      <c r="T775" s="76"/>
      <c r="U775" s="88"/>
    </row>
    <row r="776" ht="15.75" customHeight="1">
      <c r="A776" s="2"/>
      <c r="B776" s="2"/>
      <c r="C776" s="2"/>
      <c r="D776" s="2"/>
      <c r="E776" s="2"/>
      <c r="F776" s="2"/>
      <c r="G776" s="2"/>
      <c r="H776" s="2"/>
      <c r="I776" s="2"/>
      <c r="J776" s="74"/>
      <c r="K776" s="74"/>
      <c r="L776" s="74"/>
      <c r="M776" s="74"/>
      <c r="N776" s="2"/>
      <c r="O776" s="2"/>
      <c r="P776" s="2"/>
      <c r="Q776" s="74"/>
      <c r="R776" s="2"/>
      <c r="S776" s="2"/>
      <c r="T776" s="76"/>
      <c r="U776" s="88"/>
    </row>
    <row r="777" ht="15.75" customHeight="1">
      <c r="A777" s="2"/>
      <c r="B777" s="2"/>
      <c r="C777" s="2"/>
      <c r="D777" s="2"/>
      <c r="E777" s="2"/>
      <c r="F777" s="2"/>
      <c r="G777" s="2"/>
      <c r="H777" s="2"/>
      <c r="I777" s="2"/>
      <c r="J777" s="74"/>
      <c r="K777" s="74"/>
      <c r="L777" s="74"/>
      <c r="M777" s="74"/>
      <c r="N777" s="2"/>
      <c r="O777" s="2"/>
      <c r="P777" s="2"/>
      <c r="Q777" s="74"/>
      <c r="R777" s="2"/>
      <c r="S777" s="2"/>
      <c r="T777" s="76"/>
      <c r="U777" s="88"/>
    </row>
    <row r="778" ht="15.75" customHeight="1">
      <c r="A778" s="2"/>
      <c r="B778" s="2"/>
      <c r="C778" s="2"/>
      <c r="D778" s="2"/>
      <c r="E778" s="2"/>
      <c r="F778" s="2"/>
      <c r="G778" s="2"/>
      <c r="H778" s="2"/>
      <c r="I778" s="2"/>
      <c r="J778" s="74"/>
      <c r="K778" s="74"/>
      <c r="L778" s="74"/>
      <c r="M778" s="74"/>
      <c r="N778" s="2"/>
      <c r="O778" s="2"/>
      <c r="P778" s="2"/>
      <c r="Q778" s="74"/>
      <c r="R778" s="2"/>
      <c r="S778" s="2"/>
      <c r="T778" s="76"/>
      <c r="U778" s="88"/>
    </row>
    <row r="779" ht="15.75" customHeight="1">
      <c r="A779" s="2"/>
      <c r="B779" s="2"/>
      <c r="C779" s="2"/>
      <c r="D779" s="2"/>
      <c r="E779" s="2"/>
      <c r="F779" s="2"/>
      <c r="G779" s="2"/>
      <c r="H779" s="2"/>
      <c r="I779" s="2"/>
      <c r="J779" s="74"/>
      <c r="K779" s="74"/>
      <c r="L779" s="74"/>
      <c r="M779" s="74"/>
      <c r="N779" s="2"/>
      <c r="O779" s="2"/>
      <c r="P779" s="2"/>
      <c r="Q779" s="74"/>
      <c r="R779" s="2"/>
      <c r="S779" s="2"/>
      <c r="T779" s="76"/>
      <c r="U779" s="88"/>
    </row>
    <row r="780" ht="15.75" customHeight="1">
      <c r="A780" s="2"/>
      <c r="B780" s="2"/>
      <c r="C780" s="2"/>
      <c r="D780" s="2"/>
      <c r="E780" s="2"/>
      <c r="F780" s="2"/>
      <c r="G780" s="2"/>
      <c r="H780" s="2"/>
      <c r="I780" s="2"/>
      <c r="J780" s="74"/>
      <c r="K780" s="74"/>
      <c r="L780" s="74"/>
      <c r="M780" s="74"/>
      <c r="N780" s="2"/>
      <c r="O780" s="2"/>
      <c r="P780" s="2"/>
      <c r="Q780" s="74"/>
      <c r="R780" s="2"/>
      <c r="S780" s="2"/>
      <c r="T780" s="76"/>
      <c r="U780" s="88"/>
    </row>
    <row r="781" ht="15.75" customHeight="1">
      <c r="A781" s="2"/>
      <c r="B781" s="2"/>
      <c r="C781" s="2"/>
      <c r="D781" s="2"/>
      <c r="E781" s="2"/>
      <c r="F781" s="2"/>
      <c r="G781" s="2"/>
      <c r="H781" s="2"/>
      <c r="I781" s="2"/>
      <c r="J781" s="74"/>
      <c r="K781" s="74"/>
      <c r="L781" s="74"/>
      <c r="M781" s="74"/>
      <c r="N781" s="2"/>
      <c r="O781" s="2"/>
      <c r="P781" s="2"/>
      <c r="Q781" s="74"/>
      <c r="R781" s="2"/>
      <c r="S781" s="2"/>
      <c r="T781" s="76"/>
      <c r="U781" s="88"/>
    </row>
    <row r="782" ht="15.75" customHeight="1">
      <c r="A782" s="2"/>
      <c r="B782" s="2"/>
      <c r="C782" s="2"/>
      <c r="D782" s="2"/>
      <c r="E782" s="2"/>
      <c r="F782" s="2"/>
      <c r="G782" s="2"/>
      <c r="H782" s="2"/>
      <c r="I782" s="2"/>
      <c r="J782" s="74"/>
      <c r="K782" s="74"/>
      <c r="L782" s="74"/>
      <c r="M782" s="74"/>
      <c r="N782" s="2"/>
      <c r="O782" s="2"/>
      <c r="P782" s="2"/>
      <c r="Q782" s="74"/>
      <c r="R782" s="2"/>
      <c r="S782" s="2"/>
      <c r="T782" s="76"/>
      <c r="U782" s="88"/>
    </row>
    <row r="783" ht="15.75" customHeight="1">
      <c r="A783" s="2"/>
      <c r="B783" s="2"/>
      <c r="C783" s="2"/>
      <c r="D783" s="2"/>
      <c r="E783" s="2"/>
      <c r="F783" s="2"/>
      <c r="G783" s="2"/>
      <c r="H783" s="2"/>
      <c r="I783" s="2"/>
      <c r="J783" s="74"/>
      <c r="K783" s="74"/>
      <c r="L783" s="74"/>
      <c r="M783" s="74"/>
      <c r="N783" s="2"/>
      <c r="O783" s="2"/>
      <c r="P783" s="2"/>
      <c r="Q783" s="74"/>
      <c r="R783" s="2"/>
      <c r="S783" s="2"/>
      <c r="T783" s="76"/>
      <c r="U783" s="88"/>
    </row>
    <row r="784" ht="15.75" customHeight="1">
      <c r="A784" s="2"/>
      <c r="B784" s="2"/>
      <c r="C784" s="2"/>
      <c r="D784" s="2"/>
      <c r="E784" s="2"/>
      <c r="F784" s="2"/>
      <c r="G784" s="2"/>
      <c r="H784" s="2"/>
      <c r="I784" s="2"/>
      <c r="J784" s="74"/>
      <c r="K784" s="74"/>
      <c r="L784" s="74"/>
      <c r="M784" s="74"/>
      <c r="N784" s="2"/>
      <c r="O784" s="2"/>
      <c r="P784" s="2"/>
      <c r="Q784" s="74"/>
      <c r="R784" s="2"/>
      <c r="S784" s="2"/>
      <c r="T784" s="76"/>
      <c r="U784" s="88"/>
    </row>
    <row r="785" ht="15.75" customHeight="1">
      <c r="A785" s="2"/>
      <c r="B785" s="2"/>
      <c r="C785" s="2"/>
      <c r="D785" s="2"/>
      <c r="E785" s="2"/>
      <c r="F785" s="2"/>
      <c r="G785" s="2"/>
      <c r="H785" s="2"/>
      <c r="I785" s="2"/>
      <c r="J785" s="74"/>
      <c r="K785" s="74"/>
      <c r="L785" s="74"/>
      <c r="M785" s="74"/>
      <c r="N785" s="2"/>
      <c r="O785" s="2"/>
      <c r="P785" s="2"/>
      <c r="Q785" s="74"/>
      <c r="R785" s="2"/>
      <c r="S785" s="2"/>
      <c r="T785" s="76"/>
      <c r="U785" s="88"/>
    </row>
    <row r="786" ht="15.75" customHeight="1">
      <c r="A786" s="2"/>
      <c r="B786" s="2"/>
      <c r="C786" s="2"/>
      <c r="D786" s="2"/>
      <c r="E786" s="2"/>
      <c r="F786" s="2"/>
      <c r="G786" s="2"/>
      <c r="H786" s="2"/>
      <c r="I786" s="2"/>
      <c r="J786" s="74"/>
      <c r="K786" s="74"/>
      <c r="L786" s="74"/>
      <c r="M786" s="74"/>
      <c r="N786" s="2"/>
      <c r="O786" s="2"/>
      <c r="P786" s="2"/>
      <c r="Q786" s="74"/>
      <c r="R786" s="2"/>
      <c r="S786" s="2"/>
      <c r="T786" s="76"/>
      <c r="U786" s="88"/>
    </row>
    <row r="787" ht="15.75" customHeight="1">
      <c r="A787" s="2"/>
      <c r="B787" s="2"/>
      <c r="C787" s="2"/>
      <c r="D787" s="2"/>
      <c r="E787" s="2"/>
      <c r="F787" s="2"/>
      <c r="G787" s="2"/>
      <c r="H787" s="2"/>
      <c r="I787" s="2"/>
      <c r="J787" s="74"/>
      <c r="K787" s="74"/>
      <c r="L787" s="74"/>
      <c r="M787" s="74"/>
      <c r="N787" s="2"/>
      <c r="O787" s="2"/>
      <c r="P787" s="2"/>
      <c r="Q787" s="74"/>
      <c r="R787" s="2"/>
      <c r="S787" s="2"/>
      <c r="T787" s="76"/>
      <c r="U787" s="88"/>
    </row>
    <row r="788" ht="15.75" customHeight="1">
      <c r="A788" s="2"/>
      <c r="B788" s="2"/>
      <c r="C788" s="2"/>
      <c r="D788" s="2"/>
      <c r="E788" s="2"/>
      <c r="F788" s="2"/>
      <c r="G788" s="2"/>
      <c r="H788" s="2"/>
      <c r="I788" s="2"/>
      <c r="J788" s="74"/>
      <c r="K788" s="74"/>
      <c r="L788" s="74"/>
      <c r="M788" s="74"/>
      <c r="N788" s="2"/>
      <c r="O788" s="2"/>
      <c r="P788" s="2"/>
      <c r="Q788" s="74"/>
      <c r="R788" s="2"/>
      <c r="S788" s="2"/>
      <c r="T788" s="76"/>
      <c r="U788" s="88"/>
    </row>
    <row r="789" ht="15.75" customHeight="1">
      <c r="A789" s="2"/>
      <c r="B789" s="2"/>
      <c r="C789" s="2"/>
      <c r="D789" s="2"/>
      <c r="E789" s="2"/>
      <c r="F789" s="2"/>
      <c r="G789" s="2"/>
      <c r="H789" s="2"/>
      <c r="I789" s="2"/>
      <c r="J789" s="74"/>
      <c r="K789" s="74"/>
      <c r="L789" s="74"/>
      <c r="M789" s="74"/>
      <c r="N789" s="2"/>
      <c r="O789" s="2"/>
      <c r="P789" s="2"/>
      <c r="Q789" s="74"/>
      <c r="R789" s="2"/>
      <c r="S789" s="2"/>
      <c r="T789" s="76"/>
      <c r="U789" s="88"/>
    </row>
    <row r="790" ht="15.75" customHeight="1">
      <c r="A790" s="2"/>
      <c r="B790" s="2"/>
      <c r="C790" s="2"/>
      <c r="D790" s="2"/>
      <c r="E790" s="2"/>
      <c r="F790" s="2"/>
      <c r="G790" s="2"/>
      <c r="H790" s="2"/>
      <c r="I790" s="2"/>
      <c r="J790" s="74"/>
      <c r="K790" s="74"/>
      <c r="L790" s="74"/>
      <c r="M790" s="74"/>
      <c r="N790" s="2"/>
      <c r="O790" s="2"/>
      <c r="P790" s="2"/>
      <c r="Q790" s="74"/>
      <c r="R790" s="2"/>
      <c r="S790" s="2"/>
      <c r="T790" s="76"/>
      <c r="U790" s="88"/>
    </row>
    <row r="791" ht="15.75" customHeight="1">
      <c r="A791" s="2"/>
      <c r="B791" s="2"/>
      <c r="C791" s="2"/>
      <c r="D791" s="2"/>
      <c r="E791" s="2"/>
      <c r="F791" s="2"/>
      <c r="G791" s="2"/>
      <c r="H791" s="2"/>
      <c r="I791" s="2"/>
      <c r="J791" s="74"/>
      <c r="K791" s="74"/>
      <c r="L791" s="74"/>
      <c r="M791" s="74"/>
      <c r="N791" s="2"/>
      <c r="O791" s="2"/>
      <c r="P791" s="2"/>
      <c r="Q791" s="74"/>
      <c r="R791" s="2"/>
      <c r="S791" s="2"/>
      <c r="T791" s="76"/>
      <c r="U791" s="88"/>
    </row>
    <row r="792" ht="15.75" customHeight="1">
      <c r="A792" s="2"/>
      <c r="B792" s="2"/>
      <c r="C792" s="2"/>
      <c r="D792" s="2"/>
      <c r="E792" s="2"/>
      <c r="F792" s="2"/>
      <c r="G792" s="2"/>
      <c r="H792" s="2"/>
      <c r="I792" s="2"/>
      <c r="J792" s="74"/>
      <c r="K792" s="74"/>
      <c r="L792" s="74"/>
      <c r="M792" s="74"/>
      <c r="N792" s="2"/>
      <c r="O792" s="2"/>
      <c r="P792" s="2"/>
      <c r="Q792" s="74"/>
      <c r="R792" s="2"/>
      <c r="S792" s="2"/>
      <c r="T792" s="76"/>
      <c r="U792" s="88"/>
    </row>
    <row r="793" ht="15.75" customHeight="1">
      <c r="A793" s="2"/>
      <c r="B793" s="2"/>
      <c r="C793" s="2"/>
      <c r="D793" s="2"/>
      <c r="E793" s="2"/>
      <c r="F793" s="2"/>
      <c r="G793" s="2"/>
      <c r="H793" s="2"/>
      <c r="I793" s="2"/>
      <c r="J793" s="74"/>
      <c r="K793" s="74"/>
      <c r="L793" s="74"/>
      <c r="M793" s="74"/>
      <c r="N793" s="2"/>
      <c r="O793" s="2"/>
      <c r="P793" s="2"/>
      <c r="Q793" s="74"/>
      <c r="R793" s="2"/>
      <c r="S793" s="2"/>
      <c r="T793" s="76"/>
      <c r="U793" s="88"/>
    </row>
    <row r="794" ht="15.75" customHeight="1">
      <c r="A794" s="2"/>
      <c r="B794" s="2"/>
      <c r="C794" s="2"/>
      <c r="D794" s="2"/>
      <c r="E794" s="2"/>
      <c r="F794" s="2"/>
      <c r="G794" s="2"/>
      <c r="H794" s="2"/>
      <c r="I794" s="2"/>
      <c r="J794" s="74"/>
      <c r="K794" s="74"/>
      <c r="L794" s="74"/>
      <c r="M794" s="74"/>
      <c r="N794" s="2"/>
      <c r="O794" s="2"/>
      <c r="P794" s="2"/>
      <c r="Q794" s="74"/>
      <c r="R794" s="2"/>
      <c r="S794" s="2"/>
      <c r="T794" s="76"/>
      <c r="U794" s="88"/>
    </row>
    <row r="795" ht="15.75" customHeight="1">
      <c r="A795" s="2"/>
      <c r="B795" s="2"/>
      <c r="C795" s="2"/>
      <c r="D795" s="2"/>
      <c r="E795" s="2"/>
      <c r="F795" s="2"/>
      <c r="G795" s="2"/>
      <c r="H795" s="2"/>
      <c r="I795" s="2"/>
      <c r="J795" s="74"/>
      <c r="K795" s="74"/>
      <c r="L795" s="74"/>
      <c r="M795" s="74"/>
      <c r="N795" s="2"/>
      <c r="O795" s="2"/>
      <c r="P795" s="2"/>
      <c r="Q795" s="74"/>
      <c r="R795" s="2"/>
      <c r="S795" s="2"/>
      <c r="T795" s="76"/>
      <c r="U795" s="88"/>
    </row>
    <row r="796" ht="15.75" customHeight="1">
      <c r="A796" s="2"/>
      <c r="B796" s="2"/>
      <c r="C796" s="2"/>
      <c r="D796" s="2"/>
      <c r="E796" s="2"/>
      <c r="F796" s="2"/>
      <c r="G796" s="2"/>
      <c r="H796" s="2"/>
      <c r="I796" s="2"/>
      <c r="J796" s="74"/>
      <c r="K796" s="74"/>
      <c r="L796" s="74"/>
      <c r="M796" s="74"/>
      <c r="N796" s="2"/>
      <c r="O796" s="2"/>
      <c r="P796" s="2"/>
      <c r="Q796" s="74"/>
      <c r="R796" s="2"/>
      <c r="S796" s="2"/>
      <c r="T796" s="76"/>
      <c r="U796" s="88"/>
    </row>
    <row r="797" ht="15.75" customHeight="1">
      <c r="A797" s="2"/>
      <c r="B797" s="2"/>
      <c r="C797" s="2"/>
      <c r="D797" s="2"/>
      <c r="E797" s="2"/>
      <c r="F797" s="2"/>
      <c r="G797" s="2"/>
      <c r="H797" s="2"/>
      <c r="I797" s="2"/>
      <c r="J797" s="74"/>
      <c r="K797" s="74"/>
      <c r="L797" s="74"/>
      <c r="M797" s="74"/>
      <c r="N797" s="2"/>
      <c r="O797" s="2"/>
      <c r="P797" s="2"/>
      <c r="Q797" s="74"/>
      <c r="R797" s="2"/>
      <c r="S797" s="2"/>
      <c r="T797" s="76"/>
      <c r="U797" s="88"/>
    </row>
    <row r="798" ht="15.75" customHeight="1">
      <c r="A798" s="2"/>
      <c r="B798" s="2"/>
      <c r="C798" s="2"/>
      <c r="D798" s="2"/>
      <c r="E798" s="2"/>
      <c r="F798" s="2"/>
      <c r="G798" s="2"/>
      <c r="H798" s="2"/>
      <c r="I798" s="2"/>
      <c r="J798" s="74"/>
      <c r="K798" s="74"/>
      <c r="L798" s="74"/>
      <c r="M798" s="74"/>
      <c r="N798" s="2"/>
      <c r="O798" s="2"/>
      <c r="P798" s="2"/>
      <c r="Q798" s="74"/>
      <c r="R798" s="2"/>
      <c r="S798" s="2"/>
      <c r="T798" s="76"/>
      <c r="U798" s="88"/>
    </row>
    <row r="799" ht="15.75" customHeight="1">
      <c r="A799" s="2"/>
      <c r="B799" s="2"/>
      <c r="C799" s="2"/>
      <c r="D799" s="2"/>
      <c r="E799" s="2"/>
      <c r="F799" s="2"/>
      <c r="G799" s="2"/>
      <c r="H799" s="2"/>
      <c r="I799" s="2"/>
      <c r="J799" s="74"/>
      <c r="K799" s="74"/>
      <c r="L799" s="74"/>
      <c r="M799" s="74"/>
      <c r="N799" s="2"/>
      <c r="O799" s="2"/>
      <c r="P799" s="2"/>
      <c r="Q799" s="74"/>
      <c r="R799" s="2"/>
      <c r="S799" s="2"/>
      <c r="T799" s="76"/>
      <c r="U799" s="88"/>
    </row>
    <row r="800" ht="15.75" customHeight="1">
      <c r="A800" s="2"/>
      <c r="B800" s="2"/>
      <c r="C800" s="2"/>
      <c r="D800" s="2"/>
      <c r="E800" s="2"/>
      <c r="F800" s="2"/>
      <c r="G800" s="2"/>
      <c r="H800" s="2"/>
      <c r="I800" s="2"/>
      <c r="J800" s="74"/>
      <c r="K800" s="74"/>
      <c r="L800" s="74"/>
      <c r="M800" s="74"/>
      <c r="N800" s="2"/>
      <c r="O800" s="2"/>
      <c r="P800" s="2"/>
      <c r="Q800" s="74"/>
      <c r="R800" s="2"/>
      <c r="S800" s="2"/>
      <c r="T800" s="76"/>
      <c r="U800" s="88"/>
    </row>
    <row r="801" ht="15.75" customHeight="1">
      <c r="A801" s="2"/>
      <c r="B801" s="2"/>
      <c r="C801" s="2"/>
      <c r="D801" s="2"/>
      <c r="E801" s="2"/>
      <c r="F801" s="2"/>
      <c r="G801" s="2"/>
      <c r="H801" s="2"/>
      <c r="I801" s="2"/>
      <c r="J801" s="74"/>
      <c r="K801" s="74"/>
      <c r="L801" s="74"/>
      <c r="M801" s="74"/>
      <c r="N801" s="2"/>
      <c r="O801" s="2"/>
      <c r="P801" s="2"/>
      <c r="Q801" s="74"/>
      <c r="R801" s="2"/>
      <c r="S801" s="2"/>
      <c r="T801" s="76"/>
      <c r="U801" s="88"/>
    </row>
    <row r="802" ht="15.75" customHeight="1">
      <c r="A802" s="2"/>
      <c r="B802" s="2"/>
      <c r="C802" s="2"/>
      <c r="D802" s="2"/>
      <c r="E802" s="2"/>
      <c r="F802" s="2"/>
      <c r="G802" s="2"/>
      <c r="H802" s="2"/>
      <c r="I802" s="2"/>
      <c r="J802" s="74"/>
      <c r="K802" s="74"/>
      <c r="L802" s="74"/>
      <c r="M802" s="74"/>
      <c r="N802" s="2"/>
      <c r="O802" s="2"/>
      <c r="P802" s="2"/>
      <c r="Q802" s="74"/>
      <c r="R802" s="2"/>
      <c r="S802" s="2"/>
      <c r="T802" s="76"/>
      <c r="U802" s="88"/>
    </row>
    <row r="803" ht="15.75" customHeight="1">
      <c r="A803" s="2"/>
      <c r="B803" s="2"/>
      <c r="C803" s="2"/>
      <c r="D803" s="2"/>
      <c r="E803" s="2"/>
      <c r="F803" s="2"/>
      <c r="G803" s="2"/>
      <c r="H803" s="2"/>
      <c r="I803" s="2"/>
      <c r="J803" s="74"/>
      <c r="K803" s="74"/>
      <c r="L803" s="74"/>
      <c r="M803" s="74"/>
      <c r="N803" s="2"/>
      <c r="O803" s="2"/>
      <c r="P803" s="2"/>
      <c r="Q803" s="74"/>
      <c r="R803" s="2"/>
      <c r="S803" s="2"/>
      <c r="T803" s="76"/>
      <c r="U803" s="88"/>
    </row>
    <row r="804" ht="15.75" customHeight="1">
      <c r="A804" s="2"/>
      <c r="B804" s="2"/>
      <c r="C804" s="2"/>
      <c r="D804" s="2"/>
      <c r="E804" s="2"/>
      <c r="F804" s="2"/>
      <c r="G804" s="2"/>
      <c r="H804" s="2"/>
      <c r="I804" s="2"/>
      <c r="J804" s="74"/>
      <c r="K804" s="74"/>
      <c r="L804" s="74"/>
      <c r="M804" s="74"/>
      <c r="N804" s="2"/>
      <c r="O804" s="2"/>
      <c r="P804" s="2"/>
      <c r="Q804" s="74"/>
      <c r="R804" s="2"/>
      <c r="S804" s="2"/>
      <c r="T804" s="76"/>
      <c r="U804" s="88"/>
    </row>
    <row r="805" ht="15.75" customHeight="1">
      <c r="A805" s="2"/>
      <c r="B805" s="2"/>
      <c r="C805" s="2"/>
      <c r="D805" s="2"/>
      <c r="E805" s="2"/>
      <c r="F805" s="2"/>
      <c r="G805" s="2"/>
      <c r="H805" s="2"/>
      <c r="I805" s="2"/>
      <c r="J805" s="74"/>
      <c r="K805" s="74"/>
      <c r="L805" s="74"/>
      <c r="M805" s="74"/>
      <c r="N805" s="2"/>
      <c r="O805" s="2"/>
      <c r="P805" s="2"/>
      <c r="Q805" s="74"/>
      <c r="R805" s="2"/>
      <c r="S805" s="2"/>
      <c r="T805" s="76"/>
      <c r="U805" s="88"/>
    </row>
    <row r="806" ht="15.75" customHeight="1">
      <c r="A806" s="2"/>
      <c r="B806" s="2"/>
      <c r="C806" s="2"/>
      <c r="D806" s="2"/>
      <c r="E806" s="2"/>
      <c r="F806" s="2"/>
      <c r="G806" s="2"/>
      <c r="H806" s="2"/>
      <c r="I806" s="2"/>
      <c r="J806" s="74"/>
      <c r="K806" s="74"/>
      <c r="L806" s="74"/>
      <c r="M806" s="74"/>
      <c r="N806" s="2"/>
      <c r="O806" s="2"/>
      <c r="P806" s="2"/>
      <c r="Q806" s="74"/>
      <c r="R806" s="2"/>
      <c r="S806" s="2"/>
      <c r="T806" s="76"/>
      <c r="U806" s="88"/>
    </row>
    <row r="807" ht="15.75" customHeight="1">
      <c r="A807" s="2"/>
      <c r="B807" s="2"/>
      <c r="C807" s="2"/>
      <c r="D807" s="2"/>
      <c r="E807" s="2"/>
      <c r="F807" s="2"/>
      <c r="G807" s="2"/>
      <c r="H807" s="2"/>
      <c r="I807" s="2"/>
      <c r="J807" s="74"/>
      <c r="K807" s="74"/>
      <c r="L807" s="74"/>
      <c r="M807" s="74"/>
      <c r="N807" s="2"/>
      <c r="O807" s="2"/>
      <c r="P807" s="2"/>
      <c r="Q807" s="74"/>
      <c r="R807" s="2"/>
      <c r="S807" s="2"/>
      <c r="T807" s="76"/>
      <c r="U807" s="88"/>
    </row>
    <row r="808" ht="15.75" customHeight="1">
      <c r="A808" s="2"/>
      <c r="B808" s="2"/>
      <c r="C808" s="2"/>
      <c r="D808" s="2"/>
      <c r="E808" s="2"/>
      <c r="F808" s="2"/>
      <c r="G808" s="2"/>
      <c r="H808" s="2"/>
      <c r="I808" s="2"/>
      <c r="J808" s="74"/>
      <c r="K808" s="74"/>
      <c r="L808" s="74"/>
      <c r="M808" s="74"/>
      <c r="N808" s="2"/>
      <c r="O808" s="2"/>
      <c r="P808" s="2"/>
      <c r="Q808" s="74"/>
      <c r="R808" s="2"/>
      <c r="S808" s="2"/>
      <c r="T808" s="76"/>
      <c r="U808" s="88"/>
    </row>
    <row r="809" ht="15.75" customHeight="1">
      <c r="A809" s="2"/>
      <c r="B809" s="2"/>
      <c r="C809" s="2"/>
      <c r="D809" s="2"/>
      <c r="E809" s="2"/>
      <c r="F809" s="2"/>
      <c r="G809" s="2"/>
      <c r="H809" s="2"/>
      <c r="I809" s="2"/>
      <c r="J809" s="74"/>
      <c r="K809" s="74"/>
      <c r="L809" s="74"/>
      <c r="M809" s="74"/>
      <c r="N809" s="2"/>
      <c r="O809" s="2"/>
      <c r="P809" s="2"/>
      <c r="Q809" s="74"/>
      <c r="R809" s="2"/>
      <c r="S809" s="2"/>
      <c r="T809" s="76"/>
      <c r="U809" s="88"/>
    </row>
    <row r="810" ht="15.75" customHeight="1">
      <c r="A810" s="2"/>
      <c r="B810" s="2"/>
      <c r="C810" s="2"/>
      <c r="D810" s="2"/>
      <c r="E810" s="2"/>
      <c r="F810" s="2"/>
      <c r="G810" s="2"/>
      <c r="H810" s="2"/>
      <c r="I810" s="2"/>
      <c r="J810" s="74"/>
      <c r="K810" s="74"/>
      <c r="L810" s="74"/>
      <c r="M810" s="74"/>
      <c r="N810" s="2"/>
      <c r="O810" s="2"/>
      <c r="P810" s="2"/>
      <c r="Q810" s="74"/>
      <c r="R810" s="2"/>
      <c r="S810" s="2"/>
      <c r="T810" s="76"/>
      <c r="U810" s="88"/>
    </row>
    <row r="811" ht="15.75" customHeight="1">
      <c r="A811" s="2"/>
      <c r="B811" s="2"/>
      <c r="C811" s="2"/>
      <c r="D811" s="2"/>
      <c r="E811" s="2"/>
      <c r="F811" s="2"/>
      <c r="G811" s="2"/>
      <c r="H811" s="2"/>
      <c r="I811" s="2"/>
      <c r="J811" s="74"/>
      <c r="K811" s="74"/>
      <c r="L811" s="74"/>
      <c r="M811" s="74"/>
      <c r="N811" s="2"/>
      <c r="O811" s="2"/>
      <c r="P811" s="2"/>
      <c r="Q811" s="74"/>
      <c r="R811" s="2"/>
      <c r="S811" s="2"/>
      <c r="T811" s="76"/>
      <c r="U811" s="88"/>
    </row>
    <row r="812" ht="15.75" customHeight="1">
      <c r="A812" s="2"/>
      <c r="B812" s="2"/>
      <c r="C812" s="2"/>
      <c r="D812" s="2"/>
      <c r="E812" s="2"/>
      <c r="F812" s="2"/>
      <c r="G812" s="2"/>
      <c r="H812" s="2"/>
      <c r="I812" s="2"/>
      <c r="J812" s="74"/>
      <c r="K812" s="74"/>
      <c r="L812" s="74"/>
      <c r="M812" s="74"/>
      <c r="N812" s="2"/>
      <c r="O812" s="2"/>
      <c r="P812" s="2"/>
      <c r="Q812" s="74"/>
      <c r="R812" s="2"/>
      <c r="S812" s="2"/>
      <c r="T812" s="76"/>
      <c r="U812" s="88"/>
    </row>
    <row r="813" ht="15.75" customHeight="1">
      <c r="A813" s="2"/>
      <c r="B813" s="2"/>
      <c r="C813" s="2"/>
      <c r="D813" s="2"/>
      <c r="E813" s="2"/>
      <c r="F813" s="2"/>
      <c r="G813" s="2"/>
      <c r="H813" s="2"/>
      <c r="I813" s="2"/>
      <c r="J813" s="74"/>
      <c r="K813" s="74"/>
      <c r="L813" s="74"/>
      <c r="M813" s="74"/>
      <c r="N813" s="2"/>
      <c r="O813" s="2"/>
      <c r="P813" s="2"/>
      <c r="Q813" s="74"/>
      <c r="R813" s="2"/>
      <c r="S813" s="2"/>
      <c r="T813" s="76"/>
      <c r="U813" s="88"/>
    </row>
    <row r="814" ht="15.75" customHeight="1">
      <c r="A814" s="2"/>
      <c r="B814" s="2"/>
      <c r="C814" s="2"/>
      <c r="D814" s="2"/>
      <c r="E814" s="2"/>
      <c r="F814" s="2"/>
      <c r="G814" s="2"/>
      <c r="H814" s="2"/>
      <c r="I814" s="2"/>
      <c r="J814" s="74"/>
      <c r="K814" s="74"/>
      <c r="L814" s="74"/>
      <c r="M814" s="74"/>
      <c r="N814" s="2"/>
      <c r="O814" s="2"/>
      <c r="P814" s="2"/>
      <c r="Q814" s="74"/>
      <c r="R814" s="2"/>
      <c r="S814" s="2"/>
      <c r="T814" s="76"/>
      <c r="U814" s="88"/>
    </row>
    <row r="815" ht="15.75" customHeight="1">
      <c r="A815" s="2"/>
      <c r="B815" s="2"/>
      <c r="C815" s="2"/>
      <c r="D815" s="2"/>
      <c r="E815" s="2"/>
      <c r="F815" s="2"/>
      <c r="G815" s="2"/>
      <c r="H815" s="2"/>
      <c r="I815" s="2"/>
      <c r="J815" s="74"/>
      <c r="K815" s="74"/>
      <c r="L815" s="74"/>
      <c r="M815" s="74"/>
      <c r="N815" s="2"/>
      <c r="O815" s="2"/>
      <c r="P815" s="2"/>
      <c r="Q815" s="74"/>
      <c r="R815" s="2"/>
      <c r="S815" s="2"/>
      <c r="T815" s="76"/>
      <c r="U815" s="88"/>
    </row>
    <row r="816" ht="15.75" customHeight="1">
      <c r="A816" s="2"/>
      <c r="B816" s="2"/>
      <c r="C816" s="2"/>
      <c r="D816" s="2"/>
      <c r="E816" s="2"/>
      <c r="F816" s="2"/>
      <c r="G816" s="2"/>
      <c r="H816" s="2"/>
      <c r="I816" s="2"/>
      <c r="J816" s="74"/>
      <c r="K816" s="74"/>
      <c r="L816" s="74"/>
      <c r="M816" s="74"/>
      <c r="N816" s="2"/>
      <c r="O816" s="2"/>
      <c r="P816" s="2"/>
      <c r="Q816" s="74"/>
      <c r="R816" s="2"/>
      <c r="S816" s="2"/>
      <c r="T816" s="76"/>
      <c r="U816" s="88"/>
    </row>
    <row r="817" ht="15.75" customHeight="1">
      <c r="A817" s="2"/>
      <c r="B817" s="2"/>
      <c r="C817" s="2"/>
      <c r="D817" s="2"/>
      <c r="E817" s="2"/>
      <c r="F817" s="2"/>
      <c r="G817" s="2"/>
      <c r="H817" s="2"/>
      <c r="I817" s="2"/>
      <c r="J817" s="74"/>
      <c r="K817" s="74"/>
      <c r="L817" s="74"/>
      <c r="M817" s="74"/>
      <c r="N817" s="2"/>
      <c r="O817" s="2"/>
      <c r="P817" s="2"/>
      <c r="Q817" s="74"/>
      <c r="R817" s="2"/>
      <c r="S817" s="2"/>
      <c r="T817" s="76"/>
      <c r="U817" s="88"/>
    </row>
    <row r="818" ht="15.75" customHeight="1">
      <c r="A818" s="2"/>
      <c r="B818" s="2"/>
      <c r="C818" s="2"/>
      <c r="D818" s="2"/>
      <c r="E818" s="2"/>
      <c r="F818" s="2"/>
      <c r="G818" s="2"/>
      <c r="H818" s="2"/>
      <c r="I818" s="2"/>
      <c r="J818" s="74"/>
      <c r="K818" s="74"/>
      <c r="L818" s="74"/>
      <c r="M818" s="74"/>
      <c r="N818" s="2"/>
      <c r="O818" s="2"/>
      <c r="P818" s="2"/>
      <c r="Q818" s="74"/>
      <c r="R818" s="2"/>
      <c r="S818" s="2"/>
      <c r="T818" s="76"/>
      <c r="U818" s="88"/>
    </row>
    <row r="819" ht="15.75" customHeight="1">
      <c r="A819" s="2"/>
      <c r="B819" s="2"/>
      <c r="C819" s="2"/>
      <c r="D819" s="2"/>
      <c r="E819" s="2"/>
      <c r="F819" s="2"/>
      <c r="G819" s="2"/>
      <c r="H819" s="2"/>
      <c r="I819" s="2"/>
      <c r="J819" s="74"/>
      <c r="K819" s="74"/>
      <c r="L819" s="74"/>
      <c r="M819" s="74"/>
      <c r="N819" s="2"/>
      <c r="O819" s="2"/>
      <c r="P819" s="2"/>
      <c r="Q819" s="74"/>
      <c r="R819" s="2"/>
      <c r="S819" s="2"/>
      <c r="T819" s="76"/>
      <c r="U819" s="88"/>
    </row>
    <row r="820" ht="15.75" customHeight="1">
      <c r="A820" s="2"/>
      <c r="B820" s="2"/>
      <c r="C820" s="2"/>
      <c r="D820" s="2"/>
      <c r="E820" s="2"/>
      <c r="F820" s="2"/>
      <c r="G820" s="2"/>
      <c r="H820" s="2"/>
      <c r="I820" s="2"/>
      <c r="J820" s="74"/>
      <c r="K820" s="74"/>
      <c r="L820" s="74"/>
      <c r="M820" s="74"/>
      <c r="N820" s="2"/>
      <c r="O820" s="2"/>
      <c r="P820" s="2"/>
      <c r="Q820" s="74"/>
      <c r="R820" s="2"/>
      <c r="S820" s="2"/>
      <c r="T820" s="76"/>
      <c r="U820" s="88"/>
    </row>
    <row r="821" ht="15.75" customHeight="1">
      <c r="A821" s="2"/>
      <c r="B821" s="2"/>
      <c r="C821" s="2"/>
      <c r="D821" s="2"/>
      <c r="E821" s="2"/>
      <c r="F821" s="2"/>
      <c r="G821" s="2"/>
      <c r="H821" s="2"/>
      <c r="I821" s="2"/>
      <c r="J821" s="74"/>
      <c r="K821" s="74"/>
      <c r="L821" s="74"/>
      <c r="M821" s="74"/>
      <c r="N821" s="2"/>
      <c r="O821" s="2"/>
      <c r="P821" s="2"/>
      <c r="Q821" s="74"/>
      <c r="R821" s="2"/>
      <c r="S821" s="2"/>
      <c r="T821" s="76"/>
      <c r="U821" s="88"/>
    </row>
    <row r="822" ht="15.75" customHeight="1">
      <c r="A822" s="2"/>
      <c r="B822" s="2"/>
      <c r="C822" s="2"/>
      <c r="D822" s="2"/>
      <c r="E822" s="2"/>
      <c r="F822" s="2"/>
      <c r="G822" s="2"/>
      <c r="H822" s="2"/>
      <c r="I822" s="2"/>
      <c r="J822" s="74"/>
      <c r="K822" s="74"/>
      <c r="L822" s="74"/>
      <c r="M822" s="74"/>
      <c r="N822" s="2"/>
      <c r="O822" s="2"/>
      <c r="P822" s="2"/>
      <c r="Q822" s="74"/>
      <c r="R822" s="2"/>
      <c r="S822" s="2"/>
      <c r="T822" s="76"/>
      <c r="U822" s="88"/>
    </row>
    <row r="823" ht="15.75" customHeight="1">
      <c r="A823" s="2"/>
      <c r="B823" s="2"/>
      <c r="C823" s="2"/>
      <c r="D823" s="2"/>
      <c r="E823" s="2"/>
      <c r="F823" s="2"/>
      <c r="G823" s="2"/>
      <c r="H823" s="2"/>
      <c r="I823" s="2"/>
      <c r="J823" s="74"/>
      <c r="K823" s="74"/>
      <c r="L823" s="74"/>
      <c r="M823" s="74"/>
      <c r="N823" s="2"/>
      <c r="O823" s="2"/>
      <c r="P823" s="2"/>
      <c r="Q823" s="74"/>
      <c r="R823" s="2"/>
      <c r="S823" s="2"/>
      <c r="T823" s="76"/>
      <c r="U823" s="88"/>
    </row>
    <row r="824" ht="15.75" customHeight="1">
      <c r="A824" s="2"/>
      <c r="B824" s="2"/>
      <c r="C824" s="2"/>
      <c r="D824" s="2"/>
      <c r="E824" s="2"/>
      <c r="F824" s="2"/>
      <c r="G824" s="2"/>
      <c r="H824" s="2"/>
      <c r="I824" s="2"/>
      <c r="J824" s="74"/>
      <c r="K824" s="74"/>
      <c r="L824" s="74"/>
      <c r="M824" s="74"/>
      <c r="N824" s="2"/>
      <c r="O824" s="2"/>
      <c r="P824" s="2"/>
      <c r="Q824" s="74"/>
      <c r="R824" s="2"/>
      <c r="S824" s="2"/>
      <c r="T824" s="76"/>
      <c r="U824" s="88"/>
    </row>
    <row r="825" ht="15.75" customHeight="1">
      <c r="A825" s="2"/>
      <c r="B825" s="2"/>
      <c r="C825" s="2"/>
      <c r="D825" s="2"/>
      <c r="E825" s="2"/>
      <c r="F825" s="2"/>
      <c r="G825" s="2"/>
      <c r="H825" s="2"/>
      <c r="I825" s="2"/>
      <c r="J825" s="74"/>
      <c r="K825" s="74"/>
      <c r="L825" s="74"/>
      <c r="M825" s="74"/>
      <c r="N825" s="2"/>
      <c r="O825" s="2"/>
      <c r="P825" s="2"/>
      <c r="Q825" s="74"/>
      <c r="R825" s="2"/>
      <c r="S825" s="2"/>
      <c r="T825" s="76"/>
      <c r="U825" s="88"/>
    </row>
    <row r="826" ht="15.75" customHeight="1">
      <c r="A826" s="2"/>
      <c r="B826" s="2"/>
      <c r="C826" s="2"/>
      <c r="D826" s="2"/>
      <c r="E826" s="2"/>
      <c r="F826" s="2"/>
      <c r="G826" s="2"/>
      <c r="H826" s="2"/>
      <c r="I826" s="2"/>
      <c r="J826" s="74"/>
      <c r="K826" s="74"/>
      <c r="L826" s="74"/>
      <c r="M826" s="74"/>
      <c r="N826" s="2"/>
      <c r="O826" s="2"/>
      <c r="P826" s="2"/>
      <c r="Q826" s="74"/>
      <c r="R826" s="2"/>
      <c r="S826" s="2"/>
      <c r="T826" s="76"/>
      <c r="U826" s="88"/>
    </row>
    <row r="827" ht="15.75" customHeight="1">
      <c r="A827" s="2"/>
      <c r="B827" s="2"/>
      <c r="C827" s="2"/>
      <c r="D827" s="2"/>
      <c r="E827" s="2"/>
      <c r="F827" s="2"/>
      <c r="G827" s="2"/>
      <c r="H827" s="2"/>
      <c r="I827" s="2"/>
      <c r="J827" s="74"/>
      <c r="K827" s="74"/>
      <c r="L827" s="74"/>
      <c r="M827" s="74"/>
      <c r="N827" s="2"/>
      <c r="O827" s="2"/>
      <c r="P827" s="2"/>
      <c r="Q827" s="74"/>
      <c r="R827" s="2"/>
      <c r="S827" s="2"/>
      <c r="T827" s="76"/>
      <c r="U827" s="88"/>
    </row>
    <row r="828" ht="15.75" customHeight="1">
      <c r="A828" s="2"/>
      <c r="B828" s="2"/>
      <c r="C828" s="2"/>
      <c r="D828" s="2"/>
      <c r="E828" s="2"/>
      <c r="F828" s="2"/>
      <c r="G828" s="2"/>
      <c r="H828" s="2"/>
      <c r="I828" s="2"/>
      <c r="J828" s="74"/>
      <c r="K828" s="74"/>
      <c r="L828" s="74"/>
      <c r="M828" s="74"/>
      <c r="N828" s="2"/>
      <c r="O828" s="2"/>
      <c r="P828" s="2"/>
      <c r="Q828" s="74"/>
      <c r="R828" s="2"/>
      <c r="S828" s="2"/>
      <c r="T828" s="76"/>
      <c r="U828" s="88"/>
    </row>
    <row r="829" ht="15.75" customHeight="1">
      <c r="A829" s="2"/>
      <c r="B829" s="2"/>
      <c r="C829" s="2"/>
      <c r="D829" s="2"/>
      <c r="E829" s="2"/>
      <c r="F829" s="2"/>
      <c r="G829" s="2"/>
      <c r="H829" s="2"/>
      <c r="I829" s="2"/>
      <c r="J829" s="74"/>
      <c r="K829" s="74"/>
      <c r="L829" s="74"/>
      <c r="M829" s="74"/>
      <c r="N829" s="2"/>
      <c r="O829" s="2"/>
      <c r="P829" s="2"/>
      <c r="Q829" s="74"/>
      <c r="R829" s="2"/>
      <c r="S829" s="2"/>
      <c r="T829" s="76"/>
      <c r="U829" s="88"/>
    </row>
    <row r="830" ht="15.75" customHeight="1">
      <c r="A830" s="2"/>
      <c r="B830" s="2"/>
      <c r="C830" s="2"/>
      <c r="D830" s="2"/>
      <c r="E830" s="2"/>
      <c r="F830" s="2"/>
      <c r="G830" s="2"/>
      <c r="H830" s="2"/>
      <c r="I830" s="2"/>
      <c r="J830" s="74"/>
      <c r="K830" s="74"/>
      <c r="L830" s="74"/>
      <c r="M830" s="74"/>
      <c r="N830" s="2"/>
      <c r="O830" s="2"/>
      <c r="P830" s="2"/>
      <c r="Q830" s="74"/>
      <c r="R830" s="2"/>
      <c r="S830" s="2"/>
      <c r="T830" s="76"/>
      <c r="U830" s="88"/>
    </row>
    <row r="831" ht="15.75" customHeight="1">
      <c r="A831" s="2"/>
      <c r="B831" s="2"/>
      <c r="C831" s="2"/>
      <c r="D831" s="2"/>
      <c r="E831" s="2"/>
      <c r="F831" s="2"/>
      <c r="G831" s="2"/>
      <c r="H831" s="2"/>
      <c r="I831" s="2"/>
      <c r="J831" s="74"/>
      <c r="K831" s="74"/>
      <c r="L831" s="74"/>
      <c r="M831" s="74"/>
      <c r="N831" s="2"/>
      <c r="O831" s="2"/>
      <c r="P831" s="2"/>
      <c r="Q831" s="74"/>
      <c r="R831" s="2"/>
      <c r="S831" s="2"/>
      <c r="T831" s="76"/>
      <c r="U831" s="88"/>
    </row>
    <row r="832" ht="15.75" customHeight="1">
      <c r="A832" s="2"/>
      <c r="B832" s="2"/>
      <c r="C832" s="2"/>
      <c r="D832" s="2"/>
      <c r="E832" s="2"/>
      <c r="F832" s="2"/>
      <c r="G832" s="2"/>
      <c r="H832" s="2"/>
      <c r="I832" s="2"/>
      <c r="J832" s="74"/>
      <c r="K832" s="74"/>
      <c r="L832" s="74"/>
      <c r="M832" s="74"/>
      <c r="N832" s="2"/>
      <c r="O832" s="2"/>
      <c r="P832" s="2"/>
      <c r="Q832" s="74"/>
      <c r="R832" s="2"/>
      <c r="S832" s="2"/>
      <c r="T832" s="76"/>
      <c r="U832" s="88"/>
    </row>
    <row r="833" ht="15.75" customHeight="1">
      <c r="A833" s="2"/>
      <c r="B833" s="2"/>
      <c r="C833" s="2"/>
      <c r="D833" s="2"/>
      <c r="E833" s="2"/>
      <c r="F833" s="2"/>
      <c r="G833" s="2"/>
      <c r="H833" s="2"/>
      <c r="I833" s="2"/>
      <c r="J833" s="74"/>
      <c r="K833" s="74"/>
      <c r="L833" s="74"/>
      <c r="M833" s="74"/>
      <c r="N833" s="2"/>
      <c r="O833" s="2"/>
      <c r="P833" s="2"/>
      <c r="Q833" s="74"/>
      <c r="R833" s="2"/>
      <c r="S833" s="2"/>
      <c r="T833" s="76"/>
      <c r="U833" s="88"/>
    </row>
    <row r="834" ht="15.75" customHeight="1">
      <c r="A834" s="2"/>
      <c r="B834" s="2"/>
      <c r="C834" s="2"/>
      <c r="D834" s="2"/>
      <c r="E834" s="2"/>
      <c r="F834" s="2"/>
      <c r="G834" s="2"/>
      <c r="H834" s="2"/>
      <c r="I834" s="2"/>
      <c r="J834" s="74"/>
      <c r="K834" s="74"/>
      <c r="L834" s="74"/>
      <c r="M834" s="74"/>
      <c r="N834" s="2"/>
      <c r="O834" s="2"/>
      <c r="P834" s="2"/>
      <c r="Q834" s="74"/>
      <c r="R834" s="2"/>
      <c r="S834" s="2"/>
      <c r="T834" s="76"/>
      <c r="U834" s="88"/>
    </row>
    <row r="835" ht="15.75" customHeight="1">
      <c r="A835" s="2"/>
      <c r="B835" s="2"/>
      <c r="C835" s="2"/>
      <c r="D835" s="2"/>
      <c r="E835" s="2"/>
      <c r="F835" s="2"/>
      <c r="G835" s="2"/>
      <c r="H835" s="2"/>
      <c r="I835" s="2"/>
      <c r="J835" s="74"/>
      <c r="K835" s="74"/>
      <c r="L835" s="74"/>
      <c r="M835" s="74"/>
      <c r="N835" s="2"/>
      <c r="O835" s="2"/>
      <c r="P835" s="2"/>
      <c r="Q835" s="74"/>
      <c r="R835" s="2"/>
      <c r="S835" s="2"/>
      <c r="T835" s="76"/>
      <c r="U835" s="88"/>
    </row>
    <row r="836" ht="15.75" customHeight="1">
      <c r="A836" s="2"/>
      <c r="B836" s="2"/>
      <c r="C836" s="2"/>
      <c r="D836" s="2"/>
      <c r="E836" s="2"/>
      <c r="F836" s="2"/>
      <c r="G836" s="2"/>
      <c r="H836" s="2"/>
      <c r="I836" s="2"/>
      <c r="J836" s="74"/>
      <c r="K836" s="74"/>
      <c r="L836" s="74"/>
      <c r="M836" s="74"/>
      <c r="N836" s="2"/>
      <c r="O836" s="2"/>
      <c r="P836" s="2"/>
      <c r="Q836" s="74"/>
      <c r="R836" s="2"/>
      <c r="S836" s="2"/>
      <c r="T836" s="76"/>
      <c r="U836" s="88"/>
    </row>
    <row r="837" ht="15.75" customHeight="1">
      <c r="A837" s="2"/>
      <c r="B837" s="2"/>
      <c r="C837" s="2"/>
      <c r="D837" s="2"/>
      <c r="E837" s="2"/>
      <c r="F837" s="2"/>
      <c r="G837" s="2"/>
      <c r="H837" s="2"/>
      <c r="I837" s="2"/>
      <c r="J837" s="74"/>
      <c r="K837" s="74"/>
      <c r="L837" s="74"/>
      <c r="M837" s="74"/>
      <c r="N837" s="2"/>
      <c r="O837" s="2"/>
      <c r="P837" s="2"/>
      <c r="Q837" s="74"/>
      <c r="R837" s="2"/>
      <c r="S837" s="2"/>
      <c r="T837" s="76"/>
      <c r="U837" s="88"/>
    </row>
    <row r="838" ht="15.75" customHeight="1">
      <c r="A838" s="2"/>
      <c r="B838" s="2"/>
      <c r="C838" s="2"/>
      <c r="D838" s="2"/>
      <c r="E838" s="2"/>
      <c r="F838" s="2"/>
      <c r="G838" s="2"/>
      <c r="H838" s="2"/>
      <c r="I838" s="2"/>
      <c r="J838" s="74"/>
      <c r="K838" s="74"/>
      <c r="L838" s="74"/>
      <c r="M838" s="74"/>
      <c r="N838" s="2"/>
      <c r="O838" s="2"/>
      <c r="P838" s="2"/>
      <c r="Q838" s="74"/>
      <c r="R838" s="2"/>
      <c r="S838" s="2"/>
      <c r="T838" s="76"/>
      <c r="U838" s="88"/>
    </row>
    <row r="839" ht="15.75" customHeight="1">
      <c r="A839" s="2"/>
      <c r="B839" s="2"/>
      <c r="C839" s="2"/>
      <c r="D839" s="2"/>
      <c r="E839" s="2"/>
      <c r="F839" s="2"/>
      <c r="G839" s="2"/>
      <c r="H839" s="2"/>
      <c r="I839" s="2"/>
      <c r="J839" s="74"/>
      <c r="K839" s="74"/>
      <c r="L839" s="74"/>
      <c r="M839" s="74"/>
      <c r="N839" s="2"/>
      <c r="O839" s="2"/>
      <c r="P839" s="2"/>
      <c r="Q839" s="74"/>
      <c r="R839" s="2"/>
      <c r="S839" s="2"/>
      <c r="T839" s="76"/>
      <c r="U839" s="88"/>
    </row>
    <row r="840" ht="15.75" customHeight="1">
      <c r="A840" s="2"/>
      <c r="B840" s="2"/>
      <c r="C840" s="2"/>
      <c r="D840" s="2"/>
      <c r="E840" s="2"/>
      <c r="F840" s="2"/>
      <c r="G840" s="2"/>
      <c r="H840" s="2"/>
      <c r="I840" s="2"/>
      <c r="J840" s="74"/>
      <c r="K840" s="74"/>
      <c r="L840" s="74"/>
      <c r="M840" s="74"/>
      <c r="N840" s="2"/>
      <c r="O840" s="2"/>
      <c r="P840" s="2"/>
      <c r="Q840" s="74"/>
      <c r="R840" s="2"/>
      <c r="S840" s="2"/>
      <c r="T840" s="76"/>
      <c r="U840" s="88"/>
    </row>
    <row r="841" ht="15.75" customHeight="1">
      <c r="A841" s="2"/>
      <c r="B841" s="2"/>
      <c r="C841" s="2"/>
      <c r="D841" s="2"/>
      <c r="E841" s="2"/>
      <c r="F841" s="2"/>
      <c r="G841" s="2"/>
      <c r="H841" s="2"/>
      <c r="I841" s="2"/>
      <c r="J841" s="74"/>
      <c r="K841" s="74"/>
      <c r="L841" s="74"/>
      <c r="M841" s="74"/>
      <c r="N841" s="2"/>
      <c r="O841" s="2"/>
      <c r="P841" s="2"/>
      <c r="Q841" s="74"/>
      <c r="R841" s="2"/>
      <c r="S841" s="2"/>
      <c r="T841" s="76"/>
      <c r="U841" s="88"/>
    </row>
    <row r="842" ht="15.75" customHeight="1">
      <c r="A842" s="2"/>
      <c r="B842" s="2"/>
      <c r="C842" s="2"/>
      <c r="D842" s="2"/>
      <c r="E842" s="2"/>
      <c r="F842" s="2"/>
      <c r="G842" s="2"/>
      <c r="H842" s="2"/>
      <c r="I842" s="2"/>
      <c r="J842" s="74"/>
      <c r="K842" s="74"/>
      <c r="L842" s="74"/>
      <c r="M842" s="74"/>
      <c r="N842" s="2"/>
      <c r="O842" s="2"/>
      <c r="P842" s="2"/>
      <c r="Q842" s="74"/>
      <c r="R842" s="2"/>
      <c r="S842" s="2"/>
      <c r="T842" s="76"/>
      <c r="U842" s="88"/>
    </row>
    <row r="843" ht="15.75" customHeight="1">
      <c r="A843" s="2"/>
      <c r="B843" s="2"/>
      <c r="C843" s="2"/>
      <c r="D843" s="2"/>
      <c r="E843" s="2"/>
      <c r="F843" s="2"/>
      <c r="G843" s="2"/>
      <c r="H843" s="2"/>
      <c r="I843" s="2"/>
      <c r="J843" s="74"/>
      <c r="K843" s="74"/>
      <c r="L843" s="74"/>
      <c r="M843" s="74"/>
      <c r="N843" s="2"/>
      <c r="O843" s="2"/>
      <c r="P843" s="2"/>
      <c r="Q843" s="74"/>
      <c r="R843" s="2"/>
      <c r="S843" s="2"/>
      <c r="T843" s="76"/>
      <c r="U843" s="88"/>
    </row>
    <row r="844" ht="15.75" customHeight="1">
      <c r="A844" s="2"/>
      <c r="B844" s="2"/>
      <c r="C844" s="2"/>
      <c r="D844" s="2"/>
      <c r="E844" s="2"/>
      <c r="F844" s="2"/>
      <c r="G844" s="2"/>
      <c r="H844" s="2"/>
      <c r="I844" s="2"/>
      <c r="J844" s="74"/>
      <c r="K844" s="74"/>
      <c r="L844" s="74"/>
      <c r="M844" s="74"/>
      <c r="N844" s="2"/>
      <c r="O844" s="2"/>
      <c r="P844" s="2"/>
      <c r="Q844" s="74"/>
      <c r="R844" s="2"/>
      <c r="S844" s="2"/>
      <c r="T844" s="76"/>
      <c r="U844" s="88"/>
    </row>
    <row r="845" ht="15.75" customHeight="1">
      <c r="A845" s="2"/>
      <c r="B845" s="2"/>
      <c r="C845" s="2"/>
      <c r="D845" s="2"/>
      <c r="E845" s="2"/>
      <c r="F845" s="2"/>
      <c r="G845" s="2"/>
      <c r="H845" s="2"/>
      <c r="I845" s="2"/>
      <c r="J845" s="74"/>
      <c r="K845" s="74"/>
      <c r="L845" s="74"/>
      <c r="M845" s="74"/>
      <c r="N845" s="2"/>
      <c r="O845" s="2"/>
      <c r="P845" s="2"/>
      <c r="Q845" s="74"/>
      <c r="R845" s="2"/>
      <c r="S845" s="2"/>
      <c r="T845" s="76"/>
      <c r="U845" s="88"/>
    </row>
    <row r="846" ht="15.75" customHeight="1">
      <c r="A846" s="2"/>
      <c r="B846" s="2"/>
      <c r="C846" s="2"/>
      <c r="D846" s="2"/>
      <c r="E846" s="2"/>
      <c r="F846" s="2"/>
      <c r="G846" s="2"/>
      <c r="H846" s="2"/>
      <c r="I846" s="2"/>
      <c r="J846" s="74"/>
      <c r="K846" s="74"/>
      <c r="L846" s="74"/>
      <c r="M846" s="74"/>
      <c r="N846" s="2"/>
      <c r="O846" s="2"/>
      <c r="P846" s="2"/>
      <c r="Q846" s="74"/>
      <c r="R846" s="2"/>
      <c r="S846" s="2"/>
      <c r="T846" s="76"/>
      <c r="U846" s="88"/>
    </row>
    <row r="847" ht="15.75" customHeight="1">
      <c r="A847" s="2"/>
      <c r="B847" s="2"/>
      <c r="C847" s="2"/>
      <c r="D847" s="2"/>
      <c r="E847" s="2"/>
      <c r="F847" s="2"/>
      <c r="G847" s="2"/>
      <c r="H847" s="2"/>
      <c r="I847" s="2"/>
      <c r="J847" s="74"/>
      <c r="K847" s="74"/>
      <c r="L847" s="74"/>
      <c r="M847" s="74"/>
      <c r="N847" s="2"/>
      <c r="O847" s="2"/>
      <c r="P847" s="2"/>
      <c r="Q847" s="74"/>
      <c r="R847" s="2"/>
      <c r="S847" s="2"/>
      <c r="T847" s="76"/>
      <c r="U847" s="88"/>
    </row>
    <row r="848" ht="15.75" customHeight="1">
      <c r="A848" s="2"/>
      <c r="B848" s="2"/>
      <c r="C848" s="2"/>
      <c r="D848" s="2"/>
      <c r="E848" s="2"/>
      <c r="F848" s="2"/>
      <c r="G848" s="2"/>
      <c r="H848" s="2"/>
      <c r="I848" s="2"/>
      <c r="J848" s="74"/>
      <c r="K848" s="74"/>
      <c r="L848" s="74"/>
      <c r="M848" s="74"/>
      <c r="N848" s="2"/>
      <c r="O848" s="2"/>
      <c r="P848" s="2"/>
      <c r="Q848" s="74"/>
      <c r="R848" s="2"/>
      <c r="S848" s="2"/>
      <c r="T848" s="76"/>
      <c r="U848" s="88"/>
    </row>
    <row r="849" ht="15.75" customHeight="1">
      <c r="A849" s="2"/>
      <c r="B849" s="2"/>
      <c r="C849" s="2"/>
      <c r="D849" s="2"/>
      <c r="E849" s="2"/>
      <c r="F849" s="2"/>
      <c r="G849" s="2"/>
      <c r="H849" s="2"/>
      <c r="I849" s="2"/>
      <c r="J849" s="74"/>
      <c r="K849" s="74"/>
      <c r="L849" s="74"/>
      <c r="M849" s="74"/>
      <c r="N849" s="2"/>
      <c r="O849" s="2"/>
      <c r="P849" s="2"/>
      <c r="Q849" s="74"/>
      <c r="R849" s="2"/>
      <c r="S849" s="2"/>
      <c r="T849" s="76"/>
      <c r="U849" s="88"/>
    </row>
    <row r="850" ht="15.75" customHeight="1">
      <c r="A850" s="2"/>
      <c r="B850" s="2"/>
      <c r="C850" s="2"/>
      <c r="D850" s="2"/>
      <c r="E850" s="2"/>
      <c r="F850" s="2"/>
      <c r="G850" s="2"/>
      <c r="H850" s="2"/>
      <c r="I850" s="2"/>
      <c r="J850" s="74"/>
      <c r="K850" s="74"/>
      <c r="L850" s="74"/>
      <c r="M850" s="74"/>
      <c r="N850" s="2"/>
      <c r="O850" s="2"/>
      <c r="P850" s="2"/>
      <c r="Q850" s="74"/>
      <c r="R850" s="2"/>
      <c r="S850" s="2"/>
      <c r="T850" s="76"/>
      <c r="U850" s="88"/>
    </row>
    <row r="851" ht="15.75" customHeight="1">
      <c r="A851" s="2"/>
      <c r="B851" s="2"/>
      <c r="C851" s="2"/>
      <c r="D851" s="2"/>
      <c r="E851" s="2"/>
      <c r="F851" s="2"/>
      <c r="G851" s="2"/>
      <c r="H851" s="2"/>
      <c r="I851" s="2"/>
      <c r="J851" s="74"/>
      <c r="K851" s="74"/>
      <c r="L851" s="74"/>
      <c r="M851" s="74"/>
      <c r="N851" s="2"/>
      <c r="O851" s="2"/>
      <c r="P851" s="2"/>
      <c r="Q851" s="74"/>
      <c r="R851" s="2"/>
      <c r="S851" s="2"/>
      <c r="T851" s="76"/>
      <c r="U851" s="88"/>
    </row>
    <row r="852" ht="15.75" customHeight="1">
      <c r="A852" s="2"/>
      <c r="B852" s="2"/>
      <c r="C852" s="2"/>
      <c r="D852" s="2"/>
      <c r="E852" s="2"/>
      <c r="F852" s="2"/>
      <c r="G852" s="2"/>
      <c r="H852" s="2"/>
      <c r="I852" s="2"/>
      <c r="J852" s="74"/>
      <c r="K852" s="74"/>
      <c r="L852" s="74"/>
      <c r="M852" s="74"/>
      <c r="N852" s="2"/>
      <c r="O852" s="2"/>
      <c r="P852" s="2"/>
      <c r="Q852" s="74"/>
      <c r="R852" s="2"/>
      <c r="S852" s="2"/>
      <c r="T852" s="76"/>
      <c r="U852" s="88"/>
    </row>
    <row r="853" ht="15.75" customHeight="1">
      <c r="A853" s="2"/>
      <c r="B853" s="2"/>
      <c r="C853" s="2"/>
      <c r="D853" s="2"/>
      <c r="E853" s="2"/>
      <c r="F853" s="2"/>
      <c r="G853" s="2"/>
      <c r="H853" s="2"/>
      <c r="I853" s="2"/>
      <c r="J853" s="74"/>
      <c r="K853" s="74"/>
      <c r="L853" s="74"/>
      <c r="M853" s="74"/>
      <c r="N853" s="2"/>
      <c r="O853" s="2"/>
      <c r="P853" s="2"/>
      <c r="Q853" s="74"/>
      <c r="R853" s="2"/>
      <c r="S853" s="2"/>
      <c r="T853" s="76"/>
      <c r="U853" s="88"/>
    </row>
    <row r="854" ht="15.75" customHeight="1">
      <c r="A854" s="2"/>
      <c r="B854" s="2"/>
      <c r="C854" s="2"/>
      <c r="D854" s="2"/>
      <c r="E854" s="2"/>
      <c r="F854" s="2"/>
      <c r="G854" s="2"/>
      <c r="H854" s="2"/>
      <c r="I854" s="2"/>
      <c r="J854" s="74"/>
      <c r="K854" s="74"/>
      <c r="L854" s="74"/>
      <c r="M854" s="74"/>
      <c r="N854" s="2"/>
      <c r="O854" s="2"/>
      <c r="P854" s="2"/>
      <c r="Q854" s="74"/>
      <c r="R854" s="2"/>
      <c r="S854" s="2"/>
      <c r="T854" s="76"/>
      <c r="U854" s="88"/>
    </row>
    <row r="855" ht="15.75" customHeight="1">
      <c r="A855" s="2"/>
      <c r="B855" s="2"/>
      <c r="C855" s="2"/>
      <c r="D855" s="2"/>
      <c r="E855" s="2"/>
      <c r="F855" s="2"/>
      <c r="G855" s="2"/>
      <c r="H855" s="2"/>
      <c r="I855" s="2"/>
      <c r="J855" s="74"/>
      <c r="K855" s="74"/>
      <c r="L855" s="74"/>
      <c r="M855" s="74"/>
      <c r="N855" s="2"/>
      <c r="O855" s="2"/>
      <c r="P855" s="2"/>
      <c r="Q855" s="74"/>
      <c r="R855" s="2"/>
      <c r="S855" s="2"/>
      <c r="T855" s="76"/>
      <c r="U855" s="88"/>
    </row>
    <row r="856" ht="15.75" customHeight="1">
      <c r="A856" s="2"/>
      <c r="B856" s="2"/>
      <c r="C856" s="2"/>
      <c r="D856" s="2"/>
      <c r="E856" s="2"/>
      <c r="F856" s="2"/>
      <c r="G856" s="2"/>
      <c r="H856" s="2"/>
      <c r="I856" s="2"/>
      <c r="J856" s="74"/>
      <c r="K856" s="74"/>
      <c r="L856" s="74"/>
      <c r="M856" s="74"/>
      <c r="N856" s="2"/>
      <c r="O856" s="2"/>
      <c r="P856" s="2"/>
      <c r="Q856" s="74"/>
      <c r="R856" s="2"/>
      <c r="S856" s="2"/>
      <c r="T856" s="76"/>
      <c r="U856" s="88"/>
    </row>
    <row r="857" ht="15.75" customHeight="1">
      <c r="A857" s="2"/>
      <c r="B857" s="2"/>
      <c r="C857" s="2"/>
      <c r="D857" s="2"/>
      <c r="E857" s="2"/>
      <c r="F857" s="2"/>
      <c r="G857" s="2"/>
      <c r="H857" s="2"/>
      <c r="I857" s="2"/>
      <c r="J857" s="74"/>
      <c r="K857" s="74"/>
      <c r="L857" s="74"/>
      <c r="M857" s="74"/>
      <c r="N857" s="2"/>
      <c r="O857" s="2"/>
      <c r="P857" s="2"/>
      <c r="Q857" s="74"/>
      <c r="R857" s="2"/>
      <c r="S857" s="2"/>
      <c r="T857" s="76"/>
      <c r="U857" s="88"/>
    </row>
    <row r="858" ht="15.75" customHeight="1">
      <c r="A858" s="2"/>
      <c r="B858" s="2"/>
      <c r="C858" s="2"/>
      <c r="D858" s="2"/>
      <c r="E858" s="2"/>
      <c r="F858" s="2"/>
      <c r="G858" s="2"/>
      <c r="H858" s="2"/>
      <c r="I858" s="2"/>
      <c r="J858" s="74"/>
      <c r="K858" s="74"/>
      <c r="L858" s="74"/>
      <c r="M858" s="74"/>
      <c r="N858" s="2"/>
      <c r="O858" s="2"/>
      <c r="P858" s="2"/>
      <c r="Q858" s="74"/>
      <c r="R858" s="2"/>
      <c r="S858" s="2"/>
      <c r="T858" s="76"/>
      <c r="U858" s="88"/>
    </row>
    <row r="859" ht="15.75" customHeight="1">
      <c r="A859" s="2"/>
      <c r="B859" s="2"/>
      <c r="C859" s="2"/>
      <c r="D859" s="2"/>
      <c r="E859" s="2"/>
      <c r="F859" s="2"/>
      <c r="G859" s="2"/>
      <c r="H859" s="2"/>
      <c r="I859" s="2"/>
      <c r="J859" s="74"/>
      <c r="K859" s="74"/>
      <c r="L859" s="74"/>
      <c r="M859" s="74"/>
      <c r="N859" s="2"/>
      <c r="O859" s="2"/>
      <c r="P859" s="2"/>
      <c r="Q859" s="74"/>
      <c r="R859" s="2"/>
      <c r="S859" s="2"/>
      <c r="T859" s="76"/>
      <c r="U859" s="88"/>
    </row>
    <row r="860" ht="15.75" customHeight="1">
      <c r="A860" s="2"/>
      <c r="B860" s="2"/>
      <c r="C860" s="2"/>
      <c r="D860" s="2"/>
      <c r="E860" s="2"/>
      <c r="F860" s="2"/>
      <c r="G860" s="2"/>
      <c r="H860" s="2"/>
      <c r="I860" s="2"/>
      <c r="J860" s="74"/>
      <c r="K860" s="74"/>
      <c r="L860" s="74"/>
      <c r="M860" s="74"/>
      <c r="N860" s="2"/>
      <c r="O860" s="2"/>
      <c r="P860" s="2"/>
      <c r="Q860" s="74"/>
      <c r="R860" s="2"/>
      <c r="S860" s="2"/>
      <c r="T860" s="76"/>
      <c r="U860" s="88"/>
    </row>
    <row r="861" ht="15.75" customHeight="1">
      <c r="A861" s="2"/>
      <c r="B861" s="2"/>
      <c r="C861" s="2"/>
      <c r="D861" s="2"/>
      <c r="E861" s="2"/>
      <c r="F861" s="2"/>
      <c r="G861" s="2"/>
      <c r="H861" s="2"/>
      <c r="I861" s="2"/>
      <c r="J861" s="74"/>
      <c r="K861" s="74"/>
      <c r="L861" s="74"/>
      <c r="M861" s="74"/>
      <c r="N861" s="2"/>
      <c r="O861" s="2"/>
      <c r="P861" s="2"/>
      <c r="Q861" s="74"/>
      <c r="R861" s="2"/>
      <c r="S861" s="2"/>
      <c r="T861" s="76"/>
      <c r="U861" s="88"/>
    </row>
    <row r="862" ht="15.75" customHeight="1">
      <c r="A862" s="2"/>
      <c r="B862" s="2"/>
      <c r="C862" s="2"/>
      <c r="D862" s="2"/>
      <c r="E862" s="2"/>
      <c r="F862" s="2"/>
      <c r="G862" s="2"/>
      <c r="H862" s="2"/>
      <c r="I862" s="2"/>
      <c r="J862" s="74"/>
      <c r="K862" s="74"/>
      <c r="L862" s="74"/>
      <c r="M862" s="74"/>
      <c r="N862" s="2"/>
      <c r="O862" s="2"/>
      <c r="P862" s="2"/>
      <c r="Q862" s="74"/>
      <c r="R862" s="2"/>
      <c r="S862" s="2"/>
      <c r="T862" s="76"/>
      <c r="U862" s="88"/>
    </row>
    <row r="863" ht="15.75" customHeight="1">
      <c r="A863" s="2"/>
      <c r="B863" s="2"/>
      <c r="C863" s="2"/>
      <c r="D863" s="2"/>
      <c r="E863" s="2"/>
      <c r="F863" s="2"/>
      <c r="G863" s="2"/>
      <c r="H863" s="2"/>
      <c r="I863" s="2"/>
      <c r="J863" s="74"/>
      <c r="K863" s="74"/>
      <c r="L863" s="74"/>
      <c r="M863" s="74"/>
      <c r="N863" s="2"/>
      <c r="O863" s="2"/>
      <c r="P863" s="2"/>
      <c r="Q863" s="74"/>
      <c r="R863" s="2"/>
      <c r="S863" s="2"/>
      <c r="T863" s="76"/>
      <c r="U863" s="88"/>
    </row>
    <row r="864" ht="15.75" customHeight="1">
      <c r="A864" s="2"/>
      <c r="B864" s="2"/>
      <c r="C864" s="2"/>
      <c r="D864" s="2"/>
      <c r="E864" s="2"/>
      <c r="F864" s="2"/>
      <c r="G864" s="2"/>
      <c r="H864" s="2"/>
      <c r="I864" s="2"/>
      <c r="J864" s="74"/>
      <c r="K864" s="74"/>
      <c r="L864" s="74"/>
      <c r="M864" s="74"/>
      <c r="N864" s="2"/>
      <c r="O864" s="2"/>
      <c r="P864" s="2"/>
      <c r="Q864" s="74"/>
      <c r="R864" s="2"/>
      <c r="S864" s="2"/>
      <c r="T864" s="76"/>
      <c r="U864" s="88"/>
    </row>
    <row r="865" ht="15.75" customHeight="1">
      <c r="A865" s="2"/>
      <c r="B865" s="2"/>
      <c r="C865" s="2"/>
      <c r="D865" s="2"/>
      <c r="E865" s="2"/>
      <c r="F865" s="2"/>
      <c r="G865" s="2"/>
      <c r="H865" s="2"/>
      <c r="I865" s="2"/>
      <c r="J865" s="74"/>
      <c r="K865" s="74"/>
      <c r="L865" s="74"/>
      <c r="M865" s="74"/>
      <c r="N865" s="2"/>
      <c r="O865" s="2"/>
      <c r="P865" s="2"/>
      <c r="Q865" s="74"/>
      <c r="R865" s="2"/>
      <c r="S865" s="2"/>
      <c r="T865" s="76"/>
      <c r="U865" s="88"/>
    </row>
    <row r="866" ht="15.75" customHeight="1">
      <c r="A866" s="2"/>
      <c r="B866" s="2"/>
      <c r="C866" s="2"/>
      <c r="D866" s="2"/>
      <c r="E866" s="2"/>
      <c r="F866" s="2"/>
      <c r="G866" s="2"/>
      <c r="H866" s="2"/>
      <c r="I866" s="2"/>
      <c r="J866" s="74"/>
      <c r="K866" s="74"/>
      <c r="L866" s="74"/>
      <c r="M866" s="74"/>
      <c r="N866" s="2"/>
      <c r="O866" s="2"/>
      <c r="P866" s="2"/>
      <c r="Q866" s="74"/>
      <c r="R866" s="2"/>
      <c r="S866" s="2"/>
      <c r="T866" s="76"/>
      <c r="U866" s="88"/>
    </row>
    <row r="867" ht="15.75" customHeight="1">
      <c r="A867" s="2"/>
      <c r="B867" s="2"/>
      <c r="C867" s="2"/>
      <c r="D867" s="2"/>
      <c r="E867" s="2"/>
      <c r="F867" s="2"/>
      <c r="G867" s="2"/>
      <c r="H867" s="2"/>
      <c r="I867" s="2"/>
      <c r="J867" s="74"/>
      <c r="K867" s="74"/>
      <c r="L867" s="74"/>
      <c r="M867" s="74"/>
      <c r="N867" s="2"/>
      <c r="O867" s="2"/>
      <c r="P867" s="2"/>
      <c r="Q867" s="74"/>
      <c r="R867" s="2"/>
      <c r="S867" s="2"/>
      <c r="T867" s="76"/>
      <c r="U867" s="88"/>
    </row>
    <row r="868" ht="15.75" customHeight="1">
      <c r="A868" s="2"/>
      <c r="B868" s="2"/>
      <c r="C868" s="2"/>
      <c r="D868" s="2"/>
      <c r="E868" s="2"/>
      <c r="F868" s="2"/>
      <c r="G868" s="2"/>
      <c r="H868" s="2"/>
      <c r="I868" s="2"/>
      <c r="J868" s="74"/>
      <c r="K868" s="74"/>
      <c r="L868" s="74"/>
      <c r="M868" s="74"/>
      <c r="N868" s="2"/>
      <c r="O868" s="2"/>
      <c r="P868" s="2"/>
      <c r="Q868" s="74"/>
      <c r="R868" s="2"/>
      <c r="S868" s="2"/>
      <c r="T868" s="76"/>
      <c r="U868" s="88"/>
    </row>
    <row r="869" ht="15.75" customHeight="1">
      <c r="A869" s="2"/>
      <c r="B869" s="2"/>
      <c r="C869" s="2"/>
      <c r="D869" s="2"/>
      <c r="E869" s="2"/>
      <c r="F869" s="2"/>
      <c r="G869" s="2"/>
      <c r="H869" s="2"/>
      <c r="I869" s="2"/>
      <c r="J869" s="74"/>
      <c r="K869" s="74"/>
      <c r="L869" s="74"/>
      <c r="M869" s="74"/>
      <c r="N869" s="2"/>
      <c r="O869" s="2"/>
      <c r="P869" s="2"/>
      <c r="Q869" s="74"/>
      <c r="R869" s="2"/>
      <c r="S869" s="2"/>
      <c r="T869" s="76"/>
      <c r="U869" s="88"/>
    </row>
    <row r="870" ht="15.75" customHeight="1">
      <c r="A870" s="2"/>
      <c r="B870" s="2"/>
      <c r="C870" s="2"/>
      <c r="D870" s="2"/>
      <c r="E870" s="2"/>
      <c r="F870" s="2"/>
      <c r="G870" s="2"/>
      <c r="H870" s="2"/>
      <c r="I870" s="2"/>
      <c r="J870" s="74"/>
      <c r="K870" s="74"/>
      <c r="L870" s="74"/>
      <c r="M870" s="74"/>
      <c r="N870" s="2"/>
      <c r="O870" s="2"/>
      <c r="P870" s="2"/>
      <c r="Q870" s="74"/>
      <c r="R870" s="2"/>
      <c r="S870" s="2"/>
      <c r="T870" s="76"/>
      <c r="U870" s="88"/>
    </row>
    <row r="871" ht="15.75" customHeight="1">
      <c r="A871" s="2"/>
      <c r="B871" s="2"/>
      <c r="C871" s="2"/>
      <c r="D871" s="2"/>
      <c r="E871" s="2"/>
      <c r="F871" s="2"/>
      <c r="G871" s="2"/>
      <c r="H871" s="2"/>
      <c r="I871" s="2"/>
      <c r="J871" s="74"/>
      <c r="K871" s="74"/>
      <c r="L871" s="74"/>
      <c r="M871" s="74"/>
      <c r="N871" s="2"/>
      <c r="O871" s="2"/>
      <c r="P871" s="2"/>
      <c r="Q871" s="74"/>
      <c r="R871" s="2"/>
      <c r="S871" s="2"/>
      <c r="T871" s="76"/>
      <c r="U871" s="88"/>
    </row>
    <row r="872" ht="15.75" customHeight="1">
      <c r="A872" s="2"/>
      <c r="B872" s="2"/>
      <c r="C872" s="2"/>
      <c r="D872" s="2"/>
      <c r="E872" s="2"/>
      <c r="F872" s="2"/>
      <c r="G872" s="2"/>
      <c r="H872" s="2"/>
      <c r="I872" s="2"/>
      <c r="J872" s="74"/>
      <c r="K872" s="74"/>
      <c r="L872" s="74"/>
      <c r="M872" s="74"/>
      <c r="N872" s="2"/>
      <c r="O872" s="2"/>
      <c r="P872" s="2"/>
      <c r="Q872" s="74"/>
      <c r="R872" s="2"/>
      <c r="S872" s="2"/>
      <c r="T872" s="76"/>
      <c r="U872" s="88"/>
    </row>
    <row r="873" ht="15.75" customHeight="1">
      <c r="A873" s="2"/>
      <c r="B873" s="2"/>
      <c r="C873" s="2"/>
      <c r="D873" s="2"/>
      <c r="E873" s="2"/>
      <c r="F873" s="2"/>
      <c r="G873" s="2"/>
      <c r="H873" s="2"/>
      <c r="I873" s="2"/>
      <c r="J873" s="74"/>
      <c r="K873" s="74"/>
      <c r="L873" s="74"/>
      <c r="M873" s="74"/>
      <c r="N873" s="2"/>
      <c r="O873" s="2"/>
      <c r="P873" s="2"/>
      <c r="Q873" s="74"/>
      <c r="R873" s="2"/>
      <c r="S873" s="2"/>
      <c r="T873" s="76"/>
      <c r="U873" s="88"/>
    </row>
    <row r="874" ht="15.75" customHeight="1">
      <c r="A874" s="2"/>
      <c r="B874" s="2"/>
      <c r="C874" s="2"/>
      <c r="D874" s="2"/>
      <c r="E874" s="2"/>
      <c r="F874" s="2"/>
      <c r="G874" s="2"/>
      <c r="H874" s="2"/>
      <c r="I874" s="2"/>
      <c r="J874" s="74"/>
      <c r="K874" s="74"/>
      <c r="L874" s="74"/>
      <c r="M874" s="74"/>
      <c r="N874" s="2"/>
      <c r="O874" s="2"/>
      <c r="P874" s="2"/>
      <c r="Q874" s="74"/>
      <c r="R874" s="2"/>
      <c r="S874" s="2"/>
      <c r="T874" s="76"/>
      <c r="U874" s="88"/>
    </row>
    <row r="875" ht="15.75" customHeight="1">
      <c r="A875" s="2"/>
      <c r="B875" s="2"/>
      <c r="C875" s="2"/>
      <c r="D875" s="2"/>
      <c r="E875" s="2"/>
      <c r="F875" s="2"/>
      <c r="G875" s="2"/>
      <c r="H875" s="2"/>
      <c r="I875" s="2"/>
      <c r="J875" s="74"/>
      <c r="K875" s="74"/>
      <c r="L875" s="74"/>
      <c r="M875" s="74"/>
      <c r="N875" s="2"/>
      <c r="O875" s="2"/>
      <c r="P875" s="2"/>
      <c r="Q875" s="74"/>
      <c r="R875" s="2"/>
      <c r="S875" s="2"/>
      <c r="T875" s="76"/>
      <c r="U875" s="88"/>
    </row>
    <row r="876" ht="15.75" customHeight="1">
      <c r="A876" s="2"/>
      <c r="B876" s="2"/>
      <c r="C876" s="2"/>
      <c r="D876" s="2"/>
      <c r="E876" s="2"/>
      <c r="F876" s="2"/>
      <c r="G876" s="2"/>
      <c r="H876" s="2"/>
      <c r="I876" s="2"/>
      <c r="J876" s="74"/>
      <c r="K876" s="74"/>
      <c r="L876" s="74"/>
      <c r="M876" s="74"/>
      <c r="N876" s="2"/>
      <c r="O876" s="2"/>
      <c r="P876" s="2"/>
      <c r="Q876" s="74"/>
      <c r="R876" s="2"/>
      <c r="S876" s="2"/>
      <c r="T876" s="76"/>
      <c r="U876" s="88"/>
    </row>
    <row r="877" ht="15.75" customHeight="1">
      <c r="A877" s="2"/>
      <c r="B877" s="2"/>
      <c r="C877" s="2"/>
      <c r="D877" s="2"/>
      <c r="E877" s="2"/>
      <c r="F877" s="2"/>
      <c r="G877" s="2"/>
      <c r="H877" s="2"/>
      <c r="I877" s="2"/>
      <c r="J877" s="74"/>
      <c r="K877" s="74"/>
      <c r="L877" s="74"/>
      <c r="M877" s="74"/>
      <c r="N877" s="2"/>
      <c r="O877" s="2"/>
      <c r="P877" s="2"/>
      <c r="Q877" s="74"/>
      <c r="R877" s="2"/>
      <c r="S877" s="2"/>
      <c r="T877" s="76"/>
      <c r="U877" s="88"/>
    </row>
    <row r="878" ht="15.75" customHeight="1">
      <c r="A878" s="2"/>
      <c r="B878" s="2"/>
      <c r="C878" s="2"/>
      <c r="D878" s="2"/>
      <c r="E878" s="2"/>
      <c r="F878" s="2"/>
      <c r="G878" s="2"/>
      <c r="H878" s="2"/>
      <c r="I878" s="2"/>
      <c r="J878" s="74"/>
      <c r="K878" s="74"/>
      <c r="L878" s="74"/>
      <c r="M878" s="74"/>
      <c r="N878" s="2"/>
      <c r="O878" s="2"/>
      <c r="P878" s="2"/>
      <c r="Q878" s="74"/>
      <c r="R878" s="2"/>
      <c r="S878" s="2"/>
      <c r="T878" s="76"/>
      <c r="U878" s="88"/>
    </row>
    <row r="879" ht="15.75" customHeight="1">
      <c r="A879" s="2"/>
      <c r="B879" s="2"/>
      <c r="C879" s="2"/>
      <c r="D879" s="2"/>
      <c r="E879" s="2"/>
      <c r="F879" s="2"/>
      <c r="G879" s="2"/>
      <c r="H879" s="2"/>
      <c r="I879" s="2"/>
      <c r="J879" s="74"/>
      <c r="K879" s="74"/>
      <c r="L879" s="74"/>
      <c r="M879" s="74"/>
      <c r="N879" s="2"/>
      <c r="O879" s="2"/>
      <c r="P879" s="2"/>
      <c r="Q879" s="74"/>
      <c r="R879" s="2"/>
      <c r="S879" s="2"/>
      <c r="T879" s="76"/>
      <c r="U879" s="88"/>
    </row>
    <row r="880" ht="15.75" customHeight="1">
      <c r="A880" s="2"/>
      <c r="B880" s="2"/>
      <c r="C880" s="2"/>
      <c r="D880" s="2"/>
      <c r="E880" s="2"/>
      <c r="F880" s="2"/>
      <c r="G880" s="2"/>
      <c r="H880" s="2"/>
      <c r="I880" s="2"/>
      <c r="J880" s="74"/>
      <c r="K880" s="74"/>
      <c r="L880" s="74"/>
      <c r="M880" s="74"/>
      <c r="N880" s="2"/>
      <c r="O880" s="2"/>
      <c r="P880" s="2"/>
      <c r="Q880" s="74"/>
      <c r="R880" s="2"/>
      <c r="S880" s="2"/>
      <c r="T880" s="76"/>
      <c r="U880" s="88"/>
    </row>
    <row r="881" ht="15.75" customHeight="1">
      <c r="A881" s="2"/>
      <c r="B881" s="2"/>
      <c r="C881" s="2"/>
      <c r="D881" s="2"/>
      <c r="E881" s="2"/>
      <c r="F881" s="2"/>
      <c r="G881" s="2"/>
      <c r="H881" s="2"/>
      <c r="I881" s="2"/>
      <c r="J881" s="74"/>
      <c r="K881" s="74"/>
      <c r="L881" s="74"/>
      <c r="M881" s="74"/>
      <c r="N881" s="2"/>
      <c r="O881" s="2"/>
      <c r="P881" s="2"/>
      <c r="Q881" s="74"/>
      <c r="R881" s="2"/>
      <c r="S881" s="2"/>
      <c r="T881" s="76"/>
      <c r="U881" s="88"/>
    </row>
    <row r="882" ht="15.75" customHeight="1">
      <c r="A882" s="2"/>
      <c r="B882" s="2"/>
      <c r="C882" s="2"/>
      <c r="D882" s="2"/>
      <c r="E882" s="2"/>
      <c r="F882" s="2"/>
      <c r="G882" s="2"/>
      <c r="H882" s="2"/>
      <c r="I882" s="2"/>
      <c r="J882" s="74"/>
      <c r="K882" s="74"/>
      <c r="L882" s="74"/>
      <c r="M882" s="74"/>
      <c r="N882" s="2"/>
      <c r="O882" s="2"/>
      <c r="P882" s="2"/>
      <c r="Q882" s="74"/>
      <c r="R882" s="2"/>
      <c r="S882" s="2"/>
      <c r="T882" s="76"/>
      <c r="U882" s="88"/>
    </row>
    <row r="883" ht="15.75" customHeight="1">
      <c r="A883" s="2"/>
      <c r="B883" s="2"/>
      <c r="C883" s="2"/>
      <c r="D883" s="2"/>
      <c r="E883" s="2"/>
      <c r="F883" s="2"/>
      <c r="G883" s="2"/>
      <c r="H883" s="2"/>
      <c r="I883" s="2"/>
      <c r="J883" s="74"/>
      <c r="K883" s="74"/>
      <c r="L883" s="74"/>
      <c r="M883" s="74"/>
      <c r="N883" s="2"/>
      <c r="O883" s="2"/>
      <c r="P883" s="2"/>
      <c r="Q883" s="74"/>
      <c r="R883" s="2"/>
      <c r="S883" s="2"/>
      <c r="T883" s="76"/>
      <c r="U883" s="88"/>
    </row>
    <row r="884" ht="15.75" customHeight="1">
      <c r="A884" s="2"/>
      <c r="B884" s="2"/>
      <c r="C884" s="2"/>
      <c r="D884" s="2"/>
      <c r="E884" s="2"/>
      <c r="F884" s="2"/>
      <c r="G884" s="2"/>
      <c r="H884" s="2"/>
      <c r="I884" s="2"/>
      <c r="J884" s="74"/>
      <c r="K884" s="74"/>
      <c r="L884" s="74"/>
      <c r="M884" s="74"/>
      <c r="N884" s="2"/>
      <c r="O884" s="2"/>
      <c r="P884" s="2"/>
      <c r="Q884" s="74"/>
      <c r="R884" s="2"/>
      <c r="S884" s="2"/>
      <c r="T884" s="76"/>
      <c r="U884" s="88"/>
    </row>
    <row r="885" ht="15.75" customHeight="1">
      <c r="A885" s="2"/>
      <c r="B885" s="2"/>
      <c r="C885" s="2"/>
      <c r="D885" s="2"/>
      <c r="E885" s="2"/>
      <c r="F885" s="2"/>
      <c r="G885" s="2"/>
      <c r="H885" s="2"/>
      <c r="I885" s="2"/>
      <c r="J885" s="74"/>
      <c r="K885" s="74"/>
      <c r="L885" s="74"/>
      <c r="M885" s="74"/>
      <c r="N885" s="2"/>
      <c r="O885" s="2"/>
      <c r="P885" s="2"/>
      <c r="Q885" s="74"/>
      <c r="R885" s="2"/>
      <c r="S885" s="2"/>
      <c r="T885" s="76"/>
      <c r="U885" s="88"/>
    </row>
    <row r="886" ht="15.75" customHeight="1">
      <c r="A886" s="2"/>
      <c r="B886" s="2"/>
      <c r="C886" s="2"/>
      <c r="D886" s="2"/>
      <c r="E886" s="2"/>
      <c r="F886" s="2"/>
      <c r="G886" s="2"/>
      <c r="H886" s="2"/>
      <c r="I886" s="2"/>
      <c r="J886" s="74"/>
      <c r="K886" s="74"/>
      <c r="L886" s="74"/>
      <c r="M886" s="74"/>
      <c r="N886" s="2"/>
      <c r="O886" s="2"/>
      <c r="P886" s="2"/>
      <c r="Q886" s="74"/>
      <c r="R886" s="2"/>
      <c r="S886" s="2"/>
      <c r="T886" s="76"/>
      <c r="U886" s="88"/>
    </row>
    <row r="887" ht="15.75" customHeight="1">
      <c r="A887" s="2"/>
      <c r="B887" s="2"/>
      <c r="C887" s="2"/>
      <c r="D887" s="2"/>
      <c r="E887" s="2"/>
      <c r="F887" s="2"/>
      <c r="G887" s="2"/>
      <c r="H887" s="2"/>
      <c r="I887" s="2"/>
      <c r="J887" s="74"/>
      <c r="K887" s="74"/>
      <c r="L887" s="74"/>
      <c r="M887" s="74"/>
      <c r="N887" s="2"/>
      <c r="O887" s="2"/>
      <c r="P887" s="2"/>
      <c r="Q887" s="74"/>
      <c r="R887" s="2"/>
      <c r="S887" s="2"/>
      <c r="T887" s="76"/>
      <c r="U887" s="88"/>
    </row>
    <row r="888" ht="15.75" customHeight="1">
      <c r="A888" s="2"/>
      <c r="B888" s="2"/>
      <c r="C888" s="2"/>
      <c r="D888" s="2"/>
      <c r="E888" s="2"/>
      <c r="F888" s="2"/>
      <c r="G888" s="2"/>
      <c r="H888" s="2"/>
      <c r="I888" s="2"/>
      <c r="J888" s="74"/>
      <c r="K888" s="74"/>
      <c r="L888" s="74"/>
      <c r="M888" s="74"/>
      <c r="N888" s="2"/>
      <c r="O888" s="2"/>
      <c r="P888" s="2"/>
      <c r="Q888" s="74"/>
      <c r="R888" s="2"/>
      <c r="S888" s="2"/>
      <c r="T888" s="76"/>
      <c r="U888" s="88"/>
    </row>
    <row r="889" ht="15.75" customHeight="1">
      <c r="A889" s="2"/>
      <c r="B889" s="2"/>
      <c r="C889" s="2"/>
      <c r="D889" s="2"/>
      <c r="E889" s="2"/>
      <c r="F889" s="2"/>
      <c r="G889" s="2"/>
      <c r="H889" s="2"/>
      <c r="I889" s="2"/>
      <c r="J889" s="74"/>
      <c r="K889" s="74"/>
      <c r="L889" s="74"/>
      <c r="M889" s="74"/>
      <c r="N889" s="2"/>
      <c r="O889" s="2"/>
      <c r="P889" s="2"/>
      <c r="Q889" s="74"/>
      <c r="R889" s="2"/>
      <c r="S889" s="2"/>
      <c r="T889" s="76"/>
      <c r="U889" s="88"/>
    </row>
    <row r="890" ht="15.75" customHeight="1">
      <c r="A890" s="2"/>
      <c r="B890" s="2"/>
      <c r="C890" s="2"/>
      <c r="D890" s="2"/>
      <c r="E890" s="2"/>
      <c r="F890" s="2"/>
      <c r="G890" s="2"/>
      <c r="H890" s="2"/>
      <c r="I890" s="2"/>
      <c r="J890" s="74"/>
      <c r="K890" s="74"/>
      <c r="L890" s="74"/>
      <c r="M890" s="74"/>
      <c r="N890" s="2"/>
      <c r="O890" s="2"/>
      <c r="P890" s="2"/>
      <c r="Q890" s="74"/>
      <c r="R890" s="2"/>
      <c r="S890" s="2"/>
      <c r="T890" s="76"/>
      <c r="U890" s="88"/>
    </row>
    <row r="891" ht="15.75" customHeight="1">
      <c r="A891" s="2"/>
      <c r="B891" s="2"/>
      <c r="C891" s="2"/>
      <c r="D891" s="2"/>
      <c r="E891" s="2"/>
      <c r="F891" s="2"/>
      <c r="G891" s="2"/>
      <c r="H891" s="2"/>
      <c r="I891" s="2"/>
      <c r="J891" s="74"/>
      <c r="K891" s="74"/>
      <c r="L891" s="74"/>
      <c r="M891" s="74"/>
      <c r="N891" s="2"/>
      <c r="O891" s="2"/>
      <c r="P891" s="2"/>
      <c r="Q891" s="74"/>
      <c r="R891" s="2"/>
      <c r="S891" s="2"/>
      <c r="T891" s="76"/>
      <c r="U891" s="88"/>
    </row>
    <row r="892" ht="15.75" customHeight="1">
      <c r="A892" s="2"/>
      <c r="B892" s="2"/>
      <c r="C892" s="2"/>
      <c r="D892" s="2"/>
      <c r="E892" s="2"/>
      <c r="F892" s="2"/>
      <c r="G892" s="2"/>
      <c r="H892" s="2"/>
      <c r="I892" s="2"/>
      <c r="J892" s="74"/>
      <c r="K892" s="74"/>
      <c r="L892" s="74"/>
      <c r="M892" s="74"/>
      <c r="N892" s="2"/>
      <c r="O892" s="2"/>
      <c r="P892" s="2"/>
      <c r="Q892" s="74"/>
      <c r="R892" s="2"/>
      <c r="S892" s="2"/>
      <c r="T892" s="76"/>
      <c r="U892" s="88"/>
    </row>
    <row r="893" ht="15.75" customHeight="1">
      <c r="A893" s="2"/>
      <c r="B893" s="2"/>
      <c r="C893" s="2"/>
      <c r="D893" s="2"/>
      <c r="E893" s="2"/>
      <c r="F893" s="2"/>
      <c r="G893" s="2"/>
      <c r="H893" s="2"/>
      <c r="I893" s="2"/>
      <c r="J893" s="74"/>
      <c r="K893" s="74"/>
      <c r="L893" s="74"/>
      <c r="M893" s="74"/>
      <c r="N893" s="2"/>
      <c r="O893" s="2"/>
      <c r="P893" s="2"/>
      <c r="Q893" s="74"/>
      <c r="R893" s="2"/>
      <c r="S893" s="2"/>
      <c r="T893" s="76"/>
      <c r="U893" s="88"/>
    </row>
    <row r="894" ht="15.75" customHeight="1">
      <c r="A894" s="2"/>
      <c r="B894" s="2"/>
      <c r="C894" s="2"/>
      <c r="D894" s="2"/>
      <c r="E894" s="2"/>
      <c r="F894" s="2"/>
      <c r="G894" s="2"/>
      <c r="H894" s="2"/>
      <c r="I894" s="2"/>
      <c r="J894" s="74"/>
      <c r="K894" s="74"/>
      <c r="L894" s="74"/>
      <c r="M894" s="74"/>
      <c r="N894" s="2"/>
      <c r="O894" s="2"/>
      <c r="P894" s="2"/>
      <c r="Q894" s="74"/>
      <c r="R894" s="2"/>
      <c r="S894" s="2"/>
      <c r="T894" s="76"/>
      <c r="U894" s="88"/>
    </row>
    <row r="895" ht="15.75" customHeight="1">
      <c r="A895" s="2"/>
      <c r="B895" s="2"/>
      <c r="C895" s="2"/>
      <c r="D895" s="2"/>
      <c r="E895" s="2"/>
      <c r="F895" s="2"/>
      <c r="G895" s="2"/>
      <c r="H895" s="2"/>
      <c r="I895" s="2"/>
      <c r="J895" s="74"/>
      <c r="K895" s="74"/>
      <c r="L895" s="74"/>
      <c r="M895" s="74"/>
      <c r="N895" s="2"/>
      <c r="O895" s="2"/>
      <c r="P895" s="2"/>
      <c r="Q895" s="74"/>
      <c r="R895" s="2"/>
      <c r="S895" s="2"/>
      <c r="T895" s="76"/>
      <c r="U895" s="88"/>
    </row>
    <row r="896" ht="15.75" customHeight="1">
      <c r="A896" s="2"/>
      <c r="B896" s="2"/>
      <c r="C896" s="2"/>
      <c r="D896" s="2"/>
      <c r="E896" s="2"/>
      <c r="F896" s="2"/>
      <c r="G896" s="2"/>
      <c r="H896" s="2"/>
      <c r="I896" s="2"/>
      <c r="J896" s="74"/>
      <c r="K896" s="74"/>
      <c r="L896" s="74"/>
      <c r="M896" s="74"/>
      <c r="N896" s="2"/>
      <c r="O896" s="2"/>
      <c r="P896" s="2"/>
      <c r="Q896" s="74"/>
      <c r="R896" s="2"/>
      <c r="S896" s="2"/>
      <c r="T896" s="76"/>
      <c r="U896" s="88"/>
    </row>
    <row r="897" ht="15.75" customHeight="1">
      <c r="A897" s="2"/>
      <c r="B897" s="2"/>
      <c r="C897" s="2"/>
      <c r="D897" s="2"/>
      <c r="E897" s="2"/>
      <c r="F897" s="2"/>
      <c r="G897" s="2"/>
      <c r="H897" s="2"/>
      <c r="I897" s="2"/>
      <c r="J897" s="74"/>
      <c r="K897" s="74"/>
      <c r="L897" s="74"/>
      <c r="M897" s="74"/>
      <c r="N897" s="2"/>
      <c r="O897" s="2"/>
      <c r="P897" s="2"/>
      <c r="Q897" s="74"/>
      <c r="R897" s="2"/>
      <c r="S897" s="2"/>
      <c r="T897" s="76"/>
      <c r="U897" s="88"/>
    </row>
    <row r="898" ht="15.75" customHeight="1">
      <c r="A898" s="2"/>
      <c r="B898" s="2"/>
      <c r="C898" s="2"/>
      <c r="D898" s="2"/>
      <c r="E898" s="2"/>
      <c r="F898" s="2"/>
      <c r="G898" s="2"/>
      <c r="H898" s="2"/>
      <c r="I898" s="2"/>
      <c r="J898" s="74"/>
      <c r="K898" s="74"/>
      <c r="L898" s="74"/>
      <c r="M898" s="74"/>
      <c r="N898" s="2"/>
      <c r="O898" s="2"/>
      <c r="P898" s="2"/>
      <c r="Q898" s="74"/>
      <c r="R898" s="2"/>
      <c r="S898" s="2"/>
      <c r="T898" s="76"/>
      <c r="U898" s="88"/>
    </row>
    <row r="899" ht="15.75" customHeight="1">
      <c r="A899" s="2"/>
      <c r="B899" s="2"/>
      <c r="C899" s="2"/>
      <c r="D899" s="2"/>
      <c r="E899" s="2"/>
      <c r="F899" s="2"/>
      <c r="G899" s="2"/>
      <c r="H899" s="2"/>
      <c r="I899" s="2"/>
      <c r="J899" s="74"/>
      <c r="K899" s="74"/>
      <c r="L899" s="74"/>
      <c r="M899" s="74"/>
      <c r="N899" s="2"/>
      <c r="O899" s="2"/>
      <c r="P899" s="2"/>
      <c r="Q899" s="74"/>
      <c r="R899" s="2"/>
      <c r="S899" s="2"/>
      <c r="T899" s="76"/>
      <c r="U899" s="88"/>
    </row>
    <row r="900" ht="15.75" customHeight="1">
      <c r="A900" s="2"/>
      <c r="B900" s="2"/>
      <c r="C900" s="2"/>
      <c r="D900" s="2"/>
      <c r="E900" s="2"/>
      <c r="F900" s="2"/>
      <c r="G900" s="2"/>
      <c r="H900" s="2"/>
      <c r="I900" s="2"/>
      <c r="J900" s="74"/>
      <c r="K900" s="74"/>
      <c r="L900" s="74"/>
      <c r="M900" s="74"/>
      <c r="N900" s="2"/>
      <c r="O900" s="2"/>
      <c r="P900" s="2"/>
      <c r="Q900" s="74"/>
      <c r="R900" s="2"/>
      <c r="S900" s="2"/>
      <c r="T900" s="76"/>
      <c r="U900" s="88"/>
    </row>
    <row r="901" ht="15.75" customHeight="1">
      <c r="A901" s="2"/>
      <c r="B901" s="2"/>
      <c r="C901" s="2"/>
      <c r="D901" s="2"/>
      <c r="E901" s="2"/>
      <c r="F901" s="2"/>
      <c r="G901" s="2"/>
      <c r="H901" s="2"/>
      <c r="I901" s="2"/>
      <c r="J901" s="74"/>
      <c r="K901" s="74"/>
      <c r="L901" s="74"/>
      <c r="M901" s="74"/>
      <c r="N901" s="2"/>
      <c r="O901" s="2"/>
      <c r="P901" s="2"/>
      <c r="Q901" s="74"/>
      <c r="R901" s="2"/>
      <c r="S901" s="2"/>
      <c r="T901" s="76"/>
      <c r="U901" s="88"/>
    </row>
    <row r="902" ht="15.75" customHeight="1">
      <c r="A902" s="2"/>
      <c r="B902" s="2"/>
      <c r="C902" s="2"/>
      <c r="D902" s="2"/>
      <c r="E902" s="2"/>
      <c r="F902" s="2"/>
      <c r="G902" s="2"/>
      <c r="H902" s="2"/>
      <c r="I902" s="2"/>
      <c r="J902" s="74"/>
      <c r="K902" s="74"/>
      <c r="L902" s="74"/>
      <c r="M902" s="74"/>
      <c r="N902" s="2"/>
      <c r="O902" s="2"/>
      <c r="P902" s="2"/>
      <c r="Q902" s="74"/>
      <c r="R902" s="2"/>
      <c r="S902" s="2"/>
      <c r="T902" s="76"/>
      <c r="U902" s="88"/>
    </row>
    <row r="903" ht="15.75" customHeight="1">
      <c r="A903" s="2"/>
      <c r="B903" s="2"/>
      <c r="C903" s="2"/>
      <c r="D903" s="2"/>
      <c r="E903" s="2"/>
      <c r="F903" s="2"/>
      <c r="G903" s="2"/>
      <c r="H903" s="2"/>
      <c r="I903" s="2"/>
      <c r="J903" s="74"/>
      <c r="K903" s="74"/>
      <c r="L903" s="74"/>
      <c r="M903" s="74"/>
      <c r="N903" s="2"/>
      <c r="O903" s="2"/>
      <c r="P903" s="2"/>
      <c r="Q903" s="74"/>
      <c r="R903" s="2"/>
      <c r="S903" s="2"/>
      <c r="T903" s="76"/>
      <c r="U903" s="88"/>
    </row>
    <row r="904" ht="15.75" customHeight="1">
      <c r="A904" s="2"/>
      <c r="B904" s="2"/>
      <c r="C904" s="2"/>
      <c r="D904" s="2"/>
      <c r="E904" s="2"/>
      <c r="F904" s="2"/>
      <c r="G904" s="2"/>
      <c r="H904" s="2"/>
      <c r="I904" s="2"/>
      <c r="J904" s="74"/>
      <c r="K904" s="74"/>
      <c r="L904" s="74"/>
      <c r="M904" s="74"/>
      <c r="N904" s="2"/>
      <c r="O904" s="2"/>
      <c r="P904" s="2"/>
      <c r="Q904" s="74"/>
      <c r="R904" s="2"/>
      <c r="S904" s="2"/>
      <c r="T904" s="76"/>
      <c r="U904" s="88"/>
    </row>
    <row r="905" ht="15.75" customHeight="1">
      <c r="A905" s="2"/>
      <c r="B905" s="2"/>
      <c r="C905" s="2"/>
      <c r="D905" s="2"/>
      <c r="E905" s="2"/>
      <c r="F905" s="2"/>
      <c r="G905" s="2"/>
      <c r="H905" s="2"/>
      <c r="I905" s="2"/>
      <c r="J905" s="74"/>
      <c r="K905" s="74"/>
      <c r="L905" s="74"/>
      <c r="M905" s="74"/>
      <c r="N905" s="2"/>
      <c r="O905" s="2"/>
      <c r="P905" s="2"/>
      <c r="Q905" s="74"/>
      <c r="R905" s="2"/>
      <c r="S905" s="2"/>
      <c r="T905" s="76"/>
      <c r="U905" s="88"/>
    </row>
    <row r="906" ht="15.75" customHeight="1">
      <c r="A906" s="2"/>
      <c r="B906" s="2"/>
      <c r="C906" s="2"/>
      <c r="D906" s="2"/>
      <c r="E906" s="2"/>
      <c r="F906" s="2"/>
      <c r="G906" s="2"/>
      <c r="H906" s="2"/>
      <c r="I906" s="2"/>
      <c r="J906" s="74"/>
      <c r="K906" s="74"/>
      <c r="L906" s="74"/>
      <c r="M906" s="74"/>
      <c r="N906" s="2"/>
      <c r="O906" s="2"/>
      <c r="P906" s="2"/>
      <c r="Q906" s="74"/>
      <c r="R906" s="2"/>
      <c r="S906" s="2"/>
      <c r="T906" s="76"/>
      <c r="U906" s="88"/>
    </row>
    <row r="907" ht="15.75" customHeight="1">
      <c r="A907" s="2"/>
      <c r="B907" s="2"/>
      <c r="C907" s="2"/>
      <c r="D907" s="2"/>
      <c r="E907" s="2"/>
      <c r="F907" s="2"/>
      <c r="G907" s="2"/>
      <c r="H907" s="2"/>
      <c r="I907" s="2"/>
      <c r="J907" s="74"/>
      <c r="K907" s="74"/>
      <c r="L907" s="74"/>
      <c r="M907" s="74"/>
      <c r="N907" s="2"/>
      <c r="O907" s="2"/>
      <c r="P907" s="2"/>
      <c r="Q907" s="74"/>
      <c r="R907" s="2"/>
      <c r="S907" s="2"/>
      <c r="T907" s="76"/>
      <c r="U907" s="88"/>
    </row>
    <row r="908" ht="15.75" customHeight="1">
      <c r="A908" s="2"/>
      <c r="B908" s="2"/>
      <c r="C908" s="2"/>
      <c r="D908" s="2"/>
      <c r="E908" s="2"/>
      <c r="F908" s="2"/>
      <c r="G908" s="2"/>
      <c r="H908" s="2"/>
      <c r="I908" s="2"/>
      <c r="J908" s="74"/>
      <c r="K908" s="74"/>
      <c r="L908" s="74"/>
      <c r="M908" s="74"/>
      <c r="N908" s="2"/>
      <c r="O908" s="2"/>
      <c r="P908" s="2"/>
      <c r="Q908" s="74"/>
      <c r="R908" s="2"/>
      <c r="S908" s="2"/>
      <c r="T908" s="76"/>
      <c r="U908" s="88"/>
    </row>
    <row r="909" ht="15.75" customHeight="1">
      <c r="A909" s="2"/>
      <c r="B909" s="2"/>
      <c r="C909" s="2"/>
      <c r="D909" s="2"/>
      <c r="E909" s="2"/>
      <c r="F909" s="2"/>
      <c r="G909" s="2"/>
      <c r="H909" s="2"/>
      <c r="I909" s="2"/>
      <c r="J909" s="74"/>
      <c r="K909" s="74"/>
      <c r="L909" s="74"/>
      <c r="M909" s="74"/>
      <c r="N909" s="2"/>
      <c r="O909" s="2"/>
      <c r="P909" s="2"/>
      <c r="Q909" s="74"/>
      <c r="R909" s="2"/>
      <c r="S909" s="2"/>
      <c r="T909" s="76"/>
      <c r="U909" s="88"/>
    </row>
    <row r="910" ht="15.75" customHeight="1">
      <c r="A910" s="2"/>
      <c r="B910" s="2"/>
      <c r="C910" s="2"/>
      <c r="D910" s="2"/>
      <c r="E910" s="2"/>
      <c r="F910" s="2"/>
      <c r="G910" s="2"/>
      <c r="H910" s="2"/>
      <c r="I910" s="2"/>
      <c r="J910" s="74"/>
      <c r="K910" s="74"/>
      <c r="L910" s="74"/>
      <c r="M910" s="74"/>
      <c r="N910" s="2"/>
      <c r="O910" s="2"/>
      <c r="P910" s="2"/>
      <c r="Q910" s="74"/>
      <c r="R910" s="2"/>
      <c r="S910" s="2"/>
      <c r="T910" s="76"/>
      <c r="U910" s="88"/>
    </row>
    <row r="911" ht="15.75" customHeight="1">
      <c r="A911" s="2"/>
      <c r="B911" s="2"/>
      <c r="C911" s="2"/>
      <c r="D911" s="2"/>
      <c r="E911" s="2"/>
      <c r="F911" s="2"/>
      <c r="G911" s="2"/>
      <c r="H911" s="2"/>
      <c r="I911" s="2"/>
      <c r="J911" s="74"/>
      <c r="K911" s="74"/>
      <c r="L911" s="74"/>
      <c r="M911" s="74"/>
      <c r="N911" s="2"/>
      <c r="O911" s="2"/>
      <c r="P911" s="2"/>
      <c r="Q911" s="74"/>
      <c r="R911" s="2"/>
      <c r="S911" s="2"/>
      <c r="T911" s="76"/>
      <c r="U911" s="88"/>
    </row>
    <row r="912" ht="15.75" customHeight="1">
      <c r="A912" s="2"/>
      <c r="B912" s="2"/>
      <c r="C912" s="2"/>
      <c r="D912" s="2"/>
      <c r="E912" s="2"/>
      <c r="F912" s="2"/>
      <c r="G912" s="2"/>
      <c r="H912" s="2"/>
      <c r="I912" s="2"/>
      <c r="J912" s="74"/>
      <c r="K912" s="74"/>
      <c r="L912" s="74"/>
      <c r="M912" s="74"/>
      <c r="N912" s="2"/>
      <c r="O912" s="2"/>
      <c r="P912" s="2"/>
      <c r="Q912" s="74"/>
      <c r="R912" s="2"/>
      <c r="S912" s="2"/>
      <c r="T912" s="76"/>
      <c r="U912" s="88"/>
    </row>
    <row r="913" ht="15.75" customHeight="1">
      <c r="A913" s="2"/>
      <c r="B913" s="2"/>
      <c r="C913" s="2"/>
      <c r="D913" s="2"/>
      <c r="E913" s="2"/>
      <c r="F913" s="2"/>
      <c r="G913" s="2"/>
      <c r="H913" s="2"/>
      <c r="I913" s="2"/>
      <c r="J913" s="74"/>
      <c r="K913" s="74"/>
      <c r="L913" s="74"/>
      <c r="M913" s="74"/>
      <c r="N913" s="2"/>
      <c r="O913" s="2"/>
      <c r="P913" s="2"/>
      <c r="Q913" s="74"/>
      <c r="R913" s="2"/>
      <c r="S913" s="2"/>
      <c r="T913" s="76"/>
      <c r="U913" s="88"/>
    </row>
    <row r="914" ht="15.75" customHeight="1">
      <c r="A914" s="2"/>
      <c r="B914" s="2"/>
      <c r="C914" s="2"/>
      <c r="D914" s="2"/>
      <c r="E914" s="2"/>
      <c r="F914" s="2"/>
      <c r="G914" s="2"/>
      <c r="H914" s="2"/>
      <c r="I914" s="2"/>
      <c r="J914" s="74"/>
      <c r="K914" s="74"/>
      <c r="L914" s="74"/>
      <c r="M914" s="74"/>
      <c r="N914" s="2"/>
      <c r="O914" s="2"/>
      <c r="P914" s="2"/>
      <c r="Q914" s="74"/>
      <c r="R914" s="2"/>
      <c r="S914" s="2"/>
      <c r="T914" s="76"/>
      <c r="U914" s="88"/>
    </row>
    <row r="915" ht="15.75" customHeight="1">
      <c r="A915" s="2"/>
      <c r="B915" s="2"/>
      <c r="C915" s="2"/>
      <c r="D915" s="2"/>
      <c r="E915" s="2"/>
      <c r="F915" s="2"/>
      <c r="G915" s="2"/>
      <c r="H915" s="2"/>
      <c r="I915" s="2"/>
      <c r="J915" s="74"/>
      <c r="K915" s="74"/>
      <c r="L915" s="74"/>
      <c r="M915" s="74"/>
      <c r="N915" s="2"/>
      <c r="O915" s="2"/>
      <c r="P915" s="2"/>
      <c r="Q915" s="74"/>
      <c r="R915" s="2"/>
      <c r="S915" s="2"/>
      <c r="T915" s="76"/>
      <c r="U915" s="88"/>
    </row>
    <row r="916" ht="15.75" customHeight="1">
      <c r="A916" s="2"/>
      <c r="B916" s="2"/>
      <c r="C916" s="2"/>
      <c r="D916" s="2"/>
      <c r="E916" s="2"/>
      <c r="F916" s="2"/>
      <c r="G916" s="2"/>
      <c r="H916" s="2"/>
      <c r="I916" s="2"/>
      <c r="J916" s="74"/>
      <c r="K916" s="74"/>
      <c r="L916" s="74"/>
      <c r="M916" s="74"/>
      <c r="N916" s="2"/>
      <c r="O916" s="2"/>
      <c r="P916" s="2"/>
      <c r="Q916" s="74"/>
      <c r="R916" s="2"/>
      <c r="S916" s="2"/>
      <c r="T916" s="76"/>
      <c r="U916" s="88"/>
    </row>
    <row r="917" ht="15.75" customHeight="1">
      <c r="A917" s="2"/>
      <c r="B917" s="2"/>
      <c r="C917" s="2"/>
      <c r="D917" s="2"/>
      <c r="E917" s="2"/>
      <c r="F917" s="2"/>
      <c r="G917" s="2"/>
      <c r="H917" s="2"/>
      <c r="I917" s="2"/>
      <c r="J917" s="74"/>
      <c r="K917" s="74"/>
      <c r="L917" s="74"/>
      <c r="M917" s="74"/>
      <c r="N917" s="2"/>
      <c r="O917" s="2"/>
      <c r="P917" s="2"/>
      <c r="Q917" s="74"/>
      <c r="R917" s="2"/>
      <c r="S917" s="2"/>
      <c r="T917" s="76"/>
      <c r="U917" s="88"/>
    </row>
    <row r="918" ht="15.75" customHeight="1">
      <c r="A918" s="2"/>
      <c r="B918" s="2"/>
      <c r="C918" s="2"/>
      <c r="D918" s="2"/>
      <c r="E918" s="2"/>
      <c r="F918" s="2"/>
      <c r="G918" s="2"/>
      <c r="H918" s="2"/>
      <c r="I918" s="2"/>
      <c r="J918" s="74"/>
      <c r="K918" s="74"/>
      <c r="L918" s="74"/>
      <c r="M918" s="74"/>
      <c r="N918" s="2"/>
      <c r="O918" s="2"/>
      <c r="P918" s="2"/>
      <c r="Q918" s="74"/>
      <c r="R918" s="2"/>
      <c r="S918" s="2"/>
      <c r="T918" s="76"/>
      <c r="U918" s="88"/>
    </row>
    <row r="919" ht="15.75" customHeight="1">
      <c r="A919" s="2"/>
      <c r="B919" s="2"/>
      <c r="C919" s="2"/>
      <c r="D919" s="2"/>
      <c r="E919" s="2"/>
      <c r="F919" s="2"/>
      <c r="G919" s="2"/>
      <c r="H919" s="2"/>
      <c r="I919" s="2"/>
      <c r="J919" s="74"/>
      <c r="K919" s="74"/>
      <c r="L919" s="74"/>
      <c r="M919" s="74"/>
      <c r="N919" s="2"/>
      <c r="O919" s="2"/>
      <c r="P919" s="2"/>
      <c r="Q919" s="74"/>
      <c r="R919" s="2"/>
      <c r="S919" s="2"/>
      <c r="T919" s="76"/>
      <c r="U919" s="88"/>
    </row>
    <row r="920" ht="15.75" customHeight="1">
      <c r="A920" s="2"/>
      <c r="B920" s="2"/>
      <c r="C920" s="2"/>
      <c r="D920" s="2"/>
      <c r="E920" s="2"/>
      <c r="F920" s="2"/>
      <c r="G920" s="2"/>
      <c r="H920" s="2"/>
      <c r="I920" s="2"/>
      <c r="J920" s="74"/>
      <c r="K920" s="74"/>
      <c r="L920" s="74"/>
      <c r="M920" s="74"/>
      <c r="N920" s="2"/>
      <c r="O920" s="2"/>
      <c r="P920" s="2"/>
      <c r="Q920" s="74"/>
      <c r="R920" s="2"/>
      <c r="S920" s="2"/>
      <c r="T920" s="76"/>
      <c r="U920" s="88"/>
    </row>
    <row r="921" ht="15.75" customHeight="1">
      <c r="A921" s="2"/>
      <c r="B921" s="2"/>
      <c r="C921" s="2"/>
      <c r="D921" s="2"/>
      <c r="E921" s="2"/>
      <c r="F921" s="2"/>
      <c r="G921" s="2"/>
      <c r="H921" s="2"/>
      <c r="I921" s="2"/>
      <c r="J921" s="74"/>
      <c r="K921" s="74"/>
      <c r="L921" s="74"/>
      <c r="M921" s="74"/>
      <c r="N921" s="2"/>
      <c r="O921" s="2"/>
      <c r="P921" s="2"/>
      <c r="Q921" s="74"/>
      <c r="R921" s="2"/>
      <c r="S921" s="2"/>
      <c r="T921" s="76"/>
      <c r="U921" s="88"/>
    </row>
    <row r="922" ht="15.75" customHeight="1">
      <c r="A922" s="2"/>
      <c r="B922" s="2"/>
      <c r="C922" s="2"/>
      <c r="D922" s="2"/>
      <c r="E922" s="2"/>
      <c r="F922" s="2"/>
      <c r="G922" s="2"/>
      <c r="H922" s="2"/>
      <c r="I922" s="2"/>
      <c r="J922" s="74"/>
      <c r="K922" s="74"/>
      <c r="L922" s="74"/>
      <c r="M922" s="74"/>
      <c r="N922" s="2"/>
      <c r="O922" s="2"/>
      <c r="P922" s="2"/>
      <c r="Q922" s="74"/>
      <c r="R922" s="2"/>
      <c r="S922" s="2"/>
      <c r="T922" s="76"/>
      <c r="U922" s="88"/>
    </row>
    <row r="923" ht="15.75" customHeight="1">
      <c r="A923" s="2"/>
      <c r="B923" s="2"/>
      <c r="C923" s="2"/>
      <c r="D923" s="2"/>
      <c r="E923" s="2"/>
      <c r="F923" s="2"/>
      <c r="G923" s="2"/>
      <c r="H923" s="2"/>
      <c r="I923" s="2"/>
      <c r="J923" s="74"/>
      <c r="K923" s="74"/>
      <c r="L923" s="74"/>
      <c r="M923" s="74"/>
      <c r="N923" s="2"/>
      <c r="O923" s="2"/>
      <c r="P923" s="2"/>
      <c r="Q923" s="74"/>
      <c r="R923" s="2"/>
      <c r="S923" s="2"/>
      <c r="T923" s="76"/>
      <c r="U923" s="88"/>
    </row>
    <row r="924" ht="15.75" customHeight="1">
      <c r="A924" s="2"/>
      <c r="B924" s="2"/>
      <c r="C924" s="2"/>
      <c r="D924" s="2"/>
      <c r="E924" s="2"/>
      <c r="F924" s="2"/>
      <c r="G924" s="2"/>
      <c r="H924" s="2"/>
      <c r="I924" s="2"/>
      <c r="J924" s="74"/>
      <c r="K924" s="74"/>
      <c r="L924" s="74"/>
      <c r="M924" s="74"/>
      <c r="N924" s="2"/>
      <c r="O924" s="2"/>
      <c r="P924" s="2"/>
      <c r="Q924" s="74"/>
      <c r="R924" s="2"/>
      <c r="S924" s="2"/>
      <c r="T924" s="76"/>
      <c r="U924" s="88"/>
    </row>
    <row r="925" ht="15.75" customHeight="1">
      <c r="A925" s="2"/>
      <c r="B925" s="2"/>
      <c r="C925" s="2"/>
      <c r="D925" s="2"/>
      <c r="E925" s="2"/>
      <c r="F925" s="2"/>
      <c r="G925" s="2"/>
      <c r="H925" s="2"/>
      <c r="I925" s="2"/>
      <c r="J925" s="74"/>
      <c r="K925" s="74"/>
      <c r="L925" s="74"/>
      <c r="M925" s="74"/>
      <c r="N925" s="2"/>
      <c r="O925" s="2"/>
      <c r="P925" s="2"/>
      <c r="Q925" s="74"/>
      <c r="R925" s="2"/>
      <c r="S925" s="2"/>
      <c r="T925" s="76"/>
      <c r="U925" s="88"/>
    </row>
    <row r="926" ht="15.75" customHeight="1">
      <c r="A926" s="2"/>
      <c r="B926" s="2"/>
      <c r="C926" s="2"/>
      <c r="D926" s="2"/>
      <c r="E926" s="2"/>
      <c r="F926" s="2"/>
      <c r="G926" s="2"/>
      <c r="H926" s="2"/>
      <c r="I926" s="2"/>
      <c r="J926" s="74"/>
      <c r="K926" s="74"/>
      <c r="L926" s="74"/>
      <c r="M926" s="74"/>
      <c r="N926" s="2"/>
      <c r="O926" s="2"/>
      <c r="P926" s="2"/>
      <c r="Q926" s="74"/>
      <c r="R926" s="2"/>
      <c r="S926" s="2"/>
      <c r="T926" s="76"/>
      <c r="U926" s="88"/>
    </row>
    <row r="927" ht="15.75" customHeight="1">
      <c r="A927" s="2"/>
      <c r="B927" s="2"/>
      <c r="C927" s="2"/>
      <c r="D927" s="2"/>
      <c r="E927" s="2"/>
      <c r="F927" s="2"/>
      <c r="G927" s="2"/>
      <c r="H927" s="2"/>
      <c r="I927" s="2"/>
      <c r="J927" s="74"/>
      <c r="K927" s="74"/>
      <c r="L927" s="74"/>
      <c r="M927" s="74"/>
      <c r="N927" s="2"/>
      <c r="O927" s="2"/>
      <c r="P927" s="2"/>
      <c r="Q927" s="74"/>
      <c r="R927" s="2"/>
      <c r="S927" s="2"/>
      <c r="T927" s="76"/>
      <c r="U927" s="88"/>
    </row>
    <row r="928" ht="15.75" customHeight="1">
      <c r="A928" s="2"/>
      <c r="B928" s="2"/>
      <c r="C928" s="2"/>
      <c r="D928" s="2"/>
      <c r="E928" s="2"/>
      <c r="F928" s="2"/>
      <c r="G928" s="2"/>
      <c r="H928" s="2"/>
      <c r="I928" s="2"/>
      <c r="J928" s="74"/>
      <c r="K928" s="74"/>
      <c r="L928" s="74"/>
      <c r="M928" s="74"/>
      <c r="N928" s="2"/>
      <c r="O928" s="2"/>
      <c r="P928" s="2"/>
      <c r="Q928" s="74"/>
      <c r="R928" s="2"/>
      <c r="S928" s="2"/>
      <c r="T928" s="76"/>
      <c r="U928" s="88"/>
    </row>
    <row r="929" ht="15.75" customHeight="1">
      <c r="A929" s="2"/>
      <c r="B929" s="2"/>
      <c r="C929" s="2"/>
      <c r="D929" s="2"/>
      <c r="E929" s="2"/>
      <c r="F929" s="2"/>
      <c r="G929" s="2"/>
      <c r="H929" s="2"/>
      <c r="I929" s="2"/>
      <c r="J929" s="74"/>
      <c r="K929" s="74"/>
      <c r="L929" s="74"/>
      <c r="M929" s="74"/>
      <c r="N929" s="2"/>
      <c r="O929" s="2"/>
      <c r="P929" s="2"/>
      <c r="Q929" s="74"/>
      <c r="R929" s="2"/>
      <c r="S929" s="2"/>
      <c r="T929" s="76"/>
      <c r="U929" s="88"/>
    </row>
    <row r="930" ht="15.75" customHeight="1">
      <c r="A930" s="2"/>
      <c r="B930" s="2"/>
      <c r="C930" s="2"/>
      <c r="D930" s="2"/>
      <c r="E930" s="2"/>
      <c r="F930" s="2"/>
      <c r="G930" s="2"/>
      <c r="H930" s="2"/>
      <c r="I930" s="2"/>
      <c r="J930" s="74"/>
      <c r="K930" s="74"/>
      <c r="L930" s="74"/>
      <c r="M930" s="74"/>
      <c r="N930" s="2"/>
      <c r="O930" s="2"/>
      <c r="P930" s="2"/>
      <c r="Q930" s="74"/>
      <c r="R930" s="2"/>
      <c r="S930" s="2"/>
      <c r="T930" s="76"/>
      <c r="U930" s="88"/>
    </row>
    <row r="931" ht="15.75" customHeight="1">
      <c r="A931" s="2"/>
      <c r="B931" s="2"/>
      <c r="C931" s="2"/>
      <c r="D931" s="2"/>
      <c r="E931" s="2"/>
      <c r="F931" s="2"/>
      <c r="G931" s="2"/>
      <c r="H931" s="2"/>
      <c r="I931" s="2"/>
      <c r="J931" s="74"/>
      <c r="K931" s="74"/>
      <c r="L931" s="74"/>
      <c r="M931" s="74"/>
      <c r="N931" s="2"/>
      <c r="O931" s="2"/>
      <c r="P931" s="2"/>
      <c r="Q931" s="74"/>
      <c r="R931" s="2"/>
      <c r="S931" s="2"/>
      <c r="T931" s="76"/>
      <c r="U931" s="88"/>
    </row>
    <row r="932" ht="15.75" customHeight="1">
      <c r="A932" s="2"/>
      <c r="B932" s="2"/>
      <c r="C932" s="2"/>
      <c r="D932" s="2"/>
      <c r="E932" s="2"/>
      <c r="F932" s="2"/>
      <c r="G932" s="2"/>
      <c r="H932" s="2"/>
      <c r="I932" s="2"/>
      <c r="J932" s="74"/>
      <c r="K932" s="74"/>
      <c r="L932" s="74"/>
      <c r="M932" s="74"/>
      <c r="N932" s="2"/>
      <c r="O932" s="2"/>
      <c r="P932" s="2"/>
      <c r="Q932" s="74"/>
      <c r="R932" s="2"/>
      <c r="S932" s="2"/>
      <c r="T932" s="76"/>
      <c r="U932" s="88"/>
    </row>
    <row r="933" ht="15.75" customHeight="1">
      <c r="A933" s="2"/>
      <c r="B933" s="2"/>
      <c r="C933" s="2"/>
      <c r="D933" s="2"/>
      <c r="E933" s="2"/>
      <c r="F933" s="2"/>
      <c r="G933" s="2"/>
      <c r="H933" s="2"/>
      <c r="I933" s="2"/>
      <c r="J933" s="74"/>
      <c r="K933" s="74"/>
      <c r="L933" s="74"/>
      <c r="M933" s="74"/>
      <c r="N933" s="2"/>
      <c r="O933" s="2"/>
      <c r="P933" s="2"/>
      <c r="Q933" s="74"/>
      <c r="R933" s="2"/>
      <c r="S933" s="2"/>
      <c r="T933" s="76"/>
      <c r="U933" s="88"/>
    </row>
    <row r="934" ht="15.75" customHeight="1">
      <c r="A934" s="2"/>
      <c r="B934" s="2"/>
      <c r="C934" s="2"/>
      <c r="D934" s="2"/>
      <c r="E934" s="2"/>
      <c r="F934" s="2"/>
      <c r="G934" s="2"/>
      <c r="H934" s="2"/>
      <c r="I934" s="2"/>
      <c r="J934" s="74"/>
      <c r="K934" s="74"/>
      <c r="L934" s="74"/>
      <c r="M934" s="74"/>
      <c r="N934" s="2"/>
      <c r="O934" s="2"/>
      <c r="P934" s="2"/>
      <c r="Q934" s="74"/>
      <c r="R934" s="2"/>
      <c r="S934" s="2"/>
      <c r="T934" s="76"/>
      <c r="U934" s="88"/>
    </row>
    <row r="935" ht="15.75" customHeight="1">
      <c r="A935" s="2"/>
      <c r="B935" s="2"/>
      <c r="C935" s="2"/>
      <c r="D935" s="2"/>
      <c r="E935" s="2"/>
      <c r="F935" s="2"/>
      <c r="G935" s="2"/>
      <c r="H935" s="2"/>
      <c r="I935" s="2"/>
      <c r="J935" s="74"/>
      <c r="K935" s="74"/>
      <c r="L935" s="74"/>
      <c r="M935" s="74"/>
      <c r="N935" s="2"/>
      <c r="O935" s="2"/>
      <c r="P935" s="2"/>
      <c r="Q935" s="74"/>
      <c r="R935" s="2"/>
      <c r="S935" s="2"/>
      <c r="T935" s="76"/>
      <c r="U935" s="88"/>
    </row>
    <row r="936" ht="15.75" customHeight="1">
      <c r="A936" s="2"/>
      <c r="B936" s="2"/>
      <c r="C936" s="2"/>
      <c r="D936" s="2"/>
      <c r="E936" s="2"/>
      <c r="F936" s="2"/>
      <c r="G936" s="2"/>
      <c r="H936" s="2"/>
      <c r="I936" s="2"/>
      <c r="J936" s="74"/>
      <c r="K936" s="74"/>
      <c r="L936" s="74"/>
      <c r="M936" s="74"/>
      <c r="N936" s="2"/>
      <c r="O936" s="2"/>
      <c r="P936" s="2"/>
      <c r="Q936" s="74"/>
      <c r="R936" s="2"/>
      <c r="S936" s="2"/>
      <c r="T936" s="76"/>
      <c r="U936" s="88"/>
    </row>
    <row r="937" ht="15.75" customHeight="1">
      <c r="A937" s="2"/>
      <c r="B937" s="2"/>
      <c r="C937" s="2"/>
      <c r="D937" s="2"/>
      <c r="E937" s="2"/>
      <c r="F937" s="2"/>
      <c r="G937" s="2"/>
      <c r="H937" s="2"/>
      <c r="I937" s="2"/>
      <c r="J937" s="74"/>
      <c r="K937" s="74"/>
      <c r="L937" s="74"/>
      <c r="M937" s="74"/>
      <c r="N937" s="2"/>
      <c r="O937" s="2"/>
      <c r="P937" s="2"/>
      <c r="Q937" s="74"/>
      <c r="R937" s="2"/>
      <c r="S937" s="2"/>
      <c r="T937" s="76"/>
      <c r="U937" s="88"/>
    </row>
    <row r="938" ht="15.75" customHeight="1">
      <c r="A938" s="2"/>
      <c r="B938" s="2"/>
      <c r="C938" s="2"/>
      <c r="D938" s="2"/>
      <c r="E938" s="2"/>
      <c r="F938" s="2"/>
      <c r="G938" s="2"/>
      <c r="H938" s="2"/>
      <c r="I938" s="2"/>
      <c r="J938" s="74"/>
      <c r="K938" s="74"/>
      <c r="L938" s="74"/>
      <c r="M938" s="74"/>
      <c r="N938" s="2"/>
      <c r="O938" s="2"/>
      <c r="P938" s="2"/>
      <c r="Q938" s="74"/>
      <c r="R938" s="2"/>
      <c r="S938" s="2"/>
      <c r="T938" s="76"/>
      <c r="U938" s="88"/>
    </row>
    <row r="939" ht="15.75" customHeight="1">
      <c r="A939" s="2"/>
      <c r="B939" s="2"/>
      <c r="C939" s="2"/>
      <c r="D939" s="2"/>
      <c r="E939" s="2"/>
      <c r="F939" s="2"/>
      <c r="G939" s="2"/>
      <c r="H939" s="2"/>
      <c r="I939" s="2"/>
      <c r="J939" s="74"/>
      <c r="K939" s="74"/>
      <c r="L939" s="74"/>
      <c r="M939" s="74"/>
      <c r="N939" s="2"/>
      <c r="O939" s="2"/>
      <c r="P939" s="2"/>
      <c r="Q939" s="74"/>
      <c r="R939" s="2"/>
      <c r="S939" s="2"/>
      <c r="T939" s="76"/>
      <c r="U939" s="88"/>
    </row>
    <row r="940" ht="15.75" customHeight="1">
      <c r="A940" s="2"/>
      <c r="B940" s="2"/>
      <c r="C940" s="2"/>
      <c r="D940" s="2"/>
      <c r="E940" s="2"/>
      <c r="F940" s="2"/>
      <c r="G940" s="2"/>
      <c r="H940" s="2"/>
      <c r="I940" s="2"/>
      <c r="J940" s="74"/>
      <c r="K940" s="74"/>
      <c r="L940" s="74"/>
      <c r="M940" s="74"/>
      <c r="N940" s="2"/>
      <c r="O940" s="2"/>
      <c r="P940" s="2"/>
      <c r="Q940" s="74"/>
      <c r="R940" s="2"/>
      <c r="S940" s="2"/>
      <c r="T940" s="76"/>
      <c r="U940" s="88"/>
    </row>
    <row r="941" ht="15.75" customHeight="1">
      <c r="A941" s="2"/>
      <c r="B941" s="2"/>
      <c r="C941" s="2"/>
      <c r="D941" s="2"/>
      <c r="E941" s="2"/>
      <c r="F941" s="2"/>
      <c r="G941" s="2"/>
      <c r="H941" s="2"/>
      <c r="I941" s="2"/>
      <c r="J941" s="74"/>
      <c r="K941" s="74"/>
      <c r="L941" s="74"/>
      <c r="M941" s="74"/>
      <c r="N941" s="2"/>
      <c r="O941" s="2"/>
      <c r="P941" s="2"/>
      <c r="Q941" s="74"/>
      <c r="R941" s="2"/>
      <c r="S941" s="2"/>
      <c r="T941" s="76"/>
      <c r="U941" s="88"/>
    </row>
    <row r="942" ht="15.75" customHeight="1">
      <c r="A942" s="2"/>
      <c r="B942" s="2"/>
      <c r="C942" s="2"/>
      <c r="D942" s="2"/>
      <c r="E942" s="2"/>
      <c r="F942" s="2"/>
      <c r="G942" s="2"/>
      <c r="H942" s="2"/>
      <c r="I942" s="2"/>
      <c r="J942" s="74"/>
      <c r="K942" s="74"/>
      <c r="L942" s="74"/>
      <c r="M942" s="74"/>
      <c r="N942" s="2"/>
      <c r="O942" s="2"/>
      <c r="P942" s="2"/>
      <c r="Q942" s="74"/>
      <c r="R942" s="2"/>
      <c r="S942" s="2"/>
      <c r="T942" s="76"/>
      <c r="U942" s="88"/>
    </row>
    <row r="943" ht="15.75" customHeight="1">
      <c r="A943" s="2"/>
      <c r="B943" s="2"/>
      <c r="C943" s="2"/>
      <c r="D943" s="2"/>
      <c r="E943" s="2"/>
      <c r="F943" s="2"/>
      <c r="G943" s="2"/>
      <c r="H943" s="2"/>
      <c r="I943" s="2"/>
      <c r="J943" s="74"/>
      <c r="K943" s="74"/>
      <c r="L943" s="74"/>
      <c r="M943" s="74"/>
      <c r="N943" s="2"/>
      <c r="O943" s="2"/>
      <c r="P943" s="2"/>
      <c r="Q943" s="74"/>
      <c r="R943" s="2"/>
      <c r="S943" s="2"/>
      <c r="T943" s="76"/>
      <c r="U943" s="88"/>
    </row>
    <row r="944" ht="15.75" customHeight="1">
      <c r="A944" s="2"/>
      <c r="B944" s="2"/>
      <c r="C944" s="2"/>
      <c r="D944" s="2"/>
      <c r="E944" s="2"/>
      <c r="F944" s="2"/>
      <c r="G944" s="2"/>
      <c r="H944" s="2"/>
      <c r="I944" s="2"/>
      <c r="J944" s="74"/>
      <c r="K944" s="74"/>
      <c r="L944" s="74"/>
      <c r="M944" s="74"/>
      <c r="N944" s="2"/>
      <c r="O944" s="2"/>
      <c r="P944" s="2"/>
      <c r="Q944" s="74"/>
      <c r="R944" s="2"/>
      <c r="S944" s="2"/>
      <c r="T944" s="76"/>
      <c r="U944" s="88"/>
    </row>
    <row r="945" ht="15.75" customHeight="1">
      <c r="A945" s="2"/>
      <c r="B945" s="2"/>
      <c r="C945" s="2"/>
      <c r="D945" s="2"/>
      <c r="E945" s="2"/>
      <c r="F945" s="2"/>
      <c r="G945" s="2"/>
      <c r="H945" s="2"/>
      <c r="I945" s="2"/>
      <c r="J945" s="74"/>
      <c r="K945" s="74"/>
      <c r="L945" s="74"/>
      <c r="M945" s="74"/>
      <c r="N945" s="2"/>
      <c r="O945" s="2"/>
      <c r="P945" s="2"/>
      <c r="Q945" s="74"/>
      <c r="R945" s="2"/>
      <c r="S945" s="2"/>
      <c r="T945" s="76"/>
      <c r="U945" s="88"/>
    </row>
    <row r="946" ht="15.75" customHeight="1">
      <c r="A946" s="2"/>
      <c r="B946" s="2"/>
      <c r="C946" s="2"/>
      <c r="D946" s="2"/>
      <c r="E946" s="2"/>
      <c r="F946" s="2"/>
      <c r="G946" s="2"/>
      <c r="H946" s="2"/>
      <c r="I946" s="2"/>
      <c r="J946" s="74"/>
      <c r="K946" s="74"/>
      <c r="L946" s="74"/>
      <c r="M946" s="74"/>
      <c r="N946" s="2"/>
      <c r="O946" s="2"/>
      <c r="P946" s="2"/>
      <c r="Q946" s="74"/>
      <c r="R946" s="2"/>
      <c r="S946" s="2"/>
      <c r="T946" s="76"/>
      <c r="U946" s="88"/>
    </row>
    <row r="947" ht="15.75" customHeight="1">
      <c r="A947" s="2"/>
      <c r="B947" s="2"/>
      <c r="C947" s="2"/>
      <c r="D947" s="2"/>
      <c r="E947" s="2"/>
      <c r="F947" s="2"/>
      <c r="G947" s="2"/>
      <c r="H947" s="2"/>
      <c r="I947" s="2"/>
      <c r="J947" s="74"/>
      <c r="K947" s="74"/>
      <c r="L947" s="74"/>
      <c r="M947" s="74"/>
      <c r="N947" s="2"/>
      <c r="O947" s="2"/>
      <c r="P947" s="2"/>
      <c r="Q947" s="74"/>
      <c r="R947" s="2"/>
      <c r="S947" s="2"/>
      <c r="T947" s="76"/>
      <c r="U947" s="88"/>
    </row>
    <row r="948" ht="15.75" customHeight="1">
      <c r="A948" s="2"/>
      <c r="B948" s="2"/>
      <c r="C948" s="2"/>
      <c r="D948" s="2"/>
      <c r="E948" s="2"/>
      <c r="F948" s="2"/>
      <c r="G948" s="2"/>
      <c r="H948" s="2"/>
      <c r="I948" s="2"/>
      <c r="J948" s="74"/>
      <c r="K948" s="74"/>
      <c r="L948" s="74"/>
      <c r="M948" s="74"/>
      <c r="N948" s="2"/>
      <c r="O948" s="2"/>
      <c r="P948" s="2"/>
      <c r="Q948" s="74"/>
      <c r="R948" s="2"/>
      <c r="S948" s="2"/>
      <c r="T948" s="76"/>
      <c r="U948" s="88"/>
    </row>
    <row r="949" ht="15.75" customHeight="1">
      <c r="A949" s="2"/>
      <c r="B949" s="2"/>
      <c r="C949" s="2"/>
      <c r="D949" s="2"/>
      <c r="E949" s="2"/>
      <c r="F949" s="2"/>
      <c r="G949" s="2"/>
      <c r="H949" s="2"/>
      <c r="I949" s="2"/>
      <c r="J949" s="74"/>
      <c r="K949" s="74"/>
      <c r="L949" s="74"/>
      <c r="M949" s="74"/>
      <c r="N949" s="2"/>
      <c r="O949" s="2"/>
      <c r="P949" s="2"/>
      <c r="Q949" s="74"/>
      <c r="R949" s="2"/>
      <c r="S949" s="2"/>
      <c r="T949" s="76"/>
      <c r="U949" s="88"/>
    </row>
    <row r="950" ht="15.75" customHeight="1">
      <c r="A950" s="2"/>
      <c r="B950" s="2"/>
      <c r="C950" s="2"/>
      <c r="D950" s="2"/>
      <c r="E950" s="2"/>
      <c r="F950" s="2"/>
      <c r="G950" s="2"/>
      <c r="H950" s="2"/>
      <c r="I950" s="2"/>
      <c r="J950" s="74"/>
      <c r="K950" s="74"/>
      <c r="L950" s="74"/>
      <c r="M950" s="74"/>
      <c r="N950" s="2"/>
      <c r="O950" s="2"/>
      <c r="P950" s="2"/>
      <c r="Q950" s="74"/>
      <c r="R950" s="2"/>
      <c r="S950" s="2"/>
      <c r="T950" s="76"/>
      <c r="U950" s="88"/>
    </row>
    <row r="951" ht="15.75" customHeight="1">
      <c r="A951" s="2"/>
      <c r="B951" s="2"/>
      <c r="C951" s="2"/>
      <c r="D951" s="2"/>
      <c r="E951" s="2"/>
      <c r="F951" s="2"/>
      <c r="G951" s="2"/>
      <c r="H951" s="2"/>
      <c r="I951" s="2"/>
      <c r="J951" s="74"/>
      <c r="K951" s="74"/>
      <c r="L951" s="74"/>
      <c r="M951" s="74"/>
      <c r="N951" s="2"/>
      <c r="O951" s="2"/>
      <c r="P951" s="2"/>
      <c r="Q951" s="74"/>
      <c r="R951" s="2"/>
      <c r="S951" s="2"/>
      <c r="T951" s="76"/>
      <c r="U951" s="88"/>
    </row>
    <row r="952" ht="15.75" customHeight="1">
      <c r="A952" s="2"/>
      <c r="B952" s="2"/>
      <c r="C952" s="2"/>
      <c r="D952" s="2"/>
      <c r="E952" s="2"/>
      <c r="F952" s="2"/>
      <c r="G952" s="2"/>
      <c r="H952" s="2"/>
      <c r="I952" s="2"/>
      <c r="J952" s="74"/>
      <c r="K952" s="74"/>
      <c r="L952" s="74"/>
      <c r="M952" s="74"/>
      <c r="N952" s="2"/>
      <c r="O952" s="2"/>
      <c r="P952" s="2"/>
      <c r="Q952" s="74"/>
      <c r="R952" s="2"/>
      <c r="S952" s="2"/>
      <c r="T952" s="76"/>
      <c r="U952" s="88"/>
    </row>
    <row r="953" ht="15.75" customHeight="1">
      <c r="A953" s="2"/>
      <c r="B953" s="2"/>
      <c r="C953" s="2"/>
      <c r="D953" s="2"/>
      <c r="E953" s="2"/>
      <c r="F953" s="2"/>
      <c r="G953" s="2"/>
      <c r="H953" s="2"/>
      <c r="I953" s="2"/>
      <c r="J953" s="74"/>
      <c r="K953" s="74"/>
      <c r="L953" s="74"/>
      <c r="M953" s="74"/>
      <c r="N953" s="2"/>
      <c r="O953" s="2"/>
      <c r="P953" s="2"/>
      <c r="Q953" s="74"/>
      <c r="R953" s="2"/>
      <c r="S953" s="2"/>
      <c r="T953" s="76"/>
      <c r="U953" s="88"/>
    </row>
    <row r="954" ht="15.75" customHeight="1">
      <c r="A954" s="2"/>
      <c r="B954" s="2"/>
      <c r="C954" s="2"/>
      <c r="D954" s="2"/>
      <c r="E954" s="2"/>
      <c r="F954" s="2"/>
      <c r="G954" s="2"/>
      <c r="H954" s="2"/>
      <c r="I954" s="2"/>
      <c r="J954" s="74"/>
      <c r="K954" s="74"/>
      <c r="L954" s="74"/>
      <c r="M954" s="74"/>
      <c r="N954" s="2"/>
      <c r="O954" s="2"/>
      <c r="P954" s="2"/>
      <c r="Q954" s="74"/>
      <c r="R954" s="2"/>
      <c r="S954" s="2"/>
      <c r="T954" s="76"/>
      <c r="U954" s="88"/>
    </row>
    <row r="955" ht="15.75" customHeight="1">
      <c r="A955" s="2"/>
      <c r="B955" s="2"/>
      <c r="C955" s="2"/>
      <c r="D955" s="2"/>
      <c r="E955" s="2"/>
      <c r="F955" s="2"/>
      <c r="G955" s="2"/>
      <c r="H955" s="2"/>
      <c r="I955" s="2"/>
      <c r="J955" s="74"/>
      <c r="K955" s="74"/>
      <c r="L955" s="74"/>
      <c r="M955" s="74"/>
      <c r="N955" s="2"/>
      <c r="O955" s="2"/>
      <c r="P955" s="2"/>
      <c r="Q955" s="74"/>
      <c r="R955" s="2"/>
      <c r="S955" s="2"/>
      <c r="T955" s="76"/>
      <c r="U955" s="88"/>
    </row>
    <row r="956" ht="15.75" customHeight="1">
      <c r="A956" s="2"/>
      <c r="B956" s="2"/>
      <c r="C956" s="2"/>
      <c r="D956" s="2"/>
      <c r="E956" s="2"/>
      <c r="F956" s="2"/>
      <c r="G956" s="2"/>
      <c r="H956" s="2"/>
      <c r="I956" s="2"/>
      <c r="J956" s="74"/>
      <c r="K956" s="74"/>
      <c r="L956" s="74"/>
      <c r="M956" s="74"/>
      <c r="N956" s="2"/>
      <c r="O956" s="2"/>
      <c r="P956" s="2"/>
      <c r="Q956" s="74"/>
      <c r="R956" s="2"/>
      <c r="S956" s="2"/>
      <c r="T956" s="76"/>
      <c r="U956" s="88"/>
    </row>
    <row r="957" ht="15.75" customHeight="1">
      <c r="A957" s="2"/>
      <c r="B957" s="2"/>
      <c r="C957" s="2"/>
      <c r="D957" s="2"/>
      <c r="E957" s="2"/>
      <c r="F957" s="2"/>
      <c r="G957" s="2"/>
      <c r="H957" s="2"/>
      <c r="I957" s="2"/>
      <c r="J957" s="74"/>
      <c r="K957" s="74"/>
      <c r="L957" s="74"/>
      <c r="M957" s="74"/>
      <c r="N957" s="2"/>
      <c r="O957" s="2"/>
      <c r="P957" s="2"/>
      <c r="Q957" s="74"/>
      <c r="R957" s="2"/>
      <c r="S957" s="2"/>
      <c r="T957" s="76"/>
      <c r="U957" s="88"/>
    </row>
    <row r="958" ht="15.75" customHeight="1">
      <c r="A958" s="2"/>
      <c r="B958" s="2"/>
      <c r="C958" s="2"/>
      <c r="D958" s="2"/>
      <c r="E958" s="2"/>
      <c r="F958" s="2"/>
      <c r="G958" s="2"/>
      <c r="H958" s="2"/>
      <c r="I958" s="2"/>
      <c r="J958" s="74"/>
      <c r="K958" s="74"/>
      <c r="L958" s="74"/>
      <c r="M958" s="74"/>
      <c r="N958" s="2"/>
      <c r="O958" s="2"/>
      <c r="P958" s="2"/>
      <c r="Q958" s="74"/>
      <c r="R958" s="2"/>
      <c r="S958" s="2"/>
      <c r="T958" s="76"/>
      <c r="U958" s="88"/>
    </row>
    <row r="959" ht="15.75" customHeight="1">
      <c r="A959" s="2"/>
      <c r="B959" s="2"/>
      <c r="C959" s="2"/>
      <c r="D959" s="2"/>
      <c r="E959" s="2"/>
      <c r="F959" s="2"/>
      <c r="G959" s="2"/>
      <c r="H959" s="2"/>
      <c r="I959" s="2"/>
      <c r="J959" s="74"/>
      <c r="K959" s="74"/>
      <c r="L959" s="74"/>
      <c r="M959" s="74"/>
      <c r="N959" s="2"/>
      <c r="O959" s="2"/>
      <c r="P959" s="2"/>
      <c r="Q959" s="74"/>
      <c r="R959" s="2"/>
      <c r="S959" s="2"/>
      <c r="T959" s="76"/>
      <c r="U959" s="88"/>
    </row>
    <row r="960" ht="15.75" customHeight="1">
      <c r="A960" s="2"/>
      <c r="B960" s="2"/>
      <c r="C960" s="2"/>
      <c r="D960" s="2"/>
      <c r="E960" s="2"/>
      <c r="F960" s="2"/>
      <c r="G960" s="2"/>
      <c r="H960" s="2"/>
      <c r="I960" s="2"/>
      <c r="J960" s="74"/>
      <c r="K960" s="74"/>
      <c r="L960" s="74"/>
      <c r="M960" s="74"/>
      <c r="N960" s="2"/>
      <c r="O960" s="2"/>
      <c r="P960" s="2"/>
      <c r="Q960" s="74"/>
      <c r="R960" s="2"/>
      <c r="S960" s="2"/>
      <c r="T960" s="76"/>
      <c r="U960" s="88"/>
    </row>
    <row r="961" ht="15.75" customHeight="1">
      <c r="A961" s="2"/>
      <c r="B961" s="2"/>
      <c r="C961" s="2"/>
      <c r="D961" s="2"/>
      <c r="E961" s="2"/>
      <c r="F961" s="2"/>
      <c r="G961" s="2"/>
      <c r="H961" s="2"/>
      <c r="I961" s="2"/>
      <c r="J961" s="74"/>
      <c r="K961" s="74"/>
      <c r="L961" s="74"/>
      <c r="M961" s="74"/>
      <c r="N961" s="2"/>
      <c r="O961" s="2"/>
      <c r="P961" s="2"/>
      <c r="Q961" s="74"/>
      <c r="R961" s="2"/>
      <c r="S961" s="2"/>
      <c r="T961" s="76"/>
      <c r="U961" s="88"/>
    </row>
    <row r="962" ht="15.75" customHeight="1">
      <c r="A962" s="2"/>
      <c r="B962" s="2"/>
      <c r="C962" s="2"/>
      <c r="D962" s="2"/>
      <c r="E962" s="2"/>
      <c r="F962" s="2"/>
      <c r="G962" s="2"/>
      <c r="H962" s="2"/>
      <c r="I962" s="2"/>
      <c r="J962" s="74"/>
      <c r="K962" s="74"/>
      <c r="L962" s="74"/>
      <c r="M962" s="74"/>
      <c r="N962" s="2"/>
      <c r="O962" s="2"/>
      <c r="P962" s="2"/>
      <c r="Q962" s="74"/>
      <c r="R962" s="2"/>
      <c r="S962" s="2"/>
      <c r="T962" s="76"/>
      <c r="U962" s="88"/>
    </row>
    <row r="963" ht="15.75" customHeight="1">
      <c r="A963" s="2"/>
      <c r="B963" s="2"/>
      <c r="C963" s="2"/>
      <c r="D963" s="2"/>
      <c r="E963" s="2"/>
      <c r="F963" s="2"/>
      <c r="G963" s="2"/>
      <c r="H963" s="2"/>
      <c r="I963" s="2"/>
      <c r="J963" s="74"/>
      <c r="K963" s="74"/>
      <c r="L963" s="74"/>
      <c r="M963" s="74"/>
      <c r="N963" s="2"/>
      <c r="O963" s="2"/>
      <c r="P963" s="2"/>
      <c r="Q963" s="74"/>
      <c r="R963" s="2"/>
      <c r="S963" s="2"/>
      <c r="T963" s="76"/>
      <c r="U963" s="88"/>
    </row>
    <row r="964" ht="15.75" customHeight="1">
      <c r="A964" s="2"/>
      <c r="B964" s="2"/>
      <c r="C964" s="2"/>
      <c r="D964" s="2"/>
      <c r="E964" s="2"/>
      <c r="F964" s="2"/>
      <c r="G964" s="2"/>
      <c r="H964" s="2"/>
      <c r="I964" s="2"/>
      <c r="J964" s="74"/>
      <c r="K964" s="74"/>
      <c r="L964" s="74"/>
      <c r="M964" s="74"/>
      <c r="N964" s="2"/>
      <c r="O964" s="2"/>
      <c r="P964" s="2"/>
      <c r="Q964" s="74"/>
      <c r="R964" s="2"/>
      <c r="S964" s="2"/>
      <c r="T964" s="76"/>
      <c r="U964" s="88"/>
    </row>
    <row r="965" ht="15.75" customHeight="1">
      <c r="A965" s="2"/>
      <c r="B965" s="2"/>
      <c r="C965" s="2"/>
      <c r="D965" s="2"/>
      <c r="E965" s="2"/>
      <c r="F965" s="2"/>
      <c r="G965" s="2"/>
      <c r="H965" s="2"/>
      <c r="I965" s="2"/>
      <c r="J965" s="74"/>
      <c r="K965" s="74"/>
      <c r="L965" s="74"/>
      <c r="M965" s="74"/>
      <c r="N965" s="2"/>
      <c r="O965" s="2"/>
      <c r="P965" s="2"/>
      <c r="Q965" s="74"/>
      <c r="R965" s="2"/>
      <c r="S965" s="2"/>
      <c r="T965" s="76"/>
      <c r="U965" s="88"/>
    </row>
    <row r="966" ht="15.75" customHeight="1">
      <c r="A966" s="2"/>
      <c r="B966" s="2"/>
      <c r="C966" s="2"/>
      <c r="D966" s="2"/>
      <c r="E966" s="2"/>
      <c r="F966" s="2"/>
      <c r="G966" s="2"/>
      <c r="H966" s="2"/>
      <c r="I966" s="2"/>
      <c r="J966" s="74"/>
      <c r="K966" s="74"/>
      <c r="L966" s="74"/>
      <c r="M966" s="74"/>
      <c r="N966" s="2"/>
      <c r="O966" s="2"/>
      <c r="P966" s="2"/>
      <c r="Q966" s="74"/>
      <c r="R966" s="2"/>
      <c r="S966" s="2"/>
      <c r="T966" s="76"/>
      <c r="U966" s="88"/>
    </row>
    <row r="967" ht="15.75" customHeight="1">
      <c r="A967" s="2"/>
      <c r="B967" s="2"/>
      <c r="C967" s="2"/>
      <c r="D967" s="2"/>
      <c r="E967" s="2"/>
      <c r="F967" s="2"/>
      <c r="G967" s="2"/>
      <c r="H967" s="2"/>
      <c r="I967" s="2"/>
      <c r="J967" s="74"/>
      <c r="K967" s="74"/>
      <c r="L967" s="74"/>
      <c r="M967" s="74"/>
      <c r="N967" s="2"/>
      <c r="O967" s="2"/>
      <c r="P967" s="2"/>
      <c r="Q967" s="74"/>
      <c r="R967" s="2"/>
      <c r="S967" s="2"/>
      <c r="T967" s="76"/>
      <c r="U967" s="88"/>
    </row>
    <row r="968" ht="15.75" customHeight="1">
      <c r="A968" s="2"/>
      <c r="B968" s="2"/>
      <c r="C968" s="2"/>
      <c r="D968" s="2"/>
      <c r="E968" s="2"/>
      <c r="F968" s="2"/>
      <c r="G968" s="2"/>
      <c r="H968" s="2"/>
      <c r="I968" s="2"/>
      <c r="J968" s="74"/>
      <c r="K968" s="74"/>
      <c r="L968" s="74"/>
      <c r="M968" s="74"/>
      <c r="N968" s="2"/>
      <c r="O968" s="2"/>
      <c r="P968" s="2"/>
      <c r="Q968" s="74"/>
      <c r="R968" s="2"/>
      <c r="S968" s="2"/>
      <c r="T968" s="76"/>
      <c r="U968" s="88"/>
    </row>
    <row r="969" ht="15.75" customHeight="1">
      <c r="A969" s="2"/>
      <c r="B969" s="2"/>
      <c r="C969" s="2"/>
      <c r="D969" s="2"/>
      <c r="E969" s="2"/>
      <c r="F969" s="2"/>
      <c r="G969" s="2"/>
      <c r="H969" s="2"/>
      <c r="I969" s="2"/>
      <c r="J969" s="74"/>
      <c r="K969" s="74"/>
      <c r="L969" s="74"/>
      <c r="M969" s="74"/>
      <c r="N969" s="2"/>
      <c r="O969" s="2"/>
      <c r="P969" s="2"/>
      <c r="Q969" s="74"/>
      <c r="R969" s="2"/>
      <c r="S969" s="2"/>
      <c r="T969" s="76"/>
      <c r="U969" s="88"/>
    </row>
    <row r="970" ht="15.75" customHeight="1">
      <c r="A970" s="2"/>
      <c r="B970" s="2"/>
      <c r="C970" s="2"/>
      <c r="D970" s="2"/>
      <c r="E970" s="2"/>
      <c r="F970" s="2"/>
      <c r="G970" s="2"/>
      <c r="H970" s="2"/>
      <c r="I970" s="2"/>
      <c r="J970" s="74"/>
      <c r="K970" s="74"/>
      <c r="L970" s="74"/>
      <c r="M970" s="74"/>
      <c r="N970" s="2"/>
      <c r="O970" s="2"/>
      <c r="P970" s="2"/>
      <c r="Q970" s="74"/>
      <c r="R970" s="2"/>
      <c r="S970" s="2"/>
      <c r="T970" s="76"/>
      <c r="U970" s="88"/>
    </row>
    <row r="971" ht="15.75" customHeight="1">
      <c r="A971" s="2"/>
      <c r="B971" s="2"/>
      <c r="C971" s="2"/>
      <c r="D971" s="2"/>
      <c r="E971" s="2"/>
      <c r="F971" s="2"/>
      <c r="G971" s="2"/>
      <c r="H971" s="2"/>
      <c r="I971" s="2"/>
      <c r="J971" s="74"/>
      <c r="K971" s="74"/>
      <c r="L971" s="74"/>
      <c r="M971" s="74"/>
      <c r="N971" s="2"/>
      <c r="O971" s="2"/>
      <c r="P971" s="2"/>
      <c r="Q971" s="74"/>
      <c r="R971" s="2"/>
      <c r="S971" s="2"/>
      <c r="T971" s="76"/>
      <c r="U971" s="88"/>
    </row>
    <row r="972" ht="15.75" customHeight="1">
      <c r="A972" s="2"/>
      <c r="B972" s="2"/>
      <c r="C972" s="2"/>
      <c r="D972" s="2"/>
      <c r="E972" s="2"/>
      <c r="F972" s="2"/>
      <c r="G972" s="2"/>
      <c r="H972" s="2"/>
      <c r="I972" s="2"/>
      <c r="J972" s="74"/>
      <c r="K972" s="74"/>
      <c r="L972" s="74"/>
      <c r="M972" s="74"/>
      <c r="N972" s="2"/>
      <c r="O972" s="2"/>
      <c r="P972" s="2"/>
      <c r="Q972" s="74"/>
      <c r="R972" s="2"/>
      <c r="S972" s="2"/>
      <c r="T972" s="76"/>
      <c r="U972" s="88"/>
    </row>
    <row r="973" ht="15.75" customHeight="1">
      <c r="A973" s="2"/>
      <c r="B973" s="2"/>
      <c r="C973" s="2"/>
      <c r="D973" s="2"/>
      <c r="E973" s="2"/>
      <c r="F973" s="2"/>
      <c r="G973" s="2"/>
      <c r="H973" s="2"/>
      <c r="I973" s="2"/>
      <c r="J973" s="74"/>
      <c r="K973" s="74"/>
      <c r="L973" s="74"/>
      <c r="M973" s="74"/>
      <c r="N973" s="2"/>
      <c r="O973" s="2"/>
      <c r="P973" s="2"/>
      <c r="Q973" s="74"/>
      <c r="R973" s="2"/>
      <c r="S973" s="2"/>
      <c r="T973" s="76"/>
      <c r="U973" s="88"/>
    </row>
    <row r="974" ht="15.75" customHeight="1">
      <c r="A974" s="2"/>
      <c r="B974" s="2"/>
      <c r="C974" s="2"/>
      <c r="D974" s="2"/>
      <c r="E974" s="2"/>
      <c r="F974" s="2"/>
      <c r="G974" s="2"/>
      <c r="H974" s="2"/>
      <c r="I974" s="2"/>
      <c r="J974" s="74"/>
      <c r="K974" s="74"/>
      <c r="L974" s="74"/>
      <c r="M974" s="74"/>
      <c r="N974" s="2"/>
      <c r="O974" s="2"/>
      <c r="P974" s="2"/>
      <c r="Q974" s="74"/>
      <c r="R974" s="2"/>
      <c r="S974" s="2"/>
      <c r="T974" s="76"/>
      <c r="U974" s="88"/>
    </row>
    <row r="975" ht="15.75" customHeight="1">
      <c r="A975" s="2"/>
      <c r="B975" s="2"/>
      <c r="C975" s="2"/>
      <c r="D975" s="2"/>
      <c r="E975" s="2"/>
      <c r="F975" s="2"/>
      <c r="G975" s="2"/>
      <c r="H975" s="2"/>
      <c r="I975" s="2"/>
      <c r="J975" s="74"/>
      <c r="K975" s="74"/>
      <c r="L975" s="74"/>
      <c r="M975" s="74"/>
      <c r="N975" s="2"/>
      <c r="O975" s="2"/>
      <c r="P975" s="2"/>
      <c r="Q975" s="74"/>
      <c r="R975" s="2"/>
      <c r="S975" s="2"/>
      <c r="T975" s="76"/>
      <c r="U975" s="88"/>
    </row>
    <row r="976" ht="15.75" customHeight="1">
      <c r="A976" s="2"/>
      <c r="B976" s="2"/>
      <c r="C976" s="2"/>
      <c r="D976" s="2"/>
      <c r="E976" s="2"/>
      <c r="F976" s="2"/>
      <c r="G976" s="2"/>
      <c r="H976" s="2"/>
      <c r="I976" s="2"/>
      <c r="J976" s="74"/>
      <c r="K976" s="74"/>
      <c r="L976" s="74"/>
      <c r="M976" s="74"/>
      <c r="N976" s="2"/>
      <c r="O976" s="2"/>
      <c r="P976" s="2"/>
      <c r="Q976" s="74"/>
      <c r="R976" s="2"/>
      <c r="S976" s="2"/>
      <c r="T976" s="76"/>
      <c r="U976" s="88"/>
    </row>
    <row r="977" ht="15.75" customHeight="1">
      <c r="A977" s="2"/>
      <c r="B977" s="2"/>
      <c r="C977" s="2"/>
      <c r="D977" s="2"/>
      <c r="E977" s="2"/>
      <c r="F977" s="2"/>
      <c r="G977" s="2"/>
      <c r="H977" s="2"/>
      <c r="I977" s="2"/>
      <c r="J977" s="74"/>
      <c r="K977" s="74"/>
      <c r="L977" s="74"/>
      <c r="M977" s="74"/>
      <c r="N977" s="2"/>
      <c r="O977" s="2"/>
      <c r="P977" s="2"/>
      <c r="Q977" s="74"/>
      <c r="R977" s="2"/>
      <c r="S977" s="2"/>
      <c r="T977" s="76"/>
      <c r="U977" s="88"/>
    </row>
    <row r="978" ht="15.75" customHeight="1">
      <c r="A978" s="2"/>
      <c r="B978" s="2"/>
      <c r="C978" s="2"/>
      <c r="D978" s="2"/>
      <c r="E978" s="2"/>
      <c r="F978" s="2"/>
      <c r="G978" s="2"/>
      <c r="H978" s="2"/>
      <c r="I978" s="2"/>
      <c r="J978" s="74"/>
      <c r="K978" s="74"/>
      <c r="L978" s="74"/>
      <c r="M978" s="74"/>
      <c r="N978" s="2"/>
      <c r="O978" s="2"/>
      <c r="P978" s="2"/>
      <c r="Q978" s="74"/>
      <c r="R978" s="2"/>
      <c r="S978" s="2"/>
      <c r="T978" s="76"/>
      <c r="U978" s="88"/>
    </row>
    <row r="979" ht="15.75" customHeight="1">
      <c r="A979" s="2"/>
      <c r="B979" s="2"/>
      <c r="C979" s="2"/>
      <c r="D979" s="2"/>
      <c r="E979" s="2"/>
      <c r="F979" s="2"/>
      <c r="G979" s="2"/>
      <c r="H979" s="2"/>
      <c r="I979" s="2"/>
      <c r="J979" s="74"/>
      <c r="K979" s="74"/>
      <c r="L979" s="74"/>
      <c r="M979" s="74"/>
      <c r="N979" s="2"/>
      <c r="O979" s="2"/>
      <c r="P979" s="2"/>
      <c r="Q979" s="74"/>
      <c r="R979" s="2"/>
      <c r="S979" s="2"/>
      <c r="T979" s="76"/>
      <c r="U979" s="88"/>
    </row>
    <row r="980" ht="15.75" customHeight="1">
      <c r="A980" s="2"/>
      <c r="B980" s="2"/>
      <c r="C980" s="2"/>
      <c r="D980" s="2"/>
      <c r="E980" s="2"/>
      <c r="F980" s="2"/>
      <c r="G980" s="2"/>
      <c r="H980" s="2"/>
      <c r="I980" s="2"/>
      <c r="J980" s="74"/>
      <c r="K980" s="74"/>
      <c r="L980" s="74"/>
      <c r="M980" s="74"/>
      <c r="N980" s="2"/>
      <c r="O980" s="2"/>
      <c r="P980" s="2"/>
      <c r="Q980" s="74"/>
      <c r="R980" s="2"/>
      <c r="S980" s="2"/>
      <c r="T980" s="76"/>
      <c r="U980" s="88"/>
    </row>
    <row r="981" ht="15.75" customHeight="1">
      <c r="A981" s="2"/>
      <c r="B981" s="2"/>
      <c r="C981" s="2"/>
      <c r="D981" s="2"/>
      <c r="E981" s="2"/>
      <c r="F981" s="2"/>
      <c r="G981" s="2"/>
      <c r="H981" s="2"/>
      <c r="I981" s="2"/>
      <c r="J981" s="74"/>
      <c r="K981" s="74"/>
      <c r="L981" s="74"/>
      <c r="M981" s="74"/>
      <c r="N981" s="2"/>
      <c r="O981" s="2"/>
      <c r="P981" s="2"/>
      <c r="Q981" s="74"/>
      <c r="R981" s="2"/>
      <c r="S981" s="2"/>
      <c r="T981" s="76"/>
      <c r="U981" s="88"/>
    </row>
    <row r="982" ht="15.75" customHeight="1">
      <c r="A982" s="2"/>
      <c r="B982" s="2"/>
      <c r="C982" s="2"/>
      <c r="D982" s="2"/>
      <c r="E982" s="2"/>
      <c r="F982" s="2"/>
      <c r="G982" s="2"/>
      <c r="H982" s="2"/>
      <c r="I982" s="2"/>
      <c r="J982" s="74"/>
      <c r="K982" s="74"/>
      <c r="L982" s="74"/>
      <c r="M982" s="74"/>
      <c r="N982" s="2"/>
      <c r="O982" s="2"/>
      <c r="P982" s="2"/>
      <c r="Q982" s="74"/>
      <c r="R982" s="2"/>
      <c r="S982" s="2"/>
      <c r="T982" s="76"/>
      <c r="U982" s="88"/>
    </row>
    <row r="983" ht="15.75" customHeight="1">
      <c r="A983" s="2"/>
      <c r="B983" s="2"/>
      <c r="C983" s="2"/>
      <c r="D983" s="2"/>
      <c r="E983" s="2"/>
      <c r="F983" s="2"/>
      <c r="G983" s="2"/>
      <c r="H983" s="2"/>
      <c r="I983" s="2"/>
      <c r="J983" s="74"/>
      <c r="K983" s="74"/>
      <c r="L983" s="74"/>
      <c r="M983" s="74"/>
      <c r="N983" s="2"/>
      <c r="O983" s="2"/>
      <c r="P983" s="2"/>
      <c r="Q983" s="74"/>
      <c r="R983" s="2"/>
      <c r="S983" s="2"/>
      <c r="T983" s="76"/>
      <c r="U983" s="88"/>
    </row>
    <row r="984" ht="15.75" customHeight="1">
      <c r="A984" s="2"/>
      <c r="B984" s="2"/>
      <c r="C984" s="2"/>
      <c r="D984" s="2"/>
      <c r="E984" s="2"/>
      <c r="F984" s="2"/>
      <c r="G984" s="2"/>
      <c r="H984" s="2"/>
      <c r="I984" s="2"/>
      <c r="J984" s="74"/>
      <c r="K984" s="74"/>
      <c r="L984" s="74"/>
      <c r="M984" s="74"/>
      <c r="N984" s="2"/>
      <c r="O984" s="2"/>
      <c r="P984" s="2"/>
      <c r="Q984" s="74"/>
      <c r="R984" s="2"/>
      <c r="S984" s="2"/>
      <c r="T984" s="76"/>
      <c r="U984" s="88"/>
    </row>
    <row r="985" ht="15.75" customHeight="1">
      <c r="A985" s="2"/>
      <c r="B985" s="2"/>
      <c r="C985" s="2"/>
      <c r="D985" s="2"/>
      <c r="E985" s="2"/>
      <c r="F985" s="2"/>
      <c r="G985" s="2"/>
      <c r="H985" s="2"/>
      <c r="I985" s="2"/>
      <c r="J985" s="74"/>
      <c r="K985" s="74"/>
      <c r="L985" s="74"/>
      <c r="M985" s="74"/>
      <c r="N985" s="2"/>
      <c r="O985" s="2"/>
      <c r="P985" s="2"/>
      <c r="Q985" s="74"/>
      <c r="R985" s="2"/>
      <c r="S985" s="2"/>
      <c r="T985" s="76"/>
      <c r="U985" s="88"/>
    </row>
    <row r="986" ht="15.75" customHeight="1">
      <c r="A986" s="2"/>
      <c r="B986" s="2"/>
      <c r="C986" s="2"/>
      <c r="D986" s="2"/>
      <c r="E986" s="2"/>
      <c r="F986" s="2"/>
      <c r="G986" s="2"/>
      <c r="H986" s="2"/>
      <c r="I986" s="2"/>
      <c r="J986" s="74"/>
      <c r="K986" s="74"/>
      <c r="L986" s="74"/>
      <c r="M986" s="74"/>
      <c r="N986" s="2"/>
      <c r="O986" s="2"/>
      <c r="P986" s="2"/>
      <c r="Q986" s="74"/>
      <c r="R986" s="2"/>
      <c r="S986" s="2"/>
      <c r="T986" s="76"/>
      <c r="U986" s="88"/>
    </row>
    <row r="987" ht="15.75" customHeight="1">
      <c r="A987" s="2"/>
      <c r="B987" s="2"/>
      <c r="C987" s="2"/>
      <c r="D987" s="2"/>
      <c r="E987" s="2"/>
      <c r="F987" s="2"/>
      <c r="G987" s="2"/>
      <c r="H987" s="2"/>
      <c r="I987" s="2"/>
      <c r="J987" s="74"/>
      <c r="K987" s="74"/>
      <c r="L987" s="74"/>
      <c r="M987" s="74"/>
      <c r="N987" s="2"/>
      <c r="O987" s="2"/>
      <c r="P987" s="2"/>
      <c r="Q987" s="74"/>
      <c r="R987" s="2"/>
      <c r="S987" s="2"/>
      <c r="T987" s="76"/>
      <c r="U987" s="88"/>
    </row>
    <row r="988" ht="15.75" customHeight="1">
      <c r="A988" s="2"/>
      <c r="B988" s="2"/>
      <c r="C988" s="2"/>
      <c r="D988" s="2"/>
      <c r="E988" s="2"/>
      <c r="F988" s="2"/>
      <c r="G988" s="2"/>
      <c r="H988" s="2"/>
      <c r="I988" s="2"/>
      <c r="J988" s="74"/>
      <c r="K988" s="74"/>
      <c r="L988" s="74"/>
      <c r="M988" s="74"/>
      <c r="N988" s="2"/>
      <c r="O988" s="2"/>
      <c r="P988" s="2"/>
      <c r="Q988" s="74"/>
      <c r="R988" s="2"/>
      <c r="S988" s="2"/>
      <c r="T988" s="76"/>
      <c r="U988" s="88"/>
    </row>
    <row r="989" ht="15.75" customHeight="1">
      <c r="A989" s="2"/>
      <c r="B989" s="2"/>
      <c r="C989" s="2"/>
      <c r="D989" s="2"/>
      <c r="E989" s="2"/>
      <c r="F989" s="2"/>
      <c r="G989" s="2"/>
      <c r="H989" s="2"/>
      <c r="I989" s="2"/>
      <c r="J989" s="74"/>
      <c r="K989" s="74"/>
      <c r="L989" s="74"/>
      <c r="M989" s="74"/>
      <c r="N989" s="2"/>
      <c r="O989" s="2"/>
      <c r="P989" s="2"/>
      <c r="Q989" s="74"/>
      <c r="R989" s="2"/>
      <c r="S989" s="2"/>
      <c r="T989" s="76"/>
      <c r="U989" s="88"/>
    </row>
    <row r="990" ht="15.75" customHeight="1">
      <c r="A990" s="2"/>
      <c r="B990" s="2"/>
      <c r="C990" s="2"/>
      <c r="D990" s="2"/>
      <c r="E990" s="2"/>
      <c r="F990" s="2"/>
      <c r="G990" s="2"/>
      <c r="H990" s="2"/>
      <c r="I990" s="2"/>
      <c r="J990" s="74"/>
      <c r="K990" s="74"/>
      <c r="L990" s="74"/>
      <c r="M990" s="74"/>
      <c r="N990" s="2"/>
      <c r="O990" s="2"/>
      <c r="P990" s="2"/>
      <c r="Q990" s="74"/>
      <c r="R990" s="2"/>
      <c r="S990" s="2"/>
      <c r="T990" s="76"/>
      <c r="U990" s="88"/>
    </row>
    <row r="991" ht="15.75" customHeight="1">
      <c r="A991" s="2"/>
      <c r="B991" s="2"/>
      <c r="C991" s="2"/>
      <c r="D991" s="2"/>
      <c r="E991" s="2"/>
      <c r="F991" s="2"/>
      <c r="G991" s="2"/>
      <c r="H991" s="2"/>
      <c r="I991" s="2"/>
      <c r="J991" s="74"/>
      <c r="K991" s="74"/>
      <c r="L991" s="74"/>
      <c r="M991" s="74"/>
      <c r="N991" s="2"/>
      <c r="O991" s="2"/>
      <c r="P991" s="2"/>
      <c r="Q991" s="74"/>
      <c r="R991" s="2"/>
      <c r="S991" s="2"/>
      <c r="T991" s="76"/>
      <c r="U991" s="88"/>
    </row>
    <row r="992" ht="15.75" customHeight="1">
      <c r="A992" s="2"/>
      <c r="B992" s="2"/>
      <c r="C992" s="2"/>
      <c r="D992" s="2"/>
      <c r="E992" s="2"/>
      <c r="F992" s="2"/>
      <c r="G992" s="2"/>
      <c r="H992" s="2"/>
      <c r="I992" s="2"/>
      <c r="J992" s="74"/>
      <c r="K992" s="74"/>
      <c r="L992" s="74"/>
      <c r="M992" s="74"/>
      <c r="N992" s="2"/>
      <c r="O992" s="2"/>
      <c r="P992" s="2"/>
      <c r="Q992" s="74"/>
      <c r="R992" s="2"/>
      <c r="S992" s="2"/>
      <c r="T992" s="76"/>
      <c r="U992" s="88"/>
    </row>
    <row r="993" ht="15.75" customHeight="1">
      <c r="A993" s="2"/>
      <c r="B993" s="2"/>
      <c r="C993" s="2"/>
      <c r="D993" s="2"/>
      <c r="E993" s="2"/>
      <c r="F993" s="2"/>
      <c r="G993" s="2"/>
      <c r="H993" s="2"/>
      <c r="I993" s="2"/>
      <c r="J993" s="74"/>
      <c r="K993" s="74"/>
      <c r="L993" s="74"/>
      <c r="M993" s="74"/>
      <c r="N993" s="2"/>
      <c r="O993" s="2"/>
      <c r="P993" s="2"/>
      <c r="Q993" s="74"/>
      <c r="R993" s="2"/>
      <c r="S993" s="2"/>
      <c r="T993" s="76"/>
      <c r="U993" s="88"/>
    </row>
    <row r="994" ht="15.75" customHeight="1">
      <c r="A994" s="2"/>
      <c r="B994" s="2"/>
      <c r="C994" s="2"/>
      <c r="D994" s="2"/>
      <c r="E994" s="2"/>
      <c r="F994" s="2"/>
      <c r="G994" s="2"/>
      <c r="H994" s="2"/>
      <c r="I994" s="2"/>
      <c r="J994" s="74"/>
      <c r="K994" s="74"/>
      <c r="L994" s="74"/>
      <c r="M994" s="74"/>
      <c r="N994" s="2"/>
      <c r="O994" s="2"/>
      <c r="P994" s="2"/>
      <c r="Q994" s="74"/>
      <c r="R994" s="2"/>
      <c r="S994" s="2"/>
      <c r="T994" s="76"/>
      <c r="U994" s="88"/>
    </row>
    <row r="995" ht="15.75" customHeight="1">
      <c r="A995" s="2"/>
      <c r="B995" s="2"/>
      <c r="C995" s="2"/>
      <c r="D995" s="2"/>
      <c r="E995" s="2"/>
      <c r="F995" s="2"/>
      <c r="G995" s="2"/>
      <c r="H995" s="2"/>
      <c r="I995" s="2"/>
      <c r="J995" s="74"/>
      <c r="K995" s="74"/>
      <c r="L995" s="74"/>
      <c r="M995" s="74"/>
      <c r="N995" s="2"/>
      <c r="O995" s="2"/>
      <c r="P995" s="2"/>
      <c r="Q995" s="74"/>
      <c r="R995" s="2"/>
      <c r="S995" s="2"/>
      <c r="T995" s="76"/>
      <c r="U995" s="88"/>
    </row>
    <row r="996" ht="15.75" customHeight="1">
      <c r="A996" s="2"/>
      <c r="B996" s="2"/>
      <c r="C996" s="2"/>
      <c r="D996" s="2"/>
      <c r="E996" s="2"/>
      <c r="F996" s="2"/>
      <c r="G996" s="2"/>
      <c r="H996" s="2"/>
      <c r="I996" s="2"/>
      <c r="J996" s="74"/>
      <c r="K996" s="74"/>
      <c r="L996" s="74"/>
      <c r="M996" s="74"/>
      <c r="N996" s="2"/>
      <c r="O996" s="2"/>
      <c r="P996" s="2"/>
      <c r="Q996" s="74"/>
      <c r="R996" s="2"/>
      <c r="S996" s="2"/>
      <c r="T996" s="76"/>
      <c r="U996" s="88"/>
    </row>
    <row r="997" ht="15.75" customHeight="1">
      <c r="A997" s="2"/>
      <c r="B997" s="2"/>
      <c r="C997" s="2"/>
      <c r="D997" s="2"/>
      <c r="E997" s="2"/>
      <c r="F997" s="2"/>
      <c r="G997" s="2"/>
      <c r="H997" s="2"/>
      <c r="I997" s="2"/>
      <c r="J997" s="74"/>
      <c r="K997" s="74"/>
      <c r="L997" s="74"/>
      <c r="M997" s="74"/>
      <c r="N997" s="2"/>
      <c r="O997" s="2"/>
      <c r="P997" s="2"/>
      <c r="Q997" s="74"/>
      <c r="R997" s="2"/>
      <c r="S997" s="2"/>
      <c r="T997" s="76"/>
      <c r="U997" s="88"/>
    </row>
    <row r="998" ht="15.75" customHeight="1">
      <c r="A998" s="2"/>
      <c r="B998" s="2"/>
      <c r="C998" s="2"/>
      <c r="D998" s="2"/>
      <c r="E998" s="2"/>
      <c r="F998" s="2"/>
      <c r="G998" s="2"/>
      <c r="H998" s="2"/>
      <c r="I998" s="2"/>
      <c r="J998" s="74"/>
      <c r="K998" s="74"/>
      <c r="L998" s="74"/>
      <c r="M998" s="74"/>
      <c r="N998" s="2"/>
      <c r="O998" s="2"/>
      <c r="P998" s="2"/>
      <c r="Q998" s="74"/>
      <c r="R998" s="2"/>
      <c r="S998" s="2"/>
      <c r="T998" s="76"/>
      <c r="U998" s="88"/>
    </row>
    <row r="999" ht="15.75" customHeight="1">
      <c r="A999" s="2"/>
      <c r="B999" s="2"/>
      <c r="C999" s="2"/>
      <c r="D999" s="2"/>
      <c r="E999" s="2"/>
      <c r="F999" s="2"/>
      <c r="G999" s="2"/>
      <c r="H999" s="2"/>
      <c r="I999" s="2"/>
      <c r="J999" s="74"/>
      <c r="K999" s="74"/>
      <c r="L999" s="74"/>
      <c r="M999" s="74"/>
      <c r="N999" s="2"/>
      <c r="O999" s="2"/>
      <c r="P999" s="2"/>
      <c r="Q999" s="74"/>
      <c r="R999" s="2"/>
      <c r="S999" s="2"/>
      <c r="T999" s="76"/>
      <c r="U999" s="88"/>
    </row>
    <row r="1000" ht="15.75" customHeight="1">
      <c r="A1000" s="2"/>
      <c r="B1000" s="2"/>
      <c r="C1000" s="2"/>
      <c r="D1000" s="2"/>
      <c r="E1000" s="2"/>
      <c r="F1000" s="2"/>
      <c r="G1000" s="2"/>
      <c r="H1000" s="2"/>
      <c r="I1000" s="2"/>
      <c r="J1000" s="74"/>
      <c r="K1000" s="74"/>
      <c r="L1000" s="74"/>
      <c r="M1000" s="74"/>
      <c r="N1000" s="2"/>
      <c r="O1000" s="2"/>
      <c r="P1000" s="2"/>
      <c r="Q1000" s="74"/>
      <c r="R1000" s="2"/>
      <c r="S1000" s="2"/>
      <c r="T1000" s="76"/>
      <c r="U1000" s="88"/>
    </row>
  </sheetData>
  <autoFilter ref="$A$1:$U$133"/>
  <dataValidations>
    <dataValidation type="list" allowBlank="1" showErrorMessage="1" sqref="C2:C14 C16:C1000">
      <formula1>"P0,P1,P2,P3"</formula1>
    </dataValidation>
    <dataValidation type="list" allowBlank="1" showErrorMessage="1" sqref="F2:F1000">
      <formula1>"PVT,UAT,HTML/CSS"</formula1>
    </dataValidation>
    <dataValidation type="list" allowBlank="1" showErrorMessage="1" sqref="R2:R1000">
      <formula1>"Open,Hold,Resolved,Reopened,Need Discussion"</formula1>
    </dataValidation>
    <dataValidation type="list" allowBlank="1" showErrorMessage="1" sqref="U2:U1000">
      <formula1>"Fixed,Pending,Reopen"</formula1>
    </dataValidation>
    <dataValidation type="list" allowBlank="1" showErrorMessage="1" sqref="P2:P17 P20:P1000">
      <formula1>"Fixed,In Progress,Need Discussion"</formula1>
    </dataValidation>
  </dataValidations>
  <hyperlinks>
    <hyperlink r:id="rId1" ref="L2"/>
    <hyperlink r:id="rId2" ref="M2"/>
    <hyperlink r:id="rId3" ref="L3"/>
    <hyperlink r:id="rId4" ref="L4"/>
    <hyperlink r:id="rId5" ref="M4"/>
    <hyperlink r:id="rId6" ref="L12"/>
    <hyperlink r:id="rId7" ref="M12"/>
    <hyperlink r:id="rId8" ref="L13"/>
    <hyperlink r:id="rId9" ref="M13"/>
    <hyperlink r:id="rId10" ref="L14"/>
    <hyperlink r:id="rId11" ref="L15"/>
    <hyperlink r:id="rId12" ref="M15"/>
    <hyperlink r:id="rId13" ref="L16"/>
    <hyperlink r:id="rId14" ref="L17"/>
    <hyperlink r:id="rId15" ref="L18"/>
    <hyperlink r:id="rId16" ref="L19"/>
    <hyperlink r:id="rId17" ref="L20"/>
    <hyperlink r:id="rId18" ref="M20"/>
    <hyperlink r:id="rId19" ref="L21"/>
    <hyperlink r:id="rId20" ref="L22"/>
    <hyperlink r:id="rId21" ref="L23"/>
    <hyperlink r:id="rId22" ref="M23"/>
    <hyperlink r:id="rId23" ref="L24"/>
    <hyperlink r:id="rId24" ref="L26"/>
    <hyperlink r:id="rId25" ref="M26"/>
    <hyperlink r:id="rId26" ref="H27"/>
    <hyperlink r:id="rId27" ref="L27"/>
    <hyperlink r:id="rId28" ref="L28"/>
    <hyperlink r:id="rId29" ref="H29"/>
    <hyperlink r:id="rId30" ref="L29"/>
    <hyperlink r:id="rId31" ref="H30"/>
    <hyperlink r:id="rId32" ref="L30"/>
    <hyperlink r:id="rId33" ref="H31"/>
    <hyperlink r:id="rId34" ref="L31"/>
    <hyperlink r:id="rId35" ref="H32"/>
    <hyperlink r:id="rId36" ref="L32"/>
    <hyperlink r:id="rId37" ref="H33"/>
    <hyperlink r:id="rId38" ref="L33"/>
    <hyperlink r:id="rId39" ref="H34"/>
    <hyperlink r:id="rId40" ref="L34"/>
    <hyperlink r:id="rId41" ref="L35"/>
    <hyperlink r:id="rId42" ref="L36"/>
    <hyperlink r:id="rId43" ref="L37"/>
    <hyperlink r:id="rId44" ref="L38"/>
    <hyperlink r:id="rId45" ref="L39"/>
    <hyperlink r:id="rId46" ref="L40"/>
    <hyperlink r:id="rId47" ref="H41"/>
    <hyperlink r:id="rId48" ref="L41"/>
    <hyperlink r:id="rId49" ref="L42"/>
    <hyperlink r:id="rId50" ref="L43"/>
    <hyperlink r:id="rId51" ref="L44"/>
    <hyperlink r:id="rId52" ref="L45"/>
    <hyperlink r:id="rId53" ref="L46"/>
    <hyperlink r:id="rId54" ref="L47"/>
    <hyperlink r:id="rId55" ref="L48"/>
    <hyperlink r:id="rId56" ref="L49"/>
    <hyperlink r:id="rId57" ref="L50"/>
    <hyperlink r:id="rId58" ref="L51"/>
    <hyperlink r:id="rId59" ref="L52"/>
    <hyperlink r:id="rId60" ref="L53"/>
    <hyperlink r:id="rId61" ref="L54"/>
    <hyperlink r:id="rId62" ref="L55"/>
    <hyperlink r:id="rId63" ref="L56"/>
    <hyperlink r:id="rId64" ref="L57"/>
    <hyperlink r:id="rId65" ref="L58"/>
    <hyperlink r:id="rId66" ref="L59"/>
    <hyperlink r:id="rId67" ref="L60"/>
    <hyperlink r:id="rId68" ref="L61"/>
    <hyperlink r:id="rId69" ref="L62"/>
    <hyperlink r:id="rId70" ref="L63"/>
    <hyperlink r:id="rId71" ref="L64"/>
    <hyperlink r:id="rId72" ref="M64"/>
    <hyperlink r:id="rId73" ref="L66"/>
    <hyperlink r:id="rId74" ref="L67"/>
  </hyperlinks>
  <printOptions/>
  <pageMargins bottom="0.75" footer="0.0" header="0.0" left="0.7" right="0.7" top="0.75"/>
  <pageSetup orientation="landscape"/>
  <headerFooter>
    <oddFooter>&amp;C_x000D_#000000 SBI Card Restricted</oddFooter>
  </headerFooter>
  <drawing r:id="rId7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5.88"/>
    <col customWidth="1" min="3" max="3" width="12.63"/>
    <col customWidth="1" min="4" max="4" width="21.63"/>
    <col customWidth="1" min="5" max="5" width="25.88"/>
    <col customWidth="1" min="6" max="6" width="19.0"/>
    <col customWidth="1" min="7" max="7" width="18.0"/>
    <col customWidth="1" min="8" max="8" width="39.0"/>
    <col customWidth="1" min="9" max="9" width="44.0"/>
    <col customWidth="1" min="10" max="10" width="73.75"/>
    <col customWidth="1" min="11" max="12" width="39.75"/>
    <col customWidth="1" min="13" max="13" width="14.38"/>
    <col customWidth="1" min="14" max="15" width="16.0"/>
    <col customWidth="1" min="16" max="16" width="18.38"/>
    <col customWidth="1" min="17" max="17" width="46.63"/>
    <col customWidth="1" min="18" max="19" width="15.88"/>
    <col customWidth="1" min="20" max="20" width="50.25"/>
    <col customWidth="1" min="21" max="21" width="17.25"/>
    <col customWidth="1" min="22" max="26" width="9.13"/>
  </cols>
  <sheetData>
    <row r="1" ht="24.75" customHeight="1">
      <c r="A1" s="169" t="s">
        <v>890</v>
      </c>
      <c r="B1" s="169" t="s">
        <v>891</v>
      </c>
      <c r="C1" s="169" t="s">
        <v>740</v>
      </c>
      <c r="D1" s="169" t="s">
        <v>892</v>
      </c>
      <c r="E1" s="169" t="s">
        <v>741</v>
      </c>
      <c r="F1" s="169" t="s">
        <v>893</v>
      </c>
      <c r="G1" s="169" t="s">
        <v>894</v>
      </c>
      <c r="H1" s="169" t="s">
        <v>2938</v>
      </c>
      <c r="I1" s="169" t="s">
        <v>895</v>
      </c>
      <c r="J1" s="169" t="s">
        <v>896</v>
      </c>
      <c r="K1" s="169" t="s">
        <v>897</v>
      </c>
      <c r="L1" s="169" t="s">
        <v>898</v>
      </c>
      <c r="M1" s="169" t="s">
        <v>460</v>
      </c>
      <c r="N1" s="169" t="s">
        <v>899</v>
      </c>
      <c r="O1" s="170" t="s">
        <v>745</v>
      </c>
      <c r="P1" s="169" t="s">
        <v>900</v>
      </c>
      <c r="Q1" s="306" t="s">
        <v>901</v>
      </c>
      <c r="R1" s="169" t="s">
        <v>902</v>
      </c>
      <c r="S1" s="169" t="s">
        <v>903</v>
      </c>
      <c r="T1" s="169" t="s">
        <v>276</v>
      </c>
      <c r="U1" s="170" t="s">
        <v>1521</v>
      </c>
    </row>
    <row r="2">
      <c r="A2" s="7" t="s">
        <v>2939</v>
      </c>
      <c r="B2" s="7" t="s">
        <v>1127</v>
      </c>
      <c r="C2" s="7" t="s">
        <v>770</v>
      </c>
      <c r="D2" s="7" t="s">
        <v>907</v>
      </c>
      <c r="E2" s="7" t="s">
        <v>829</v>
      </c>
      <c r="F2" s="7" t="s">
        <v>12</v>
      </c>
      <c r="G2" s="7" t="s">
        <v>2303</v>
      </c>
      <c r="H2" s="33" t="s">
        <v>2940</v>
      </c>
      <c r="I2" s="33" t="s">
        <v>2941</v>
      </c>
      <c r="J2" s="33" t="s">
        <v>2942</v>
      </c>
      <c r="K2" s="58" t="s">
        <v>2943</v>
      </c>
      <c r="L2" s="58" t="s">
        <v>39</v>
      </c>
      <c r="M2" s="7" t="s">
        <v>39</v>
      </c>
      <c r="N2" s="7" t="s">
        <v>913</v>
      </c>
      <c r="O2" s="7"/>
      <c r="P2" s="7"/>
      <c r="Q2" s="33"/>
      <c r="R2" s="7" t="s">
        <v>3</v>
      </c>
      <c r="S2" s="7" t="s">
        <v>2944</v>
      </c>
      <c r="T2" s="32" t="s">
        <v>2945</v>
      </c>
      <c r="U2" s="236"/>
    </row>
    <row r="3">
      <c r="A3" s="7" t="s">
        <v>2946</v>
      </c>
      <c r="B3" s="7" t="s">
        <v>1127</v>
      </c>
      <c r="C3" s="7" t="s">
        <v>770</v>
      </c>
      <c r="D3" s="7" t="s">
        <v>907</v>
      </c>
      <c r="E3" s="7" t="s">
        <v>2947</v>
      </c>
      <c r="F3" s="7" t="s">
        <v>12</v>
      </c>
      <c r="G3" s="7" t="s">
        <v>1005</v>
      </c>
      <c r="H3" s="33" t="s">
        <v>2948</v>
      </c>
      <c r="I3" s="33" t="s">
        <v>2949</v>
      </c>
      <c r="J3" s="33" t="s">
        <v>2950</v>
      </c>
      <c r="K3" s="58" t="s">
        <v>2951</v>
      </c>
      <c r="L3" s="33" t="s">
        <v>39</v>
      </c>
      <c r="M3" s="7" t="s">
        <v>39</v>
      </c>
      <c r="N3" s="7" t="s">
        <v>913</v>
      </c>
      <c r="O3" s="7"/>
      <c r="P3" s="7"/>
      <c r="Q3" s="33"/>
      <c r="R3" s="7" t="s">
        <v>3</v>
      </c>
      <c r="S3" s="130" t="s">
        <v>2944</v>
      </c>
      <c r="T3" s="32" t="s">
        <v>2952</v>
      </c>
      <c r="U3" s="236"/>
    </row>
    <row r="4">
      <c r="A4" s="7" t="s">
        <v>2953</v>
      </c>
      <c r="B4" s="7" t="s">
        <v>1127</v>
      </c>
      <c r="C4" s="7" t="s">
        <v>770</v>
      </c>
      <c r="D4" s="7" t="s">
        <v>907</v>
      </c>
      <c r="E4" s="7" t="s">
        <v>829</v>
      </c>
      <c r="F4" s="7" t="s">
        <v>12</v>
      </c>
      <c r="G4" s="7" t="s">
        <v>908</v>
      </c>
      <c r="H4" s="58" t="s">
        <v>539</v>
      </c>
      <c r="I4" s="33" t="s">
        <v>2954</v>
      </c>
      <c r="J4" s="33" t="s">
        <v>2955</v>
      </c>
      <c r="K4" s="58" t="s">
        <v>2956</v>
      </c>
      <c r="L4" s="58" t="s">
        <v>39</v>
      </c>
      <c r="M4" s="7" t="s">
        <v>39</v>
      </c>
      <c r="N4" s="7" t="s">
        <v>913</v>
      </c>
      <c r="O4" s="7"/>
      <c r="P4" s="7"/>
      <c r="Q4" s="33"/>
      <c r="R4" s="7" t="s">
        <v>3</v>
      </c>
      <c r="S4" s="130" t="s">
        <v>2944</v>
      </c>
      <c r="T4" s="32"/>
      <c r="U4" s="236"/>
    </row>
    <row r="5">
      <c r="A5" s="7" t="s">
        <v>2957</v>
      </c>
      <c r="B5" s="7" t="s">
        <v>1127</v>
      </c>
      <c r="C5" s="7" t="s">
        <v>770</v>
      </c>
      <c r="D5" s="7" t="s">
        <v>907</v>
      </c>
      <c r="E5" s="7" t="s">
        <v>829</v>
      </c>
      <c r="F5" s="7" t="s">
        <v>12</v>
      </c>
      <c r="G5" s="7" t="s">
        <v>2303</v>
      </c>
      <c r="H5" s="33" t="s">
        <v>2958</v>
      </c>
      <c r="I5" s="33" t="s">
        <v>2959</v>
      </c>
      <c r="J5" s="33" t="s">
        <v>2960</v>
      </c>
      <c r="K5" s="58" t="s">
        <v>2961</v>
      </c>
      <c r="L5" s="33" t="s">
        <v>39</v>
      </c>
      <c r="M5" s="7" t="s">
        <v>39</v>
      </c>
      <c r="N5" s="7" t="s">
        <v>913</v>
      </c>
      <c r="O5" s="7"/>
      <c r="P5" s="7"/>
      <c r="Q5" s="33"/>
      <c r="R5" s="7" t="s">
        <v>3</v>
      </c>
      <c r="S5" s="130" t="s">
        <v>2944</v>
      </c>
      <c r="T5" s="32" t="s">
        <v>2962</v>
      </c>
      <c r="U5" s="236"/>
    </row>
    <row r="6">
      <c r="A6" s="7" t="s">
        <v>2963</v>
      </c>
      <c r="B6" s="7" t="s">
        <v>1127</v>
      </c>
      <c r="C6" s="7" t="s">
        <v>770</v>
      </c>
      <c r="D6" s="7" t="s">
        <v>907</v>
      </c>
      <c r="E6" s="7" t="s">
        <v>829</v>
      </c>
      <c r="F6" s="7" t="s">
        <v>12</v>
      </c>
      <c r="G6" s="7" t="s">
        <v>2303</v>
      </c>
      <c r="H6" s="33" t="s">
        <v>2964</v>
      </c>
      <c r="I6" s="33" t="s">
        <v>2965</v>
      </c>
      <c r="J6" s="33" t="s">
        <v>2966</v>
      </c>
      <c r="K6" s="58" t="s">
        <v>2967</v>
      </c>
      <c r="L6" s="33" t="s">
        <v>39</v>
      </c>
      <c r="M6" s="7" t="s">
        <v>39</v>
      </c>
      <c r="N6" s="7" t="s">
        <v>913</v>
      </c>
      <c r="O6" s="7"/>
      <c r="P6" s="7"/>
      <c r="Q6" s="33"/>
      <c r="R6" s="7" t="s">
        <v>3</v>
      </c>
      <c r="S6" s="130" t="s">
        <v>2944</v>
      </c>
      <c r="T6" s="32" t="s">
        <v>2962</v>
      </c>
      <c r="U6" s="236"/>
    </row>
    <row r="7">
      <c r="A7" s="7" t="s">
        <v>2968</v>
      </c>
      <c r="B7" s="7" t="s">
        <v>1127</v>
      </c>
      <c r="C7" s="7" t="s">
        <v>770</v>
      </c>
      <c r="D7" s="7" t="s">
        <v>907</v>
      </c>
      <c r="E7" s="7" t="s">
        <v>829</v>
      </c>
      <c r="F7" s="7" t="s">
        <v>12</v>
      </c>
      <c r="G7" s="7" t="s">
        <v>1086</v>
      </c>
      <c r="H7" s="33" t="s">
        <v>2969</v>
      </c>
      <c r="I7" s="33" t="s">
        <v>2970</v>
      </c>
      <c r="J7" s="33" t="s">
        <v>2971</v>
      </c>
      <c r="K7" s="58" t="s">
        <v>2972</v>
      </c>
      <c r="L7" s="33" t="s">
        <v>39</v>
      </c>
      <c r="M7" s="7" t="s">
        <v>39</v>
      </c>
      <c r="N7" s="7" t="s">
        <v>913</v>
      </c>
      <c r="O7" s="7"/>
      <c r="P7" s="7"/>
      <c r="Q7" s="33"/>
      <c r="R7" s="7" t="s">
        <v>3</v>
      </c>
      <c r="S7" s="130" t="s">
        <v>1797</v>
      </c>
      <c r="T7" s="32" t="s">
        <v>2973</v>
      </c>
      <c r="U7" s="236"/>
    </row>
    <row r="8">
      <c r="A8" s="7" t="s">
        <v>2974</v>
      </c>
      <c r="B8" s="7" t="s">
        <v>1127</v>
      </c>
      <c r="C8" s="7" t="s">
        <v>770</v>
      </c>
      <c r="D8" s="7" t="s">
        <v>907</v>
      </c>
      <c r="E8" s="7" t="s">
        <v>829</v>
      </c>
      <c r="F8" s="7" t="s">
        <v>12</v>
      </c>
      <c r="G8" s="7" t="s">
        <v>2303</v>
      </c>
      <c r="H8" s="58" t="s">
        <v>58</v>
      </c>
      <c r="I8" s="33" t="s">
        <v>2975</v>
      </c>
      <c r="J8" s="33" t="s">
        <v>2976</v>
      </c>
      <c r="K8" s="58" t="s">
        <v>2977</v>
      </c>
      <c r="L8" s="58" t="s">
        <v>2978</v>
      </c>
      <c r="M8" s="7" t="s">
        <v>39</v>
      </c>
      <c r="N8" s="7" t="s">
        <v>913</v>
      </c>
      <c r="O8" s="7"/>
      <c r="P8" s="7"/>
      <c r="Q8" s="33"/>
      <c r="R8" s="7" t="s">
        <v>3</v>
      </c>
      <c r="S8" s="130" t="s">
        <v>1155</v>
      </c>
      <c r="T8" s="32"/>
      <c r="U8" s="236"/>
    </row>
    <row r="9">
      <c r="A9" s="7" t="s">
        <v>2979</v>
      </c>
      <c r="B9" s="7" t="s">
        <v>1127</v>
      </c>
      <c r="C9" s="7" t="s">
        <v>770</v>
      </c>
      <c r="D9" s="7" t="s">
        <v>907</v>
      </c>
      <c r="E9" s="7" t="s">
        <v>829</v>
      </c>
      <c r="F9" s="7" t="s">
        <v>12</v>
      </c>
      <c r="G9" s="7" t="s">
        <v>2303</v>
      </c>
      <c r="H9" s="58" t="s">
        <v>58</v>
      </c>
      <c r="I9" s="33" t="s">
        <v>2980</v>
      </c>
      <c r="J9" s="33" t="s">
        <v>2981</v>
      </c>
      <c r="K9" s="58" t="s">
        <v>2982</v>
      </c>
      <c r="L9" s="58" t="s">
        <v>2983</v>
      </c>
      <c r="M9" s="7" t="s">
        <v>39</v>
      </c>
      <c r="N9" s="7" t="s">
        <v>913</v>
      </c>
      <c r="O9" s="7"/>
      <c r="P9" s="7"/>
      <c r="Q9" s="33"/>
      <c r="R9" s="7" t="s">
        <v>3</v>
      </c>
      <c r="S9" s="130" t="s">
        <v>1155</v>
      </c>
      <c r="T9" s="32"/>
      <c r="U9" s="236"/>
    </row>
    <row r="10">
      <c r="A10" s="7" t="s">
        <v>2984</v>
      </c>
      <c r="B10" s="7" t="s">
        <v>1127</v>
      </c>
      <c r="C10" s="7" t="s">
        <v>770</v>
      </c>
      <c r="D10" s="7" t="s">
        <v>907</v>
      </c>
      <c r="E10" s="7" t="s">
        <v>829</v>
      </c>
      <c r="F10" s="7" t="s">
        <v>12</v>
      </c>
      <c r="G10" s="7" t="s">
        <v>2303</v>
      </c>
      <c r="H10" s="58" t="s">
        <v>58</v>
      </c>
      <c r="I10" s="33" t="s">
        <v>2985</v>
      </c>
      <c r="J10" s="33" t="s">
        <v>2981</v>
      </c>
      <c r="K10" s="58" t="s">
        <v>2986</v>
      </c>
      <c r="L10" s="58" t="s">
        <v>2987</v>
      </c>
      <c r="M10" s="7" t="s">
        <v>39</v>
      </c>
      <c r="N10" s="7" t="s">
        <v>913</v>
      </c>
      <c r="O10" s="7"/>
      <c r="P10" s="7"/>
      <c r="Q10" s="33"/>
      <c r="R10" s="7" t="s">
        <v>3</v>
      </c>
      <c r="S10" s="130" t="s">
        <v>1155</v>
      </c>
      <c r="T10" s="32"/>
      <c r="U10" s="236"/>
    </row>
    <row r="11">
      <c r="A11" s="7" t="s">
        <v>2988</v>
      </c>
      <c r="B11" s="7" t="s">
        <v>1127</v>
      </c>
      <c r="C11" s="7" t="s">
        <v>770</v>
      </c>
      <c r="D11" s="7" t="s">
        <v>907</v>
      </c>
      <c r="E11" s="7" t="s">
        <v>829</v>
      </c>
      <c r="F11" s="7" t="s">
        <v>12</v>
      </c>
      <c r="G11" s="7" t="s">
        <v>2303</v>
      </c>
      <c r="H11" s="58" t="s">
        <v>58</v>
      </c>
      <c r="I11" s="33" t="s">
        <v>2989</v>
      </c>
      <c r="J11" s="33" t="s">
        <v>2981</v>
      </c>
      <c r="K11" s="58" t="s">
        <v>2990</v>
      </c>
      <c r="L11" s="58" t="s">
        <v>2991</v>
      </c>
      <c r="M11" s="7" t="s">
        <v>39</v>
      </c>
      <c r="N11" s="7" t="s">
        <v>913</v>
      </c>
      <c r="O11" s="7"/>
      <c r="P11" s="173"/>
      <c r="Q11" s="33"/>
      <c r="R11" s="7" t="s">
        <v>3</v>
      </c>
      <c r="S11" s="7" t="s">
        <v>1155</v>
      </c>
      <c r="T11" s="32"/>
      <c r="U11" s="236"/>
    </row>
    <row r="12">
      <c r="A12" s="7" t="s">
        <v>2992</v>
      </c>
      <c r="B12" s="7" t="s">
        <v>1127</v>
      </c>
      <c r="C12" s="7" t="s">
        <v>770</v>
      </c>
      <c r="D12" s="7" t="s">
        <v>907</v>
      </c>
      <c r="E12" s="7" t="s">
        <v>829</v>
      </c>
      <c r="F12" s="7" t="s">
        <v>12</v>
      </c>
      <c r="G12" s="7" t="s">
        <v>2303</v>
      </c>
      <c r="H12" s="58" t="s">
        <v>50</v>
      </c>
      <c r="I12" s="33" t="s">
        <v>2993</v>
      </c>
      <c r="J12" s="33" t="s">
        <v>2994</v>
      </c>
      <c r="K12" s="58" t="s">
        <v>2995</v>
      </c>
      <c r="L12" s="58" t="s">
        <v>2996</v>
      </c>
      <c r="M12" s="7" t="s">
        <v>39</v>
      </c>
      <c r="N12" s="7" t="s">
        <v>913</v>
      </c>
      <c r="O12" s="7" t="s">
        <v>1010</v>
      </c>
      <c r="P12" s="7" t="s">
        <v>2997</v>
      </c>
      <c r="Q12" s="33" t="s">
        <v>2998</v>
      </c>
      <c r="R12" s="7" t="s">
        <v>3</v>
      </c>
      <c r="S12" s="130">
        <v>46175.0</v>
      </c>
      <c r="T12" s="32" t="s">
        <v>2999</v>
      </c>
      <c r="U12" s="31"/>
      <c r="V12" s="62"/>
      <c r="W12" s="62"/>
      <c r="X12" s="62"/>
      <c r="Y12" s="62"/>
      <c r="Z12" s="62"/>
    </row>
    <row r="13">
      <c r="A13" s="7" t="s">
        <v>3000</v>
      </c>
      <c r="B13" s="7" t="s">
        <v>1127</v>
      </c>
      <c r="C13" s="7" t="s">
        <v>747</v>
      </c>
      <c r="D13" s="7" t="s">
        <v>907</v>
      </c>
      <c r="E13" s="7" t="s">
        <v>829</v>
      </c>
      <c r="F13" s="7" t="s">
        <v>12</v>
      </c>
      <c r="G13" s="7" t="s">
        <v>2303</v>
      </c>
      <c r="H13" s="33" t="s">
        <v>3001</v>
      </c>
      <c r="I13" s="33" t="s">
        <v>2993</v>
      </c>
      <c r="J13" s="33" t="s">
        <v>2994</v>
      </c>
      <c r="K13" s="58" t="s">
        <v>3002</v>
      </c>
      <c r="L13" s="58" t="s">
        <v>3003</v>
      </c>
      <c r="M13" s="7" t="s">
        <v>39</v>
      </c>
      <c r="N13" s="7" t="s">
        <v>913</v>
      </c>
      <c r="O13" s="7" t="s">
        <v>913</v>
      </c>
      <c r="P13" s="7"/>
      <c r="Q13" s="33"/>
      <c r="R13" s="7" t="s">
        <v>3</v>
      </c>
      <c r="S13" s="7" t="s">
        <v>2944</v>
      </c>
      <c r="T13" s="32" t="s">
        <v>3004</v>
      </c>
      <c r="U13" s="236"/>
    </row>
    <row r="14">
      <c r="A14" s="7" t="s">
        <v>3005</v>
      </c>
      <c r="B14" s="7" t="s">
        <v>1127</v>
      </c>
      <c r="C14" s="7" t="s">
        <v>770</v>
      </c>
      <c r="D14" s="7" t="s">
        <v>907</v>
      </c>
      <c r="E14" s="7" t="s">
        <v>829</v>
      </c>
      <c r="F14" s="7" t="s">
        <v>12</v>
      </c>
      <c r="G14" s="7" t="s">
        <v>2303</v>
      </c>
      <c r="H14" s="58" t="s">
        <v>85</v>
      </c>
      <c r="I14" s="33" t="s">
        <v>2993</v>
      </c>
      <c r="J14" s="33" t="s">
        <v>2994</v>
      </c>
      <c r="K14" s="58" t="s">
        <v>3006</v>
      </c>
      <c r="L14" s="58" t="s">
        <v>3007</v>
      </c>
      <c r="M14" s="7" t="s">
        <v>39</v>
      </c>
      <c r="N14" s="7" t="s">
        <v>913</v>
      </c>
      <c r="O14" s="7" t="s">
        <v>913</v>
      </c>
      <c r="P14" s="7" t="s">
        <v>3008</v>
      </c>
      <c r="Q14" s="33" t="s">
        <v>3009</v>
      </c>
      <c r="R14" s="7" t="s">
        <v>3</v>
      </c>
      <c r="S14" s="130">
        <v>46175.0</v>
      </c>
      <c r="T14" s="32" t="s">
        <v>3010</v>
      </c>
      <c r="U14" s="236"/>
    </row>
    <row r="15">
      <c r="A15" s="7" t="s">
        <v>3011</v>
      </c>
      <c r="B15" s="7" t="s">
        <v>1127</v>
      </c>
      <c r="C15" s="7" t="s">
        <v>770</v>
      </c>
      <c r="D15" s="7" t="s">
        <v>907</v>
      </c>
      <c r="E15" s="7" t="s">
        <v>829</v>
      </c>
      <c r="F15" s="7" t="s">
        <v>12</v>
      </c>
      <c r="G15" s="7" t="s">
        <v>2303</v>
      </c>
      <c r="H15" s="58" t="s">
        <v>170</v>
      </c>
      <c r="I15" s="33" t="s">
        <v>2993</v>
      </c>
      <c r="J15" s="33" t="s">
        <v>2994</v>
      </c>
      <c r="K15" s="58" t="s">
        <v>3012</v>
      </c>
      <c r="L15" s="58" t="s">
        <v>3013</v>
      </c>
      <c r="M15" s="7" t="s">
        <v>39</v>
      </c>
      <c r="N15" s="7" t="s">
        <v>913</v>
      </c>
      <c r="O15" s="7" t="s">
        <v>913</v>
      </c>
      <c r="P15" s="7" t="s">
        <v>3008</v>
      </c>
      <c r="Q15" s="33" t="s">
        <v>3009</v>
      </c>
      <c r="R15" s="7" t="s">
        <v>3</v>
      </c>
      <c r="S15" s="130">
        <v>46175.0</v>
      </c>
      <c r="T15" s="32" t="s">
        <v>3014</v>
      </c>
      <c r="U15" s="236"/>
    </row>
    <row r="16">
      <c r="A16" s="7" t="s">
        <v>3015</v>
      </c>
      <c r="B16" s="7" t="s">
        <v>1127</v>
      </c>
      <c r="C16" s="7" t="s">
        <v>770</v>
      </c>
      <c r="D16" s="7" t="s">
        <v>907</v>
      </c>
      <c r="E16" s="7" t="s">
        <v>829</v>
      </c>
      <c r="F16" s="7" t="s">
        <v>12</v>
      </c>
      <c r="G16" s="7" t="s">
        <v>2303</v>
      </c>
      <c r="H16" s="58" t="s">
        <v>148</v>
      </c>
      <c r="I16" s="33" t="s">
        <v>2993</v>
      </c>
      <c r="J16" s="33" t="s">
        <v>2994</v>
      </c>
      <c r="K16" s="58" t="s">
        <v>3016</v>
      </c>
      <c r="L16" s="58" t="s">
        <v>3017</v>
      </c>
      <c r="M16" s="7" t="s">
        <v>39</v>
      </c>
      <c r="N16" s="7" t="s">
        <v>913</v>
      </c>
      <c r="O16" s="7" t="s">
        <v>913</v>
      </c>
      <c r="P16" s="7" t="s">
        <v>3008</v>
      </c>
      <c r="Q16" s="33" t="s">
        <v>3009</v>
      </c>
      <c r="R16" s="7" t="s">
        <v>3</v>
      </c>
      <c r="S16" s="130">
        <v>46175.0</v>
      </c>
      <c r="T16" s="32" t="s">
        <v>3018</v>
      </c>
      <c r="U16" s="236"/>
    </row>
    <row r="17">
      <c r="A17" s="7" t="s">
        <v>3019</v>
      </c>
      <c r="B17" s="7" t="s">
        <v>1127</v>
      </c>
      <c r="C17" s="7" t="s">
        <v>747</v>
      </c>
      <c r="D17" s="7" t="s">
        <v>3020</v>
      </c>
      <c r="E17" s="7" t="s">
        <v>2947</v>
      </c>
      <c r="F17" s="7" t="s">
        <v>12</v>
      </c>
      <c r="G17" s="7" t="s">
        <v>805</v>
      </c>
      <c r="H17" s="33" t="s">
        <v>3021</v>
      </c>
      <c r="I17" s="33" t="s">
        <v>3022</v>
      </c>
      <c r="J17" s="307" t="s">
        <v>3023</v>
      </c>
      <c r="K17" s="58" t="s">
        <v>3024</v>
      </c>
      <c r="L17" s="33" t="s">
        <v>39</v>
      </c>
      <c r="M17" s="7" t="s">
        <v>39</v>
      </c>
      <c r="N17" s="7" t="s">
        <v>913</v>
      </c>
      <c r="O17" s="7"/>
      <c r="P17" s="7"/>
      <c r="Q17" s="33"/>
      <c r="R17" s="7" t="s">
        <v>3</v>
      </c>
      <c r="S17" s="7" t="s">
        <v>2944</v>
      </c>
      <c r="T17" s="32" t="s">
        <v>3004</v>
      </c>
      <c r="U17" s="236"/>
    </row>
    <row r="18">
      <c r="A18" s="7" t="s">
        <v>3025</v>
      </c>
      <c r="B18" s="7" t="s">
        <v>1127</v>
      </c>
      <c r="C18" s="7" t="s">
        <v>770</v>
      </c>
      <c r="D18" s="7" t="s">
        <v>907</v>
      </c>
      <c r="E18" s="7" t="s">
        <v>829</v>
      </c>
      <c r="F18" s="7" t="s">
        <v>12</v>
      </c>
      <c r="G18" s="7" t="s">
        <v>1005</v>
      </c>
      <c r="H18" s="58" t="s">
        <v>539</v>
      </c>
      <c r="I18" s="33" t="s">
        <v>3026</v>
      </c>
      <c r="J18" s="33" t="s">
        <v>3027</v>
      </c>
      <c r="K18" s="58" t="s">
        <v>3028</v>
      </c>
      <c r="L18" s="33" t="s">
        <v>39</v>
      </c>
      <c r="M18" s="7" t="s">
        <v>39</v>
      </c>
      <c r="N18" s="7" t="s">
        <v>913</v>
      </c>
      <c r="O18" s="7"/>
      <c r="P18" s="7"/>
      <c r="Q18" s="33"/>
      <c r="R18" s="7" t="s">
        <v>3</v>
      </c>
      <c r="S18" s="7" t="s">
        <v>2944</v>
      </c>
      <c r="T18" s="32"/>
      <c r="U18" s="236"/>
    </row>
    <row r="19">
      <c r="A19" s="7" t="s">
        <v>3029</v>
      </c>
      <c r="B19" s="7" t="s">
        <v>1797</v>
      </c>
      <c r="C19" s="7" t="s">
        <v>755</v>
      </c>
      <c r="D19" s="7" t="s">
        <v>907</v>
      </c>
      <c r="E19" s="7" t="s">
        <v>829</v>
      </c>
      <c r="F19" s="7" t="s">
        <v>12</v>
      </c>
      <c r="G19" s="7" t="s">
        <v>908</v>
      </c>
      <c r="H19" s="58" t="s">
        <v>50</v>
      </c>
      <c r="I19" s="33" t="s">
        <v>3030</v>
      </c>
      <c r="J19" s="33" t="s">
        <v>3031</v>
      </c>
      <c r="K19" s="58" t="s">
        <v>3032</v>
      </c>
      <c r="L19" s="33" t="s">
        <v>39</v>
      </c>
      <c r="M19" s="7" t="s">
        <v>39</v>
      </c>
      <c r="N19" s="7" t="s">
        <v>913</v>
      </c>
      <c r="O19" s="7"/>
      <c r="P19" s="7"/>
      <c r="Q19" s="33"/>
      <c r="R19" s="7" t="s">
        <v>3</v>
      </c>
      <c r="S19" s="130" t="s">
        <v>1011</v>
      </c>
      <c r="T19" s="32"/>
      <c r="U19" s="236"/>
    </row>
    <row r="20">
      <c r="A20" s="7" t="s">
        <v>3033</v>
      </c>
      <c r="B20" s="7" t="s">
        <v>1797</v>
      </c>
      <c r="C20" s="7" t="s">
        <v>755</v>
      </c>
      <c r="D20" s="7" t="s">
        <v>907</v>
      </c>
      <c r="E20" s="7" t="s">
        <v>829</v>
      </c>
      <c r="F20" s="7" t="s">
        <v>12</v>
      </c>
      <c r="G20" s="7" t="s">
        <v>908</v>
      </c>
      <c r="H20" s="58" t="s">
        <v>50</v>
      </c>
      <c r="I20" s="33" t="s">
        <v>3034</v>
      </c>
      <c r="J20" s="33" t="s">
        <v>3035</v>
      </c>
      <c r="K20" s="58" t="s">
        <v>3036</v>
      </c>
      <c r="L20" s="33" t="s">
        <v>39</v>
      </c>
      <c r="M20" s="7" t="s">
        <v>39</v>
      </c>
      <c r="N20" s="7" t="s">
        <v>913</v>
      </c>
      <c r="O20" s="7"/>
      <c r="P20" s="7"/>
      <c r="Q20" s="33"/>
      <c r="R20" s="7" t="s">
        <v>3</v>
      </c>
      <c r="S20" s="130">
        <v>46267.0</v>
      </c>
      <c r="T20" s="32" t="s">
        <v>3037</v>
      </c>
      <c r="U20" s="236"/>
    </row>
    <row r="21" ht="15.75" customHeight="1">
      <c r="A21" s="7" t="s">
        <v>3038</v>
      </c>
      <c r="B21" s="7" t="s">
        <v>1797</v>
      </c>
      <c r="C21" s="7" t="s">
        <v>747</v>
      </c>
      <c r="D21" s="7" t="s">
        <v>907</v>
      </c>
      <c r="E21" s="7" t="s">
        <v>829</v>
      </c>
      <c r="F21" s="7" t="s">
        <v>12</v>
      </c>
      <c r="G21" s="7" t="s">
        <v>1800</v>
      </c>
      <c r="H21" s="58" t="s">
        <v>50</v>
      </c>
      <c r="I21" s="33" t="s">
        <v>3039</v>
      </c>
      <c r="J21" s="33" t="s">
        <v>3040</v>
      </c>
      <c r="K21" s="58" t="s">
        <v>3041</v>
      </c>
      <c r="L21" s="33" t="s">
        <v>39</v>
      </c>
      <c r="M21" s="7" t="s">
        <v>39</v>
      </c>
      <c r="N21" s="7" t="s">
        <v>913</v>
      </c>
      <c r="O21" s="7" t="s">
        <v>3042</v>
      </c>
      <c r="P21" s="7" t="s">
        <v>1029</v>
      </c>
      <c r="Q21" s="33" t="s">
        <v>3043</v>
      </c>
      <c r="R21" s="7" t="s">
        <v>3</v>
      </c>
      <c r="S21" s="130" t="s">
        <v>1074</v>
      </c>
      <c r="T21" s="32" t="s">
        <v>3044</v>
      </c>
      <c r="U21" s="236"/>
    </row>
    <row r="22" ht="15.75" customHeight="1">
      <c r="A22" s="7" t="s">
        <v>3045</v>
      </c>
      <c r="B22" s="7" t="s">
        <v>1797</v>
      </c>
      <c r="C22" s="7" t="s">
        <v>747</v>
      </c>
      <c r="D22" s="7" t="s">
        <v>907</v>
      </c>
      <c r="E22" s="7" t="s">
        <v>829</v>
      </c>
      <c r="F22" s="7" t="s">
        <v>12</v>
      </c>
      <c r="G22" s="7" t="s">
        <v>1800</v>
      </c>
      <c r="H22" s="58" t="s">
        <v>50</v>
      </c>
      <c r="I22" s="33" t="s">
        <v>3046</v>
      </c>
      <c r="J22" s="33" t="s">
        <v>3047</v>
      </c>
      <c r="K22" s="58" t="s">
        <v>3048</v>
      </c>
      <c r="L22" s="33" t="s">
        <v>39</v>
      </c>
      <c r="M22" s="7" t="s">
        <v>39</v>
      </c>
      <c r="N22" s="7" t="s">
        <v>913</v>
      </c>
      <c r="O22" s="7" t="s">
        <v>3042</v>
      </c>
      <c r="P22" s="7" t="s">
        <v>1029</v>
      </c>
      <c r="Q22" s="33" t="s">
        <v>3043</v>
      </c>
      <c r="R22" s="7" t="s">
        <v>3</v>
      </c>
      <c r="S22" s="130" t="s">
        <v>1074</v>
      </c>
      <c r="T22" s="32" t="s">
        <v>3044</v>
      </c>
      <c r="U22" s="236"/>
    </row>
    <row r="23" ht="15.75" customHeight="1">
      <c r="A23" s="7" t="s">
        <v>3049</v>
      </c>
      <c r="B23" s="7" t="s">
        <v>1797</v>
      </c>
      <c r="C23" s="7" t="s">
        <v>770</v>
      </c>
      <c r="D23" s="7" t="s">
        <v>907</v>
      </c>
      <c r="E23" s="7" t="s">
        <v>1004</v>
      </c>
      <c r="F23" s="7" t="s">
        <v>12</v>
      </c>
      <c r="G23" s="7" t="s">
        <v>871</v>
      </c>
      <c r="H23" s="58" t="s">
        <v>50</v>
      </c>
      <c r="I23" s="33" t="s">
        <v>3050</v>
      </c>
      <c r="J23" s="33" t="s">
        <v>3051</v>
      </c>
      <c r="K23" s="58" t="s">
        <v>3052</v>
      </c>
      <c r="L23" s="33" t="s">
        <v>39</v>
      </c>
      <c r="M23" s="7" t="s">
        <v>39</v>
      </c>
      <c r="N23" s="7" t="s">
        <v>913</v>
      </c>
      <c r="O23" s="7"/>
      <c r="P23" s="7"/>
      <c r="Q23" s="33"/>
      <c r="R23" s="7" t="s">
        <v>3</v>
      </c>
      <c r="S23" s="7" t="s">
        <v>1011</v>
      </c>
      <c r="T23" s="32"/>
      <c r="U23" s="236"/>
    </row>
    <row r="24" ht="15.75" customHeight="1">
      <c r="A24" s="7" t="s">
        <v>3053</v>
      </c>
      <c r="B24" s="7" t="s">
        <v>1797</v>
      </c>
      <c r="C24" s="7" t="s">
        <v>755</v>
      </c>
      <c r="D24" s="7" t="s">
        <v>907</v>
      </c>
      <c r="E24" s="7" t="s">
        <v>829</v>
      </c>
      <c r="F24" s="7" t="s">
        <v>12</v>
      </c>
      <c r="G24" s="7" t="s">
        <v>908</v>
      </c>
      <c r="H24" s="58" t="s">
        <v>50</v>
      </c>
      <c r="I24" s="33" t="s">
        <v>3054</v>
      </c>
      <c r="J24" s="33" t="s">
        <v>3055</v>
      </c>
      <c r="K24" s="58" t="s">
        <v>3056</v>
      </c>
      <c r="L24" s="33" t="s">
        <v>39</v>
      </c>
      <c r="M24" s="7" t="s">
        <v>39</v>
      </c>
      <c r="N24" s="7" t="s">
        <v>913</v>
      </c>
      <c r="O24" s="7"/>
      <c r="P24" s="7"/>
      <c r="Q24" s="33"/>
      <c r="R24" s="7" t="s">
        <v>3</v>
      </c>
      <c r="S24" s="7" t="s">
        <v>1011</v>
      </c>
      <c r="T24" s="32"/>
      <c r="U24" s="236"/>
    </row>
    <row r="25" ht="15.75" customHeight="1">
      <c r="A25" s="7" t="s">
        <v>3057</v>
      </c>
      <c r="B25" s="7" t="s">
        <v>1797</v>
      </c>
      <c r="C25" s="7" t="s">
        <v>747</v>
      </c>
      <c r="D25" s="7" t="s">
        <v>907</v>
      </c>
      <c r="E25" s="7" t="s">
        <v>829</v>
      </c>
      <c r="F25" s="7" t="s">
        <v>12</v>
      </c>
      <c r="G25" s="7" t="s">
        <v>2303</v>
      </c>
      <c r="H25" s="58" t="s">
        <v>50</v>
      </c>
      <c r="I25" s="33" t="s">
        <v>2975</v>
      </c>
      <c r="J25" s="33" t="s">
        <v>3058</v>
      </c>
      <c r="K25" s="58" t="s">
        <v>3059</v>
      </c>
      <c r="L25" s="33" t="s">
        <v>39</v>
      </c>
      <c r="M25" s="7" t="s">
        <v>39</v>
      </c>
      <c r="N25" s="7" t="s">
        <v>913</v>
      </c>
      <c r="O25" s="7"/>
      <c r="P25" s="7"/>
      <c r="Q25" s="33"/>
      <c r="R25" s="7" t="s">
        <v>3</v>
      </c>
      <c r="S25" s="7" t="s">
        <v>1011</v>
      </c>
      <c r="T25" s="32"/>
      <c r="U25" s="236"/>
    </row>
    <row r="26" ht="15.75" customHeight="1">
      <c r="A26" s="7" t="s">
        <v>3060</v>
      </c>
      <c r="B26" s="7" t="s">
        <v>1797</v>
      </c>
      <c r="C26" s="7" t="s">
        <v>747</v>
      </c>
      <c r="D26" s="7" t="s">
        <v>907</v>
      </c>
      <c r="E26" s="7" t="s">
        <v>829</v>
      </c>
      <c r="F26" s="7" t="s">
        <v>12</v>
      </c>
      <c r="G26" s="7" t="s">
        <v>3061</v>
      </c>
      <c r="H26" s="58" t="s">
        <v>50</v>
      </c>
      <c r="I26" s="33" t="s">
        <v>3062</v>
      </c>
      <c r="J26" s="33" t="s">
        <v>3063</v>
      </c>
      <c r="K26" s="58" t="s">
        <v>3064</v>
      </c>
      <c r="L26" s="33" t="s">
        <v>39</v>
      </c>
      <c r="M26" s="7" t="s">
        <v>39</v>
      </c>
      <c r="N26" s="7" t="s">
        <v>913</v>
      </c>
      <c r="O26" s="7"/>
      <c r="P26" s="7"/>
      <c r="Q26" s="33"/>
      <c r="R26" s="7" t="s">
        <v>3</v>
      </c>
      <c r="S26" s="130">
        <v>46175.0</v>
      </c>
      <c r="T26" s="32" t="s">
        <v>3065</v>
      </c>
      <c r="U26" s="236"/>
    </row>
    <row r="27" ht="15.75" customHeight="1">
      <c r="A27" s="7" t="s">
        <v>3066</v>
      </c>
      <c r="B27" s="7" t="s">
        <v>1797</v>
      </c>
      <c r="C27" s="7" t="s">
        <v>770</v>
      </c>
      <c r="D27" s="7" t="s">
        <v>907</v>
      </c>
      <c r="E27" s="7" t="s">
        <v>829</v>
      </c>
      <c r="F27" s="7" t="s">
        <v>12</v>
      </c>
      <c r="G27" s="7" t="s">
        <v>2303</v>
      </c>
      <c r="H27" s="58" t="s">
        <v>145</v>
      </c>
      <c r="I27" s="33" t="s">
        <v>2993</v>
      </c>
      <c r="J27" s="33" t="s">
        <v>2994</v>
      </c>
      <c r="K27" s="58" t="s">
        <v>3067</v>
      </c>
      <c r="L27" s="33" t="s">
        <v>39</v>
      </c>
      <c r="M27" s="7" t="s">
        <v>39</v>
      </c>
      <c r="N27" s="7" t="s">
        <v>913</v>
      </c>
      <c r="O27" s="7" t="s">
        <v>913</v>
      </c>
      <c r="P27" s="7" t="s">
        <v>3008</v>
      </c>
      <c r="Q27" s="33" t="s">
        <v>3009</v>
      </c>
      <c r="R27" s="7" t="s">
        <v>3</v>
      </c>
      <c r="S27" s="130">
        <v>46175.0</v>
      </c>
      <c r="T27" s="32" t="s">
        <v>3068</v>
      </c>
      <c r="U27" s="236"/>
    </row>
    <row r="28" ht="15.75" customHeight="1">
      <c r="A28" s="7" t="s">
        <v>3069</v>
      </c>
      <c r="B28" s="7" t="s">
        <v>1797</v>
      </c>
      <c r="C28" s="7" t="s">
        <v>747</v>
      </c>
      <c r="D28" s="7" t="s">
        <v>3070</v>
      </c>
      <c r="E28" s="7" t="s">
        <v>829</v>
      </c>
      <c r="F28" s="7" t="s">
        <v>12</v>
      </c>
      <c r="G28" s="7" t="s">
        <v>2303</v>
      </c>
      <c r="H28" s="58" t="s">
        <v>145</v>
      </c>
      <c r="I28" s="33" t="s">
        <v>2975</v>
      </c>
      <c r="J28" s="33" t="s">
        <v>3071</v>
      </c>
      <c r="K28" s="58" t="s">
        <v>3072</v>
      </c>
      <c r="L28" s="33" t="s">
        <v>39</v>
      </c>
      <c r="M28" s="7" t="s">
        <v>39</v>
      </c>
      <c r="N28" s="7" t="s">
        <v>913</v>
      </c>
      <c r="O28" s="7"/>
      <c r="P28" s="7"/>
      <c r="Q28" s="33"/>
      <c r="R28" s="7" t="s">
        <v>3</v>
      </c>
      <c r="S28" s="7" t="s">
        <v>1011</v>
      </c>
      <c r="T28" s="32"/>
      <c r="U28" s="236"/>
    </row>
    <row r="29" ht="15.75" customHeight="1">
      <c r="A29" s="7" t="s">
        <v>3073</v>
      </c>
      <c r="B29" s="7" t="s">
        <v>1797</v>
      </c>
      <c r="C29" s="7" t="s">
        <v>747</v>
      </c>
      <c r="D29" s="7" t="s">
        <v>3020</v>
      </c>
      <c r="E29" s="7" t="s">
        <v>2947</v>
      </c>
      <c r="F29" s="7" t="s">
        <v>12</v>
      </c>
      <c r="G29" s="7" t="s">
        <v>805</v>
      </c>
      <c r="H29" s="58" t="s">
        <v>145</v>
      </c>
      <c r="I29" s="33" t="s">
        <v>3030</v>
      </c>
      <c r="J29" s="33" t="s">
        <v>3074</v>
      </c>
      <c r="K29" s="58" t="s">
        <v>3075</v>
      </c>
      <c r="L29" s="33" t="s">
        <v>39</v>
      </c>
      <c r="M29" s="7" t="s">
        <v>39</v>
      </c>
      <c r="N29" s="7" t="s">
        <v>913</v>
      </c>
      <c r="O29" s="7"/>
      <c r="P29" s="7"/>
      <c r="Q29" s="33"/>
      <c r="R29" s="7" t="s">
        <v>3</v>
      </c>
      <c r="S29" s="7" t="s">
        <v>1011</v>
      </c>
      <c r="T29" s="32"/>
      <c r="U29" s="236"/>
    </row>
    <row r="30" ht="15.75" customHeight="1">
      <c r="A30" s="7" t="s">
        <v>3076</v>
      </c>
      <c r="B30" s="7" t="s">
        <v>1797</v>
      </c>
      <c r="C30" s="7" t="s">
        <v>747</v>
      </c>
      <c r="D30" s="7" t="s">
        <v>907</v>
      </c>
      <c r="E30" s="7" t="s">
        <v>829</v>
      </c>
      <c r="F30" s="7" t="s">
        <v>12</v>
      </c>
      <c r="G30" s="7" t="s">
        <v>1800</v>
      </c>
      <c r="H30" s="58" t="s">
        <v>145</v>
      </c>
      <c r="I30" s="33" t="s">
        <v>3077</v>
      </c>
      <c r="J30" s="33" t="s">
        <v>3078</v>
      </c>
      <c r="K30" s="58" t="s">
        <v>3079</v>
      </c>
      <c r="L30" s="33" t="s">
        <v>39</v>
      </c>
      <c r="M30" s="7" t="s">
        <v>39</v>
      </c>
      <c r="N30" s="7" t="s">
        <v>913</v>
      </c>
      <c r="O30" s="7"/>
      <c r="P30" s="7"/>
      <c r="Q30" s="33"/>
      <c r="R30" s="7" t="s">
        <v>3</v>
      </c>
      <c r="S30" s="7" t="s">
        <v>1011</v>
      </c>
      <c r="T30" s="32"/>
      <c r="U30" s="236"/>
    </row>
    <row r="31" ht="15.75" customHeight="1">
      <c r="A31" s="7" t="s">
        <v>3080</v>
      </c>
      <c r="B31" s="7" t="s">
        <v>1797</v>
      </c>
      <c r="C31" s="7" t="s">
        <v>755</v>
      </c>
      <c r="D31" s="7" t="s">
        <v>907</v>
      </c>
      <c r="E31" s="7" t="s">
        <v>829</v>
      </c>
      <c r="F31" s="7" t="s">
        <v>12</v>
      </c>
      <c r="G31" s="7" t="s">
        <v>908</v>
      </c>
      <c r="H31" s="58" t="s">
        <v>145</v>
      </c>
      <c r="I31" s="33" t="s">
        <v>3081</v>
      </c>
      <c r="J31" s="33" t="s">
        <v>3082</v>
      </c>
      <c r="K31" s="58" t="s">
        <v>3083</v>
      </c>
      <c r="L31" s="33" t="s">
        <v>39</v>
      </c>
      <c r="M31" s="7" t="s">
        <v>39</v>
      </c>
      <c r="N31" s="7" t="s">
        <v>913</v>
      </c>
      <c r="O31" s="7"/>
      <c r="P31" s="7"/>
      <c r="Q31" s="33"/>
      <c r="R31" s="7" t="s">
        <v>3</v>
      </c>
      <c r="S31" s="130">
        <v>46267.0</v>
      </c>
      <c r="T31" s="32" t="s">
        <v>3084</v>
      </c>
      <c r="U31" s="236"/>
    </row>
    <row r="32" ht="15.75" customHeight="1">
      <c r="A32" s="7" t="s">
        <v>3085</v>
      </c>
      <c r="B32" s="7" t="s">
        <v>1797</v>
      </c>
      <c r="C32" s="7" t="s">
        <v>770</v>
      </c>
      <c r="D32" s="7" t="s">
        <v>907</v>
      </c>
      <c r="E32" s="7" t="s">
        <v>1004</v>
      </c>
      <c r="F32" s="7" t="s">
        <v>12</v>
      </c>
      <c r="G32" s="7" t="s">
        <v>871</v>
      </c>
      <c r="H32" s="58" t="s">
        <v>145</v>
      </c>
      <c r="I32" s="33" t="s">
        <v>3050</v>
      </c>
      <c r="J32" s="33" t="s">
        <v>3086</v>
      </c>
      <c r="K32" s="58" t="s">
        <v>3087</v>
      </c>
      <c r="L32" s="33" t="s">
        <v>39</v>
      </c>
      <c r="M32" s="7" t="s">
        <v>39</v>
      </c>
      <c r="N32" s="7" t="s">
        <v>913</v>
      </c>
      <c r="O32" s="7"/>
      <c r="P32" s="7"/>
      <c r="Q32" s="33"/>
      <c r="R32" s="7" t="s">
        <v>3</v>
      </c>
      <c r="S32" s="7" t="s">
        <v>1011</v>
      </c>
      <c r="T32" s="32"/>
      <c r="U32" s="236"/>
    </row>
    <row r="33" ht="15.75" customHeight="1">
      <c r="A33" s="7" t="s">
        <v>3088</v>
      </c>
      <c r="B33" s="7" t="s">
        <v>1797</v>
      </c>
      <c r="C33" s="7" t="s">
        <v>747</v>
      </c>
      <c r="D33" s="7" t="s">
        <v>907</v>
      </c>
      <c r="E33" s="7" t="s">
        <v>829</v>
      </c>
      <c r="F33" s="7" t="s">
        <v>12</v>
      </c>
      <c r="G33" s="7" t="s">
        <v>1800</v>
      </c>
      <c r="H33" s="58" t="s">
        <v>145</v>
      </c>
      <c r="I33" s="33" t="s">
        <v>3039</v>
      </c>
      <c r="J33" s="33" t="s">
        <v>3040</v>
      </c>
      <c r="K33" s="58" t="s">
        <v>3089</v>
      </c>
      <c r="L33" s="33" t="s">
        <v>39</v>
      </c>
      <c r="M33" s="7" t="s">
        <v>39</v>
      </c>
      <c r="N33" s="7" t="s">
        <v>913</v>
      </c>
      <c r="O33" s="7" t="s">
        <v>913</v>
      </c>
      <c r="P33" s="7" t="s">
        <v>1029</v>
      </c>
      <c r="Q33" s="33" t="s">
        <v>3090</v>
      </c>
      <c r="R33" s="7" t="s">
        <v>3</v>
      </c>
      <c r="S33" s="130">
        <v>46145.0</v>
      </c>
      <c r="T33" s="32" t="s">
        <v>3091</v>
      </c>
      <c r="U33" s="236"/>
    </row>
    <row r="34" ht="15.75" customHeight="1">
      <c r="A34" s="7" t="s">
        <v>3092</v>
      </c>
      <c r="B34" s="7" t="s">
        <v>1797</v>
      </c>
      <c r="C34" s="7" t="s">
        <v>755</v>
      </c>
      <c r="D34" s="7" t="s">
        <v>3070</v>
      </c>
      <c r="E34" s="7" t="s">
        <v>829</v>
      </c>
      <c r="F34" s="7" t="s">
        <v>12</v>
      </c>
      <c r="G34" s="7" t="s">
        <v>908</v>
      </c>
      <c r="H34" s="58" t="s">
        <v>145</v>
      </c>
      <c r="I34" s="33" t="s">
        <v>3093</v>
      </c>
      <c r="J34" s="33" t="s">
        <v>3094</v>
      </c>
      <c r="K34" s="58" t="s">
        <v>3095</v>
      </c>
      <c r="L34" s="33" t="s">
        <v>39</v>
      </c>
      <c r="M34" s="7" t="s">
        <v>39</v>
      </c>
      <c r="N34" s="7" t="s">
        <v>913</v>
      </c>
      <c r="O34" s="7"/>
      <c r="P34" s="7"/>
      <c r="Q34" s="33"/>
      <c r="R34" s="7" t="s">
        <v>3</v>
      </c>
      <c r="S34" s="7" t="s">
        <v>1011</v>
      </c>
      <c r="T34" s="32"/>
      <c r="U34" s="236"/>
    </row>
    <row r="35" ht="15.75" customHeight="1">
      <c r="A35" s="7" t="s">
        <v>3096</v>
      </c>
      <c r="B35" s="7" t="s">
        <v>1797</v>
      </c>
      <c r="C35" s="7" t="s">
        <v>755</v>
      </c>
      <c r="D35" s="7" t="s">
        <v>907</v>
      </c>
      <c r="E35" s="7" t="s">
        <v>829</v>
      </c>
      <c r="F35" s="7" t="s">
        <v>12</v>
      </c>
      <c r="G35" s="7" t="s">
        <v>908</v>
      </c>
      <c r="H35" s="58" t="s">
        <v>145</v>
      </c>
      <c r="I35" s="33" t="s">
        <v>3054</v>
      </c>
      <c r="J35" s="33" t="s">
        <v>3097</v>
      </c>
      <c r="K35" s="58" t="s">
        <v>3098</v>
      </c>
      <c r="L35" s="33" t="s">
        <v>39</v>
      </c>
      <c r="M35" s="7" t="s">
        <v>39</v>
      </c>
      <c r="N35" s="7" t="s">
        <v>913</v>
      </c>
      <c r="O35" s="7"/>
      <c r="P35" s="7"/>
      <c r="Q35" s="33"/>
      <c r="R35" s="7" t="s">
        <v>3</v>
      </c>
      <c r="S35" s="7" t="s">
        <v>1011</v>
      </c>
      <c r="T35" s="32"/>
      <c r="U35" s="236"/>
    </row>
    <row r="36" ht="15.75" customHeight="1">
      <c r="A36" s="7" t="s">
        <v>3099</v>
      </c>
      <c r="B36" s="7" t="s">
        <v>1797</v>
      </c>
      <c r="C36" s="7" t="s">
        <v>747</v>
      </c>
      <c r="D36" s="7" t="s">
        <v>3070</v>
      </c>
      <c r="E36" s="7" t="s">
        <v>829</v>
      </c>
      <c r="F36" s="7" t="s">
        <v>12</v>
      </c>
      <c r="G36" s="7" t="s">
        <v>3061</v>
      </c>
      <c r="H36" s="58" t="s">
        <v>145</v>
      </c>
      <c r="I36" s="33" t="s">
        <v>3100</v>
      </c>
      <c r="J36" s="33" t="s">
        <v>3101</v>
      </c>
      <c r="K36" s="58" t="s">
        <v>3102</v>
      </c>
      <c r="L36" s="33" t="s">
        <v>39</v>
      </c>
      <c r="M36" s="7" t="s">
        <v>39</v>
      </c>
      <c r="N36" s="7" t="s">
        <v>913</v>
      </c>
      <c r="O36" s="7"/>
      <c r="P36" s="7"/>
      <c r="Q36" s="33"/>
      <c r="R36" s="7" t="s">
        <v>3</v>
      </c>
      <c r="S36" s="7" t="s">
        <v>1011</v>
      </c>
      <c r="T36" s="32"/>
      <c r="U36" s="236"/>
    </row>
    <row r="37" ht="15.75" customHeight="1">
      <c r="A37" s="7" t="s">
        <v>3103</v>
      </c>
      <c r="B37" s="7" t="s">
        <v>1797</v>
      </c>
      <c r="C37" s="7" t="s">
        <v>747</v>
      </c>
      <c r="D37" s="7" t="s">
        <v>3070</v>
      </c>
      <c r="E37" s="7" t="s">
        <v>829</v>
      </c>
      <c r="F37" s="7" t="s">
        <v>12</v>
      </c>
      <c r="G37" s="7" t="s">
        <v>3061</v>
      </c>
      <c r="H37" s="58" t="s">
        <v>70</v>
      </c>
      <c r="I37" s="33" t="s">
        <v>3104</v>
      </c>
      <c r="J37" s="33" t="s">
        <v>3105</v>
      </c>
      <c r="K37" s="58" t="s">
        <v>3106</v>
      </c>
      <c r="L37" s="33" t="s">
        <v>39</v>
      </c>
      <c r="M37" s="7" t="s">
        <v>39</v>
      </c>
      <c r="N37" s="7" t="s">
        <v>913</v>
      </c>
      <c r="O37" s="7"/>
      <c r="P37" s="7"/>
      <c r="Q37" s="33"/>
      <c r="R37" s="7" t="s">
        <v>3</v>
      </c>
      <c r="S37" s="130">
        <v>46175.0</v>
      </c>
      <c r="T37" s="32" t="s">
        <v>3107</v>
      </c>
      <c r="U37" s="236"/>
    </row>
    <row r="38" ht="15.75" customHeight="1">
      <c r="A38" s="7" t="s">
        <v>3108</v>
      </c>
      <c r="B38" s="7" t="s">
        <v>1797</v>
      </c>
      <c r="C38" s="7" t="s">
        <v>770</v>
      </c>
      <c r="D38" s="7" t="s">
        <v>907</v>
      </c>
      <c r="E38" s="7" t="s">
        <v>829</v>
      </c>
      <c r="F38" s="7" t="s">
        <v>12</v>
      </c>
      <c r="G38" s="7" t="s">
        <v>2303</v>
      </c>
      <c r="H38" s="58" t="s">
        <v>70</v>
      </c>
      <c r="I38" s="33" t="s">
        <v>3109</v>
      </c>
      <c r="J38" s="33" t="s">
        <v>3110</v>
      </c>
      <c r="K38" s="58" t="s">
        <v>3111</v>
      </c>
      <c r="L38" s="58" t="s">
        <v>3112</v>
      </c>
      <c r="M38" s="7" t="s">
        <v>39</v>
      </c>
      <c r="N38" s="7" t="s">
        <v>913</v>
      </c>
      <c r="O38" s="7"/>
      <c r="P38" s="7"/>
      <c r="Q38" s="33"/>
      <c r="R38" s="7" t="s">
        <v>3</v>
      </c>
      <c r="S38" s="7" t="s">
        <v>1155</v>
      </c>
      <c r="T38" s="32"/>
      <c r="U38" s="236"/>
    </row>
    <row r="39" ht="15.75" customHeight="1">
      <c r="A39" s="7" t="s">
        <v>3113</v>
      </c>
      <c r="B39" s="7" t="s">
        <v>1797</v>
      </c>
      <c r="C39" s="7" t="s">
        <v>747</v>
      </c>
      <c r="D39" s="7" t="s">
        <v>907</v>
      </c>
      <c r="E39" s="7" t="s">
        <v>829</v>
      </c>
      <c r="F39" s="7" t="s">
        <v>12</v>
      </c>
      <c r="G39" s="7" t="s">
        <v>2303</v>
      </c>
      <c r="H39" s="58" t="s">
        <v>70</v>
      </c>
      <c r="I39" s="33" t="s">
        <v>2993</v>
      </c>
      <c r="J39" s="33" t="s">
        <v>2994</v>
      </c>
      <c r="K39" s="58" t="s">
        <v>3114</v>
      </c>
      <c r="L39" s="33" t="s">
        <v>39</v>
      </c>
      <c r="M39" s="7"/>
      <c r="N39" s="7" t="s">
        <v>913</v>
      </c>
      <c r="O39" s="7"/>
      <c r="P39" s="7"/>
      <c r="Q39" s="33"/>
      <c r="R39" s="7" t="s">
        <v>3</v>
      </c>
      <c r="S39" s="7" t="s">
        <v>1155</v>
      </c>
      <c r="T39" s="32"/>
      <c r="U39" s="236"/>
    </row>
    <row r="40" ht="15.75" customHeight="1">
      <c r="A40" s="7" t="s">
        <v>3115</v>
      </c>
      <c r="B40" s="7" t="s">
        <v>1797</v>
      </c>
      <c r="C40" s="7" t="s">
        <v>747</v>
      </c>
      <c r="D40" s="7" t="s">
        <v>907</v>
      </c>
      <c r="E40" s="7" t="s">
        <v>829</v>
      </c>
      <c r="F40" s="7" t="s">
        <v>12</v>
      </c>
      <c r="G40" s="7" t="s">
        <v>2303</v>
      </c>
      <c r="H40" s="58" t="s">
        <v>70</v>
      </c>
      <c r="I40" s="33" t="s">
        <v>2975</v>
      </c>
      <c r="J40" s="33" t="s">
        <v>3116</v>
      </c>
      <c r="K40" s="58" t="s">
        <v>3117</v>
      </c>
      <c r="L40" s="33" t="s">
        <v>39</v>
      </c>
      <c r="M40" s="7" t="s">
        <v>39</v>
      </c>
      <c r="N40" s="7" t="s">
        <v>913</v>
      </c>
      <c r="O40" s="7"/>
      <c r="P40" s="7"/>
      <c r="Q40" s="33"/>
      <c r="R40" s="7" t="s">
        <v>3</v>
      </c>
      <c r="S40" s="7" t="s">
        <v>1155</v>
      </c>
      <c r="T40" s="32"/>
      <c r="U40" s="236"/>
    </row>
    <row r="41" ht="15.75" customHeight="1">
      <c r="A41" s="7" t="s">
        <v>3118</v>
      </c>
      <c r="B41" s="7" t="s">
        <v>1797</v>
      </c>
      <c r="C41" s="7" t="s">
        <v>747</v>
      </c>
      <c r="D41" s="7" t="s">
        <v>907</v>
      </c>
      <c r="E41" s="7" t="s">
        <v>829</v>
      </c>
      <c r="F41" s="7" t="s">
        <v>12</v>
      </c>
      <c r="G41" s="7" t="s">
        <v>2303</v>
      </c>
      <c r="H41" s="58" t="s">
        <v>70</v>
      </c>
      <c r="I41" s="33" t="s">
        <v>2989</v>
      </c>
      <c r="J41" s="33" t="s">
        <v>3116</v>
      </c>
      <c r="K41" s="58" t="s">
        <v>3119</v>
      </c>
      <c r="L41" s="33" t="s">
        <v>39</v>
      </c>
      <c r="M41" s="7" t="s">
        <v>39</v>
      </c>
      <c r="N41" s="7" t="s">
        <v>913</v>
      </c>
      <c r="O41" s="7"/>
      <c r="P41" s="7"/>
      <c r="Q41" s="33"/>
      <c r="R41" s="7" t="s">
        <v>3</v>
      </c>
      <c r="S41" s="7" t="s">
        <v>1155</v>
      </c>
      <c r="T41" s="32"/>
      <c r="U41" s="236"/>
    </row>
    <row r="42" ht="15.75" customHeight="1">
      <c r="A42" s="7" t="s">
        <v>3120</v>
      </c>
      <c r="B42" s="7" t="s">
        <v>1797</v>
      </c>
      <c r="C42" s="7" t="s">
        <v>747</v>
      </c>
      <c r="D42" s="7" t="s">
        <v>3020</v>
      </c>
      <c r="E42" s="7" t="s">
        <v>2947</v>
      </c>
      <c r="F42" s="7" t="s">
        <v>12</v>
      </c>
      <c r="G42" s="7" t="s">
        <v>805</v>
      </c>
      <c r="H42" s="58" t="s">
        <v>70</v>
      </c>
      <c r="I42" s="33" t="s">
        <v>3121</v>
      </c>
      <c r="J42" s="33" t="s">
        <v>3122</v>
      </c>
      <c r="K42" s="58" t="s">
        <v>3123</v>
      </c>
      <c r="L42" s="33" t="s">
        <v>39</v>
      </c>
      <c r="M42" s="7" t="s">
        <v>39</v>
      </c>
      <c r="N42" s="7" t="s">
        <v>913</v>
      </c>
      <c r="O42" s="7" t="s">
        <v>1010</v>
      </c>
      <c r="P42" s="7" t="s">
        <v>1018</v>
      </c>
      <c r="Q42" s="33" t="s">
        <v>3124</v>
      </c>
      <c r="R42" s="7" t="s">
        <v>4</v>
      </c>
      <c r="S42" s="7" t="s">
        <v>1659</v>
      </c>
      <c r="T42" s="32" t="s">
        <v>3125</v>
      </c>
      <c r="U42" s="31"/>
      <c r="V42" s="62"/>
      <c r="W42" s="62"/>
      <c r="X42" s="62"/>
      <c r="Y42" s="62"/>
      <c r="Z42" s="62"/>
    </row>
    <row r="43" ht="15.75" customHeight="1">
      <c r="A43" s="7" t="s">
        <v>3126</v>
      </c>
      <c r="B43" s="7" t="s">
        <v>1797</v>
      </c>
      <c r="C43" s="7" t="s">
        <v>755</v>
      </c>
      <c r="D43" s="7" t="s">
        <v>907</v>
      </c>
      <c r="E43" s="7" t="s">
        <v>829</v>
      </c>
      <c r="F43" s="7" t="s">
        <v>12</v>
      </c>
      <c r="G43" s="7" t="s">
        <v>908</v>
      </c>
      <c r="H43" s="58" t="s">
        <v>70</v>
      </c>
      <c r="I43" s="33" t="s">
        <v>3127</v>
      </c>
      <c r="J43" s="250" t="s">
        <v>3128</v>
      </c>
      <c r="K43" s="58" t="s">
        <v>3129</v>
      </c>
      <c r="L43" s="33" t="s">
        <v>39</v>
      </c>
      <c r="M43" s="7" t="s">
        <v>39</v>
      </c>
      <c r="N43" s="7" t="s">
        <v>913</v>
      </c>
      <c r="O43" s="7"/>
      <c r="P43" s="7"/>
      <c r="Q43" s="33"/>
      <c r="R43" s="7" t="s">
        <v>3</v>
      </c>
      <c r="S43" s="7" t="s">
        <v>1155</v>
      </c>
      <c r="T43" s="32"/>
      <c r="U43" s="236"/>
    </row>
    <row r="44" ht="15.75" customHeight="1">
      <c r="A44" s="7" t="s">
        <v>3130</v>
      </c>
      <c r="B44" s="7" t="s">
        <v>1797</v>
      </c>
      <c r="C44" s="7" t="s">
        <v>747</v>
      </c>
      <c r="D44" s="7" t="s">
        <v>907</v>
      </c>
      <c r="E44" s="7" t="s">
        <v>829</v>
      </c>
      <c r="F44" s="7" t="s">
        <v>12</v>
      </c>
      <c r="G44" s="7" t="s">
        <v>1014</v>
      </c>
      <c r="H44" s="58" t="s">
        <v>70</v>
      </c>
      <c r="I44" s="33" t="s">
        <v>3131</v>
      </c>
      <c r="J44" s="250" t="s">
        <v>3132</v>
      </c>
      <c r="K44" s="58" t="s">
        <v>3133</v>
      </c>
      <c r="L44" s="33" t="s">
        <v>39</v>
      </c>
      <c r="M44" s="7" t="s">
        <v>39</v>
      </c>
      <c r="N44" s="7" t="s">
        <v>913</v>
      </c>
      <c r="O44" s="7"/>
      <c r="P44" s="7"/>
      <c r="Q44" s="33"/>
      <c r="R44" s="7" t="s">
        <v>3</v>
      </c>
      <c r="S44" s="7" t="s">
        <v>1155</v>
      </c>
      <c r="T44" s="32"/>
      <c r="U44" s="236"/>
    </row>
    <row r="45" ht="15.75" customHeight="1">
      <c r="A45" s="7" t="s">
        <v>3134</v>
      </c>
      <c r="B45" s="7" t="s">
        <v>1797</v>
      </c>
      <c r="C45" s="7" t="s">
        <v>755</v>
      </c>
      <c r="D45" s="7" t="s">
        <v>907</v>
      </c>
      <c r="E45" s="7" t="s">
        <v>829</v>
      </c>
      <c r="F45" s="7" t="s">
        <v>12</v>
      </c>
      <c r="G45" s="7" t="s">
        <v>908</v>
      </c>
      <c r="H45" s="58" t="s">
        <v>70</v>
      </c>
      <c r="I45" s="33" t="s">
        <v>3135</v>
      </c>
      <c r="J45" s="250" t="s">
        <v>3136</v>
      </c>
      <c r="K45" s="58" t="s">
        <v>3137</v>
      </c>
      <c r="L45" s="33" t="s">
        <v>39</v>
      </c>
      <c r="M45" s="7" t="s">
        <v>39</v>
      </c>
      <c r="N45" s="7" t="s">
        <v>913</v>
      </c>
      <c r="O45" s="7"/>
      <c r="P45" s="7"/>
      <c r="Q45" s="33"/>
      <c r="R45" s="7" t="s">
        <v>3</v>
      </c>
      <c r="S45" s="7" t="s">
        <v>1155</v>
      </c>
      <c r="T45" s="32"/>
      <c r="U45" s="236"/>
    </row>
    <row r="46" ht="15.75" customHeight="1">
      <c r="A46" s="7" t="s">
        <v>3138</v>
      </c>
      <c r="B46" s="7" t="s">
        <v>1797</v>
      </c>
      <c r="C46" s="7" t="s">
        <v>755</v>
      </c>
      <c r="D46" s="7" t="s">
        <v>907</v>
      </c>
      <c r="E46" s="7" t="s">
        <v>829</v>
      </c>
      <c r="F46" s="7" t="s">
        <v>12</v>
      </c>
      <c r="G46" s="7" t="s">
        <v>908</v>
      </c>
      <c r="H46" s="58" t="s">
        <v>70</v>
      </c>
      <c r="I46" s="33" t="s">
        <v>3139</v>
      </c>
      <c r="J46" s="250" t="s">
        <v>3140</v>
      </c>
      <c r="K46" s="58" t="s">
        <v>3141</v>
      </c>
      <c r="L46" s="33" t="s">
        <v>39</v>
      </c>
      <c r="M46" s="7" t="s">
        <v>39</v>
      </c>
      <c r="N46" s="7" t="s">
        <v>913</v>
      </c>
      <c r="O46" s="7"/>
      <c r="P46" s="7"/>
      <c r="Q46" s="33"/>
      <c r="R46" s="7" t="s">
        <v>3</v>
      </c>
      <c r="S46" s="7" t="s">
        <v>1155</v>
      </c>
      <c r="T46" s="32"/>
      <c r="U46" s="236"/>
    </row>
    <row r="47" ht="15.75" customHeight="1">
      <c r="A47" s="7" t="s">
        <v>3142</v>
      </c>
      <c r="B47" s="7" t="s">
        <v>1797</v>
      </c>
      <c r="C47" s="7" t="s">
        <v>770</v>
      </c>
      <c r="D47" s="7" t="s">
        <v>907</v>
      </c>
      <c r="E47" s="7" t="s">
        <v>1004</v>
      </c>
      <c r="F47" s="7" t="s">
        <v>12</v>
      </c>
      <c r="G47" s="7" t="s">
        <v>871</v>
      </c>
      <c r="H47" s="58" t="s">
        <v>70</v>
      </c>
      <c r="I47" s="33" t="s">
        <v>3050</v>
      </c>
      <c r="J47" s="250" t="s">
        <v>3143</v>
      </c>
      <c r="K47" s="58" t="s">
        <v>3144</v>
      </c>
      <c r="L47" s="33" t="s">
        <v>39</v>
      </c>
      <c r="M47" s="7" t="s">
        <v>39</v>
      </c>
      <c r="N47" s="7" t="s">
        <v>913</v>
      </c>
      <c r="O47" s="7"/>
      <c r="P47" s="7"/>
      <c r="Q47" s="33"/>
      <c r="R47" s="7" t="s">
        <v>3</v>
      </c>
      <c r="S47" s="7" t="s">
        <v>1155</v>
      </c>
      <c r="T47" s="32"/>
      <c r="U47" s="236"/>
    </row>
    <row r="48" ht="15.75" customHeight="1">
      <c r="A48" s="7" t="s">
        <v>3145</v>
      </c>
      <c r="B48" s="7" t="s">
        <v>1797</v>
      </c>
      <c r="C48" s="7" t="s">
        <v>747</v>
      </c>
      <c r="D48" s="7" t="s">
        <v>907</v>
      </c>
      <c r="E48" s="7" t="s">
        <v>829</v>
      </c>
      <c r="F48" s="7" t="s">
        <v>12</v>
      </c>
      <c r="G48" s="7" t="s">
        <v>1014</v>
      </c>
      <c r="H48" s="58" t="s">
        <v>70</v>
      </c>
      <c r="I48" s="33" t="s">
        <v>3146</v>
      </c>
      <c r="J48" s="250" t="s">
        <v>3132</v>
      </c>
      <c r="K48" s="58" t="s">
        <v>3147</v>
      </c>
      <c r="L48" s="33" t="s">
        <v>39</v>
      </c>
      <c r="M48" s="7" t="s">
        <v>39</v>
      </c>
      <c r="N48" s="7" t="s">
        <v>913</v>
      </c>
      <c r="O48" s="7"/>
      <c r="P48" s="7"/>
      <c r="Q48" s="33"/>
      <c r="R48" s="7" t="s">
        <v>3</v>
      </c>
      <c r="S48" s="7" t="s">
        <v>1155</v>
      </c>
      <c r="T48" s="32"/>
      <c r="U48" s="236"/>
    </row>
    <row r="49" ht="15.75" customHeight="1">
      <c r="A49" s="7" t="s">
        <v>3148</v>
      </c>
      <c r="B49" s="7" t="s">
        <v>1797</v>
      </c>
      <c r="C49" s="7" t="s">
        <v>755</v>
      </c>
      <c r="D49" s="7" t="s">
        <v>907</v>
      </c>
      <c r="E49" s="7" t="s">
        <v>829</v>
      </c>
      <c r="F49" s="7" t="s">
        <v>12</v>
      </c>
      <c r="G49" s="7" t="s">
        <v>908</v>
      </c>
      <c r="H49" s="58" t="s">
        <v>70</v>
      </c>
      <c r="I49" s="33" t="s">
        <v>3149</v>
      </c>
      <c r="J49" s="33" t="s">
        <v>3097</v>
      </c>
      <c r="K49" s="58" t="s">
        <v>3150</v>
      </c>
      <c r="L49" s="33" t="s">
        <v>39</v>
      </c>
      <c r="M49" s="7" t="s">
        <v>39</v>
      </c>
      <c r="N49" s="7" t="s">
        <v>913</v>
      </c>
      <c r="O49" s="7"/>
      <c r="P49" s="7"/>
      <c r="Q49" s="33"/>
      <c r="R49" s="7" t="s">
        <v>3</v>
      </c>
      <c r="S49" s="130">
        <v>46267.0</v>
      </c>
      <c r="T49" s="32" t="s">
        <v>3151</v>
      </c>
      <c r="U49" s="236"/>
    </row>
    <row r="50" ht="15.75" customHeight="1">
      <c r="A50" s="7" t="s">
        <v>3152</v>
      </c>
      <c r="B50" s="7" t="s">
        <v>1797</v>
      </c>
      <c r="C50" s="7" t="s">
        <v>747</v>
      </c>
      <c r="D50" s="7" t="s">
        <v>907</v>
      </c>
      <c r="E50" s="7" t="s">
        <v>829</v>
      </c>
      <c r="F50" s="7" t="s">
        <v>12</v>
      </c>
      <c r="G50" s="7" t="s">
        <v>1014</v>
      </c>
      <c r="H50" s="58" t="s">
        <v>70</v>
      </c>
      <c r="I50" s="33" t="s">
        <v>3153</v>
      </c>
      <c r="J50" s="250" t="s">
        <v>3154</v>
      </c>
      <c r="K50" s="58" t="s">
        <v>3155</v>
      </c>
      <c r="L50" s="33" t="s">
        <v>39</v>
      </c>
      <c r="M50" s="7" t="s">
        <v>39</v>
      </c>
      <c r="N50" s="7" t="s">
        <v>913</v>
      </c>
      <c r="O50" s="7"/>
      <c r="P50" s="7"/>
      <c r="Q50" s="33"/>
      <c r="R50" s="7" t="s">
        <v>3</v>
      </c>
      <c r="S50" s="7" t="s">
        <v>1155</v>
      </c>
      <c r="T50" s="32"/>
      <c r="U50" s="236"/>
    </row>
    <row r="51" ht="15.75" customHeight="1">
      <c r="A51" s="7" t="s">
        <v>3156</v>
      </c>
      <c r="B51" s="7" t="s">
        <v>1797</v>
      </c>
      <c r="C51" s="7" t="s">
        <v>747</v>
      </c>
      <c r="D51" s="7" t="s">
        <v>907</v>
      </c>
      <c r="E51" s="7" t="s">
        <v>829</v>
      </c>
      <c r="F51" s="7" t="s">
        <v>12</v>
      </c>
      <c r="G51" s="7" t="s">
        <v>1014</v>
      </c>
      <c r="H51" s="58" t="s">
        <v>70</v>
      </c>
      <c r="I51" s="33" t="s">
        <v>3157</v>
      </c>
      <c r="J51" s="250" t="s">
        <v>3158</v>
      </c>
      <c r="K51" s="58" t="s">
        <v>3159</v>
      </c>
      <c r="L51" s="33" t="s">
        <v>39</v>
      </c>
      <c r="M51" s="7" t="s">
        <v>39</v>
      </c>
      <c r="N51" s="7" t="s">
        <v>913</v>
      </c>
      <c r="O51" s="7"/>
      <c r="P51" s="7"/>
      <c r="Q51" s="33"/>
      <c r="R51" s="7" t="s">
        <v>3</v>
      </c>
      <c r="S51" s="7" t="s">
        <v>1155</v>
      </c>
      <c r="T51" s="32"/>
      <c r="U51" s="236"/>
    </row>
    <row r="52" ht="15.75" customHeight="1">
      <c r="A52" s="7" t="s">
        <v>3160</v>
      </c>
      <c r="B52" s="7" t="s">
        <v>1797</v>
      </c>
      <c r="C52" s="7" t="s">
        <v>747</v>
      </c>
      <c r="D52" s="7" t="s">
        <v>3070</v>
      </c>
      <c r="E52" s="7" t="s">
        <v>829</v>
      </c>
      <c r="F52" s="7" t="s">
        <v>12</v>
      </c>
      <c r="G52" s="7" t="s">
        <v>3061</v>
      </c>
      <c r="H52" s="58" t="s">
        <v>154</v>
      </c>
      <c r="I52" s="33" t="s">
        <v>3161</v>
      </c>
      <c r="J52" s="33" t="s">
        <v>3101</v>
      </c>
      <c r="K52" s="58" t="s">
        <v>3162</v>
      </c>
      <c r="L52" s="33" t="s">
        <v>39</v>
      </c>
      <c r="M52" s="7" t="s">
        <v>39</v>
      </c>
      <c r="N52" s="7" t="s">
        <v>913</v>
      </c>
      <c r="O52" s="7"/>
      <c r="P52" s="7"/>
      <c r="Q52" s="33"/>
      <c r="R52" s="7" t="s">
        <v>3</v>
      </c>
      <c r="S52" s="130">
        <v>46175.0</v>
      </c>
      <c r="T52" s="32" t="s">
        <v>3163</v>
      </c>
      <c r="U52" s="236"/>
    </row>
    <row r="53" ht="15.75" customHeight="1">
      <c r="A53" s="7" t="s">
        <v>3164</v>
      </c>
      <c r="B53" s="7" t="s">
        <v>1797</v>
      </c>
      <c r="C53" s="7" t="s">
        <v>747</v>
      </c>
      <c r="D53" s="7" t="s">
        <v>3020</v>
      </c>
      <c r="E53" s="7" t="s">
        <v>2947</v>
      </c>
      <c r="F53" s="7" t="s">
        <v>12</v>
      </c>
      <c r="G53" s="7" t="s">
        <v>805</v>
      </c>
      <c r="H53" s="58" t="s">
        <v>154</v>
      </c>
      <c r="I53" s="33" t="s">
        <v>3165</v>
      </c>
      <c r="J53" s="33" t="s">
        <v>3166</v>
      </c>
      <c r="K53" s="58" t="s">
        <v>3167</v>
      </c>
      <c r="L53" s="33" t="s">
        <v>39</v>
      </c>
      <c r="M53" s="7" t="s">
        <v>466</v>
      </c>
      <c r="N53" s="7" t="s">
        <v>913</v>
      </c>
      <c r="O53" s="7" t="s">
        <v>1010</v>
      </c>
      <c r="P53" s="7" t="s">
        <v>1018</v>
      </c>
      <c r="Q53" s="33" t="s">
        <v>3124</v>
      </c>
      <c r="R53" s="7" t="s">
        <v>4</v>
      </c>
      <c r="S53" s="7" t="s">
        <v>1659</v>
      </c>
      <c r="T53" s="32" t="s">
        <v>3125</v>
      </c>
      <c r="U53" s="31"/>
      <c r="V53" s="62"/>
      <c r="W53" s="62"/>
      <c r="X53" s="62"/>
      <c r="Y53" s="62"/>
      <c r="Z53" s="62"/>
    </row>
    <row r="54" ht="15.75" customHeight="1">
      <c r="A54" s="7" t="s">
        <v>3168</v>
      </c>
      <c r="B54" s="7" t="s">
        <v>1797</v>
      </c>
      <c r="C54" s="7" t="s">
        <v>747</v>
      </c>
      <c r="D54" s="7" t="s">
        <v>3020</v>
      </c>
      <c r="E54" s="7" t="s">
        <v>2947</v>
      </c>
      <c r="F54" s="7" t="s">
        <v>12</v>
      </c>
      <c r="G54" s="7" t="s">
        <v>805</v>
      </c>
      <c r="H54" s="58" t="s">
        <v>154</v>
      </c>
      <c r="I54" s="33" t="s">
        <v>3030</v>
      </c>
      <c r="J54" s="33" t="s">
        <v>3074</v>
      </c>
      <c r="K54" s="58" t="s">
        <v>3169</v>
      </c>
      <c r="L54" s="33" t="s">
        <v>39</v>
      </c>
      <c r="M54" s="7" t="s">
        <v>3170</v>
      </c>
      <c r="N54" s="7" t="s">
        <v>913</v>
      </c>
      <c r="O54" s="7" t="s">
        <v>1010</v>
      </c>
      <c r="P54" s="7" t="s">
        <v>1018</v>
      </c>
      <c r="Q54" s="33" t="s">
        <v>3124</v>
      </c>
      <c r="R54" s="7" t="s">
        <v>4</v>
      </c>
      <c r="S54" s="7" t="s">
        <v>1659</v>
      </c>
      <c r="T54" s="32" t="s">
        <v>3125</v>
      </c>
      <c r="U54" s="31"/>
      <c r="V54" s="62"/>
      <c r="W54" s="62"/>
      <c r="X54" s="62"/>
      <c r="Y54" s="62"/>
      <c r="Z54" s="62"/>
    </row>
    <row r="55" ht="15.75" customHeight="1">
      <c r="A55" s="7" t="s">
        <v>3171</v>
      </c>
      <c r="B55" s="7" t="s">
        <v>1797</v>
      </c>
      <c r="C55" s="7" t="s">
        <v>755</v>
      </c>
      <c r="D55" s="7" t="s">
        <v>907</v>
      </c>
      <c r="E55" s="7" t="s">
        <v>829</v>
      </c>
      <c r="F55" s="7" t="s">
        <v>12</v>
      </c>
      <c r="G55" s="7" t="s">
        <v>908</v>
      </c>
      <c r="H55" s="58" t="s">
        <v>154</v>
      </c>
      <c r="I55" s="33" t="s">
        <v>3172</v>
      </c>
      <c r="J55" s="33" t="s">
        <v>3173</v>
      </c>
      <c r="K55" s="58" t="s">
        <v>3174</v>
      </c>
      <c r="L55" s="33"/>
      <c r="M55" s="7"/>
      <c r="N55" s="7" t="s">
        <v>913</v>
      </c>
      <c r="O55" s="7"/>
      <c r="P55" s="7"/>
      <c r="Q55" s="33"/>
      <c r="R55" s="7" t="s">
        <v>3</v>
      </c>
      <c r="S55" s="7" t="s">
        <v>3175</v>
      </c>
      <c r="T55" s="32" t="s">
        <v>3176</v>
      </c>
      <c r="U55" s="236"/>
    </row>
    <row r="56" ht="15.75" customHeight="1">
      <c r="A56" s="7" t="s">
        <v>3177</v>
      </c>
      <c r="B56" s="7" t="s">
        <v>1155</v>
      </c>
      <c r="C56" s="7" t="s">
        <v>747</v>
      </c>
      <c r="D56" s="7" t="s">
        <v>907</v>
      </c>
      <c r="E56" s="7" t="s">
        <v>829</v>
      </c>
      <c r="F56" s="7" t="s">
        <v>12</v>
      </c>
      <c r="G56" s="7" t="s">
        <v>2303</v>
      </c>
      <c r="H56" s="58" t="s">
        <v>58</v>
      </c>
      <c r="I56" s="33" t="s">
        <v>3178</v>
      </c>
      <c r="J56" s="33" t="s">
        <v>2981</v>
      </c>
      <c r="K56" s="58" t="s">
        <v>3179</v>
      </c>
      <c r="L56" s="33" t="s">
        <v>39</v>
      </c>
      <c r="M56" s="7" t="s">
        <v>39</v>
      </c>
      <c r="N56" s="7" t="s">
        <v>913</v>
      </c>
      <c r="O56" s="7"/>
      <c r="P56" s="7"/>
      <c r="Q56" s="33"/>
      <c r="R56" s="7" t="s">
        <v>3</v>
      </c>
      <c r="S56" s="7" t="s">
        <v>2944</v>
      </c>
      <c r="T56" s="32"/>
      <c r="U56" s="236"/>
    </row>
    <row r="57" ht="15.75" customHeight="1">
      <c r="A57" s="7" t="s">
        <v>3180</v>
      </c>
      <c r="B57" s="7" t="s">
        <v>1155</v>
      </c>
      <c r="C57" s="7" t="s">
        <v>770</v>
      </c>
      <c r="D57" s="7" t="s">
        <v>907</v>
      </c>
      <c r="E57" s="7" t="s">
        <v>829</v>
      </c>
      <c r="F57" s="7" t="s">
        <v>12</v>
      </c>
      <c r="G57" s="7" t="s">
        <v>1800</v>
      </c>
      <c r="H57" s="58" t="s">
        <v>58</v>
      </c>
      <c r="I57" s="33" t="s">
        <v>3181</v>
      </c>
      <c r="J57" s="33" t="s">
        <v>3182</v>
      </c>
      <c r="K57" s="58" t="s">
        <v>3183</v>
      </c>
      <c r="L57" s="58" t="s">
        <v>3184</v>
      </c>
      <c r="M57" s="7" t="s">
        <v>39</v>
      </c>
      <c r="N57" s="7" t="s">
        <v>913</v>
      </c>
      <c r="O57" s="7"/>
      <c r="P57" s="7"/>
      <c r="Q57" s="33"/>
      <c r="R57" s="7" t="s">
        <v>3</v>
      </c>
      <c r="S57" s="7" t="s">
        <v>2944</v>
      </c>
      <c r="T57" s="32"/>
      <c r="U57" s="236"/>
    </row>
    <row r="58" ht="15.75" customHeight="1">
      <c r="A58" s="7" t="s">
        <v>3185</v>
      </c>
      <c r="B58" s="7" t="s">
        <v>1155</v>
      </c>
      <c r="C58" s="7" t="s">
        <v>747</v>
      </c>
      <c r="D58" s="7" t="s">
        <v>907</v>
      </c>
      <c r="E58" s="7" t="s">
        <v>1004</v>
      </c>
      <c r="F58" s="7" t="s">
        <v>16</v>
      </c>
      <c r="G58" s="7" t="s">
        <v>1246</v>
      </c>
      <c r="H58" s="58" t="s">
        <v>58</v>
      </c>
      <c r="I58" s="33" t="s">
        <v>3186</v>
      </c>
      <c r="J58" s="33" t="s">
        <v>3187</v>
      </c>
      <c r="K58" s="58" t="s">
        <v>3188</v>
      </c>
      <c r="L58" s="58" t="s">
        <v>3189</v>
      </c>
      <c r="M58" s="7" t="s">
        <v>39</v>
      </c>
      <c r="N58" s="7" t="s">
        <v>913</v>
      </c>
      <c r="O58" s="7" t="s">
        <v>974</v>
      </c>
      <c r="P58" s="7"/>
      <c r="Q58" s="33"/>
      <c r="R58" s="7" t="s">
        <v>3</v>
      </c>
      <c r="S58" s="7" t="s">
        <v>1165</v>
      </c>
      <c r="T58" s="32" t="s">
        <v>3190</v>
      </c>
      <c r="U58" s="12" t="s">
        <v>1029</v>
      </c>
    </row>
    <row r="59" ht="15.75" customHeight="1">
      <c r="A59" s="7" t="s">
        <v>3191</v>
      </c>
      <c r="B59" s="7" t="s">
        <v>1155</v>
      </c>
      <c r="C59" s="7" t="s">
        <v>770</v>
      </c>
      <c r="D59" s="7" t="s">
        <v>907</v>
      </c>
      <c r="E59" s="7" t="s">
        <v>829</v>
      </c>
      <c r="F59" s="7" t="s">
        <v>12</v>
      </c>
      <c r="G59" s="7" t="s">
        <v>1086</v>
      </c>
      <c r="H59" s="58" t="s">
        <v>58</v>
      </c>
      <c r="I59" s="33" t="s">
        <v>3192</v>
      </c>
      <c r="J59" s="33" t="s">
        <v>3193</v>
      </c>
      <c r="K59" s="58" t="s">
        <v>3194</v>
      </c>
      <c r="L59" s="58" t="s">
        <v>3195</v>
      </c>
      <c r="M59" s="7" t="s">
        <v>39</v>
      </c>
      <c r="N59" s="7" t="s">
        <v>913</v>
      </c>
      <c r="O59" s="7"/>
      <c r="P59" s="7"/>
      <c r="Q59" s="33"/>
      <c r="R59" s="7" t="s">
        <v>3</v>
      </c>
      <c r="S59" s="7" t="s">
        <v>2944</v>
      </c>
      <c r="T59" s="32"/>
      <c r="U59" s="236"/>
    </row>
    <row r="60" ht="15.75" customHeight="1">
      <c r="A60" s="7" t="s">
        <v>3196</v>
      </c>
      <c r="B60" s="7" t="s">
        <v>1155</v>
      </c>
      <c r="C60" s="7" t="s">
        <v>747</v>
      </c>
      <c r="D60" s="7" t="s">
        <v>907</v>
      </c>
      <c r="E60" s="7" t="s">
        <v>2947</v>
      </c>
      <c r="F60" s="7" t="s">
        <v>12</v>
      </c>
      <c r="G60" s="7" t="s">
        <v>805</v>
      </c>
      <c r="H60" s="58" t="s">
        <v>58</v>
      </c>
      <c r="I60" s="33" t="s">
        <v>3197</v>
      </c>
      <c r="J60" s="33" t="s">
        <v>3198</v>
      </c>
      <c r="K60" s="58" t="s">
        <v>3199</v>
      </c>
      <c r="L60" s="33" t="s">
        <v>39</v>
      </c>
      <c r="M60" s="7" t="s">
        <v>466</v>
      </c>
      <c r="N60" s="7" t="s">
        <v>913</v>
      </c>
      <c r="O60" s="7" t="s">
        <v>1010</v>
      </c>
      <c r="P60" s="7" t="s">
        <v>3200</v>
      </c>
      <c r="Q60" s="33" t="s">
        <v>3201</v>
      </c>
      <c r="R60" s="7" t="s">
        <v>4</v>
      </c>
      <c r="S60" s="7" t="s">
        <v>1659</v>
      </c>
      <c r="T60" s="32" t="s">
        <v>3202</v>
      </c>
      <c r="U60" s="236"/>
    </row>
    <row r="61" ht="15.75" customHeight="1">
      <c r="A61" s="7" t="s">
        <v>3203</v>
      </c>
      <c r="B61" s="7" t="s">
        <v>1155</v>
      </c>
      <c r="C61" s="7" t="s">
        <v>755</v>
      </c>
      <c r="D61" s="7" t="s">
        <v>907</v>
      </c>
      <c r="E61" s="7" t="s">
        <v>2947</v>
      </c>
      <c r="F61" s="7" t="s">
        <v>16</v>
      </c>
      <c r="G61" s="7" t="s">
        <v>1077</v>
      </c>
      <c r="H61" s="58" t="s">
        <v>58</v>
      </c>
      <c r="I61" s="33" t="s">
        <v>3204</v>
      </c>
      <c r="J61" s="33" t="s">
        <v>3205</v>
      </c>
      <c r="K61" s="58" t="s">
        <v>3206</v>
      </c>
      <c r="L61" s="33" t="s">
        <v>39</v>
      </c>
      <c r="M61" s="7" t="s">
        <v>466</v>
      </c>
      <c r="N61" s="7" t="s">
        <v>913</v>
      </c>
      <c r="O61" s="15" t="s">
        <v>974</v>
      </c>
      <c r="P61" s="7" t="s">
        <v>1018</v>
      </c>
      <c r="Q61" s="41" t="s">
        <v>3124</v>
      </c>
      <c r="R61" s="7" t="s">
        <v>4</v>
      </c>
      <c r="S61" s="130" t="s">
        <v>1279</v>
      </c>
      <c r="T61" s="33" t="s">
        <v>3207</v>
      </c>
      <c r="U61" s="15" t="s">
        <v>869</v>
      </c>
    </row>
    <row r="62" ht="15.75" customHeight="1">
      <c r="A62" s="7" t="s">
        <v>3208</v>
      </c>
      <c r="B62" s="7" t="s">
        <v>1155</v>
      </c>
      <c r="C62" s="7" t="s">
        <v>747</v>
      </c>
      <c r="D62" s="7" t="s">
        <v>907</v>
      </c>
      <c r="E62" s="7" t="s">
        <v>2947</v>
      </c>
      <c r="F62" s="7" t="s">
        <v>16</v>
      </c>
      <c r="G62" s="7" t="s">
        <v>3209</v>
      </c>
      <c r="H62" s="58" t="s">
        <v>58</v>
      </c>
      <c r="I62" s="33" t="s">
        <v>3210</v>
      </c>
      <c r="J62" s="33" t="s">
        <v>3211</v>
      </c>
      <c r="K62" s="58" t="s">
        <v>3212</v>
      </c>
      <c r="L62" s="33" t="s">
        <v>39</v>
      </c>
      <c r="M62" s="7" t="s">
        <v>39</v>
      </c>
      <c r="N62" s="7" t="s">
        <v>913</v>
      </c>
      <c r="O62" s="7" t="s">
        <v>974</v>
      </c>
      <c r="P62" s="7"/>
      <c r="Q62" s="33"/>
      <c r="R62" s="7" t="s">
        <v>3</v>
      </c>
      <c r="S62" s="7" t="s">
        <v>1165</v>
      </c>
      <c r="T62" s="32" t="s">
        <v>3213</v>
      </c>
      <c r="U62" s="12" t="s">
        <v>1029</v>
      </c>
    </row>
    <row r="63" ht="15.75" customHeight="1">
      <c r="A63" s="7" t="s">
        <v>3214</v>
      </c>
      <c r="B63" s="7" t="s">
        <v>1155</v>
      </c>
      <c r="C63" s="7" t="s">
        <v>755</v>
      </c>
      <c r="D63" s="7" t="s">
        <v>907</v>
      </c>
      <c r="E63" s="7" t="s">
        <v>829</v>
      </c>
      <c r="F63" s="7" t="s">
        <v>12</v>
      </c>
      <c r="G63" s="7" t="s">
        <v>908</v>
      </c>
      <c r="H63" s="58" t="s">
        <v>58</v>
      </c>
      <c r="I63" s="33" t="s">
        <v>3215</v>
      </c>
      <c r="J63" s="33" t="s">
        <v>3216</v>
      </c>
      <c r="K63" s="58" t="s">
        <v>3217</v>
      </c>
      <c r="L63" s="33" t="s">
        <v>39</v>
      </c>
      <c r="M63" s="7" t="s">
        <v>39</v>
      </c>
      <c r="N63" s="7" t="s">
        <v>913</v>
      </c>
      <c r="O63" s="7" t="s">
        <v>913</v>
      </c>
      <c r="P63" s="7" t="s">
        <v>1029</v>
      </c>
      <c r="Q63" s="33"/>
      <c r="R63" s="7" t="s">
        <v>3</v>
      </c>
      <c r="S63" s="130">
        <v>46144.0</v>
      </c>
      <c r="T63" s="32" t="s">
        <v>3218</v>
      </c>
      <c r="U63" s="236"/>
    </row>
    <row r="64" ht="15.75" customHeight="1">
      <c r="A64" s="7" t="s">
        <v>3219</v>
      </c>
      <c r="B64" s="7" t="s">
        <v>1155</v>
      </c>
      <c r="C64" s="7" t="s">
        <v>755</v>
      </c>
      <c r="D64" s="7" t="s">
        <v>907</v>
      </c>
      <c r="E64" s="7" t="s">
        <v>829</v>
      </c>
      <c r="F64" s="7" t="s">
        <v>12</v>
      </c>
      <c r="G64" s="7" t="s">
        <v>908</v>
      </c>
      <c r="H64" s="58" t="s">
        <v>58</v>
      </c>
      <c r="I64" s="33" t="s">
        <v>3220</v>
      </c>
      <c r="J64" s="33" t="s">
        <v>3221</v>
      </c>
      <c r="K64" s="58" t="s">
        <v>3222</v>
      </c>
      <c r="L64" s="33" t="s">
        <v>39</v>
      </c>
      <c r="M64" s="7" t="s">
        <v>39</v>
      </c>
      <c r="N64" s="7" t="s">
        <v>913</v>
      </c>
      <c r="O64" s="7" t="s">
        <v>913</v>
      </c>
      <c r="P64" s="7" t="s">
        <v>1029</v>
      </c>
      <c r="Q64" s="7" t="s">
        <v>1029</v>
      </c>
      <c r="R64" s="7" t="s">
        <v>3</v>
      </c>
      <c r="S64" s="7" t="s">
        <v>1659</v>
      </c>
      <c r="T64" s="32" t="s">
        <v>3223</v>
      </c>
      <c r="U64" s="236"/>
    </row>
    <row r="65" ht="15.75" customHeight="1">
      <c r="A65" s="7" t="s">
        <v>3224</v>
      </c>
      <c r="B65" s="7" t="s">
        <v>1155</v>
      </c>
      <c r="C65" s="7" t="s">
        <v>755</v>
      </c>
      <c r="D65" s="7" t="s">
        <v>907</v>
      </c>
      <c r="E65" s="7" t="s">
        <v>829</v>
      </c>
      <c r="F65" s="7" t="s">
        <v>12</v>
      </c>
      <c r="G65" s="7" t="s">
        <v>908</v>
      </c>
      <c r="H65" s="58" t="s">
        <v>58</v>
      </c>
      <c r="I65" s="33" t="s">
        <v>3225</v>
      </c>
      <c r="J65" s="33" t="s">
        <v>3226</v>
      </c>
      <c r="K65" s="58" t="s">
        <v>3227</v>
      </c>
      <c r="L65" s="33" t="s">
        <v>39</v>
      </c>
      <c r="M65" s="7" t="s">
        <v>39</v>
      </c>
      <c r="N65" s="7" t="s">
        <v>913</v>
      </c>
      <c r="O65" s="7" t="s">
        <v>913</v>
      </c>
      <c r="P65" s="7" t="s">
        <v>1029</v>
      </c>
      <c r="Q65" s="33" t="s">
        <v>3228</v>
      </c>
      <c r="R65" s="7" t="s">
        <v>3</v>
      </c>
      <c r="S65" s="130">
        <v>46145.0</v>
      </c>
      <c r="T65" s="32" t="s">
        <v>3229</v>
      </c>
      <c r="U65" s="236"/>
    </row>
    <row r="66" ht="15.75" customHeight="1">
      <c r="A66" s="7" t="s">
        <v>3230</v>
      </c>
      <c r="B66" s="7" t="s">
        <v>1155</v>
      </c>
      <c r="C66" s="7" t="s">
        <v>747</v>
      </c>
      <c r="D66" s="7" t="s">
        <v>907</v>
      </c>
      <c r="E66" s="7" t="s">
        <v>2947</v>
      </c>
      <c r="F66" s="7" t="s">
        <v>16</v>
      </c>
      <c r="G66" s="7" t="s">
        <v>1077</v>
      </c>
      <c r="H66" s="58" t="s">
        <v>58</v>
      </c>
      <c r="I66" s="33" t="s">
        <v>3231</v>
      </c>
      <c r="J66" s="33" t="s">
        <v>3232</v>
      </c>
      <c r="K66" s="58" t="s">
        <v>3233</v>
      </c>
      <c r="L66" s="33" t="s">
        <v>39</v>
      </c>
      <c r="M66" s="7" t="s">
        <v>39</v>
      </c>
      <c r="N66" s="7" t="s">
        <v>913</v>
      </c>
      <c r="O66" s="7" t="s">
        <v>974</v>
      </c>
      <c r="P66" s="7"/>
      <c r="Q66" s="33"/>
      <c r="R66" s="7" t="s">
        <v>4</v>
      </c>
      <c r="S66" s="134" t="s">
        <v>1090</v>
      </c>
      <c r="T66" s="111" t="s">
        <v>3234</v>
      </c>
      <c r="U66" s="15" t="s">
        <v>869</v>
      </c>
    </row>
    <row r="67" ht="15.75" customHeight="1">
      <c r="A67" s="7" t="s">
        <v>3235</v>
      </c>
      <c r="B67" s="7" t="s">
        <v>1155</v>
      </c>
      <c r="C67" s="7" t="s">
        <v>770</v>
      </c>
      <c r="D67" s="7" t="s">
        <v>907</v>
      </c>
      <c r="E67" s="7" t="s">
        <v>1004</v>
      </c>
      <c r="F67" s="7" t="s">
        <v>12</v>
      </c>
      <c r="G67" s="7" t="s">
        <v>1086</v>
      </c>
      <c r="H67" s="58" t="s">
        <v>58</v>
      </c>
      <c r="I67" s="33" t="s">
        <v>3236</v>
      </c>
      <c r="J67" s="33" t="s">
        <v>3237</v>
      </c>
      <c r="K67" s="58" t="s">
        <v>3238</v>
      </c>
      <c r="L67" s="33" t="s">
        <v>39</v>
      </c>
      <c r="M67" s="7" t="s">
        <v>39</v>
      </c>
      <c r="N67" s="7" t="s">
        <v>913</v>
      </c>
      <c r="O67" s="7"/>
      <c r="P67" s="7"/>
      <c r="Q67" s="7"/>
      <c r="R67" s="7" t="s">
        <v>3</v>
      </c>
      <c r="S67" s="7" t="s">
        <v>2944</v>
      </c>
      <c r="T67" s="32"/>
      <c r="U67" s="236"/>
    </row>
    <row r="68" ht="15.75" customHeight="1">
      <c r="A68" s="7" t="s">
        <v>3239</v>
      </c>
      <c r="B68" s="7" t="s">
        <v>1155</v>
      </c>
      <c r="C68" s="7" t="s">
        <v>747</v>
      </c>
      <c r="D68" s="7" t="s">
        <v>907</v>
      </c>
      <c r="E68" s="7" t="s">
        <v>829</v>
      </c>
      <c r="F68" s="7" t="s">
        <v>12</v>
      </c>
      <c r="G68" s="7" t="s">
        <v>908</v>
      </c>
      <c r="H68" s="58" t="s">
        <v>58</v>
      </c>
      <c r="I68" s="33" t="s">
        <v>3240</v>
      </c>
      <c r="J68" s="33" t="s">
        <v>3241</v>
      </c>
      <c r="K68" s="58" t="s">
        <v>3242</v>
      </c>
      <c r="L68" s="33" t="s">
        <v>39</v>
      </c>
      <c r="M68" s="7" t="s">
        <v>39</v>
      </c>
      <c r="N68" s="7" t="s">
        <v>913</v>
      </c>
      <c r="O68" s="7"/>
      <c r="P68" s="7"/>
      <c r="Q68" s="7"/>
      <c r="R68" s="7" t="s">
        <v>3</v>
      </c>
      <c r="S68" s="130">
        <v>46267.0</v>
      </c>
      <c r="T68" s="32" t="s">
        <v>3243</v>
      </c>
      <c r="U68" s="236"/>
    </row>
    <row r="69" ht="15.75" customHeight="1">
      <c r="A69" s="7" t="s">
        <v>3244</v>
      </c>
      <c r="B69" s="7" t="s">
        <v>1155</v>
      </c>
      <c r="C69" s="7" t="s">
        <v>755</v>
      </c>
      <c r="D69" s="7" t="s">
        <v>907</v>
      </c>
      <c r="E69" s="7" t="s">
        <v>829</v>
      </c>
      <c r="F69" s="7" t="s">
        <v>12</v>
      </c>
      <c r="G69" s="7" t="s">
        <v>908</v>
      </c>
      <c r="H69" s="58" t="s">
        <v>58</v>
      </c>
      <c r="I69" s="33" t="s">
        <v>3245</v>
      </c>
      <c r="J69" s="33" t="s">
        <v>3246</v>
      </c>
      <c r="K69" s="58" t="s">
        <v>3247</v>
      </c>
      <c r="L69" s="33" t="s">
        <v>39</v>
      </c>
      <c r="M69" s="7" t="s">
        <v>39</v>
      </c>
      <c r="N69" s="7" t="s">
        <v>913</v>
      </c>
      <c r="O69" s="7"/>
      <c r="P69" s="7"/>
      <c r="Q69" s="7"/>
      <c r="R69" s="7" t="s">
        <v>3</v>
      </c>
      <c r="S69" s="130">
        <v>46267.0</v>
      </c>
      <c r="T69" s="32" t="s">
        <v>3243</v>
      </c>
      <c r="U69" s="236"/>
    </row>
    <row r="70" ht="15.75" customHeight="1">
      <c r="A70" s="7" t="s">
        <v>3248</v>
      </c>
      <c r="B70" s="7" t="s">
        <v>1155</v>
      </c>
      <c r="C70" s="7" t="s">
        <v>747</v>
      </c>
      <c r="D70" s="7" t="s">
        <v>907</v>
      </c>
      <c r="E70" s="7" t="s">
        <v>829</v>
      </c>
      <c r="F70" s="7" t="s">
        <v>12</v>
      </c>
      <c r="G70" s="7" t="s">
        <v>908</v>
      </c>
      <c r="H70" s="58" t="s">
        <v>58</v>
      </c>
      <c r="I70" s="33" t="s">
        <v>3249</v>
      </c>
      <c r="J70" s="33" t="s">
        <v>3250</v>
      </c>
      <c r="K70" s="58" t="s">
        <v>3251</v>
      </c>
      <c r="L70" s="33" t="s">
        <v>39</v>
      </c>
      <c r="M70" s="7" t="s">
        <v>39</v>
      </c>
      <c r="N70" s="7" t="s">
        <v>913</v>
      </c>
      <c r="O70" s="7"/>
      <c r="P70" s="7"/>
      <c r="Q70" s="7"/>
      <c r="R70" s="7" t="s">
        <v>3</v>
      </c>
      <c r="S70" s="130">
        <v>46267.0</v>
      </c>
      <c r="T70" s="32" t="s">
        <v>3243</v>
      </c>
      <c r="U70" s="236"/>
    </row>
    <row r="71" ht="15.75" customHeight="1">
      <c r="A71" s="7" t="s">
        <v>3252</v>
      </c>
      <c r="B71" s="7" t="s">
        <v>1155</v>
      </c>
      <c r="C71" s="7" t="s">
        <v>747</v>
      </c>
      <c r="D71" s="7" t="s">
        <v>907</v>
      </c>
      <c r="E71" s="7" t="s">
        <v>829</v>
      </c>
      <c r="F71" s="7" t="s">
        <v>12</v>
      </c>
      <c r="G71" s="7" t="s">
        <v>1014</v>
      </c>
      <c r="H71" s="58" t="s">
        <v>58</v>
      </c>
      <c r="I71" s="33" t="s">
        <v>3253</v>
      </c>
      <c r="J71" s="33" t="s">
        <v>3254</v>
      </c>
      <c r="K71" s="58" t="s">
        <v>3255</v>
      </c>
      <c r="L71" s="33" t="s">
        <v>39</v>
      </c>
      <c r="M71" s="7" t="s">
        <v>39</v>
      </c>
      <c r="N71" s="7" t="s">
        <v>913</v>
      </c>
      <c r="O71" s="7"/>
      <c r="P71" s="7"/>
      <c r="Q71" s="7"/>
      <c r="R71" s="7" t="s">
        <v>3</v>
      </c>
      <c r="S71" s="7" t="s">
        <v>2944</v>
      </c>
      <c r="T71" s="32"/>
      <c r="U71" s="236"/>
    </row>
    <row r="72" ht="15.75" customHeight="1">
      <c r="A72" s="7" t="s">
        <v>3256</v>
      </c>
      <c r="B72" s="7" t="s">
        <v>1155</v>
      </c>
      <c r="C72" s="7" t="s">
        <v>747</v>
      </c>
      <c r="D72" s="7" t="s">
        <v>907</v>
      </c>
      <c r="E72" s="7" t="s">
        <v>829</v>
      </c>
      <c r="F72" s="7" t="s">
        <v>12</v>
      </c>
      <c r="G72" s="7" t="s">
        <v>1183</v>
      </c>
      <c r="H72" s="58" t="s">
        <v>58</v>
      </c>
      <c r="I72" s="33" t="s">
        <v>3257</v>
      </c>
      <c r="J72" s="33" t="s">
        <v>3258</v>
      </c>
      <c r="K72" s="58" t="s">
        <v>3259</v>
      </c>
      <c r="L72" s="33" t="s">
        <v>39</v>
      </c>
      <c r="M72" s="7" t="s">
        <v>39</v>
      </c>
      <c r="N72" s="7" t="s">
        <v>913</v>
      </c>
      <c r="O72" s="7"/>
      <c r="P72" s="7"/>
      <c r="Q72" s="7"/>
      <c r="R72" s="7" t="s">
        <v>3</v>
      </c>
      <c r="S72" s="130" t="s">
        <v>2944</v>
      </c>
      <c r="T72" s="32"/>
      <c r="U72" s="236"/>
    </row>
    <row r="73" ht="15.75" customHeight="1">
      <c r="A73" s="7" t="s">
        <v>3260</v>
      </c>
      <c r="B73" s="7" t="s">
        <v>1155</v>
      </c>
      <c r="C73" s="7" t="s">
        <v>755</v>
      </c>
      <c r="D73" s="7" t="s">
        <v>907</v>
      </c>
      <c r="E73" s="7" t="s">
        <v>829</v>
      </c>
      <c r="F73" s="7" t="s">
        <v>12</v>
      </c>
      <c r="G73" s="7" t="s">
        <v>908</v>
      </c>
      <c r="H73" s="58" t="s">
        <v>58</v>
      </c>
      <c r="I73" s="33" t="s">
        <v>3261</v>
      </c>
      <c r="J73" s="33" t="s">
        <v>3262</v>
      </c>
      <c r="K73" s="58" t="s">
        <v>3263</v>
      </c>
      <c r="L73" s="33" t="s">
        <v>39</v>
      </c>
      <c r="M73" s="7" t="s">
        <v>39</v>
      </c>
      <c r="N73" s="7" t="s">
        <v>913</v>
      </c>
      <c r="O73" s="7"/>
      <c r="P73" s="7"/>
      <c r="Q73" s="7"/>
      <c r="R73" s="7" t="s">
        <v>3</v>
      </c>
      <c r="S73" s="130">
        <v>46267.0</v>
      </c>
      <c r="T73" s="32" t="s">
        <v>3243</v>
      </c>
      <c r="U73" s="236"/>
    </row>
    <row r="74" ht="15.75" customHeight="1">
      <c r="A74" s="7" t="s">
        <v>3264</v>
      </c>
      <c r="B74" s="7" t="s">
        <v>1155</v>
      </c>
      <c r="C74" s="7" t="s">
        <v>755</v>
      </c>
      <c r="D74" s="7" t="s">
        <v>907</v>
      </c>
      <c r="E74" s="7" t="s">
        <v>829</v>
      </c>
      <c r="F74" s="7" t="s">
        <v>12</v>
      </c>
      <c r="G74" s="7" t="s">
        <v>908</v>
      </c>
      <c r="H74" s="58" t="s">
        <v>58</v>
      </c>
      <c r="I74" s="33" t="s">
        <v>3265</v>
      </c>
      <c r="J74" s="33" t="s">
        <v>3266</v>
      </c>
      <c r="K74" s="58" t="s">
        <v>3267</v>
      </c>
      <c r="L74" s="33" t="s">
        <v>39</v>
      </c>
      <c r="M74" s="7" t="s">
        <v>39</v>
      </c>
      <c r="N74" s="7" t="s">
        <v>913</v>
      </c>
      <c r="O74" s="7"/>
      <c r="P74" s="7"/>
      <c r="Q74" s="7"/>
      <c r="R74" s="7" t="s">
        <v>3</v>
      </c>
      <c r="S74" s="130">
        <v>46267.0</v>
      </c>
      <c r="T74" s="32" t="s">
        <v>3243</v>
      </c>
      <c r="U74" s="236"/>
    </row>
    <row r="75" ht="15.75" customHeight="1">
      <c r="A75" s="7" t="s">
        <v>3268</v>
      </c>
      <c r="B75" s="7" t="s">
        <v>1155</v>
      </c>
      <c r="C75" s="7" t="s">
        <v>747</v>
      </c>
      <c r="D75" s="7" t="s">
        <v>907</v>
      </c>
      <c r="E75" s="7" t="s">
        <v>829</v>
      </c>
      <c r="F75" s="7" t="s">
        <v>12</v>
      </c>
      <c r="G75" s="7" t="s">
        <v>908</v>
      </c>
      <c r="H75" s="58" t="s">
        <v>58</v>
      </c>
      <c r="I75" s="33" t="s">
        <v>3269</v>
      </c>
      <c r="J75" s="33" t="s">
        <v>3270</v>
      </c>
      <c r="K75" s="58" t="s">
        <v>3271</v>
      </c>
      <c r="L75" s="58" t="s">
        <v>3272</v>
      </c>
      <c r="M75" s="7" t="s">
        <v>39</v>
      </c>
      <c r="N75" s="7" t="s">
        <v>913</v>
      </c>
      <c r="O75" s="7" t="s">
        <v>3273</v>
      </c>
      <c r="P75" s="7" t="s">
        <v>3274</v>
      </c>
      <c r="Q75" s="33" t="s">
        <v>3275</v>
      </c>
      <c r="R75" s="7" t="s">
        <v>3</v>
      </c>
      <c r="S75" s="130">
        <v>46267.0</v>
      </c>
      <c r="T75" s="32" t="s">
        <v>3276</v>
      </c>
      <c r="U75" s="236"/>
    </row>
    <row r="76" ht="15.75" customHeight="1">
      <c r="A76" s="7" t="s">
        <v>3277</v>
      </c>
      <c r="B76" s="7" t="s">
        <v>1155</v>
      </c>
      <c r="C76" s="7" t="s">
        <v>747</v>
      </c>
      <c r="D76" s="7" t="s">
        <v>907</v>
      </c>
      <c r="E76" s="7" t="s">
        <v>829</v>
      </c>
      <c r="F76" s="7" t="s">
        <v>12</v>
      </c>
      <c r="G76" s="7" t="s">
        <v>871</v>
      </c>
      <c r="H76" s="58" t="s">
        <v>70</v>
      </c>
      <c r="I76" s="33" t="s">
        <v>3278</v>
      </c>
      <c r="J76" s="250" t="s">
        <v>3279</v>
      </c>
      <c r="K76" s="58" t="s">
        <v>3280</v>
      </c>
      <c r="L76" s="33" t="s">
        <v>39</v>
      </c>
      <c r="M76" s="7" t="s">
        <v>39</v>
      </c>
      <c r="N76" s="7" t="s">
        <v>913</v>
      </c>
      <c r="O76" s="7"/>
      <c r="P76" s="7"/>
      <c r="Q76" s="7"/>
      <c r="R76" s="7" t="s">
        <v>3</v>
      </c>
      <c r="S76" s="7" t="s">
        <v>1155</v>
      </c>
      <c r="T76" s="32"/>
      <c r="U76" s="236"/>
    </row>
    <row r="77" ht="15.75" customHeight="1">
      <c r="A77" s="7" t="s">
        <v>3281</v>
      </c>
      <c r="B77" s="7" t="s">
        <v>1155</v>
      </c>
      <c r="C77" s="7" t="s">
        <v>747</v>
      </c>
      <c r="D77" s="7" t="s">
        <v>907</v>
      </c>
      <c r="E77" s="7" t="s">
        <v>829</v>
      </c>
      <c r="F77" s="7" t="s">
        <v>12</v>
      </c>
      <c r="G77" s="7" t="s">
        <v>1086</v>
      </c>
      <c r="H77" s="58" t="s">
        <v>70</v>
      </c>
      <c r="I77" s="33" t="s">
        <v>3282</v>
      </c>
      <c r="J77" s="33" t="s">
        <v>3283</v>
      </c>
      <c r="K77" s="58" t="s">
        <v>3284</v>
      </c>
      <c r="L77" s="33" t="s">
        <v>39</v>
      </c>
      <c r="M77" s="7" t="s">
        <v>39</v>
      </c>
      <c r="N77" s="7" t="s">
        <v>913</v>
      </c>
      <c r="O77" s="7"/>
      <c r="P77" s="7"/>
      <c r="Q77" s="7"/>
      <c r="R77" s="7" t="s">
        <v>3</v>
      </c>
      <c r="S77" s="7" t="s">
        <v>3175</v>
      </c>
      <c r="T77" s="32" t="s">
        <v>3176</v>
      </c>
      <c r="U77" s="236"/>
    </row>
    <row r="78" ht="15.75" customHeight="1">
      <c r="A78" s="7" t="s">
        <v>3285</v>
      </c>
      <c r="B78" s="7" t="s">
        <v>1155</v>
      </c>
      <c r="C78" s="7" t="s">
        <v>755</v>
      </c>
      <c r="D78" s="7" t="s">
        <v>907</v>
      </c>
      <c r="E78" s="7" t="s">
        <v>829</v>
      </c>
      <c r="F78" s="7" t="s">
        <v>12</v>
      </c>
      <c r="G78" s="7" t="s">
        <v>908</v>
      </c>
      <c r="H78" s="58" t="s">
        <v>70</v>
      </c>
      <c r="I78" s="33" t="s">
        <v>3286</v>
      </c>
      <c r="J78" s="33" t="s">
        <v>3287</v>
      </c>
      <c r="K78" s="58" t="s">
        <v>3288</v>
      </c>
      <c r="L78" s="33" t="s">
        <v>39</v>
      </c>
      <c r="M78" s="7" t="s">
        <v>39</v>
      </c>
      <c r="N78" s="7" t="s">
        <v>913</v>
      </c>
      <c r="O78" s="7"/>
      <c r="P78" s="7"/>
      <c r="Q78" s="7"/>
      <c r="R78" s="7" t="s">
        <v>3</v>
      </c>
      <c r="S78" s="130">
        <v>46267.0</v>
      </c>
      <c r="T78" s="32" t="s">
        <v>3151</v>
      </c>
      <c r="U78" s="236"/>
    </row>
    <row r="79" ht="15.75" customHeight="1">
      <c r="A79" s="7" t="s">
        <v>3289</v>
      </c>
      <c r="B79" s="7" t="s">
        <v>1155</v>
      </c>
      <c r="C79" s="7" t="s">
        <v>747</v>
      </c>
      <c r="D79" s="7" t="s">
        <v>907</v>
      </c>
      <c r="E79" s="7" t="s">
        <v>829</v>
      </c>
      <c r="F79" s="7" t="s">
        <v>12</v>
      </c>
      <c r="G79" s="7" t="s">
        <v>1014</v>
      </c>
      <c r="H79" s="58" t="s">
        <v>70</v>
      </c>
      <c r="I79" s="33" t="s">
        <v>3253</v>
      </c>
      <c r="J79" s="33" t="s">
        <v>3254</v>
      </c>
      <c r="K79" s="58" t="s">
        <v>3290</v>
      </c>
      <c r="L79" s="33" t="s">
        <v>39</v>
      </c>
      <c r="M79" s="7" t="s">
        <v>39</v>
      </c>
      <c r="N79" s="7" t="s">
        <v>913</v>
      </c>
      <c r="O79" s="7"/>
      <c r="P79" s="7"/>
      <c r="Q79" s="7"/>
      <c r="R79" s="7" t="s">
        <v>3</v>
      </c>
      <c r="S79" s="7" t="s">
        <v>3175</v>
      </c>
      <c r="T79" s="32" t="s">
        <v>3176</v>
      </c>
      <c r="U79" s="236"/>
    </row>
    <row r="80" ht="15.75" customHeight="1">
      <c r="A80" s="7" t="s">
        <v>3291</v>
      </c>
      <c r="B80" s="7" t="s">
        <v>1155</v>
      </c>
      <c r="C80" s="7" t="s">
        <v>747</v>
      </c>
      <c r="D80" s="7" t="s">
        <v>907</v>
      </c>
      <c r="E80" s="7" t="s">
        <v>829</v>
      </c>
      <c r="F80" s="7" t="s">
        <v>12</v>
      </c>
      <c r="G80" s="7" t="s">
        <v>1183</v>
      </c>
      <c r="H80" s="58" t="s">
        <v>70</v>
      </c>
      <c r="I80" s="33" t="s">
        <v>3257</v>
      </c>
      <c r="J80" s="33" t="s">
        <v>3258</v>
      </c>
      <c r="K80" s="58" t="s">
        <v>3292</v>
      </c>
      <c r="L80" s="33" t="s">
        <v>39</v>
      </c>
      <c r="M80" s="7" t="s">
        <v>39</v>
      </c>
      <c r="N80" s="7" t="s">
        <v>913</v>
      </c>
      <c r="O80" s="7"/>
      <c r="P80" s="7"/>
      <c r="Q80" s="7"/>
      <c r="R80" s="7" t="s">
        <v>3</v>
      </c>
      <c r="S80" s="7" t="s">
        <v>2944</v>
      </c>
      <c r="T80" s="32"/>
      <c r="U80" s="236"/>
    </row>
    <row r="81" ht="15.75" customHeight="1">
      <c r="A81" s="7" t="s">
        <v>3293</v>
      </c>
      <c r="B81" s="7" t="s">
        <v>1155</v>
      </c>
      <c r="C81" s="7" t="s">
        <v>747</v>
      </c>
      <c r="D81" s="7" t="s">
        <v>907</v>
      </c>
      <c r="E81" s="7" t="s">
        <v>829</v>
      </c>
      <c r="F81" s="7" t="s">
        <v>12</v>
      </c>
      <c r="G81" s="7" t="s">
        <v>2303</v>
      </c>
      <c r="H81" s="58" t="s">
        <v>70</v>
      </c>
      <c r="I81" s="33" t="s">
        <v>3178</v>
      </c>
      <c r="J81" s="33" t="s">
        <v>3294</v>
      </c>
      <c r="K81" s="58" t="s">
        <v>3295</v>
      </c>
      <c r="L81" s="33" t="s">
        <v>39</v>
      </c>
      <c r="M81" s="7" t="s">
        <v>39</v>
      </c>
      <c r="N81" s="7" t="s">
        <v>913</v>
      </c>
      <c r="O81" s="7"/>
      <c r="P81" s="7"/>
      <c r="Q81" s="7"/>
      <c r="R81" s="7" t="s">
        <v>3</v>
      </c>
      <c r="S81" s="7" t="s">
        <v>2944</v>
      </c>
      <c r="T81" s="32"/>
      <c r="U81" s="236"/>
    </row>
    <row r="82" ht="15.75" customHeight="1">
      <c r="A82" s="7" t="s">
        <v>3296</v>
      </c>
      <c r="B82" s="7" t="s">
        <v>1155</v>
      </c>
      <c r="C82" s="7" t="s">
        <v>770</v>
      </c>
      <c r="D82" s="7" t="s">
        <v>907</v>
      </c>
      <c r="E82" s="7" t="s">
        <v>1004</v>
      </c>
      <c r="F82" s="7" t="s">
        <v>12</v>
      </c>
      <c r="G82" s="7" t="s">
        <v>1086</v>
      </c>
      <c r="H82" s="58" t="s">
        <v>70</v>
      </c>
      <c r="I82" s="33" t="s">
        <v>3297</v>
      </c>
      <c r="J82" s="33" t="s">
        <v>3298</v>
      </c>
      <c r="K82" s="58" t="s">
        <v>3299</v>
      </c>
      <c r="L82" s="33" t="s">
        <v>39</v>
      </c>
      <c r="M82" s="7" t="s">
        <v>39</v>
      </c>
      <c r="N82" s="7" t="s">
        <v>913</v>
      </c>
      <c r="O82" s="7"/>
      <c r="P82" s="7"/>
      <c r="Q82" s="7"/>
      <c r="R82" s="7" t="s">
        <v>3</v>
      </c>
      <c r="S82" s="7" t="s">
        <v>2944</v>
      </c>
      <c r="T82" s="32"/>
      <c r="U82" s="236"/>
    </row>
    <row r="83" ht="15.75" customHeight="1">
      <c r="A83" s="7" t="s">
        <v>3300</v>
      </c>
      <c r="B83" s="7" t="s">
        <v>1155</v>
      </c>
      <c r="C83" s="7" t="s">
        <v>770</v>
      </c>
      <c r="D83" s="7" t="s">
        <v>907</v>
      </c>
      <c r="E83" s="7" t="s">
        <v>829</v>
      </c>
      <c r="F83" s="7" t="s">
        <v>12</v>
      </c>
      <c r="G83" s="7" t="s">
        <v>1800</v>
      </c>
      <c r="H83" s="58" t="s">
        <v>70</v>
      </c>
      <c r="I83" s="33" t="s">
        <v>3181</v>
      </c>
      <c r="J83" s="33" t="s">
        <v>3182</v>
      </c>
      <c r="K83" s="58" t="s">
        <v>3183</v>
      </c>
      <c r="L83" s="58" t="s">
        <v>3184</v>
      </c>
      <c r="M83" s="7" t="s">
        <v>39</v>
      </c>
      <c r="N83" s="7" t="s">
        <v>913</v>
      </c>
      <c r="O83" s="7"/>
      <c r="P83" s="7"/>
      <c r="Q83" s="7"/>
      <c r="R83" s="7" t="s">
        <v>3</v>
      </c>
      <c r="S83" s="7" t="s">
        <v>2944</v>
      </c>
      <c r="T83" s="32"/>
      <c r="U83" s="236"/>
    </row>
    <row r="84" ht="15.75" customHeight="1">
      <c r="A84" s="7" t="s">
        <v>3301</v>
      </c>
      <c r="B84" s="7" t="s">
        <v>1155</v>
      </c>
      <c r="C84" s="7" t="s">
        <v>747</v>
      </c>
      <c r="D84" s="7" t="s">
        <v>907</v>
      </c>
      <c r="E84" s="7" t="s">
        <v>1004</v>
      </c>
      <c r="F84" s="7" t="s">
        <v>16</v>
      </c>
      <c r="G84" s="7" t="s">
        <v>1246</v>
      </c>
      <c r="H84" s="58" t="s">
        <v>70</v>
      </c>
      <c r="I84" s="33" t="s">
        <v>3186</v>
      </c>
      <c r="J84" s="33" t="s">
        <v>3187</v>
      </c>
      <c r="K84" s="58" t="s">
        <v>3302</v>
      </c>
      <c r="L84" s="33" t="s">
        <v>39</v>
      </c>
      <c r="M84" s="7" t="s">
        <v>39</v>
      </c>
      <c r="N84" s="7" t="s">
        <v>913</v>
      </c>
      <c r="O84" s="7" t="s">
        <v>974</v>
      </c>
      <c r="P84" s="7"/>
      <c r="Q84" s="7"/>
      <c r="R84" s="7" t="s">
        <v>3</v>
      </c>
      <c r="S84" s="130" t="s">
        <v>1165</v>
      </c>
      <c r="T84" s="32" t="s">
        <v>3303</v>
      </c>
      <c r="U84" s="12" t="s">
        <v>1029</v>
      </c>
    </row>
    <row r="85" ht="15.75" customHeight="1">
      <c r="A85" s="7" t="s">
        <v>3304</v>
      </c>
      <c r="B85" s="7" t="s">
        <v>1155</v>
      </c>
      <c r="C85" s="7" t="s">
        <v>770</v>
      </c>
      <c r="D85" s="7" t="s">
        <v>907</v>
      </c>
      <c r="E85" s="7" t="s">
        <v>829</v>
      </c>
      <c r="F85" s="7" t="s">
        <v>12</v>
      </c>
      <c r="G85" s="7" t="s">
        <v>1086</v>
      </c>
      <c r="H85" s="58" t="s">
        <v>70</v>
      </c>
      <c r="I85" s="33" t="s">
        <v>3192</v>
      </c>
      <c r="J85" s="33" t="s">
        <v>3193</v>
      </c>
      <c r="K85" s="58" t="s">
        <v>3305</v>
      </c>
      <c r="L85" s="58" t="s">
        <v>3306</v>
      </c>
      <c r="M85" s="7" t="s">
        <v>39</v>
      </c>
      <c r="N85" s="7" t="s">
        <v>913</v>
      </c>
      <c r="O85" s="7"/>
      <c r="P85" s="7"/>
      <c r="Q85" s="7"/>
      <c r="R85" s="7" t="s">
        <v>3</v>
      </c>
      <c r="S85" s="7" t="s">
        <v>2944</v>
      </c>
      <c r="T85" s="32"/>
      <c r="U85" s="236"/>
    </row>
    <row r="86" ht="15.75" customHeight="1">
      <c r="A86" s="7" t="s">
        <v>3307</v>
      </c>
      <c r="B86" s="7" t="s">
        <v>1155</v>
      </c>
      <c r="C86" s="7" t="s">
        <v>755</v>
      </c>
      <c r="D86" s="7" t="s">
        <v>907</v>
      </c>
      <c r="E86" s="7" t="s">
        <v>829</v>
      </c>
      <c r="F86" s="7" t="s">
        <v>16</v>
      </c>
      <c r="G86" s="7" t="s">
        <v>2277</v>
      </c>
      <c r="H86" s="58" t="s">
        <v>70</v>
      </c>
      <c r="I86" s="33" t="s">
        <v>3308</v>
      </c>
      <c r="J86" s="33" t="s">
        <v>3309</v>
      </c>
      <c r="K86" s="58" t="s">
        <v>3310</v>
      </c>
      <c r="L86" s="58" t="s">
        <v>3311</v>
      </c>
      <c r="M86" s="7" t="s">
        <v>39</v>
      </c>
      <c r="N86" s="7" t="s">
        <v>913</v>
      </c>
      <c r="O86" s="7" t="s">
        <v>974</v>
      </c>
      <c r="P86" s="7"/>
      <c r="Q86" s="7"/>
      <c r="R86" s="7" t="s">
        <v>3</v>
      </c>
      <c r="S86" s="7" t="s">
        <v>1090</v>
      </c>
      <c r="T86" s="32" t="s">
        <v>3312</v>
      </c>
      <c r="U86" s="12" t="s">
        <v>869</v>
      </c>
    </row>
    <row r="87" ht="15.75" customHeight="1">
      <c r="A87" s="7" t="s">
        <v>3313</v>
      </c>
      <c r="B87" s="7" t="s">
        <v>1155</v>
      </c>
      <c r="C87" s="7" t="s">
        <v>747</v>
      </c>
      <c r="D87" s="7" t="s">
        <v>907</v>
      </c>
      <c r="E87" s="7" t="s">
        <v>829</v>
      </c>
      <c r="F87" s="7" t="s">
        <v>12</v>
      </c>
      <c r="G87" s="7" t="s">
        <v>1183</v>
      </c>
      <c r="H87" s="58" t="s">
        <v>58</v>
      </c>
      <c r="I87" s="33" t="s">
        <v>3314</v>
      </c>
      <c r="J87" s="33" t="s">
        <v>3315</v>
      </c>
      <c r="K87" s="58" t="s">
        <v>3316</v>
      </c>
      <c r="L87" s="58" t="s">
        <v>3317</v>
      </c>
      <c r="M87" s="7" t="s">
        <v>39</v>
      </c>
      <c r="N87" s="7" t="s">
        <v>913</v>
      </c>
      <c r="O87" s="7"/>
      <c r="P87" s="7"/>
      <c r="Q87" s="7"/>
      <c r="R87" s="7" t="s">
        <v>3</v>
      </c>
      <c r="S87" s="7" t="s">
        <v>2944</v>
      </c>
      <c r="T87" s="32"/>
      <c r="U87" s="236"/>
    </row>
    <row r="88" ht="15.75" customHeight="1">
      <c r="A88" s="7" t="s">
        <v>3318</v>
      </c>
      <c r="B88" s="7" t="s">
        <v>1155</v>
      </c>
      <c r="C88" s="7" t="s">
        <v>747</v>
      </c>
      <c r="D88" s="7" t="s">
        <v>907</v>
      </c>
      <c r="E88" s="7" t="s">
        <v>829</v>
      </c>
      <c r="F88" s="7" t="s">
        <v>12</v>
      </c>
      <c r="G88" s="7" t="s">
        <v>1183</v>
      </c>
      <c r="H88" s="58" t="s">
        <v>70</v>
      </c>
      <c r="I88" s="33" t="s">
        <v>3314</v>
      </c>
      <c r="J88" s="33" t="s">
        <v>3319</v>
      </c>
      <c r="K88" s="58" t="s">
        <v>3320</v>
      </c>
      <c r="L88" s="58" t="s">
        <v>3321</v>
      </c>
      <c r="M88" s="7" t="s">
        <v>39</v>
      </c>
      <c r="N88" s="7" t="s">
        <v>913</v>
      </c>
      <c r="O88" s="7" t="s">
        <v>913</v>
      </c>
      <c r="P88" s="7" t="s">
        <v>1018</v>
      </c>
      <c r="Q88" s="33" t="s">
        <v>3322</v>
      </c>
      <c r="R88" s="7" t="s">
        <v>3</v>
      </c>
      <c r="S88" s="130">
        <v>46144.0</v>
      </c>
      <c r="T88" s="32" t="s">
        <v>3323</v>
      </c>
      <c r="U88" s="236"/>
    </row>
    <row r="89" ht="15.75" customHeight="1">
      <c r="A89" s="7" t="s">
        <v>3324</v>
      </c>
      <c r="B89" s="7" t="s">
        <v>1155</v>
      </c>
      <c r="C89" s="7" t="s">
        <v>747</v>
      </c>
      <c r="D89" s="7" t="s">
        <v>907</v>
      </c>
      <c r="E89" s="7" t="s">
        <v>829</v>
      </c>
      <c r="F89" s="7" t="s">
        <v>12</v>
      </c>
      <c r="G89" s="7" t="s">
        <v>1183</v>
      </c>
      <c r="H89" s="58" t="s">
        <v>70</v>
      </c>
      <c r="I89" s="33" t="s">
        <v>3325</v>
      </c>
      <c r="J89" s="33" t="s">
        <v>3326</v>
      </c>
      <c r="K89" s="58" t="s">
        <v>3327</v>
      </c>
      <c r="L89" s="33" t="s">
        <v>39</v>
      </c>
      <c r="M89" s="7" t="s">
        <v>39</v>
      </c>
      <c r="N89" s="7" t="s">
        <v>913</v>
      </c>
      <c r="O89" s="7"/>
      <c r="P89" s="7"/>
      <c r="Q89" s="7"/>
      <c r="R89" s="7" t="s">
        <v>3</v>
      </c>
      <c r="S89" s="7" t="s">
        <v>2944</v>
      </c>
      <c r="T89" s="32"/>
      <c r="U89" s="236"/>
    </row>
    <row r="90" ht="15.75" customHeight="1">
      <c r="A90" s="7" t="s">
        <v>3328</v>
      </c>
      <c r="B90" s="7" t="s">
        <v>1155</v>
      </c>
      <c r="C90" s="7" t="s">
        <v>747</v>
      </c>
      <c r="D90" s="7" t="s">
        <v>907</v>
      </c>
      <c r="E90" s="7" t="s">
        <v>829</v>
      </c>
      <c r="F90" s="7" t="s">
        <v>16</v>
      </c>
      <c r="G90" s="7" t="s">
        <v>1183</v>
      </c>
      <c r="H90" s="58" t="s">
        <v>70</v>
      </c>
      <c r="I90" s="33" t="s">
        <v>3329</v>
      </c>
      <c r="J90" s="33" t="s">
        <v>3330</v>
      </c>
      <c r="K90" s="58" t="s">
        <v>3331</v>
      </c>
      <c r="L90" s="33" t="s">
        <v>39</v>
      </c>
      <c r="M90" s="7" t="s">
        <v>39</v>
      </c>
      <c r="N90" s="7" t="s">
        <v>913</v>
      </c>
      <c r="O90" s="7" t="s">
        <v>974</v>
      </c>
      <c r="P90" s="7"/>
      <c r="Q90" s="7"/>
      <c r="R90" s="7" t="s">
        <v>3</v>
      </c>
      <c r="S90" s="130" t="s">
        <v>1165</v>
      </c>
      <c r="T90" s="32" t="s">
        <v>3332</v>
      </c>
      <c r="U90" s="12" t="s">
        <v>1029</v>
      </c>
    </row>
    <row r="91" ht="15.75" customHeight="1">
      <c r="A91" s="7" t="s">
        <v>3333</v>
      </c>
      <c r="B91" s="7" t="s">
        <v>1155</v>
      </c>
      <c r="C91" s="7" t="s">
        <v>770</v>
      </c>
      <c r="D91" s="7" t="s">
        <v>907</v>
      </c>
      <c r="E91" s="7" t="s">
        <v>756</v>
      </c>
      <c r="F91" s="7" t="s">
        <v>12</v>
      </c>
      <c r="G91" s="7" t="s">
        <v>2303</v>
      </c>
      <c r="H91" s="58" t="s">
        <v>70</v>
      </c>
      <c r="I91" s="33" t="s">
        <v>3334</v>
      </c>
      <c r="J91" s="33" t="s">
        <v>3335</v>
      </c>
      <c r="K91" s="58" t="s">
        <v>3336</v>
      </c>
      <c r="L91" s="58" t="s">
        <v>3337</v>
      </c>
      <c r="M91" s="7" t="s">
        <v>39</v>
      </c>
      <c r="N91" s="7" t="s">
        <v>913</v>
      </c>
      <c r="O91" s="7" t="s">
        <v>753</v>
      </c>
      <c r="P91" s="7"/>
      <c r="Q91" s="7"/>
      <c r="R91" s="7" t="s">
        <v>3</v>
      </c>
      <c r="S91" s="130" t="s">
        <v>1165</v>
      </c>
      <c r="T91" s="32" t="s">
        <v>3338</v>
      </c>
      <c r="U91" s="236"/>
    </row>
    <row r="92" ht="15.75" customHeight="1">
      <c r="A92" s="7" t="s">
        <v>3339</v>
      </c>
      <c r="B92" s="7" t="s">
        <v>1011</v>
      </c>
      <c r="C92" s="7" t="s">
        <v>747</v>
      </c>
      <c r="D92" s="7" t="s">
        <v>907</v>
      </c>
      <c r="E92" s="7" t="s">
        <v>1004</v>
      </c>
      <c r="F92" s="7" t="s">
        <v>12</v>
      </c>
      <c r="G92" s="7" t="s">
        <v>2303</v>
      </c>
      <c r="H92" s="58" t="s">
        <v>180</v>
      </c>
      <c r="I92" s="33" t="s">
        <v>3340</v>
      </c>
      <c r="J92" s="33" t="s">
        <v>3341</v>
      </c>
      <c r="K92" s="58" t="s">
        <v>3342</v>
      </c>
      <c r="L92" s="58" t="s">
        <v>3343</v>
      </c>
      <c r="M92" s="7" t="s">
        <v>39</v>
      </c>
      <c r="N92" s="7" t="s">
        <v>913</v>
      </c>
      <c r="O92" s="7"/>
      <c r="P92" s="7"/>
      <c r="Q92" s="7"/>
      <c r="R92" s="7" t="s">
        <v>3</v>
      </c>
      <c r="S92" s="7" t="s">
        <v>2944</v>
      </c>
      <c r="T92" s="32"/>
      <c r="U92" s="236"/>
    </row>
    <row r="93" ht="15.75" customHeight="1">
      <c r="A93" s="7" t="s">
        <v>3344</v>
      </c>
      <c r="B93" s="7" t="s">
        <v>1011</v>
      </c>
      <c r="C93" s="7" t="s">
        <v>747</v>
      </c>
      <c r="D93" s="7" t="s">
        <v>907</v>
      </c>
      <c r="E93" s="7" t="s">
        <v>1575</v>
      </c>
      <c r="F93" s="7" t="s">
        <v>12</v>
      </c>
      <c r="G93" s="7" t="s">
        <v>805</v>
      </c>
      <c r="H93" s="58" t="s">
        <v>180</v>
      </c>
      <c r="I93" s="33" t="s">
        <v>3345</v>
      </c>
      <c r="J93" s="33" t="s">
        <v>3346</v>
      </c>
      <c r="K93" s="58" t="s">
        <v>3347</v>
      </c>
      <c r="L93" s="33" t="s">
        <v>39</v>
      </c>
      <c r="M93" s="7" t="s">
        <v>39</v>
      </c>
      <c r="N93" s="7" t="s">
        <v>913</v>
      </c>
      <c r="O93" s="7" t="s">
        <v>1010</v>
      </c>
      <c r="P93" s="7"/>
      <c r="Q93" s="33"/>
      <c r="R93" s="7" t="s">
        <v>4</v>
      </c>
      <c r="S93" s="7"/>
      <c r="T93" s="32" t="s">
        <v>3348</v>
      </c>
      <c r="U93" s="236"/>
    </row>
    <row r="94" ht="15.75" customHeight="1">
      <c r="A94" s="7" t="s">
        <v>3349</v>
      </c>
      <c r="B94" s="7" t="s">
        <v>1011</v>
      </c>
      <c r="C94" s="7" t="s">
        <v>747</v>
      </c>
      <c r="D94" s="7" t="s">
        <v>907</v>
      </c>
      <c r="E94" s="7" t="s">
        <v>1575</v>
      </c>
      <c r="F94" s="7" t="s">
        <v>16</v>
      </c>
      <c r="G94" s="7" t="s">
        <v>1077</v>
      </c>
      <c r="H94" s="58" t="s">
        <v>180</v>
      </c>
      <c r="I94" s="33" t="s">
        <v>3231</v>
      </c>
      <c r="J94" s="33" t="s">
        <v>3350</v>
      </c>
      <c r="K94" s="58" t="s">
        <v>3351</v>
      </c>
      <c r="L94" s="33" t="s">
        <v>39</v>
      </c>
      <c r="M94" s="7" t="s">
        <v>39</v>
      </c>
      <c r="N94" s="7" t="s">
        <v>913</v>
      </c>
      <c r="O94" s="7" t="s">
        <v>974</v>
      </c>
      <c r="P94" s="7" t="s">
        <v>1018</v>
      </c>
      <c r="Q94" s="33" t="s">
        <v>3124</v>
      </c>
      <c r="R94" s="7" t="s">
        <v>4</v>
      </c>
      <c r="S94" s="7" t="s">
        <v>1090</v>
      </c>
      <c r="T94" s="33" t="s">
        <v>3352</v>
      </c>
      <c r="U94" s="15" t="s">
        <v>869</v>
      </c>
    </row>
    <row r="95" ht="15.75" customHeight="1">
      <c r="A95" s="7" t="s">
        <v>3353</v>
      </c>
      <c r="B95" s="7" t="s">
        <v>1011</v>
      </c>
      <c r="C95" s="7" t="s">
        <v>770</v>
      </c>
      <c r="D95" s="7" t="s">
        <v>907</v>
      </c>
      <c r="E95" s="7" t="s">
        <v>1004</v>
      </c>
      <c r="F95" s="7" t="s">
        <v>12</v>
      </c>
      <c r="G95" s="7" t="s">
        <v>1086</v>
      </c>
      <c r="H95" s="58" t="s">
        <v>180</v>
      </c>
      <c r="I95" s="33" t="s">
        <v>3354</v>
      </c>
      <c r="J95" s="33" t="s">
        <v>3298</v>
      </c>
      <c r="K95" s="58" t="s">
        <v>3355</v>
      </c>
      <c r="L95" s="33" t="s">
        <v>39</v>
      </c>
      <c r="M95" s="7" t="s">
        <v>39</v>
      </c>
      <c r="N95" s="7" t="s">
        <v>913</v>
      </c>
      <c r="O95" s="7"/>
      <c r="P95" s="7"/>
      <c r="Q95" s="7"/>
      <c r="R95" s="7" t="s">
        <v>3</v>
      </c>
      <c r="S95" s="7"/>
      <c r="T95" s="32"/>
      <c r="U95" s="236"/>
    </row>
    <row r="96" ht="15.75" customHeight="1">
      <c r="A96" s="7" t="s">
        <v>3356</v>
      </c>
      <c r="B96" s="7" t="s">
        <v>1011</v>
      </c>
      <c r="C96" s="7" t="s">
        <v>747</v>
      </c>
      <c r="D96" s="7" t="s">
        <v>907</v>
      </c>
      <c r="E96" s="7" t="s">
        <v>829</v>
      </c>
      <c r="F96" s="7" t="s">
        <v>12</v>
      </c>
      <c r="G96" s="7" t="s">
        <v>908</v>
      </c>
      <c r="H96" s="58" t="s">
        <v>180</v>
      </c>
      <c r="I96" s="33" t="s">
        <v>3357</v>
      </c>
      <c r="J96" s="33" t="s">
        <v>3358</v>
      </c>
      <c r="K96" s="58" t="s">
        <v>3359</v>
      </c>
      <c r="L96" s="33" t="s">
        <v>39</v>
      </c>
      <c r="M96" s="7" t="s">
        <v>39</v>
      </c>
      <c r="N96" s="7" t="s">
        <v>913</v>
      </c>
      <c r="O96" s="7"/>
      <c r="P96" s="7"/>
      <c r="Q96" s="7"/>
      <c r="R96" s="134" t="s">
        <v>3</v>
      </c>
      <c r="S96" s="134" t="s">
        <v>3175</v>
      </c>
      <c r="T96" s="192" t="s">
        <v>3360</v>
      </c>
      <c r="U96" s="236"/>
    </row>
    <row r="97" ht="15.75" customHeight="1">
      <c r="A97" s="7" t="s">
        <v>3361</v>
      </c>
      <c r="B97" s="7" t="s">
        <v>1011</v>
      </c>
      <c r="C97" s="7" t="s">
        <v>747</v>
      </c>
      <c r="D97" s="7" t="s">
        <v>907</v>
      </c>
      <c r="E97" s="7" t="s">
        <v>829</v>
      </c>
      <c r="F97" s="7" t="s">
        <v>12</v>
      </c>
      <c r="G97" s="7" t="s">
        <v>908</v>
      </c>
      <c r="H97" s="58" t="s">
        <v>180</v>
      </c>
      <c r="I97" s="33" t="s">
        <v>3362</v>
      </c>
      <c r="J97" s="33" t="s">
        <v>3363</v>
      </c>
      <c r="K97" s="58" t="s">
        <v>3364</v>
      </c>
      <c r="L97" s="33" t="s">
        <v>39</v>
      </c>
      <c r="M97" s="7" t="s">
        <v>39</v>
      </c>
      <c r="N97" s="7" t="s">
        <v>913</v>
      </c>
      <c r="O97" s="7"/>
      <c r="P97" s="7"/>
      <c r="Q97" s="7"/>
      <c r="R97" s="134" t="s">
        <v>3</v>
      </c>
      <c r="S97" s="134" t="s">
        <v>3175</v>
      </c>
      <c r="T97" s="192" t="s">
        <v>3360</v>
      </c>
      <c r="U97" s="236"/>
    </row>
    <row r="98" ht="15.75" customHeight="1">
      <c r="A98" s="7" t="s">
        <v>3365</v>
      </c>
      <c r="B98" s="7" t="s">
        <v>1011</v>
      </c>
      <c r="C98" s="7" t="s">
        <v>747</v>
      </c>
      <c r="D98" s="7" t="s">
        <v>907</v>
      </c>
      <c r="E98" s="7" t="s">
        <v>829</v>
      </c>
      <c r="F98" s="7" t="s">
        <v>12</v>
      </c>
      <c r="G98" s="7" t="s">
        <v>908</v>
      </c>
      <c r="H98" s="58" t="s">
        <v>180</v>
      </c>
      <c r="I98" s="33" t="s">
        <v>3366</v>
      </c>
      <c r="J98" s="33" t="s">
        <v>3367</v>
      </c>
      <c r="K98" s="58" t="s">
        <v>3368</v>
      </c>
      <c r="L98" s="33" t="s">
        <v>39</v>
      </c>
      <c r="M98" s="7" t="s">
        <v>39</v>
      </c>
      <c r="N98" s="7" t="s">
        <v>913</v>
      </c>
      <c r="O98" s="7"/>
      <c r="P98" s="7"/>
      <c r="Q98" s="7"/>
      <c r="R98" s="134" t="s">
        <v>3</v>
      </c>
      <c r="S98" s="134" t="s">
        <v>3175</v>
      </c>
      <c r="T98" s="192" t="s">
        <v>3360</v>
      </c>
      <c r="U98" s="236"/>
    </row>
    <row r="99" ht="15.75" customHeight="1">
      <c r="A99" s="7" t="s">
        <v>3369</v>
      </c>
      <c r="B99" s="7" t="s">
        <v>1011</v>
      </c>
      <c r="C99" s="7" t="s">
        <v>770</v>
      </c>
      <c r="D99" s="7" t="s">
        <v>907</v>
      </c>
      <c r="E99" s="7" t="s">
        <v>829</v>
      </c>
      <c r="F99" s="7" t="s">
        <v>12</v>
      </c>
      <c r="G99" s="7" t="s">
        <v>1086</v>
      </c>
      <c r="H99" s="58" t="s">
        <v>180</v>
      </c>
      <c r="I99" s="33" t="s">
        <v>3370</v>
      </c>
      <c r="J99" s="33" t="s">
        <v>3193</v>
      </c>
      <c r="K99" s="58" t="s">
        <v>3371</v>
      </c>
      <c r="L99" s="58" t="s">
        <v>3372</v>
      </c>
      <c r="M99" s="7" t="s">
        <v>39</v>
      </c>
      <c r="N99" s="7" t="s">
        <v>913</v>
      </c>
      <c r="O99" s="7" t="s">
        <v>3273</v>
      </c>
      <c r="P99" s="7" t="s">
        <v>1029</v>
      </c>
      <c r="Q99" s="33" t="s">
        <v>3373</v>
      </c>
      <c r="R99" s="7" t="s">
        <v>3</v>
      </c>
      <c r="S99" s="7" t="s">
        <v>1034</v>
      </c>
      <c r="T99" s="32" t="s">
        <v>3374</v>
      </c>
      <c r="U99" s="236"/>
    </row>
    <row r="100" ht="15.75" customHeight="1">
      <c r="A100" s="7" t="s">
        <v>3375</v>
      </c>
      <c r="B100" s="7" t="s">
        <v>1011</v>
      </c>
      <c r="C100" s="7" t="s">
        <v>770</v>
      </c>
      <c r="D100" s="7" t="s">
        <v>907</v>
      </c>
      <c r="E100" s="7" t="s">
        <v>1004</v>
      </c>
      <c r="F100" s="7" t="s">
        <v>12</v>
      </c>
      <c r="G100" s="7" t="s">
        <v>2303</v>
      </c>
      <c r="H100" s="58" t="s">
        <v>50</v>
      </c>
      <c r="I100" s="33" t="s">
        <v>3376</v>
      </c>
      <c r="J100" s="33" t="s">
        <v>3377</v>
      </c>
      <c r="K100" s="58" t="s">
        <v>3378</v>
      </c>
      <c r="L100" s="33" t="s">
        <v>39</v>
      </c>
      <c r="M100" s="7" t="s">
        <v>39</v>
      </c>
      <c r="N100" s="7" t="s">
        <v>913</v>
      </c>
      <c r="O100" s="7"/>
      <c r="P100" s="7"/>
      <c r="Q100" s="7"/>
      <c r="R100" s="7" t="s">
        <v>3</v>
      </c>
      <c r="S100" s="7" t="s">
        <v>2944</v>
      </c>
      <c r="T100" s="32"/>
      <c r="U100" s="236"/>
    </row>
    <row r="101" ht="15.75" customHeight="1">
      <c r="A101" s="7" t="s">
        <v>3379</v>
      </c>
      <c r="B101" s="7" t="s">
        <v>1011</v>
      </c>
      <c r="C101" s="7" t="s">
        <v>755</v>
      </c>
      <c r="D101" s="7" t="s">
        <v>907</v>
      </c>
      <c r="E101" s="7" t="s">
        <v>768</v>
      </c>
      <c r="F101" s="7" t="s">
        <v>12</v>
      </c>
      <c r="G101" s="7" t="s">
        <v>805</v>
      </c>
      <c r="H101" s="58" t="s">
        <v>50</v>
      </c>
      <c r="I101" s="33" t="s">
        <v>3380</v>
      </c>
      <c r="J101" s="33" t="s">
        <v>3381</v>
      </c>
      <c r="K101" s="58" t="s">
        <v>3382</v>
      </c>
      <c r="L101" s="33" t="s">
        <v>39</v>
      </c>
      <c r="M101" s="7" t="s">
        <v>39</v>
      </c>
      <c r="N101" s="7" t="s">
        <v>913</v>
      </c>
      <c r="O101" s="7" t="s">
        <v>1010</v>
      </c>
      <c r="P101" s="7" t="s">
        <v>3200</v>
      </c>
      <c r="Q101" s="33" t="s">
        <v>3201</v>
      </c>
      <c r="R101" s="7" t="s">
        <v>4</v>
      </c>
      <c r="S101" s="7" t="s">
        <v>2944</v>
      </c>
      <c r="T101" s="32" t="s">
        <v>3383</v>
      </c>
      <c r="U101" s="236"/>
    </row>
    <row r="102" ht="15.75" customHeight="1">
      <c r="A102" s="7" t="s">
        <v>3384</v>
      </c>
      <c r="B102" s="7" t="s">
        <v>1011</v>
      </c>
      <c r="C102" s="7" t="s">
        <v>755</v>
      </c>
      <c r="D102" s="7" t="s">
        <v>907</v>
      </c>
      <c r="E102" s="7" t="s">
        <v>829</v>
      </c>
      <c r="F102" s="7" t="s">
        <v>12</v>
      </c>
      <c r="G102" s="7" t="s">
        <v>908</v>
      </c>
      <c r="H102" s="58" t="s">
        <v>50</v>
      </c>
      <c r="I102" s="33" t="s">
        <v>3385</v>
      </c>
      <c r="J102" s="33" t="s">
        <v>3386</v>
      </c>
      <c r="K102" s="58" t="s">
        <v>3387</v>
      </c>
      <c r="L102" s="33" t="s">
        <v>39</v>
      </c>
      <c r="M102" s="7" t="s">
        <v>39</v>
      </c>
      <c r="N102" s="7" t="s">
        <v>913</v>
      </c>
      <c r="O102" s="7"/>
      <c r="P102" s="7"/>
      <c r="Q102" s="7"/>
      <c r="R102" s="7" t="s">
        <v>3</v>
      </c>
      <c r="S102" s="130">
        <v>46267.0</v>
      </c>
      <c r="T102" s="32" t="s">
        <v>3388</v>
      </c>
      <c r="U102" s="236"/>
    </row>
    <row r="103" ht="15.75" customHeight="1">
      <c r="A103" s="7" t="s">
        <v>3389</v>
      </c>
      <c r="B103" s="7" t="s">
        <v>1011</v>
      </c>
      <c r="C103" s="7" t="s">
        <v>747</v>
      </c>
      <c r="D103" s="7" t="s">
        <v>907</v>
      </c>
      <c r="E103" s="7" t="s">
        <v>829</v>
      </c>
      <c r="F103" s="7" t="s">
        <v>12</v>
      </c>
      <c r="G103" s="7" t="s">
        <v>908</v>
      </c>
      <c r="H103" s="58" t="s">
        <v>50</v>
      </c>
      <c r="I103" s="33" t="s">
        <v>3390</v>
      </c>
      <c r="J103" s="33" t="s">
        <v>3391</v>
      </c>
      <c r="K103" s="58" t="s">
        <v>3392</v>
      </c>
      <c r="L103" s="33" t="s">
        <v>39</v>
      </c>
      <c r="M103" s="7" t="s">
        <v>39</v>
      </c>
      <c r="N103" s="7" t="s">
        <v>913</v>
      </c>
      <c r="O103" s="7"/>
      <c r="P103" s="7"/>
      <c r="Q103" s="7"/>
      <c r="R103" s="7" t="s">
        <v>3</v>
      </c>
      <c r="S103" s="130">
        <v>46267.0</v>
      </c>
      <c r="T103" s="32" t="s">
        <v>3388</v>
      </c>
      <c r="U103" s="236"/>
    </row>
    <row r="104" ht="15.75" customHeight="1">
      <c r="A104" s="7" t="s">
        <v>3393</v>
      </c>
      <c r="B104" s="7" t="s">
        <v>1011</v>
      </c>
      <c r="C104" s="7" t="s">
        <v>770</v>
      </c>
      <c r="D104" s="7" t="s">
        <v>907</v>
      </c>
      <c r="E104" s="7" t="s">
        <v>1004</v>
      </c>
      <c r="F104" s="7" t="s">
        <v>12</v>
      </c>
      <c r="G104" s="7" t="s">
        <v>1086</v>
      </c>
      <c r="H104" s="58" t="s">
        <v>50</v>
      </c>
      <c r="I104" s="33" t="s">
        <v>3394</v>
      </c>
      <c r="J104" s="33" t="s">
        <v>3298</v>
      </c>
      <c r="K104" s="58" t="s">
        <v>3395</v>
      </c>
      <c r="L104" s="33" t="s">
        <v>39</v>
      </c>
      <c r="M104" s="7" t="s">
        <v>39</v>
      </c>
      <c r="N104" s="7" t="s">
        <v>913</v>
      </c>
      <c r="O104" s="7"/>
      <c r="P104" s="7"/>
      <c r="Q104" s="7"/>
      <c r="R104" s="7" t="s">
        <v>3</v>
      </c>
      <c r="S104" s="7" t="s">
        <v>2944</v>
      </c>
      <c r="T104" s="32"/>
      <c r="U104" s="236"/>
    </row>
    <row r="105" ht="15.75" customHeight="1">
      <c r="A105" s="7" t="s">
        <v>3396</v>
      </c>
      <c r="B105" s="7" t="s">
        <v>1011</v>
      </c>
      <c r="C105" s="7" t="s">
        <v>755</v>
      </c>
      <c r="D105" s="7" t="s">
        <v>907</v>
      </c>
      <c r="E105" s="7" t="s">
        <v>829</v>
      </c>
      <c r="F105" s="7" t="s">
        <v>12</v>
      </c>
      <c r="G105" s="7" t="s">
        <v>908</v>
      </c>
      <c r="H105" s="58" t="s">
        <v>50</v>
      </c>
      <c r="I105" s="33" t="s">
        <v>3397</v>
      </c>
      <c r="J105" s="33" t="s">
        <v>3398</v>
      </c>
      <c r="K105" s="58" t="s">
        <v>3399</v>
      </c>
      <c r="L105" s="33" t="s">
        <v>39</v>
      </c>
      <c r="M105" s="7" t="s">
        <v>39</v>
      </c>
      <c r="N105" s="7" t="s">
        <v>913</v>
      </c>
      <c r="O105" s="7"/>
      <c r="P105" s="7"/>
      <c r="Q105" s="7"/>
      <c r="R105" s="7" t="s">
        <v>3</v>
      </c>
      <c r="S105" s="130">
        <v>46267.0</v>
      </c>
      <c r="T105" s="32" t="s">
        <v>3388</v>
      </c>
      <c r="U105" s="236"/>
    </row>
    <row r="106" ht="15.75" customHeight="1">
      <c r="A106" s="7" t="s">
        <v>3400</v>
      </c>
      <c r="B106" s="7" t="s">
        <v>1011</v>
      </c>
      <c r="C106" s="7" t="s">
        <v>747</v>
      </c>
      <c r="D106" s="7" t="s">
        <v>907</v>
      </c>
      <c r="E106" s="7" t="s">
        <v>829</v>
      </c>
      <c r="F106" s="7" t="s">
        <v>12</v>
      </c>
      <c r="G106" s="7" t="s">
        <v>908</v>
      </c>
      <c r="H106" s="58" t="s">
        <v>50</v>
      </c>
      <c r="I106" s="33" t="s">
        <v>3362</v>
      </c>
      <c r="J106" s="33" t="s">
        <v>3363</v>
      </c>
      <c r="K106" s="58" t="s">
        <v>3401</v>
      </c>
      <c r="L106" s="33" t="s">
        <v>39</v>
      </c>
      <c r="M106" s="7" t="s">
        <v>39</v>
      </c>
      <c r="N106" s="7" t="s">
        <v>913</v>
      </c>
      <c r="O106" s="7"/>
      <c r="P106" s="7"/>
      <c r="Q106" s="7"/>
      <c r="R106" s="7" t="s">
        <v>3</v>
      </c>
      <c r="S106" s="130">
        <v>46267.0</v>
      </c>
      <c r="T106" s="32" t="s">
        <v>3388</v>
      </c>
      <c r="U106" s="236"/>
    </row>
    <row r="107" ht="15.75" customHeight="1">
      <c r="A107" s="7" t="s">
        <v>3402</v>
      </c>
      <c r="B107" s="7" t="s">
        <v>1011</v>
      </c>
      <c r="C107" s="7" t="s">
        <v>747</v>
      </c>
      <c r="D107" s="7" t="s">
        <v>907</v>
      </c>
      <c r="E107" s="7" t="s">
        <v>829</v>
      </c>
      <c r="F107" s="7" t="s">
        <v>12</v>
      </c>
      <c r="G107" s="7" t="s">
        <v>908</v>
      </c>
      <c r="H107" s="58" t="s">
        <v>50</v>
      </c>
      <c r="I107" s="33" t="s">
        <v>3403</v>
      </c>
      <c r="J107" s="33" t="s">
        <v>3404</v>
      </c>
      <c r="K107" s="58" t="s">
        <v>3405</v>
      </c>
      <c r="L107" s="33" t="s">
        <v>39</v>
      </c>
      <c r="M107" s="7" t="s">
        <v>39</v>
      </c>
      <c r="N107" s="7" t="s">
        <v>913</v>
      </c>
      <c r="O107" s="7"/>
      <c r="P107" s="7"/>
      <c r="Q107" s="7"/>
      <c r="R107" s="7" t="s">
        <v>3</v>
      </c>
      <c r="S107" s="130">
        <v>46267.0</v>
      </c>
      <c r="T107" s="32" t="s">
        <v>3388</v>
      </c>
      <c r="U107" s="236"/>
    </row>
    <row r="108" ht="15.75" customHeight="1">
      <c r="A108" s="251" t="s">
        <v>3406</v>
      </c>
      <c r="B108" s="251" t="s">
        <v>1011</v>
      </c>
      <c r="C108" s="251" t="s">
        <v>770</v>
      </c>
      <c r="D108" s="251" t="s">
        <v>907</v>
      </c>
      <c r="E108" s="251" t="s">
        <v>768</v>
      </c>
      <c r="F108" s="251" t="s">
        <v>6</v>
      </c>
      <c r="G108" s="251" t="s">
        <v>2303</v>
      </c>
      <c r="H108" s="253" t="s">
        <v>50</v>
      </c>
      <c r="I108" s="252" t="s">
        <v>3407</v>
      </c>
      <c r="J108" s="252" t="s">
        <v>3408</v>
      </c>
      <c r="K108" s="253" t="s">
        <v>3409</v>
      </c>
      <c r="L108" s="252" t="s">
        <v>39</v>
      </c>
      <c r="M108" s="251" t="s">
        <v>39</v>
      </c>
      <c r="N108" s="251" t="s">
        <v>913</v>
      </c>
      <c r="O108" s="251" t="s">
        <v>913</v>
      </c>
      <c r="P108" s="251"/>
      <c r="Q108" s="252"/>
      <c r="R108" s="251" t="s">
        <v>3</v>
      </c>
      <c r="S108" s="251" t="s">
        <v>3175</v>
      </c>
      <c r="T108" s="254" t="s">
        <v>3410</v>
      </c>
      <c r="U108" s="308" t="s">
        <v>869</v>
      </c>
      <c r="V108" s="262"/>
      <c r="W108" s="262"/>
      <c r="X108" s="262"/>
      <c r="Y108" s="262"/>
      <c r="Z108" s="262"/>
    </row>
    <row r="109" ht="15.75" customHeight="1">
      <c r="A109" s="251" t="s">
        <v>3411</v>
      </c>
      <c r="B109" s="251" t="s">
        <v>1011</v>
      </c>
      <c r="C109" s="251" t="s">
        <v>770</v>
      </c>
      <c r="D109" s="251" t="s">
        <v>907</v>
      </c>
      <c r="E109" s="251" t="s">
        <v>768</v>
      </c>
      <c r="F109" s="251" t="s">
        <v>16</v>
      </c>
      <c r="G109" s="251" t="s">
        <v>2303</v>
      </c>
      <c r="H109" s="253" t="s">
        <v>180</v>
      </c>
      <c r="I109" s="252" t="s">
        <v>3407</v>
      </c>
      <c r="J109" s="252" t="s">
        <v>3408</v>
      </c>
      <c r="K109" s="253" t="s">
        <v>3412</v>
      </c>
      <c r="L109" s="252" t="s">
        <v>39</v>
      </c>
      <c r="M109" s="251" t="s">
        <v>39</v>
      </c>
      <c r="N109" s="251" t="s">
        <v>913</v>
      </c>
      <c r="O109" s="251" t="s">
        <v>753</v>
      </c>
      <c r="P109" s="251" t="s">
        <v>3008</v>
      </c>
      <c r="Q109" s="252" t="s">
        <v>3413</v>
      </c>
      <c r="R109" s="251" t="s">
        <v>3</v>
      </c>
      <c r="S109" s="251" t="s">
        <v>1279</v>
      </c>
      <c r="T109" s="254" t="s">
        <v>3414</v>
      </c>
      <c r="U109" s="308" t="s">
        <v>869</v>
      </c>
      <c r="V109" s="262"/>
      <c r="W109" s="262"/>
      <c r="X109" s="262"/>
      <c r="Y109" s="262"/>
      <c r="Z109" s="262"/>
    </row>
    <row r="110" ht="15.75" customHeight="1">
      <c r="A110" s="7" t="s">
        <v>3415</v>
      </c>
      <c r="B110" s="7" t="s">
        <v>1011</v>
      </c>
      <c r="C110" s="7" t="s">
        <v>755</v>
      </c>
      <c r="D110" s="7" t="s">
        <v>907</v>
      </c>
      <c r="E110" s="7" t="s">
        <v>829</v>
      </c>
      <c r="F110" s="7" t="s">
        <v>12</v>
      </c>
      <c r="G110" s="7" t="s">
        <v>908</v>
      </c>
      <c r="H110" s="58" t="s">
        <v>145</v>
      </c>
      <c r="I110" s="33" t="s">
        <v>3416</v>
      </c>
      <c r="J110" s="33" t="s">
        <v>3386</v>
      </c>
      <c r="K110" s="58" t="s">
        <v>3417</v>
      </c>
      <c r="L110" s="33" t="s">
        <v>39</v>
      </c>
      <c r="M110" s="7" t="s">
        <v>39</v>
      </c>
      <c r="N110" s="7" t="s">
        <v>913</v>
      </c>
      <c r="O110" s="7"/>
      <c r="P110" s="7"/>
      <c r="Q110" s="7"/>
      <c r="R110" s="7" t="s">
        <v>3</v>
      </c>
      <c r="S110" s="7" t="s">
        <v>3175</v>
      </c>
      <c r="T110" s="32" t="s">
        <v>3360</v>
      </c>
      <c r="U110" s="236"/>
    </row>
    <row r="111" ht="15.75" customHeight="1">
      <c r="A111" s="7" t="s">
        <v>3418</v>
      </c>
      <c r="B111" s="7" t="s">
        <v>1011</v>
      </c>
      <c r="C111" s="7" t="s">
        <v>747</v>
      </c>
      <c r="D111" s="7" t="s">
        <v>907</v>
      </c>
      <c r="E111" s="7" t="s">
        <v>1575</v>
      </c>
      <c r="F111" s="7" t="s">
        <v>12</v>
      </c>
      <c r="G111" s="7" t="s">
        <v>970</v>
      </c>
      <c r="H111" s="58" t="s">
        <v>145</v>
      </c>
      <c r="I111" s="33" t="s">
        <v>3419</v>
      </c>
      <c r="J111" s="33" t="s">
        <v>3420</v>
      </c>
      <c r="K111" s="58" t="s">
        <v>3421</v>
      </c>
      <c r="L111" s="33" t="s">
        <v>39</v>
      </c>
      <c r="M111" s="7" t="s">
        <v>39</v>
      </c>
      <c r="N111" s="7" t="s">
        <v>913</v>
      </c>
      <c r="O111" s="7" t="s">
        <v>913</v>
      </c>
      <c r="P111" s="7" t="s">
        <v>3008</v>
      </c>
      <c r="Q111" s="33" t="s">
        <v>3422</v>
      </c>
      <c r="R111" s="7" t="s">
        <v>3</v>
      </c>
      <c r="S111" s="7" t="s">
        <v>1074</v>
      </c>
      <c r="T111" s="32" t="s">
        <v>3423</v>
      </c>
      <c r="U111" s="236"/>
    </row>
    <row r="112" ht="15.75" customHeight="1">
      <c r="A112" s="7" t="s">
        <v>3424</v>
      </c>
      <c r="B112" s="7" t="s">
        <v>1011</v>
      </c>
      <c r="C112" s="7" t="s">
        <v>747</v>
      </c>
      <c r="D112" s="7" t="s">
        <v>907</v>
      </c>
      <c r="E112" s="7" t="s">
        <v>829</v>
      </c>
      <c r="F112" s="7" t="s">
        <v>12</v>
      </c>
      <c r="G112" s="7" t="s">
        <v>1800</v>
      </c>
      <c r="H112" s="58" t="s">
        <v>145</v>
      </c>
      <c r="I112" s="33" t="s">
        <v>3425</v>
      </c>
      <c r="J112" s="33" t="s">
        <v>3426</v>
      </c>
      <c r="K112" s="58" t="s">
        <v>3427</v>
      </c>
      <c r="L112" s="33" t="s">
        <v>39</v>
      </c>
      <c r="M112" s="7" t="s">
        <v>39</v>
      </c>
      <c r="N112" s="7" t="s">
        <v>913</v>
      </c>
      <c r="O112" s="7"/>
      <c r="P112" s="7"/>
      <c r="Q112" s="7"/>
      <c r="R112" s="7" t="s">
        <v>3</v>
      </c>
      <c r="S112" s="7" t="s">
        <v>3175</v>
      </c>
      <c r="T112" s="32" t="s">
        <v>3428</v>
      </c>
      <c r="U112" s="236"/>
    </row>
    <row r="113" ht="15.75" customHeight="1">
      <c r="A113" s="7" t="s">
        <v>3429</v>
      </c>
      <c r="B113" s="7" t="s">
        <v>1011</v>
      </c>
      <c r="C113" s="7" t="s">
        <v>770</v>
      </c>
      <c r="D113" s="7" t="s">
        <v>907</v>
      </c>
      <c r="E113" s="7" t="s">
        <v>1004</v>
      </c>
      <c r="F113" s="7" t="s">
        <v>12</v>
      </c>
      <c r="G113" s="7" t="s">
        <v>1086</v>
      </c>
      <c r="H113" s="58" t="s">
        <v>145</v>
      </c>
      <c r="I113" s="33" t="s">
        <v>3430</v>
      </c>
      <c r="J113" s="33" t="s">
        <v>3298</v>
      </c>
      <c r="K113" s="58" t="s">
        <v>3431</v>
      </c>
      <c r="L113" s="33" t="s">
        <v>39</v>
      </c>
      <c r="M113" s="7" t="s">
        <v>39</v>
      </c>
      <c r="N113" s="7" t="s">
        <v>913</v>
      </c>
      <c r="O113" s="7"/>
      <c r="P113" s="7"/>
      <c r="Q113" s="7"/>
      <c r="R113" s="7" t="s">
        <v>3</v>
      </c>
      <c r="S113" s="7" t="s">
        <v>2944</v>
      </c>
      <c r="T113" s="32"/>
      <c r="U113" s="236"/>
    </row>
    <row r="114" ht="15.75" customHeight="1">
      <c r="A114" s="7" t="s">
        <v>3432</v>
      </c>
      <c r="B114" s="7" t="s">
        <v>1011</v>
      </c>
      <c r="C114" s="7" t="s">
        <v>770</v>
      </c>
      <c r="D114" s="7" t="s">
        <v>907</v>
      </c>
      <c r="E114" s="7" t="s">
        <v>1004</v>
      </c>
      <c r="F114" s="7" t="s">
        <v>12</v>
      </c>
      <c r="G114" s="7" t="s">
        <v>2303</v>
      </c>
      <c r="H114" s="58" t="s">
        <v>145</v>
      </c>
      <c r="I114" s="33" t="s">
        <v>3376</v>
      </c>
      <c r="J114" s="33" t="s">
        <v>3377</v>
      </c>
      <c r="K114" s="58" t="s">
        <v>3433</v>
      </c>
      <c r="L114" s="33" t="s">
        <v>39</v>
      </c>
      <c r="M114" s="7" t="s">
        <v>39</v>
      </c>
      <c r="N114" s="7" t="s">
        <v>913</v>
      </c>
      <c r="O114" s="7"/>
      <c r="P114" s="7"/>
      <c r="Q114" s="7"/>
      <c r="R114" s="7" t="s">
        <v>3</v>
      </c>
      <c r="S114" s="7" t="s">
        <v>2944</v>
      </c>
      <c r="T114" s="32"/>
      <c r="U114" s="236"/>
    </row>
    <row r="115" ht="15.75" customHeight="1">
      <c r="A115" s="7" t="s">
        <v>3434</v>
      </c>
      <c r="B115" s="7" t="s">
        <v>1011</v>
      </c>
      <c r="C115" s="7" t="s">
        <v>755</v>
      </c>
      <c r="D115" s="7" t="s">
        <v>907</v>
      </c>
      <c r="E115" s="7" t="s">
        <v>829</v>
      </c>
      <c r="F115" s="7" t="s">
        <v>12</v>
      </c>
      <c r="G115" s="7" t="s">
        <v>908</v>
      </c>
      <c r="H115" s="58" t="s">
        <v>145</v>
      </c>
      <c r="I115" s="33" t="s">
        <v>3435</v>
      </c>
      <c r="J115" s="33" t="s">
        <v>3266</v>
      </c>
      <c r="K115" s="58" t="s">
        <v>3436</v>
      </c>
      <c r="L115" s="33" t="s">
        <v>39</v>
      </c>
      <c r="M115" s="7" t="s">
        <v>39</v>
      </c>
      <c r="N115" s="7" t="s">
        <v>913</v>
      </c>
      <c r="O115" s="7"/>
      <c r="P115" s="7"/>
      <c r="Q115" s="7"/>
      <c r="R115" s="7" t="s">
        <v>3</v>
      </c>
      <c r="S115" s="7" t="s">
        <v>3175</v>
      </c>
      <c r="T115" s="32" t="s">
        <v>3437</v>
      </c>
      <c r="U115" s="236"/>
    </row>
    <row r="116" ht="15.75" customHeight="1">
      <c r="A116" s="251" t="s">
        <v>3438</v>
      </c>
      <c r="B116" s="251" t="s">
        <v>1011</v>
      </c>
      <c r="C116" s="251" t="s">
        <v>770</v>
      </c>
      <c r="D116" s="251" t="s">
        <v>907</v>
      </c>
      <c r="E116" s="251" t="s">
        <v>768</v>
      </c>
      <c r="F116" s="251" t="s">
        <v>6</v>
      </c>
      <c r="G116" s="251" t="s">
        <v>2303</v>
      </c>
      <c r="H116" s="253" t="s">
        <v>145</v>
      </c>
      <c r="I116" s="252" t="s">
        <v>3439</v>
      </c>
      <c r="J116" s="252" t="s">
        <v>3408</v>
      </c>
      <c r="K116" s="253" t="s">
        <v>3440</v>
      </c>
      <c r="L116" s="252" t="s">
        <v>39</v>
      </c>
      <c r="M116" s="251" t="s">
        <v>39</v>
      </c>
      <c r="N116" s="251" t="s">
        <v>913</v>
      </c>
      <c r="O116" s="251" t="s">
        <v>913</v>
      </c>
      <c r="P116" s="251" t="s">
        <v>1018</v>
      </c>
      <c r="Q116" s="252" t="s">
        <v>1139</v>
      </c>
      <c r="R116" s="251" t="s">
        <v>3</v>
      </c>
      <c r="S116" s="251" t="s">
        <v>3175</v>
      </c>
      <c r="T116" s="254" t="s">
        <v>3441</v>
      </c>
      <c r="U116" s="308" t="s">
        <v>869</v>
      </c>
      <c r="V116" s="262"/>
      <c r="W116" s="262"/>
      <c r="X116" s="262"/>
      <c r="Y116" s="262"/>
      <c r="Z116" s="262"/>
    </row>
    <row r="117" ht="15.75" customHeight="1">
      <c r="A117" s="7" t="s">
        <v>3442</v>
      </c>
      <c r="B117" s="7" t="s">
        <v>1011</v>
      </c>
      <c r="C117" s="7" t="s">
        <v>747</v>
      </c>
      <c r="D117" s="7" t="s">
        <v>907</v>
      </c>
      <c r="E117" s="7" t="s">
        <v>829</v>
      </c>
      <c r="F117" s="7" t="s">
        <v>16</v>
      </c>
      <c r="G117" s="7" t="s">
        <v>1143</v>
      </c>
      <c r="H117" s="58" t="s">
        <v>176</v>
      </c>
      <c r="I117" s="33" t="s">
        <v>2993</v>
      </c>
      <c r="J117" s="33" t="s">
        <v>3443</v>
      </c>
      <c r="K117" s="58" t="s">
        <v>3444</v>
      </c>
      <c r="L117" s="58" t="s">
        <v>3445</v>
      </c>
      <c r="M117" s="7" t="s">
        <v>39</v>
      </c>
      <c r="N117" s="7" t="s">
        <v>913</v>
      </c>
      <c r="O117" s="7" t="s">
        <v>974</v>
      </c>
      <c r="P117" s="7"/>
      <c r="Q117" s="7"/>
      <c r="R117" s="7" t="s">
        <v>3</v>
      </c>
      <c r="S117" s="130">
        <v>46297.0</v>
      </c>
      <c r="T117" s="192" t="s">
        <v>3446</v>
      </c>
      <c r="U117" s="12" t="s">
        <v>1029</v>
      </c>
    </row>
    <row r="118" ht="15.75" customHeight="1">
      <c r="A118" s="7" t="s">
        <v>3447</v>
      </c>
      <c r="B118" s="7" t="s">
        <v>1011</v>
      </c>
      <c r="C118" s="7" t="s">
        <v>770</v>
      </c>
      <c r="D118" s="7" t="s">
        <v>907</v>
      </c>
      <c r="E118" s="7" t="s">
        <v>829</v>
      </c>
      <c r="F118" s="7" t="s">
        <v>12</v>
      </c>
      <c r="G118" s="7" t="s">
        <v>2303</v>
      </c>
      <c r="H118" s="58" t="s">
        <v>176</v>
      </c>
      <c r="I118" s="33" t="s">
        <v>3334</v>
      </c>
      <c r="J118" s="33" t="s">
        <v>3448</v>
      </c>
      <c r="K118" s="58" t="s">
        <v>3449</v>
      </c>
      <c r="L118" s="58" t="s">
        <v>3450</v>
      </c>
      <c r="M118" s="7" t="s">
        <v>39</v>
      </c>
      <c r="N118" s="7" t="s">
        <v>913</v>
      </c>
      <c r="O118" s="7"/>
      <c r="P118" s="7"/>
      <c r="Q118" s="7"/>
      <c r="R118" s="7" t="s">
        <v>3</v>
      </c>
      <c r="S118" s="7" t="s">
        <v>2944</v>
      </c>
      <c r="T118" s="32"/>
      <c r="U118" s="236"/>
    </row>
    <row r="119" ht="15.75" customHeight="1">
      <c r="A119" s="7" t="s">
        <v>3451</v>
      </c>
      <c r="B119" s="7" t="s">
        <v>1011</v>
      </c>
      <c r="C119" s="7" t="s">
        <v>747</v>
      </c>
      <c r="D119" s="7" t="s">
        <v>907</v>
      </c>
      <c r="E119" s="7" t="s">
        <v>2947</v>
      </c>
      <c r="F119" s="7" t="s">
        <v>12</v>
      </c>
      <c r="G119" s="7" t="s">
        <v>805</v>
      </c>
      <c r="H119" s="58" t="s">
        <v>176</v>
      </c>
      <c r="I119" s="33" t="s">
        <v>3452</v>
      </c>
      <c r="J119" s="33" t="s">
        <v>3453</v>
      </c>
      <c r="K119" s="58" t="s">
        <v>3454</v>
      </c>
      <c r="L119" s="33" t="s">
        <v>39</v>
      </c>
      <c r="M119" s="7" t="s">
        <v>39</v>
      </c>
      <c r="N119" s="7" t="s">
        <v>913</v>
      </c>
      <c r="O119" s="7" t="s">
        <v>1010</v>
      </c>
      <c r="P119" s="7" t="s">
        <v>3008</v>
      </c>
      <c r="Q119" s="33"/>
      <c r="R119" s="7" t="s">
        <v>4</v>
      </c>
      <c r="S119" s="7" t="s">
        <v>3455</v>
      </c>
      <c r="T119" s="32" t="s">
        <v>3125</v>
      </c>
      <c r="U119" s="31"/>
      <c r="V119" s="62"/>
      <c r="W119" s="62"/>
      <c r="X119" s="62"/>
      <c r="Y119" s="62"/>
      <c r="Z119" s="62"/>
    </row>
    <row r="120" ht="15.75" customHeight="1">
      <c r="A120" s="7" t="s">
        <v>3456</v>
      </c>
      <c r="B120" s="7" t="s">
        <v>1011</v>
      </c>
      <c r="C120" s="7" t="s">
        <v>747</v>
      </c>
      <c r="D120" s="7" t="s">
        <v>907</v>
      </c>
      <c r="E120" s="7" t="s">
        <v>1575</v>
      </c>
      <c r="F120" s="7" t="s">
        <v>16</v>
      </c>
      <c r="G120" s="7" t="s">
        <v>970</v>
      </c>
      <c r="H120" s="58" t="s">
        <v>176</v>
      </c>
      <c r="I120" s="33" t="s">
        <v>3457</v>
      </c>
      <c r="J120" s="33" t="s">
        <v>3458</v>
      </c>
      <c r="K120" s="58" t="s">
        <v>3459</v>
      </c>
      <c r="L120" s="33" t="s">
        <v>39</v>
      </c>
      <c r="M120" s="7" t="s">
        <v>39</v>
      </c>
      <c r="N120" s="7" t="s">
        <v>913</v>
      </c>
      <c r="O120" s="7" t="s">
        <v>974</v>
      </c>
      <c r="P120" s="7" t="s">
        <v>3008</v>
      </c>
      <c r="Q120" s="33" t="s">
        <v>3460</v>
      </c>
      <c r="R120" s="7" t="s">
        <v>4</v>
      </c>
      <c r="S120" s="130" t="s">
        <v>1090</v>
      </c>
      <c r="T120" s="32" t="s">
        <v>3461</v>
      </c>
      <c r="U120" s="236"/>
    </row>
    <row r="121" ht="15.75" customHeight="1">
      <c r="A121" s="7" t="s">
        <v>3462</v>
      </c>
      <c r="B121" s="7" t="s">
        <v>1011</v>
      </c>
      <c r="C121" s="7" t="s">
        <v>747</v>
      </c>
      <c r="D121" s="7" t="s">
        <v>907</v>
      </c>
      <c r="E121" s="7" t="s">
        <v>829</v>
      </c>
      <c r="F121" s="7" t="s">
        <v>16</v>
      </c>
      <c r="G121" s="7" t="s">
        <v>3463</v>
      </c>
      <c r="H121" s="58" t="s">
        <v>176</v>
      </c>
      <c r="I121" s="33" t="s">
        <v>3464</v>
      </c>
      <c r="J121" s="33" t="s">
        <v>3465</v>
      </c>
      <c r="K121" s="58" t="s">
        <v>3466</v>
      </c>
      <c r="L121" s="58" t="s">
        <v>3467</v>
      </c>
      <c r="M121" s="7" t="s">
        <v>39</v>
      </c>
      <c r="N121" s="7" t="s">
        <v>913</v>
      </c>
      <c r="O121" s="7" t="s">
        <v>974</v>
      </c>
      <c r="P121" s="7"/>
      <c r="Q121" s="7"/>
      <c r="R121" s="7" t="s">
        <v>3</v>
      </c>
      <c r="S121" s="130" t="s">
        <v>1165</v>
      </c>
      <c r="T121" s="32" t="s">
        <v>3468</v>
      </c>
      <c r="U121" s="12" t="s">
        <v>1029</v>
      </c>
    </row>
    <row r="122" ht="15.75" customHeight="1">
      <c r="A122" s="7" t="s">
        <v>3469</v>
      </c>
      <c r="B122" s="7" t="s">
        <v>1011</v>
      </c>
      <c r="C122" s="7" t="s">
        <v>755</v>
      </c>
      <c r="D122" s="7" t="s">
        <v>907</v>
      </c>
      <c r="E122" s="7" t="s">
        <v>829</v>
      </c>
      <c r="F122" s="7" t="s">
        <v>16</v>
      </c>
      <c r="G122" s="7" t="s">
        <v>2277</v>
      </c>
      <c r="H122" s="58" t="s">
        <v>176</v>
      </c>
      <c r="I122" s="33" t="s">
        <v>3308</v>
      </c>
      <c r="J122" s="33" t="s">
        <v>3470</v>
      </c>
      <c r="K122" s="58" t="s">
        <v>3471</v>
      </c>
      <c r="L122" s="58" t="s">
        <v>3472</v>
      </c>
      <c r="M122" s="7" t="s">
        <v>39</v>
      </c>
      <c r="N122" s="7" t="s">
        <v>913</v>
      </c>
      <c r="O122" s="7" t="s">
        <v>974</v>
      </c>
      <c r="P122" s="7"/>
      <c r="Q122" s="7"/>
      <c r="R122" s="7" t="s">
        <v>3</v>
      </c>
      <c r="S122" s="7" t="s">
        <v>1090</v>
      </c>
      <c r="T122" s="32" t="s">
        <v>3473</v>
      </c>
      <c r="U122" s="12" t="s">
        <v>1029</v>
      </c>
    </row>
    <row r="123" ht="15.75" customHeight="1">
      <c r="A123" s="7" t="s">
        <v>3474</v>
      </c>
      <c r="B123" s="7" t="s">
        <v>1011</v>
      </c>
      <c r="C123" s="7" t="s">
        <v>770</v>
      </c>
      <c r="D123" s="7" t="s">
        <v>907</v>
      </c>
      <c r="E123" s="7" t="s">
        <v>1004</v>
      </c>
      <c r="F123" s="7" t="s">
        <v>12</v>
      </c>
      <c r="G123" s="7" t="s">
        <v>1086</v>
      </c>
      <c r="H123" s="33" t="s">
        <v>782</v>
      </c>
      <c r="I123" s="33" t="s">
        <v>3475</v>
      </c>
      <c r="J123" s="33" t="s">
        <v>3476</v>
      </c>
      <c r="K123" s="58" t="s">
        <v>3477</v>
      </c>
      <c r="L123" s="58" t="s">
        <v>3478</v>
      </c>
      <c r="M123" s="7" t="s">
        <v>39</v>
      </c>
      <c r="N123" s="7" t="s">
        <v>913</v>
      </c>
      <c r="O123" s="7" t="s">
        <v>913</v>
      </c>
      <c r="P123" s="7" t="s">
        <v>1029</v>
      </c>
      <c r="Q123" s="33"/>
      <c r="R123" s="7" t="s">
        <v>3</v>
      </c>
      <c r="S123" s="130" t="s">
        <v>1165</v>
      </c>
      <c r="T123" s="32" t="s">
        <v>3479</v>
      </c>
      <c r="U123" s="236"/>
    </row>
    <row r="124" ht="15.75" customHeight="1">
      <c r="A124" s="7" t="s">
        <v>3480</v>
      </c>
      <c r="B124" s="7" t="s">
        <v>1011</v>
      </c>
      <c r="C124" s="7" t="s">
        <v>770</v>
      </c>
      <c r="D124" s="7" t="s">
        <v>907</v>
      </c>
      <c r="E124" s="7" t="s">
        <v>829</v>
      </c>
      <c r="F124" s="7" t="s">
        <v>12</v>
      </c>
      <c r="G124" s="7" t="s">
        <v>1086</v>
      </c>
      <c r="H124" s="58" t="s">
        <v>176</v>
      </c>
      <c r="I124" s="33" t="s">
        <v>3370</v>
      </c>
      <c r="J124" s="33" t="s">
        <v>3193</v>
      </c>
      <c r="K124" s="58" t="s">
        <v>3481</v>
      </c>
      <c r="L124" s="58" t="s">
        <v>3482</v>
      </c>
      <c r="M124" s="7" t="s">
        <v>39</v>
      </c>
      <c r="N124" s="7" t="s">
        <v>913</v>
      </c>
      <c r="O124" s="7" t="s">
        <v>913</v>
      </c>
      <c r="P124" s="7" t="s">
        <v>3008</v>
      </c>
      <c r="Q124" s="33" t="s">
        <v>3483</v>
      </c>
      <c r="R124" s="7" t="s">
        <v>3</v>
      </c>
      <c r="S124" s="7" t="s">
        <v>1034</v>
      </c>
      <c r="T124" s="32" t="s">
        <v>3484</v>
      </c>
      <c r="U124" s="236"/>
    </row>
    <row r="125" ht="15.75" customHeight="1">
      <c r="A125" s="179" t="s">
        <v>3485</v>
      </c>
      <c r="B125" s="179" t="s">
        <v>1011</v>
      </c>
      <c r="C125" s="179" t="s">
        <v>747</v>
      </c>
      <c r="D125" s="179" t="s">
        <v>907</v>
      </c>
      <c r="E125" s="179" t="s">
        <v>829</v>
      </c>
      <c r="F125" s="179" t="s">
        <v>12</v>
      </c>
      <c r="G125" s="179" t="s">
        <v>1183</v>
      </c>
      <c r="H125" s="182" t="s">
        <v>782</v>
      </c>
      <c r="I125" s="182" t="s">
        <v>3486</v>
      </c>
      <c r="J125" s="182" t="s">
        <v>3487</v>
      </c>
      <c r="K125" s="183" t="s">
        <v>3488</v>
      </c>
      <c r="L125" s="183" t="s">
        <v>3489</v>
      </c>
      <c r="M125" s="179" t="s">
        <v>39</v>
      </c>
      <c r="N125" s="179" t="s">
        <v>913</v>
      </c>
      <c r="O125" s="179" t="s">
        <v>1191</v>
      </c>
      <c r="P125" s="179" t="s">
        <v>1029</v>
      </c>
      <c r="Q125" s="185" t="s">
        <v>3490</v>
      </c>
      <c r="R125" s="179" t="s">
        <v>4</v>
      </c>
      <c r="S125" s="240">
        <v>46329.0</v>
      </c>
      <c r="T125" s="241" t="s">
        <v>3491</v>
      </c>
      <c r="U125" s="236"/>
    </row>
    <row r="126" ht="15.75" customHeight="1">
      <c r="A126" s="7" t="s">
        <v>3492</v>
      </c>
      <c r="B126" s="7" t="s">
        <v>1011</v>
      </c>
      <c r="C126" s="7" t="s">
        <v>755</v>
      </c>
      <c r="D126" s="7" t="s">
        <v>907</v>
      </c>
      <c r="E126" s="7" t="s">
        <v>829</v>
      </c>
      <c r="F126" s="7" t="s">
        <v>16</v>
      </c>
      <c r="G126" s="7" t="s">
        <v>3493</v>
      </c>
      <c r="H126" s="58" t="s">
        <v>176</v>
      </c>
      <c r="I126" s="33" t="s">
        <v>3494</v>
      </c>
      <c r="J126" s="33" t="s">
        <v>3495</v>
      </c>
      <c r="K126" s="58" t="s">
        <v>3496</v>
      </c>
      <c r="L126" s="33" t="s">
        <v>39</v>
      </c>
      <c r="M126" s="7" t="s">
        <v>39</v>
      </c>
      <c r="N126" s="7" t="s">
        <v>913</v>
      </c>
      <c r="O126" s="7" t="s">
        <v>974</v>
      </c>
      <c r="P126" s="7"/>
      <c r="Q126" s="7"/>
      <c r="R126" s="7" t="s">
        <v>3</v>
      </c>
      <c r="S126" s="130" t="s">
        <v>1165</v>
      </c>
      <c r="T126" s="32" t="s">
        <v>3497</v>
      </c>
      <c r="U126" s="12" t="s">
        <v>1029</v>
      </c>
    </row>
    <row r="127" ht="15.75" customHeight="1">
      <c r="A127" s="7" t="s">
        <v>3498</v>
      </c>
      <c r="B127" s="7" t="s">
        <v>1011</v>
      </c>
      <c r="C127" s="7" t="s">
        <v>755</v>
      </c>
      <c r="D127" s="7" t="s">
        <v>907</v>
      </c>
      <c r="E127" s="7" t="s">
        <v>829</v>
      </c>
      <c r="F127" s="7" t="s">
        <v>12</v>
      </c>
      <c r="G127" s="7" t="s">
        <v>908</v>
      </c>
      <c r="H127" s="58" t="s">
        <v>176</v>
      </c>
      <c r="I127" s="33" t="s">
        <v>3269</v>
      </c>
      <c r="J127" s="33" t="s">
        <v>3270</v>
      </c>
      <c r="K127" s="58" t="s">
        <v>3499</v>
      </c>
      <c r="L127" s="58" t="s">
        <v>3500</v>
      </c>
      <c r="M127" s="7" t="s">
        <v>39</v>
      </c>
      <c r="N127" s="7" t="s">
        <v>913</v>
      </c>
      <c r="O127" s="7" t="s">
        <v>3501</v>
      </c>
      <c r="P127" s="7"/>
      <c r="Q127" s="7"/>
      <c r="R127" s="7" t="s">
        <v>3</v>
      </c>
      <c r="S127" s="7" t="s">
        <v>3175</v>
      </c>
      <c r="T127" s="32" t="s">
        <v>3502</v>
      </c>
      <c r="U127" s="236"/>
    </row>
    <row r="128" ht="15.75" customHeight="1">
      <c r="A128" s="7" t="s">
        <v>3503</v>
      </c>
      <c r="B128" s="7" t="s">
        <v>1011</v>
      </c>
      <c r="C128" s="7" t="s">
        <v>755</v>
      </c>
      <c r="D128" s="7" t="s">
        <v>907</v>
      </c>
      <c r="E128" s="7" t="s">
        <v>829</v>
      </c>
      <c r="F128" s="7" t="s">
        <v>12</v>
      </c>
      <c r="G128" s="7" t="s">
        <v>908</v>
      </c>
      <c r="H128" s="58" t="s">
        <v>176</v>
      </c>
      <c r="I128" s="33" t="s">
        <v>3504</v>
      </c>
      <c r="J128" s="33" t="s">
        <v>3505</v>
      </c>
      <c r="K128" s="58" t="s">
        <v>3506</v>
      </c>
      <c r="L128" s="33" t="s">
        <v>39</v>
      </c>
      <c r="M128" s="7" t="s">
        <v>39</v>
      </c>
      <c r="N128" s="7" t="s">
        <v>913</v>
      </c>
      <c r="O128" s="7"/>
      <c r="P128" s="7"/>
      <c r="Q128" s="7"/>
      <c r="R128" s="7" t="s">
        <v>3</v>
      </c>
      <c r="S128" s="7" t="s">
        <v>3175</v>
      </c>
      <c r="T128" s="32" t="s">
        <v>3360</v>
      </c>
      <c r="U128" s="236"/>
    </row>
    <row r="129" ht="15.75" customHeight="1">
      <c r="A129" s="7" t="s">
        <v>3507</v>
      </c>
      <c r="B129" s="7" t="s">
        <v>1011</v>
      </c>
      <c r="C129" s="7" t="s">
        <v>755</v>
      </c>
      <c r="D129" s="7" t="s">
        <v>907</v>
      </c>
      <c r="E129" s="7" t="s">
        <v>829</v>
      </c>
      <c r="F129" s="7" t="s">
        <v>12</v>
      </c>
      <c r="G129" s="7" t="s">
        <v>908</v>
      </c>
      <c r="H129" s="58" t="s">
        <v>176</v>
      </c>
      <c r="I129" s="33" t="s">
        <v>3508</v>
      </c>
      <c r="J129" s="33" t="s">
        <v>3509</v>
      </c>
      <c r="K129" s="58" t="s">
        <v>3510</v>
      </c>
      <c r="L129" s="33" t="s">
        <v>39</v>
      </c>
      <c r="M129" s="7" t="s">
        <v>39</v>
      </c>
      <c r="N129" s="7" t="s">
        <v>913</v>
      </c>
      <c r="O129" s="7"/>
      <c r="P129" s="7"/>
      <c r="Q129" s="7"/>
      <c r="R129" s="7" t="s">
        <v>3</v>
      </c>
      <c r="S129" s="7" t="s">
        <v>3175</v>
      </c>
      <c r="T129" s="32" t="s">
        <v>3360</v>
      </c>
      <c r="U129" s="236"/>
    </row>
    <row r="130" ht="15.75" customHeight="1">
      <c r="A130" s="7" t="s">
        <v>3511</v>
      </c>
      <c r="B130" s="7" t="s">
        <v>1011</v>
      </c>
      <c r="C130" s="7" t="s">
        <v>747</v>
      </c>
      <c r="D130" s="7" t="s">
        <v>907</v>
      </c>
      <c r="E130" s="7" t="s">
        <v>829</v>
      </c>
      <c r="F130" s="7" t="s">
        <v>12</v>
      </c>
      <c r="G130" s="7" t="s">
        <v>1800</v>
      </c>
      <c r="H130" s="58" t="s">
        <v>176</v>
      </c>
      <c r="I130" s="33" t="s">
        <v>3512</v>
      </c>
      <c r="J130" s="33" t="s">
        <v>3513</v>
      </c>
      <c r="K130" s="58" t="s">
        <v>3514</v>
      </c>
      <c r="L130" s="33" t="s">
        <v>39</v>
      </c>
      <c r="M130" s="7" t="s">
        <v>39</v>
      </c>
      <c r="N130" s="7" t="s">
        <v>913</v>
      </c>
      <c r="O130" s="7" t="s">
        <v>753</v>
      </c>
      <c r="P130" s="7"/>
      <c r="Q130" s="7"/>
      <c r="R130" s="7" t="s">
        <v>4</v>
      </c>
      <c r="S130" s="7" t="s">
        <v>3175</v>
      </c>
      <c r="T130" s="32" t="s">
        <v>3515</v>
      </c>
      <c r="U130" s="236"/>
    </row>
    <row r="131" ht="15.75" customHeight="1">
      <c r="A131" s="7" t="s">
        <v>3516</v>
      </c>
      <c r="B131" s="7" t="s">
        <v>1011</v>
      </c>
      <c r="C131" s="7" t="s">
        <v>755</v>
      </c>
      <c r="D131" s="7" t="s">
        <v>907</v>
      </c>
      <c r="E131" s="7" t="s">
        <v>829</v>
      </c>
      <c r="F131" s="7" t="s">
        <v>12</v>
      </c>
      <c r="G131" s="7" t="s">
        <v>1014</v>
      </c>
      <c r="H131" s="58" t="s">
        <v>176</v>
      </c>
      <c r="I131" s="33" t="s">
        <v>3517</v>
      </c>
      <c r="J131" s="33" t="s">
        <v>3518</v>
      </c>
      <c r="K131" s="58" t="s">
        <v>3519</v>
      </c>
      <c r="L131" s="33" t="s">
        <v>39</v>
      </c>
      <c r="M131" s="7" t="s">
        <v>39</v>
      </c>
      <c r="N131" s="7" t="s">
        <v>913</v>
      </c>
      <c r="O131" s="7"/>
      <c r="P131" s="7"/>
      <c r="Q131" s="7"/>
      <c r="R131" s="7" t="s">
        <v>3</v>
      </c>
      <c r="S131" s="7" t="s">
        <v>3175</v>
      </c>
      <c r="T131" s="32" t="s">
        <v>3360</v>
      </c>
      <c r="U131" s="236"/>
    </row>
    <row r="132" ht="15.75" customHeight="1">
      <c r="A132" s="7" t="s">
        <v>3520</v>
      </c>
      <c r="B132" s="7" t="s">
        <v>1011</v>
      </c>
      <c r="C132" s="7" t="s">
        <v>747</v>
      </c>
      <c r="D132" s="7" t="s">
        <v>907</v>
      </c>
      <c r="E132" s="7" t="s">
        <v>829</v>
      </c>
      <c r="F132" s="7" t="s">
        <v>12</v>
      </c>
      <c r="G132" s="7" t="s">
        <v>908</v>
      </c>
      <c r="H132" s="58" t="s">
        <v>176</v>
      </c>
      <c r="I132" s="33" t="s">
        <v>3521</v>
      </c>
      <c r="J132" s="33" t="s">
        <v>3522</v>
      </c>
      <c r="K132" s="58" t="s">
        <v>3523</v>
      </c>
      <c r="L132" s="33" t="s">
        <v>39</v>
      </c>
      <c r="M132" s="7" t="s">
        <v>39</v>
      </c>
      <c r="N132" s="7" t="s">
        <v>913</v>
      </c>
      <c r="O132" s="7"/>
      <c r="P132" s="7"/>
      <c r="Q132" s="7"/>
      <c r="R132" s="7" t="s">
        <v>3</v>
      </c>
      <c r="S132" s="7" t="s">
        <v>3175</v>
      </c>
      <c r="T132" s="32" t="s">
        <v>3360</v>
      </c>
      <c r="U132" s="236"/>
    </row>
    <row r="133" ht="15.75" customHeight="1">
      <c r="A133" s="7" t="s">
        <v>3524</v>
      </c>
      <c r="B133" s="7" t="s">
        <v>1011</v>
      </c>
      <c r="C133" s="7" t="s">
        <v>747</v>
      </c>
      <c r="D133" s="7" t="s">
        <v>907</v>
      </c>
      <c r="E133" s="7" t="s">
        <v>829</v>
      </c>
      <c r="F133" s="7" t="s">
        <v>12</v>
      </c>
      <c r="G133" s="7" t="s">
        <v>908</v>
      </c>
      <c r="H133" s="58" t="s">
        <v>58</v>
      </c>
      <c r="I133" s="33" t="s">
        <v>3521</v>
      </c>
      <c r="J133" s="33" t="s">
        <v>3522</v>
      </c>
      <c r="K133" s="58" t="s">
        <v>3525</v>
      </c>
      <c r="L133" s="33" t="s">
        <v>39</v>
      </c>
      <c r="M133" s="7" t="s">
        <v>39</v>
      </c>
      <c r="N133" s="7" t="s">
        <v>913</v>
      </c>
      <c r="O133" s="7"/>
      <c r="P133" s="7"/>
      <c r="Q133" s="7"/>
      <c r="R133" s="7" t="s">
        <v>3</v>
      </c>
      <c r="S133" s="130">
        <v>46267.0</v>
      </c>
      <c r="T133" s="32" t="s">
        <v>3276</v>
      </c>
      <c r="U133" s="236"/>
    </row>
    <row r="134" ht="15.75" customHeight="1">
      <c r="A134" s="7" t="s">
        <v>3526</v>
      </c>
      <c r="B134" s="7" t="s">
        <v>1011</v>
      </c>
      <c r="C134" s="7" t="s">
        <v>747</v>
      </c>
      <c r="D134" s="7" t="s">
        <v>907</v>
      </c>
      <c r="E134" s="7" t="s">
        <v>829</v>
      </c>
      <c r="F134" s="7" t="s">
        <v>12</v>
      </c>
      <c r="G134" s="7" t="s">
        <v>908</v>
      </c>
      <c r="H134" s="58" t="s">
        <v>176</v>
      </c>
      <c r="I134" s="33" t="s">
        <v>3527</v>
      </c>
      <c r="J134" s="33" t="s">
        <v>3528</v>
      </c>
      <c r="K134" s="58" t="s">
        <v>3529</v>
      </c>
      <c r="L134" s="33" t="s">
        <v>39</v>
      </c>
      <c r="M134" s="7" t="s">
        <v>39</v>
      </c>
      <c r="N134" s="7" t="s">
        <v>913</v>
      </c>
      <c r="O134" s="7"/>
      <c r="P134" s="7"/>
      <c r="Q134" s="7"/>
      <c r="R134" s="7" t="s">
        <v>3</v>
      </c>
      <c r="S134" s="7" t="s">
        <v>2944</v>
      </c>
      <c r="T134" s="32"/>
      <c r="U134" s="236"/>
    </row>
    <row r="135" ht="15.75" customHeight="1">
      <c r="A135" s="7" t="s">
        <v>3530</v>
      </c>
      <c r="B135" s="7" t="s">
        <v>1011</v>
      </c>
      <c r="C135" s="7" t="s">
        <v>747</v>
      </c>
      <c r="D135" s="7" t="s">
        <v>907</v>
      </c>
      <c r="E135" s="7" t="s">
        <v>829</v>
      </c>
      <c r="F135" s="7" t="s">
        <v>12</v>
      </c>
      <c r="G135" s="7" t="s">
        <v>1183</v>
      </c>
      <c r="H135" s="58" t="s">
        <v>176</v>
      </c>
      <c r="I135" s="33" t="s">
        <v>3325</v>
      </c>
      <c r="J135" s="33" t="s">
        <v>3326</v>
      </c>
      <c r="K135" s="58" t="s">
        <v>3531</v>
      </c>
      <c r="L135" s="33" t="s">
        <v>39</v>
      </c>
      <c r="M135" s="7" t="s">
        <v>39</v>
      </c>
      <c r="N135" s="7" t="s">
        <v>913</v>
      </c>
      <c r="O135" s="7"/>
      <c r="P135" s="7"/>
      <c r="Q135" s="7"/>
      <c r="R135" s="7" t="s">
        <v>3</v>
      </c>
      <c r="S135" s="7" t="s">
        <v>2944</v>
      </c>
      <c r="T135" s="32"/>
      <c r="U135" s="236"/>
    </row>
    <row r="136" ht="15.75" customHeight="1">
      <c r="A136" s="7" t="s">
        <v>3532</v>
      </c>
      <c r="B136" s="7" t="s">
        <v>1011</v>
      </c>
      <c r="C136" s="7" t="s">
        <v>747</v>
      </c>
      <c r="D136" s="7" t="s">
        <v>907</v>
      </c>
      <c r="E136" s="7" t="s">
        <v>1004</v>
      </c>
      <c r="F136" s="7" t="s">
        <v>16</v>
      </c>
      <c r="G136" s="7" t="s">
        <v>3533</v>
      </c>
      <c r="H136" s="58" t="s">
        <v>176</v>
      </c>
      <c r="I136" s="33" t="s">
        <v>3534</v>
      </c>
      <c r="J136" s="33" t="s">
        <v>3535</v>
      </c>
      <c r="K136" s="58" t="s">
        <v>3536</v>
      </c>
      <c r="L136" s="33" t="s">
        <v>39</v>
      </c>
      <c r="M136" s="7" t="s">
        <v>39</v>
      </c>
      <c r="N136" s="7" t="s">
        <v>913</v>
      </c>
      <c r="O136" s="7" t="s">
        <v>974</v>
      </c>
      <c r="P136" s="7"/>
      <c r="Q136" s="7"/>
      <c r="R136" s="7" t="s">
        <v>3</v>
      </c>
      <c r="S136" s="130" t="s">
        <v>1165</v>
      </c>
      <c r="T136" s="32" t="s">
        <v>3537</v>
      </c>
      <c r="U136" s="12" t="s">
        <v>1029</v>
      </c>
    </row>
    <row r="137" ht="15.75" customHeight="1">
      <c r="A137" s="7" t="s">
        <v>3538</v>
      </c>
      <c r="B137" s="7" t="s">
        <v>1011</v>
      </c>
      <c r="C137" s="7" t="s">
        <v>747</v>
      </c>
      <c r="D137" s="7" t="s">
        <v>907</v>
      </c>
      <c r="E137" s="7" t="s">
        <v>1004</v>
      </c>
      <c r="F137" s="7" t="s">
        <v>12</v>
      </c>
      <c r="G137" s="7" t="s">
        <v>1183</v>
      </c>
      <c r="H137" s="58" t="s">
        <v>176</v>
      </c>
      <c r="I137" s="33" t="s">
        <v>3186</v>
      </c>
      <c r="J137" s="33" t="s">
        <v>3539</v>
      </c>
      <c r="K137" s="58" t="s">
        <v>3540</v>
      </c>
      <c r="L137" s="58" t="s">
        <v>3541</v>
      </c>
      <c r="M137" s="7" t="s">
        <v>39</v>
      </c>
      <c r="N137" s="7" t="s">
        <v>913</v>
      </c>
      <c r="O137" s="7" t="s">
        <v>913</v>
      </c>
      <c r="P137" s="7" t="s">
        <v>3008</v>
      </c>
      <c r="Q137" s="33" t="s">
        <v>1073</v>
      </c>
      <c r="R137" s="7" t="s">
        <v>3</v>
      </c>
      <c r="S137" s="7" t="s">
        <v>1074</v>
      </c>
      <c r="T137" s="32" t="s">
        <v>3542</v>
      </c>
      <c r="U137" s="236"/>
    </row>
    <row r="138" ht="15.75" customHeight="1">
      <c r="A138" s="7" t="s">
        <v>3543</v>
      </c>
      <c r="B138" s="7" t="s">
        <v>1011</v>
      </c>
      <c r="C138" s="7" t="s">
        <v>770</v>
      </c>
      <c r="D138" s="7" t="s">
        <v>907</v>
      </c>
      <c r="E138" s="7" t="s">
        <v>1004</v>
      </c>
      <c r="F138" s="7" t="s">
        <v>12</v>
      </c>
      <c r="G138" s="7" t="s">
        <v>1086</v>
      </c>
      <c r="H138" s="58" t="s">
        <v>176</v>
      </c>
      <c r="I138" s="33" t="s">
        <v>3544</v>
      </c>
      <c r="J138" s="33" t="s">
        <v>3298</v>
      </c>
      <c r="K138" s="58" t="s">
        <v>3545</v>
      </c>
      <c r="L138" s="33" t="s">
        <v>39</v>
      </c>
      <c r="M138" s="7" t="s">
        <v>39</v>
      </c>
      <c r="N138" s="7" t="s">
        <v>913</v>
      </c>
      <c r="O138" s="7"/>
      <c r="P138" s="7"/>
      <c r="Q138" s="7"/>
      <c r="R138" s="7" t="s">
        <v>3</v>
      </c>
      <c r="S138" s="7" t="s">
        <v>2944</v>
      </c>
      <c r="T138" s="32"/>
      <c r="U138" s="236"/>
    </row>
    <row r="139" ht="15.75" customHeight="1">
      <c r="A139" s="7" t="s">
        <v>3546</v>
      </c>
      <c r="B139" s="7" t="s">
        <v>1011</v>
      </c>
      <c r="C139" s="7" t="s">
        <v>747</v>
      </c>
      <c r="D139" s="7" t="s">
        <v>907</v>
      </c>
      <c r="E139" s="7" t="s">
        <v>829</v>
      </c>
      <c r="F139" s="7" t="s">
        <v>12</v>
      </c>
      <c r="G139" s="7" t="s">
        <v>1183</v>
      </c>
      <c r="H139" s="58" t="s">
        <v>176</v>
      </c>
      <c r="I139" s="33" t="s">
        <v>3547</v>
      </c>
      <c r="J139" s="33" t="s">
        <v>3548</v>
      </c>
      <c r="K139" s="58" t="s">
        <v>3549</v>
      </c>
      <c r="L139" s="33" t="s">
        <v>39</v>
      </c>
      <c r="M139" s="7" t="s">
        <v>39</v>
      </c>
      <c r="N139" s="7" t="s">
        <v>913</v>
      </c>
      <c r="O139" s="7"/>
      <c r="P139" s="7"/>
      <c r="Q139" s="7"/>
      <c r="R139" s="7" t="s">
        <v>3</v>
      </c>
      <c r="S139" s="7" t="s">
        <v>2944</v>
      </c>
      <c r="T139" s="32" t="s">
        <v>3550</v>
      </c>
      <c r="U139" s="236"/>
    </row>
    <row r="140" ht="15.75" customHeight="1">
      <c r="A140" s="7" t="s">
        <v>3551</v>
      </c>
      <c r="B140" s="7" t="s">
        <v>1011</v>
      </c>
      <c r="C140" s="7" t="s">
        <v>770</v>
      </c>
      <c r="D140" s="7" t="s">
        <v>907</v>
      </c>
      <c r="E140" s="7" t="s">
        <v>829</v>
      </c>
      <c r="F140" s="7" t="s">
        <v>12</v>
      </c>
      <c r="G140" s="7" t="s">
        <v>2303</v>
      </c>
      <c r="H140" s="58" t="s">
        <v>70</v>
      </c>
      <c r="I140" s="33" t="s">
        <v>3552</v>
      </c>
      <c r="J140" s="33" t="s">
        <v>3553</v>
      </c>
      <c r="K140" s="58" t="s">
        <v>3554</v>
      </c>
      <c r="L140" s="33" t="s">
        <v>39</v>
      </c>
      <c r="M140" s="7" t="s">
        <v>39</v>
      </c>
      <c r="N140" s="7" t="s">
        <v>913</v>
      </c>
      <c r="O140" s="7"/>
      <c r="P140" s="7"/>
      <c r="Q140" s="7"/>
      <c r="R140" s="7" t="s">
        <v>3</v>
      </c>
      <c r="S140" s="7" t="s">
        <v>2944</v>
      </c>
      <c r="T140" s="32"/>
      <c r="U140" s="236"/>
    </row>
    <row r="141" ht="15.75" customHeight="1">
      <c r="A141" s="7" t="s">
        <v>3555</v>
      </c>
      <c r="B141" s="7" t="s">
        <v>3556</v>
      </c>
      <c r="C141" s="7" t="s">
        <v>747</v>
      </c>
      <c r="D141" s="7" t="s">
        <v>907</v>
      </c>
      <c r="E141" s="7" t="s">
        <v>1004</v>
      </c>
      <c r="F141" s="7" t="s">
        <v>12</v>
      </c>
      <c r="G141" s="7" t="s">
        <v>2303</v>
      </c>
      <c r="H141" s="58" t="s">
        <v>3557</v>
      </c>
      <c r="I141" s="33" t="s">
        <v>3376</v>
      </c>
      <c r="J141" s="33" t="s">
        <v>3558</v>
      </c>
      <c r="K141" s="58" t="s">
        <v>3559</v>
      </c>
      <c r="L141" s="33" t="s">
        <v>39</v>
      </c>
      <c r="M141" s="7" t="s">
        <v>39</v>
      </c>
      <c r="N141" s="7" t="s">
        <v>913</v>
      </c>
      <c r="O141" s="7"/>
      <c r="P141" s="7"/>
      <c r="Q141" s="7"/>
      <c r="R141" s="7" t="s">
        <v>3</v>
      </c>
      <c r="S141" s="7" t="s">
        <v>2944</v>
      </c>
      <c r="T141" s="32"/>
      <c r="U141" s="236"/>
    </row>
    <row r="142" ht="15.75" customHeight="1">
      <c r="A142" s="7" t="s">
        <v>3560</v>
      </c>
      <c r="B142" s="7" t="s">
        <v>3556</v>
      </c>
      <c r="C142" s="7" t="s">
        <v>747</v>
      </c>
      <c r="D142" s="7" t="s">
        <v>907</v>
      </c>
      <c r="E142" s="7" t="s">
        <v>829</v>
      </c>
      <c r="F142" s="7" t="s">
        <v>12</v>
      </c>
      <c r="G142" s="7" t="s">
        <v>2303</v>
      </c>
      <c r="H142" s="58" t="s">
        <v>3557</v>
      </c>
      <c r="I142" s="33" t="s">
        <v>3334</v>
      </c>
      <c r="J142" s="33" t="s">
        <v>3448</v>
      </c>
      <c r="K142" s="58" t="s">
        <v>3561</v>
      </c>
      <c r="L142" s="33" t="s">
        <v>39</v>
      </c>
      <c r="M142" s="7" t="s">
        <v>39</v>
      </c>
      <c r="N142" s="7" t="s">
        <v>913</v>
      </c>
      <c r="O142" s="7"/>
      <c r="P142" s="7"/>
      <c r="Q142" s="7"/>
      <c r="R142" s="7" t="s">
        <v>3</v>
      </c>
      <c r="S142" s="7" t="s">
        <v>2944</v>
      </c>
      <c r="T142" s="32"/>
      <c r="U142" s="236"/>
    </row>
    <row r="143" ht="15.75" customHeight="1">
      <c r="A143" s="7" t="s">
        <v>3562</v>
      </c>
      <c r="B143" s="7" t="s">
        <v>3556</v>
      </c>
      <c r="C143" s="7" t="s">
        <v>747</v>
      </c>
      <c r="D143" s="7" t="s">
        <v>907</v>
      </c>
      <c r="E143" s="7" t="s">
        <v>2947</v>
      </c>
      <c r="F143" s="7" t="s">
        <v>12</v>
      </c>
      <c r="G143" s="7" t="s">
        <v>805</v>
      </c>
      <c r="H143" s="58" t="s">
        <v>3557</v>
      </c>
      <c r="I143" s="33" t="s">
        <v>3563</v>
      </c>
      <c r="J143" s="33" t="s">
        <v>3564</v>
      </c>
      <c r="K143" s="58" t="s">
        <v>3565</v>
      </c>
      <c r="L143" s="33" t="s">
        <v>39</v>
      </c>
      <c r="M143" s="7" t="s">
        <v>39</v>
      </c>
      <c r="N143" s="7" t="s">
        <v>913</v>
      </c>
      <c r="O143" s="7" t="s">
        <v>1010</v>
      </c>
      <c r="P143" s="7" t="s">
        <v>3200</v>
      </c>
      <c r="Q143" s="33" t="s">
        <v>3566</v>
      </c>
      <c r="R143" s="7" t="s">
        <v>4</v>
      </c>
      <c r="S143" s="7" t="s">
        <v>3567</v>
      </c>
      <c r="T143" s="32" t="s">
        <v>3568</v>
      </c>
      <c r="U143" s="236"/>
    </row>
    <row r="144" ht="15.75" customHeight="1">
      <c r="A144" s="7" t="s">
        <v>3569</v>
      </c>
      <c r="B144" s="7" t="s">
        <v>3556</v>
      </c>
      <c r="C144" s="7" t="s">
        <v>755</v>
      </c>
      <c r="D144" s="7" t="s">
        <v>907</v>
      </c>
      <c r="E144" s="7" t="s">
        <v>829</v>
      </c>
      <c r="F144" s="7" t="s">
        <v>12</v>
      </c>
      <c r="G144" s="7" t="s">
        <v>1014</v>
      </c>
      <c r="H144" s="58" t="s">
        <v>3557</v>
      </c>
      <c r="I144" s="33" t="s">
        <v>3570</v>
      </c>
      <c r="J144" s="33" t="s">
        <v>3571</v>
      </c>
      <c r="K144" s="58" t="s">
        <v>3572</v>
      </c>
      <c r="L144" s="33" t="s">
        <v>39</v>
      </c>
      <c r="M144" s="7" t="s">
        <v>39</v>
      </c>
      <c r="N144" s="7" t="s">
        <v>913</v>
      </c>
      <c r="O144" s="7"/>
      <c r="P144" s="7"/>
      <c r="Q144" s="7"/>
      <c r="R144" s="7" t="s">
        <v>3</v>
      </c>
      <c r="S144" s="7" t="s">
        <v>3573</v>
      </c>
      <c r="T144" s="32" t="s">
        <v>3574</v>
      </c>
      <c r="U144" s="236"/>
    </row>
    <row r="145" ht="15.75" customHeight="1">
      <c r="A145" s="7" t="s">
        <v>3575</v>
      </c>
      <c r="B145" s="7" t="s">
        <v>3556</v>
      </c>
      <c r="C145" s="7" t="s">
        <v>747</v>
      </c>
      <c r="D145" s="7" t="s">
        <v>907</v>
      </c>
      <c r="E145" s="7" t="s">
        <v>829</v>
      </c>
      <c r="F145" s="7" t="s">
        <v>12</v>
      </c>
      <c r="G145" s="7" t="s">
        <v>908</v>
      </c>
      <c r="H145" s="58" t="s">
        <v>3557</v>
      </c>
      <c r="I145" s="33" t="s">
        <v>3576</v>
      </c>
      <c r="J145" s="33" t="s">
        <v>3577</v>
      </c>
      <c r="K145" s="58" t="s">
        <v>3578</v>
      </c>
      <c r="L145" s="33" t="s">
        <v>39</v>
      </c>
      <c r="M145" s="7" t="s">
        <v>39</v>
      </c>
      <c r="N145" s="7" t="s">
        <v>913</v>
      </c>
      <c r="O145" s="7"/>
      <c r="P145" s="7"/>
      <c r="Q145" s="7"/>
      <c r="R145" s="134" t="s">
        <v>3</v>
      </c>
      <c r="S145" s="134" t="s">
        <v>3175</v>
      </c>
      <c r="T145" s="192" t="s">
        <v>3360</v>
      </c>
      <c r="U145" s="236"/>
    </row>
    <row r="146" ht="15.75" customHeight="1">
      <c r="A146" s="7" t="s">
        <v>3579</v>
      </c>
      <c r="B146" s="7" t="s">
        <v>3556</v>
      </c>
      <c r="C146" s="7" t="s">
        <v>755</v>
      </c>
      <c r="D146" s="7" t="s">
        <v>907</v>
      </c>
      <c r="E146" s="7" t="s">
        <v>829</v>
      </c>
      <c r="F146" s="7" t="s">
        <v>12</v>
      </c>
      <c r="G146" s="7" t="s">
        <v>908</v>
      </c>
      <c r="H146" s="58" t="s">
        <v>3557</v>
      </c>
      <c r="I146" s="33" t="s">
        <v>3580</v>
      </c>
      <c r="J146" s="33" t="s">
        <v>3581</v>
      </c>
      <c r="K146" s="58" t="s">
        <v>3582</v>
      </c>
      <c r="L146" s="33" t="s">
        <v>39</v>
      </c>
      <c r="M146" s="7" t="s">
        <v>39</v>
      </c>
      <c r="N146" s="7" t="s">
        <v>913</v>
      </c>
      <c r="O146" s="7"/>
      <c r="P146" s="7"/>
      <c r="Q146" s="7"/>
      <c r="R146" s="7" t="s">
        <v>3</v>
      </c>
      <c r="S146" s="130">
        <v>46267.0</v>
      </c>
      <c r="T146" s="32" t="s">
        <v>3583</v>
      </c>
      <c r="U146" s="236"/>
    </row>
    <row r="147" ht="15.75" customHeight="1">
      <c r="A147" s="7" t="s">
        <v>3584</v>
      </c>
      <c r="B147" s="7" t="s">
        <v>3556</v>
      </c>
      <c r="C147" s="7" t="s">
        <v>770</v>
      </c>
      <c r="D147" s="7" t="s">
        <v>907</v>
      </c>
      <c r="E147" s="7" t="s">
        <v>1004</v>
      </c>
      <c r="F147" s="7" t="s">
        <v>12</v>
      </c>
      <c r="G147" s="7" t="s">
        <v>1086</v>
      </c>
      <c r="H147" s="58" t="s">
        <v>3557</v>
      </c>
      <c r="I147" s="33" t="s">
        <v>3585</v>
      </c>
      <c r="J147" s="33" t="s">
        <v>3298</v>
      </c>
      <c r="K147" s="58" t="s">
        <v>3586</v>
      </c>
      <c r="L147" s="33" t="s">
        <v>39</v>
      </c>
      <c r="M147" s="7" t="s">
        <v>39</v>
      </c>
      <c r="N147" s="7" t="s">
        <v>913</v>
      </c>
      <c r="O147" s="7"/>
      <c r="P147" s="7"/>
      <c r="Q147" s="7"/>
      <c r="R147" s="7" t="s">
        <v>3</v>
      </c>
      <c r="S147" s="7" t="s">
        <v>2944</v>
      </c>
      <c r="T147" s="32"/>
      <c r="U147" s="236"/>
    </row>
    <row r="148" ht="15.75" customHeight="1">
      <c r="A148" s="7" t="s">
        <v>3587</v>
      </c>
      <c r="B148" s="7" t="s">
        <v>3556</v>
      </c>
      <c r="C148" s="7" t="s">
        <v>747</v>
      </c>
      <c r="D148" s="7" t="s">
        <v>907</v>
      </c>
      <c r="E148" s="7" t="s">
        <v>1004</v>
      </c>
      <c r="F148" s="7" t="s">
        <v>16</v>
      </c>
      <c r="G148" s="7" t="s">
        <v>1246</v>
      </c>
      <c r="H148" s="58" t="s">
        <v>3557</v>
      </c>
      <c r="I148" s="33" t="s">
        <v>3588</v>
      </c>
      <c r="J148" s="33" t="s">
        <v>3589</v>
      </c>
      <c r="K148" s="58" t="s">
        <v>3590</v>
      </c>
      <c r="L148" s="58" t="s">
        <v>3591</v>
      </c>
      <c r="M148" s="7" t="s">
        <v>39</v>
      </c>
      <c r="N148" s="7" t="s">
        <v>913</v>
      </c>
      <c r="O148" s="7" t="s">
        <v>974</v>
      </c>
      <c r="P148" s="7" t="s">
        <v>3200</v>
      </c>
      <c r="Q148" s="33"/>
      <c r="R148" s="7" t="s">
        <v>3</v>
      </c>
      <c r="S148" s="130" t="s">
        <v>1165</v>
      </c>
      <c r="T148" s="32" t="s">
        <v>3592</v>
      </c>
      <c r="U148" s="12" t="s">
        <v>1029</v>
      </c>
    </row>
    <row r="149" ht="15.75" customHeight="1">
      <c r="A149" s="7" t="s">
        <v>3593</v>
      </c>
      <c r="B149" s="7" t="s">
        <v>3556</v>
      </c>
      <c r="C149" s="7" t="s">
        <v>755</v>
      </c>
      <c r="D149" s="7" t="s">
        <v>907</v>
      </c>
      <c r="E149" s="7" t="s">
        <v>829</v>
      </c>
      <c r="F149" s="7" t="s">
        <v>12</v>
      </c>
      <c r="G149" s="7" t="s">
        <v>908</v>
      </c>
      <c r="H149" s="58" t="s">
        <v>3557</v>
      </c>
      <c r="I149" s="33" t="s">
        <v>3594</v>
      </c>
      <c r="J149" s="33" t="s">
        <v>3595</v>
      </c>
      <c r="K149" s="58" t="s">
        <v>3596</v>
      </c>
      <c r="L149" s="33" t="s">
        <v>39</v>
      </c>
      <c r="M149" s="7" t="s">
        <v>39</v>
      </c>
      <c r="N149" s="7" t="s">
        <v>913</v>
      </c>
      <c r="O149" s="7"/>
      <c r="P149" s="7"/>
      <c r="Q149" s="33"/>
      <c r="R149" s="7" t="s">
        <v>3</v>
      </c>
      <c r="S149" s="130">
        <v>46267.0</v>
      </c>
      <c r="T149" s="32" t="s">
        <v>3597</v>
      </c>
      <c r="U149" s="236"/>
    </row>
    <row r="150" ht="15.75" customHeight="1">
      <c r="A150" s="7" t="s">
        <v>3598</v>
      </c>
      <c r="B150" s="7" t="s">
        <v>3556</v>
      </c>
      <c r="C150" s="7" t="s">
        <v>755</v>
      </c>
      <c r="D150" s="7" t="s">
        <v>907</v>
      </c>
      <c r="E150" s="7" t="s">
        <v>829</v>
      </c>
      <c r="F150" s="7" t="s">
        <v>12</v>
      </c>
      <c r="G150" s="7" t="s">
        <v>908</v>
      </c>
      <c r="H150" s="58" t="s">
        <v>3557</v>
      </c>
      <c r="I150" s="33" t="s">
        <v>3599</v>
      </c>
      <c r="J150" s="33" t="s">
        <v>3600</v>
      </c>
      <c r="K150" s="58" t="s">
        <v>3601</v>
      </c>
      <c r="L150" s="33" t="s">
        <v>39</v>
      </c>
      <c r="M150" s="7" t="s">
        <v>39</v>
      </c>
      <c r="N150" s="7" t="s">
        <v>913</v>
      </c>
      <c r="O150" s="7"/>
      <c r="P150" s="7"/>
      <c r="Q150" s="33"/>
      <c r="R150" s="7" t="s">
        <v>3</v>
      </c>
      <c r="S150" s="130">
        <v>46267.0</v>
      </c>
      <c r="T150" s="32" t="s">
        <v>3602</v>
      </c>
      <c r="U150" s="236"/>
    </row>
    <row r="151" ht="15.75" customHeight="1">
      <c r="A151" s="7" t="s">
        <v>3603</v>
      </c>
      <c r="B151" s="7" t="s">
        <v>3556</v>
      </c>
      <c r="C151" s="7" t="s">
        <v>755</v>
      </c>
      <c r="D151" s="7" t="s">
        <v>907</v>
      </c>
      <c r="E151" s="7" t="s">
        <v>829</v>
      </c>
      <c r="F151" s="7" t="s">
        <v>12</v>
      </c>
      <c r="G151" s="7" t="s">
        <v>908</v>
      </c>
      <c r="H151" s="58" t="s">
        <v>3557</v>
      </c>
      <c r="I151" s="33" t="s">
        <v>3604</v>
      </c>
      <c r="J151" s="33" t="s">
        <v>3605</v>
      </c>
      <c r="K151" s="58" t="s">
        <v>3606</v>
      </c>
      <c r="L151" s="33" t="s">
        <v>39</v>
      </c>
      <c r="M151" s="7" t="s">
        <v>39</v>
      </c>
      <c r="N151" s="7" t="s">
        <v>913</v>
      </c>
      <c r="O151" s="7" t="s">
        <v>913</v>
      </c>
      <c r="P151" s="7" t="s">
        <v>1029</v>
      </c>
      <c r="Q151" s="33" t="s">
        <v>1221</v>
      </c>
      <c r="R151" s="7" t="s">
        <v>3</v>
      </c>
      <c r="S151" s="130" t="s">
        <v>1062</v>
      </c>
      <c r="T151" s="32" t="s">
        <v>3607</v>
      </c>
      <c r="U151" s="236"/>
    </row>
    <row r="152" ht="15.75" customHeight="1">
      <c r="A152" s="7" t="s">
        <v>3608</v>
      </c>
      <c r="B152" s="7" t="s">
        <v>3556</v>
      </c>
      <c r="C152" s="7" t="s">
        <v>770</v>
      </c>
      <c r="D152" s="7" t="s">
        <v>907</v>
      </c>
      <c r="E152" s="7" t="s">
        <v>829</v>
      </c>
      <c r="F152" s="7" t="s">
        <v>12</v>
      </c>
      <c r="G152" s="7" t="s">
        <v>1086</v>
      </c>
      <c r="H152" s="58" t="s">
        <v>3557</v>
      </c>
      <c r="I152" s="33" t="s">
        <v>3192</v>
      </c>
      <c r="J152" s="33" t="s">
        <v>3193</v>
      </c>
      <c r="K152" s="58" t="s">
        <v>3609</v>
      </c>
      <c r="L152" s="58" t="s">
        <v>3610</v>
      </c>
      <c r="M152" s="7" t="s">
        <v>39</v>
      </c>
      <c r="N152" s="7" t="s">
        <v>913</v>
      </c>
      <c r="O152" s="7" t="s">
        <v>913</v>
      </c>
      <c r="P152" s="7" t="s">
        <v>3008</v>
      </c>
      <c r="Q152" s="33" t="s">
        <v>3483</v>
      </c>
      <c r="R152" s="7" t="s">
        <v>3</v>
      </c>
      <c r="S152" s="7" t="s">
        <v>1034</v>
      </c>
      <c r="T152" s="32" t="s">
        <v>3611</v>
      </c>
      <c r="U152" s="236"/>
    </row>
    <row r="153" ht="15.75" customHeight="1">
      <c r="A153" s="7" t="s">
        <v>3612</v>
      </c>
      <c r="B153" s="7" t="s">
        <v>3556</v>
      </c>
      <c r="C153" s="7" t="s">
        <v>747</v>
      </c>
      <c r="D153" s="7" t="s">
        <v>907</v>
      </c>
      <c r="E153" s="7" t="s">
        <v>3613</v>
      </c>
      <c r="F153" s="7" t="s">
        <v>12</v>
      </c>
      <c r="G153" s="7" t="s">
        <v>805</v>
      </c>
      <c r="H153" s="58" t="s">
        <v>3557</v>
      </c>
      <c r="I153" s="33" t="s">
        <v>3614</v>
      </c>
      <c r="J153" s="33" t="s">
        <v>3615</v>
      </c>
      <c r="K153" s="58" t="s">
        <v>3616</v>
      </c>
      <c r="L153" s="33" t="s">
        <v>39</v>
      </c>
      <c r="M153" s="7" t="s">
        <v>39</v>
      </c>
      <c r="N153" s="7" t="s">
        <v>913</v>
      </c>
      <c r="O153" s="7" t="s">
        <v>1010</v>
      </c>
      <c r="P153" s="7" t="s">
        <v>3200</v>
      </c>
      <c r="Q153" s="33" t="s">
        <v>3617</v>
      </c>
      <c r="R153" s="7" t="s">
        <v>4</v>
      </c>
      <c r="S153" s="7" t="s">
        <v>1034</v>
      </c>
      <c r="T153" s="32" t="s">
        <v>3618</v>
      </c>
      <c r="U153" s="236"/>
    </row>
    <row r="154" ht="15.75" customHeight="1">
      <c r="A154" s="251" t="s">
        <v>3619</v>
      </c>
      <c r="B154" s="251" t="s">
        <v>3556</v>
      </c>
      <c r="C154" s="251" t="s">
        <v>747</v>
      </c>
      <c r="D154" s="251" t="s">
        <v>907</v>
      </c>
      <c r="E154" s="251" t="s">
        <v>768</v>
      </c>
      <c r="F154" s="251" t="s">
        <v>6</v>
      </c>
      <c r="G154" s="251" t="s">
        <v>2303</v>
      </c>
      <c r="H154" s="253" t="s">
        <v>3557</v>
      </c>
      <c r="I154" s="252" t="s">
        <v>3620</v>
      </c>
      <c r="J154" s="252" t="s">
        <v>3408</v>
      </c>
      <c r="K154" s="253" t="s">
        <v>3621</v>
      </c>
      <c r="L154" s="252" t="s">
        <v>39</v>
      </c>
      <c r="M154" s="251" t="s">
        <v>39</v>
      </c>
      <c r="N154" s="251" t="s">
        <v>913</v>
      </c>
      <c r="O154" s="251" t="s">
        <v>913</v>
      </c>
      <c r="P154" s="251" t="s">
        <v>1018</v>
      </c>
      <c r="Q154" s="252" t="s">
        <v>3622</v>
      </c>
      <c r="R154" s="251" t="s">
        <v>3</v>
      </c>
      <c r="S154" s="251" t="s">
        <v>3175</v>
      </c>
      <c r="T154" s="254" t="s">
        <v>3623</v>
      </c>
      <c r="U154" s="308" t="s">
        <v>869</v>
      </c>
      <c r="V154" s="262"/>
      <c r="W154" s="262"/>
      <c r="X154" s="262"/>
      <c r="Y154" s="262"/>
      <c r="Z154" s="262"/>
    </row>
    <row r="155" ht="15.75" customHeight="1">
      <c r="A155" s="7" t="s">
        <v>3624</v>
      </c>
      <c r="B155" s="7" t="s">
        <v>3556</v>
      </c>
      <c r="C155" s="7" t="s">
        <v>755</v>
      </c>
      <c r="D155" s="7" t="s">
        <v>907</v>
      </c>
      <c r="E155" s="7" t="s">
        <v>829</v>
      </c>
      <c r="F155" s="7" t="s">
        <v>12</v>
      </c>
      <c r="G155" s="7" t="s">
        <v>908</v>
      </c>
      <c r="H155" s="58" t="s">
        <v>479</v>
      </c>
      <c r="I155" s="33" t="s">
        <v>3625</v>
      </c>
      <c r="J155" s="33" t="s">
        <v>3626</v>
      </c>
      <c r="K155" s="58" t="s">
        <v>3627</v>
      </c>
      <c r="L155" s="33" t="s">
        <v>39</v>
      </c>
      <c r="M155" s="7" t="s">
        <v>39</v>
      </c>
      <c r="N155" s="7" t="s">
        <v>913</v>
      </c>
      <c r="O155" s="7" t="s">
        <v>753</v>
      </c>
      <c r="P155" s="7"/>
      <c r="Q155" s="33" t="s">
        <v>1717</v>
      </c>
      <c r="R155" s="7" t="s">
        <v>3</v>
      </c>
      <c r="S155" s="7" t="s">
        <v>1027</v>
      </c>
      <c r="T155" s="32" t="s">
        <v>3628</v>
      </c>
      <c r="U155" s="236"/>
    </row>
    <row r="156" ht="15.75" customHeight="1">
      <c r="A156" s="7" t="s">
        <v>3629</v>
      </c>
      <c r="B156" s="7" t="s">
        <v>3556</v>
      </c>
      <c r="C156" s="7" t="s">
        <v>747</v>
      </c>
      <c r="D156" s="7" t="s">
        <v>907</v>
      </c>
      <c r="E156" s="7" t="s">
        <v>2947</v>
      </c>
      <c r="F156" s="7" t="s">
        <v>12</v>
      </c>
      <c r="G156" s="7" t="s">
        <v>805</v>
      </c>
      <c r="H156" s="58" t="s">
        <v>479</v>
      </c>
      <c r="I156" s="33" t="s">
        <v>3563</v>
      </c>
      <c r="J156" s="33" t="s">
        <v>3564</v>
      </c>
      <c r="K156" s="58" t="s">
        <v>3630</v>
      </c>
      <c r="L156" s="33" t="s">
        <v>39</v>
      </c>
      <c r="M156" s="7" t="s">
        <v>39</v>
      </c>
      <c r="N156" s="7" t="s">
        <v>913</v>
      </c>
      <c r="O156" s="7" t="s">
        <v>1010</v>
      </c>
      <c r="P156" s="7" t="s">
        <v>1018</v>
      </c>
      <c r="Q156" s="33" t="s">
        <v>1139</v>
      </c>
      <c r="R156" s="7" t="s">
        <v>4</v>
      </c>
      <c r="S156" s="7" t="s">
        <v>1659</v>
      </c>
      <c r="T156" s="32" t="s">
        <v>3125</v>
      </c>
      <c r="U156" s="31"/>
      <c r="V156" s="62"/>
      <c r="W156" s="62"/>
      <c r="X156" s="62"/>
      <c r="Y156" s="62"/>
      <c r="Z156" s="62"/>
    </row>
    <row r="157" ht="15.75" customHeight="1">
      <c r="A157" s="7" t="s">
        <v>3631</v>
      </c>
      <c r="B157" s="7" t="s">
        <v>3556</v>
      </c>
      <c r="C157" s="7" t="s">
        <v>747</v>
      </c>
      <c r="D157" s="7" t="s">
        <v>907</v>
      </c>
      <c r="E157" s="7" t="s">
        <v>1004</v>
      </c>
      <c r="F157" s="7" t="s">
        <v>12</v>
      </c>
      <c r="G157" s="7" t="s">
        <v>2303</v>
      </c>
      <c r="H157" s="58" t="s">
        <v>479</v>
      </c>
      <c r="I157" s="33" t="s">
        <v>3376</v>
      </c>
      <c r="J157" s="33" t="s">
        <v>3558</v>
      </c>
      <c r="K157" s="58" t="s">
        <v>3632</v>
      </c>
      <c r="L157" s="33" t="s">
        <v>39</v>
      </c>
      <c r="M157" s="7" t="s">
        <v>39</v>
      </c>
      <c r="N157" s="7" t="s">
        <v>913</v>
      </c>
      <c r="O157" s="7"/>
      <c r="P157" s="7"/>
      <c r="Q157" s="33"/>
      <c r="R157" s="7" t="s">
        <v>3</v>
      </c>
      <c r="S157" s="7" t="s">
        <v>2944</v>
      </c>
      <c r="T157" s="32"/>
      <c r="U157" s="236"/>
    </row>
    <row r="158" ht="15.75" customHeight="1">
      <c r="A158" s="7" t="s">
        <v>3633</v>
      </c>
      <c r="B158" s="7" t="s">
        <v>3556</v>
      </c>
      <c r="C158" s="7" t="s">
        <v>747</v>
      </c>
      <c r="D158" s="7" t="s">
        <v>907</v>
      </c>
      <c r="E158" s="7" t="s">
        <v>829</v>
      </c>
      <c r="F158" s="7" t="s">
        <v>12</v>
      </c>
      <c r="G158" s="7" t="s">
        <v>2303</v>
      </c>
      <c r="H158" s="58" t="s">
        <v>479</v>
      </c>
      <c r="I158" s="33" t="s">
        <v>3334</v>
      </c>
      <c r="J158" s="33" t="s">
        <v>3448</v>
      </c>
      <c r="K158" s="58" t="s">
        <v>3634</v>
      </c>
      <c r="L158" s="33" t="s">
        <v>39</v>
      </c>
      <c r="M158" s="7" t="s">
        <v>39</v>
      </c>
      <c r="N158" s="7" t="s">
        <v>913</v>
      </c>
      <c r="O158" s="7"/>
      <c r="P158" s="7"/>
      <c r="Q158" s="33"/>
      <c r="R158" s="7" t="s">
        <v>3</v>
      </c>
      <c r="S158" s="7" t="s">
        <v>2944</v>
      </c>
      <c r="T158" s="32"/>
      <c r="U158" s="236"/>
    </row>
    <row r="159" ht="15.75" customHeight="1">
      <c r="A159" s="7" t="s">
        <v>3635</v>
      </c>
      <c r="B159" s="7" t="s">
        <v>3556</v>
      </c>
      <c r="C159" s="7" t="s">
        <v>747</v>
      </c>
      <c r="D159" s="7" t="s">
        <v>907</v>
      </c>
      <c r="E159" s="7" t="s">
        <v>829</v>
      </c>
      <c r="F159" s="7" t="s">
        <v>12</v>
      </c>
      <c r="G159" s="7" t="s">
        <v>908</v>
      </c>
      <c r="H159" s="58" t="s">
        <v>479</v>
      </c>
      <c r="I159" s="33" t="s">
        <v>3636</v>
      </c>
      <c r="J159" s="33" t="s">
        <v>3637</v>
      </c>
      <c r="K159" s="58" t="s">
        <v>3638</v>
      </c>
      <c r="L159" s="33" t="s">
        <v>39</v>
      </c>
      <c r="M159" s="7" t="s">
        <v>39</v>
      </c>
      <c r="N159" s="7" t="s">
        <v>913</v>
      </c>
      <c r="O159" s="7"/>
      <c r="P159" s="7"/>
      <c r="Q159" s="33"/>
      <c r="R159" s="7" t="s">
        <v>3</v>
      </c>
      <c r="S159" s="130">
        <v>46267.0</v>
      </c>
      <c r="T159" s="32" t="s">
        <v>3639</v>
      </c>
      <c r="U159" s="236"/>
    </row>
    <row r="160" ht="15.75" customHeight="1">
      <c r="A160" s="7" t="s">
        <v>3640</v>
      </c>
      <c r="B160" s="7" t="s">
        <v>3556</v>
      </c>
      <c r="C160" s="7" t="s">
        <v>755</v>
      </c>
      <c r="D160" s="7" t="s">
        <v>907</v>
      </c>
      <c r="E160" s="7" t="s">
        <v>829</v>
      </c>
      <c r="F160" s="7" t="s">
        <v>12</v>
      </c>
      <c r="G160" s="7" t="s">
        <v>908</v>
      </c>
      <c r="H160" s="58" t="s">
        <v>479</v>
      </c>
      <c r="I160" s="33" t="s">
        <v>3641</v>
      </c>
      <c r="J160" s="33" t="s">
        <v>3642</v>
      </c>
      <c r="K160" s="58" t="s">
        <v>3643</v>
      </c>
      <c r="L160" s="33" t="s">
        <v>39</v>
      </c>
      <c r="M160" s="7" t="s">
        <v>39</v>
      </c>
      <c r="N160" s="7" t="s">
        <v>913</v>
      </c>
      <c r="O160" s="7"/>
      <c r="P160" s="7"/>
      <c r="Q160" s="33"/>
      <c r="R160" s="7" t="s">
        <v>3</v>
      </c>
      <c r="S160" s="130">
        <v>46267.0</v>
      </c>
      <c r="T160" s="32" t="s">
        <v>3639</v>
      </c>
      <c r="U160" s="236"/>
    </row>
    <row r="161" ht="15.75" customHeight="1">
      <c r="A161" s="7" t="s">
        <v>3644</v>
      </c>
      <c r="B161" s="7" t="s">
        <v>3556</v>
      </c>
      <c r="C161" s="7" t="s">
        <v>755</v>
      </c>
      <c r="D161" s="7" t="s">
        <v>907</v>
      </c>
      <c r="E161" s="7" t="s">
        <v>829</v>
      </c>
      <c r="F161" s="7" t="s">
        <v>12</v>
      </c>
      <c r="G161" s="7" t="s">
        <v>1014</v>
      </c>
      <c r="H161" s="58" t="s">
        <v>479</v>
      </c>
      <c r="I161" s="33" t="s">
        <v>3645</v>
      </c>
      <c r="J161" s="33" t="s">
        <v>3646</v>
      </c>
      <c r="K161" s="58" t="s">
        <v>3647</v>
      </c>
      <c r="L161" s="33" t="s">
        <v>39</v>
      </c>
      <c r="M161" s="7" t="s">
        <v>39</v>
      </c>
      <c r="N161" s="7" t="s">
        <v>913</v>
      </c>
      <c r="O161" s="7"/>
      <c r="P161" s="7"/>
      <c r="Q161" s="33"/>
      <c r="R161" s="7" t="s">
        <v>3</v>
      </c>
      <c r="S161" s="7" t="s">
        <v>3175</v>
      </c>
      <c r="T161" s="32" t="s">
        <v>3360</v>
      </c>
      <c r="U161" s="236"/>
    </row>
    <row r="162" ht="15.75" customHeight="1">
      <c r="A162" s="7" t="s">
        <v>3648</v>
      </c>
      <c r="B162" s="7" t="s">
        <v>3556</v>
      </c>
      <c r="C162" s="7" t="s">
        <v>755</v>
      </c>
      <c r="D162" s="7" t="s">
        <v>907</v>
      </c>
      <c r="E162" s="7" t="s">
        <v>829</v>
      </c>
      <c r="F162" s="7" t="s">
        <v>12</v>
      </c>
      <c r="G162" s="7" t="s">
        <v>1014</v>
      </c>
      <c r="H162" s="58" t="s">
        <v>479</v>
      </c>
      <c r="I162" s="33" t="s">
        <v>3570</v>
      </c>
      <c r="J162" s="33" t="s">
        <v>3571</v>
      </c>
      <c r="K162" s="58" t="s">
        <v>3649</v>
      </c>
      <c r="L162" s="33" t="s">
        <v>39</v>
      </c>
      <c r="M162" s="7" t="s">
        <v>39</v>
      </c>
      <c r="N162" s="7" t="s">
        <v>913</v>
      </c>
      <c r="O162" s="7"/>
      <c r="P162" s="7"/>
      <c r="Q162" s="33"/>
      <c r="R162" s="7" t="s">
        <v>3</v>
      </c>
      <c r="S162" s="7" t="s">
        <v>3175</v>
      </c>
      <c r="T162" s="32" t="s">
        <v>3360</v>
      </c>
      <c r="U162" s="236"/>
    </row>
    <row r="163" ht="15.75" customHeight="1">
      <c r="A163" s="7" t="s">
        <v>3650</v>
      </c>
      <c r="B163" s="7" t="s">
        <v>3556</v>
      </c>
      <c r="C163" s="7" t="s">
        <v>755</v>
      </c>
      <c r="D163" s="7" t="s">
        <v>907</v>
      </c>
      <c r="E163" s="7" t="s">
        <v>829</v>
      </c>
      <c r="F163" s="7" t="s">
        <v>12</v>
      </c>
      <c r="G163" s="7" t="s">
        <v>908</v>
      </c>
      <c r="H163" s="58" t="s">
        <v>479</v>
      </c>
      <c r="I163" s="33" t="s">
        <v>3651</v>
      </c>
      <c r="J163" s="33" t="s">
        <v>3652</v>
      </c>
      <c r="K163" s="58" t="s">
        <v>3653</v>
      </c>
      <c r="L163" s="33" t="s">
        <v>39</v>
      </c>
      <c r="M163" s="7" t="s">
        <v>39</v>
      </c>
      <c r="N163" s="7" t="s">
        <v>913</v>
      </c>
      <c r="O163" s="7"/>
      <c r="P163" s="7"/>
      <c r="Q163" s="33"/>
      <c r="R163" s="7" t="s">
        <v>3</v>
      </c>
      <c r="S163" s="130">
        <v>46267.0</v>
      </c>
      <c r="T163" s="32" t="s">
        <v>3639</v>
      </c>
      <c r="U163" s="236"/>
    </row>
    <row r="164" ht="15.75" customHeight="1">
      <c r="A164" s="7" t="s">
        <v>3654</v>
      </c>
      <c r="B164" s="7" t="s">
        <v>3556</v>
      </c>
      <c r="C164" s="7" t="s">
        <v>747</v>
      </c>
      <c r="D164" s="7" t="s">
        <v>907</v>
      </c>
      <c r="E164" s="7" t="s">
        <v>829</v>
      </c>
      <c r="F164" s="7" t="s">
        <v>12</v>
      </c>
      <c r="G164" s="7" t="s">
        <v>1086</v>
      </c>
      <c r="H164" s="58" t="s">
        <v>479</v>
      </c>
      <c r="I164" s="33" t="s">
        <v>3655</v>
      </c>
      <c r="J164" s="33" t="s">
        <v>3656</v>
      </c>
      <c r="K164" s="58" t="s">
        <v>3657</v>
      </c>
      <c r="L164" s="33" t="s">
        <v>39</v>
      </c>
      <c r="M164" s="7" t="s">
        <v>39</v>
      </c>
      <c r="N164" s="7" t="s">
        <v>913</v>
      </c>
      <c r="O164" s="7"/>
      <c r="P164" s="7"/>
      <c r="Q164" s="33"/>
      <c r="R164" s="7" t="s">
        <v>3</v>
      </c>
      <c r="S164" s="7" t="s">
        <v>3175</v>
      </c>
      <c r="T164" s="32" t="s">
        <v>3360</v>
      </c>
      <c r="U164" s="236"/>
    </row>
    <row r="165" ht="15.75" customHeight="1">
      <c r="A165" s="7" t="s">
        <v>3658</v>
      </c>
      <c r="B165" s="7" t="s">
        <v>3556</v>
      </c>
      <c r="C165" s="7" t="s">
        <v>755</v>
      </c>
      <c r="D165" s="7" t="s">
        <v>907</v>
      </c>
      <c r="E165" s="7" t="s">
        <v>829</v>
      </c>
      <c r="F165" s="7" t="s">
        <v>12</v>
      </c>
      <c r="G165" s="7" t="s">
        <v>908</v>
      </c>
      <c r="H165" s="58" t="s">
        <v>479</v>
      </c>
      <c r="I165" s="33" t="s">
        <v>3659</v>
      </c>
      <c r="J165" s="33" t="s">
        <v>3660</v>
      </c>
      <c r="K165" s="58" t="s">
        <v>3661</v>
      </c>
      <c r="L165" s="33" t="s">
        <v>39</v>
      </c>
      <c r="M165" s="7" t="s">
        <v>39</v>
      </c>
      <c r="N165" s="7" t="s">
        <v>913</v>
      </c>
      <c r="O165" s="7"/>
      <c r="P165" s="7"/>
      <c r="Q165" s="33"/>
      <c r="R165" s="7" t="s">
        <v>3</v>
      </c>
      <c r="S165" s="130">
        <v>46267.0</v>
      </c>
      <c r="T165" s="32" t="s">
        <v>3639</v>
      </c>
      <c r="U165" s="236"/>
    </row>
    <row r="166" ht="15.75" customHeight="1">
      <c r="A166" s="7" t="s">
        <v>3662</v>
      </c>
      <c r="B166" s="7" t="s">
        <v>3556</v>
      </c>
      <c r="C166" s="7" t="s">
        <v>747</v>
      </c>
      <c r="D166" s="7" t="s">
        <v>907</v>
      </c>
      <c r="E166" s="7" t="s">
        <v>3663</v>
      </c>
      <c r="F166" s="7" t="s">
        <v>12</v>
      </c>
      <c r="G166" s="7" t="s">
        <v>805</v>
      </c>
      <c r="H166" s="58" t="s">
        <v>479</v>
      </c>
      <c r="I166" s="33" t="s">
        <v>3664</v>
      </c>
      <c r="J166" s="33" t="s">
        <v>3665</v>
      </c>
      <c r="K166" s="58" t="s">
        <v>3666</v>
      </c>
      <c r="L166" s="33" t="s">
        <v>39</v>
      </c>
      <c r="M166" s="7" t="s">
        <v>39</v>
      </c>
      <c r="N166" s="7" t="s">
        <v>913</v>
      </c>
      <c r="O166" s="7" t="s">
        <v>1010</v>
      </c>
      <c r="P166" s="7" t="s">
        <v>3200</v>
      </c>
      <c r="Q166" s="33" t="s">
        <v>3617</v>
      </c>
      <c r="R166" s="7" t="s">
        <v>4</v>
      </c>
      <c r="S166" s="7" t="s">
        <v>1034</v>
      </c>
      <c r="T166" s="32" t="s">
        <v>3618</v>
      </c>
      <c r="U166" s="236"/>
    </row>
    <row r="167" ht="15.75" customHeight="1">
      <c r="A167" s="7" t="s">
        <v>3667</v>
      </c>
      <c r="B167" s="7" t="s">
        <v>3556</v>
      </c>
      <c r="C167" s="7" t="s">
        <v>747</v>
      </c>
      <c r="D167" s="7" t="s">
        <v>907</v>
      </c>
      <c r="E167" s="7" t="s">
        <v>3663</v>
      </c>
      <c r="F167" s="7" t="s">
        <v>16</v>
      </c>
      <c r="G167" s="7" t="s">
        <v>1077</v>
      </c>
      <c r="H167" s="58" t="s">
        <v>479</v>
      </c>
      <c r="I167" s="33" t="s">
        <v>3668</v>
      </c>
      <c r="J167" s="33" t="s">
        <v>3669</v>
      </c>
      <c r="K167" s="58" t="s">
        <v>3670</v>
      </c>
      <c r="L167" s="33" t="s">
        <v>39</v>
      </c>
      <c r="M167" s="7" t="s">
        <v>39</v>
      </c>
      <c r="N167" s="7" t="s">
        <v>913</v>
      </c>
      <c r="O167" s="7" t="s">
        <v>974</v>
      </c>
      <c r="P167" s="7"/>
      <c r="Q167" s="33"/>
      <c r="R167" s="7" t="s">
        <v>3</v>
      </c>
      <c r="S167" s="135" t="s">
        <v>1090</v>
      </c>
      <c r="T167" s="192" t="s">
        <v>3671</v>
      </c>
      <c r="U167" s="12" t="s">
        <v>1029</v>
      </c>
    </row>
    <row r="168" ht="15.75" customHeight="1">
      <c r="A168" s="7" t="s">
        <v>3672</v>
      </c>
      <c r="B168" s="7" t="s">
        <v>3556</v>
      </c>
      <c r="C168" s="7" t="s">
        <v>747</v>
      </c>
      <c r="D168" s="7" t="s">
        <v>907</v>
      </c>
      <c r="E168" s="7" t="s">
        <v>829</v>
      </c>
      <c r="F168" s="7" t="s">
        <v>12</v>
      </c>
      <c r="G168" s="7" t="s">
        <v>908</v>
      </c>
      <c r="H168" s="58" t="s">
        <v>479</v>
      </c>
      <c r="I168" s="33" t="s">
        <v>3673</v>
      </c>
      <c r="J168" s="33" t="s">
        <v>3674</v>
      </c>
      <c r="K168" s="58" t="s">
        <v>3675</v>
      </c>
      <c r="L168" s="33" t="s">
        <v>39</v>
      </c>
      <c r="M168" s="7" t="s">
        <v>39</v>
      </c>
      <c r="N168" s="7" t="s">
        <v>913</v>
      </c>
      <c r="O168" s="7"/>
      <c r="P168" s="7"/>
      <c r="Q168" s="33"/>
      <c r="R168" s="7" t="s">
        <v>3</v>
      </c>
      <c r="S168" s="130">
        <v>46267.0</v>
      </c>
      <c r="T168" s="32" t="s">
        <v>3639</v>
      </c>
      <c r="U168" s="236"/>
    </row>
    <row r="169" ht="15.75" customHeight="1">
      <c r="A169" s="7" t="s">
        <v>3676</v>
      </c>
      <c r="B169" s="7" t="s">
        <v>3556</v>
      </c>
      <c r="C169" s="7" t="s">
        <v>755</v>
      </c>
      <c r="D169" s="7" t="s">
        <v>907</v>
      </c>
      <c r="E169" s="7" t="s">
        <v>829</v>
      </c>
      <c r="F169" s="7" t="s">
        <v>12</v>
      </c>
      <c r="G169" s="7" t="s">
        <v>908</v>
      </c>
      <c r="H169" s="58" t="s">
        <v>479</v>
      </c>
      <c r="I169" s="33" t="s">
        <v>3677</v>
      </c>
      <c r="J169" s="33" t="s">
        <v>3678</v>
      </c>
      <c r="K169" s="58" t="s">
        <v>3679</v>
      </c>
      <c r="L169" s="33" t="s">
        <v>39</v>
      </c>
      <c r="M169" s="7" t="s">
        <v>39</v>
      </c>
      <c r="N169" s="7" t="s">
        <v>913</v>
      </c>
      <c r="O169" s="7"/>
      <c r="P169" s="7"/>
      <c r="Q169" s="33"/>
      <c r="R169" s="7" t="s">
        <v>3</v>
      </c>
      <c r="S169" s="130">
        <v>46267.0</v>
      </c>
      <c r="T169" s="32" t="s">
        <v>3639</v>
      </c>
      <c r="U169" s="236"/>
    </row>
    <row r="170" ht="15.75" customHeight="1">
      <c r="A170" s="7" t="s">
        <v>3680</v>
      </c>
      <c r="B170" s="7" t="s">
        <v>3556</v>
      </c>
      <c r="C170" s="7" t="s">
        <v>770</v>
      </c>
      <c r="D170" s="7" t="s">
        <v>907</v>
      </c>
      <c r="E170" s="7" t="s">
        <v>1004</v>
      </c>
      <c r="F170" s="7" t="s">
        <v>12</v>
      </c>
      <c r="G170" s="7" t="s">
        <v>1086</v>
      </c>
      <c r="H170" s="58" t="s">
        <v>479</v>
      </c>
      <c r="I170" s="33" t="s">
        <v>3585</v>
      </c>
      <c r="J170" s="33" t="s">
        <v>3298</v>
      </c>
      <c r="K170" s="58" t="s">
        <v>3681</v>
      </c>
      <c r="L170" s="33" t="s">
        <v>39</v>
      </c>
      <c r="M170" s="7" t="s">
        <v>39</v>
      </c>
      <c r="N170" s="7" t="s">
        <v>913</v>
      </c>
      <c r="O170" s="7"/>
      <c r="P170" s="7"/>
      <c r="Q170" s="33"/>
      <c r="R170" s="7" t="s">
        <v>3</v>
      </c>
      <c r="S170" s="7" t="s">
        <v>2944</v>
      </c>
      <c r="T170" s="32"/>
      <c r="U170" s="236"/>
    </row>
    <row r="171" ht="15.75" customHeight="1">
      <c r="A171" s="7" t="s">
        <v>3682</v>
      </c>
      <c r="B171" s="7" t="s">
        <v>3556</v>
      </c>
      <c r="C171" s="7" t="s">
        <v>747</v>
      </c>
      <c r="D171" s="7" t="s">
        <v>907</v>
      </c>
      <c r="E171" s="7" t="s">
        <v>829</v>
      </c>
      <c r="F171" s="7" t="s">
        <v>12</v>
      </c>
      <c r="G171" s="7" t="s">
        <v>908</v>
      </c>
      <c r="H171" s="58" t="s">
        <v>479</v>
      </c>
      <c r="I171" s="33" t="s">
        <v>3683</v>
      </c>
      <c r="J171" s="33" t="s">
        <v>3684</v>
      </c>
      <c r="K171" s="58" t="s">
        <v>3685</v>
      </c>
      <c r="L171" s="33" t="s">
        <v>39</v>
      </c>
      <c r="M171" s="7" t="s">
        <v>39</v>
      </c>
      <c r="N171" s="7" t="s">
        <v>913</v>
      </c>
      <c r="O171" s="7"/>
      <c r="P171" s="7"/>
      <c r="Q171" s="33"/>
      <c r="R171" s="7" t="s">
        <v>3</v>
      </c>
      <c r="S171" s="130">
        <v>46267.0</v>
      </c>
      <c r="T171" s="32" t="s">
        <v>3639</v>
      </c>
      <c r="U171" s="236"/>
    </row>
    <row r="172" ht="15.75" customHeight="1">
      <c r="A172" s="7" t="s">
        <v>3686</v>
      </c>
      <c r="B172" s="7" t="s">
        <v>3556</v>
      </c>
      <c r="C172" s="7" t="s">
        <v>747</v>
      </c>
      <c r="D172" s="7" t="s">
        <v>907</v>
      </c>
      <c r="E172" s="7" t="s">
        <v>829</v>
      </c>
      <c r="F172" s="7" t="s">
        <v>12</v>
      </c>
      <c r="G172" s="7" t="s">
        <v>908</v>
      </c>
      <c r="H172" s="58" t="s">
        <v>479</v>
      </c>
      <c r="I172" s="33" t="s">
        <v>3687</v>
      </c>
      <c r="J172" s="33" t="s">
        <v>3688</v>
      </c>
      <c r="K172" s="58" t="s">
        <v>3689</v>
      </c>
      <c r="L172" s="33" t="s">
        <v>39</v>
      </c>
      <c r="M172" s="7" t="s">
        <v>39</v>
      </c>
      <c r="N172" s="7" t="s">
        <v>913</v>
      </c>
      <c r="O172" s="7"/>
      <c r="P172" s="7"/>
      <c r="Q172" s="33"/>
      <c r="R172" s="7" t="s">
        <v>3</v>
      </c>
      <c r="S172" s="130">
        <v>46267.0</v>
      </c>
      <c r="T172" s="32" t="s">
        <v>3639</v>
      </c>
      <c r="U172" s="236"/>
    </row>
    <row r="173" ht="15.75" customHeight="1">
      <c r="A173" s="7" t="s">
        <v>3690</v>
      </c>
      <c r="B173" s="7" t="s">
        <v>3556</v>
      </c>
      <c r="C173" s="7" t="s">
        <v>770</v>
      </c>
      <c r="D173" s="7" t="s">
        <v>907</v>
      </c>
      <c r="E173" s="7" t="s">
        <v>829</v>
      </c>
      <c r="F173" s="7" t="s">
        <v>12</v>
      </c>
      <c r="G173" s="7" t="s">
        <v>1086</v>
      </c>
      <c r="H173" s="58" t="s">
        <v>479</v>
      </c>
      <c r="I173" s="33" t="s">
        <v>3192</v>
      </c>
      <c r="J173" s="33" t="s">
        <v>3193</v>
      </c>
      <c r="K173" s="58" t="s">
        <v>3691</v>
      </c>
      <c r="L173" s="58" t="s">
        <v>3610</v>
      </c>
      <c r="M173" s="7" t="s">
        <v>39</v>
      </c>
      <c r="N173" s="7" t="s">
        <v>913</v>
      </c>
      <c r="O173" s="7" t="s">
        <v>913</v>
      </c>
      <c r="P173" s="7" t="s">
        <v>3008</v>
      </c>
      <c r="Q173" s="33" t="s">
        <v>3483</v>
      </c>
      <c r="R173" s="7" t="s">
        <v>3</v>
      </c>
      <c r="S173" s="7" t="s">
        <v>1034</v>
      </c>
      <c r="T173" s="32" t="s">
        <v>3692</v>
      </c>
      <c r="U173" s="236"/>
    </row>
    <row r="174" ht="15.75" customHeight="1">
      <c r="A174" s="7" t="s">
        <v>3693</v>
      </c>
      <c r="B174" s="7" t="s">
        <v>3556</v>
      </c>
      <c r="C174" s="7" t="s">
        <v>770</v>
      </c>
      <c r="D174" s="7" t="s">
        <v>907</v>
      </c>
      <c r="E174" s="7" t="s">
        <v>829</v>
      </c>
      <c r="F174" s="7" t="s">
        <v>12</v>
      </c>
      <c r="G174" s="7" t="s">
        <v>908</v>
      </c>
      <c r="H174" s="58" t="s">
        <v>479</v>
      </c>
      <c r="I174" s="33" t="s">
        <v>3694</v>
      </c>
      <c r="J174" s="33" t="s">
        <v>3695</v>
      </c>
      <c r="K174" s="58" t="s">
        <v>3696</v>
      </c>
      <c r="L174" s="33" t="s">
        <v>39</v>
      </c>
      <c r="M174" s="7" t="s">
        <v>39</v>
      </c>
      <c r="N174" s="7" t="s">
        <v>913</v>
      </c>
      <c r="O174" s="7"/>
      <c r="P174" s="7"/>
      <c r="Q174" s="33"/>
      <c r="R174" s="7" t="s">
        <v>3</v>
      </c>
      <c r="S174" s="130">
        <v>46267.0</v>
      </c>
      <c r="T174" s="32" t="s">
        <v>3639</v>
      </c>
      <c r="U174" s="236"/>
    </row>
    <row r="175" ht="15.75" customHeight="1">
      <c r="A175" s="251" t="s">
        <v>3697</v>
      </c>
      <c r="B175" s="251" t="s">
        <v>3556</v>
      </c>
      <c r="C175" s="251" t="s">
        <v>747</v>
      </c>
      <c r="D175" s="251" t="s">
        <v>907</v>
      </c>
      <c r="E175" s="251" t="s">
        <v>768</v>
      </c>
      <c r="F175" s="251" t="s">
        <v>6</v>
      </c>
      <c r="G175" s="251" t="s">
        <v>2303</v>
      </c>
      <c r="H175" s="253" t="s">
        <v>479</v>
      </c>
      <c r="I175" s="252" t="s">
        <v>3698</v>
      </c>
      <c r="J175" s="252" t="s">
        <v>3408</v>
      </c>
      <c r="K175" s="253" t="s">
        <v>3699</v>
      </c>
      <c r="L175" s="252" t="s">
        <v>39</v>
      </c>
      <c r="M175" s="251" t="s">
        <v>39</v>
      </c>
      <c r="N175" s="251" t="s">
        <v>913</v>
      </c>
      <c r="O175" s="251" t="s">
        <v>913</v>
      </c>
      <c r="P175" s="251" t="s">
        <v>1018</v>
      </c>
      <c r="Q175" s="252" t="s">
        <v>3622</v>
      </c>
      <c r="R175" s="251" t="s">
        <v>3</v>
      </c>
      <c r="S175" s="251" t="s">
        <v>3175</v>
      </c>
      <c r="T175" s="254" t="s">
        <v>3700</v>
      </c>
      <c r="U175" s="308" t="s">
        <v>869</v>
      </c>
      <c r="V175" s="262"/>
      <c r="W175" s="262"/>
      <c r="X175" s="262"/>
      <c r="Y175" s="262"/>
      <c r="Z175" s="262"/>
    </row>
    <row r="176" ht="15.75" customHeight="1">
      <c r="A176" s="7" t="s">
        <v>3701</v>
      </c>
      <c r="B176" s="7" t="s">
        <v>3556</v>
      </c>
      <c r="C176" s="7" t="s">
        <v>747</v>
      </c>
      <c r="D176" s="7" t="s">
        <v>907</v>
      </c>
      <c r="E176" s="7" t="s">
        <v>829</v>
      </c>
      <c r="F176" s="7" t="s">
        <v>12</v>
      </c>
      <c r="G176" s="7" t="s">
        <v>908</v>
      </c>
      <c r="H176" s="58" t="s">
        <v>479</v>
      </c>
      <c r="I176" s="111" t="s">
        <v>3599</v>
      </c>
      <c r="J176" s="33" t="s">
        <v>3600</v>
      </c>
      <c r="K176" s="58" t="s">
        <v>3702</v>
      </c>
      <c r="L176" s="33" t="s">
        <v>39</v>
      </c>
      <c r="M176" s="7" t="s">
        <v>39</v>
      </c>
      <c r="N176" s="7" t="s">
        <v>913</v>
      </c>
      <c r="O176" s="7"/>
      <c r="P176" s="7"/>
      <c r="Q176" s="33"/>
      <c r="R176" s="7" t="s">
        <v>3</v>
      </c>
      <c r="S176" s="130">
        <v>46267.0</v>
      </c>
      <c r="T176" s="32" t="s">
        <v>3703</v>
      </c>
      <c r="U176" s="236"/>
    </row>
    <row r="177" ht="15.75" customHeight="1">
      <c r="A177" s="7" t="s">
        <v>3704</v>
      </c>
      <c r="B177" s="7" t="s">
        <v>3556</v>
      </c>
      <c r="C177" s="7" t="s">
        <v>755</v>
      </c>
      <c r="D177" s="7" t="s">
        <v>907</v>
      </c>
      <c r="E177" s="7" t="s">
        <v>829</v>
      </c>
      <c r="F177" s="7" t="s">
        <v>12</v>
      </c>
      <c r="G177" s="7" t="s">
        <v>908</v>
      </c>
      <c r="H177" s="58" t="s">
        <v>479</v>
      </c>
      <c r="I177" s="33" t="s">
        <v>3604</v>
      </c>
      <c r="J177" s="33" t="s">
        <v>3605</v>
      </c>
      <c r="K177" s="58" t="s">
        <v>3705</v>
      </c>
      <c r="L177" s="33" t="s">
        <v>39</v>
      </c>
      <c r="M177" s="7" t="s">
        <v>39</v>
      </c>
      <c r="N177" s="7" t="s">
        <v>913</v>
      </c>
      <c r="O177" s="7"/>
      <c r="P177" s="7"/>
      <c r="Q177" s="33"/>
      <c r="R177" s="7" t="s">
        <v>3</v>
      </c>
      <c r="S177" s="130">
        <v>46267.0</v>
      </c>
      <c r="T177" s="32" t="s">
        <v>3639</v>
      </c>
      <c r="U177" s="236"/>
    </row>
    <row r="178" ht="15.75" customHeight="1">
      <c r="A178" s="7" t="s">
        <v>3706</v>
      </c>
      <c r="B178" s="7" t="s">
        <v>3556</v>
      </c>
      <c r="C178" s="7" t="s">
        <v>747</v>
      </c>
      <c r="D178" s="7" t="s">
        <v>907</v>
      </c>
      <c r="E178" s="7" t="s">
        <v>829</v>
      </c>
      <c r="F178" s="7" t="s">
        <v>12</v>
      </c>
      <c r="G178" s="7" t="s">
        <v>908</v>
      </c>
      <c r="H178" s="58" t="s">
        <v>479</v>
      </c>
      <c r="I178" s="33" t="s">
        <v>3707</v>
      </c>
      <c r="J178" s="33" t="s">
        <v>3708</v>
      </c>
      <c r="K178" s="58" t="s">
        <v>3709</v>
      </c>
      <c r="L178" s="33" t="s">
        <v>39</v>
      </c>
      <c r="M178" s="7" t="s">
        <v>39</v>
      </c>
      <c r="N178" s="7" t="s">
        <v>913</v>
      </c>
      <c r="O178" s="7"/>
      <c r="P178" s="7"/>
      <c r="Q178" s="33"/>
      <c r="R178" s="7" t="s">
        <v>3</v>
      </c>
      <c r="S178" s="130">
        <v>46267.0</v>
      </c>
      <c r="T178" s="32" t="s">
        <v>3639</v>
      </c>
      <c r="U178" s="236"/>
    </row>
    <row r="179" ht="15.75" customHeight="1">
      <c r="A179" s="7" t="s">
        <v>3710</v>
      </c>
      <c r="B179" s="7" t="s">
        <v>3556</v>
      </c>
      <c r="C179" s="7" t="s">
        <v>755</v>
      </c>
      <c r="D179" s="7" t="s">
        <v>907</v>
      </c>
      <c r="E179" s="7" t="s">
        <v>829</v>
      </c>
      <c r="F179" s="7" t="s">
        <v>12</v>
      </c>
      <c r="G179" s="7" t="s">
        <v>908</v>
      </c>
      <c r="H179" s="58" t="s">
        <v>479</v>
      </c>
      <c r="I179" s="33" t="s">
        <v>3711</v>
      </c>
      <c r="J179" s="307" t="s">
        <v>3712</v>
      </c>
      <c r="K179" s="58" t="s">
        <v>3713</v>
      </c>
      <c r="L179" s="33" t="s">
        <v>39</v>
      </c>
      <c r="M179" s="7" t="s">
        <v>39</v>
      </c>
      <c r="N179" s="7" t="s">
        <v>913</v>
      </c>
      <c r="O179" s="7"/>
      <c r="P179" s="7"/>
      <c r="Q179" s="33"/>
      <c r="R179" s="7" t="s">
        <v>3</v>
      </c>
      <c r="S179" s="130">
        <v>46267.0</v>
      </c>
      <c r="T179" s="32" t="s">
        <v>3639</v>
      </c>
      <c r="U179" s="236"/>
    </row>
    <row r="180" ht="15.75" customHeight="1">
      <c r="A180" s="7" t="s">
        <v>3714</v>
      </c>
      <c r="B180" s="7" t="s">
        <v>3556</v>
      </c>
      <c r="C180" s="7" t="s">
        <v>770</v>
      </c>
      <c r="D180" s="7" t="s">
        <v>907</v>
      </c>
      <c r="E180" s="7" t="s">
        <v>829</v>
      </c>
      <c r="F180" s="7" t="s">
        <v>12</v>
      </c>
      <c r="G180" s="7" t="s">
        <v>2303</v>
      </c>
      <c r="H180" s="58" t="s">
        <v>479</v>
      </c>
      <c r="I180" s="33" t="s">
        <v>2993</v>
      </c>
      <c r="J180" s="33" t="s">
        <v>2994</v>
      </c>
      <c r="K180" s="58" t="s">
        <v>3715</v>
      </c>
      <c r="L180" s="33" t="s">
        <v>39</v>
      </c>
      <c r="M180" s="7" t="s">
        <v>39</v>
      </c>
      <c r="N180" s="7" t="s">
        <v>913</v>
      </c>
      <c r="O180" s="7" t="s">
        <v>913</v>
      </c>
      <c r="P180" s="7" t="s">
        <v>3008</v>
      </c>
      <c r="Q180" s="33" t="s">
        <v>3009</v>
      </c>
      <c r="R180" s="7" t="s">
        <v>3</v>
      </c>
      <c r="S180" s="130">
        <v>46175.0</v>
      </c>
      <c r="T180" s="32" t="s">
        <v>3716</v>
      </c>
      <c r="U180" s="236"/>
    </row>
    <row r="181" ht="15.75" customHeight="1">
      <c r="A181" s="7" t="s">
        <v>3717</v>
      </c>
      <c r="B181" s="7" t="s">
        <v>3556</v>
      </c>
      <c r="C181" s="7" t="s">
        <v>770</v>
      </c>
      <c r="D181" s="7" t="s">
        <v>907</v>
      </c>
      <c r="E181" s="7" t="s">
        <v>829</v>
      </c>
      <c r="F181" s="7" t="s">
        <v>12</v>
      </c>
      <c r="G181" s="7" t="s">
        <v>2303</v>
      </c>
      <c r="H181" s="58" t="s">
        <v>3557</v>
      </c>
      <c r="I181" s="33" t="s">
        <v>2993</v>
      </c>
      <c r="J181" s="33" t="s">
        <v>2994</v>
      </c>
      <c r="K181" s="58" t="s">
        <v>3718</v>
      </c>
      <c r="L181" s="33" t="s">
        <v>39</v>
      </c>
      <c r="M181" s="7" t="s">
        <v>39</v>
      </c>
      <c r="N181" s="7" t="s">
        <v>913</v>
      </c>
      <c r="O181" s="7" t="s">
        <v>913</v>
      </c>
      <c r="P181" s="7" t="s">
        <v>3008</v>
      </c>
      <c r="Q181" s="33" t="s">
        <v>3009</v>
      </c>
      <c r="R181" s="7" t="s">
        <v>3</v>
      </c>
      <c r="S181" s="130">
        <v>46175.0</v>
      </c>
      <c r="T181" s="32" t="s">
        <v>3719</v>
      </c>
      <c r="U181" s="236"/>
    </row>
    <row r="182" ht="15.75" customHeight="1">
      <c r="A182" s="7" t="s">
        <v>3720</v>
      </c>
      <c r="B182" s="7" t="s">
        <v>3556</v>
      </c>
      <c r="C182" s="7" t="s">
        <v>747</v>
      </c>
      <c r="D182" s="7" t="s">
        <v>907</v>
      </c>
      <c r="E182" s="7" t="s">
        <v>829</v>
      </c>
      <c r="F182" s="7" t="s">
        <v>12</v>
      </c>
      <c r="G182" s="7" t="s">
        <v>908</v>
      </c>
      <c r="H182" s="58" t="s">
        <v>3557</v>
      </c>
      <c r="I182" s="33" t="s">
        <v>3721</v>
      </c>
      <c r="J182" s="33" t="s">
        <v>3722</v>
      </c>
      <c r="K182" s="58" t="s">
        <v>3723</v>
      </c>
      <c r="L182" s="33" t="s">
        <v>39</v>
      </c>
      <c r="M182" s="7" t="s">
        <v>39</v>
      </c>
      <c r="N182" s="7" t="s">
        <v>913</v>
      </c>
      <c r="O182" s="7"/>
      <c r="P182" s="7"/>
      <c r="Q182" s="33"/>
      <c r="R182" s="7" t="s">
        <v>3</v>
      </c>
      <c r="S182" s="130">
        <v>46267.0</v>
      </c>
      <c r="T182" s="32" t="s">
        <v>3724</v>
      </c>
      <c r="U182" s="236"/>
    </row>
    <row r="183" ht="15.75" customHeight="1">
      <c r="A183" s="7" t="s">
        <v>3725</v>
      </c>
      <c r="B183" s="7" t="s">
        <v>3556</v>
      </c>
      <c r="C183" s="7" t="s">
        <v>770</v>
      </c>
      <c r="D183" s="7" t="s">
        <v>907</v>
      </c>
      <c r="E183" s="7" t="s">
        <v>829</v>
      </c>
      <c r="F183" s="7" t="s">
        <v>12</v>
      </c>
      <c r="G183" s="7" t="s">
        <v>2303</v>
      </c>
      <c r="H183" s="58" t="s">
        <v>85</v>
      </c>
      <c r="I183" s="33" t="s">
        <v>2993</v>
      </c>
      <c r="J183" s="33" t="s">
        <v>2994</v>
      </c>
      <c r="K183" s="58" t="s">
        <v>3726</v>
      </c>
      <c r="L183" s="33" t="s">
        <v>39</v>
      </c>
      <c r="M183" s="7" t="s">
        <v>39</v>
      </c>
      <c r="N183" s="7" t="s">
        <v>913</v>
      </c>
      <c r="O183" s="7" t="s">
        <v>913</v>
      </c>
      <c r="P183" s="7" t="s">
        <v>3008</v>
      </c>
      <c r="Q183" s="33" t="s">
        <v>3009</v>
      </c>
      <c r="R183" s="7" t="s">
        <v>3</v>
      </c>
      <c r="S183" s="130">
        <v>46175.0</v>
      </c>
      <c r="T183" s="32" t="s">
        <v>3727</v>
      </c>
      <c r="U183" s="236"/>
    </row>
    <row r="184" ht="15.75" customHeight="1">
      <c r="A184" s="7" t="s">
        <v>3728</v>
      </c>
      <c r="B184" s="7" t="s">
        <v>3556</v>
      </c>
      <c r="C184" s="7" t="s">
        <v>747</v>
      </c>
      <c r="D184" s="7" t="s">
        <v>907</v>
      </c>
      <c r="E184" s="7" t="s">
        <v>1575</v>
      </c>
      <c r="F184" s="7" t="s">
        <v>12</v>
      </c>
      <c r="G184" s="7" t="s">
        <v>805</v>
      </c>
      <c r="H184" s="58" t="s">
        <v>85</v>
      </c>
      <c r="I184" s="33" t="s">
        <v>3729</v>
      </c>
      <c r="J184" s="33" t="s">
        <v>3730</v>
      </c>
      <c r="K184" s="58" t="s">
        <v>3731</v>
      </c>
      <c r="L184" s="33" t="s">
        <v>39</v>
      </c>
      <c r="M184" s="7" t="s">
        <v>39</v>
      </c>
      <c r="N184" s="7" t="s">
        <v>913</v>
      </c>
      <c r="O184" s="7" t="s">
        <v>1010</v>
      </c>
      <c r="P184" s="7" t="s">
        <v>1018</v>
      </c>
      <c r="Q184" s="33" t="s">
        <v>1139</v>
      </c>
      <c r="R184" s="7" t="s">
        <v>4</v>
      </c>
      <c r="S184" s="7" t="s">
        <v>1659</v>
      </c>
      <c r="T184" s="32" t="s">
        <v>3125</v>
      </c>
      <c r="U184" s="31"/>
      <c r="V184" s="62"/>
      <c r="W184" s="62"/>
      <c r="X184" s="62"/>
      <c r="Y184" s="62"/>
      <c r="Z184" s="62"/>
    </row>
    <row r="185" ht="15.75" customHeight="1">
      <c r="A185" s="7" t="s">
        <v>3732</v>
      </c>
      <c r="B185" s="7" t="s">
        <v>3556</v>
      </c>
      <c r="C185" s="7" t="s">
        <v>755</v>
      </c>
      <c r="D185" s="7" t="s">
        <v>907</v>
      </c>
      <c r="E185" s="7" t="s">
        <v>829</v>
      </c>
      <c r="F185" s="7" t="s">
        <v>12</v>
      </c>
      <c r="G185" s="7" t="s">
        <v>908</v>
      </c>
      <c r="H185" s="58" t="s">
        <v>85</v>
      </c>
      <c r="I185" s="33" t="s">
        <v>3733</v>
      </c>
      <c r="J185" s="33" t="s">
        <v>3734</v>
      </c>
      <c r="K185" s="58" t="s">
        <v>3735</v>
      </c>
      <c r="L185" s="33" t="s">
        <v>39</v>
      </c>
      <c r="M185" s="7" t="s">
        <v>39</v>
      </c>
      <c r="N185" s="7" t="s">
        <v>913</v>
      </c>
      <c r="O185" s="7"/>
      <c r="P185" s="7"/>
      <c r="Q185" s="33"/>
      <c r="R185" s="7" t="s">
        <v>3</v>
      </c>
      <c r="S185" s="130">
        <v>46267.0</v>
      </c>
      <c r="T185" s="32" t="s">
        <v>3736</v>
      </c>
      <c r="U185" s="236"/>
    </row>
    <row r="186" ht="15.75" customHeight="1">
      <c r="A186" s="7" t="s">
        <v>3737</v>
      </c>
      <c r="B186" s="7" t="s">
        <v>3556</v>
      </c>
      <c r="C186" s="7" t="s">
        <v>755</v>
      </c>
      <c r="D186" s="7" t="s">
        <v>907</v>
      </c>
      <c r="E186" s="7" t="s">
        <v>829</v>
      </c>
      <c r="F186" s="7" t="s">
        <v>12</v>
      </c>
      <c r="G186" s="7" t="s">
        <v>908</v>
      </c>
      <c r="H186" s="58" t="s">
        <v>85</v>
      </c>
      <c r="I186" s="33" t="s">
        <v>3738</v>
      </c>
      <c r="J186" s="33" t="s">
        <v>3739</v>
      </c>
      <c r="K186" s="58" t="s">
        <v>3740</v>
      </c>
      <c r="L186" s="33" t="s">
        <v>39</v>
      </c>
      <c r="M186" s="7" t="s">
        <v>39</v>
      </c>
      <c r="N186" s="7" t="s">
        <v>913</v>
      </c>
      <c r="O186" s="7"/>
      <c r="P186" s="7"/>
      <c r="Q186" s="33"/>
      <c r="R186" s="7" t="s">
        <v>3</v>
      </c>
      <c r="S186" s="130">
        <v>46267.0</v>
      </c>
      <c r="T186" s="32" t="s">
        <v>3736</v>
      </c>
      <c r="U186" s="236"/>
    </row>
    <row r="187" ht="15.75" customHeight="1">
      <c r="A187" s="7" t="s">
        <v>3741</v>
      </c>
      <c r="B187" s="7" t="s">
        <v>3556</v>
      </c>
      <c r="C187" s="7" t="s">
        <v>747</v>
      </c>
      <c r="D187" s="7" t="s">
        <v>907</v>
      </c>
      <c r="E187" s="7" t="s">
        <v>829</v>
      </c>
      <c r="F187" s="7" t="s">
        <v>12</v>
      </c>
      <c r="G187" s="7" t="s">
        <v>1800</v>
      </c>
      <c r="H187" s="58" t="s">
        <v>85</v>
      </c>
      <c r="I187" s="33" t="s">
        <v>3742</v>
      </c>
      <c r="J187" s="33" t="s">
        <v>3743</v>
      </c>
      <c r="K187" s="58" t="s">
        <v>3744</v>
      </c>
      <c r="L187" s="33" t="s">
        <v>39</v>
      </c>
      <c r="M187" s="7" t="s">
        <v>39</v>
      </c>
      <c r="N187" s="7" t="s">
        <v>913</v>
      </c>
      <c r="O187" s="7"/>
      <c r="P187" s="7"/>
      <c r="Q187" s="33"/>
      <c r="R187" s="7" t="s">
        <v>3</v>
      </c>
      <c r="S187" s="7" t="s">
        <v>3175</v>
      </c>
      <c r="T187" s="32" t="s">
        <v>3745</v>
      </c>
      <c r="U187" s="236"/>
    </row>
    <row r="188" ht="15.75" customHeight="1">
      <c r="A188" s="7" t="s">
        <v>3746</v>
      </c>
      <c r="B188" s="7" t="s">
        <v>3556</v>
      </c>
      <c r="C188" s="7" t="s">
        <v>747</v>
      </c>
      <c r="D188" s="7" t="s">
        <v>907</v>
      </c>
      <c r="E188" s="7" t="s">
        <v>829</v>
      </c>
      <c r="F188" s="7" t="s">
        <v>12</v>
      </c>
      <c r="G188" s="7" t="s">
        <v>908</v>
      </c>
      <c r="H188" s="58" t="s">
        <v>85</v>
      </c>
      <c r="I188" s="33" t="s">
        <v>3747</v>
      </c>
      <c r="J188" s="33" t="s">
        <v>3748</v>
      </c>
      <c r="K188" s="58" t="s">
        <v>3749</v>
      </c>
      <c r="L188" s="33" t="s">
        <v>39</v>
      </c>
      <c r="M188" s="7" t="s">
        <v>39</v>
      </c>
      <c r="N188" s="7" t="s">
        <v>913</v>
      </c>
      <c r="O188" s="7"/>
      <c r="P188" s="7"/>
      <c r="Q188" s="33"/>
      <c r="R188" s="7" t="s">
        <v>3</v>
      </c>
      <c r="S188" s="130">
        <v>46267.0</v>
      </c>
      <c r="T188" s="32" t="s">
        <v>3736</v>
      </c>
      <c r="U188" s="236"/>
    </row>
    <row r="189" ht="15.75" customHeight="1">
      <c r="A189" s="7" t="s">
        <v>3750</v>
      </c>
      <c r="B189" s="7" t="s">
        <v>3556</v>
      </c>
      <c r="C189" s="7" t="s">
        <v>755</v>
      </c>
      <c r="D189" s="7" t="s">
        <v>907</v>
      </c>
      <c r="E189" s="7" t="s">
        <v>829</v>
      </c>
      <c r="F189" s="7" t="s">
        <v>12</v>
      </c>
      <c r="G189" s="7" t="s">
        <v>908</v>
      </c>
      <c r="H189" s="58" t="s">
        <v>85</v>
      </c>
      <c r="I189" s="33" t="s">
        <v>3751</v>
      </c>
      <c r="J189" s="33" t="s">
        <v>3752</v>
      </c>
      <c r="K189" s="58" t="s">
        <v>3753</v>
      </c>
      <c r="L189" s="33" t="s">
        <v>39</v>
      </c>
      <c r="M189" s="7" t="s">
        <v>39</v>
      </c>
      <c r="N189" s="7" t="s">
        <v>913</v>
      </c>
      <c r="O189" s="7"/>
      <c r="P189" s="7"/>
      <c r="Q189" s="33"/>
      <c r="R189" s="7" t="s">
        <v>3</v>
      </c>
      <c r="S189" s="130">
        <v>46267.0</v>
      </c>
      <c r="T189" s="32" t="s">
        <v>3736</v>
      </c>
      <c r="U189" s="236"/>
    </row>
    <row r="190" ht="15.75" customHeight="1">
      <c r="A190" s="7" t="s">
        <v>3754</v>
      </c>
      <c r="B190" s="7" t="s">
        <v>3556</v>
      </c>
      <c r="C190" s="7" t="s">
        <v>747</v>
      </c>
      <c r="D190" s="7" t="s">
        <v>907</v>
      </c>
      <c r="E190" s="7" t="s">
        <v>829</v>
      </c>
      <c r="F190" s="7" t="s">
        <v>12</v>
      </c>
      <c r="G190" s="7" t="s">
        <v>908</v>
      </c>
      <c r="H190" s="58" t="s">
        <v>85</v>
      </c>
      <c r="I190" s="33" t="s">
        <v>3694</v>
      </c>
      <c r="J190" s="33" t="s">
        <v>3695</v>
      </c>
      <c r="K190" s="58" t="s">
        <v>3755</v>
      </c>
      <c r="L190" s="33" t="s">
        <v>39</v>
      </c>
      <c r="M190" s="7" t="s">
        <v>39</v>
      </c>
      <c r="N190" s="7" t="s">
        <v>913</v>
      </c>
      <c r="O190" s="7"/>
      <c r="P190" s="7"/>
      <c r="Q190" s="33"/>
      <c r="R190" s="7" t="s">
        <v>3</v>
      </c>
      <c r="S190" s="130">
        <v>46267.0</v>
      </c>
      <c r="T190" s="32" t="s">
        <v>3736</v>
      </c>
      <c r="U190" s="236"/>
    </row>
    <row r="191" ht="15.75" customHeight="1">
      <c r="A191" s="7" t="s">
        <v>3756</v>
      </c>
      <c r="B191" s="7" t="s">
        <v>3556</v>
      </c>
      <c r="C191" s="7" t="s">
        <v>747</v>
      </c>
      <c r="D191" s="7" t="s">
        <v>907</v>
      </c>
      <c r="E191" s="7" t="s">
        <v>829</v>
      </c>
      <c r="F191" s="7" t="s">
        <v>12</v>
      </c>
      <c r="G191" s="7" t="s">
        <v>908</v>
      </c>
      <c r="H191" s="58" t="s">
        <v>85</v>
      </c>
      <c r="I191" s="33" t="s">
        <v>3757</v>
      </c>
      <c r="J191" s="33" t="s">
        <v>3758</v>
      </c>
      <c r="K191" s="58" t="s">
        <v>3759</v>
      </c>
      <c r="L191" s="33" t="s">
        <v>39</v>
      </c>
      <c r="M191" s="7" t="s">
        <v>39</v>
      </c>
      <c r="N191" s="7" t="s">
        <v>913</v>
      </c>
      <c r="O191" s="7"/>
      <c r="P191" s="7"/>
      <c r="Q191" s="33"/>
      <c r="R191" s="7" t="s">
        <v>3</v>
      </c>
      <c r="S191" s="130">
        <v>46267.0</v>
      </c>
      <c r="T191" s="32" t="s">
        <v>3736</v>
      </c>
      <c r="U191" s="236"/>
    </row>
    <row r="192" ht="15.75" customHeight="1">
      <c r="A192" s="7" t="s">
        <v>3760</v>
      </c>
      <c r="B192" s="7" t="s">
        <v>3556</v>
      </c>
      <c r="C192" s="7" t="s">
        <v>747</v>
      </c>
      <c r="D192" s="7" t="s">
        <v>907</v>
      </c>
      <c r="E192" s="7" t="s">
        <v>829</v>
      </c>
      <c r="F192" s="7" t="s">
        <v>12</v>
      </c>
      <c r="G192" s="7" t="s">
        <v>908</v>
      </c>
      <c r="H192" s="58" t="s">
        <v>85</v>
      </c>
      <c r="I192" s="33" t="s">
        <v>3761</v>
      </c>
      <c r="J192" s="33" t="s">
        <v>3762</v>
      </c>
      <c r="K192" s="58" t="s">
        <v>3763</v>
      </c>
      <c r="L192" s="33" t="s">
        <v>39</v>
      </c>
      <c r="M192" s="7" t="s">
        <v>39</v>
      </c>
      <c r="N192" s="7" t="s">
        <v>913</v>
      </c>
      <c r="O192" s="7"/>
      <c r="P192" s="7"/>
      <c r="Q192" s="33"/>
      <c r="R192" s="7" t="s">
        <v>3</v>
      </c>
      <c r="S192" s="130">
        <v>46267.0</v>
      </c>
      <c r="T192" s="32" t="s">
        <v>3736</v>
      </c>
      <c r="U192" s="236"/>
    </row>
    <row r="193" ht="15.75" customHeight="1">
      <c r="A193" s="251" t="s">
        <v>3764</v>
      </c>
      <c r="B193" s="251" t="s">
        <v>3556</v>
      </c>
      <c r="C193" s="251" t="s">
        <v>747</v>
      </c>
      <c r="D193" s="251" t="s">
        <v>907</v>
      </c>
      <c r="E193" s="251" t="s">
        <v>768</v>
      </c>
      <c r="F193" s="251" t="s">
        <v>16</v>
      </c>
      <c r="G193" s="251" t="s">
        <v>2303</v>
      </c>
      <c r="H193" s="253" t="s">
        <v>85</v>
      </c>
      <c r="I193" s="252" t="s">
        <v>3765</v>
      </c>
      <c r="J193" s="252" t="s">
        <v>3408</v>
      </c>
      <c r="K193" s="253" t="s">
        <v>3766</v>
      </c>
      <c r="L193" s="252" t="s">
        <v>39</v>
      </c>
      <c r="M193" s="251" t="s">
        <v>39</v>
      </c>
      <c r="N193" s="251" t="s">
        <v>913</v>
      </c>
      <c r="O193" s="251" t="s">
        <v>974</v>
      </c>
      <c r="P193" s="251" t="s">
        <v>1018</v>
      </c>
      <c r="Q193" s="252" t="s">
        <v>3124</v>
      </c>
      <c r="R193" s="251" t="s">
        <v>3</v>
      </c>
      <c r="S193" s="251" t="s">
        <v>1279</v>
      </c>
      <c r="T193" s="254" t="s">
        <v>3767</v>
      </c>
      <c r="U193" s="308" t="s">
        <v>869</v>
      </c>
      <c r="V193" s="262"/>
      <c r="W193" s="262"/>
      <c r="X193" s="262"/>
      <c r="Y193" s="262"/>
      <c r="Z193" s="262"/>
    </row>
    <row r="194" ht="15.75" customHeight="1">
      <c r="A194" s="7" t="s">
        <v>3768</v>
      </c>
      <c r="B194" s="7" t="s">
        <v>3556</v>
      </c>
      <c r="C194" s="7" t="s">
        <v>770</v>
      </c>
      <c r="D194" s="7" t="s">
        <v>907</v>
      </c>
      <c r="E194" s="7" t="s">
        <v>1004</v>
      </c>
      <c r="F194" s="7" t="s">
        <v>12</v>
      </c>
      <c r="G194" s="7" t="s">
        <v>1086</v>
      </c>
      <c r="H194" s="58" t="s">
        <v>85</v>
      </c>
      <c r="I194" s="33" t="s">
        <v>3769</v>
      </c>
      <c r="J194" s="33" t="s">
        <v>3298</v>
      </c>
      <c r="K194" s="58" t="s">
        <v>3770</v>
      </c>
      <c r="L194" s="33" t="s">
        <v>39</v>
      </c>
      <c r="M194" s="7" t="s">
        <v>39</v>
      </c>
      <c r="N194" s="7" t="s">
        <v>913</v>
      </c>
      <c r="O194" s="7"/>
      <c r="P194" s="7"/>
      <c r="Q194" s="33"/>
      <c r="R194" s="7" t="s">
        <v>3</v>
      </c>
      <c r="S194" s="7" t="s">
        <v>2944</v>
      </c>
      <c r="T194" s="32"/>
      <c r="U194" s="236"/>
    </row>
    <row r="195" ht="15.75" customHeight="1">
      <c r="A195" s="7" t="s">
        <v>3771</v>
      </c>
      <c r="B195" s="7" t="s">
        <v>3556</v>
      </c>
      <c r="C195" s="7" t="s">
        <v>770</v>
      </c>
      <c r="D195" s="7" t="s">
        <v>907</v>
      </c>
      <c r="E195" s="7" t="s">
        <v>829</v>
      </c>
      <c r="F195" s="7" t="s">
        <v>12</v>
      </c>
      <c r="G195" s="7" t="s">
        <v>2303</v>
      </c>
      <c r="H195" s="89" t="s">
        <v>148</v>
      </c>
      <c r="I195" s="33" t="s">
        <v>2993</v>
      </c>
      <c r="J195" s="33" t="s">
        <v>2994</v>
      </c>
      <c r="K195" s="58" t="s">
        <v>3772</v>
      </c>
      <c r="L195" s="33" t="s">
        <v>39</v>
      </c>
      <c r="M195" s="7" t="s">
        <v>39</v>
      </c>
      <c r="N195" s="7" t="s">
        <v>913</v>
      </c>
      <c r="O195" s="7" t="s">
        <v>913</v>
      </c>
      <c r="P195" s="7" t="s">
        <v>3008</v>
      </c>
      <c r="Q195" s="33" t="s">
        <v>3009</v>
      </c>
      <c r="R195" s="7" t="s">
        <v>3</v>
      </c>
      <c r="S195" s="130">
        <v>46175.0</v>
      </c>
      <c r="T195" s="32" t="s">
        <v>3773</v>
      </c>
      <c r="U195" s="236"/>
    </row>
    <row r="196" ht="15.75" customHeight="1">
      <c r="A196" s="7" t="s">
        <v>3774</v>
      </c>
      <c r="B196" s="7" t="s">
        <v>3556</v>
      </c>
      <c r="C196" s="7" t="s">
        <v>747</v>
      </c>
      <c r="D196" s="7" t="s">
        <v>907</v>
      </c>
      <c r="E196" s="7" t="s">
        <v>1575</v>
      </c>
      <c r="F196" s="7" t="s">
        <v>12</v>
      </c>
      <c r="G196" s="7" t="s">
        <v>805</v>
      </c>
      <c r="H196" s="305" t="s">
        <v>148</v>
      </c>
      <c r="I196" s="33" t="s">
        <v>3729</v>
      </c>
      <c r="J196" s="33" t="s">
        <v>3775</v>
      </c>
      <c r="K196" s="58" t="s">
        <v>3776</v>
      </c>
      <c r="L196" s="33" t="s">
        <v>39</v>
      </c>
      <c r="M196" s="7" t="s">
        <v>39</v>
      </c>
      <c r="N196" s="7" t="s">
        <v>913</v>
      </c>
      <c r="O196" s="7" t="s">
        <v>1010</v>
      </c>
      <c r="P196" s="7" t="s">
        <v>1018</v>
      </c>
      <c r="Q196" s="33" t="s">
        <v>1139</v>
      </c>
      <c r="R196" s="7" t="s">
        <v>4</v>
      </c>
      <c r="S196" s="7" t="s">
        <v>1659</v>
      </c>
      <c r="T196" s="32" t="s">
        <v>3125</v>
      </c>
      <c r="U196" s="31"/>
      <c r="V196" s="62"/>
      <c r="W196" s="62"/>
      <c r="X196" s="62"/>
      <c r="Y196" s="62"/>
      <c r="Z196" s="62"/>
    </row>
    <row r="197" ht="15.75" customHeight="1">
      <c r="A197" s="7" t="s">
        <v>3777</v>
      </c>
      <c r="B197" s="7" t="s">
        <v>3556</v>
      </c>
      <c r="C197" s="7" t="s">
        <v>747</v>
      </c>
      <c r="D197" s="7" t="s">
        <v>907</v>
      </c>
      <c r="E197" s="7" t="s">
        <v>3663</v>
      </c>
      <c r="F197" s="7" t="s">
        <v>12</v>
      </c>
      <c r="G197" s="7" t="s">
        <v>805</v>
      </c>
      <c r="H197" s="305" t="s">
        <v>148</v>
      </c>
      <c r="I197" s="33" t="s">
        <v>3778</v>
      </c>
      <c r="J197" s="33" t="s">
        <v>3779</v>
      </c>
      <c r="K197" s="58" t="s">
        <v>3780</v>
      </c>
      <c r="L197" s="33" t="s">
        <v>39</v>
      </c>
      <c r="M197" s="7" t="s">
        <v>39</v>
      </c>
      <c r="N197" s="7" t="s">
        <v>913</v>
      </c>
      <c r="O197" s="7" t="s">
        <v>1010</v>
      </c>
      <c r="P197" s="7" t="s">
        <v>3200</v>
      </c>
      <c r="Q197" s="33" t="s">
        <v>3617</v>
      </c>
      <c r="R197" s="7" t="s">
        <v>4</v>
      </c>
      <c r="S197" s="7" t="s">
        <v>1034</v>
      </c>
      <c r="T197" s="32" t="s">
        <v>3618</v>
      </c>
      <c r="U197" s="236"/>
    </row>
    <row r="198" ht="15.75" customHeight="1">
      <c r="A198" s="251" t="s">
        <v>3781</v>
      </c>
      <c r="B198" s="251" t="s">
        <v>3556</v>
      </c>
      <c r="C198" s="251" t="s">
        <v>747</v>
      </c>
      <c r="D198" s="251" t="s">
        <v>907</v>
      </c>
      <c r="E198" s="251" t="s">
        <v>768</v>
      </c>
      <c r="F198" s="251" t="s">
        <v>6</v>
      </c>
      <c r="G198" s="251" t="s">
        <v>2303</v>
      </c>
      <c r="H198" s="252" t="s">
        <v>3782</v>
      </c>
      <c r="I198" s="252" t="s">
        <v>3783</v>
      </c>
      <c r="J198" s="252" t="s">
        <v>3408</v>
      </c>
      <c r="K198" s="253" t="s">
        <v>3784</v>
      </c>
      <c r="L198" s="252" t="s">
        <v>39</v>
      </c>
      <c r="M198" s="251" t="s">
        <v>39</v>
      </c>
      <c r="N198" s="251" t="s">
        <v>913</v>
      </c>
      <c r="O198" s="251" t="s">
        <v>753</v>
      </c>
      <c r="P198" s="251" t="s">
        <v>1018</v>
      </c>
      <c r="Q198" s="252" t="s">
        <v>3124</v>
      </c>
      <c r="R198" s="251" t="s">
        <v>3</v>
      </c>
      <c r="S198" s="256">
        <v>46359.0</v>
      </c>
      <c r="T198" s="254" t="s">
        <v>3785</v>
      </c>
      <c r="U198" s="308" t="s">
        <v>869</v>
      </c>
      <c r="V198" s="262"/>
      <c r="W198" s="262"/>
      <c r="X198" s="262"/>
      <c r="Y198" s="262"/>
      <c r="Z198" s="262"/>
    </row>
    <row r="199" ht="15.75" customHeight="1">
      <c r="A199" s="7" t="s">
        <v>3786</v>
      </c>
      <c r="B199" s="7" t="s">
        <v>3556</v>
      </c>
      <c r="C199" s="7" t="s">
        <v>770</v>
      </c>
      <c r="D199" s="7" t="s">
        <v>907</v>
      </c>
      <c r="E199" s="7" t="s">
        <v>1004</v>
      </c>
      <c r="F199" s="7" t="s">
        <v>12</v>
      </c>
      <c r="G199" s="7" t="s">
        <v>1086</v>
      </c>
      <c r="H199" s="305" t="s">
        <v>148</v>
      </c>
      <c r="I199" s="33" t="s">
        <v>3787</v>
      </c>
      <c r="J199" s="33" t="s">
        <v>3298</v>
      </c>
      <c r="K199" s="58" t="s">
        <v>3788</v>
      </c>
      <c r="L199" s="33" t="s">
        <v>39</v>
      </c>
      <c r="M199" s="7" t="s">
        <v>39</v>
      </c>
      <c r="N199" s="7" t="s">
        <v>913</v>
      </c>
      <c r="O199" s="7"/>
      <c r="P199" s="7"/>
      <c r="Q199" s="33"/>
      <c r="R199" s="7" t="s">
        <v>3</v>
      </c>
      <c r="S199" s="7" t="s">
        <v>2944</v>
      </c>
      <c r="T199" s="32"/>
      <c r="U199" s="236"/>
    </row>
    <row r="200" ht="15.75" customHeight="1">
      <c r="A200" s="7" t="s">
        <v>3789</v>
      </c>
      <c r="B200" s="7" t="s">
        <v>3556</v>
      </c>
      <c r="C200" s="7" t="s">
        <v>747</v>
      </c>
      <c r="D200" s="7" t="s">
        <v>907</v>
      </c>
      <c r="E200" s="7" t="s">
        <v>1004</v>
      </c>
      <c r="F200" s="7" t="s">
        <v>12</v>
      </c>
      <c r="G200" s="7" t="s">
        <v>970</v>
      </c>
      <c r="H200" s="89" t="s">
        <v>148</v>
      </c>
      <c r="I200" s="33" t="s">
        <v>3588</v>
      </c>
      <c r="J200" s="33" t="s">
        <v>3589</v>
      </c>
      <c r="K200" s="58" t="s">
        <v>3790</v>
      </c>
      <c r="L200" s="58" t="s">
        <v>3591</v>
      </c>
      <c r="M200" s="7" t="s">
        <v>39</v>
      </c>
      <c r="N200" s="7" t="s">
        <v>913</v>
      </c>
      <c r="O200" s="7" t="s">
        <v>3791</v>
      </c>
      <c r="P200" s="7" t="s">
        <v>3008</v>
      </c>
      <c r="Q200" s="33" t="s">
        <v>2104</v>
      </c>
      <c r="R200" s="7" t="s">
        <v>3</v>
      </c>
      <c r="S200" s="7" t="s">
        <v>1090</v>
      </c>
      <c r="T200" s="32" t="s">
        <v>3792</v>
      </c>
      <c r="U200" s="236"/>
    </row>
    <row r="201" ht="15.75" customHeight="1">
      <c r="A201" s="7" t="s">
        <v>3793</v>
      </c>
      <c r="B201" s="7" t="s">
        <v>3556</v>
      </c>
      <c r="C201" s="7" t="s">
        <v>755</v>
      </c>
      <c r="D201" s="7" t="s">
        <v>907</v>
      </c>
      <c r="E201" s="7" t="s">
        <v>829</v>
      </c>
      <c r="F201" s="7" t="s">
        <v>12</v>
      </c>
      <c r="G201" s="15" t="s">
        <v>908</v>
      </c>
      <c r="H201" s="16" t="s">
        <v>148</v>
      </c>
      <c r="I201" s="41" t="s">
        <v>3794</v>
      </c>
      <c r="J201" s="33" t="s">
        <v>3795</v>
      </c>
      <c r="K201" s="58" t="s">
        <v>3796</v>
      </c>
      <c r="L201" s="33" t="s">
        <v>39</v>
      </c>
      <c r="M201" s="7" t="s">
        <v>39</v>
      </c>
      <c r="N201" s="7" t="s">
        <v>913</v>
      </c>
      <c r="O201" s="7" t="s">
        <v>753</v>
      </c>
      <c r="P201" s="7"/>
      <c r="Q201" s="33"/>
      <c r="R201" s="7" t="s">
        <v>1265</v>
      </c>
      <c r="S201" s="130">
        <v>46145.0</v>
      </c>
      <c r="T201" s="32" t="s">
        <v>3797</v>
      </c>
      <c r="U201" s="236"/>
    </row>
    <row r="202" ht="15.75" customHeight="1">
      <c r="A202" s="7" t="s">
        <v>3798</v>
      </c>
      <c r="B202" s="7" t="s">
        <v>3556</v>
      </c>
      <c r="C202" s="7" t="s">
        <v>747</v>
      </c>
      <c r="D202" s="7" t="s">
        <v>907</v>
      </c>
      <c r="E202" s="7" t="s">
        <v>829</v>
      </c>
      <c r="F202" s="7" t="s">
        <v>12</v>
      </c>
      <c r="G202" s="15" t="s">
        <v>908</v>
      </c>
      <c r="H202" s="16" t="s">
        <v>148</v>
      </c>
      <c r="I202" s="41" t="s">
        <v>3799</v>
      </c>
      <c r="J202" s="33" t="s">
        <v>3800</v>
      </c>
      <c r="K202" s="58" t="s">
        <v>3801</v>
      </c>
      <c r="L202" s="33" t="s">
        <v>39</v>
      </c>
      <c r="M202" s="7" t="s">
        <v>39</v>
      </c>
      <c r="N202" s="7" t="s">
        <v>913</v>
      </c>
      <c r="O202" s="7"/>
      <c r="P202" s="7"/>
      <c r="Q202" s="33"/>
      <c r="R202" s="7" t="s">
        <v>3</v>
      </c>
      <c r="S202" s="7" t="s">
        <v>3175</v>
      </c>
      <c r="T202" s="32" t="s">
        <v>3360</v>
      </c>
      <c r="U202" s="236"/>
    </row>
    <row r="203" ht="15.75" customHeight="1">
      <c r="A203" s="7" t="s">
        <v>3802</v>
      </c>
      <c r="B203" s="7" t="s">
        <v>3556</v>
      </c>
      <c r="C203" s="7" t="s">
        <v>747</v>
      </c>
      <c r="D203" s="7" t="s">
        <v>907</v>
      </c>
      <c r="E203" s="7" t="s">
        <v>829</v>
      </c>
      <c r="F203" s="7" t="s">
        <v>12</v>
      </c>
      <c r="G203" s="15" t="s">
        <v>1800</v>
      </c>
      <c r="H203" s="16" t="s">
        <v>148</v>
      </c>
      <c r="I203" s="41" t="s">
        <v>3803</v>
      </c>
      <c r="J203" s="33" t="s">
        <v>3804</v>
      </c>
      <c r="K203" s="58" t="s">
        <v>3805</v>
      </c>
      <c r="L203" s="33" t="s">
        <v>39</v>
      </c>
      <c r="M203" s="7" t="s">
        <v>39</v>
      </c>
      <c r="N203" s="7" t="s">
        <v>913</v>
      </c>
      <c r="O203" s="7"/>
      <c r="P203" s="7"/>
      <c r="Q203" s="33"/>
      <c r="R203" s="7" t="s">
        <v>3</v>
      </c>
      <c r="S203" s="7" t="s">
        <v>3175</v>
      </c>
      <c r="T203" s="32" t="s">
        <v>3806</v>
      </c>
      <c r="U203" s="236"/>
    </row>
    <row r="204" ht="15.75" customHeight="1">
      <c r="A204" s="7" t="s">
        <v>3807</v>
      </c>
      <c r="B204" s="7" t="s">
        <v>3556</v>
      </c>
      <c r="C204" s="7" t="s">
        <v>747</v>
      </c>
      <c r="D204" s="7" t="s">
        <v>907</v>
      </c>
      <c r="E204" s="7" t="s">
        <v>829</v>
      </c>
      <c r="F204" s="7" t="s">
        <v>12</v>
      </c>
      <c r="G204" s="15" t="s">
        <v>908</v>
      </c>
      <c r="H204" s="16" t="s">
        <v>148</v>
      </c>
      <c r="I204" s="41" t="s">
        <v>3808</v>
      </c>
      <c r="J204" s="33" t="s">
        <v>3809</v>
      </c>
      <c r="K204" s="58" t="s">
        <v>3810</v>
      </c>
      <c r="L204" s="33" t="s">
        <v>39</v>
      </c>
      <c r="M204" s="7" t="s">
        <v>39</v>
      </c>
      <c r="N204" s="7" t="s">
        <v>913</v>
      </c>
      <c r="O204" s="7"/>
      <c r="P204" s="7"/>
      <c r="Q204" s="33"/>
      <c r="R204" s="7" t="s">
        <v>3</v>
      </c>
      <c r="S204" s="7" t="s">
        <v>3175</v>
      </c>
      <c r="T204" s="32" t="s">
        <v>3360</v>
      </c>
      <c r="U204" s="236"/>
    </row>
    <row r="205" ht="15.75" customHeight="1">
      <c r="A205" s="7" t="s">
        <v>3811</v>
      </c>
      <c r="B205" s="7" t="s">
        <v>3556</v>
      </c>
      <c r="C205" s="7" t="s">
        <v>770</v>
      </c>
      <c r="D205" s="7" t="s">
        <v>907</v>
      </c>
      <c r="E205" s="7" t="s">
        <v>829</v>
      </c>
      <c r="F205" s="7" t="s">
        <v>12</v>
      </c>
      <c r="G205" s="7" t="s">
        <v>1086</v>
      </c>
      <c r="H205" s="305" t="s">
        <v>148</v>
      </c>
      <c r="I205" s="33" t="s">
        <v>3812</v>
      </c>
      <c r="J205" s="33" t="s">
        <v>3193</v>
      </c>
      <c r="K205" s="58" t="s">
        <v>3813</v>
      </c>
      <c r="L205" s="58" t="s">
        <v>3814</v>
      </c>
      <c r="M205" s="7" t="s">
        <v>39</v>
      </c>
      <c r="N205" s="7" t="s">
        <v>913</v>
      </c>
      <c r="O205" s="7" t="s">
        <v>913</v>
      </c>
      <c r="P205" s="7" t="s">
        <v>3008</v>
      </c>
      <c r="Q205" s="33" t="s">
        <v>3483</v>
      </c>
      <c r="R205" s="7" t="s">
        <v>3</v>
      </c>
      <c r="S205" s="7" t="s">
        <v>1034</v>
      </c>
      <c r="T205" s="32" t="s">
        <v>3815</v>
      </c>
      <c r="U205" s="236"/>
    </row>
    <row r="206" ht="15.75" customHeight="1">
      <c r="A206" s="7" t="s">
        <v>3816</v>
      </c>
      <c r="B206" s="7" t="s">
        <v>3556</v>
      </c>
      <c r="C206" s="7" t="s">
        <v>747</v>
      </c>
      <c r="D206" s="7" t="s">
        <v>907</v>
      </c>
      <c r="E206" s="7" t="s">
        <v>829</v>
      </c>
      <c r="F206" s="7" t="s">
        <v>12</v>
      </c>
      <c r="G206" s="15" t="s">
        <v>908</v>
      </c>
      <c r="H206" s="16" t="s">
        <v>148</v>
      </c>
      <c r="I206" s="41" t="s">
        <v>3817</v>
      </c>
      <c r="J206" s="33" t="s">
        <v>3818</v>
      </c>
      <c r="K206" s="58" t="s">
        <v>3819</v>
      </c>
      <c r="L206" s="33" t="s">
        <v>39</v>
      </c>
      <c r="M206" s="7" t="s">
        <v>39</v>
      </c>
      <c r="N206" s="7" t="s">
        <v>913</v>
      </c>
      <c r="O206" s="7"/>
      <c r="P206" s="7"/>
      <c r="Q206" s="33"/>
      <c r="R206" s="7" t="s">
        <v>3</v>
      </c>
      <c r="S206" s="7" t="s">
        <v>3175</v>
      </c>
      <c r="T206" s="32" t="s">
        <v>3360</v>
      </c>
      <c r="U206" s="236"/>
    </row>
    <row r="207" ht="15.75" customHeight="1">
      <c r="A207" s="7" t="s">
        <v>3820</v>
      </c>
      <c r="B207" s="7" t="s">
        <v>3556</v>
      </c>
      <c r="C207" s="7" t="s">
        <v>755</v>
      </c>
      <c r="D207" s="7" t="s">
        <v>907</v>
      </c>
      <c r="E207" s="7" t="s">
        <v>829</v>
      </c>
      <c r="F207" s="7" t="s">
        <v>12</v>
      </c>
      <c r="G207" s="15" t="s">
        <v>908</v>
      </c>
      <c r="H207" s="16" t="s">
        <v>148</v>
      </c>
      <c r="I207" s="41" t="s">
        <v>3821</v>
      </c>
      <c r="J207" s="33" t="s">
        <v>3822</v>
      </c>
      <c r="K207" s="58" t="s">
        <v>3823</v>
      </c>
      <c r="L207" s="33" t="s">
        <v>39</v>
      </c>
      <c r="M207" s="7" t="s">
        <v>39</v>
      </c>
      <c r="N207" s="7" t="s">
        <v>913</v>
      </c>
      <c r="O207" s="7"/>
      <c r="P207" s="7"/>
      <c r="Q207" s="33"/>
      <c r="R207" s="7" t="s">
        <v>3</v>
      </c>
      <c r="S207" s="7" t="s">
        <v>3175</v>
      </c>
      <c r="T207" s="32" t="s">
        <v>3360</v>
      </c>
      <c r="U207" s="236"/>
    </row>
    <row r="208" ht="15.75" customHeight="1">
      <c r="A208" s="7" t="s">
        <v>3824</v>
      </c>
      <c r="B208" s="7" t="s">
        <v>3556</v>
      </c>
      <c r="C208" s="7" t="s">
        <v>770</v>
      </c>
      <c r="D208" s="7" t="s">
        <v>907</v>
      </c>
      <c r="E208" s="7" t="s">
        <v>829</v>
      </c>
      <c r="F208" s="7" t="s">
        <v>12</v>
      </c>
      <c r="G208" s="7" t="s">
        <v>2303</v>
      </c>
      <c r="H208" s="57" t="s">
        <v>170</v>
      </c>
      <c r="I208" s="33" t="s">
        <v>2993</v>
      </c>
      <c r="J208" s="33" t="s">
        <v>2994</v>
      </c>
      <c r="K208" s="58" t="s">
        <v>3825</v>
      </c>
      <c r="L208" s="33" t="s">
        <v>39</v>
      </c>
      <c r="M208" s="7" t="s">
        <v>39</v>
      </c>
      <c r="N208" s="7" t="s">
        <v>913</v>
      </c>
      <c r="O208" s="7" t="s">
        <v>913</v>
      </c>
      <c r="P208" s="7" t="s">
        <v>3008</v>
      </c>
      <c r="Q208" s="33" t="s">
        <v>3009</v>
      </c>
      <c r="R208" s="7" t="s">
        <v>3</v>
      </c>
      <c r="S208" s="130">
        <v>46175.0</v>
      </c>
      <c r="T208" s="32" t="s">
        <v>3826</v>
      </c>
      <c r="U208" s="236"/>
    </row>
    <row r="209" ht="15.75" customHeight="1">
      <c r="A209" s="7" t="s">
        <v>3827</v>
      </c>
      <c r="B209" s="7" t="s">
        <v>3556</v>
      </c>
      <c r="C209" s="7" t="s">
        <v>755</v>
      </c>
      <c r="D209" s="7" t="s">
        <v>907</v>
      </c>
      <c r="E209" s="7" t="s">
        <v>1575</v>
      </c>
      <c r="F209" s="7" t="s">
        <v>16</v>
      </c>
      <c r="G209" s="7" t="s">
        <v>1183</v>
      </c>
      <c r="H209" s="58" t="s">
        <v>170</v>
      </c>
      <c r="I209" s="33" t="s">
        <v>3828</v>
      </c>
      <c r="J209" s="33" t="s">
        <v>3829</v>
      </c>
      <c r="K209" s="58" t="s">
        <v>3830</v>
      </c>
      <c r="L209" s="58" t="s">
        <v>3831</v>
      </c>
      <c r="M209" s="7" t="s">
        <v>39</v>
      </c>
      <c r="N209" s="7" t="s">
        <v>913</v>
      </c>
      <c r="O209" s="7" t="s">
        <v>974</v>
      </c>
      <c r="P209" s="7"/>
      <c r="Q209" s="33"/>
      <c r="R209" s="7" t="s">
        <v>3</v>
      </c>
      <c r="S209" s="130">
        <v>46267.0</v>
      </c>
      <c r="T209" s="32" t="s">
        <v>3832</v>
      </c>
      <c r="U209" s="12" t="s">
        <v>1029</v>
      </c>
    </row>
    <row r="210" ht="15.75" customHeight="1">
      <c r="A210" s="7" t="s">
        <v>3833</v>
      </c>
      <c r="B210" s="7" t="s">
        <v>3556</v>
      </c>
      <c r="C210" s="7" t="s">
        <v>747</v>
      </c>
      <c r="D210" s="7" t="s">
        <v>907</v>
      </c>
      <c r="E210" s="7" t="s">
        <v>829</v>
      </c>
      <c r="F210" s="7" t="s">
        <v>16</v>
      </c>
      <c r="G210" s="7" t="s">
        <v>3463</v>
      </c>
      <c r="H210" s="58" t="s">
        <v>170</v>
      </c>
      <c r="I210" s="33" t="s">
        <v>3834</v>
      </c>
      <c r="J210" s="33" t="s">
        <v>3835</v>
      </c>
      <c r="K210" s="58" t="s">
        <v>3836</v>
      </c>
      <c r="L210" s="58" t="s">
        <v>3837</v>
      </c>
      <c r="M210" s="7" t="s">
        <v>39</v>
      </c>
      <c r="N210" s="7" t="s">
        <v>913</v>
      </c>
      <c r="O210" s="15" t="s">
        <v>974</v>
      </c>
      <c r="P210" s="7" t="s">
        <v>1018</v>
      </c>
      <c r="Q210" s="41" t="s">
        <v>3124</v>
      </c>
      <c r="R210" s="7" t="s">
        <v>3</v>
      </c>
      <c r="S210" s="130" t="s">
        <v>1565</v>
      </c>
      <c r="T210" s="32" t="s">
        <v>3838</v>
      </c>
      <c r="U210" s="12" t="s">
        <v>1029</v>
      </c>
    </row>
    <row r="211" ht="15.75" customHeight="1">
      <c r="A211" s="68" t="s">
        <v>3839</v>
      </c>
      <c r="B211" s="68" t="s">
        <v>3556</v>
      </c>
      <c r="C211" s="68" t="s">
        <v>755</v>
      </c>
      <c r="D211" s="68" t="s">
        <v>907</v>
      </c>
      <c r="E211" s="68" t="s">
        <v>1575</v>
      </c>
      <c r="F211" s="68" t="s">
        <v>16</v>
      </c>
      <c r="G211" s="68" t="s">
        <v>3493</v>
      </c>
      <c r="H211" s="309" t="s">
        <v>170</v>
      </c>
      <c r="I211" s="32" t="s">
        <v>3840</v>
      </c>
      <c r="J211" s="32" t="s">
        <v>3841</v>
      </c>
      <c r="K211" s="309" t="s">
        <v>3842</v>
      </c>
      <c r="L211" s="309" t="s">
        <v>3843</v>
      </c>
      <c r="M211" s="68" t="s">
        <v>39</v>
      </c>
      <c r="N211" s="68" t="s">
        <v>913</v>
      </c>
      <c r="O211" s="68" t="s">
        <v>974</v>
      </c>
      <c r="P211" s="68"/>
      <c r="Q211" s="32"/>
      <c r="R211" s="68" t="s">
        <v>3</v>
      </c>
      <c r="S211" s="310" t="s">
        <v>1090</v>
      </c>
      <c r="T211" s="311" t="s">
        <v>3844</v>
      </c>
      <c r="U211" s="67" t="s">
        <v>1029</v>
      </c>
      <c r="V211" s="45"/>
      <c r="W211" s="45"/>
      <c r="X211" s="45"/>
      <c r="Y211" s="45"/>
      <c r="Z211" s="45"/>
    </row>
    <row r="212" ht="15.75" customHeight="1">
      <c r="A212" s="7" t="s">
        <v>3845</v>
      </c>
      <c r="B212" s="7" t="s">
        <v>3556</v>
      </c>
      <c r="C212" s="7" t="s">
        <v>747</v>
      </c>
      <c r="D212" s="7" t="s">
        <v>907</v>
      </c>
      <c r="E212" s="7" t="s">
        <v>3663</v>
      </c>
      <c r="F212" s="7" t="s">
        <v>12</v>
      </c>
      <c r="G212" s="7" t="s">
        <v>805</v>
      </c>
      <c r="H212" s="58" t="s">
        <v>170</v>
      </c>
      <c r="I212" s="33" t="s">
        <v>3846</v>
      </c>
      <c r="J212" s="33" t="s">
        <v>3847</v>
      </c>
      <c r="K212" s="58" t="s">
        <v>3848</v>
      </c>
      <c r="L212" s="33" t="s">
        <v>39</v>
      </c>
      <c r="M212" s="7" t="s">
        <v>39</v>
      </c>
      <c r="N212" s="7" t="s">
        <v>913</v>
      </c>
      <c r="O212" s="7" t="s">
        <v>1010</v>
      </c>
      <c r="P212" s="7" t="s">
        <v>3200</v>
      </c>
      <c r="Q212" s="33" t="s">
        <v>3617</v>
      </c>
      <c r="R212" s="7" t="s">
        <v>4</v>
      </c>
      <c r="S212" s="7" t="s">
        <v>1538</v>
      </c>
      <c r="T212" s="32" t="s">
        <v>3618</v>
      </c>
      <c r="U212" s="236"/>
    </row>
    <row r="213" ht="15.75" customHeight="1">
      <c r="A213" s="7" t="s">
        <v>3849</v>
      </c>
      <c r="B213" s="7" t="s">
        <v>3556</v>
      </c>
      <c r="C213" s="7" t="s">
        <v>747</v>
      </c>
      <c r="D213" s="7" t="s">
        <v>907</v>
      </c>
      <c r="E213" s="7" t="s">
        <v>1575</v>
      </c>
      <c r="F213" s="7" t="s">
        <v>12</v>
      </c>
      <c r="G213" s="7" t="s">
        <v>805</v>
      </c>
      <c r="H213" s="58" t="s">
        <v>170</v>
      </c>
      <c r="I213" s="33" t="s">
        <v>3850</v>
      </c>
      <c r="J213" s="33" t="s">
        <v>3851</v>
      </c>
      <c r="K213" s="58" t="s">
        <v>3852</v>
      </c>
      <c r="L213" s="33" t="s">
        <v>39</v>
      </c>
      <c r="M213" s="7" t="s">
        <v>39</v>
      </c>
      <c r="N213" s="7" t="s">
        <v>913</v>
      </c>
      <c r="O213" s="7" t="s">
        <v>1010</v>
      </c>
      <c r="P213" s="7" t="s">
        <v>1018</v>
      </c>
      <c r="Q213" s="33" t="s">
        <v>1139</v>
      </c>
      <c r="R213" s="7" t="s">
        <v>4</v>
      </c>
      <c r="S213" s="7" t="s">
        <v>1659</v>
      </c>
      <c r="T213" s="32" t="s">
        <v>3125</v>
      </c>
      <c r="U213" s="31"/>
      <c r="V213" s="62"/>
      <c r="W213" s="62"/>
      <c r="X213" s="62"/>
      <c r="Y213" s="62"/>
      <c r="Z213" s="62"/>
    </row>
    <row r="214" ht="15.75" customHeight="1">
      <c r="A214" s="7" t="s">
        <v>3853</v>
      </c>
      <c r="B214" s="7" t="s">
        <v>3556</v>
      </c>
      <c r="C214" s="7" t="s">
        <v>747</v>
      </c>
      <c r="D214" s="7" t="s">
        <v>907</v>
      </c>
      <c r="E214" s="7" t="s">
        <v>768</v>
      </c>
      <c r="F214" s="7" t="s">
        <v>12</v>
      </c>
      <c r="G214" s="7" t="s">
        <v>805</v>
      </c>
      <c r="H214" s="58" t="s">
        <v>170</v>
      </c>
      <c r="I214" s="33" t="s">
        <v>3854</v>
      </c>
      <c r="J214" s="33" t="s">
        <v>3855</v>
      </c>
      <c r="K214" s="58" t="s">
        <v>3856</v>
      </c>
      <c r="L214" s="33" t="s">
        <v>39</v>
      </c>
      <c r="M214" s="7" t="s">
        <v>39</v>
      </c>
      <c r="N214" s="7" t="s">
        <v>913</v>
      </c>
      <c r="O214" s="7" t="s">
        <v>1010</v>
      </c>
      <c r="P214" s="7" t="s">
        <v>1018</v>
      </c>
      <c r="Q214" s="33" t="s">
        <v>1139</v>
      </c>
      <c r="R214" s="7" t="s">
        <v>4</v>
      </c>
      <c r="S214" s="7" t="s">
        <v>1659</v>
      </c>
      <c r="T214" s="32" t="s">
        <v>3125</v>
      </c>
      <c r="U214" s="31"/>
      <c r="V214" s="62"/>
      <c r="W214" s="62"/>
      <c r="X214" s="62"/>
      <c r="Y214" s="62"/>
      <c r="Z214" s="62"/>
    </row>
    <row r="215" ht="15.75" customHeight="1">
      <c r="A215" s="7" t="s">
        <v>3857</v>
      </c>
      <c r="B215" s="7" t="s">
        <v>3556</v>
      </c>
      <c r="C215" s="7" t="s">
        <v>747</v>
      </c>
      <c r="D215" s="7" t="s">
        <v>907</v>
      </c>
      <c r="E215" s="7" t="s">
        <v>1004</v>
      </c>
      <c r="F215" s="7" t="s">
        <v>12</v>
      </c>
      <c r="G215" s="7" t="s">
        <v>2303</v>
      </c>
      <c r="H215" s="58" t="s">
        <v>170</v>
      </c>
      <c r="I215" s="33" t="s">
        <v>3858</v>
      </c>
      <c r="J215" s="33" t="s">
        <v>3859</v>
      </c>
      <c r="K215" s="58" t="s">
        <v>3860</v>
      </c>
      <c r="L215" s="58" t="s">
        <v>3861</v>
      </c>
      <c r="M215" s="7" t="s">
        <v>39</v>
      </c>
      <c r="N215" s="7" t="s">
        <v>913</v>
      </c>
      <c r="O215" s="7"/>
      <c r="P215" s="7"/>
      <c r="Q215" s="33"/>
      <c r="R215" s="7" t="s">
        <v>3</v>
      </c>
      <c r="S215" s="7" t="s">
        <v>2944</v>
      </c>
      <c r="T215" s="32"/>
      <c r="U215" s="236"/>
    </row>
    <row r="216" ht="15.75" customHeight="1">
      <c r="A216" s="7" t="s">
        <v>3862</v>
      </c>
      <c r="B216" s="7" t="s">
        <v>3556</v>
      </c>
      <c r="C216" s="7" t="s">
        <v>747</v>
      </c>
      <c r="D216" s="7" t="s">
        <v>907</v>
      </c>
      <c r="E216" s="7" t="s">
        <v>1004</v>
      </c>
      <c r="F216" s="7" t="s">
        <v>16</v>
      </c>
      <c r="G216" s="7" t="s">
        <v>3533</v>
      </c>
      <c r="H216" s="58" t="s">
        <v>170</v>
      </c>
      <c r="I216" s="33" t="s">
        <v>3534</v>
      </c>
      <c r="J216" s="33" t="s">
        <v>3535</v>
      </c>
      <c r="K216" s="58" t="s">
        <v>3863</v>
      </c>
      <c r="L216" s="58" t="s">
        <v>3864</v>
      </c>
      <c r="M216" s="7" t="s">
        <v>39</v>
      </c>
      <c r="N216" s="7" t="s">
        <v>913</v>
      </c>
      <c r="O216" s="15" t="s">
        <v>974</v>
      </c>
      <c r="P216" s="7" t="s">
        <v>1018</v>
      </c>
      <c r="Q216" s="41" t="s">
        <v>3124</v>
      </c>
      <c r="R216" s="68" t="s">
        <v>3</v>
      </c>
      <c r="S216" s="310" t="s">
        <v>1090</v>
      </c>
      <c r="T216" s="32" t="s">
        <v>3865</v>
      </c>
      <c r="U216" s="12" t="s">
        <v>1029</v>
      </c>
    </row>
    <row r="217" ht="15.75" customHeight="1">
      <c r="A217" s="7" t="s">
        <v>3866</v>
      </c>
      <c r="B217" s="7" t="s">
        <v>3556</v>
      </c>
      <c r="C217" s="7" t="s">
        <v>747</v>
      </c>
      <c r="D217" s="7" t="s">
        <v>907</v>
      </c>
      <c r="E217" s="7" t="s">
        <v>1004</v>
      </c>
      <c r="F217" s="7" t="s">
        <v>16</v>
      </c>
      <c r="G217" s="7" t="s">
        <v>1246</v>
      </c>
      <c r="H217" s="58" t="s">
        <v>170</v>
      </c>
      <c r="I217" s="33" t="s">
        <v>3186</v>
      </c>
      <c r="J217" s="33" t="s">
        <v>3867</v>
      </c>
      <c r="K217" s="58" t="s">
        <v>3868</v>
      </c>
      <c r="L217" s="58" t="s">
        <v>3869</v>
      </c>
      <c r="M217" s="7" t="s">
        <v>39</v>
      </c>
      <c r="N217" s="7" t="s">
        <v>913</v>
      </c>
      <c r="O217" s="15" t="s">
        <v>974</v>
      </c>
      <c r="P217" s="7" t="s">
        <v>1018</v>
      </c>
      <c r="Q217" s="41" t="s">
        <v>3124</v>
      </c>
      <c r="R217" s="7" t="s">
        <v>3</v>
      </c>
      <c r="S217" s="7" t="s">
        <v>1090</v>
      </c>
      <c r="T217" s="32" t="s">
        <v>3870</v>
      </c>
      <c r="U217" s="12" t="s">
        <v>1029</v>
      </c>
    </row>
    <row r="218" ht="15.75" customHeight="1">
      <c r="A218" s="7" t="s">
        <v>3871</v>
      </c>
      <c r="B218" s="7" t="s">
        <v>3556</v>
      </c>
      <c r="C218" s="7" t="s">
        <v>747</v>
      </c>
      <c r="D218" s="7" t="s">
        <v>907</v>
      </c>
      <c r="E218" s="7" t="s">
        <v>1004</v>
      </c>
      <c r="F218" s="7" t="s">
        <v>12</v>
      </c>
      <c r="G218" s="7" t="s">
        <v>1183</v>
      </c>
      <c r="H218" s="58" t="s">
        <v>170</v>
      </c>
      <c r="I218" s="33" t="s">
        <v>3872</v>
      </c>
      <c r="J218" s="33" t="s">
        <v>3873</v>
      </c>
      <c r="K218" s="58" t="s">
        <v>3874</v>
      </c>
      <c r="L218" s="58" t="s">
        <v>3875</v>
      </c>
      <c r="M218" s="7" t="s">
        <v>39</v>
      </c>
      <c r="N218" s="7" t="s">
        <v>913</v>
      </c>
      <c r="O218" s="7" t="s">
        <v>913</v>
      </c>
      <c r="P218" s="7" t="s">
        <v>1029</v>
      </c>
      <c r="Q218" s="33"/>
      <c r="R218" s="7" t="s">
        <v>3</v>
      </c>
      <c r="S218" s="130">
        <v>46114.0</v>
      </c>
      <c r="T218" s="32" t="s">
        <v>3876</v>
      </c>
      <c r="U218" s="236"/>
    </row>
    <row r="219" ht="15.75" customHeight="1">
      <c r="A219" s="7" t="s">
        <v>3877</v>
      </c>
      <c r="B219" s="7" t="s">
        <v>3556</v>
      </c>
      <c r="C219" s="7" t="s">
        <v>747</v>
      </c>
      <c r="D219" s="7" t="s">
        <v>907</v>
      </c>
      <c r="E219" s="7" t="s">
        <v>829</v>
      </c>
      <c r="F219" s="7" t="s">
        <v>12</v>
      </c>
      <c r="G219" s="7" t="s">
        <v>908</v>
      </c>
      <c r="H219" s="58" t="s">
        <v>170</v>
      </c>
      <c r="I219" s="33" t="s">
        <v>3878</v>
      </c>
      <c r="J219" s="33" t="s">
        <v>3879</v>
      </c>
      <c r="K219" s="58" t="s">
        <v>3880</v>
      </c>
      <c r="L219" s="33" t="s">
        <v>39</v>
      </c>
      <c r="M219" s="7" t="s">
        <v>39</v>
      </c>
      <c r="N219" s="7" t="s">
        <v>913</v>
      </c>
      <c r="O219" s="7" t="s">
        <v>753</v>
      </c>
      <c r="P219" s="7"/>
      <c r="Q219" s="33"/>
      <c r="R219" s="7" t="s">
        <v>1265</v>
      </c>
      <c r="S219" s="130">
        <v>46145.0</v>
      </c>
      <c r="T219" s="32" t="s">
        <v>3881</v>
      </c>
      <c r="U219" s="236"/>
    </row>
    <row r="220" ht="15.75" customHeight="1">
      <c r="A220" s="7" t="s">
        <v>3882</v>
      </c>
      <c r="B220" s="7" t="s">
        <v>3556</v>
      </c>
      <c r="C220" s="7" t="s">
        <v>747</v>
      </c>
      <c r="D220" s="7" t="s">
        <v>907</v>
      </c>
      <c r="E220" s="7" t="s">
        <v>829</v>
      </c>
      <c r="F220" s="7" t="s">
        <v>12</v>
      </c>
      <c r="G220" s="7" t="s">
        <v>908</v>
      </c>
      <c r="H220" s="58" t="s">
        <v>170</v>
      </c>
      <c r="I220" s="33" t="s">
        <v>3883</v>
      </c>
      <c r="J220" s="33" t="s">
        <v>3884</v>
      </c>
      <c r="K220" s="58" t="s">
        <v>3885</v>
      </c>
      <c r="L220" s="33" t="s">
        <v>39</v>
      </c>
      <c r="M220" s="7" t="s">
        <v>39</v>
      </c>
      <c r="N220" s="7" t="s">
        <v>913</v>
      </c>
      <c r="O220" s="7"/>
      <c r="P220" s="7"/>
      <c r="Q220" s="33"/>
      <c r="R220" s="7" t="s">
        <v>3</v>
      </c>
      <c r="S220" s="7" t="s">
        <v>3175</v>
      </c>
      <c r="T220" s="32" t="s">
        <v>3886</v>
      </c>
      <c r="U220" s="236"/>
    </row>
    <row r="221" ht="15.75" customHeight="1">
      <c r="A221" s="7" t="s">
        <v>3887</v>
      </c>
      <c r="B221" s="7" t="s">
        <v>3556</v>
      </c>
      <c r="C221" s="7" t="s">
        <v>747</v>
      </c>
      <c r="D221" s="7" t="s">
        <v>907</v>
      </c>
      <c r="E221" s="7" t="s">
        <v>3888</v>
      </c>
      <c r="F221" s="7" t="s">
        <v>16</v>
      </c>
      <c r="G221" s="7" t="s">
        <v>3209</v>
      </c>
      <c r="H221" s="58" t="s">
        <v>170</v>
      </c>
      <c r="I221" s="33" t="s">
        <v>3889</v>
      </c>
      <c r="J221" s="33" t="s">
        <v>3890</v>
      </c>
      <c r="K221" s="58" t="s">
        <v>3891</v>
      </c>
      <c r="L221" s="33" t="s">
        <v>39</v>
      </c>
      <c r="M221" s="7" t="s">
        <v>39</v>
      </c>
      <c r="N221" s="7" t="s">
        <v>913</v>
      </c>
      <c r="O221" s="7" t="s">
        <v>974</v>
      </c>
      <c r="P221" s="7"/>
      <c r="Q221" s="33"/>
      <c r="R221" s="7" t="s">
        <v>3</v>
      </c>
      <c r="S221" s="7" t="s">
        <v>1090</v>
      </c>
      <c r="T221" s="32" t="s">
        <v>3892</v>
      </c>
      <c r="U221" s="12" t="s">
        <v>1029</v>
      </c>
    </row>
    <row r="222" ht="15.75" customHeight="1">
      <c r="A222" s="7" t="s">
        <v>3893</v>
      </c>
      <c r="B222" s="7" t="s">
        <v>3556</v>
      </c>
      <c r="C222" s="7" t="s">
        <v>747</v>
      </c>
      <c r="D222" s="7" t="s">
        <v>907</v>
      </c>
      <c r="E222" s="7" t="s">
        <v>829</v>
      </c>
      <c r="F222" s="7" t="s">
        <v>12</v>
      </c>
      <c r="G222" s="7" t="s">
        <v>908</v>
      </c>
      <c r="H222" s="58" t="s">
        <v>170</v>
      </c>
      <c r="I222" s="33" t="s">
        <v>3894</v>
      </c>
      <c r="J222" s="33" t="s">
        <v>3895</v>
      </c>
      <c r="K222" s="58" t="s">
        <v>3896</v>
      </c>
      <c r="L222" s="33" t="s">
        <v>39</v>
      </c>
      <c r="M222" s="7" t="s">
        <v>39</v>
      </c>
      <c r="N222" s="7" t="s">
        <v>913</v>
      </c>
      <c r="O222" s="7"/>
      <c r="P222" s="7"/>
      <c r="Q222" s="33"/>
      <c r="R222" s="7" t="s">
        <v>3</v>
      </c>
      <c r="S222" s="7" t="s">
        <v>3175</v>
      </c>
      <c r="T222" s="32" t="s">
        <v>3897</v>
      </c>
      <c r="U222" s="236"/>
    </row>
    <row r="223" ht="15.75" customHeight="1">
      <c r="A223" s="7" t="s">
        <v>3898</v>
      </c>
      <c r="B223" s="7" t="s">
        <v>3556</v>
      </c>
      <c r="C223" s="7" t="s">
        <v>747</v>
      </c>
      <c r="D223" s="7" t="s">
        <v>907</v>
      </c>
      <c r="E223" s="7" t="s">
        <v>829</v>
      </c>
      <c r="F223" s="7" t="s">
        <v>12</v>
      </c>
      <c r="G223" s="7" t="s">
        <v>1800</v>
      </c>
      <c r="H223" s="58" t="s">
        <v>170</v>
      </c>
      <c r="I223" s="33" t="s">
        <v>3899</v>
      </c>
      <c r="J223" s="33" t="s">
        <v>3900</v>
      </c>
      <c r="K223" s="58" t="s">
        <v>3901</v>
      </c>
      <c r="L223" s="33" t="s">
        <v>39</v>
      </c>
      <c r="M223" s="7" t="s">
        <v>39</v>
      </c>
      <c r="N223" s="7" t="s">
        <v>913</v>
      </c>
      <c r="O223" s="7" t="s">
        <v>753</v>
      </c>
      <c r="P223" s="7"/>
      <c r="Q223" s="33"/>
      <c r="R223" s="7" t="s">
        <v>4</v>
      </c>
      <c r="S223" s="7" t="s">
        <v>3175</v>
      </c>
      <c r="T223" s="32" t="s">
        <v>3902</v>
      </c>
      <c r="U223" s="236"/>
    </row>
    <row r="224" ht="15.75" customHeight="1">
      <c r="A224" s="7" t="s">
        <v>3903</v>
      </c>
      <c r="B224" s="7" t="s">
        <v>3556</v>
      </c>
      <c r="C224" s="7" t="s">
        <v>747</v>
      </c>
      <c r="D224" s="7" t="s">
        <v>907</v>
      </c>
      <c r="E224" s="7" t="s">
        <v>829</v>
      </c>
      <c r="F224" s="7" t="s">
        <v>12</v>
      </c>
      <c r="G224" s="7" t="s">
        <v>908</v>
      </c>
      <c r="H224" s="58" t="s">
        <v>170</v>
      </c>
      <c r="I224" s="33" t="s">
        <v>3904</v>
      </c>
      <c r="J224" s="33" t="s">
        <v>3905</v>
      </c>
      <c r="K224" s="58" t="s">
        <v>3906</v>
      </c>
      <c r="L224" s="33" t="s">
        <v>39</v>
      </c>
      <c r="M224" s="7" t="s">
        <v>39</v>
      </c>
      <c r="N224" s="7" t="s">
        <v>913</v>
      </c>
      <c r="O224" s="7"/>
      <c r="P224" s="7"/>
      <c r="Q224" s="33"/>
      <c r="R224" s="7" t="s">
        <v>3</v>
      </c>
      <c r="S224" s="7" t="s">
        <v>3175</v>
      </c>
      <c r="T224" s="32" t="s">
        <v>3907</v>
      </c>
      <c r="U224" s="236"/>
    </row>
    <row r="225" ht="15.75" customHeight="1">
      <c r="A225" s="7" t="s">
        <v>3908</v>
      </c>
      <c r="B225" s="7" t="s">
        <v>3556</v>
      </c>
      <c r="C225" s="7" t="s">
        <v>747</v>
      </c>
      <c r="D225" s="7" t="s">
        <v>907</v>
      </c>
      <c r="E225" s="7" t="s">
        <v>829</v>
      </c>
      <c r="F225" s="7" t="s">
        <v>12</v>
      </c>
      <c r="G225" s="7" t="s">
        <v>908</v>
      </c>
      <c r="H225" s="58" t="s">
        <v>170</v>
      </c>
      <c r="I225" s="33" t="s">
        <v>3673</v>
      </c>
      <c r="J225" s="33" t="s">
        <v>3909</v>
      </c>
      <c r="K225" s="58" t="s">
        <v>3910</v>
      </c>
      <c r="L225" s="33" t="s">
        <v>39</v>
      </c>
      <c r="M225" s="7" t="s">
        <v>39</v>
      </c>
      <c r="N225" s="7" t="s">
        <v>913</v>
      </c>
      <c r="O225" s="7"/>
      <c r="P225" s="7"/>
      <c r="Q225" s="33"/>
      <c r="R225" s="7" t="s">
        <v>3</v>
      </c>
      <c r="S225" s="7" t="s">
        <v>3175</v>
      </c>
      <c r="T225" s="32" t="s">
        <v>3907</v>
      </c>
      <c r="U225" s="236"/>
    </row>
    <row r="226" ht="15.75" customHeight="1">
      <c r="A226" s="7" t="s">
        <v>3911</v>
      </c>
      <c r="B226" s="7" t="s">
        <v>3556</v>
      </c>
      <c r="C226" s="7" t="s">
        <v>770</v>
      </c>
      <c r="D226" s="7" t="s">
        <v>907</v>
      </c>
      <c r="E226" s="7" t="s">
        <v>1004</v>
      </c>
      <c r="F226" s="7" t="s">
        <v>12</v>
      </c>
      <c r="G226" s="7" t="s">
        <v>1086</v>
      </c>
      <c r="H226" s="58" t="s">
        <v>170</v>
      </c>
      <c r="I226" s="33" t="s">
        <v>3787</v>
      </c>
      <c r="J226" s="33" t="s">
        <v>3298</v>
      </c>
      <c r="K226" s="58" t="s">
        <v>3912</v>
      </c>
      <c r="L226" s="33" t="s">
        <v>39</v>
      </c>
      <c r="M226" s="7" t="s">
        <v>39</v>
      </c>
      <c r="N226" s="7" t="s">
        <v>913</v>
      </c>
      <c r="O226" s="7"/>
      <c r="P226" s="7"/>
      <c r="Q226" s="33"/>
      <c r="R226" s="7" t="s">
        <v>3</v>
      </c>
      <c r="S226" s="7" t="s">
        <v>2944</v>
      </c>
      <c r="T226" s="32"/>
      <c r="U226" s="236"/>
    </row>
    <row r="227" ht="15.75" customHeight="1">
      <c r="A227" s="7" t="s">
        <v>3913</v>
      </c>
      <c r="B227" s="7" t="s">
        <v>3556</v>
      </c>
      <c r="C227" s="7" t="s">
        <v>770</v>
      </c>
      <c r="D227" s="7" t="s">
        <v>907</v>
      </c>
      <c r="E227" s="7" t="s">
        <v>829</v>
      </c>
      <c r="F227" s="7" t="s">
        <v>12</v>
      </c>
      <c r="G227" s="7" t="s">
        <v>1086</v>
      </c>
      <c r="H227" s="58" t="s">
        <v>170</v>
      </c>
      <c r="I227" s="33" t="s">
        <v>3812</v>
      </c>
      <c r="J227" s="33" t="s">
        <v>3193</v>
      </c>
      <c r="K227" s="58" t="s">
        <v>3914</v>
      </c>
      <c r="L227" s="58" t="s">
        <v>3915</v>
      </c>
      <c r="M227" s="7" t="s">
        <v>39</v>
      </c>
      <c r="N227" s="7" t="s">
        <v>913</v>
      </c>
      <c r="O227" s="7" t="s">
        <v>913</v>
      </c>
      <c r="P227" s="7" t="s">
        <v>3008</v>
      </c>
      <c r="Q227" s="33" t="s">
        <v>3483</v>
      </c>
      <c r="R227" s="7" t="s">
        <v>3</v>
      </c>
      <c r="S227" s="7" t="s">
        <v>1034</v>
      </c>
      <c r="T227" s="257" t="s">
        <v>3916</v>
      </c>
      <c r="U227" s="236"/>
    </row>
    <row r="228" ht="15.75" customHeight="1">
      <c r="A228" s="7" t="s">
        <v>3917</v>
      </c>
      <c r="B228" s="7" t="s">
        <v>3556</v>
      </c>
      <c r="C228" s="7" t="s">
        <v>747</v>
      </c>
      <c r="D228" s="7" t="s">
        <v>907</v>
      </c>
      <c r="E228" s="7" t="s">
        <v>829</v>
      </c>
      <c r="F228" s="7" t="s">
        <v>12</v>
      </c>
      <c r="G228" s="7" t="s">
        <v>908</v>
      </c>
      <c r="H228" s="58" t="s">
        <v>170</v>
      </c>
      <c r="I228" s="33" t="s">
        <v>3918</v>
      </c>
      <c r="J228" s="33" t="s">
        <v>3919</v>
      </c>
      <c r="K228" s="58" t="s">
        <v>3920</v>
      </c>
      <c r="L228" s="33" t="s">
        <v>39</v>
      </c>
      <c r="M228" s="7" t="s">
        <v>39</v>
      </c>
      <c r="N228" s="7" t="s">
        <v>913</v>
      </c>
      <c r="O228" s="7"/>
      <c r="P228" s="7"/>
      <c r="Q228" s="33"/>
      <c r="R228" s="7" t="s">
        <v>3</v>
      </c>
      <c r="S228" s="7" t="s">
        <v>3175</v>
      </c>
      <c r="T228" s="32" t="s">
        <v>3360</v>
      </c>
      <c r="U228" s="236"/>
    </row>
    <row r="229" ht="15.75" customHeight="1">
      <c r="A229" s="7" t="s">
        <v>3921</v>
      </c>
      <c r="B229" s="7" t="s">
        <v>3556</v>
      </c>
      <c r="C229" s="7" t="s">
        <v>747</v>
      </c>
      <c r="D229" s="7" t="s">
        <v>907</v>
      </c>
      <c r="E229" s="7" t="s">
        <v>829</v>
      </c>
      <c r="F229" s="7" t="s">
        <v>12</v>
      </c>
      <c r="G229" s="7" t="s">
        <v>908</v>
      </c>
      <c r="H229" s="58" t="s">
        <v>170</v>
      </c>
      <c r="I229" s="33" t="s">
        <v>3922</v>
      </c>
      <c r="J229" s="33" t="s">
        <v>3818</v>
      </c>
      <c r="K229" s="58" t="s">
        <v>3923</v>
      </c>
      <c r="L229" s="33" t="s">
        <v>39</v>
      </c>
      <c r="M229" s="7" t="s">
        <v>39</v>
      </c>
      <c r="N229" s="7" t="s">
        <v>913</v>
      </c>
      <c r="O229" s="7"/>
      <c r="P229" s="7"/>
      <c r="Q229" s="33"/>
      <c r="R229" s="7" t="s">
        <v>3</v>
      </c>
      <c r="S229" s="7" t="s">
        <v>3175</v>
      </c>
      <c r="T229" s="32" t="s">
        <v>3360</v>
      </c>
      <c r="U229" s="236"/>
    </row>
    <row r="230" ht="15.75" customHeight="1">
      <c r="A230" s="7" t="s">
        <v>3924</v>
      </c>
      <c r="B230" s="7" t="s">
        <v>3556</v>
      </c>
      <c r="C230" s="7" t="s">
        <v>747</v>
      </c>
      <c r="D230" s="7" t="s">
        <v>907</v>
      </c>
      <c r="E230" s="7" t="s">
        <v>829</v>
      </c>
      <c r="F230" s="7" t="s">
        <v>12</v>
      </c>
      <c r="G230" s="7" t="s">
        <v>908</v>
      </c>
      <c r="H230" s="58" t="s">
        <v>170</v>
      </c>
      <c r="I230" s="33" t="s">
        <v>3925</v>
      </c>
      <c r="J230" s="33" t="s">
        <v>3926</v>
      </c>
      <c r="K230" s="58" t="s">
        <v>3927</v>
      </c>
      <c r="L230" s="33" t="s">
        <v>39</v>
      </c>
      <c r="M230" s="7" t="s">
        <v>39</v>
      </c>
      <c r="N230" s="7" t="s">
        <v>913</v>
      </c>
      <c r="O230" s="7"/>
      <c r="P230" s="7"/>
      <c r="Q230" s="33"/>
      <c r="R230" s="7" t="s">
        <v>3</v>
      </c>
      <c r="S230" s="7" t="s">
        <v>3175</v>
      </c>
      <c r="T230" s="32" t="s">
        <v>3928</v>
      </c>
      <c r="U230" s="236"/>
    </row>
    <row r="231" ht="15.75" customHeight="1">
      <c r="A231" s="7" t="s">
        <v>3929</v>
      </c>
      <c r="B231" s="7" t="s">
        <v>3556</v>
      </c>
      <c r="C231" s="7" t="s">
        <v>755</v>
      </c>
      <c r="D231" s="7" t="s">
        <v>907</v>
      </c>
      <c r="E231" s="7" t="s">
        <v>829</v>
      </c>
      <c r="F231" s="7" t="s">
        <v>12</v>
      </c>
      <c r="G231" s="7" t="s">
        <v>908</v>
      </c>
      <c r="H231" s="58" t="s">
        <v>170</v>
      </c>
      <c r="I231" s="33" t="s">
        <v>3930</v>
      </c>
      <c r="J231" s="33" t="s">
        <v>3931</v>
      </c>
      <c r="K231" s="58" t="s">
        <v>3932</v>
      </c>
      <c r="L231" s="33" t="s">
        <v>39</v>
      </c>
      <c r="M231" s="7" t="s">
        <v>39</v>
      </c>
      <c r="N231" s="7" t="s">
        <v>913</v>
      </c>
      <c r="O231" s="7"/>
      <c r="P231" s="7"/>
      <c r="Q231" s="33"/>
      <c r="R231" s="7" t="s">
        <v>3</v>
      </c>
      <c r="S231" s="7" t="s">
        <v>3175</v>
      </c>
      <c r="T231" s="32" t="s">
        <v>3933</v>
      </c>
      <c r="U231" s="236"/>
    </row>
    <row r="232" ht="15.75" customHeight="1">
      <c r="A232" s="7" t="s">
        <v>3934</v>
      </c>
      <c r="B232" s="7" t="s">
        <v>3556</v>
      </c>
      <c r="C232" s="7" t="s">
        <v>755</v>
      </c>
      <c r="D232" s="7" t="s">
        <v>907</v>
      </c>
      <c r="E232" s="7" t="s">
        <v>829</v>
      </c>
      <c r="F232" s="7" t="s">
        <v>12</v>
      </c>
      <c r="G232" s="7" t="s">
        <v>908</v>
      </c>
      <c r="H232" s="58" t="s">
        <v>170</v>
      </c>
      <c r="I232" s="33" t="s">
        <v>3935</v>
      </c>
      <c r="J232" s="33" t="s">
        <v>3936</v>
      </c>
      <c r="K232" s="58" t="s">
        <v>3937</v>
      </c>
      <c r="L232" s="33" t="s">
        <v>39</v>
      </c>
      <c r="M232" s="7" t="s">
        <v>39</v>
      </c>
      <c r="N232" s="7" t="s">
        <v>913</v>
      </c>
      <c r="O232" s="7" t="s">
        <v>753</v>
      </c>
      <c r="P232" s="7"/>
      <c r="Q232" s="33"/>
      <c r="R232" s="7" t="s">
        <v>1265</v>
      </c>
      <c r="S232" s="130">
        <v>46145.0</v>
      </c>
      <c r="T232" s="32" t="s">
        <v>3938</v>
      </c>
      <c r="U232" s="236"/>
    </row>
    <row r="233" ht="15.75" customHeight="1">
      <c r="A233" s="7" t="s">
        <v>3939</v>
      </c>
      <c r="B233" s="7" t="s">
        <v>3556</v>
      </c>
      <c r="C233" s="7" t="s">
        <v>747</v>
      </c>
      <c r="D233" s="7" t="s">
        <v>907</v>
      </c>
      <c r="E233" s="7" t="s">
        <v>829</v>
      </c>
      <c r="F233" s="7" t="s">
        <v>12</v>
      </c>
      <c r="G233" s="7" t="s">
        <v>908</v>
      </c>
      <c r="H233" s="58" t="s">
        <v>170</v>
      </c>
      <c r="I233" s="33" t="s">
        <v>3940</v>
      </c>
      <c r="J233" s="33" t="s">
        <v>3941</v>
      </c>
      <c r="K233" s="58" t="s">
        <v>3942</v>
      </c>
      <c r="L233" s="33" t="s">
        <v>39</v>
      </c>
      <c r="M233" s="7" t="s">
        <v>39</v>
      </c>
      <c r="N233" s="7" t="s">
        <v>913</v>
      </c>
      <c r="O233" s="7"/>
      <c r="P233" s="7"/>
      <c r="Q233" s="33"/>
      <c r="R233" s="7" t="s">
        <v>5</v>
      </c>
      <c r="S233" s="7" t="s">
        <v>2944</v>
      </c>
      <c r="T233" s="32" t="s">
        <v>3943</v>
      </c>
      <c r="U233" s="236"/>
    </row>
    <row r="234" ht="15.75" customHeight="1">
      <c r="A234" s="7" t="s">
        <v>3944</v>
      </c>
      <c r="B234" s="7" t="s">
        <v>3556</v>
      </c>
      <c r="C234" s="7" t="s">
        <v>747</v>
      </c>
      <c r="D234" s="7" t="s">
        <v>907</v>
      </c>
      <c r="E234" s="7" t="s">
        <v>829</v>
      </c>
      <c r="F234" s="7" t="s">
        <v>12</v>
      </c>
      <c r="G234" s="7" t="s">
        <v>908</v>
      </c>
      <c r="H234" s="58" t="s">
        <v>58</v>
      </c>
      <c r="I234" s="33" t="s">
        <v>3940</v>
      </c>
      <c r="J234" s="33" t="s">
        <v>3945</v>
      </c>
      <c r="K234" s="58" t="s">
        <v>3946</v>
      </c>
      <c r="L234" s="33" t="s">
        <v>39</v>
      </c>
      <c r="M234" s="7" t="s">
        <v>39</v>
      </c>
      <c r="N234" s="7" t="s">
        <v>913</v>
      </c>
      <c r="O234" s="7"/>
      <c r="P234" s="7"/>
      <c r="Q234" s="33"/>
      <c r="R234" s="7" t="s">
        <v>5</v>
      </c>
      <c r="S234" s="130">
        <v>46267.0</v>
      </c>
      <c r="T234" s="32" t="s">
        <v>3947</v>
      </c>
      <c r="U234" s="236"/>
    </row>
    <row r="235" ht="15.75" customHeight="1">
      <c r="A235" s="7" t="s">
        <v>3948</v>
      </c>
      <c r="B235" s="7" t="s">
        <v>3556</v>
      </c>
      <c r="C235" s="7" t="s">
        <v>747</v>
      </c>
      <c r="D235" s="7" t="s">
        <v>907</v>
      </c>
      <c r="E235" s="7" t="s">
        <v>829</v>
      </c>
      <c r="F235" s="7" t="s">
        <v>12</v>
      </c>
      <c r="G235" s="7" t="s">
        <v>908</v>
      </c>
      <c r="H235" s="58" t="s">
        <v>176</v>
      </c>
      <c r="I235" s="33" t="s">
        <v>3940</v>
      </c>
      <c r="J235" s="33" t="s">
        <v>3945</v>
      </c>
      <c r="K235" s="58" t="s">
        <v>3949</v>
      </c>
      <c r="L235" s="33" t="s">
        <v>39</v>
      </c>
      <c r="M235" s="7" t="s">
        <v>39</v>
      </c>
      <c r="N235" s="7" t="s">
        <v>913</v>
      </c>
      <c r="O235" s="7"/>
      <c r="P235" s="7"/>
      <c r="Q235" s="33"/>
      <c r="R235" s="7" t="s">
        <v>5</v>
      </c>
      <c r="S235" s="7" t="s">
        <v>2944</v>
      </c>
      <c r="T235" s="32" t="s">
        <v>3943</v>
      </c>
      <c r="U235" s="236"/>
    </row>
    <row r="236" ht="15.75" customHeight="1">
      <c r="A236" s="7" t="s">
        <v>3950</v>
      </c>
      <c r="B236" s="7" t="s">
        <v>3556</v>
      </c>
      <c r="C236" s="7" t="s">
        <v>747</v>
      </c>
      <c r="D236" s="7" t="s">
        <v>907</v>
      </c>
      <c r="E236" s="7" t="s">
        <v>829</v>
      </c>
      <c r="F236" s="7" t="s">
        <v>12</v>
      </c>
      <c r="G236" s="7" t="s">
        <v>908</v>
      </c>
      <c r="H236" s="58" t="s">
        <v>70</v>
      </c>
      <c r="I236" s="33" t="s">
        <v>3940</v>
      </c>
      <c r="J236" s="33" t="s">
        <v>3951</v>
      </c>
      <c r="K236" s="58" t="s">
        <v>3952</v>
      </c>
      <c r="L236" s="33" t="s">
        <v>39</v>
      </c>
      <c r="M236" s="7" t="s">
        <v>39</v>
      </c>
      <c r="N236" s="7" t="s">
        <v>913</v>
      </c>
      <c r="O236" s="7"/>
      <c r="P236" s="7"/>
      <c r="Q236" s="33"/>
      <c r="R236" s="7" t="s">
        <v>5</v>
      </c>
      <c r="S236" s="130">
        <v>46267.0</v>
      </c>
      <c r="T236" s="32" t="s">
        <v>3953</v>
      </c>
      <c r="U236" s="236"/>
    </row>
    <row r="237" ht="15.75" customHeight="1">
      <c r="A237" s="7" t="s">
        <v>3954</v>
      </c>
      <c r="B237" s="7" t="s">
        <v>3556</v>
      </c>
      <c r="C237" s="7" t="s">
        <v>747</v>
      </c>
      <c r="D237" s="7" t="s">
        <v>907</v>
      </c>
      <c r="E237" s="7" t="s">
        <v>829</v>
      </c>
      <c r="F237" s="7" t="s">
        <v>12</v>
      </c>
      <c r="G237" s="7" t="s">
        <v>908</v>
      </c>
      <c r="H237" s="58" t="s">
        <v>180</v>
      </c>
      <c r="I237" s="33" t="s">
        <v>3940</v>
      </c>
      <c r="J237" s="33" t="s">
        <v>3945</v>
      </c>
      <c r="K237" s="58" t="s">
        <v>3955</v>
      </c>
      <c r="L237" s="33" t="s">
        <v>39</v>
      </c>
      <c r="M237" s="7" t="s">
        <v>39</v>
      </c>
      <c r="N237" s="7" t="s">
        <v>913</v>
      </c>
      <c r="O237" s="7"/>
      <c r="P237" s="7"/>
      <c r="Q237" s="33"/>
      <c r="R237" s="7" t="s">
        <v>5</v>
      </c>
      <c r="S237" s="7" t="s">
        <v>2944</v>
      </c>
      <c r="T237" s="32" t="s">
        <v>3943</v>
      </c>
      <c r="U237" s="236"/>
    </row>
    <row r="238" ht="15.75" customHeight="1">
      <c r="A238" s="7" t="s">
        <v>3956</v>
      </c>
      <c r="B238" s="7" t="s">
        <v>3556</v>
      </c>
      <c r="C238" s="7" t="s">
        <v>747</v>
      </c>
      <c r="D238" s="7" t="s">
        <v>907</v>
      </c>
      <c r="E238" s="7" t="s">
        <v>829</v>
      </c>
      <c r="F238" s="7" t="s">
        <v>12</v>
      </c>
      <c r="G238" s="7" t="s">
        <v>908</v>
      </c>
      <c r="H238" s="58" t="s">
        <v>145</v>
      </c>
      <c r="I238" s="33" t="s">
        <v>3940</v>
      </c>
      <c r="J238" s="33" t="s">
        <v>3945</v>
      </c>
      <c r="K238" s="58" t="s">
        <v>3957</v>
      </c>
      <c r="L238" s="33" t="s">
        <v>39</v>
      </c>
      <c r="M238" s="7" t="s">
        <v>39</v>
      </c>
      <c r="N238" s="7" t="s">
        <v>913</v>
      </c>
      <c r="O238" s="7"/>
      <c r="P238" s="7"/>
      <c r="Q238" s="33"/>
      <c r="R238" s="7" t="s">
        <v>5</v>
      </c>
      <c r="S238" s="7" t="s">
        <v>2944</v>
      </c>
      <c r="T238" s="32" t="s">
        <v>3943</v>
      </c>
      <c r="U238" s="236"/>
    </row>
    <row r="239" ht="15.75" customHeight="1">
      <c r="A239" s="7" t="s">
        <v>3958</v>
      </c>
      <c r="B239" s="7" t="s">
        <v>3556</v>
      </c>
      <c r="C239" s="7" t="s">
        <v>747</v>
      </c>
      <c r="D239" s="7" t="s">
        <v>907</v>
      </c>
      <c r="E239" s="7" t="s">
        <v>829</v>
      </c>
      <c r="F239" s="7" t="s">
        <v>12</v>
      </c>
      <c r="G239" s="7" t="s">
        <v>908</v>
      </c>
      <c r="H239" s="58" t="s">
        <v>3557</v>
      </c>
      <c r="I239" s="33" t="s">
        <v>3940</v>
      </c>
      <c r="J239" s="33" t="s">
        <v>3959</v>
      </c>
      <c r="K239" s="58" t="s">
        <v>3960</v>
      </c>
      <c r="L239" s="33" t="s">
        <v>39</v>
      </c>
      <c r="M239" s="7" t="s">
        <v>39</v>
      </c>
      <c r="N239" s="7" t="s">
        <v>913</v>
      </c>
      <c r="O239" s="7"/>
      <c r="P239" s="7"/>
      <c r="Q239" s="33"/>
      <c r="R239" s="7" t="s">
        <v>5</v>
      </c>
      <c r="S239" s="130">
        <v>46267.0</v>
      </c>
      <c r="T239" s="32" t="s">
        <v>3961</v>
      </c>
      <c r="U239" s="236"/>
    </row>
    <row r="240" ht="15.75" customHeight="1">
      <c r="A240" s="7" t="s">
        <v>3962</v>
      </c>
      <c r="B240" s="7" t="s">
        <v>3556</v>
      </c>
      <c r="C240" s="7" t="s">
        <v>747</v>
      </c>
      <c r="D240" s="7" t="s">
        <v>907</v>
      </c>
      <c r="E240" s="7" t="s">
        <v>829</v>
      </c>
      <c r="F240" s="7" t="s">
        <v>12</v>
      </c>
      <c r="G240" s="7" t="s">
        <v>908</v>
      </c>
      <c r="H240" s="58" t="s">
        <v>479</v>
      </c>
      <c r="I240" s="33" t="s">
        <v>3940</v>
      </c>
      <c r="J240" s="33" t="s">
        <v>3963</v>
      </c>
      <c r="K240" s="58" t="s">
        <v>3964</v>
      </c>
      <c r="L240" s="33" t="s">
        <v>39</v>
      </c>
      <c r="M240" s="7" t="s">
        <v>39</v>
      </c>
      <c r="N240" s="7" t="s">
        <v>913</v>
      </c>
      <c r="O240" s="7"/>
      <c r="P240" s="7"/>
      <c r="Q240" s="33"/>
      <c r="R240" s="7" t="s">
        <v>5</v>
      </c>
      <c r="S240" s="130">
        <v>46267.0</v>
      </c>
      <c r="T240" s="32" t="s">
        <v>3965</v>
      </c>
      <c r="U240" s="236"/>
    </row>
    <row r="241" ht="15.75" customHeight="1">
      <c r="A241" s="7" t="s">
        <v>3966</v>
      </c>
      <c r="B241" s="7" t="s">
        <v>3556</v>
      </c>
      <c r="C241" s="7" t="s">
        <v>747</v>
      </c>
      <c r="D241" s="7" t="s">
        <v>907</v>
      </c>
      <c r="E241" s="7" t="s">
        <v>829</v>
      </c>
      <c r="F241" s="7" t="s">
        <v>12</v>
      </c>
      <c r="G241" s="7" t="s">
        <v>908</v>
      </c>
      <c r="H241" s="58" t="s">
        <v>85</v>
      </c>
      <c r="I241" s="33" t="s">
        <v>3940</v>
      </c>
      <c r="J241" s="33" t="s">
        <v>3945</v>
      </c>
      <c r="K241" s="58" t="s">
        <v>3967</v>
      </c>
      <c r="L241" s="33" t="s">
        <v>39</v>
      </c>
      <c r="M241" s="7" t="s">
        <v>39</v>
      </c>
      <c r="N241" s="7" t="s">
        <v>913</v>
      </c>
      <c r="O241" s="7"/>
      <c r="P241" s="7"/>
      <c r="Q241" s="33"/>
      <c r="R241" s="7" t="s">
        <v>5</v>
      </c>
      <c r="S241" s="130">
        <v>46267.0</v>
      </c>
      <c r="T241" s="32" t="s">
        <v>3968</v>
      </c>
      <c r="U241" s="236"/>
    </row>
    <row r="242" ht="15.75" customHeight="1">
      <c r="A242" s="7" t="s">
        <v>3969</v>
      </c>
      <c r="B242" s="7" t="s">
        <v>3556</v>
      </c>
      <c r="C242" s="7" t="s">
        <v>770</v>
      </c>
      <c r="D242" s="7" t="s">
        <v>907</v>
      </c>
      <c r="E242" s="7" t="s">
        <v>829</v>
      </c>
      <c r="F242" s="7" t="s">
        <v>16</v>
      </c>
      <c r="G242" s="7" t="s">
        <v>1205</v>
      </c>
      <c r="H242" s="33" t="s">
        <v>782</v>
      </c>
      <c r="I242" s="33" t="s">
        <v>3940</v>
      </c>
      <c r="J242" s="33" t="s">
        <v>3970</v>
      </c>
      <c r="K242" s="58" t="s">
        <v>3971</v>
      </c>
      <c r="L242" s="33" t="s">
        <v>39</v>
      </c>
      <c r="M242" s="7" t="s">
        <v>39</v>
      </c>
      <c r="N242" s="7" t="s">
        <v>913</v>
      </c>
      <c r="O242" s="7" t="s">
        <v>974</v>
      </c>
      <c r="P242" s="35" t="s">
        <v>2997</v>
      </c>
      <c r="Q242" s="33" t="s">
        <v>3972</v>
      </c>
      <c r="R242" s="7" t="s">
        <v>3</v>
      </c>
      <c r="S242" s="130" t="s">
        <v>1165</v>
      </c>
      <c r="T242" s="32" t="s">
        <v>3973</v>
      </c>
      <c r="U242" s="12" t="s">
        <v>976</v>
      </c>
    </row>
    <row r="243" ht="15.75" customHeight="1">
      <c r="A243" s="7" t="s">
        <v>3974</v>
      </c>
      <c r="B243" s="7" t="s">
        <v>3556</v>
      </c>
      <c r="C243" s="7" t="s">
        <v>770</v>
      </c>
      <c r="D243" s="7" t="s">
        <v>907</v>
      </c>
      <c r="E243" s="7" t="s">
        <v>756</v>
      </c>
      <c r="F243" s="7" t="s">
        <v>12</v>
      </c>
      <c r="G243" s="7" t="s">
        <v>1005</v>
      </c>
      <c r="H243" s="58" t="s">
        <v>176</v>
      </c>
      <c r="I243" s="33" t="s">
        <v>3975</v>
      </c>
      <c r="J243" s="33" t="s">
        <v>3976</v>
      </c>
      <c r="K243" s="58" t="s">
        <v>3977</v>
      </c>
      <c r="L243" s="33" t="s">
        <v>39</v>
      </c>
      <c r="M243" s="7" t="s">
        <v>466</v>
      </c>
      <c r="N243" s="7" t="s">
        <v>913</v>
      </c>
      <c r="O243" s="15" t="s">
        <v>750</v>
      </c>
      <c r="P243" s="7" t="s">
        <v>2997</v>
      </c>
      <c r="Q243" s="41" t="s">
        <v>3978</v>
      </c>
      <c r="R243" s="7" t="s">
        <v>3</v>
      </c>
      <c r="S243" s="130" t="s">
        <v>1027</v>
      </c>
      <c r="T243" s="33" t="s">
        <v>3979</v>
      </c>
      <c r="U243" s="31"/>
      <c r="V243" s="62"/>
      <c r="W243" s="62"/>
      <c r="X243" s="62"/>
      <c r="Y243" s="62"/>
      <c r="Z243" s="62"/>
    </row>
    <row r="244" ht="15.75" customHeight="1">
      <c r="A244" s="7" t="s">
        <v>3980</v>
      </c>
      <c r="B244" s="7" t="s">
        <v>3556</v>
      </c>
      <c r="C244" s="7" t="s">
        <v>770</v>
      </c>
      <c r="D244" s="7" t="s">
        <v>907</v>
      </c>
      <c r="E244" s="7" t="s">
        <v>756</v>
      </c>
      <c r="F244" s="7" t="s">
        <v>12</v>
      </c>
      <c r="G244" s="7" t="s">
        <v>1005</v>
      </c>
      <c r="H244" s="58" t="s">
        <v>180</v>
      </c>
      <c r="I244" s="33" t="s">
        <v>3981</v>
      </c>
      <c r="J244" s="33" t="s">
        <v>3976</v>
      </c>
      <c r="K244" s="58" t="s">
        <v>3982</v>
      </c>
      <c r="L244" s="33" t="s">
        <v>39</v>
      </c>
      <c r="M244" s="7" t="s">
        <v>466</v>
      </c>
      <c r="N244" s="7" t="s">
        <v>913</v>
      </c>
      <c r="O244" s="7" t="s">
        <v>913</v>
      </c>
      <c r="P244" s="50" t="s">
        <v>3008</v>
      </c>
      <c r="Q244" s="111" t="s">
        <v>3983</v>
      </c>
      <c r="R244" s="7" t="s">
        <v>3</v>
      </c>
      <c r="S244" s="7" t="s">
        <v>1027</v>
      </c>
      <c r="T244" s="32" t="s">
        <v>3984</v>
      </c>
      <c r="U244" s="236"/>
    </row>
    <row r="245" ht="15.75" customHeight="1">
      <c r="A245" s="7" t="s">
        <v>3985</v>
      </c>
      <c r="B245" s="7" t="s">
        <v>3556</v>
      </c>
      <c r="C245" s="7" t="s">
        <v>770</v>
      </c>
      <c r="D245" s="7" t="s">
        <v>907</v>
      </c>
      <c r="E245" s="7" t="s">
        <v>756</v>
      </c>
      <c r="F245" s="7" t="s">
        <v>12</v>
      </c>
      <c r="G245" s="7" t="s">
        <v>1005</v>
      </c>
      <c r="H245" s="58" t="s">
        <v>145</v>
      </c>
      <c r="I245" s="33" t="s">
        <v>3986</v>
      </c>
      <c r="J245" s="33" t="s">
        <v>3976</v>
      </c>
      <c r="K245" s="58" t="s">
        <v>3987</v>
      </c>
      <c r="L245" s="33" t="s">
        <v>39</v>
      </c>
      <c r="M245" s="7" t="s">
        <v>466</v>
      </c>
      <c r="N245" s="7" t="s">
        <v>913</v>
      </c>
      <c r="O245" s="7" t="s">
        <v>913</v>
      </c>
      <c r="P245" s="7" t="s">
        <v>3008</v>
      </c>
      <c r="Q245" s="111" t="s">
        <v>3983</v>
      </c>
      <c r="R245" s="7" t="s">
        <v>3</v>
      </c>
      <c r="S245" s="7" t="s">
        <v>1027</v>
      </c>
      <c r="T245" s="32" t="s">
        <v>3988</v>
      </c>
      <c r="U245" s="236"/>
    </row>
    <row r="246" ht="15.75" customHeight="1">
      <c r="A246" s="7" t="s">
        <v>3989</v>
      </c>
      <c r="B246" s="7" t="s">
        <v>3556</v>
      </c>
      <c r="C246" s="7" t="s">
        <v>770</v>
      </c>
      <c r="D246" s="7" t="s">
        <v>907</v>
      </c>
      <c r="E246" s="7" t="s">
        <v>756</v>
      </c>
      <c r="F246" s="7" t="s">
        <v>12</v>
      </c>
      <c r="G246" s="7" t="s">
        <v>1005</v>
      </c>
      <c r="H246" s="58" t="s">
        <v>479</v>
      </c>
      <c r="I246" s="33" t="s">
        <v>3990</v>
      </c>
      <c r="J246" s="33" t="s">
        <v>3976</v>
      </c>
      <c r="K246" s="58" t="s">
        <v>3991</v>
      </c>
      <c r="L246" s="33" t="s">
        <v>39</v>
      </c>
      <c r="M246" s="7" t="s">
        <v>3170</v>
      </c>
      <c r="N246" s="7" t="s">
        <v>913</v>
      </c>
      <c r="O246" s="7" t="s">
        <v>913</v>
      </c>
      <c r="P246" s="7" t="s">
        <v>3008</v>
      </c>
      <c r="Q246" s="111" t="s">
        <v>3983</v>
      </c>
      <c r="R246" s="7" t="s">
        <v>3</v>
      </c>
      <c r="S246" s="7" t="s">
        <v>1027</v>
      </c>
      <c r="T246" s="32" t="s">
        <v>3992</v>
      </c>
      <c r="U246" s="236"/>
    </row>
    <row r="247" ht="15.75" customHeight="1">
      <c r="A247" s="7" t="s">
        <v>3993</v>
      </c>
      <c r="B247" s="7" t="s">
        <v>3556</v>
      </c>
      <c r="C247" s="7" t="s">
        <v>770</v>
      </c>
      <c r="D247" s="7" t="s">
        <v>907</v>
      </c>
      <c r="E247" s="7" t="s">
        <v>756</v>
      </c>
      <c r="F247" s="7" t="s">
        <v>12</v>
      </c>
      <c r="G247" s="7" t="s">
        <v>1005</v>
      </c>
      <c r="H247" s="58" t="s">
        <v>148</v>
      </c>
      <c r="I247" s="33" t="s">
        <v>3994</v>
      </c>
      <c r="J247" s="33" t="s">
        <v>3976</v>
      </c>
      <c r="K247" s="58" t="s">
        <v>3995</v>
      </c>
      <c r="L247" s="33" t="s">
        <v>39</v>
      </c>
      <c r="M247" s="7" t="s">
        <v>466</v>
      </c>
      <c r="N247" s="7" t="s">
        <v>913</v>
      </c>
      <c r="O247" s="7" t="s">
        <v>913</v>
      </c>
      <c r="P247" s="7" t="s">
        <v>3008</v>
      </c>
      <c r="Q247" s="111" t="s">
        <v>3983</v>
      </c>
      <c r="R247" s="7" t="s">
        <v>3</v>
      </c>
      <c r="S247" s="130" t="s">
        <v>1027</v>
      </c>
      <c r="T247" s="32" t="s">
        <v>3996</v>
      </c>
      <c r="U247" s="236"/>
    </row>
    <row r="248" ht="15.75" customHeight="1">
      <c r="A248" s="7" t="s">
        <v>3997</v>
      </c>
      <c r="B248" s="7" t="s">
        <v>3556</v>
      </c>
      <c r="C248" s="7" t="s">
        <v>770</v>
      </c>
      <c r="D248" s="7" t="s">
        <v>907</v>
      </c>
      <c r="E248" s="7" t="s">
        <v>756</v>
      </c>
      <c r="F248" s="7" t="s">
        <v>12</v>
      </c>
      <c r="G248" s="7" t="s">
        <v>1005</v>
      </c>
      <c r="H248" s="58" t="s">
        <v>170</v>
      </c>
      <c r="I248" s="33" t="s">
        <v>3994</v>
      </c>
      <c r="J248" s="33" t="s">
        <v>3976</v>
      </c>
      <c r="K248" s="58" t="s">
        <v>3998</v>
      </c>
      <c r="L248" s="33" t="s">
        <v>39</v>
      </c>
      <c r="M248" s="7" t="s">
        <v>466</v>
      </c>
      <c r="N248" s="7" t="s">
        <v>913</v>
      </c>
      <c r="O248" s="7" t="s">
        <v>913</v>
      </c>
      <c r="P248" s="7" t="s">
        <v>3008</v>
      </c>
      <c r="Q248" s="111" t="s">
        <v>3983</v>
      </c>
      <c r="R248" s="7" t="s">
        <v>3</v>
      </c>
      <c r="S248" s="130" t="s">
        <v>1027</v>
      </c>
      <c r="T248" s="32" t="s">
        <v>3999</v>
      </c>
      <c r="U248" s="236"/>
    </row>
    <row r="249" ht="15.75" customHeight="1">
      <c r="A249" s="7" t="s">
        <v>4000</v>
      </c>
      <c r="B249" s="7" t="s">
        <v>1140</v>
      </c>
      <c r="C249" s="7" t="s">
        <v>747</v>
      </c>
      <c r="D249" s="7" t="s">
        <v>907</v>
      </c>
      <c r="E249" s="7" t="s">
        <v>829</v>
      </c>
      <c r="F249" s="7" t="s">
        <v>12</v>
      </c>
      <c r="G249" s="7" t="s">
        <v>908</v>
      </c>
      <c r="H249" s="58" t="s">
        <v>70</v>
      </c>
      <c r="I249" s="33" t="s">
        <v>4001</v>
      </c>
      <c r="J249" s="33" t="s">
        <v>4002</v>
      </c>
      <c r="K249" s="58" t="s">
        <v>4003</v>
      </c>
      <c r="L249" s="33" t="s">
        <v>39</v>
      </c>
      <c r="M249" s="7" t="s">
        <v>39</v>
      </c>
      <c r="N249" s="7" t="s">
        <v>913</v>
      </c>
      <c r="O249" s="7"/>
      <c r="P249" s="7"/>
      <c r="Q249" s="33"/>
      <c r="R249" s="7" t="s">
        <v>3</v>
      </c>
      <c r="S249" s="130">
        <v>46267.0</v>
      </c>
      <c r="T249" s="32" t="s">
        <v>3151</v>
      </c>
      <c r="U249" s="236"/>
    </row>
    <row r="250" ht="15.75" customHeight="1">
      <c r="A250" s="7" t="s">
        <v>4004</v>
      </c>
      <c r="B250" s="7" t="s">
        <v>1140</v>
      </c>
      <c r="C250" s="7" t="s">
        <v>755</v>
      </c>
      <c r="D250" s="7" t="s">
        <v>907</v>
      </c>
      <c r="E250" s="7" t="s">
        <v>1575</v>
      </c>
      <c r="F250" s="7" t="s">
        <v>16</v>
      </c>
      <c r="G250" s="7" t="s">
        <v>1916</v>
      </c>
      <c r="H250" s="33" t="s">
        <v>782</v>
      </c>
      <c r="I250" s="33" t="s">
        <v>4005</v>
      </c>
      <c r="J250" s="33" t="s">
        <v>4006</v>
      </c>
      <c r="K250" s="58" t="s">
        <v>4007</v>
      </c>
      <c r="L250" s="58" t="s">
        <v>4008</v>
      </c>
      <c r="M250" s="7" t="s">
        <v>39</v>
      </c>
      <c r="N250" s="7" t="s">
        <v>913</v>
      </c>
      <c r="O250" s="7" t="s">
        <v>974</v>
      </c>
      <c r="P250" s="7"/>
      <c r="Q250" s="33"/>
      <c r="R250" s="7" t="s">
        <v>3</v>
      </c>
      <c r="S250" s="7" t="s">
        <v>1565</v>
      </c>
      <c r="T250" s="32" t="s">
        <v>4009</v>
      </c>
      <c r="U250" s="12" t="s">
        <v>869</v>
      </c>
    </row>
    <row r="251" ht="15.75" customHeight="1">
      <c r="A251" s="7" t="s">
        <v>4010</v>
      </c>
      <c r="B251" s="7" t="s">
        <v>4011</v>
      </c>
      <c r="C251" s="7" t="s">
        <v>747</v>
      </c>
      <c r="D251" s="7" t="s">
        <v>907</v>
      </c>
      <c r="E251" s="7" t="s">
        <v>1575</v>
      </c>
      <c r="F251" s="7" t="s">
        <v>12</v>
      </c>
      <c r="G251" s="7" t="s">
        <v>805</v>
      </c>
      <c r="H251" s="58" t="s">
        <v>4012</v>
      </c>
      <c r="I251" s="33" t="s">
        <v>4013</v>
      </c>
      <c r="J251" s="33" t="s">
        <v>4014</v>
      </c>
      <c r="K251" s="58" t="s">
        <v>4015</v>
      </c>
      <c r="L251" s="33" t="s">
        <v>39</v>
      </c>
      <c r="M251" s="7" t="s">
        <v>39</v>
      </c>
      <c r="N251" s="7" t="s">
        <v>913</v>
      </c>
      <c r="O251" s="7" t="s">
        <v>1010</v>
      </c>
      <c r="P251" s="7" t="s">
        <v>3200</v>
      </c>
      <c r="Q251" s="33" t="s">
        <v>3201</v>
      </c>
      <c r="R251" s="7" t="s">
        <v>4</v>
      </c>
      <c r="S251" s="7" t="s">
        <v>3455</v>
      </c>
      <c r="T251" s="32" t="s">
        <v>3125</v>
      </c>
      <c r="U251" s="236"/>
    </row>
    <row r="252" ht="15.75" customHeight="1">
      <c r="A252" s="7" t="s">
        <v>4016</v>
      </c>
      <c r="B252" s="7" t="s">
        <v>4011</v>
      </c>
      <c r="C252" s="7" t="s">
        <v>747</v>
      </c>
      <c r="D252" s="7" t="s">
        <v>907</v>
      </c>
      <c r="E252" s="7" t="s">
        <v>768</v>
      </c>
      <c r="F252" s="7" t="s">
        <v>16</v>
      </c>
      <c r="G252" s="7" t="s">
        <v>1005</v>
      </c>
      <c r="H252" s="58" t="s">
        <v>4012</v>
      </c>
      <c r="I252" s="33" t="s">
        <v>4017</v>
      </c>
      <c r="J252" s="33" t="s">
        <v>4018</v>
      </c>
      <c r="K252" s="58" t="s">
        <v>4019</v>
      </c>
      <c r="L252" s="33" t="s">
        <v>39</v>
      </c>
      <c r="M252" s="7" t="s">
        <v>39</v>
      </c>
      <c r="N252" s="7" t="s">
        <v>913</v>
      </c>
      <c r="O252" s="7" t="s">
        <v>974</v>
      </c>
      <c r="P252" s="7"/>
      <c r="Q252" s="33"/>
      <c r="R252" s="7" t="s">
        <v>3</v>
      </c>
      <c r="S252" s="130" t="s">
        <v>1165</v>
      </c>
      <c r="T252" s="32" t="s">
        <v>4020</v>
      </c>
      <c r="U252" s="12" t="s">
        <v>1029</v>
      </c>
    </row>
    <row r="253" ht="15.75" customHeight="1">
      <c r="A253" s="7" t="s">
        <v>4021</v>
      </c>
      <c r="B253" s="7" t="s">
        <v>4011</v>
      </c>
      <c r="C253" s="7" t="s">
        <v>770</v>
      </c>
      <c r="D253" s="7" t="s">
        <v>907</v>
      </c>
      <c r="E253" s="7" t="s">
        <v>829</v>
      </c>
      <c r="F253" s="7" t="s">
        <v>12</v>
      </c>
      <c r="G253" s="7" t="s">
        <v>1086</v>
      </c>
      <c r="H253" s="58" t="s">
        <v>4012</v>
      </c>
      <c r="I253" s="33" t="s">
        <v>4022</v>
      </c>
      <c r="J253" s="250" t="s">
        <v>4023</v>
      </c>
      <c r="K253" s="58" t="s">
        <v>4024</v>
      </c>
      <c r="L253" s="33" t="s">
        <v>39</v>
      </c>
      <c r="M253" s="7" t="s">
        <v>39</v>
      </c>
      <c r="N253" s="7" t="s">
        <v>913</v>
      </c>
      <c r="O253" s="7" t="s">
        <v>913</v>
      </c>
      <c r="P253" s="7" t="s">
        <v>3008</v>
      </c>
      <c r="Q253" s="111" t="s">
        <v>4025</v>
      </c>
      <c r="R253" s="7" t="s">
        <v>3</v>
      </c>
      <c r="S253" s="7" t="s">
        <v>1074</v>
      </c>
      <c r="T253" s="32" t="s">
        <v>4026</v>
      </c>
      <c r="U253" s="236"/>
    </row>
    <row r="254" ht="15.75" customHeight="1">
      <c r="A254" s="7" t="s">
        <v>4027</v>
      </c>
      <c r="B254" s="7" t="s">
        <v>4011</v>
      </c>
      <c r="C254" s="7" t="s">
        <v>747</v>
      </c>
      <c r="D254" s="7" t="s">
        <v>907</v>
      </c>
      <c r="E254" s="7" t="s">
        <v>829</v>
      </c>
      <c r="F254" s="7" t="s">
        <v>16</v>
      </c>
      <c r="G254" s="7" t="s">
        <v>1143</v>
      </c>
      <c r="H254" s="58" t="s">
        <v>4012</v>
      </c>
      <c r="I254" s="33" t="s">
        <v>4028</v>
      </c>
      <c r="J254" s="33" t="s">
        <v>4029</v>
      </c>
      <c r="K254" s="58" t="s">
        <v>4030</v>
      </c>
      <c r="L254" s="58" t="s">
        <v>4031</v>
      </c>
      <c r="M254" s="7" t="s">
        <v>39</v>
      </c>
      <c r="N254" s="7" t="s">
        <v>913</v>
      </c>
      <c r="O254" s="7" t="s">
        <v>974</v>
      </c>
      <c r="P254" s="7"/>
      <c r="Q254" s="33"/>
      <c r="R254" s="7" t="s">
        <v>3</v>
      </c>
      <c r="S254" s="130">
        <v>46267.0</v>
      </c>
      <c r="T254" s="32" t="s">
        <v>4032</v>
      </c>
      <c r="U254" s="12" t="s">
        <v>1029</v>
      </c>
    </row>
    <row r="255" ht="15.75" customHeight="1">
      <c r="A255" s="7" t="s">
        <v>4033</v>
      </c>
      <c r="B255" s="7" t="s">
        <v>4011</v>
      </c>
      <c r="C255" s="7" t="s">
        <v>747</v>
      </c>
      <c r="D255" s="7" t="s">
        <v>907</v>
      </c>
      <c r="E255" s="7" t="s">
        <v>829</v>
      </c>
      <c r="F255" s="7" t="s">
        <v>16</v>
      </c>
      <c r="G255" s="7" t="s">
        <v>1143</v>
      </c>
      <c r="H255" s="58" t="s">
        <v>4012</v>
      </c>
      <c r="I255" s="33" t="s">
        <v>4034</v>
      </c>
      <c r="J255" s="33" t="s">
        <v>4035</v>
      </c>
      <c r="K255" s="58" t="s">
        <v>4036</v>
      </c>
      <c r="L255" s="58" t="s">
        <v>4037</v>
      </c>
      <c r="M255" s="7" t="s">
        <v>39</v>
      </c>
      <c r="N255" s="7" t="s">
        <v>913</v>
      </c>
      <c r="O255" s="7" t="s">
        <v>974</v>
      </c>
      <c r="P255" s="7"/>
      <c r="Q255" s="33"/>
      <c r="R255" s="7" t="s">
        <v>3</v>
      </c>
      <c r="S255" s="130" t="s">
        <v>1165</v>
      </c>
      <c r="T255" s="32" t="s">
        <v>4020</v>
      </c>
      <c r="U255" s="12" t="s">
        <v>1029</v>
      </c>
    </row>
    <row r="256" ht="15.75" customHeight="1">
      <c r="A256" s="7" t="s">
        <v>4038</v>
      </c>
      <c r="B256" s="7" t="s">
        <v>4011</v>
      </c>
      <c r="C256" s="7" t="s">
        <v>747</v>
      </c>
      <c r="D256" s="7" t="s">
        <v>907</v>
      </c>
      <c r="E256" s="7" t="s">
        <v>829</v>
      </c>
      <c r="F256" s="7" t="s">
        <v>16</v>
      </c>
      <c r="G256" s="7" t="s">
        <v>1143</v>
      </c>
      <c r="H256" s="58" t="s">
        <v>4012</v>
      </c>
      <c r="I256" s="33" t="s">
        <v>4039</v>
      </c>
      <c r="J256" s="33" t="s">
        <v>4040</v>
      </c>
      <c r="K256" s="58" t="s">
        <v>4041</v>
      </c>
      <c r="L256" s="58" t="s">
        <v>4042</v>
      </c>
      <c r="M256" s="7" t="s">
        <v>39</v>
      </c>
      <c r="N256" s="7" t="s">
        <v>913</v>
      </c>
      <c r="O256" s="7" t="s">
        <v>974</v>
      </c>
      <c r="P256" s="7"/>
      <c r="Q256" s="33"/>
      <c r="R256" s="7" t="s">
        <v>3</v>
      </c>
      <c r="S256" s="7" t="s">
        <v>1165</v>
      </c>
      <c r="T256" s="32" t="s">
        <v>4043</v>
      </c>
      <c r="U256" s="12" t="s">
        <v>1029</v>
      </c>
    </row>
    <row r="257" ht="15.75" customHeight="1">
      <c r="A257" s="7" t="s">
        <v>4044</v>
      </c>
      <c r="B257" s="7" t="s">
        <v>2944</v>
      </c>
      <c r="C257" s="7" t="s">
        <v>747</v>
      </c>
      <c r="D257" s="7" t="s">
        <v>907</v>
      </c>
      <c r="E257" s="7" t="s">
        <v>829</v>
      </c>
      <c r="F257" s="7" t="s">
        <v>12</v>
      </c>
      <c r="G257" s="7" t="s">
        <v>908</v>
      </c>
      <c r="H257" s="58" t="s">
        <v>4012</v>
      </c>
      <c r="I257" s="33" t="s">
        <v>4045</v>
      </c>
      <c r="J257" s="33" t="s">
        <v>4046</v>
      </c>
      <c r="K257" s="58" t="s">
        <v>4047</v>
      </c>
      <c r="L257" s="33" t="s">
        <v>39</v>
      </c>
      <c r="M257" s="7" t="s">
        <v>39</v>
      </c>
      <c r="N257" s="7" t="s">
        <v>913</v>
      </c>
      <c r="O257" s="7"/>
      <c r="P257" s="7"/>
      <c r="Q257" s="33"/>
      <c r="R257" s="7" t="s">
        <v>3</v>
      </c>
      <c r="S257" s="7" t="s">
        <v>3175</v>
      </c>
      <c r="T257" s="32" t="s">
        <v>3176</v>
      </c>
      <c r="U257" s="236"/>
    </row>
    <row r="258" ht="15.75" customHeight="1">
      <c r="A258" s="7" t="s">
        <v>4048</v>
      </c>
      <c r="B258" s="7" t="s">
        <v>1160</v>
      </c>
      <c r="C258" s="7" t="s">
        <v>770</v>
      </c>
      <c r="D258" s="7" t="s">
        <v>907</v>
      </c>
      <c r="E258" s="7" t="s">
        <v>829</v>
      </c>
      <c r="F258" s="7" t="s">
        <v>12</v>
      </c>
      <c r="G258" s="7" t="s">
        <v>2303</v>
      </c>
      <c r="H258" s="58" t="s">
        <v>82</v>
      </c>
      <c r="I258" s="33" t="s">
        <v>4049</v>
      </c>
      <c r="J258" s="33" t="s">
        <v>4050</v>
      </c>
      <c r="K258" s="58" t="s">
        <v>4051</v>
      </c>
      <c r="L258" s="33" t="s">
        <v>39</v>
      </c>
      <c r="M258" s="7" t="s">
        <v>39</v>
      </c>
      <c r="N258" s="7" t="s">
        <v>913</v>
      </c>
      <c r="O258" s="7" t="s">
        <v>913</v>
      </c>
      <c r="P258" s="7" t="s">
        <v>3008</v>
      </c>
      <c r="Q258" s="33" t="s">
        <v>3009</v>
      </c>
      <c r="R258" s="7" t="s">
        <v>3</v>
      </c>
      <c r="S258" s="130">
        <v>46175.0</v>
      </c>
      <c r="T258" s="32" t="s">
        <v>4052</v>
      </c>
      <c r="U258" s="236"/>
    </row>
    <row r="259" ht="15.75" customHeight="1">
      <c r="A259" s="7" t="s">
        <v>4053</v>
      </c>
      <c r="B259" s="7" t="s">
        <v>1160</v>
      </c>
      <c r="C259" s="7" t="s">
        <v>770</v>
      </c>
      <c r="D259" s="7" t="s">
        <v>907</v>
      </c>
      <c r="E259" s="7" t="s">
        <v>829</v>
      </c>
      <c r="F259" s="7" t="s">
        <v>12</v>
      </c>
      <c r="G259" s="7" t="s">
        <v>2303</v>
      </c>
      <c r="H259" s="58" t="s">
        <v>88</v>
      </c>
      <c r="I259" s="33" t="s">
        <v>4049</v>
      </c>
      <c r="J259" s="33" t="s">
        <v>4050</v>
      </c>
      <c r="K259" s="58" t="s">
        <v>4054</v>
      </c>
      <c r="L259" s="33" t="s">
        <v>39</v>
      </c>
      <c r="M259" s="7" t="s">
        <v>39</v>
      </c>
      <c r="N259" s="7" t="s">
        <v>913</v>
      </c>
      <c r="O259" s="7" t="s">
        <v>913</v>
      </c>
      <c r="P259" s="7" t="s">
        <v>3008</v>
      </c>
      <c r="Q259" s="33" t="s">
        <v>3009</v>
      </c>
      <c r="R259" s="7" t="s">
        <v>3</v>
      </c>
      <c r="S259" s="130">
        <v>46175.0</v>
      </c>
      <c r="T259" s="32" t="s">
        <v>4052</v>
      </c>
      <c r="U259" s="236"/>
    </row>
    <row r="260" ht="15.75" customHeight="1">
      <c r="A260" s="7" t="s">
        <v>4055</v>
      </c>
      <c r="B260" s="7" t="s">
        <v>1160</v>
      </c>
      <c r="C260" s="7" t="s">
        <v>770</v>
      </c>
      <c r="D260" s="7" t="s">
        <v>907</v>
      </c>
      <c r="E260" s="7" t="s">
        <v>829</v>
      </c>
      <c r="F260" s="7" t="s">
        <v>12</v>
      </c>
      <c r="G260" s="7" t="s">
        <v>2303</v>
      </c>
      <c r="H260" s="58" t="s">
        <v>100</v>
      </c>
      <c r="I260" s="33" t="s">
        <v>4049</v>
      </c>
      <c r="J260" s="33" t="s">
        <v>4050</v>
      </c>
      <c r="K260" s="58" t="s">
        <v>4056</v>
      </c>
      <c r="L260" s="33" t="s">
        <v>39</v>
      </c>
      <c r="M260" s="7" t="s">
        <v>39</v>
      </c>
      <c r="N260" s="7" t="s">
        <v>913</v>
      </c>
      <c r="O260" s="7" t="s">
        <v>913</v>
      </c>
      <c r="P260" s="7" t="s">
        <v>3008</v>
      </c>
      <c r="Q260" s="33" t="s">
        <v>3009</v>
      </c>
      <c r="R260" s="7" t="s">
        <v>3</v>
      </c>
      <c r="S260" s="130">
        <v>46175.0</v>
      </c>
      <c r="T260" s="32" t="s">
        <v>4052</v>
      </c>
      <c r="U260" s="236"/>
    </row>
    <row r="261" ht="15.75" customHeight="1">
      <c r="A261" s="7" t="s">
        <v>4057</v>
      </c>
      <c r="B261" s="7" t="s">
        <v>1160</v>
      </c>
      <c r="C261" s="7" t="s">
        <v>747</v>
      </c>
      <c r="D261" s="7" t="s">
        <v>907</v>
      </c>
      <c r="E261" s="7" t="s">
        <v>829</v>
      </c>
      <c r="F261" s="7" t="s">
        <v>12</v>
      </c>
      <c r="G261" s="7" t="s">
        <v>2303</v>
      </c>
      <c r="H261" s="58" t="s">
        <v>106</v>
      </c>
      <c r="I261" s="33" t="s">
        <v>3334</v>
      </c>
      <c r="J261" s="33" t="s">
        <v>4058</v>
      </c>
      <c r="K261" s="58" t="s">
        <v>4059</v>
      </c>
      <c r="L261" s="58" t="s">
        <v>4060</v>
      </c>
      <c r="M261" s="7" t="s">
        <v>39</v>
      </c>
      <c r="N261" s="7" t="s">
        <v>913</v>
      </c>
      <c r="O261" s="7" t="s">
        <v>3273</v>
      </c>
      <c r="P261" s="7" t="s">
        <v>1029</v>
      </c>
      <c r="Q261" s="33"/>
      <c r="R261" s="7" t="s">
        <v>3</v>
      </c>
      <c r="S261" s="7" t="s">
        <v>1047</v>
      </c>
      <c r="T261" s="32"/>
      <c r="U261" s="236"/>
    </row>
    <row r="262" ht="15.75" customHeight="1">
      <c r="A262" s="7" t="s">
        <v>4061</v>
      </c>
      <c r="B262" s="7" t="s">
        <v>1160</v>
      </c>
      <c r="C262" s="7" t="s">
        <v>770</v>
      </c>
      <c r="D262" s="7" t="s">
        <v>907</v>
      </c>
      <c r="E262" s="7" t="s">
        <v>829</v>
      </c>
      <c r="F262" s="7" t="s">
        <v>12</v>
      </c>
      <c r="G262" s="7" t="s">
        <v>2303</v>
      </c>
      <c r="H262" s="58" t="s">
        <v>106</v>
      </c>
      <c r="I262" s="33" t="s">
        <v>4049</v>
      </c>
      <c r="J262" s="33" t="s">
        <v>4050</v>
      </c>
      <c r="K262" s="58" t="s">
        <v>4062</v>
      </c>
      <c r="L262" s="33" t="s">
        <v>39</v>
      </c>
      <c r="M262" s="7" t="s">
        <v>39</v>
      </c>
      <c r="N262" s="7" t="s">
        <v>913</v>
      </c>
      <c r="O262" s="7" t="s">
        <v>913</v>
      </c>
      <c r="P262" s="7" t="s">
        <v>3008</v>
      </c>
      <c r="Q262" s="33" t="s">
        <v>3009</v>
      </c>
      <c r="R262" s="7" t="s">
        <v>3</v>
      </c>
      <c r="S262" s="130">
        <v>46175.0</v>
      </c>
      <c r="T262" s="32" t="s">
        <v>4052</v>
      </c>
      <c r="U262" s="236"/>
    </row>
    <row r="263" ht="15.75" customHeight="1">
      <c r="A263" s="7" t="s">
        <v>4063</v>
      </c>
      <c r="B263" s="7" t="s">
        <v>1160</v>
      </c>
      <c r="C263" s="7" t="s">
        <v>770</v>
      </c>
      <c r="D263" s="7" t="s">
        <v>907</v>
      </c>
      <c r="E263" s="7" t="s">
        <v>829</v>
      </c>
      <c r="F263" s="7" t="s">
        <v>12</v>
      </c>
      <c r="G263" s="7" t="s">
        <v>2303</v>
      </c>
      <c r="H263" s="58" t="s">
        <v>110</v>
      </c>
      <c r="I263" s="33" t="s">
        <v>4049</v>
      </c>
      <c r="J263" s="33" t="s">
        <v>4050</v>
      </c>
      <c r="K263" s="58" t="s">
        <v>4064</v>
      </c>
      <c r="L263" s="33" t="s">
        <v>39</v>
      </c>
      <c r="M263" s="7" t="s">
        <v>39</v>
      </c>
      <c r="N263" s="7" t="s">
        <v>913</v>
      </c>
      <c r="O263" s="7" t="s">
        <v>913</v>
      </c>
      <c r="P263" s="7" t="s">
        <v>3008</v>
      </c>
      <c r="Q263" s="33" t="s">
        <v>3009</v>
      </c>
      <c r="R263" s="7" t="s">
        <v>3</v>
      </c>
      <c r="S263" s="130">
        <v>46175.0</v>
      </c>
      <c r="T263" s="32" t="s">
        <v>4052</v>
      </c>
      <c r="U263" s="236"/>
    </row>
    <row r="264" ht="15.75" customHeight="1">
      <c r="A264" s="7" t="s">
        <v>4065</v>
      </c>
      <c r="B264" s="7" t="s">
        <v>1160</v>
      </c>
      <c r="C264" s="7" t="s">
        <v>770</v>
      </c>
      <c r="D264" s="7" t="s">
        <v>907</v>
      </c>
      <c r="E264" s="7" t="s">
        <v>829</v>
      </c>
      <c r="F264" s="7" t="s">
        <v>12</v>
      </c>
      <c r="G264" s="7" t="s">
        <v>2303</v>
      </c>
      <c r="H264" s="58" t="s">
        <v>117</v>
      </c>
      <c r="I264" s="33" t="s">
        <v>4066</v>
      </c>
      <c r="J264" s="33" t="s">
        <v>4067</v>
      </c>
      <c r="K264" s="58" t="s">
        <v>4068</v>
      </c>
      <c r="L264" s="58" t="s">
        <v>4069</v>
      </c>
      <c r="M264" s="7" t="s">
        <v>39</v>
      </c>
      <c r="N264" s="7" t="s">
        <v>913</v>
      </c>
      <c r="O264" s="7" t="s">
        <v>913</v>
      </c>
      <c r="P264" s="7" t="s">
        <v>1029</v>
      </c>
      <c r="Q264" s="33"/>
      <c r="R264" s="7" t="s">
        <v>3</v>
      </c>
      <c r="S264" s="7" t="s">
        <v>1659</v>
      </c>
      <c r="T264" s="32" t="s">
        <v>4070</v>
      </c>
      <c r="U264" s="236"/>
    </row>
    <row r="265" ht="15.75" customHeight="1">
      <c r="A265" s="7" t="s">
        <v>4071</v>
      </c>
      <c r="B265" s="7" t="s">
        <v>1160</v>
      </c>
      <c r="C265" s="7" t="s">
        <v>770</v>
      </c>
      <c r="D265" s="7" t="s">
        <v>907</v>
      </c>
      <c r="E265" s="7" t="s">
        <v>829</v>
      </c>
      <c r="F265" s="7" t="s">
        <v>12</v>
      </c>
      <c r="G265" s="7" t="s">
        <v>2303</v>
      </c>
      <c r="H265" s="58" t="s">
        <v>117</v>
      </c>
      <c r="I265" s="33" t="s">
        <v>4049</v>
      </c>
      <c r="J265" s="33" t="s">
        <v>4050</v>
      </c>
      <c r="K265" s="58" t="s">
        <v>4072</v>
      </c>
      <c r="L265" s="33" t="s">
        <v>39</v>
      </c>
      <c r="M265" s="7" t="s">
        <v>39</v>
      </c>
      <c r="N265" s="7" t="s">
        <v>913</v>
      </c>
      <c r="O265" s="7" t="s">
        <v>913</v>
      </c>
      <c r="P265" s="7" t="s">
        <v>3008</v>
      </c>
      <c r="Q265" s="33" t="s">
        <v>3009</v>
      </c>
      <c r="R265" s="7" t="s">
        <v>3</v>
      </c>
      <c r="S265" s="130">
        <v>46175.0</v>
      </c>
      <c r="T265" s="32" t="s">
        <v>4052</v>
      </c>
      <c r="U265" s="236"/>
    </row>
    <row r="266" ht="15.75" customHeight="1">
      <c r="A266" s="7" t="s">
        <v>4073</v>
      </c>
      <c r="B266" s="7" t="s">
        <v>1160</v>
      </c>
      <c r="C266" s="7" t="s">
        <v>770</v>
      </c>
      <c r="D266" s="7" t="s">
        <v>907</v>
      </c>
      <c r="E266" s="7" t="s">
        <v>829</v>
      </c>
      <c r="F266" s="7" t="s">
        <v>12</v>
      </c>
      <c r="G266" s="7" t="s">
        <v>2303</v>
      </c>
      <c r="H266" s="58" t="s">
        <v>120</v>
      </c>
      <c r="I266" s="33" t="s">
        <v>4049</v>
      </c>
      <c r="J266" s="33" t="s">
        <v>4050</v>
      </c>
      <c r="K266" s="58" t="s">
        <v>4074</v>
      </c>
      <c r="L266" s="33" t="s">
        <v>39</v>
      </c>
      <c r="M266" s="7" t="s">
        <v>39</v>
      </c>
      <c r="N266" s="7" t="s">
        <v>913</v>
      </c>
      <c r="O266" s="7" t="s">
        <v>913</v>
      </c>
      <c r="P266" s="7" t="s">
        <v>3008</v>
      </c>
      <c r="Q266" s="33" t="s">
        <v>3009</v>
      </c>
      <c r="R266" s="7" t="s">
        <v>3</v>
      </c>
      <c r="S266" s="130">
        <v>46175.0</v>
      </c>
      <c r="T266" s="32" t="s">
        <v>4052</v>
      </c>
      <c r="U266" s="236"/>
    </row>
    <row r="267" ht="15.75" customHeight="1">
      <c r="A267" s="7" t="s">
        <v>4075</v>
      </c>
      <c r="B267" s="7" t="s">
        <v>1160</v>
      </c>
      <c r="C267" s="7" t="s">
        <v>770</v>
      </c>
      <c r="D267" s="7" t="s">
        <v>907</v>
      </c>
      <c r="E267" s="7" t="s">
        <v>829</v>
      </c>
      <c r="F267" s="7" t="s">
        <v>12</v>
      </c>
      <c r="G267" s="7" t="s">
        <v>2303</v>
      </c>
      <c r="H267" s="58" t="s">
        <v>123</v>
      </c>
      <c r="I267" s="33" t="s">
        <v>4049</v>
      </c>
      <c r="J267" s="33" t="s">
        <v>4050</v>
      </c>
      <c r="K267" s="58" t="s">
        <v>4076</v>
      </c>
      <c r="L267" s="33" t="s">
        <v>39</v>
      </c>
      <c r="M267" s="7" t="s">
        <v>39</v>
      </c>
      <c r="N267" s="7" t="s">
        <v>913</v>
      </c>
      <c r="O267" s="7" t="s">
        <v>913</v>
      </c>
      <c r="P267" s="7" t="s">
        <v>3008</v>
      </c>
      <c r="Q267" s="33" t="s">
        <v>3009</v>
      </c>
      <c r="R267" s="7" t="s">
        <v>3</v>
      </c>
      <c r="S267" s="130">
        <v>46175.0</v>
      </c>
      <c r="T267" s="32" t="s">
        <v>4052</v>
      </c>
      <c r="U267" s="236"/>
    </row>
    <row r="268" ht="15.75" customHeight="1">
      <c r="A268" s="7" t="s">
        <v>4077</v>
      </c>
      <c r="B268" s="7" t="s">
        <v>1160</v>
      </c>
      <c r="C268" s="7" t="s">
        <v>770</v>
      </c>
      <c r="D268" s="7" t="s">
        <v>907</v>
      </c>
      <c r="E268" s="7" t="s">
        <v>829</v>
      </c>
      <c r="F268" s="7" t="s">
        <v>12</v>
      </c>
      <c r="G268" s="7" t="s">
        <v>2303</v>
      </c>
      <c r="H268" s="58" t="s">
        <v>126</v>
      </c>
      <c r="I268" s="33" t="s">
        <v>4049</v>
      </c>
      <c r="J268" s="33" t="s">
        <v>4050</v>
      </c>
      <c r="K268" s="58" t="s">
        <v>4078</v>
      </c>
      <c r="L268" s="33" t="s">
        <v>39</v>
      </c>
      <c r="M268" s="7" t="s">
        <v>39</v>
      </c>
      <c r="N268" s="7" t="s">
        <v>913</v>
      </c>
      <c r="O268" s="7" t="s">
        <v>913</v>
      </c>
      <c r="P268" s="7" t="s">
        <v>3008</v>
      </c>
      <c r="Q268" s="33" t="s">
        <v>3009</v>
      </c>
      <c r="R268" s="7" t="s">
        <v>3</v>
      </c>
      <c r="S268" s="130">
        <v>46175.0</v>
      </c>
      <c r="T268" s="32" t="s">
        <v>4052</v>
      </c>
      <c r="U268" s="236"/>
    </row>
    <row r="269" ht="15.75" customHeight="1">
      <c r="A269" s="7" t="s">
        <v>4079</v>
      </c>
      <c r="B269" s="7" t="s">
        <v>1160</v>
      </c>
      <c r="C269" s="7" t="s">
        <v>770</v>
      </c>
      <c r="D269" s="7" t="s">
        <v>907</v>
      </c>
      <c r="E269" s="7" t="s">
        <v>829</v>
      </c>
      <c r="F269" s="7" t="s">
        <v>12</v>
      </c>
      <c r="G269" s="7" t="s">
        <v>2303</v>
      </c>
      <c r="H269" s="58" t="s">
        <v>539</v>
      </c>
      <c r="I269" s="33" t="s">
        <v>4049</v>
      </c>
      <c r="J269" s="33" t="s">
        <v>4050</v>
      </c>
      <c r="K269" s="58" t="s">
        <v>4080</v>
      </c>
      <c r="L269" s="33" t="s">
        <v>39</v>
      </c>
      <c r="M269" s="7" t="s">
        <v>39</v>
      </c>
      <c r="N269" s="7" t="s">
        <v>913</v>
      </c>
      <c r="O269" s="7" t="s">
        <v>913</v>
      </c>
      <c r="P269" s="7" t="s">
        <v>3008</v>
      </c>
      <c r="Q269" s="33" t="s">
        <v>3009</v>
      </c>
      <c r="R269" s="7" t="s">
        <v>3</v>
      </c>
      <c r="S269" s="130">
        <v>46175.0</v>
      </c>
      <c r="T269" s="32" t="s">
        <v>4052</v>
      </c>
      <c r="U269" s="236"/>
    </row>
    <row r="270" ht="15.75" customHeight="1">
      <c r="A270" s="251" t="s">
        <v>4081</v>
      </c>
      <c r="B270" s="251" t="s">
        <v>1160</v>
      </c>
      <c r="C270" s="251" t="s">
        <v>747</v>
      </c>
      <c r="D270" s="251" t="s">
        <v>907</v>
      </c>
      <c r="E270" s="251" t="s">
        <v>829</v>
      </c>
      <c r="F270" s="251" t="s">
        <v>6</v>
      </c>
      <c r="G270" s="251" t="s">
        <v>2303</v>
      </c>
      <c r="H270" s="312" t="s">
        <v>4082</v>
      </c>
      <c r="I270" s="252" t="s">
        <v>4083</v>
      </c>
      <c r="J270" s="252" t="s">
        <v>4084</v>
      </c>
      <c r="K270" s="253" t="s">
        <v>4085</v>
      </c>
      <c r="L270" s="253" t="s">
        <v>4086</v>
      </c>
      <c r="M270" s="251" t="s">
        <v>39</v>
      </c>
      <c r="N270" s="251" t="s">
        <v>913</v>
      </c>
      <c r="O270" s="251" t="s">
        <v>753</v>
      </c>
      <c r="P270" s="251" t="s">
        <v>3008</v>
      </c>
      <c r="Q270" s="252" t="s">
        <v>3009</v>
      </c>
      <c r="R270" s="251" t="s">
        <v>4</v>
      </c>
      <c r="S270" s="251" t="s">
        <v>1279</v>
      </c>
      <c r="T270" s="254" t="s">
        <v>4087</v>
      </c>
      <c r="U270" s="308" t="s">
        <v>1029</v>
      </c>
      <c r="V270" s="262"/>
      <c r="W270" s="262"/>
      <c r="X270" s="262"/>
      <c r="Y270" s="262"/>
      <c r="Z270" s="262"/>
    </row>
    <row r="271" ht="15.75" customHeight="1">
      <c r="A271" s="7" t="s">
        <v>4088</v>
      </c>
      <c r="B271" s="7" t="s">
        <v>1160</v>
      </c>
      <c r="C271" s="7" t="s">
        <v>770</v>
      </c>
      <c r="D271" s="7" t="s">
        <v>907</v>
      </c>
      <c r="E271" s="7" t="s">
        <v>829</v>
      </c>
      <c r="F271" s="7" t="s">
        <v>12</v>
      </c>
      <c r="G271" s="7" t="s">
        <v>2303</v>
      </c>
      <c r="H271" s="58" t="s">
        <v>158</v>
      </c>
      <c r="I271" s="33" t="s">
        <v>4049</v>
      </c>
      <c r="J271" s="33" t="s">
        <v>4050</v>
      </c>
      <c r="K271" s="58" t="s">
        <v>4089</v>
      </c>
      <c r="L271" s="33" t="s">
        <v>39</v>
      </c>
      <c r="M271" s="7" t="s">
        <v>39</v>
      </c>
      <c r="N271" s="7" t="s">
        <v>913</v>
      </c>
      <c r="O271" s="7" t="s">
        <v>913</v>
      </c>
      <c r="P271" s="7" t="s">
        <v>3008</v>
      </c>
      <c r="Q271" s="33" t="s">
        <v>3009</v>
      </c>
      <c r="R271" s="7" t="s">
        <v>3</v>
      </c>
      <c r="S271" s="130">
        <v>46175.0</v>
      </c>
      <c r="T271" s="32" t="s">
        <v>4052</v>
      </c>
      <c r="U271" s="236"/>
    </row>
    <row r="272" ht="15.75" customHeight="1">
      <c r="A272" s="7" t="s">
        <v>4090</v>
      </c>
      <c r="B272" s="7" t="s">
        <v>1160</v>
      </c>
      <c r="C272" s="7" t="s">
        <v>770</v>
      </c>
      <c r="D272" s="7" t="s">
        <v>907</v>
      </c>
      <c r="E272" s="7" t="s">
        <v>829</v>
      </c>
      <c r="F272" s="7" t="s">
        <v>12</v>
      </c>
      <c r="G272" s="7" t="s">
        <v>2303</v>
      </c>
      <c r="H272" s="58" t="s">
        <v>161</v>
      </c>
      <c r="I272" s="33" t="s">
        <v>4049</v>
      </c>
      <c r="J272" s="33" t="s">
        <v>4050</v>
      </c>
      <c r="K272" s="58" t="s">
        <v>4091</v>
      </c>
      <c r="L272" s="33" t="s">
        <v>39</v>
      </c>
      <c r="M272" s="7" t="s">
        <v>39</v>
      </c>
      <c r="N272" s="7" t="s">
        <v>913</v>
      </c>
      <c r="O272" s="7" t="s">
        <v>913</v>
      </c>
      <c r="P272" s="7" t="s">
        <v>3008</v>
      </c>
      <c r="Q272" s="33" t="s">
        <v>3009</v>
      </c>
      <c r="R272" s="7" t="s">
        <v>3</v>
      </c>
      <c r="S272" s="130">
        <v>46175.0</v>
      </c>
      <c r="T272" s="32" t="s">
        <v>4052</v>
      </c>
      <c r="U272" s="236"/>
    </row>
    <row r="273" ht="15.75" customHeight="1">
      <c r="A273" s="7" t="s">
        <v>4092</v>
      </c>
      <c r="B273" s="7" t="s">
        <v>1160</v>
      </c>
      <c r="C273" s="7" t="s">
        <v>770</v>
      </c>
      <c r="D273" s="7" t="s">
        <v>907</v>
      </c>
      <c r="E273" s="7" t="s">
        <v>829</v>
      </c>
      <c r="F273" s="7" t="s">
        <v>12</v>
      </c>
      <c r="G273" s="7" t="s">
        <v>2303</v>
      </c>
      <c r="H273" s="58" t="s">
        <v>164</v>
      </c>
      <c r="I273" s="33" t="s">
        <v>4049</v>
      </c>
      <c r="J273" s="33" t="s">
        <v>4050</v>
      </c>
      <c r="K273" s="58" t="s">
        <v>4093</v>
      </c>
      <c r="L273" s="33" t="s">
        <v>39</v>
      </c>
      <c r="M273" s="7" t="s">
        <v>39</v>
      </c>
      <c r="N273" s="7" t="s">
        <v>913</v>
      </c>
      <c r="O273" s="7" t="s">
        <v>913</v>
      </c>
      <c r="P273" s="7" t="s">
        <v>3008</v>
      </c>
      <c r="Q273" s="33" t="s">
        <v>3009</v>
      </c>
      <c r="R273" s="7" t="s">
        <v>3</v>
      </c>
      <c r="S273" s="130">
        <v>46175.0</v>
      </c>
      <c r="T273" s="32" t="s">
        <v>4052</v>
      </c>
      <c r="U273" s="236"/>
    </row>
    <row r="274" ht="15.75" customHeight="1">
      <c r="A274" s="7" t="s">
        <v>4094</v>
      </c>
      <c r="B274" s="7" t="s">
        <v>1160</v>
      </c>
      <c r="C274" s="7" t="s">
        <v>770</v>
      </c>
      <c r="D274" s="7" t="s">
        <v>907</v>
      </c>
      <c r="E274" s="7" t="s">
        <v>829</v>
      </c>
      <c r="F274" s="7" t="s">
        <v>12</v>
      </c>
      <c r="G274" s="7" t="s">
        <v>2303</v>
      </c>
      <c r="H274" s="58" t="s">
        <v>167</v>
      </c>
      <c r="I274" s="33" t="s">
        <v>4049</v>
      </c>
      <c r="J274" s="33" t="s">
        <v>4050</v>
      </c>
      <c r="K274" s="58" t="s">
        <v>4095</v>
      </c>
      <c r="L274" s="33" t="s">
        <v>39</v>
      </c>
      <c r="M274" s="7" t="s">
        <v>39</v>
      </c>
      <c r="N274" s="7" t="s">
        <v>913</v>
      </c>
      <c r="O274" s="7" t="s">
        <v>913</v>
      </c>
      <c r="P274" s="7" t="s">
        <v>3008</v>
      </c>
      <c r="Q274" s="33" t="s">
        <v>3009</v>
      </c>
      <c r="R274" s="7" t="s">
        <v>3</v>
      </c>
      <c r="S274" s="130">
        <v>46175.0</v>
      </c>
      <c r="T274" s="32" t="s">
        <v>4052</v>
      </c>
      <c r="U274" s="236"/>
    </row>
    <row r="275" ht="15.75" customHeight="1">
      <c r="A275" s="7" t="s">
        <v>4096</v>
      </c>
      <c r="B275" s="7" t="s">
        <v>1160</v>
      </c>
      <c r="C275" s="7" t="s">
        <v>1625</v>
      </c>
      <c r="D275" s="7" t="s">
        <v>907</v>
      </c>
      <c r="E275" s="7" t="s">
        <v>829</v>
      </c>
      <c r="F275" s="7" t="s">
        <v>12</v>
      </c>
      <c r="G275" s="7" t="s">
        <v>4097</v>
      </c>
      <c r="H275" s="33" t="s">
        <v>4098</v>
      </c>
      <c r="I275" s="33" t="s">
        <v>4099</v>
      </c>
      <c r="J275" s="33" t="s">
        <v>4100</v>
      </c>
      <c r="K275" s="58" t="s">
        <v>4101</v>
      </c>
      <c r="L275" s="33" t="s">
        <v>39</v>
      </c>
      <c r="M275" s="7" t="s">
        <v>39</v>
      </c>
      <c r="N275" s="7" t="s">
        <v>913</v>
      </c>
      <c r="O275" s="7" t="s">
        <v>3273</v>
      </c>
      <c r="P275" s="7" t="s">
        <v>3274</v>
      </c>
      <c r="Q275" s="33" t="s">
        <v>4102</v>
      </c>
      <c r="R275" s="7" t="s">
        <v>3</v>
      </c>
      <c r="S275" s="7" t="s">
        <v>1659</v>
      </c>
      <c r="T275" s="32"/>
      <c r="U275" s="31"/>
      <c r="V275" s="62"/>
      <c r="W275" s="62"/>
      <c r="X275" s="62"/>
      <c r="Y275" s="62"/>
      <c r="Z275" s="62"/>
    </row>
    <row r="276" ht="15.75" customHeight="1">
      <c r="A276" s="7" t="s">
        <v>4103</v>
      </c>
      <c r="B276" s="7" t="s">
        <v>1047</v>
      </c>
      <c r="C276" s="7" t="s">
        <v>770</v>
      </c>
      <c r="D276" s="7" t="s">
        <v>907</v>
      </c>
      <c r="E276" s="7" t="s">
        <v>829</v>
      </c>
      <c r="F276" s="7" t="s">
        <v>12</v>
      </c>
      <c r="G276" s="7" t="s">
        <v>2303</v>
      </c>
      <c r="H276" s="58" t="s">
        <v>4104</v>
      </c>
      <c r="I276" s="33" t="s">
        <v>4049</v>
      </c>
      <c r="J276" s="33" t="s">
        <v>4050</v>
      </c>
      <c r="K276" s="58" t="s">
        <v>4105</v>
      </c>
      <c r="L276" s="33" t="s">
        <v>39</v>
      </c>
      <c r="M276" s="7" t="s">
        <v>39</v>
      </c>
      <c r="N276" s="7" t="s">
        <v>913</v>
      </c>
      <c r="O276" s="7" t="s">
        <v>913</v>
      </c>
      <c r="P276" s="7" t="s">
        <v>3008</v>
      </c>
      <c r="Q276" s="33" t="s">
        <v>3009</v>
      </c>
      <c r="R276" s="7" t="s">
        <v>3</v>
      </c>
      <c r="S276" s="130">
        <v>46175.0</v>
      </c>
      <c r="T276" s="32" t="s">
        <v>4052</v>
      </c>
      <c r="U276" s="236"/>
    </row>
    <row r="277" ht="15.75" customHeight="1">
      <c r="A277" s="7" t="s">
        <v>4106</v>
      </c>
      <c r="B277" s="7" t="s">
        <v>1034</v>
      </c>
      <c r="C277" s="7" t="s">
        <v>770</v>
      </c>
      <c r="D277" s="7" t="s">
        <v>907</v>
      </c>
      <c r="E277" s="7" t="s">
        <v>829</v>
      </c>
      <c r="F277" s="7" t="s">
        <v>12</v>
      </c>
      <c r="G277" s="7" t="s">
        <v>2303</v>
      </c>
      <c r="H277" s="58" t="s">
        <v>183</v>
      </c>
      <c r="I277" s="33" t="s">
        <v>4049</v>
      </c>
      <c r="J277" s="33" t="s">
        <v>4050</v>
      </c>
      <c r="K277" s="58" t="s">
        <v>4107</v>
      </c>
      <c r="L277" s="33" t="s">
        <v>39</v>
      </c>
      <c r="M277" s="7" t="s">
        <v>39</v>
      </c>
      <c r="N277" s="7" t="s">
        <v>913</v>
      </c>
      <c r="O277" s="7" t="s">
        <v>913</v>
      </c>
      <c r="P277" s="7" t="s">
        <v>3008</v>
      </c>
      <c r="Q277" s="33" t="s">
        <v>3009</v>
      </c>
      <c r="R277" s="7" t="s">
        <v>3</v>
      </c>
      <c r="S277" s="130">
        <v>46175.0</v>
      </c>
      <c r="T277" s="32" t="s">
        <v>4052</v>
      </c>
      <c r="U277" s="236"/>
    </row>
    <row r="278" ht="15.75" customHeight="1">
      <c r="A278" s="251" t="s">
        <v>4108</v>
      </c>
      <c r="B278" s="251" t="s">
        <v>1034</v>
      </c>
      <c r="C278" s="251" t="s">
        <v>770</v>
      </c>
      <c r="D278" s="251" t="s">
        <v>907</v>
      </c>
      <c r="E278" s="251" t="s">
        <v>829</v>
      </c>
      <c r="F278" s="251" t="s">
        <v>6</v>
      </c>
      <c r="G278" s="251" t="s">
        <v>2303</v>
      </c>
      <c r="H278" s="252" t="s">
        <v>782</v>
      </c>
      <c r="I278" s="252" t="s">
        <v>4109</v>
      </c>
      <c r="J278" s="252" t="s">
        <v>4110</v>
      </c>
      <c r="K278" s="253" t="s">
        <v>4111</v>
      </c>
      <c r="L278" s="252" t="s">
        <v>39</v>
      </c>
      <c r="M278" s="251" t="s">
        <v>39</v>
      </c>
      <c r="N278" s="251" t="s">
        <v>913</v>
      </c>
      <c r="O278" s="251" t="s">
        <v>913</v>
      </c>
      <c r="P278" s="251"/>
      <c r="Q278" s="252" t="s">
        <v>4112</v>
      </c>
      <c r="R278" s="251" t="s">
        <v>3</v>
      </c>
      <c r="S278" s="256" t="s">
        <v>3175</v>
      </c>
      <c r="T278" s="254" t="s">
        <v>4113</v>
      </c>
      <c r="U278" s="255"/>
      <c r="V278" s="262"/>
      <c r="W278" s="262"/>
      <c r="X278" s="262"/>
      <c r="Y278" s="262"/>
      <c r="Z278" s="262"/>
    </row>
    <row r="279" ht="15.75" customHeight="1">
      <c r="A279" s="7" t="s">
        <v>4114</v>
      </c>
      <c r="B279" s="7" t="s">
        <v>1034</v>
      </c>
      <c r="C279" s="7" t="s">
        <v>770</v>
      </c>
      <c r="D279" s="7" t="s">
        <v>907</v>
      </c>
      <c r="E279" s="7" t="s">
        <v>829</v>
      </c>
      <c r="F279" s="7" t="s">
        <v>12</v>
      </c>
      <c r="G279" s="7" t="s">
        <v>2303</v>
      </c>
      <c r="H279" s="58" t="s">
        <v>93</v>
      </c>
      <c r="I279" s="33" t="s">
        <v>4049</v>
      </c>
      <c r="J279" s="33" t="s">
        <v>4050</v>
      </c>
      <c r="K279" s="58" t="s">
        <v>4115</v>
      </c>
      <c r="L279" s="33" t="s">
        <v>39</v>
      </c>
      <c r="M279" s="7" t="s">
        <v>39</v>
      </c>
      <c r="N279" s="7" t="s">
        <v>913</v>
      </c>
      <c r="O279" s="7" t="s">
        <v>913</v>
      </c>
      <c r="P279" s="7" t="s">
        <v>3008</v>
      </c>
      <c r="Q279" s="33" t="s">
        <v>3009</v>
      </c>
      <c r="R279" s="7" t="s">
        <v>3</v>
      </c>
      <c r="S279" s="130">
        <v>46175.0</v>
      </c>
      <c r="T279" s="32" t="s">
        <v>4052</v>
      </c>
      <c r="U279" s="236"/>
    </row>
    <row r="280" ht="15.75" customHeight="1">
      <c r="A280" s="7" t="s">
        <v>4116</v>
      </c>
      <c r="B280" s="7" t="s">
        <v>1034</v>
      </c>
      <c r="C280" s="7" t="s">
        <v>770</v>
      </c>
      <c r="D280" s="7" t="s">
        <v>907</v>
      </c>
      <c r="E280" s="7" t="s">
        <v>829</v>
      </c>
      <c r="F280" s="7" t="s">
        <v>12</v>
      </c>
      <c r="G280" s="7" t="s">
        <v>2303</v>
      </c>
      <c r="H280" s="58" t="s">
        <v>478</v>
      </c>
      <c r="I280" s="33" t="s">
        <v>4049</v>
      </c>
      <c r="J280" s="33" t="s">
        <v>4050</v>
      </c>
      <c r="K280" s="58" t="s">
        <v>4117</v>
      </c>
      <c r="L280" s="33" t="s">
        <v>39</v>
      </c>
      <c r="M280" s="7" t="s">
        <v>39</v>
      </c>
      <c r="N280" s="7" t="s">
        <v>913</v>
      </c>
      <c r="O280" s="7" t="s">
        <v>913</v>
      </c>
      <c r="P280" s="7" t="s">
        <v>3008</v>
      </c>
      <c r="Q280" s="33" t="s">
        <v>3009</v>
      </c>
      <c r="R280" s="7" t="s">
        <v>3</v>
      </c>
      <c r="S280" s="130">
        <v>46175.0</v>
      </c>
      <c r="T280" s="32" t="s">
        <v>4052</v>
      </c>
      <c r="U280" s="236"/>
    </row>
    <row r="281" ht="15.75" customHeight="1">
      <c r="A281" s="7" t="s">
        <v>4118</v>
      </c>
      <c r="B281" s="7" t="s">
        <v>1034</v>
      </c>
      <c r="C281" s="7" t="s">
        <v>770</v>
      </c>
      <c r="D281" s="7" t="s">
        <v>907</v>
      </c>
      <c r="E281" s="7" t="s">
        <v>829</v>
      </c>
      <c r="F281" s="7" t="s">
        <v>12</v>
      </c>
      <c r="G281" s="7" t="s">
        <v>2303</v>
      </c>
      <c r="H281" s="58" t="s">
        <v>129</v>
      </c>
      <c r="I281" s="33" t="s">
        <v>4049</v>
      </c>
      <c r="J281" s="33" t="s">
        <v>4050</v>
      </c>
      <c r="K281" s="58" t="s">
        <v>4119</v>
      </c>
      <c r="L281" s="33" t="s">
        <v>39</v>
      </c>
      <c r="M281" s="7" t="s">
        <v>39</v>
      </c>
      <c r="N281" s="7" t="s">
        <v>913</v>
      </c>
      <c r="O281" s="7" t="s">
        <v>913</v>
      </c>
      <c r="P281" s="7" t="s">
        <v>3008</v>
      </c>
      <c r="Q281" s="33" t="s">
        <v>3009</v>
      </c>
      <c r="R281" s="7" t="s">
        <v>3</v>
      </c>
      <c r="S281" s="130">
        <v>46175.0</v>
      </c>
      <c r="T281" s="32" t="s">
        <v>4052</v>
      </c>
      <c r="U281" s="236"/>
    </row>
    <row r="282" ht="15.75" customHeight="1">
      <c r="A282" s="7" t="s">
        <v>4120</v>
      </c>
      <c r="B282" s="7" t="s">
        <v>1034</v>
      </c>
      <c r="C282" s="7" t="s">
        <v>770</v>
      </c>
      <c r="D282" s="7" t="s">
        <v>907</v>
      </c>
      <c r="E282" s="7" t="s">
        <v>829</v>
      </c>
      <c r="F282" s="7" t="s">
        <v>12</v>
      </c>
      <c r="G282" s="7" t="s">
        <v>2303</v>
      </c>
      <c r="H282" s="58" t="s">
        <v>135</v>
      </c>
      <c r="I282" s="33" t="s">
        <v>4049</v>
      </c>
      <c r="J282" s="33" t="s">
        <v>4050</v>
      </c>
      <c r="K282" s="58" t="s">
        <v>4121</v>
      </c>
      <c r="L282" s="33" t="s">
        <v>39</v>
      </c>
      <c r="M282" s="7" t="s">
        <v>39</v>
      </c>
      <c r="N282" s="7" t="s">
        <v>913</v>
      </c>
      <c r="O282" s="7" t="s">
        <v>913</v>
      </c>
      <c r="P282" s="7" t="s">
        <v>3008</v>
      </c>
      <c r="Q282" s="33" t="s">
        <v>3009</v>
      </c>
      <c r="R282" s="7" t="s">
        <v>3</v>
      </c>
      <c r="S282" s="130">
        <v>46175.0</v>
      </c>
      <c r="T282" s="32" t="s">
        <v>4052</v>
      </c>
      <c r="U282" s="236"/>
    </row>
    <row r="283" ht="15.75" customHeight="1">
      <c r="A283" s="7" t="s">
        <v>4122</v>
      </c>
      <c r="B283" s="7" t="s">
        <v>1034</v>
      </c>
      <c r="C283" s="7" t="s">
        <v>770</v>
      </c>
      <c r="D283" s="7" t="s">
        <v>907</v>
      </c>
      <c r="E283" s="7" t="s">
        <v>829</v>
      </c>
      <c r="F283" s="7" t="s">
        <v>12</v>
      </c>
      <c r="G283" s="7" t="s">
        <v>2303</v>
      </c>
      <c r="H283" s="58" t="s">
        <v>4123</v>
      </c>
      <c r="I283" s="33" t="s">
        <v>4049</v>
      </c>
      <c r="J283" s="33" t="s">
        <v>4050</v>
      </c>
      <c r="K283" s="58" t="s">
        <v>4124</v>
      </c>
      <c r="L283" s="33" t="s">
        <v>39</v>
      </c>
      <c r="M283" s="7" t="s">
        <v>39</v>
      </c>
      <c r="N283" s="7" t="s">
        <v>913</v>
      </c>
      <c r="O283" s="7" t="s">
        <v>913</v>
      </c>
      <c r="P283" s="7" t="s">
        <v>3008</v>
      </c>
      <c r="Q283" s="33" t="s">
        <v>3009</v>
      </c>
      <c r="R283" s="7" t="s">
        <v>3</v>
      </c>
      <c r="S283" s="130">
        <v>46175.0</v>
      </c>
      <c r="T283" s="32" t="s">
        <v>4052</v>
      </c>
      <c r="U283" s="236"/>
    </row>
    <row r="284" ht="15.75" customHeight="1">
      <c r="A284" s="7" t="s">
        <v>4125</v>
      </c>
      <c r="B284" s="7" t="s">
        <v>1034</v>
      </c>
      <c r="C284" s="7" t="s">
        <v>755</v>
      </c>
      <c r="D284" s="7" t="s">
        <v>907</v>
      </c>
      <c r="E284" s="7" t="s">
        <v>829</v>
      </c>
      <c r="F284" s="7" t="s">
        <v>12</v>
      </c>
      <c r="G284" s="7" t="s">
        <v>2303</v>
      </c>
      <c r="H284" s="58" t="s">
        <v>4123</v>
      </c>
      <c r="I284" s="33" t="s">
        <v>4083</v>
      </c>
      <c r="J284" s="33" t="s">
        <v>4126</v>
      </c>
      <c r="K284" s="58" t="s">
        <v>4127</v>
      </c>
      <c r="L284" s="58" t="s">
        <v>4128</v>
      </c>
      <c r="M284" s="7" t="s">
        <v>39</v>
      </c>
      <c r="N284" s="7" t="s">
        <v>913</v>
      </c>
      <c r="O284" s="7"/>
      <c r="P284" s="7"/>
      <c r="Q284" s="33"/>
      <c r="R284" s="7" t="s">
        <v>3</v>
      </c>
      <c r="S284" s="130">
        <v>46175.0</v>
      </c>
      <c r="T284" s="32" t="s">
        <v>4052</v>
      </c>
      <c r="U284" s="236"/>
    </row>
    <row r="285" ht="15.75" customHeight="1">
      <c r="A285" s="7" t="s">
        <v>4129</v>
      </c>
      <c r="B285" s="7" t="s">
        <v>1034</v>
      </c>
      <c r="C285" s="7" t="s">
        <v>770</v>
      </c>
      <c r="D285" s="7" t="s">
        <v>907</v>
      </c>
      <c r="E285" s="7" t="s">
        <v>829</v>
      </c>
      <c r="F285" s="7" t="s">
        <v>12</v>
      </c>
      <c r="G285" s="7" t="s">
        <v>2303</v>
      </c>
      <c r="H285" s="58" t="s">
        <v>643</v>
      </c>
      <c r="I285" s="33" t="s">
        <v>4049</v>
      </c>
      <c r="J285" s="33" t="s">
        <v>4130</v>
      </c>
      <c r="K285" s="58" t="s">
        <v>4131</v>
      </c>
      <c r="L285" s="33" t="s">
        <v>39</v>
      </c>
      <c r="M285" s="7" t="s">
        <v>39</v>
      </c>
      <c r="N285" s="7" t="s">
        <v>913</v>
      </c>
      <c r="O285" s="7" t="s">
        <v>913</v>
      </c>
      <c r="P285" s="7" t="s">
        <v>3008</v>
      </c>
      <c r="Q285" s="33" t="s">
        <v>3009</v>
      </c>
      <c r="R285" s="7" t="s">
        <v>3</v>
      </c>
      <c r="S285" s="130">
        <v>46175.0</v>
      </c>
      <c r="T285" s="32" t="s">
        <v>4052</v>
      </c>
      <c r="U285" s="236"/>
    </row>
    <row r="286" ht="15.75" customHeight="1">
      <c r="A286" s="7" t="s">
        <v>4132</v>
      </c>
      <c r="B286" s="7" t="s">
        <v>1034</v>
      </c>
      <c r="C286" s="7" t="s">
        <v>770</v>
      </c>
      <c r="D286" s="7" t="s">
        <v>907</v>
      </c>
      <c r="E286" s="7" t="s">
        <v>756</v>
      </c>
      <c r="F286" s="7" t="s">
        <v>16</v>
      </c>
      <c r="G286" s="7" t="s">
        <v>1143</v>
      </c>
      <c r="H286" s="58" t="s">
        <v>154</v>
      </c>
      <c r="I286" s="33" t="s">
        <v>4133</v>
      </c>
      <c r="J286" s="33" t="s">
        <v>4134</v>
      </c>
      <c r="K286" s="58" t="s">
        <v>4135</v>
      </c>
      <c r="L286" s="58" t="s">
        <v>4136</v>
      </c>
      <c r="M286" s="7" t="s">
        <v>39</v>
      </c>
      <c r="N286" s="7" t="s">
        <v>913</v>
      </c>
      <c r="O286" s="7" t="s">
        <v>974</v>
      </c>
      <c r="P286" s="7"/>
      <c r="Q286" s="33"/>
      <c r="R286" s="7" t="s">
        <v>3</v>
      </c>
      <c r="S286" s="7" t="s">
        <v>1165</v>
      </c>
      <c r="T286" s="32" t="s">
        <v>4137</v>
      </c>
      <c r="U286" s="12" t="s">
        <v>1029</v>
      </c>
    </row>
    <row r="287" ht="15.75" customHeight="1">
      <c r="A287" s="7" t="s">
        <v>4138</v>
      </c>
      <c r="B287" s="7" t="s">
        <v>1034</v>
      </c>
      <c r="C287" s="7" t="s">
        <v>770</v>
      </c>
      <c r="D287" s="7" t="s">
        <v>907</v>
      </c>
      <c r="E287" s="7" t="s">
        <v>829</v>
      </c>
      <c r="F287" s="7" t="s">
        <v>12</v>
      </c>
      <c r="G287" s="7" t="s">
        <v>2303</v>
      </c>
      <c r="H287" s="58" t="s">
        <v>509</v>
      </c>
      <c r="I287" s="33" t="s">
        <v>4049</v>
      </c>
      <c r="J287" s="33" t="s">
        <v>4050</v>
      </c>
      <c r="K287" s="58" t="s">
        <v>4139</v>
      </c>
      <c r="L287" s="33" t="s">
        <v>39</v>
      </c>
      <c r="M287" s="7" t="s">
        <v>39</v>
      </c>
      <c r="N287" s="7" t="s">
        <v>913</v>
      </c>
      <c r="O287" s="7" t="s">
        <v>913</v>
      </c>
      <c r="P287" s="7" t="s">
        <v>3008</v>
      </c>
      <c r="Q287" s="33" t="s">
        <v>3009</v>
      </c>
      <c r="R287" s="7" t="s">
        <v>3</v>
      </c>
      <c r="S287" s="130">
        <v>46175.0</v>
      </c>
      <c r="T287" s="32" t="s">
        <v>4052</v>
      </c>
      <c r="U287" s="236"/>
    </row>
    <row r="288" ht="15.75" customHeight="1">
      <c r="A288" s="251" t="s">
        <v>4140</v>
      </c>
      <c r="B288" s="251" t="s">
        <v>1034</v>
      </c>
      <c r="C288" s="251" t="s">
        <v>747</v>
      </c>
      <c r="D288" s="251" t="s">
        <v>907</v>
      </c>
      <c r="E288" s="251" t="s">
        <v>1575</v>
      </c>
      <c r="F288" s="251" t="s">
        <v>6</v>
      </c>
      <c r="G288" s="251" t="s">
        <v>2303</v>
      </c>
      <c r="H288" s="252" t="s">
        <v>4141</v>
      </c>
      <c r="I288" s="252" t="s">
        <v>4142</v>
      </c>
      <c r="J288" s="252" t="s">
        <v>4143</v>
      </c>
      <c r="K288" s="253" t="s">
        <v>4144</v>
      </c>
      <c r="L288" s="252" t="s">
        <v>39</v>
      </c>
      <c r="M288" s="251" t="s">
        <v>39</v>
      </c>
      <c r="N288" s="251" t="s">
        <v>913</v>
      </c>
      <c r="O288" s="313" t="s">
        <v>753</v>
      </c>
      <c r="P288" s="251" t="s">
        <v>1018</v>
      </c>
      <c r="Q288" s="314" t="s">
        <v>4145</v>
      </c>
      <c r="R288" s="251" t="s">
        <v>3</v>
      </c>
      <c r="S288" s="256">
        <v>46359.0</v>
      </c>
      <c r="T288" s="254" t="s">
        <v>4146</v>
      </c>
      <c r="U288" s="255"/>
      <c r="V288" s="262"/>
      <c r="W288" s="262"/>
      <c r="X288" s="262"/>
      <c r="Y288" s="262"/>
      <c r="Z288" s="262"/>
    </row>
    <row r="289" ht="15.75" customHeight="1">
      <c r="A289" s="251" t="s">
        <v>4147</v>
      </c>
      <c r="B289" s="251" t="s">
        <v>1034</v>
      </c>
      <c r="C289" s="251" t="s">
        <v>747</v>
      </c>
      <c r="D289" s="251" t="s">
        <v>907</v>
      </c>
      <c r="E289" s="251" t="s">
        <v>1575</v>
      </c>
      <c r="F289" s="251" t="s">
        <v>6</v>
      </c>
      <c r="G289" s="251" t="s">
        <v>2303</v>
      </c>
      <c r="H289" s="252" t="s">
        <v>4148</v>
      </c>
      <c r="I289" s="252" t="s">
        <v>4142</v>
      </c>
      <c r="J289" s="252" t="s">
        <v>4143</v>
      </c>
      <c r="K289" s="253" t="s">
        <v>4149</v>
      </c>
      <c r="L289" s="252" t="s">
        <v>39</v>
      </c>
      <c r="M289" s="251" t="s">
        <v>39</v>
      </c>
      <c r="N289" s="251" t="s">
        <v>913</v>
      </c>
      <c r="O289" s="313" t="s">
        <v>913</v>
      </c>
      <c r="P289" s="251" t="s">
        <v>1018</v>
      </c>
      <c r="Q289" s="314" t="s">
        <v>4145</v>
      </c>
      <c r="R289" s="251" t="s">
        <v>3</v>
      </c>
      <c r="S289" s="256" t="s">
        <v>3175</v>
      </c>
      <c r="T289" s="254" t="s">
        <v>4150</v>
      </c>
      <c r="U289" s="255"/>
      <c r="V289" s="262"/>
      <c r="W289" s="262"/>
      <c r="X289" s="262"/>
      <c r="Y289" s="262"/>
      <c r="Z289" s="262"/>
    </row>
    <row r="290" ht="15.75" customHeight="1">
      <c r="A290" s="7" t="s">
        <v>4151</v>
      </c>
      <c r="B290" s="7" t="s">
        <v>1034</v>
      </c>
      <c r="C290" s="7" t="s">
        <v>770</v>
      </c>
      <c r="D290" s="7" t="s">
        <v>907</v>
      </c>
      <c r="E290" s="7" t="s">
        <v>829</v>
      </c>
      <c r="F290" s="7" t="s">
        <v>6</v>
      </c>
      <c r="G290" s="7" t="s">
        <v>1005</v>
      </c>
      <c r="H290" s="33" t="s">
        <v>4152</v>
      </c>
      <c r="I290" s="33" t="s">
        <v>4153</v>
      </c>
      <c r="J290" s="33" t="s">
        <v>4154</v>
      </c>
      <c r="K290" s="58" t="s">
        <v>4155</v>
      </c>
      <c r="L290" s="33" t="s">
        <v>39</v>
      </c>
      <c r="M290" s="7" t="s">
        <v>39</v>
      </c>
      <c r="N290" s="7" t="s">
        <v>913</v>
      </c>
      <c r="O290" s="7" t="s">
        <v>913</v>
      </c>
      <c r="P290" s="7" t="s">
        <v>1029</v>
      </c>
      <c r="Q290" s="33"/>
      <c r="R290" s="7" t="s">
        <v>3</v>
      </c>
      <c r="S290" s="130">
        <v>46145.0</v>
      </c>
      <c r="T290" s="32" t="s">
        <v>4156</v>
      </c>
      <c r="U290" s="12" t="s">
        <v>869</v>
      </c>
    </row>
    <row r="291" ht="15.75" customHeight="1">
      <c r="A291" s="7" t="s">
        <v>4157</v>
      </c>
      <c r="B291" s="7" t="s">
        <v>1034</v>
      </c>
      <c r="C291" s="7" t="s">
        <v>747</v>
      </c>
      <c r="D291" s="7" t="s">
        <v>907</v>
      </c>
      <c r="E291" s="7" t="s">
        <v>829</v>
      </c>
      <c r="F291" s="7" t="s">
        <v>12</v>
      </c>
      <c r="G291" s="7" t="s">
        <v>4158</v>
      </c>
      <c r="H291" s="33" t="s">
        <v>4152</v>
      </c>
      <c r="I291" s="33" t="s">
        <v>4159</v>
      </c>
      <c r="J291" s="33" t="s">
        <v>4160</v>
      </c>
      <c r="K291" s="58" t="s">
        <v>4161</v>
      </c>
      <c r="L291" s="33" t="s">
        <v>39</v>
      </c>
      <c r="M291" s="7" t="s">
        <v>39</v>
      </c>
      <c r="N291" s="7" t="s">
        <v>913</v>
      </c>
      <c r="O291" s="7" t="s">
        <v>750</v>
      </c>
      <c r="P291" s="7"/>
      <c r="Q291" s="33"/>
      <c r="R291" s="7" t="s">
        <v>4</v>
      </c>
      <c r="S291" s="7"/>
      <c r="T291" s="32"/>
      <c r="U291" s="236"/>
    </row>
    <row r="292" ht="15.75" customHeight="1">
      <c r="A292" s="251" t="s">
        <v>4162</v>
      </c>
      <c r="B292" s="256">
        <v>46175.0</v>
      </c>
      <c r="C292" s="251" t="s">
        <v>747</v>
      </c>
      <c r="D292" s="251" t="s">
        <v>907</v>
      </c>
      <c r="E292" s="251" t="s">
        <v>829</v>
      </c>
      <c r="F292" s="251" t="s">
        <v>6</v>
      </c>
      <c r="G292" s="251" t="s">
        <v>2303</v>
      </c>
      <c r="H292" s="252" t="s">
        <v>4163</v>
      </c>
      <c r="I292" s="252" t="s">
        <v>4164</v>
      </c>
      <c r="J292" s="252" t="s">
        <v>4165</v>
      </c>
      <c r="K292" s="253" t="s">
        <v>4166</v>
      </c>
      <c r="L292" s="252" t="s">
        <v>39</v>
      </c>
      <c r="M292" s="251" t="s">
        <v>39</v>
      </c>
      <c r="N292" s="251" t="s">
        <v>913</v>
      </c>
      <c r="O292" s="251" t="s">
        <v>913</v>
      </c>
      <c r="P292" s="251"/>
      <c r="Q292" s="252"/>
      <c r="R292" s="251" t="s">
        <v>3</v>
      </c>
      <c r="S292" s="251" t="s">
        <v>3175</v>
      </c>
      <c r="T292" s="254" t="s">
        <v>4167</v>
      </c>
      <c r="U292" s="308" t="s">
        <v>1029</v>
      </c>
      <c r="V292" s="262"/>
      <c r="W292" s="262"/>
      <c r="X292" s="262"/>
      <c r="Y292" s="262"/>
      <c r="Z292" s="262"/>
    </row>
    <row r="293" ht="15.75" customHeight="1">
      <c r="A293" s="251" t="s">
        <v>4168</v>
      </c>
      <c r="B293" s="256">
        <v>46175.0</v>
      </c>
      <c r="C293" s="251" t="s">
        <v>755</v>
      </c>
      <c r="D293" s="251" t="s">
        <v>907</v>
      </c>
      <c r="E293" s="251" t="s">
        <v>829</v>
      </c>
      <c r="F293" s="251" t="s">
        <v>6</v>
      </c>
      <c r="G293" s="251" t="s">
        <v>2303</v>
      </c>
      <c r="H293" s="252" t="s">
        <v>4169</v>
      </c>
      <c r="I293" s="252" t="s">
        <v>4170</v>
      </c>
      <c r="J293" s="252" t="s">
        <v>4171</v>
      </c>
      <c r="K293" s="253" t="s">
        <v>2800</v>
      </c>
      <c r="L293" s="252" t="s">
        <v>39</v>
      </c>
      <c r="M293" s="251" t="s">
        <v>39</v>
      </c>
      <c r="N293" s="251" t="s">
        <v>913</v>
      </c>
      <c r="O293" s="251" t="s">
        <v>913</v>
      </c>
      <c r="P293" s="251"/>
      <c r="Q293" s="252" t="s">
        <v>2104</v>
      </c>
      <c r="R293" s="251" t="s">
        <v>3</v>
      </c>
      <c r="S293" s="256">
        <v>46145.0</v>
      </c>
      <c r="T293" s="254" t="s">
        <v>4172</v>
      </c>
      <c r="U293" s="255"/>
      <c r="V293" s="262"/>
      <c r="W293" s="262"/>
      <c r="X293" s="262"/>
      <c r="Y293" s="262"/>
      <c r="Z293" s="262"/>
    </row>
    <row r="294" ht="15.75" customHeight="1">
      <c r="A294" s="251" t="s">
        <v>4173</v>
      </c>
      <c r="B294" s="256">
        <v>46175.0</v>
      </c>
      <c r="C294" s="251" t="s">
        <v>770</v>
      </c>
      <c r="D294" s="251" t="s">
        <v>907</v>
      </c>
      <c r="E294" s="251" t="s">
        <v>4174</v>
      </c>
      <c r="F294" s="251" t="s">
        <v>6</v>
      </c>
      <c r="G294" s="251" t="s">
        <v>2303</v>
      </c>
      <c r="H294" s="252" t="s">
        <v>4175</v>
      </c>
      <c r="I294" s="252" t="s">
        <v>4176</v>
      </c>
      <c r="J294" s="252" t="s">
        <v>4177</v>
      </c>
      <c r="K294" s="253" t="s">
        <v>4178</v>
      </c>
      <c r="L294" s="252" t="s">
        <v>39</v>
      </c>
      <c r="M294" s="251" t="s">
        <v>39</v>
      </c>
      <c r="N294" s="251" t="s">
        <v>913</v>
      </c>
      <c r="O294" s="251" t="s">
        <v>913</v>
      </c>
      <c r="P294" s="251" t="s">
        <v>1029</v>
      </c>
      <c r="Q294" s="252" t="s">
        <v>4179</v>
      </c>
      <c r="R294" s="251" t="s">
        <v>3</v>
      </c>
      <c r="S294" s="251" t="s">
        <v>1074</v>
      </c>
      <c r="T294" s="254" t="s">
        <v>4180</v>
      </c>
      <c r="U294" s="255"/>
      <c r="V294" s="262"/>
      <c r="W294" s="262"/>
      <c r="X294" s="262"/>
      <c r="Y294" s="262"/>
      <c r="Z294" s="262"/>
    </row>
    <row r="295" ht="15.75" customHeight="1">
      <c r="A295" s="251" t="s">
        <v>4181</v>
      </c>
      <c r="B295" s="256">
        <v>46175.0</v>
      </c>
      <c r="C295" s="251" t="s">
        <v>755</v>
      </c>
      <c r="D295" s="251" t="s">
        <v>907</v>
      </c>
      <c r="E295" s="251" t="s">
        <v>829</v>
      </c>
      <c r="F295" s="251" t="s">
        <v>6</v>
      </c>
      <c r="G295" s="251" t="s">
        <v>2303</v>
      </c>
      <c r="H295" s="252" t="s">
        <v>539</v>
      </c>
      <c r="I295" s="252" t="s">
        <v>4182</v>
      </c>
      <c r="J295" s="252" t="s">
        <v>4183</v>
      </c>
      <c r="K295" s="253" t="s">
        <v>4184</v>
      </c>
      <c r="L295" s="252" t="s">
        <v>39</v>
      </c>
      <c r="M295" s="251" t="s">
        <v>39</v>
      </c>
      <c r="N295" s="251" t="s">
        <v>913</v>
      </c>
      <c r="O295" s="251" t="s">
        <v>913</v>
      </c>
      <c r="P295" s="251" t="s">
        <v>1029</v>
      </c>
      <c r="Q295" s="252" t="s">
        <v>4179</v>
      </c>
      <c r="R295" s="251" t="s">
        <v>3</v>
      </c>
      <c r="S295" s="256" t="s">
        <v>1074</v>
      </c>
      <c r="T295" s="254" t="s">
        <v>4185</v>
      </c>
      <c r="U295" s="255"/>
      <c r="V295" s="262"/>
      <c r="W295" s="262"/>
      <c r="X295" s="262"/>
      <c r="Y295" s="262"/>
      <c r="Z295" s="262"/>
    </row>
    <row r="296" ht="15.75" customHeight="1">
      <c r="A296" s="7" t="s">
        <v>4186</v>
      </c>
      <c r="B296" s="130">
        <v>46175.0</v>
      </c>
      <c r="C296" s="7" t="s">
        <v>770</v>
      </c>
      <c r="D296" s="7" t="s">
        <v>907</v>
      </c>
      <c r="E296" s="7" t="s">
        <v>4174</v>
      </c>
      <c r="F296" s="7" t="s">
        <v>6</v>
      </c>
      <c r="G296" s="7" t="s">
        <v>2303</v>
      </c>
      <c r="H296" s="33" t="s">
        <v>4187</v>
      </c>
      <c r="I296" s="33" t="s">
        <v>4188</v>
      </c>
      <c r="J296" s="33" t="s">
        <v>4177</v>
      </c>
      <c r="K296" s="58" t="s">
        <v>4189</v>
      </c>
      <c r="L296" s="33" t="s">
        <v>39</v>
      </c>
      <c r="M296" s="7" t="s">
        <v>39</v>
      </c>
      <c r="N296" s="7" t="s">
        <v>913</v>
      </c>
      <c r="O296" s="7" t="s">
        <v>913</v>
      </c>
      <c r="P296" s="7" t="s">
        <v>1029</v>
      </c>
      <c r="Q296" s="33" t="s">
        <v>4190</v>
      </c>
      <c r="R296" s="7" t="s">
        <v>3</v>
      </c>
      <c r="S296" s="7" t="s">
        <v>1027</v>
      </c>
      <c r="T296" s="32" t="s">
        <v>4191</v>
      </c>
      <c r="U296" s="236"/>
    </row>
    <row r="297" ht="15.75" customHeight="1">
      <c r="A297" s="251" t="s">
        <v>4192</v>
      </c>
      <c r="B297" s="256">
        <v>46175.0</v>
      </c>
      <c r="C297" s="251" t="s">
        <v>747</v>
      </c>
      <c r="D297" s="251" t="s">
        <v>907</v>
      </c>
      <c r="E297" s="251" t="s">
        <v>829</v>
      </c>
      <c r="F297" s="251" t="s">
        <v>6</v>
      </c>
      <c r="G297" s="251" t="s">
        <v>2303</v>
      </c>
      <c r="H297" s="252" t="s">
        <v>782</v>
      </c>
      <c r="I297" s="252" t="s">
        <v>4193</v>
      </c>
      <c r="J297" s="252" t="s">
        <v>4194</v>
      </c>
      <c r="K297" s="253" t="s">
        <v>4195</v>
      </c>
      <c r="L297" s="252" t="s">
        <v>39</v>
      </c>
      <c r="M297" s="251" t="s">
        <v>39</v>
      </c>
      <c r="N297" s="251" t="s">
        <v>913</v>
      </c>
      <c r="O297" s="251" t="s">
        <v>753</v>
      </c>
      <c r="P297" s="251"/>
      <c r="Q297" s="252" t="s">
        <v>2104</v>
      </c>
      <c r="R297" s="251" t="s">
        <v>1265</v>
      </c>
      <c r="S297" s="256">
        <v>46145.0</v>
      </c>
      <c r="T297" s="254" t="s">
        <v>4196</v>
      </c>
      <c r="U297" s="255"/>
      <c r="V297" s="262"/>
      <c r="W297" s="262"/>
      <c r="X297" s="262"/>
      <c r="Y297" s="262"/>
      <c r="Z297" s="262"/>
    </row>
    <row r="298" ht="15.75" customHeight="1">
      <c r="A298" s="251" t="s">
        <v>4197</v>
      </c>
      <c r="B298" s="256">
        <v>46175.0</v>
      </c>
      <c r="C298" s="251" t="s">
        <v>770</v>
      </c>
      <c r="D298" s="251" t="s">
        <v>907</v>
      </c>
      <c r="E298" s="251" t="s">
        <v>768</v>
      </c>
      <c r="F298" s="251" t="s">
        <v>6</v>
      </c>
      <c r="G298" s="251" t="s">
        <v>2303</v>
      </c>
      <c r="H298" s="252" t="s">
        <v>85</v>
      </c>
      <c r="I298" s="252" t="s">
        <v>4198</v>
      </c>
      <c r="J298" s="252" t="s">
        <v>4199</v>
      </c>
      <c r="K298" s="253" t="s">
        <v>4200</v>
      </c>
      <c r="L298" s="252" t="s">
        <v>39</v>
      </c>
      <c r="M298" s="251" t="s">
        <v>39</v>
      </c>
      <c r="N298" s="251" t="s">
        <v>913</v>
      </c>
      <c r="O298" s="251" t="s">
        <v>913</v>
      </c>
      <c r="P298" s="251"/>
      <c r="Q298" s="252"/>
      <c r="R298" s="251" t="s">
        <v>3</v>
      </c>
      <c r="S298" s="251" t="s">
        <v>1279</v>
      </c>
      <c r="T298" s="254" t="s">
        <v>4201</v>
      </c>
      <c r="U298" s="255"/>
      <c r="V298" s="262"/>
      <c r="W298" s="262"/>
      <c r="X298" s="262"/>
      <c r="Y298" s="262"/>
      <c r="Z298" s="262"/>
    </row>
    <row r="299" ht="15.75" customHeight="1">
      <c r="A299" s="251" t="s">
        <v>4202</v>
      </c>
      <c r="B299" s="256">
        <v>46175.0</v>
      </c>
      <c r="C299" s="251" t="s">
        <v>747</v>
      </c>
      <c r="D299" s="251" t="s">
        <v>907</v>
      </c>
      <c r="E299" s="251" t="s">
        <v>4203</v>
      </c>
      <c r="F299" s="251" t="s">
        <v>12</v>
      </c>
      <c r="G299" s="251" t="s">
        <v>2303</v>
      </c>
      <c r="H299" s="252" t="s">
        <v>782</v>
      </c>
      <c r="I299" s="252" t="s">
        <v>4204</v>
      </c>
      <c r="J299" s="252" t="s">
        <v>4205</v>
      </c>
      <c r="K299" s="253" t="s">
        <v>4206</v>
      </c>
      <c r="L299" s="252" t="s">
        <v>39</v>
      </c>
      <c r="M299" s="251" t="s">
        <v>39</v>
      </c>
      <c r="N299" s="251" t="s">
        <v>913</v>
      </c>
      <c r="O299" s="251" t="s">
        <v>913</v>
      </c>
      <c r="P299" s="251"/>
      <c r="Q299" s="252"/>
      <c r="R299" s="251" t="s">
        <v>3</v>
      </c>
      <c r="S299" s="251" t="s">
        <v>3175</v>
      </c>
      <c r="T299" s="254" t="s">
        <v>4207</v>
      </c>
      <c r="U299" s="308" t="s">
        <v>1029</v>
      </c>
      <c r="V299" s="262"/>
      <c r="W299" s="262"/>
      <c r="X299" s="262"/>
      <c r="Y299" s="262"/>
      <c r="Z299" s="262"/>
    </row>
    <row r="300" ht="15.75" customHeight="1">
      <c r="A300" s="7" t="s">
        <v>4208</v>
      </c>
      <c r="B300" s="7" t="s">
        <v>1034</v>
      </c>
      <c r="C300" s="7" t="s">
        <v>770</v>
      </c>
      <c r="D300" s="7" t="s">
        <v>907</v>
      </c>
      <c r="E300" s="7" t="s">
        <v>1575</v>
      </c>
      <c r="F300" s="7" t="s">
        <v>16</v>
      </c>
      <c r="G300" s="7" t="s">
        <v>2664</v>
      </c>
      <c r="H300" s="33" t="s">
        <v>782</v>
      </c>
      <c r="I300" s="33" t="s">
        <v>4209</v>
      </c>
      <c r="J300" s="33" t="s">
        <v>4210</v>
      </c>
      <c r="K300" s="58" t="s">
        <v>4211</v>
      </c>
      <c r="L300" s="33" t="s">
        <v>39</v>
      </c>
      <c r="M300" s="7" t="s">
        <v>39</v>
      </c>
      <c r="N300" s="7" t="s">
        <v>913</v>
      </c>
      <c r="O300" s="7"/>
      <c r="P300" s="7" t="s">
        <v>1029</v>
      </c>
      <c r="Q300" s="33"/>
      <c r="R300" s="7" t="s">
        <v>3</v>
      </c>
      <c r="S300" s="7" t="s">
        <v>1090</v>
      </c>
      <c r="T300" s="32" t="s">
        <v>4212</v>
      </c>
      <c r="U300" s="12" t="s">
        <v>869</v>
      </c>
    </row>
    <row r="301" ht="15.75" customHeight="1">
      <c r="A301" s="251" t="s">
        <v>4213</v>
      </c>
      <c r="B301" s="256">
        <v>46358.0</v>
      </c>
      <c r="C301" s="251" t="s">
        <v>770</v>
      </c>
      <c r="D301" s="251" t="s">
        <v>907</v>
      </c>
      <c r="E301" s="251" t="s">
        <v>768</v>
      </c>
      <c r="F301" s="251" t="s">
        <v>16</v>
      </c>
      <c r="G301" s="251" t="s">
        <v>2303</v>
      </c>
      <c r="H301" s="252" t="s">
        <v>4214</v>
      </c>
      <c r="I301" s="252" t="s">
        <v>4215</v>
      </c>
      <c r="J301" s="252" t="s">
        <v>4216</v>
      </c>
      <c r="K301" s="253" t="s">
        <v>4217</v>
      </c>
      <c r="L301" s="253" t="s">
        <v>4218</v>
      </c>
      <c r="M301" s="251" t="s">
        <v>39</v>
      </c>
      <c r="N301" s="251" t="s">
        <v>913</v>
      </c>
      <c r="O301" s="251"/>
      <c r="P301" s="251"/>
      <c r="Q301" s="252"/>
      <c r="R301" s="251" t="s">
        <v>3</v>
      </c>
      <c r="S301" s="251" t="s">
        <v>1027</v>
      </c>
      <c r="T301" s="254" t="s">
        <v>4219</v>
      </c>
      <c r="U301" s="308" t="s">
        <v>1029</v>
      </c>
      <c r="V301" s="262"/>
      <c r="W301" s="262"/>
      <c r="X301" s="262"/>
      <c r="Y301" s="262"/>
      <c r="Z301" s="262"/>
    </row>
    <row r="302" ht="15.75" customHeight="1">
      <c r="A302" s="7" t="s">
        <v>4220</v>
      </c>
      <c r="B302" s="130">
        <v>46358.0</v>
      </c>
      <c r="C302" s="7" t="s">
        <v>747</v>
      </c>
      <c r="D302" s="7" t="s">
        <v>907</v>
      </c>
      <c r="E302" s="7" t="s">
        <v>829</v>
      </c>
      <c r="F302" s="7" t="s">
        <v>6</v>
      </c>
      <c r="G302" s="7" t="s">
        <v>908</v>
      </c>
      <c r="H302" s="33" t="s">
        <v>4221</v>
      </c>
      <c r="I302" s="33" t="s">
        <v>4222</v>
      </c>
      <c r="J302" s="33" t="s">
        <v>4223</v>
      </c>
      <c r="K302" s="58" t="s">
        <v>4224</v>
      </c>
      <c r="L302" s="33" t="s">
        <v>39</v>
      </c>
      <c r="M302" s="7" t="s">
        <v>39</v>
      </c>
      <c r="N302" s="7" t="s">
        <v>913</v>
      </c>
      <c r="O302" s="7" t="s">
        <v>913</v>
      </c>
      <c r="P302" s="7"/>
      <c r="Q302" s="33" t="s">
        <v>2104</v>
      </c>
      <c r="R302" s="7" t="s">
        <v>3</v>
      </c>
      <c r="S302" s="7" t="s">
        <v>1027</v>
      </c>
      <c r="T302" s="32" t="s">
        <v>4225</v>
      </c>
      <c r="U302" s="12"/>
    </row>
    <row r="303" ht="15.75" customHeight="1">
      <c r="A303" s="7" t="s">
        <v>4226</v>
      </c>
      <c r="B303" s="130">
        <v>46358.0</v>
      </c>
      <c r="C303" s="7" t="s">
        <v>747</v>
      </c>
      <c r="D303" s="7" t="s">
        <v>907</v>
      </c>
      <c r="E303" s="7" t="s">
        <v>829</v>
      </c>
      <c r="F303" s="7" t="s">
        <v>6</v>
      </c>
      <c r="G303" s="7" t="s">
        <v>908</v>
      </c>
      <c r="H303" s="33" t="s">
        <v>4227</v>
      </c>
      <c r="I303" s="33" t="s">
        <v>4228</v>
      </c>
      <c r="J303" s="33" t="s">
        <v>4229</v>
      </c>
      <c r="K303" s="58" t="s">
        <v>4230</v>
      </c>
      <c r="L303" s="33" t="s">
        <v>39</v>
      </c>
      <c r="M303" s="7" t="s">
        <v>39</v>
      </c>
      <c r="N303" s="7" t="s">
        <v>913</v>
      </c>
      <c r="O303" s="7" t="s">
        <v>753</v>
      </c>
      <c r="P303" s="7"/>
      <c r="Q303" s="33"/>
      <c r="R303" s="7" t="s">
        <v>3</v>
      </c>
      <c r="S303" s="7" t="s">
        <v>2581</v>
      </c>
      <c r="T303" s="32" t="s">
        <v>4231</v>
      </c>
      <c r="U303" s="12"/>
    </row>
    <row r="304" ht="15.75" customHeight="1">
      <c r="A304" s="251" t="s">
        <v>4232</v>
      </c>
      <c r="B304" s="256">
        <v>46358.0</v>
      </c>
      <c r="C304" s="251" t="s">
        <v>747</v>
      </c>
      <c r="D304" s="251" t="s">
        <v>907</v>
      </c>
      <c r="E304" s="251" t="s">
        <v>829</v>
      </c>
      <c r="F304" s="251" t="s">
        <v>6</v>
      </c>
      <c r="G304" s="251" t="s">
        <v>2303</v>
      </c>
      <c r="H304" s="252" t="s">
        <v>4233</v>
      </c>
      <c r="I304" s="252" t="s">
        <v>4234</v>
      </c>
      <c r="J304" s="252" t="s">
        <v>4235</v>
      </c>
      <c r="K304" s="253" t="s">
        <v>4236</v>
      </c>
      <c r="L304" s="252" t="s">
        <v>39</v>
      </c>
      <c r="M304" s="251" t="s">
        <v>39</v>
      </c>
      <c r="N304" s="251" t="s">
        <v>913</v>
      </c>
      <c r="O304" s="251" t="s">
        <v>753</v>
      </c>
      <c r="P304" s="251"/>
      <c r="Q304" s="252"/>
      <c r="R304" s="251" t="s">
        <v>3</v>
      </c>
      <c r="S304" s="256">
        <v>46145.0</v>
      </c>
      <c r="T304" s="254" t="s">
        <v>4237</v>
      </c>
      <c r="U304" s="308"/>
      <c r="V304" s="262"/>
      <c r="W304" s="262"/>
      <c r="X304" s="262"/>
      <c r="Y304" s="262"/>
      <c r="Z304" s="262"/>
    </row>
    <row r="305" ht="15.75" customHeight="1">
      <c r="A305" s="7" t="s">
        <v>4238</v>
      </c>
      <c r="B305" s="130">
        <v>46358.0</v>
      </c>
      <c r="C305" s="7" t="s">
        <v>747</v>
      </c>
      <c r="D305" s="7" t="s">
        <v>907</v>
      </c>
      <c r="E305" s="7" t="s">
        <v>829</v>
      </c>
      <c r="F305" s="7" t="s">
        <v>6</v>
      </c>
      <c r="G305" s="7" t="s">
        <v>908</v>
      </c>
      <c r="H305" s="33" t="s">
        <v>4239</v>
      </c>
      <c r="I305" s="33" t="s">
        <v>4240</v>
      </c>
      <c r="J305" s="33" t="s">
        <v>4241</v>
      </c>
      <c r="K305" s="58" t="s">
        <v>4242</v>
      </c>
      <c r="L305" s="33" t="s">
        <v>39</v>
      </c>
      <c r="M305" s="7" t="s">
        <v>39</v>
      </c>
      <c r="N305" s="7" t="s">
        <v>913</v>
      </c>
      <c r="O305" s="7" t="s">
        <v>753</v>
      </c>
      <c r="P305" s="7"/>
      <c r="Q305" s="33"/>
      <c r="R305" s="7" t="s">
        <v>4</v>
      </c>
      <c r="S305" s="7" t="s">
        <v>1027</v>
      </c>
      <c r="T305" s="32" t="s">
        <v>4243</v>
      </c>
      <c r="U305" s="12"/>
    </row>
    <row r="306" ht="15.75" customHeight="1">
      <c r="A306" s="7" t="s">
        <v>4244</v>
      </c>
      <c r="B306" s="130">
        <v>46358.0</v>
      </c>
      <c r="C306" s="7" t="s">
        <v>747</v>
      </c>
      <c r="D306" s="7" t="s">
        <v>907</v>
      </c>
      <c r="E306" s="7" t="s">
        <v>829</v>
      </c>
      <c r="F306" s="7" t="s">
        <v>6</v>
      </c>
      <c r="G306" s="7" t="s">
        <v>908</v>
      </c>
      <c r="H306" s="33" t="s">
        <v>183</v>
      </c>
      <c r="I306" s="33" t="s">
        <v>4245</v>
      </c>
      <c r="J306" s="33" t="s">
        <v>4246</v>
      </c>
      <c r="K306" s="58" t="s">
        <v>4247</v>
      </c>
      <c r="L306" s="33" t="s">
        <v>39</v>
      </c>
      <c r="M306" s="7" t="s">
        <v>39</v>
      </c>
      <c r="N306" s="7" t="s">
        <v>913</v>
      </c>
      <c r="O306" s="7" t="s">
        <v>753</v>
      </c>
      <c r="P306" s="7"/>
      <c r="Q306" s="33"/>
      <c r="R306" s="7" t="s">
        <v>4</v>
      </c>
      <c r="S306" s="7" t="s">
        <v>1027</v>
      </c>
      <c r="T306" s="32" t="s">
        <v>4243</v>
      </c>
      <c r="U306" s="12"/>
    </row>
    <row r="307" ht="15.75" customHeight="1">
      <c r="A307" s="7" t="s">
        <v>4248</v>
      </c>
      <c r="B307" s="130">
        <v>46358.0</v>
      </c>
      <c r="C307" s="7" t="s">
        <v>755</v>
      </c>
      <c r="D307" s="7" t="s">
        <v>907</v>
      </c>
      <c r="E307" s="7" t="s">
        <v>829</v>
      </c>
      <c r="F307" s="7" t="s">
        <v>6</v>
      </c>
      <c r="G307" s="7" t="s">
        <v>4249</v>
      </c>
      <c r="H307" s="33" t="s">
        <v>4250</v>
      </c>
      <c r="I307" s="33" t="s">
        <v>4251</v>
      </c>
      <c r="J307" s="33" t="s">
        <v>4252</v>
      </c>
      <c r="K307" s="58" t="s">
        <v>4253</v>
      </c>
      <c r="L307" s="58" t="s">
        <v>4254</v>
      </c>
      <c r="M307" s="7" t="s">
        <v>39</v>
      </c>
      <c r="N307" s="7" t="s">
        <v>913</v>
      </c>
      <c r="O307" s="7" t="s">
        <v>753</v>
      </c>
      <c r="P307" s="7"/>
      <c r="Q307" s="33" t="s">
        <v>2104</v>
      </c>
      <c r="R307" s="7" t="s">
        <v>1265</v>
      </c>
      <c r="S307" s="130">
        <v>46145.0</v>
      </c>
      <c r="T307" s="32" t="s">
        <v>4255</v>
      </c>
      <c r="U307" s="12"/>
    </row>
    <row r="308" ht="15.75" customHeight="1">
      <c r="A308" s="7" t="s">
        <v>4256</v>
      </c>
      <c r="B308" s="7" t="s">
        <v>1272</v>
      </c>
      <c r="C308" s="7" t="s">
        <v>770</v>
      </c>
      <c r="D308" s="7" t="s">
        <v>907</v>
      </c>
      <c r="E308" s="7" t="s">
        <v>829</v>
      </c>
      <c r="F308" s="7" t="s">
        <v>6</v>
      </c>
      <c r="G308" s="7" t="s">
        <v>908</v>
      </c>
      <c r="H308" s="33" t="s">
        <v>782</v>
      </c>
      <c r="I308" s="33" t="s">
        <v>4257</v>
      </c>
      <c r="J308" s="33" t="s">
        <v>4258</v>
      </c>
      <c r="K308" s="58" t="s">
        <v>4259</v>
      </c>
      <c r="L308" s="33" t="s">
        <v>39</v>
      </c>
      <c r="M308" s="7" t="s">
        <v>39</v>
      </c>
      <c r="N308" s="7" t="s">
        <v>750</v>
      </c>
      <c r="O308" s="7" t="s">
        <v>913</v>
      </c>
      <c r="P308" s="7" t="s">
        <v>1029</v>
      </c>
      <c r="Q308" s="33" t="s">
        <v>4260</v>
      </c>
      <c r="R308" s="7" t="s">
        <v>3</v>
      </c>
      <c r="S308" s="130">
        <v>46145.0</v>
      </c>
      <c r="T308" s="32" t="s">
        <v>4261</v>
      </c>
      <c r="U308" s="12"/>
    </row>
    <row r="309" ht="15.75" customHeight="1">
      <c r="A309" s="7" t="s">
        <v>4262</v>
      </c>
      <c r="B309" s="7" t="s">
        <v>1272</v>
      </c>
      <c r="C309" s="7" t="s">
        <v>747</v>
      </c>
      <c r="D309" s="7" t="s">
        <v>907</v>
      </c>
      <c r="E309" s="7" t="s">
        <v>829</v>
      </c>
      <c r="F309" s="7" t="s">
        <v>6</v>
      </c>
      <c r="G309" s="7" t="s">
        <v>908</v>
      </c>
      <c r="H309" s="33" t="s">
        <v>782</v>
      </c>
      <c r="I309" s="33" t="s">
        <v>4257</v>
      </c>
      <c r="J309" s="33" t="s">
        <v>4263</v>
      </c>
      <c r="K309" s="58" t="s">
        <v>4264</v>
      </c>
      <c r="L309" s="33" t="s">
        <v>39</v>
      </c>
      <c r="M309" s="7" t="s">
        <v>39</v>
      </c>
      <c r="N309" s="7" t="s">
        <v>750</v>
      </c>
      <c r="O309" s="7" t="s">
        <v>913</v>
      </c>
      <c r="P309" s="7"/>
      <c r="Q309" s="33" t="s">
        <v>2104</v>
      </c>
      <c r="R309" s="7" t="s">
        <v>3</v>
      </c>
      <c r="S309" s="130">
        <v>46145.0</v>
      </c>
      <c r="T309" s="32" t="s">
        <v>4265</v>
      </c>
      <c r="U309" s="12"/>
    </row>
    <row r="310" ht="15.75" customHeight="1">
      <c r="A310" s="251" t="s">
        <v>4266</v>
      </c>
      <c r="B310" s="251" t="s">
        <v>1062</v>
      </c>
      <c r="C310" s="251" t="s">
        <v>755</v>
      </c>
      <c r="D310" s="251" t="s">
        <v>907</v>
      </c>
      <c r="E310" s="251" t="s">
        <v>829</v>
      </c>
      <c r="F310" s="251" t="s">
        <v>16</v>
      </c>
      <c r="G310" s="251" t="s">
        <v>2303</v>
      </c>
      <c r="H310" s="252" t="s">
        <v>4267</v>
      </c>
      <c r="I310" s="252" t="s">
        <v>4268</v>
      </c>
      <c r="J310" s="252" t="s">
        <v>4269</v>
      </c>
      <c r="K310" s="253" t="s">
        <v>4270</v>
      </c>
      <c r="L310" s="252" t="s">
        <v>39</v>
      </c>
      <c r="M310" s="251" t="s">
        <v>39</v>
      </c>
      <c r="N310" s="251" t="s">
        <v>913</v>
      </c>
      <c r="O310" s="251" t="s">
        <v>974</v>
      </c>
      <c r="P310" s="251"/>
      <c r="Q310" s="252"/>
      <c r="R310" s="251" t="s">
        <v>4</v>
      </c>
      <c r="S310" s="251" t="s">
        <v>1279</v>
      </c>
      <c r="T310" s="254" t="s">
        <v>4271</v>
      </c>
      <c r="U310" s="308"/>
    </row>
    <row r="311" ht="15.75" customHeight="1">
      <c r="A311" s="7" t="s">
        <v>4272</v>
      </c>
      <c r="B311" s="7" t="s">
        <v>3175</v>
      </c>
      <c r="C311" s="7" t="s">
        <v>747</v>
      </c>
      <c r="D311" s="7" t="s">
        <v>907</v>
      </c>
      <c r="E311" s="7" t="s">
        <v>829</v>
      </c>
      <c r="F311" s="7" t="s">
        <v>6</v>
      </c>
      <c r="G311" s="7" t="s">
        <v>908</v>
      </c>
      <c r="H311" s="74" t="s">
        <v>50</v>
      </c>
      <c r="I311" s="33" t="s">
        <v>4273</v>
      </c>
      <c r="J311" s="33" t="s">
        <v>4274</v>
      </c>
      <c r="K311" s="58" t="s">
        <v>4275</v>
      </c>
      <c r="L311" s="33" t="s">
        <v>39</v>
      </c>
      <c r="M311" s="7" t="s">
        <v>39</v>
      </c>
      <c r="N311" s="7" t="s">
        <v>913</v>
      </c>
      <c r="O311" s="7" t="s">
        <v>913</v>
      </c>
      <c r="P311" s="7"/>
      <c r="Q311" s="33"/>
      <c r="R311" s="7" t="s">
        <v>3</v>
      </c>
      <c r="S311" s="130">
        <v>46145.0</v>
      </c>
      <c r="T311" s="32" t="s">
        <v>2356</v>
      </c>
      <c r="U311" s="12"/>
    </row>
    <row r="312" ht="15.75" customHeight="1">
      <c r="A312" s="7" t="s">
        <v>4276</v>
      </c>
      <c r="B312" s="7" t="s">
        <v>3175</v>
      </c>
      <c r="C312" s="7" t="s">
        <v>755</v>
      </c>
      <c r="D312" s="7" t="s">
        <v>907</v>
      </c>
      <c r="E312" s="7" t="s">
        <v>829</v>
      </c>
      <c r="F312" s="7" t="s">
        <v>6</v>
      </c>
      <c r="G312" s="7" t="s">
        <v>908</v>
      </c>
      <c r="H312" s="33" t="s">
        <v>50</v>
      </c>
      <c r="I312" s="33" t="s">
        <v>4277</v>
      </c>
      <c r="J312" s="33" t="s">
        <v>4278</v>
      </c>
      <c r="K312" s="58" t="s">
        <v>4279</v>
      </c>
      <c r="L312" s="33" t="s">
        <v>39</v>
      </c>
      <c r="M312" s="7" t="s">
        <v>39</v>
      </c>
      <c r="N312" s="7" t="s">
        <v>913</v>
      </c>
      <c r="O312" s="7" t="s">
        <v>913</v>
      </c>
      <c r="P312" s="7"/>
      <c r="Q312" s="33"/>
      <c r="R312" s="7" t="s">
        <v>3</v>
      </c>
      <c r="S312" s="130">
        <v>46145.0</v>
      </c>
      <c r="T312" s="32" t="s">
        <v>2356</v>
      </c>
      <c r="U312" s="12"/>
    </row>
    <row r="313" ht="15.75" customHeight="1">
      <c r="A313" s="7" t="s">
        <v>4280</v>
      </c>
      <c r="B313" s="7" t="s">
        <v>3175</v>
      </c>
      <c r="C313" s="7" t="s">
        <v>747</v>
      </c>
      <c r="D313" s="7" t="s">
        <v>907</v>
      </c>
      <c r="E313" s="7" t="s">
        <v>829</v>
      </c>
      <c r="F313" s="7" t="s">
        <v>6</v>
      </c>
      <c r="G313" s="7" t="s">
        <v>908</v>
      </c>
      <c r="H313" s="33" t="s">
        <v>50</v>
      </c>
      <c r="I313" s="33" t="s">
        <v>4281</v>
      </c>
      <c r="J313" s="33" t="s">
        <v>4282</v>
      </c>
      <c r="K313" s="58" t="s">
        <v>4283</v>
      </c>
      <c r="L313" s="33" t="s">
        <v>39</v>
      </c>
      <c r="M313" s="7" t="s">
        <v>39</v>
      </c>
      <c r="N313" s="7" t="s">
        <v>913</v>
      </c>
      <c r="O313" s="7" t="s">
        <v>913</v>
      </c>
      <c r="P313" s="7"/>
      <c r="Q313" s="33"/>
      <c r="R313" s="7" t="s">
        <v>3</v>
      </c>
      <c r="S313" s="130">
        <v>46145.0</v>
      </c>
      <c r="T313" s="32" t="s">
        <v>2356</v>
      </c>
      <c r="U313" s="12"/>
    </row>
    <row r="314" ht="15.75" customHeight="1">
      <c r="A314" s="7" t="s">
        <v>4284</v>
      </c>
      <c r="B314" s="7" t="s">
        <v>3175</v>
      </c>
      <c r="C314" s="7" t="s">
        <v>755</v>
      </c>
      <c r="D314" s="7" t="s">
        <v>907</v>
      </c>
      <c r="E314" s="7" t="s">
        <v>829</v>
      </c>
      <c r="F314" s="7" t="s">
        <v>6</v>
      </c>
      <c r="G314" s="7" t="s">
        <v>908</v>
      </c>
      <c r="H314" s="33" t="s">
        <v>50</v>
      </c>
      <c r="I314" s="33" t="s">
        <v>4285</v>
      </c>
      <c r="J314" s="33" t="s">
        <v>4286</v>
      </c>
      <c r="K314" s="58" t="s">
        <v>4287</v>
      </c>
      <c r="L314" s="33" t="s">
        <v>39</v>
      </c>
      <c r="M314" s="7" t="s">
        <v>39</v>
      </c>
      <c r="N314" s="7" t="s">
        <v>913</v>
      </c>
      <c r="O314" s="7" t="s">
        <v>913</v>
      </c>
      <c r="P314" s="7"/>
      <c r="Q314" s="33"/>
      <c r="R314" s="7" t="s">
        <v>3</v>
      </c>
      <c r="S314" s="130">
        <v>46145.0</v>
      </c>
      <c r="T314" s="32" t="s">
        <v>4288</v>
      </c>
      <c r="U314" s="12"/>
    </row>
    <row r="315" ht="15.75" customHeight="1">
      <c r="A315" s="7" t="s">
        <v>4289</v>
      </c>
      <c r="B315" s="7" t="s">
        <v>3175</v>
      </c>
      <c r="C315" s="7" t="s">
        <v>747</v>
      </c>
      <c r="D315" s="7" t="s">
        <v>907</v>
      </c>
      <c r="E315" s="7" t="s">
        <v>1004</v>
      </c>
      <c r="F315" s="7" t="s">
        <v>6</v>
      </c>
      <c r="G315" s="7" t="s">
        <v>4290</v>
      </c>
      <c r="H315" s="33" t="s">
        <v>50</v>
      </c>
      <c r="I315" s="33" t="s">
        <v>4291</v>
      </c>
      <c r="J315" s="33" t="s">
        <v>4292</v>
      </c>
      <c r="K315" s="58" t="s">
        <v>4293</v>
      </c>
      <c r="L315" s="33" t="s">
        <v>39</v>
      </c>
      <c r="M315" s="7" t="s">
        <v>39</v>
      </c>
      <c r="N315" s="7" t="s">
        <v>913</v>
      </c>
      <c r="O315" s="7" t="s">
        <v>753</v>
      </c>
      <c r="P315" s="7"/>
      <c r="Q315" s="33" t="s">
        <v>1564</v>
      </c>
      <c r="R315" s="7" t="s">
        <v>3</v>
      </c>
      <c r="S315" s="130">
        <v>46359.0</v>
      </c>
      <c r="T315" s="32" t="s">
        <v>4294</v>
      </c>
      <c r="U315" s="12"/>
    </row>
    <row r="316" ht="15.75" customHeight="1">
      <c r="A316" s="7" t="s">
        <v>4295</v>
      </c>
      <c r="B316" s="7" t="s">
        <v>3175</v>
      </c>
      <c r="C316" s="7" t="s">
        <v>747</v>
      </c>
      <c r="D316" s="7" t="s">
        <v>907</v>
      </c>
      <c r="E316" s="7" t="s">
        <v>829</v>
      </c>
      <c r="F316" s="7" t="s">
        <v>6</v>
      </c>
      <c r="G316" s="7" t="s">
        <v>1014</v>
      </c>
      <c r="H316" s="33" t="s">
        <v>50</v>
      </c>
      <c r="I316" s="33" t="s">
        <v>4296</v>
      </c>
      <c r="J316" s="33" t="s">
        <v>4297</v>
      </c>
      <c r="K316" s="58" t="s">
        <v>4298</v>
      </c>
      <c r="L316" s="33" t="s">
        <v>39</v>
      </c>
      <c r="M316" s="7" t="s">
        <v>39</v>
      </c>
      <c r="N316" s="7" t="s">
        <v>913</v>
      </c>
      <c r="O316" s="7" t="s">
        <v>753</v>
      </c>
      <c r="P316" s="7"/>
      <c r="Q316" s="33"/>
      <c r="R316" s="7" t="s">
        <v>1265</v>
      </c>
      <c r="S316" s="130">
        <v>46145.0</v>
      </c>
      <c r="T316" s="32" t="s">
        <v>4299</v>
      </c>
      <c r="U316" s="12"/>
    </row>
    <row r="317" ht="15.75" customHeight="1">
      <c r="A317" s="251" t="s">
        <v>4300</v>
      </c>
      <c r="B317" s="251" t="s">
        <v>3175</v>
      </c>
      <c r="C317" s="251" t="s">
        <v>747</v>
      </c>
      <c r="D317" s="251" t="s">
        <v>907</v>
      </c>
      <c r="E317" s="251" t="s">
        <v>829</v>
      </c>
      <c r="F317" s="251" t="s">
        <v>6</v>
      </c>
      <c r="G317" s="251" t="s">
        <v>2303</v>
      </c>
      <c r="H317" s="252" t="s">
        <v>4301</v>
      </c>
      <c r="I317" s="252" t="s">
        <v>2989</v>
      </c>
      <c r="J317" s="252" t="s">
        <v>4302</v>
      </c>
      <c r="K317" s="253" t="s">
        <v>4303</v>
      </c>
      <c r="L317" s="252" t="s">
        <v>39</v>
      </c>
      <c r="M317" s="251" t="s">
        <v>39</v>
      </c>
      <c r="N317" s="251" t="s">
        <v>913</v>
      </c>
      <c r="O317" s="251" t="s">
        <v>913</v>
      </c>
      <c r="P317" s="251"/>
      <c r="Q317" s="252"/>
      <c r="R317" s="251" t="s">
        <v>3</v>
      </c>
      <c r="S317" s="256">
        <v>46145.0</v>
      </c>
      <c r="T317" s="254" t="s">
        <v>4304</v>
      </c>
      <c r="U317" s="308"/>
      <c r="V317" s="262"/>
      <c r="W317" s="262"/>
      <c r="X317" s="262"/>
      <c r="Y317" s="262"/>
      <c r="Z317" s="262"/>
    </row>
    <row r="318" ht="15.75" customHeight="1">
      <c r="A318" s="251" t="s">
        <v>4305</v>
      </c>
      <c r="B318" s="251" t="s">
        <v>3175</v>
      </c>
      <c r="C318" s="251" t="s">
        <v>747</v>
      </c>
      <c r="D318" s="251" t="s">
        <v>907</v>
      </c>
      <c r="E318" s="251" t="s">
        <v>829</v>
      </c>
      <c r="F318" s="251" t="s">
        <v>6</v>
      </c>
      <c r="G318" s="251" t="s">
        <v>2303</v>
      </c>
      <c r="H318" s="252" t="s">
        <v>70</v>
      </c>
      <c r="I318" s="252" t="s">
        <v>4306</v>
      </c>
      <c r="J318" s="252" t="s">
        <v>4307</v>
      </c>
      <c r="K318" s="253" t="s">
        <v>4308</v>
      </c>
      <c r="L318" s="252" t="s">
        <v>39</v>
      </c>
      <c r="M318" s="251" t="s">
        <v>39</v>
      </c>
      <c r="N318" s="251" t="s">
        <v>913</v>
      </c>
      <c r="O318" s="251" t="s">
        <v>913</v>
      </c>
      <c r="P318" s="251"/>
      <c r="Q318" s="252"/>
      <c r="R318" s="251" t="s">
        <v>3</v>
      </c>
      <c r="S318" s="256">
        <v>46145.0</v>
      </c>
      <c r="T318" s="254" t="s">
        <v>4309</v>
      </c>
      <c r="U318" s="308"/>
      <c r="V318" s="262"/>
      <c r="W318" s="262"/>
      <c r="X318" s="262"/>
      <c r="Y318" s="262"/>
      <c r="Z318" s="262"/>
    </row>
    <row r="319" ht="15.75" customHeight="1">
      <c r="A319" s="251" t="s">
        <v>4310</v>
      </c>
      <c r="B319" s="251" t="s">
        <v>3175</v>
      </c>
      <c r="C319" s="251" t="s">
        <v>747</v>
      </c>
      <c r="D319" s="251" t="s">
        <v>907</v>
      </c>
      <c r="E319" s="251" t="s">
        <v>1004</v>
      </c>
      <c r="F319" s="251" t="s">
        <v>6</v>
      </c>
      <c r="G319" s="251" t="s">
        <v>2303</v>
      </c>
      <c r="H319" s="252" t="s">
        <v>70</v>
      </c>
      <c r="I319" s="252" t="s">
        <v>4311</v>
      </c>
      <c r="J319" s="252" t="s">
        <v>4307</v>
      </c>
      <c r="K319" s="253" t="s">
        <v>4312</v>
      </c>
      <c r="L319" s="252" t="s">
        <v>39</v>
      </c>
      <c r="M319" s="251" t="s">
        <v>39</v>
      </c>
      <c r="N319" s="251" t="s">
        <v>913</v>
      </c>
      <c r="O319" s="251" t="s">
        <v>753</v>
      </c>
      <c r="P319" s="251"/>
      <c r="Q319" s="252"/>
      <c r="R319" s="251" t="s">
        <v>3</v>
      </c>
      <c r="S319" s="256">
        <v>46145.0</v>
      </c>
      <c r="T319" s="254" t="s">
        <v>4313</v>
      </c>
      <c r="U319" s="308"/>
      <c r="V319" s="262"/>
      <c r="W319" s="262"/>
      <c r="X319" s="262"/>
      <c r="Y319" s="262"/>
      <c r="Z319" s="262"/>
    </row>
    <row r="320" ht="15.75" customHeight="1">
      <c r="A320" s="251" t="s">
        <v>4314</v>
      </c>
      <c r="B320" s="251" t="s">
        <v>3175</v>
      </c>
      <c r="C320" s="251" t="s">
        <v>747</v>
      </c>
      <c r="D320" s="251" t="s">
        <v>907</v>
      </c>
      <c r="E320" s="251" t="s">
        <v>829</v>
      </c>
      <c r="F320" s="251" t="s">
        <v>6</v>
      </c>
      <c r="G320" s="251" t="s">
        <v>2303</v>
      </c>
      <c r="H320" s="252" t="s">
        <v>70</v>
      </c>
      <c r="I320" s="252" t="s">
        <v>2989</v>
      </c>
      <c r="J320" s="252" t="s">
        <v>4315</v>
      </c>
      <c r="K320" s="253" t="s">
        <v>4316</v>
      </c>
      <c r="L320" s="252" t="s">
        <v>39</v>
      </c>
      <c r="M320" s="251" t="s">
        <v>39</v>
      </c>
      <c r="N320" s="251" t="s">
        <v>913</v>
      </c>
      <c r="O320" s="251" t="s">
        <v>1749</v>
      </c>
      <c r="P320" s="251"/>
      <c r="Q320" s="252"/>
      <c r="R320" s="251" t="s">
        <v>4</v>
      </c>
      <c r="S320" s="251"/>
      <c r="T320" s="254"/>
      <c r="U320" s="308"/>
      <c r="V320" s="262"/>
      <c r="W320" s="262"/>
      <c r="X320" s="262"/>
      <c r="Y320" s="262"/>
      <c r="Z320" s="262"/>
    </row>
    <row r="321" ht="15.75" customHeight="1">
      <c r="A321" s="251" t="s">
        <v>4317</v>
      </c>
      <c r="B321" s="251" t="s">
        <v>3175</v>
      </c>
      <c r="C321" s="251" t="s">
        <v>747</v>
      </c>
      <c r="D321" s="251" t="s">
        <v>907</v>
      </c>
      <c r="E321" s="251" t="s">
        <v>829</v>
      </c>
      <c r="F321" s="251" t="s">
        <v>6</v>
      </c>
      <c r="G321" s="251" t="s">
        <v>2303</v>
      </c>
      <c r="H321" s="252" t="s">
        <v>180</v>
      </c>
      <c r="I321" s="252" t="s">
        <v>4318</v>
      </c>
      <c r="J321" s="252" t="s">
        <v>4319</v>
      </c>
      <c r="K321" s="253" t="s">
        <v>4320</v>
      </c>
      <c r="L321" s="252" t="s">
        <v>39</v>
      </c>
      <c r="M321" s="251" t="s">
        <v>39</v>
      </c>
      <c r="N321" s="251" t="s">
        <v>913</v>
      </c>
      <c r="O321" s="251" t="s">
        <v>753</v>
      </c>
      <c r="P321" s="251"/>
      <c r="Q321" s="252"/>
      <c r="R321" s="251" t="s">
        <v>3</v>
      </c>
      <c r="S321" s="256">
        <v>46268.0</v>
      </c>
      <c r="T321" s="254" t="s">
        <v>4321</v>
      </c>
      <c r="U321" s="308"/>
      <c r="V321" s="262"/>
      <c r="W321" s="262"/>
      <c r="X321" s="262"/>
      <c r="Y321" s="262"/>
      <c r="Z321" s="262"/>
    </row>
    <row r="322" ht="15.75" customHeight="1">
      <c r="A322" s="251" t="s">
        <v>4322</v>
      </c>
      <c r="B322" s="251" t="s">
        <v>3175</v>
      </c>
      <c r="C322" s="251" t="s">
        <v>747</v>
      </c>
      <c r="D322" s="251" t="s">
        <v>907</v>
      </c>
      <c r="E322" s="251" t="s">
        <v>768</v>
      </c>
      <c r="F322" s="251" t="s">
        <v>16</v>
      </c>
      <c r="G322" s="251" t="s">
        <v>2303</v>
      </c>
      <c r="H322" s="252" t="s">
        <v>782</v>
      </c>
      <c r="I322" s="252" t="s">
        <v>4323</v>
      </c>
      <c r="J322" s="252" t="s">
        <v>4324</v>
      </c>
      <c r="K322" s="253" t="s">
        <v>4325</v>
      </c>
      <c r="L322" s="252" t="s">
        <v>39</v>
      </c>
      <c r="M322" s="251" t="s">
        <v>39</v>
      </c>
      <c r="N322" s="251" t="s">
        <v>913</v>
      </c>
      <c r="O322" s="251" t="s">
        <v>974</v>
      </c>
      <c r="P322" s="251"/>
      <c r="Q322" s="252"/>
      <c r="R322" s="251" t="s">
        <v>4</v>
      </c>
      <c r="S322" s="251"/>
      <c r="T322" s="254"/>
      <c r="U322" s="308"/>
      <c r="V322" s="262"/>
      <c r="W322" s="262"/>
      <c r="X322" s="262"/>
      <c r="Y322" s="262"/>
      <c r="Z322" s="262"/>
    </row>
    <row r="323" ht="15.75" customHeight="1">
      <c r="A323" s="251" t="s">
        <v>4326</v>
      </c>
      <c r="B323" s="251" t="s">
        <v>3175</v>
      </c>
      <c r="C323" s="251" t="s">
        <v>747</v>
      </c>
      <c r="D323" s="251" t="s">
        <v>907</v>
      </c>
      <c r="E323" s="251" t="s">
        <v>4327</v>
      </c>
      <c r="F323" s="251" t="s">
        <v>16</v>
      </c>
      <c r="G323" s="251" t="s">
        <v>2303</v>
      </c>
      <c r="H323" s="252" t="s">
        <v>782</v>
      </c>
      <c r="I323" s="252" t="s">
        <v>4328</v>
      </c>
      <c r="J323" s="252" t="s">
        <v>4329</v>
      </c>
      <c r="K323" s="253" t="s">
        <v>4330</v>
      </c>
      <c r="L323" s="252" t="s">
        <v>39</v>
      </c>
      <c r="M323" s="251" t="s">
        <v>39</v>
      </c>
      <c r="N323" s="251" t="s">
        <v>913</v>
      </c>
      <c r="O323" s="251" t="s">
        <v>974</v>
      </c>
      <c r="P323" s="251"/>
      <c r="Q323" s="252"/>
      <c r="R323" s="251" t="s">
        <v>4</v>
      </c>
      <c r="S323" s="251"/>
      <c r="T323" s="254"/>
      <c r="U323" s="308"/>
      <c r="V323" s="262"/>
      <c r="W323" s="262"/>
      <c r="X323" s="262"/>
      <c r="Y323" s="262"/>
      <c r="Z323" s="262"/>
    </row>
    <row r="324" ht="15.75" customHeight="1">
      <c r="A324" s="251" t="s">
        <v>4331</v>
      </c>
      <c r="B324" s="256">
        <v>46056.0</v>
      </c>
      <c r="C324" s="251" t="s">
        <v>747</v>
      </c>
      <c r="D324" s="251" t="s">
        <v>907</v>
      </c>
      <c r="E324" s="251" t="s">
        <v>829</v>
      </c>
      <c r="F324" s="251" t="s">
        <v>6</v>
      </c>
      <c r="G324" s="251" t="s">
        <v>2303</v>
      </c>
      <c r="H324" s="252" t="s">
        <v>120</v>
      </c>
      <c r="I324" s="252" t="s">
        <v>4332</v>
      </c>
      <c r="J324" s="252" t="s">
        <v>4333</v>
      </c>
      <c r="K324" s="253" t="s">
        <v>4334</v>
      </c>
      <c r="L324" s="252" t="s">
        <v>39</v>
      </c>
      <c r="M324" s="251" t="s">
        <v>39</v>
      </c>
      <c r="N324" s="251" t="s">
        <v>913</v>
      </c>
      <c r="O324" s="251" t="s">
        <v>753</v>
      </c>
      <c r="P324" s="251"/>
      <c r="Q324" s="252"/>
      <c r="R324" s="251" t="s">
        <v>4</v>
      </c>
      <c r="S324" s="251"/>
      <c r="T324" s="254"/>
      <c r="U324" s="308"/>
    </row>
    <row r="325" ht="15.75" customHeight="1">
      <c r="A325" s="251" t="s">
        <v>4335</v>
      </c>
      <c r="B325" s="256">
        <v>46176.0</v>
      </c>
      <c r="C325" s="251" t="s">
        <v>747</v>
      </c>
      <c r="D325" s="251" t="s">
        <v>907</v>
      </c>
      <c r="E325" s="251" t="s">
        <v>829</v>
      </c>
      <c r="F325" s="251" t="s">
        <v>6</v>
      </c>
      <c r="G325" s="251" t="s">
        <v>2303</v>
      </c>
      <c r="H325" s="252" t="s">
        <v>216</v>
      </c>
      <c r="I325" s="252" t="s">
        <v>4336</v>
      </c>
      <c r="J325" s="252" t="s">
        <v>4337</v>
      </c>
      <c r="K325" s="253" t="s">
        <v>4338</v>
      </c>
      <c r="L325" s="252" t="s">
        <v>39</v>
      </c>
      <c r="M325" s="251" t="s">
        <v>39</v>
      </c>
      <c r="N325" s="251" t="s">
        <v>913</v>
      </c>
      <c r="O325" s="251" t="s">
        <v>753</v>
      </c>
      <c r="P325" s="251"/>
      <c r="Q325" s="252"/>
      <c r="R325" s="251" t="s">
        <v>4</v>
      </c>
      <c r="S325" s="251"/>
      <c r="T325" s="254"/>
      <c r="U325" s="308"/>
      <c r="V325" s="262"/>
      <c r="W325" s="262"/>
      <c r="X325" s="262"/>
      <c r="Y325" s="262"/>
      <c r="Z325" s="262"/>
    </row>
    <row r="326" ht="15.75" customHeight="1">
      <c r="A326" s="251" t="s">
        <v>4339</v>
      </c>
      <c r="B326" s="256">
        <v>46176.0</v>
      </c>
      <c r="C326" s="251" t="s">
        <v>747</v>
      </c>
      <c r="D326" s="251" t="s">
        <v>907</v>
      </c>
      <c r="E326" s="251" t="s">
        <v>829</v>
      </c>
      <c r="F326" s="251" t="s">
        <v>6</v>
      </c>
      <c r="G326" s="251" t="s">
        <v>2303</v>
      </c>
      <c r="H326" s="252" t="s">
        <v>214</v>
      </c>
      <c r="I326" s="252" t="s">
        <v>4340</v>
      </c>
      <c r="J326" s="252" t="s">
        <v>4341</v>
      </c>
      <c r="K326" s="253" t="s">
        <v>4342</v>
      </c>
      <c r="L326" s="252" t="s">
        <v>39</v>
      </c>
      <c r="M326" s="251" t="s">
        <v>39</v>
      </c>
      <c r="N326" s="251" t="s">
        <v>913</v>
      </c>
      <c r="O326" s="251" t="s">
        <v>753</v>
      </c>
      <c r="P326" s="251"/>
      <c r="Q326" s="252"/>
      <c r="R326" s="251" t="s">
        <v>4</v>
      </c>
      <c r="S326" s="251"/>
      <c r="T326" s="254"/>
      <c r="U326" s="308"/>
      <c r="V326" s="262"/>
      <c r="W326" s="262"/>
      <c r="X326" s="262"/>
      <c r="Y326" s="262"/>
      <c r="Z326" s="262"/>
    </row>
    <row r="327" ht="15.75" customHeight="1">
      <c r="A327" s="251" t="s">
        <v>4343</v>
      </c>
      <c r="B327" s="256">
        <v>46176.0</v>
      </c>
      <c r="C327" s="251" t="s">
        <v>747</v>
      </c>
      <c r="D327" s="251" t="s">
        <v>907</v>
      </c>
      <c r="E327" s="251" t="s">
        <v>829</v>
      </c>
      <c r="F327" s="251" t="s">
        <v>6</v>
      </c>
      <c r="G327" s="251" t="s">
        <v>2303</v>
      </c>
      <c r="H327" s="252" t="s">
        <v>214</v>
      </c>
      <c r="I327" s="252" t="s">
        <v>4344</v>
      </c>
      <c r="J327" s="252" t="s">
        <v>4345</v>
      </c>
      <c r="K327" s="253" t="s">
        <v>4346</v>
      </c>
      <c r="L327" s="252" t="s">
        <v>39</v>
      </c>
      <c r="M327" s="251" t="s">
        <v>39</v>
      </c>
      <c r="N327" s="251" t="s">
        <v>913</v>
      </c>
      <c r="O327" s="251" t="s">
        <v>753</v>
      </c>
      <c r="P327" s="251"/>
      <c r="Q327" s="252"/>
      <c r="R327" s="251" t="s">
        <v>4</v>
      </c>
      <c r="S327" s="251"/>
      <c r="T327" s="254"/>
      <c r="U327" s="308"/>
      <c r="V327" s="262"/>
      <c r="W327" s="262"/>
      <c r="X327" s="262"/>
      <c r="Y327" s="262"/>
      <c r="Z327" s="262"/>
    </row>
    <row r="328" ht="15.75" customHeight="1">
      <c r="A328" s="251" t="s">
        <v>4347</v>
      </c>
      <c r="B328" s="256">
        <v>46176.0</v>
      </c>
      <c r="C328" s="251" t="s">
        <v>747</v>
      </c>
      <c r="D328" s="251" t="s">
        <v>907</v>
      </c>
      <c r="E328" s="251" t="s">
        <v>829</v>
      </c>
      <c r="F328" s="251" t="s">
        <v>6</v>
      </c>
      <c r="G328" s="251" t="s">
        <v>2303</v>
      </c>
      <c r="H328" s="252" t="s">
        <v>214</v>
      </c>
      <c r="I328" s="252" t="s">
        <v>4348</v>
      </c>
      <c r="J328" s="252" t="s">
        <v>4349</v>
      </c>
      <c r="K328" s="253" t="s">
        <v>4350</v>
      </c>
      <c r="L328" s="252" t="s">
        <v>39</v>
      </c>
      <c r="M328" s="251" t="s">
        <v>39</v>
      </c>
      <c r="N328" s="251" t="s">
        <v>913</v>
      </c>
      <c r="O328" s="251" t="s">
        <v>753</v>
      </c>
      <c r="P328" s="251"/>
      <c r="Q328" s="252"/>
      <c r="R328" s="251" t="s">
        <v>4</v>
      </c>
      <c r="S328" s="251"/>
      <c r="T328" s="254"/>
      <c r="U328" s="308"/>
      <c r="V328" s="262"/>
      <c r="W328" s="262"/>
      <c r="X328" s="262"/>
      <c r="Y328" s="262"/>
      <c r="Z328" s="262"/>
    </row>
    <row r="329" ht="15.75" customHeight="1">
      <c r="A329" s="251" t="s">
        <v>4351</v>
      </c>
      <c r="B329" s="256">
        <v>46176.0</v>
      </c>
      <c r="C329" s="251" t="s">
        <v>747</v>
      </c>
      <c r="D329" s="251" t="s">
        <v>907</v>
      </c>
      <c r="E329" s="251" t="s">
        <v>1004</v>
      </c>
      <c r="F329" s="251" t="s">
        <v>6</v>
      </c>
      <c r="G329" s="251" t="s">
        <v>2303</v>
      </c>
      <c r="H329" s="252" t="s">
        <v>214</v>
      </c>
      <c r="I329" s="252" t="s">
        <v>4352</v>
      </c>
      <c r="J329" s="252" t="s">
        <v>4353</v>
      </c>
      <c r="K329" s="253" t="s">
        <v>4354</v>
      </c>
      <c r="L329" s="252" t="s">
        <v>39</v>
      </c>
      <c r="M329" s="251" t="s">
        <v>39</v>
      </c>
      <c r="N329" s="251" t="s">
        <v>913</v>
      </c>
      <c r="O329" s="251" t="s">
        <v>753</v>
      </c>
      <c r="P329" s="251"/>
      <c r="Q329" s="252"/>
      <c r="R329" s="251" t="s">
        <v>4</v>
      </c>
      <c r="S329" s="251"/>
      <c r="T329" s="254"/>
      <c r="U329" s="308"/>
      <c r="V329" s="262"/>
      <c r="W329" s="262"/>
      <c r="X329" s="262"/>
      <c r="Y329" s="262"/>
      <c r="Z329" s="262"/>
    </row>
    <row r="330" ht="15.75" customHeight="1">
      <c r="A330" s="251" t="s">
        <v>4355</v>
      </c>
      <c r="B330" s="256">
        <v>46176.0</v>
      </c>
      <c r="C330" s="251" t="s">
        <v>770</v>
      </c>
      <c r="D330" s="251" t="s">
        <v>907</v>
      </c>
      <c r="E330" s="251" t="s">
        <v>829</v>
      </c>
      <c r="F330" s="251" t="s">
        <v>6</v>
      </c>
      <c r="G330" s="251" t="s">
        <v>2303</v>
      </c>
      <c r="H330" s="252" t="s">
        <v>545</v>
      </c>
      <c r="I330" s="252" t="s">
        <v>4356</v>
      </c>
      <c r="J330" s="252" t="s">
        <v>4357</v>
      </c>
      <c r="K330" s="253" t="s">
        <v>4358</v>
      </c>
      <c r="L330" s="253" t="s">
        <v>4359</v>
      </c>
      <c r="M330" s="251" t="s">
        <v>39</v>
      </c>
      <c r="N330" s="251" t="s">
        <v>913</v>
      </c>
      <c r="O330" s="251" t="s">
        <v>753</v>
      </c>
      <c r="P330" s="251"/>
      <c r="Q330" s="252"/>
      <c r="R330" s="251" t="s">
        <v>4</v>
      </c>
      <c r="S330" s="256">
        <v>46268.0</v>
      </c>
      <c r="T330" s="254" t="s">
        <v>4360</v>
      </c>
      <c r="U330" s="308"/>
      <c r="V330" s="262"/>
      <c r="W330" s="262"/>
      <c r="X330" s="262"/>
      <c r="Y330" s="262"/>
      <c r="Z330" s="262"/>
    </row>
    <row r="331" ht="15.75" customHeight="1">
      <c r="A331" s="251" t="s">
        <v>4361</v>
      </c>
      <c r="B331" s="256">
        <v>46176.0</v>
      </c>
      <c r="C331" s="251" t="s">
        <v>770</v>
      </c>
      <c r="D331" s="251" t="s">
        <v>907</v>
      </c>
      <c r="E331" s="251" t="s">
        <v>829</v>
      </c>
      <c r="F331" s="251" t="s">
        <v>6</v>
      </c>
      <c r="G331" s="251" t="s">
        <v>2303</v>
      </c>
      <c r="H331" s="252" t="s">
        <v>208</v>
      </c>
      <c r="I331" s="252" t="s">
        <v>4356</v>
      </c>
      <c r="J331" s="252" t="s">
        <v>4362</v>
      </c>
      <c r="K331" s="253" t="s">
        <v>4363</v>
      </c>
      <c r="L331" s="253" t="s">
        <v>4364</v>
      </c>
      <c r="M331" s="251" t="s">
        <v>39</v>
      </c>
      <c r="N331" s="251" t="s">
        <v>913</v>
      </c>
      <c r="O331" s="251" t="s">
        <v>753</v>
      </c>
      <c r="P331" s="251"/>
      <c r="Q331" s="252"/>
      <c r="R331" s="251" t="s">
        <v>3</v>
      </c>
      <c r="S331" s="256">
        <v>46268.0</v>
      </c>
      <c r="T331" s="254" t="s">
        <v>4365</v>
      </c>
      <c r="U331" s="308"/>
      <c r="V331" s="262"/>
      <c r="W331" s="262"/>
      <c r="X331" s="262"/>
      <c r="Y331" s="262"/>
      <c r="Z331" s="262"/>
    </row>
    <row r="332" ht="15.75" customHeight="1">
      <c r="A332" s="7" t="s">
        <v>4366</v>
      </c>
      <c r="B332" s="130">
        <v>46268.0</v>
      </c>
      <c r="C332" s="7" t="s">
        <v>747</v>
      </c>
      <c r="D332" s="7" t="s">
        <v>907</v>
      </c>
      <c r="E332" s="7" t="s">
        <v>829</v>
      </c>
      <c r="F332" s="7" t="s">
        <v>6</v>
      </c>
      <c r="G332" s="7" t="s">
        <v>908</v>
      </c>
      <c r="H332" s="33" t="s">
        <v>85</v>
      </c>
      <c r="I332" s="33" t="s">
        <v>4367</v>
      </c>
      <c r="J332" s="33" t="s">
        <v>4368</v>
      </c>
      <c r="K332" s="58" t="s">
        <v>4369</v>
      </c>
      <c r="L332" s="33" t="s">
        <v>39</v>
      </c>
      <c r="M332" s="7" t="s">
        <v>39</v>
      </c>
      <c r="N332" s="7" t="s">
        <v>913</v>
      </c>
      <c r="O332" s="7" t="s">
        <v>753</v>
      </c>
      <c r="P332" s="7"/>
      <c r="Q332" s="33"/>
      <c r="R332" s="7" t="s">
        <v>3</v>
      </c>
      <c r="S332" s="130">
        <v>46298.0</v>
      </c>
      <c r="T332" s="32" t="s">
        <v>4370</v>
      </c>
      <c r="U332" s="12"/>
    </row>
    <row r="333" ht="15.75" customHeight="1">
      <c r="A333" s="251" t="s">
        <v>4371</v>
      </c>
      <c r="B333" s="256">
        <v>46268.0</v>
      </c>
      <c r="C333" s="251" t="s">
        <v>747</v>
      </c>
      <c r="D333" s="251" t="s">
        <v>907</v>
      </c>
      <c r="E333" s="251" t="s">
        <v>829</v>
      </c>
      <c r="F333" s="251" t="s">
        <v>16</v>
      </c>
      <c r="G333" s="251" t="s">
        <v>2303</v>
      </c>
      <c r="H333" s="252" t="s">
        <v>208</v>
      </c>
      <c r="I333" s="252" t="s">
        <v>4372</v>
      </c>
      <c r="J333" s="252" t="s">
        <v>4373</v>
      </c>
      <c r="K333" s="315" t="s">
        <v>4374</v>
      </c>
      <c r="L333" s="252" t="s">
        <v>39</v>
      </c>
      <c r="M333" s="251" t="s">
        <v>39</v>
      </c>
      <c r="N333" s="251" t="s">
        <v>750</v>
      </c>
      <c r="O333" s="251" t="s">
        <v>753</v>
      </c>
      <c r="P333" s="251"/>
      <c r="Q333" s="252"/>
      <c r="R333" s="251" t="s">
        <v>4</v>
      </c>
      <c r="S333" s="256"/>
      <c r="T333" s="254"/>
      <c r="U333" s="308"/>
      <c r="V333" s="262"/>
      <c r="W333" s="262"/>
      <c r="X333" s="262"/>
      <c r="Y333" s="262"/>
      <c r="Z333" s="262"/>
    </row>
    <row r="334" ht="15.75" customHeight="1">
      <c r="A334" s="251" t="s">
        <v>4375</v>
      </c>
      <c r="B334" s="256">
        <v>46268.0</v>
      </c>
      <c r="C334" s="251" t="s">
        <v>755</v>
      </c>
      <c r="D334" s="251" t="s">
        <v>907</v>
      </c>
      <c r="E334" s="251" t="s">
        <v>829</v>
      </c>
      <c r="F334" s="251" t="s">
        <v>16</v>
      </c>
      <c r="G334" s="251" t="s">
        <v>2303</v>
      </c>
      <c r="H334" s="252" t="s">
        <v>4376</v>
      </c>
      <c r="I334" s="252" t="s">
        <v>4377</v>
      </c>
      <c r="J334" s="252" t="s">
        <v>4378</v>
      </c>
      <c r="K334" s="253" t="s">
        <v>4379</v>
      </c>
      <c r="L334" s="252" t="s">
        <v>39</v>
      </c>
      <c r="M334" s="251" t="s">
        <v>39</v>
      </c>
      <c r="N334" s="251" t="s">
        <v>913</v>
      </c>
      <c r="O334" s="251" t="s">
        <v>974</v>
      </c>
      <c r="P334" s="251"/>
      <c r="Q334" s="252"/>
      <c r="R334" s="251" t="s">
        <v>4</v>
      </c>
      <c r="S334" s="256">
        <v>46359.0</v>
      </c>
      <c r="T334" s="254" t="s">
        <v>4380</v>
      </c>
      <c r="U334" s="308"/>
      <c r="V334" s="262"/>
      <c r="W334" s="262"/>
      <c r="X334" s="262"/>
      <c r="Y334" s="262"/>
      <c r="Z334" s="262"/>
    </row>
    <row r="335" ht="15.75" customHeight="1">
      <c r="A335" s="251" t="s">
        <v>4381</v>
      </c>
      <c r="B335" s="256">
        <v>46359.0</v>
      </c>
      <c r="C335" s="251" t="s">
        <v>747</v>
      </c>
      <c r="D335" s="251" t="s">
        <v>907</v>
      </c>
      <c r="E335" s="251" t="s">
        <v>829</v>
      </c>
      <c r="F335" s="251" t="s">
        <v>6</v>
      </c>
      <c r="G335" s="251" t="s">
        <v>2303</v>
      </c>
      <c r="H335" s="252" t="s">
        <v>509</v>
      </c>
      <c r="I335" s="252" t="s">
        <v>4382</v>
      </c>
      <c r="J335" s="252" t="s">
        <v>4383</v>
      </c>
      <c r="K335" s="253" t="s">
        <v>4384</v>
      </c>
      <c r="L335" s="253" t="s">
        <v>4385</v>
      </c>
      <c r="M335" s="251" t="s">
        <v>39</v>
      </c>
      <c r="N335" s="251" t="s">
        <v>913</v>
      </c>
      <c r="O335" s="251" t="s">
        <v>753</v>
      </c>
      <c r="P335" s="251"/>
      <c r="Q335" s="252"/>
      <c r="R335" s="251" t="s">
        <v>3</v>
      </c>
      <c r="S335" s="251" t="s">
        <v>490</v>
      </c>
      <c r="T335" s="254" t="s">
        <v>4386</v>
      </c>
      <c r="U335" s="308"/>
      <c r="V335" s="262"/>
      <c r="W335" s="262"/>
      <c r="X335" s="262"/>
      <c r="Y335" s="262"/>
      <c r="Z335" s="262"/>
    </row>
    <row r="336" ht="15.75" customHeight="1">
      <c r="A336" s="35" t="s">
        <v>4387</v>
      </c>
      <c r="B336" s="7" t="s">
        <v>490</v>
      </c>
      <c r="C336" s="7" t="s">
        <v>747</v>
      </c>
      <c r="D336" s="7" t="s">
        <v>907</v>
      </c>
      <c r="E336" s="7" t="s">
        <v>829</v>
      </c>
      <c r="F336" s="7" t="s">
        <v>6</v>
      </c>
      <c r="G336" s="7" t="s">
        <v>908</v>
      </c>
      <c r="H336" s="33" t="s">
        <v>164</v>
      </c>
      <c r="I336" s="33" t="s">
        <v>4388</v>
      </c>
      <c r="J336" s="69" t="s">
        <v>4389</v>
      </c>
      <c r="K336" s="58" t="s">
        <v>4390</v>
      </c>
      <c r="L336" s="33" t="s">
        <v>39</v>
      </c>
      <c r="M336" s="7" t="s">
        <v>39</v>
      </c>
      <c r="N336" s="7" t="s">
        <v>974</v>
      </c>
      <c r="O336" s="7" t="s">
        <v>753</v>
      </c>
      <c r="P336" s="7"/>
      <c r="Q336" s="33"/>
      <c r="R336" s="7" t="s">
        <v>4</v>
      </c>
      <c r="S336" s="7"/>
      <c r="T336" s="32"/>
      <c r="U336" s="12"/>
    </row>
    <row r="337" ht="15.75" customHeight="1">
      <c r="A337" s="7" t="s">
        <v>4391</v>
      </c>
      <c r="B337" s="14" t="s">
        <v>490</v>
      </c>
      <c r="C337" s="7" t="s">
        <v>747</v>
      </c>
      <c r="D337" s="7" t="s">
        <v>907</v>
      </c>
      <c r="E337" s="7" t="s">
        <v>829</v>
      </c>
      <c r="F337" s="7" t="s">
        <v>16</v>
      </c>
      <c r="G337" s="7" t="s">
        <v>1172</v>
      </c>
      <c r="H337" s="33" t="s">
        <v>58</v>
      </c>
      <c r="I337" s="37" t="s">
        <v>4392</v>
      </c>
      <c r="J337" s="33" t="s">
        <v>4393</v>
      </c>
      <c r="K337" s="46" t="s">
        <v>4394</v>
      </c>
      <c r="L337" s="33" t="s">
        <v>39</v>
      </c>
      <c r="M337" s="7" t="s">
        <v>39</v>
      </c>
      <c r="N337" s="7" t="s">
        <v>913</v>
      </c>
      <c r="O337" s="7" t="s">
        <v>1010</v>
      </c>
      <c r="P337" s="7"/>
      <c r="Q337" s="33"/>
      <c r="R337" s="7" t="s">
        <v>4</v>
      </c>
      <c r="S337" s="7"/>
      <c r="T337" s="32"/>
      <c r="U337" s="12"/>
    </row>
    <row r="338" ht="15.75" customHeight="1">
      <c r="A338" s="7" t="s">
        <v>4395</v>
      </c>
      <c r="B338" s="14" t="s">
        <v>2581</v>
      </c>
      <c r="C338" s="7" t="s">
        <v>755</v>
      </c>
      <c r="D338" s="7" t="s">
        <v>907</v>
      </c>
      <c r="E338" s="7" t="s">
        <v>829</v>
      </c>
      <c r="F338" s="7" t="s">
        <v>6</v>
      </c>
      <c r="G338" s="7" t="s">
        <v>908</v>
      </c>
      <c r="H338" s="33" t="s">
        <v>158</v>
      </c>
      <c r="I338" s="37" t="s">
        <v>4396</v>
      </c>
      <c r="J338" s="33" t="s">
        <v>4397</v>
      </c>
      <c r="K338" s="41"/>
      <c r="L338" s="33" t="s">
        <v>39</v>
      </c>
      <c r="M338" s="7" t="s">
        <v>39</v>
      </c>
      <c r="N338" s="7" t="s">
        <v>913</v>
      </c>
      <c r="O338" s="7" t="s">
        <v>753</v>
      </c>
      <c r="P338" s="7"/>
      <c r="Q338" s="33"/>
      <c r="R338" s="7" t="s">
        <v>4</v>
      </c>
      <c r="S338" s="7"/>
      <c r="T338" s="32"/>
      <c r="U338" s="12"/>
    </row>
    <row r="339" ht="15.75" customHeight="1">
      <c r="A339" s="7" t="s">
        <v>4398</v>
      </c>
      <c r="B339" s="7" t="s">
        <v>2581</v>
      </c>
      <c r="C339" s="7" t="s">
        <v>755</v>
      </c>
      <c r="D339" s="7" t="s">
        <v>907</v>
      </c>
      <c r="E339" s="7" t="s">
        <v>829</v>
      </c>
      <c r="F339" s="7" t="s">
        <v>6</v>
      </c>
      <c r="G339" s="7" t="s">
        <v>908</v>
      </c>
      <c r="H339" s="33" t="s">
        <v>158</v>
      </c>
      <c r="I339" s="33" t="s">
        <v>4399</v>
      </c>
      <c r="J339" s="174" t="s">
        <v>4400</v>
      </c>
      <c r="K339" s="33"/>
      <c r="L339" s="33" t="s">
        <v>39</v>
      </c>
      <c r="M339" s="7" t="s">
        <v>39</v>
      </c>
      <c r="N339" s="7" t="s">
        <v>913</v>
      </c>
      <c r="O339" s="7" t="s">
        <v>753</v>
      </c>
      <c r="P339" s="7"/>
      <c r="Q339" s="33"/>
      <c r="R339" s="7" t="s">
        <v>3</v>
      </c>
      <c r="S339" s="7" t="s">
        <v>701</v>
      </c>
      <c r="T339" s="32" t="s">
        <v>4401</v>
      </c>
      <c r="U339" s="12"/>
    </row>
    <row r="340" ht="15.75" customHeight="1">
      <c r="A340" s="7" t="s">
        <v>4402</v>
      </c>
      <c r="B340" s="7" t="s">
        <v>2581</v>
      </c>
      <c r="C340" s="7" t="s">
        <v>755</v>
      </c>
      <c r="D340" s="7" t="s">
        <v>907</v>
      </c>
      <c r="E340" s="7" t="s">
        <v>829</v>
      </c>
      <c r="F340" s="7" t="s">
        <v>6</v>
      </c>
      <c r="G340" s="7" t="s">
        <v>908</v>
      </c>
      <c r="H340" s="33" t="s">
        <v>129</v>
      </c>
      <c r="I340" s="69" t="s">
        <v>4403</v>
      </c>
      <c r="J340" s="33" t="s">
        <v>4404</v>
      </c>
      <c r="K340" s="33"/>
      <c r="L340" s="33" t="s">
        <v>39</v>
      </c>
      <c r="M340" s="7" t="s">
        <v>39</v>
      </c>
      <c r="N340" s="7" t="s">
        <v>913</v>
      </c>
      <c r="O340" s="7" t="s">
        <v>753</v>
      </c>
      <c r="P340" s="7"/>
      <c r="Q340" s="33"/>
      <c r="R340" s="7" t="s">
        <v>4</v>
      </c>
      <c r="S340" s="7"/>
      <c r="T340" s="32"/>
      <c r="U340" s="12"/>
    </row>
    <row r="341" ht="15.75" customHeight="1">
      <c r="A341" s="7" t="s">
        <v>4405</v>
      </c>
      <c r="B341" s="14" t="s">
        <v>2581</v>
      </c>
      <c r="C341" s="7" t="s">
        <v>755</v>
      </c>
      <c r="D341" s="7" t="s">
        <v>907</v>
      </c>
      <c r="E341" s="7" t="s">
        <v>829</v>
      </c>
      <c r="F341" s="7" t="s">
        <v>6</v>
      </c>
      <c r="G341" s="7" t="s">
        <v>908</v>
      </c>
      <c r="H341" s="37" t="s">
        <v>4406</v>
      </c>
      <c r="I341" s="192" t="s">
        <v>4407</v>
      </c>
      <c r="J341" s="41" t="s">
        <v>4408</v>
      </c>
      <c r="K341" s="33"/>
      <c r="L341" s="33" t="s">
        <v>39</v>
      </c>
      <c r="M341" s="7" t="s">
        <v>39</v>
      </c>
      <c r="N341" s="7" t="s">
        <v>913</v>
      </c>
      <c r="O341" s="7" t="s">
        <v>753</v>
      </c>
      <c r="P341" s="7"/>
      <c r="Q341" s="33"/>
      <c r="R341" s="7" t="s">
        <v>4</v>
      </c>
      <c r="S341" s="7"/>
      <c r="T341" s="32"/>
      <c r="U341" s="12"/>
    </row>
    <row r="342" ht="15.75" customHeight="1">
      <c r="A342" s="7" t="s">
        <v>4409</v>
      </c>
      <c r="B342" s="7" t="s">
        <v>2581</v>
      </c>
      <c r="C342" s="7" t="s">
        <v>755</v>
      </c>
      <c r="D342" s="7" t="s">
        <v>907</v>
      </c>
      <c r="E342" s="7" t="s">
        <v>829</v>
      </c>
      <c r="F342" s="7" t="s">
        <v>6</v>
      </c>
      <c r="G342" s="7" t="s">
        <v>908</v>
      </c>
      <c r="H342" s="37" t="s">
        <v>63</v>
      </c>
      <c r="I342" s="192" t="s">
        <v>4403</v>
      </c>
      <c r="J342" s="41" t="s">
        <v>4410</v>
      </c>
      <c r="K342" s="33"/>
      <c r="L342" s="33" t="s">
        <v>39</v>
      </c>
      <c r="M342" s="7" t="s">
        <v>39</v>
      </c>
      <c r="N342" s="7" t="s">
        <v>913</v>
      </c>
      <c r="O342" s="7" t="s">
        <v>753</v>
      </c>
      <c r="P342" s="7"/>
      <c r="Q342" s="33"/>
      <c r="R342" s="7" t="s">
        <v>4</v>
      </c>
      <c r="S342" s="7"/>
      <c r="T342" s="32"/>
      <c r="U342" s="12"/>
    </row>
    <row r="343" ht="15.75" customHeight="1">
      <c r="A343" s="7" t="s">
        <v>4411</v>
      </c>
      <c r="B343" s="7" t="s">
        <v>2581</v>
      </c>
      <c r="C343" s="7" t="s">
        <v>755</v>
      </c>
      <c r="D343" s="7" t="s">
        <v>907</v>
      </c>
      <c r="E343" s="7" t="s">
        <v>829</v>
      </c>
      <c r="F343" s="7" t="s">
        <v>6</v>
      </c>
      <c r="G343" s="7" t="s">
        <v>908</v>
      </c>
      <c r="H343" s="33" t="s">
        <v>50</v>
      </c>
      <c r="I343" s="196" t="s">
        <v>4412</v>
      </c>
      <c r="J343" s="33" t="s">
        <v>4413</v>
      </c>
      <c r="K343" s="33"/>
      <c r="L343" s="33" t="s">
        <v>39</v>
      </c>
      <c r="M343" s="7" t="s">
        <v>39</v>
      </c>
      <c r="N343" s="7" t="s">
        <v>913</v>
      </c>
      <c r="O343" s="7" t="s">
        <v>753</v>
      </c>
      <c r="P343" s="7"/>
      <c r="Q343" s="33"/>
      <c r="R343" s="7" t="s">
        <v>4</v>
      </c>
      <c r="S343" s="7"/>
      <c r="T343" s="32"/>
      <c r="U343" s="12"/>
    </row>
    <row r="344" ht="15.75" customHeight="1">
      <c r="A344" s="7"/>
      <c r="B344" s="7"/>
      <c r="C344" s="7"/>
      <c r="D344" s="7"/>
      <c r="E344" s="7"/>
      <c r="F344" s="7"/>
      <c r="G344" s="7"/>
      <c r="H344" s="33"/>
      <c r="I344" s="33"/>
      <c r="J344" s="33"/>
      <c r="K344" s="33"/>
      <c r="L344" s="33"/>
      <c r="M344" s="7"/>
      <c r="N344" s="7"/>
      <c r="O344" s="7"/>
      <c r="P344" s="7"/>
      <c r="Q344" s="33"/>
      <c r="R344" s="7"/>
      <c r="S344" s="7"/>
      <c r="T344" s="32"/>
      <c r="U344" s="12"/>
    </row>
    <row r="345" ht="15.75" customHeight="1">
      <c r="A345" s="7"/>
      <c r="B345" s="7"/>
      <c r="C345" s="7"/>
      <c r="D345" s="7"/>
      <c r="E345" s="7"/>
      <c r="F345" s="7"/>
      <c r="G345" s="7"/>
      <c r="H345" s="33"/>
      <c r="I345" s="33"/>
      <c r="J345" s="33"/>
      <c r="K345" s="33"/>
      <c r="L345" s="33"/>
      <c r="M345" s="7"/>
      <c r="N345" s="7"/>
      <c r="O345" s="7"/>
      <c r="P345" s="7"/>
      <c r="Q345" s="33"/>
      <c r="R345" s="7"/>
      <c r="S345" s="7"/>
      <c r="T345" s="32"/>
      <c r="U345" s="12"/>
    </row>
    <row r="346" ht="15.75" customHeight="1">
      <c r="A346" s="7"/>
      <c r="B346" s="7"/>
      <c r="C346" s="7"/>
      <c r="D346" s="7"/>
      <c r="E346" s="7"/>
      <c r="F346" s="7"/>
      <c r="G346" s="7"/>
      <c r="H346" s="33"/>
      <c r="I346" s="33"/>
      <c r="J346" s="33"/>
      <c r="K346" s="33"/>
      <c r="L346" s="33"/>
      <c r="M346" s="7"/>
      <c r="N346" s="7"/>
      <c r="O346" s="7"/>
      <c r="P346" s="7"/>
      <c r="Q346" s="33"/>
      <c r="R346" s="7"/>
      <c r="S346" s="7"/>
      <c r="T346" s="32"/>
      <c r="U346" s="12"/>
    </row>
    <row r="347" ht="15.75" customHeight="1">
      <c r="A347" s="7"/>
      <c r="B347" s="7"/>
      <c r="C347" s="7"/>
      <c r="D347" s="7"/>
      <c r="E347" s="7"/>
      <c r="F347" s="7"/>
      <c r="G347" s="7"/>
      <c r="H347" s="33"/>
      <c r="I347" s="33"/>
      <c r="J347" s="33"/>
      <c r="K347" s="33"/>
      <c r="L347" s="33"/>
      <c r="M347" s="7"/>
      <c r="N347" s="7"/>
      <c r="O347" s="7"/>
      <c r="P347" s="7"/>
      <c r="Q347" s="33"/>
      <c r="R347" s="7"/>
      <c r="S347" s="7"/>
      <c r="T347" s="32"/>
      <c r="U347" s="12"/>
    </row>
    <row r="348" ht="15.75" customHeight="1">
      <c r="A348" s="7"/>
      <c r="B348" s="7"/>
      <c r="C348" s="7"/>
      <c r="D348" s="7"/>
      <c r="E348" s="7"/>
      <c r="F348" s="7"/>
      <c r="G348" s="7"/>
      <c r="H348" s="33"/>
      <c r="I348" s="33"/>
      <c r="J348" s="33"/>
      <c r="K348" s="33"/>
      <c r="L348" s="33"/>
      <c r="M348" s="7"/>
      <c r="N348" s="7"/>
      <c r="O348" s="7"/>
      <c r="P348" s="7"/>
      <c r="Q348" s="33"/>
      <c r="R348" s="7"/>
      <c r="S348" s="7"/>
      <c r="T348" s="32"/>
      <c r="U348" s="12"/>
    </row>
    <row r="349" ht="15.75" customHeight="1">
      <c r="A349" s="7"/>
      <c r="B349" s="7"/>
      <c r="C349" s="7"/>
      <c r="D349" s="7"/>
      <c r="E349" s="7"/>
      <c r="F349" s="7"/>
      <c r="G349" s="7"/>
      <c r="H349" s="33"/>
      <c r="I349" s="33"/>
      <c r="J349" s="33"/>
      <c r="K349" s="33"/>
      <c r="L349" s="33"/>
      <c r="M349" s="7"/>
      <c r="N349" s="7"/>
      <c r="O349" s="7"/>
      <c r="P349" s="7"/>
      <c r="Q349" s="33"/>
      <c r="R349" s="7"/>
      <c r="S349" s="7"/>
      <c r="T349" s="32"/>
      <c r="U349" s="12"/>
    </row>
    <row r="350" ht="15.75" customHeight="1">
      <c r="A350" s="7"/>
      <c r="B350" s="7"/>
      <c r="C350" s="7"/>
      <c r="D350" s="7"/>
      <c r="E350" s="7"/>
      <c r="F350" s="7"/>
      <c r="G350" s="7"/>
      <c r="H350" s="33"/>
      <c r="I350" s="33"/>
      <c r="J350" s="33"/>
      <c r="K350" s="33"/>
      <c r="L350" s="33"/>
      <c r="M350" s="7"/>
      <c r="N350" s="7"/>
      <c r="O350" s="7"/>
      <c r="P350" s="7"/>
      <c r="Q350" s="33"/>
      <c r="R350" s="7"/>
      <c r="S350" s="7"/>
      <c r="T350" s="32"/>
      <c r="U350" s="12"/>
    </row>
    <row r="351" ht="15.75" customHeight="1">
      <c r="A351" s="7"/>
      <c r="B351" s="7"/>
      <c r="C351" s="7"/>
      <c r="D351" s="7"/>
      <c r="E351" s="7"/>
      <c r="F351" s="7"/>
      <c r="G351" s="7"/>
      <c r="H351" s="33"/>
      <c r="I351" s="33"/>
      <c r="J351" s="33"/>
      <c r="K351" s="33"/>
      <c r="L351" s="33"/>
      <c r="M351" s="7"/>
      <c r="N351" s="7"/>
      <c r="O351" s="7"/>
      <c r="P351" s="7"/>
      <c r="Q351" s="33"/>
      <c r="R351" s="7"/>
      <c r="S351" s="7"/>
      <c r="T351" s="32"/>
      <c r="U351" s="12"/>
    </row>
    <row r="352" ht="15.75" customHeight="1">
      <c r="A352" s="7"/>
      <c r="B352" s="7"/>
      <c r="C352" s="7"/>
      <c r="D352" s="7"/>
      <c r="E352" s="7"/>
      <c r="F352" s="7"/>
      <c r="G352" s="7"/>
      <c r="H352" s="33"/>
      <c r="I352" s="33"/>
      <c r="J352" s="33"/>
      <c r="K352" s="33"/>
      <c r="L352" s="33"/>
      <c r="M352" s="7"/>
      <c r="N352" s="7"/>
      <c r="O352" s="7"/>
      <c r="P352" s="7"/>
      <c r="Q352" s="33"/>
      <c r="R352" s="7"/>
      <c r="S352" s="7"/>
      <c r="T352" s="32"/>
      <c r="U352" s="12"/>
    </row>
    <row r="353" ht="15.75" customHeight="1">
      <c r="A353" s="7"/>
      <c r="B353" s="7"/>
      <c r="C353" s="7"/>
      <c r="D353" s="7"/>
      <c r="E353" s="7"/>
      <c r="F353" s="7"/>
      <c r="G353" s="7"/>
      <c r="H353" s="33"/>
      <c r="I353" s="33"/>
      <c r="J353" s="33"/>
      <c r="K353" s="33"/>
      <c r="L353" s="33"/>
      <c r="M353" s="7"/>
      <c r="N353" s="7"/>
      <c r="O353" s="7"/>
      <c r="P353" s="7"/>
      <c r="Q353" s="33"/>
      <c r="R353" s="7"/>
      <c r="S353" s="7"/>
      <c r="T353" s="32"/>
      <c r="U353" s="12"/>
    </row>
    <row r="354" ht="15.75" customHeight="1">
      <c r="A354" s="7"/>
      <c r="B354" s="7"/>
      <c r="C354" s="7"/>
      <c r="D354" s="7"/>
      <c r="E354" s="7"/>
      <c r="F354" s="7"/>
      <c r="G354" s="7"/>
      <c r="H354" s="33"/>
      <c r="I354" s="33"/>
      <c r="J354" s="33"/>
      <c r="K354" s="33"/>
      <c r="L354" s="33"/>
      <c r="M354" s="7"/>
      <c r="N354" s="7"/>
      <c r="O354" s="7"/>
      <c r="P354" s="7"/>
      <c r="Q354" s="33"/>
      <c r="R354" s="7"/>
      <c r="S354" s="7"/>
      <c r="T354" s="32"/>
      <c r="U354" s="12"/>
    </row>
    <row r="355" ht="15.75" customHeight="1">
      <c r="A355" s="7"/>
      <c r="B355" s="7"/>
      <c r="C355" s="7"/>
      <c r="D355" s="7"/>
      <c r="E355" s="7"/>
      <c r="F355" s="7"/>
      <c r="G355" s="7"/>
      <c r="H355" s="33"/>
      <c r="I355" s="33"/>
      <c r="J355" s="33"/>
      <c r="K355" s="33"/>
      <c r="L355" s="33"/>
      <c r="M355" s="7"/>
      <c r="N355" s="7"/>
      <c r="O355" s="7"/>
      <c r="P355" s="7"/>
      <c r="Q355" s="33"/>
      <c r="R355" s="7"/>
      <c r="S355" s="7"/>
      <c r="T355" s="32"/>
      <c r="U355" s="12"/>
    </row>
    <row r="356" ht="15.75" customHeight="1">
      <c r="A356" s="7"/>
      <c r="B356" s="7"/>
      <c r="C356" s="7"/>
      <c r="D356" s="7"/>
      <c r="E356" s="7"/>
      <c r="F356" s="7"/>
      <c r="G356" s="7"/>
      <c r="H356" s="33"/>
      <c r="I356" s="33"/>
      <c r="J356" s="33"/>
      <c r="K356" s="33"/>
      <c r="L356" s="33"/>
      <c r="M356" s="7"/>
      <c r="N356" s="7"/>
      <c r="O356" s="7"/>
      <c r="P356" s="7"/>
      <c r="Q356" s="33"/>
      <c r="R356" s="7"/>
      <c r="S356" s="7"/>
      <c r="T356" s="32"/>
      <c r="U356" s="12"/>
    </row>
    <row r="357" ht="15.75" customHeight="1">
      <c r="A357" s="7"/>
      <c r="B357" s="7"/>
      <c r="C357" s="7"/>
      <c r="D357" s="7"/>
      <c r="E357" s="7"/>
      <c r="F357" s="7"/>
      <c r="G357" s="7"/>
      <c r="H357" s="33"/>
      <c r="I357" s="33"/>
      <c r="J357" s="33"/>
      <c r="K357" s="33"/>
      <c r="L357" s="33"/>
      <c r="M357" s="7"/>
      <c r="N357" s="7"/>
      <c r="O357" s="7"/>
      <c r="P357" s="7"/>
      <c r="Q357" s="33"/>
      <c r="R357" s="7"/>
      <c r="S357" s="7"/>
      <c r="T357" s="32"/>
      <c r="U357" s="12"/>
    </row>
    <row r="358" ht="15.75" customHeight="1">
      <c r="A358" s="7"/>
      <c r="B358" s="7"/>
      <c r="C358" s="7"/>
      <c r="D358" s="7"/>
      <c r="E358" s="7"/>
      <c r="F358" s="7"/>
      <c r="G358" s="7"/>
      <c r="H358" s="33"/>
      <c r="I358" s="33"/>
      <c r="J358" s="33"/>
      <c r="K358" s="33"/>
      <c r="L358" s="33"/>
      <c r="M358" s="7"/>
      <c r="N358" s="7"/>
      <c r="O358" s="7"/>
      <c r="P358" s="7"/>
      <c r="Q358" s="33"/>
      <c r="R358" s="7"/>
      <c r="S358" s="7"/>
      <c r="T358" s="32"/>
      <c r="U358" s="12"/>
    </row>
    <row r="359" ht="15.75" customHeight="1">
      <c r="A359" s="7"/>
      <c r="B359" s="7"/>
      <c r="C359" s="7"/>
      <c r="D359" s="7"/>
      <c r="E359" s="7"/>
      <c r="F359" s="7"/>
      <c r="G359" s="7"/>
      <c r="H359" s="33"/>
      <c r="I359" s="33"/>
      <c r="J359" s="33"/>
      <c r="K359" s="33"/>
      <c r="L359" s="33"/>
      <c r="M359" s="7"/>
      <c r="N359" s="7"/>
      <c r="O359" s="7"/>
      <c r="P359" s="7"/>
      <c r="Q359" s="33"/>
      <c r="R359" s="7"/>
      <c r="S359" s="7"/>
      <c r="T359" s="32"/>
      <c r="U359" s="12"/>
    </row>
    <row r="360" ht="15.75" customHeight="1">
      <c r="A360" s="7"/>
      <c r="B360" s="7"/>
      <c r="C360" s="7"/>
      <c r="D360" s="7"/>
      <c r="E360" s="7"/>
      <c r="F360" s="7"/>
      <c r="G360" s="7"/>
      <c r="H360" s="33"/>
      <c r="I360" s="33"/>
      <c r="J360" s="33"/>
      <c r="K360" s="33"/>
      <c r="L360" s="33"/>
      <c r="M360" s="7"/>
      <c r="N360" s="7"/>
      <c r="O360" s="7"/>
      <c r="P360" s="7"/>
      <c r="Q360" s="33"/>
      <c r="R360" s="7"/>
      <c r="S360" s="7"/>
      <c r="T360" s="32"/>
      <c r="U360" s="12"/>
    </row>
    <row r="361" ht="15.75" customHeight="1">
      <c r="A361" s="7"/>
      <c r="B361" s="7"/>
      <c r="C361" s="7"/>
      <c r="D361" s="7"/>
      <c r="E361" s="7"/>
      <c r="F361" s="7"/>
      <c r="G361" s="7"/>
      <c r="H361" s="33"/>
      <c r="I361" s="33"/>
      <c r="J361" s="33"/>
      <c r="K361" s="33"/>
      <c r="L361" s="33"/>
      <c r="M361" s="7"/>
      <c r="N361" s="7"/>
      <c r="O361" s="7"/>
      <c r="P361" s="7"/>
      <c r="Q361" s="33"/>
      <c r="R361" s="7"/>
      <c r="S361" s="7"/>
      <c r="T361" s="32"/>
      <c r="U361" s="12"/>
    </row>
    <row r="362" ht="15.75" customHeight="1">
      <c r="A362" s="7"/>
      <c r="B362" s="7"/>
      <c r="C362" s="7"/>
      <c r="D362" s="7"/>
      <c r="E362" s="7"/>
      <c r="F362" s="7"/>
      <c r="G362" s="7"/>
      <c r="H362" s="33"/>
      <c r="I362" s="33"/>
      <c r="J362" s="33"/>
      <c r="K362" s="33"/>
      <c r="L362" s="33"/>
      <c r="M362" s="7"/>
      <c r="N362" s="7"/>
      <c r="O362" s="7"/>
      <c r="P362" s="7"/>
      <c r="Q362" s="33"/>
      <c r="R362" s="7"/>
      <c r="S362" s="7"/>
      <c r="T362" s="32"/>
      <c r="U362" s="12"/>
    </row>
    <row r="363" ht="15.75" customHeight="1">
      <c r="A363" s="7"/>
      <c r="B363" s="7"/>
      <c r="C363" s="7"/>
      <c r="D363" s="7"/>
      <c r="E363" s="7"/>
      <c r="F363" s="7"/>
      <c r="G363" s="7"/>
      <c r="H363" s="33"/>
      <c r="I363" s="33"/>
      <c r="J363" s="33"/>
      <c r="K363" s="33"/>
      <c r="L363" s="33"/>
      <c r="M363" s="7"/>
      <c r="N363" s="7"/>
      <c r="O363" s="7"/>
      <c r="P363" s="7"/>
      <c r="Q363" s="33"/>
      <c r="R363" s="7"/>
      <c r="S363" s="7"/>
      <c r="T363" s="32"/>
      <c r="U363" s="12"/>
    </row>
    <row r="364" ht="15.75" customHeight="1">
      <c r="A364" s="7"/>
      <c r="B364" s="7"/>
      <c r="C364" s="7"/>
      <c r="D364" s="7"/>
      <c r="E364" s="7"/>
      <c r="F364" s="7"/>
      <c r="G364" s="7"/>
      <c r="H364" s="33"/>
      <c r="I364" s="33"/>
      <c r="J364" s="33"/>
      <c r="K364" s="33"/>
      <c r="L364" s="33"/>
      <c r="M364" s="7"/>
      <c r="N364" s="7"/>
      <c r="O364" s="7"/>
      <c r="P364" s="7"/>
      <c r="Q364" s="33"/>
      <c r="R364" s="7"/>
      <c r="S364" s="7"/>
      <c r="T364" s="32"/>
      <c r="U364" s="12"/>
    </row>
    <row r="365" ht="15.75" customHeight="1">
      <c r="A365" s="7"/>
      <c r="B365" s="7"/>
      <c r="C365" s="7"/>
      <c r="D365" s="7"/>
      <c r="E365" s="7"/>
      <c r="F365" s="7"/>
      <c r="G365" s="7"/>
      <c r="H365" s="33"/>
      <c r="I365" s="33"/>
      <c r="J365" s="33"/>
      <c r="K365" s="33"/>
      <c r="L365" s="33"/>
      <c r="M365" s="7"/>
      <c r="N365" s="7"/>
      <c r="O365" s="7"/>
      <c r="P365" s="7"/>
      <c r="Q365" s="33"/>
      <c r="R365" s="7"/>
      <c r="S365" s="7"/>
      <c r="T365" s="32"/>
      <c r="U365" s="12"/>
    </row>
    <row r="366" ht="15.75" customHeight="1">
      <c r="A366" s="7"/>
      <c r="B366" s="7"/>
      <c r="C366" s="7"/>
      <c r="D366" s="7"/>
      <c r="E366" s="7"/>
      <c r="F366" s="7"/>
      <c r="G366" s="7"/>
      <c r="H366" s="33"/>
      <c r="I366" s="33"/>
      <c r="J366" s="33"/>
      <c r="K366" s="33"/>
      <c r="L366" s="33"/>
      <c r="M366" s="7"/>
      <c r="N366" s="7"/>
      <c r="O366" s="7"/>
      <c r="P366" s="7"/>
      <c r="Q366" s="33"/>
      <c r="R366" s="7"/>
      <c r="S366" s="7"/>
      <c r="T366" s="32"/>
      <c r="U366" s="12"/>
    </row>
    <row r="367" ht="15.75" customHeight="1">
      <c r="A367" s="7"/>
      <c r="B367" s="7"/>
      <c r="C367" s="7"/>
      <c r="D367" s="7"/>
      <c r="E367" s="7"/>
      <c r="F367" s="7"/>
      <c r="G367" s="7"/>
      <c r="H367" s="33"/>
      <c r="I367" s="33"/>
      <c r="J367" s="33"/>
      <c r="K367" s="33"/>
      <c r="L367" s="33"/>
      <c r="M367" s="7"/>
      <c r="N367" s="7"/>
      <c r="O367" s="7"/>
      <c r="P367" s="7"/>
      <c r="Q367" s="33"/>
      <c r="R367" s="7"/>
      <c r="S367" s="7"/>
      <c r="T367" s="32"/>
      <c r="U367" s="12"/>
    </row>
    <row r="368" ht="15.75" customHeight="1">
      <c r="A368" s="7"/>
      <c r="B368" s="7"/>
      <c r="C368" s="7"/>
      <c r="D368" s="7"/>
      <c r="E368" s="7"/>
      <c r="F368" s="7"/>
      <c r="G368" s="7"/>
      <c r="H368" s="33"/>
      <c r="I368" s="33"/>
      <c r="J368" s="33"/>
      <c r="K368" s="33"/>
      <c r="L368" s="33"/>
      <c r="M368" s="7"/>
      <c r="N368" s="7"/>
      <c r="O368" s="7"/>
      <c r="P368" s="7"/>
      <c r="Q368" s="33"/>
      <c r="R368" s="7"/>
      <c r="S368" s="7"/>
      <c r="T368" s="32"/>
      <c r="U368" s="12"/>
    </row>
    <row r="369" ht="15.75" customHeight="1">
      <c r="A369" s="7"/>
      <c r="B369" s="7"/>
      <c r="C369" s="7"/>
      <c r="D369" s="7"/>
      <c r="E369" s="7"/>
      <c r="F369" s="7"/>
      <c r="G369" s="7"/>
      <c r="H369" s="33"/>
      <c r="I369" s="33"/>
      <c r="J369" s="33"/>
      <c r="K369" s="33"/>
      <c r="L369" s="33"/>
      <c r="M369" s="7"/>
      <c r="N369" s="7"/>
      <c r="O369" s="7"/>
      <c r="P369" s="7"/>
      <c r="Q369" s="33"/>
      <c r="R369" s="7"/>
      <c r="S369" s="7"/>
      <c r="T369" s="32"/>
      <c r="U369" s="12"/>
    </row>
    <row r="370" ht="15.75" customHeight="1">
      <c r="A370" s="7"/>
      <c r="B370" s="7"/>
      <c r="C370" s="7"/>
      <c r="D370" s="7"/>
      <c r="E370" s="7"/>
      <c r="F370" s="7"/>
      <c r="G370" s="7"/>
      <c r="H370" s="33"/>
      <c r="I370" s="33"/>
      <c r="J370" s="33"/>
      <c r="K370" s="33"/>
      <c r="L370" s="33"/>
      <c r="M370" s="7"/>
      <c r="N370" s="7"/>
      <c r="O370" s="7"/>
      <c r="P370" s="7"/>
      <c r="Q370" s="33"/>
      <c r="R370" s="7"/>
      <c r="S370" s="7"/>
      <c r="T370" s="32"/>
      <c r="U370" s="12"/>
    </row>
    <row r="371" ht="15.75" customHeight="1">
      <c r="A371" s="7"/>
      <c r="B371" s="7"/>
      <c r="C371" s="7"/>
      <c r="D371" s="7"/>
      <c r="E371" s="7"/>
      <c r="F371" s="7"/>
      <c r="G371" s="7"/>
      <c r="H371" s="33"/>
      <c r="I371" s="33"/>
      <c r="J371" s="33"/>
      <c r="K371" s="33"/>
      <c r="L371" s="33"/>
      <c r="M371" s="7"/>
      <c r="N371" s="7"/>
      <c r="O371" s="7"/>
      <c r="P371" s="7"/>
      <c r="Q371" s="33"/>
      <c r="R371" s="7"/>
      <c r="S371" s="7"/>
      <c r="T371" s="32"/>
      <c r="U371" s="12"/>
    </row>
    <row r="372" ht="15.75" customHeight="1">
      <c r="A372" s="7"/>
      <c r="B372" s="7"/>
      <c r="C372" s="7"/>
      <c r="D372" s="7"/>
      <c r="E372" s="7"/>
      <c r="F372" s="7"/>
      <c r="G372" s="7"/>
      <c r="H372" s="33"/>
      <c r="I372" s="33"/>
      <c r="J372" s="33"/>
      <c r="K372" s="33"/>
      <c r="L372" s="33"/>
      <c r="M372" s="7"/>
      <c r="N372" s="7"/>
      <c r="O372" s="7"/>
      <c r="P372" s="7"/>
      <c r="Q372" s="33"/>
      <c r="R372" s="7"/>
      <c r="S372" s="7"/>
      <c r="T372" s="32"/>
      <c r="U372" s="12"/>
    </row>
    <row r="373" ht="15.75" customHeight="1">
      <c r="A373" s="7"/>
      <c r="B373" s="7"/>
      <c r="C373" s="7"/>
      <c r="D373" s="7"/>
      <c r="E373" s="7"/>
      <c r="F373" s="7"/>
      <c r="G373" s="7"/>
      <c r="H373" s="33"/>
      <c r="I373" s="33"/>
      <c r="J373" s="33"/>
      <c r="K373" s="33"/>
      <c r="L373" s="33"/>
      <c r="M373" s="7"/>
      <c r="N373" s="7"/>
      <c r="O373" s="7"/>
      <c r="P373" s="7"/>
      <c r="Q373" s="33"/>
      <c r="R373" s="7"/>
      <c r="S373" s="7"/>
      <c r="T373" s="32"/>
      <c r="U373" s="12"/>
    </row>
    <row r="374" ht="15.75" customHeight="1">
      <c r="A374" s="7"/>
      <c r="B374" s="7"/>
      <c r="C374" s="7"/>
      <c r="D374" s="7"/>
      <c r="E374" s="7"/>
      <c r="F374" s="7"/>
      <c r="G374" s="7"/>
      <c r="H374" s="33"/>
      <c r="I374" s="33"/>
      <c r="J374" s="33"/>
      <c r="K374" s="33"/>
      <c r="L374" s="33"/>
      <c r="M374" s="7"/>
      <c r="N374" s="7"/>
      <c r="O374" s="7"/>
      <c r="P374" s="7"/>
      <c r="Q374" s="33"/>
      <c r="R374" s="7"/>
      <c r="S374" s="7"/>
      <c r="T374" s="32"/>
      <c r="U374" s="12"/>
    </row>
    <row r="375" ht="15.75" customHeight="1">
      <c r="A375" s="7"/>
      <c r="B375" s="7"/>
      <c r="C375" s="7"/>
      <c r="D375" s="7"/>
      <c r="E375" s="7"/>
      <c r="F375" s="7"/>
      <c r="G375" s="7"/>
      <c r="H375" s="33"/>
      <c r="I375" s="33"/>
      <c r="J375" s="33"/>
      <c r="K375" s="33"/>
      <c r="L375" s="33"/>
      <c r="M375" s="7"/>
      <c r="N375" s="7"/>
      <c r="O375" s="7"/>
      <c r="P375" s="7"/>
      <c r="Q375" s="33"/>
      <c r="R375" s="7"/>
      <c r="S375" s="7"/>
      <c r="T375" s="32"/>
      <c r="U375" s="12"/>
    </row>
    <row r="376" ht="15.75" customHeight="1">
      <c r="A376" s="7"/>
      <c r="B376" s="7"/>
      <c r="C376" s="7"/>
      <c r="D376" s="7"/>
      <c r="E376" s="7"/>
      <c r="F376" s="7"/>
      <c r="G376" s="7"/>
      <c r="H376" s="33"/>
      <c r="I376" s="33"/>
      <c r="J376" s="33"/>
      <c r="K376" s="33"/>
      <c r="L376" s="33"/>
      <c r="M376" s="7"/>
      <c r="N376" s="7"/>
      <c r="O376" s="7"/>
      <c r="P376" s="7"/>
      <c r="Q376" s="33"/>
      <c r="R376" s="7"/>
      <c r="S376" s="7"/>
      <c r="T376" s="32"/>
      <c r="U376" s="12"/>
    </row>
    <row r="377" ht="15.75" customHeight="1">
      <c r="A377" s="7"/>
      <c r="B377" s="7"/>
      <c r="C377" s="7"/>
      <c r="D377" s="7"/>
      <c r="E377" s="7"/>
      <c r="F377" s="7"/>
      <c r="G377" s="7"/>
      <c r="H377" s="33"/>
      <c r="I377" s="33"/>
      <c r="J377" s="33"/>
      <c r="K377" s="33"/>
      <c r="L377" s="33"/>
      <c r="M377" s="7"/>
      <c r="N377" s="7"/>
      <c r="O377" s="7"/>
      <c r="P377" s="7"/>
      <c r="Q377" s="33"/>
      <c r="R377" s="7"/>
      <c r="S377" s="7"/>
      <c r="T377" s="32"/>
      <c r="U377" s="12"/>
    </row>
    <row r="378" ht="15.75" customHeight="1">
      <c r="A378" s="7"/>
      <c r="B378" s="7"/>
      <c r="C378" s="7"/>
      <c r="D378" s="7"/>
      <c r="E378" s="7"/>
      <c r="F378" s="7"/>
      <c r="G378" s="7"/>
      <c r="H378" s="33"/>
      <c r="I378" s="33"/>
      <c r="J378" s="33"/>
      <c r="K378" s="33"/>
      <c r="L378" s="33"/>
      <c r="M378" s="7"/>
      <c r="N378" s="7"/>
      <c r="O378" s="7"/>
      <c r="P378" s="7"/>
      <c r="Q378" s="33"/>
      <c r="R378" s="7"/>
      <c r="S378" s="7"/>
      <c r="T378" s="32"/>
      <c r="U378" s="12"/>
    </row>
    <row r="379" ht="15.75" customHeight="1">
      <c r="A379" s="7"/>
      <c r="B379" s="7"/>
      <c r="C379" s="7"/>
      <c r="D379" s="7"/>
      <c r="E379" s="7"/>
      <c r="F379" s="7"/>
      <c r="G379" s="7"/>
      <c r="H379" s="33"/>
      <c r="I379" s="33"/>
      <c r="J379" s="33"/>
      <c r="K379" s="33"/>
      <c r="L379" s="33"/>
      <c r="M379" s="7"/>
      <c r="N379" s="7"/>
      <c r="O379" s="7"/>
      <c r="P379" s="7"/>
      <c r="Q379" s="33"/>
      <c r="R379" s="7"/>
      <c r="S379" s="7"/>
      <c r="T379" s="32"/>
      <c r="U379" s="12"/>
    </row>
    <row r="380" ht="15.75" customHeight="1">
      <c r="A380" s="7"/>
      <c r="B380" s="7"/>
      <c r="C380" s="7"/>
      <c r="D380" s="7"/>
      <c r="E380" s="7"/>
      <c r="F380" s="7"/>
      <c r="G380" s="7"/>
      <c r="H380" s="33"/>
      <c r="I380" s="33"/>
      <c r="J380" s="33"/>
      <c r="K380" s="33"/>
      <c r="L380" s="33"/>
      <c r="M380" s="7"/>
      <c r="N380" s="7"/>
      <c r="O380" s="7"/>
      <c r="P380" s="7"/>
      <c r="Q380" s="33"/>
      <c r="R380" s="7"/>
      <c r="S380" s="7"/>
      <c r="T380" s="32"/>
      <c r="U380" s="12"/>
    </row>
    <row r="381" ht="15.75" customHeight="1">
      <c r="A381" s="7"/>
      <c r="B381" s="7"/>
      <c r="C381" s="7"/>
      <c r="D381" s="7"/>
      <c r="E381" s="7"/>
      <c r="F381" s="7"/>
      <c r="G381" s="7"/>
      <c r="H381" s="33"/>
      <c r="I381" s="33"/>
      <c r="J381" s="33"/>
      <c r="K381" s="33"/>
      <c r="L381" s="33"/>
      <c r="M381" s="7"/>
      <c r="N381" s="7"/>
      <c r="O381" s="7"/>
      <c r="P381" s="7"/>
      <c r="Q381" s="33"/>
      <c r="R381" s="7"/>
      <c r="S381" s="7"/>
      <c r="T381" s="32"/>
      <c r="U381" s="12"/>
    </row>
    <row r="382" ht="15.75" customHeight="1">
      <c r="A382" s="7"/>
      <c r="B382" s="7"/>
      <c r="C382" s="7"/>
      <c r="D382" s="7"/>
      <c r="E382" s="7"/>
      <c r="F382" s="7"/>
      <c r="G382" s="7"/>
      <c r="H382" s="33"/>
      <c r="I382" s="33"/>
      <c r="J382" s="33"/>
      <c r="K382" s="33"/>
      <c r="L382" s="33"/>
      <c r="M382" s="7"/>
      <c r="N382" s="7"/>
      <c r="O382" s="7"/>
      <c r="P382" s="7"/>
      <c r="Q382" s="33"/>
      <c r="R382" s="7"/>
      <c r="S382" s="7"/>
      <c r="T382" s="32"/>
      <c r="U382" s="12"/>
    </row>
    <row r="383" ht="15.75" customHeight="1">
      <c r="A383" s="7"/>
      <c r="B383" s="7"/>
      <c r="C383" s="7"/>
      <c r="D383" s="7"/>
      <c r="E383" s="7"/>
      <c r="F383" s="7"/>
      <c r="G383" s="7"/>
      <c r="H383" s="33"/>
      <c r="I383" s="33"/>
      <c r="J383" s="33"/>
      <c r="K383" s="33"/>
      <c r="L383" s="33"/>
      <c r="M383" s="7"/>
      <c r="N383" s="7"/>
      <c r="O383" s="7"/>
      <c r="P383" s="7"/>
      <c r="Q383" s="33"/>
      <c r="R383" s="7"/>
      <c r="S383" s="7"/>
      <c r="T383" s="32"/>
      <c r="U383" s="12"/>
    </row>
    <row r="384" ht="15.75" customHeight="1">
      <c r="A384" s="7"/>
      <c r="B384" s="7"/>
      <c r="C384" s="7"/>
      <c r="D384" s="7"/>
      <c r="E384" s="7"/>
      <c r="F384" s="7"/>
      <c r="G384" s="7"/>
      <c r="H384" s="33"/>
      <c r="I384" s="33"/>
      <c r="J384" s="33"/>
      <c r="K384" s="33"/>
      <c r="L384" s="33"/>
      <c r="M384" s="7"/>
      <c r="N384" s="7"/>
      <c r="O384" s="7"/>
      <c r="P384" s="7"/>
      <c r="Q384" s="33"/>
      <c r="R384" s="7"/>
      <c r="S384" s="7"/>
      <c r="T384" s="32"/>
      <c r="U384" s="12"/>
    </row>
    <row r="385" ht="15.75" customHeight="1">
      <c r="A385" s="7"/>
      <c r="B385" s="7"/>
      <c r="C385" s="7"/>
      <c r="D385" s="7"/>
      <c r="E385" s="7"/>
      <c r="F385" s="7"/>
      <c r="G385" s="7"/>
      <c r="H385" s="33"/>
      <c r="I385" s="33"/>
      <c r="J385" s="33"/>
      <c r="K385" s="33"/>
      <c r="L385" s="33"/>
      <c r="M385" s="7"/>
      <c r="N385" s="7"/>
      <c r="O385" s="7"/>
      <c r="P385" s="7"/>
      <c r="Q385" s="33"/>
      <c r="R385" s="7"/>
      <c r="S385" s="7"/>
      <c r="T385" s="32"/>
      <c r="U385" s="12"/>
    </row>
    <row r="386" ht="15.75" customHeight="1">
      <c r="A386" s="7"/>
      <c r="B386" s="7"/>
      <c r="C386" s="7"/>
      <c r="D386" s="7"/>
      <c r="E386" s="7"/>
      <c r="F386" s="7"/>
      <c r="G386" s="7"/>
      <c r="H386" s="33"/>
      <c r="I386" s="33"/>
      <c r="J386" s="33"/>
      <c r="K386" s="33"/>
      <c r="L386" s="33"/>
      <c r="M386" s="7"/>
      <c r="N386" s="7"/>
      <c r="O386" s="7"/>
      <c r="P386" s="7"/>
      <c r="Q386" s="33"/>
      <c r="R386" s="7"/>
      <c r="S386" s="7"/>
      <c r="T386" s="32"/>
      <c r="U386" s="12"/>
    </row>
    <row r="387" ht="15.75" customHeight="1">
      <c r="A387" s="7"/>
      <c r="B387" s="7"/>
      <c r="C387" s="7"/>
      <c r="D387" s="7"/>
      <c r="E387" s="7"/>
      <c r="F387" s="7"/>
      <c r="G387" s="7"/>
      <c r="H387" s="33"/>
      <c r="I387" s="33"/>
      <c r="J387" s="33"/>
      <c r="K387" s="33"/>
      <c r="L387" s="33"/>
      <c r="M387" s="7"/>
      <c r="N387" s="7"/>
      <c r="O387" s="7"/>
      <c r="P387" s="7"/>
      <c r="Q387" s="33"/>
      <c r="R387" s="7"/>
      <c r="S387" s="7"/>
      <c r="T387" s="32"/>
      <c r="U387" s="12"/>
    </row>
    <row r="388" ht="15.75" customHeight="1">
      <c r="A388" s="7"/>
      <c r="B388" s="7"/>
      <c r="C388" s="7"/>
      <c r="D388" s="7"/>
      <c r="E388" s="7"/>
      <c r="F388" s="7"/>
      <c r="G388" s="7"/>
      <c r="H388" s="33"/>
      <c r="I388" s="33"/>
      <c r="J388" s="33"/>
      <c r="K388" s="33"/>
      <c r="L388" s="33"/>
      <c r="M388" s="7"/>
      <c r="N388" s="7"/>
      <c r="O388" s="7"/>
      <c r="P388" s="7"/>
      <c r="Q388" s="33"/>
      <c r="R388" s="7"/>
      <c r="S388" s="7"/>
      <c r="T388" s="32"/>
      <c r="U388" s="12"/>
    </row>
    <row r="389" ht="15.75" customHeight="1">
      <c r="A389" s="7"/>
      <c r="B389" s="7"/>
      <c r="C389" s="7"/>
      <c r="D389" s="7"/>
      <c r="E389" s="7"/>
      <c r="F389" s="7"/>
      <c r="G389" s="7"/>
      <c r="H389" s="33"/>
      <c r="I389" s="33"/>
      <c r="J389" s="33"/>
      <c r="K389" s="33"/>
      <c r="L389" s="33"/>
      <c r="M389" s="7"/>
      <c r="N389" s="7"/>
      <c r="O389" s="7"/>
      <c r="P389" s="7"/>
      <c r="Q389" s="33"/>
      <c r="R389" s="7"/>
      <c r="S389" s="7"/>
      <c r="T389" s="32"/>
      <c r="U389" s="12"/>
    </row>
    <row r="390" ht="15.75" customHeight="1">
      <c r="A390" s="7"/>
      <c r="B390" s="7"/>
      <c r="C390" s="7"/>
      <c r="D390" s="7"/>
      <c r="E390" s="7"/>
      <c r="F390" s="7"/>
      <c r="G390" s="7"/>
      <c r="H390" s="33"/>
      <c r="I390" s="33"/>
      <c r="J390" s="33"/>
      <c r="K390" s="33"/>
      <c r="L390" s="33"/>
      <c r="M390" s="7"/>
      <c r="N390" s="7"/>
      <c r="O390" s="7"/>
      <c r="P390" s="7"/>
      <c r="Q390" s="33"/>
      <c r="R390" s="7"/>
      <c r="S390" s="7"/>
      <c r="T390" s="32"/>
      <c r="U390" s="12"/>
    </row>
    <row r="391" ht="15.75" customHeight="1">
      <c r="A391" s="7"/>
      <c r="B391" s="7"/>
      <c r="C391" s="7"/>
      <c r="D391" s="7"/>
      <c r="E391" s="7"/>
      <c r="F391" s="7"/>
      <c r="G391" s="7"/>
      <c r="H391" s="33"/>
      <c r="I391" s="33"/>
      <c r="J391" s="33"/>
      <c r="K391" s="33"/>
      <c r="L391" s="33"/>
      <c r="M391" s="7"/>
      <c r="N391" s="7"/>
      <c r="O391" s="7"/>
      <c r="P391" s="7"/>
      <c r="Q391" s="33"/>
      <c r="R391" s="7"/>
      <c r="S391" s="7"/>
      <c r="T391" s="32"/>
      <c r="U391" s="12"/>
    </row>
    <row r="392" ht="15.75" customHeight="1">
      <c r="A392" s="7"/>
      <c r="B392" s="7"/>
      <c r="C392" s="7"/>
      <c r="D392" s="7"/>
      <c r="E392" s="7"/>
      <c r="F392" s="7"/>
      <c r="G392" s="7"/>
      <c r="H392" s="33"/>
      <c r="I392" s="33"/>
      <c r="J392" s="33"/>
      <c r="K392" s="33"/>
      <c r="L392" s="33"/>
      <c r="M392" s="7"/>
      <c r="N392" s="7"/>
      <c r="O392" s="7"/>
      <c r="P392" s="7"/>
      <c r="Q392" s="33"/>
      <c r="R392" s="7"/>
      <c r="S392" s="7"/>
      <c r="T392" s="32"/>
      <c r="U392" s="12"/>
    </row>
    <row r="393" ht="15.75" customHeight="1">
      <c r="A393" s="7"/>
      <c r="B393" s="7"/>
      <c r="C393" s="7"/>
      <c r="D393" s="7"/>
      <c r="E393" s="7"/>
      <c r="F393" s="7"/>
      <c r="G393" s="7"/>
      <c r="H393" s="33"/>
      <c r="I393" s="33"/>
      <c r="J393" s="33"/>
      <c r="K393" s="33"/>
      <c r="L393" s="33"/>
      <c r="M393" s="7"/>
      <c r="N393" s="7"/>
      <c r="O393" s="7"/>
      <c r="P393" s="7"/>
      <c r="Q393" s="33"/>
      <c r="R393" s="7"/>
      <c r="S393" s="7"/>
      <c r="T393" s="32"/>
      <c r="U393" s="12"/>
    </row>
    <row r="394" ht="15.75" customHeight="1">
      <c r="A394" s="7"/>
      <c r="B394" s="7"/>
      <c r="C394" s="7"/>
      <c r="D394" s="7"/>
      <c r="E394" s="7"/>
      <c r="F394" s="7"/>
      <c r="G394" s="7"/>
      <c r="H394" s="33"/>
      <c r="I394" s="33"/>
      <c r="J394" s="33"/>
      <c r="K394" s="33"/>
      <c r="L394" s="33"/>
      <c r="M394" s="7"/>
      <c r="N394" s="7"/>
      <c r="O394" s="7"/>
      <c r="P394" s="7"/>
      <c r="Q394" s="33"/>
      <c r="R394" s="7"/>
      <c r="S394" s="7"/>
      <c r="T394" s="32"/>
      <c r="U394" s="12"/>
    </row>
    <row r="395" ht="15.75" customHeight="1">
      <c r="A395" s="7"/>
      <c r="B395" s="7"/>
      <c r="C395" s="7"/>
      <c r="D395" s="7"/>
      <c r="E395" s="7"/>
      <c r="F395" s="7"/>
      <c r="G395" s="7"/>
      <c r="H395" s="33"/>
      <c r="I395" s="33"/>
      <c r="J395" s="33"/>
      <c r="K395" s="33"/>
      <c r="L395" s="33"/>
      <c r="M395" s="7"/>
      <c r="N395" s="7"/>
      <c r="O395" s="7"/>
      <c r="P395" s="7"/>
      <c r="Q395" s="33"/>
      <c r="R395" s="7"/>
      <c r="S395" s="7"/>
      <c r="T395" s="32"/>
      <c r="U395" s="12"/>
    </row>
    <row r="396" ht="15.75" customHeight="1">
      <c r="A396" s="7"/>
      <c r="B396" s="7"/>
      <c r="C396" s="7"/>
      <c r="D396" s="7"/>
      <c r="E396" s="7"/>
      <c r="F396" s="7"/>
      <c r="G396" s="7"/>
      <c r="H396" s="33"/>
      <c r="I396" s="33"/>
      <c r="J396" s="33"/>
      <c r="K396" s="33"/>
      <c r="L396" s="33"/>
      <c r="M396" s="7"/>
      <c r="N396" s="7"/>
      <c r="O396" s="7"/>
      <c r="P396" s="7"/>
      <c r="Q396" s="33"/>
      <c r="R396" s="7"/>
      <c r="S396" s="7"/>
      <c r="T396" s="32"/>
      <c r="U396" s="12"/>
    </row>
    <row r="397" ht="15.75" customHeight="1">
      <c r="A397" s="7"/>
      <c r="B397" s="7"/>
      <c r="C397" s="7"/>
      <c r="D397" s="7"/>
      <c r="E397" s="7"/>
      <c r="F397" s="7"/>
      <c r="G397" s="7"/>
      <c r="H397" s="33"/>
      <c r="I397" s="33"/>
      <c r="J397" s="33"/>
      <c r="K397" s="33"/>
      <c r="L397" s="33"/>
      <c r="M397" s="7"/>
      <c r="N397" s="7"/>
      <c r="O397" s="7"/>
      <c r="P397" s="7"/>
      <c r="Q397" s="33"/>
      <c r="R397" s="7"/>
      <c r="S397" s="7"/>
      <c r="T397" s="32"/>
      <c r="U397" s="12"/>
    </row>
    <row r="398" ht="15.75" customHeight="1">
      <c r="A398" s="7"/>
      <c r="B398" s="7"/>
      <c r="C398" s="7"/>
      <c r="D398" s="7"/>
      <c r="E398" s="7"/>
      <c r="F398" s="7"/>
      <c r="G398" s="7"/>
      <c r="H398" s="33"/>
      <c r="I398" s="33"/>
      <c r="J398" s="33"/>
      <c r="K398" s="33"/>
      <c r="L398" s="33"/>
      <c r="M398" s="7"/>
      <c r="N398" s="7"/>
      <c r="O398" s="7"/>
      <c r="P398" s="7"/>
      <c r="Q398" s="33"/>
      <c r="R398" s="7"/>
      <c r="S398" s="7"/>
      <c r="T398" s="32"/>
      <c r="U398" s="12"/>
    </row>
    <row r="399" ht="15.75" customHeight="1">
      <c r="A399" s="7"/>
      <c r="B399" s="7"/>
      <c r="C399" s="7"/>
      <c r="D399" s="7"/>
      <c r="E399" s="7"/>
      <c r="F399" s="7"/>
      <c r="G399" s="7"/>
      <c r="H399" s="33"/>
      <c r="I399" s="33"/>
      <c r="J399" s="33"/>
      <c r="K399" s="33"/>
      <c r="L399" s="33"/>
      <c r="M399" s="7"/>
      <c r="N399" s="7"/>
      <c r="O399" s="7"/>
      <c r="P399" s="7"/>
      <c r="Q399" s="33"/>
      <c r="R399" s="7"/>
      <c r="S399" s="7"/>
      <c r="T399" s="32"/>
      <c r="U399" s="12"/>
    </row>
    <row r="400" ht="15.75" customHeight="1">
      <c r="A400" s="7"/>
      <c r="B400" s="7"/>
      <c r="C400" s="7"/>
      <c r="D400" s="7"/>
      <c r="E400" s="7"/>
      <c r="F400" s="7"/>
      <c r="G400" s="7"/>
      <c r="H400" s="33"/>
      <c r="I400" s="33"/>
      <c r="J400" s="33"/>
      <c r="K400" s="33"/>
      <c r="L400" s="33"/>
      <c r="M400" s="7"/>
      <c r="N400" s="7"/>
      <c r="O400" s="7"/>
      <c r="P400" s="7"/>
      <c r="Q400" s="33"/>
      <c r="R400" s="7"/>
      <c r="S400" s="7"/>
      <c r="T400" s="32"/>
      <c r="U400" s="12"/>
    </row>
    <row r="401" ht="15.75" customHeight="1">
      <c r="A401" s="2"/>
      <c r="B401" s="2"/>
      <c r="C401" s="2"/>
      <c r="D401" s="2"/>
      <c r="E401" s="2"/>
      <c r="F401" s="2"/>
      <c r="G401" s="2"/>
      <c r="H401" s="74"/>
      <c r="I401" s="74"/>
      <c r="J401" s="74"/>
      <c r="K401" s="74"/>
      <c r="L401" s="74"/>
      <c r="M401" s="2"/>
      <c r="N401" s="2"/>
      <c r="O401" s="2"/>
      <c r="P401" s="2"/>
      <c r="Q401" s="74"/>
      <c r="R401" s="2"/>
      <c r="S401" s="2"/>
      <c r="T401" s="76"/>
      <c r="U401" s="88"/>
    </row>
    <row r="402" ht="15.75" customHeight="1">
      <c r="A402" s="2"/>
      <c r="B402" s="2"/>
      <c r="C402" s="2"/>
      <c r="D402" s="2"/>
      <c r="E402" s="2"/>
      <c r="F402" s="2"/>
      <c r="G402" s="2"/>
      <c r="H402" s="74"/>
      <c r="I402" s="74"/>
      <c r="J402" s="74"/>
      <c r="K402" s="74"/>
      <c r="L402" s="74"/>
      <c r="M402" s="2"/>
      <c r="N402" s="2"/>
      <c r="O402" s="2"/>
      <c r="P402" s="2"/>
      <c r="Q402" s="74"/>
      <c r="R402" s="2"/>
      <c r="S402" s="2"/>
      <c r="T402" s="76"/>
      <c r="U402" s="88"/>
    </row>
    <row r="403" ht="15.75" customHeight="1">
      <c r="A403" s="2"/>
      <c r="B403" s="2"/>
      <c r="C403" s="2"/>
      <c r="D403" s="2"/>
      <c r="E403" s="2"/>
      <c r="F403" s="2"/>
      <c r="G403" s="2"/>
      <c r="H403" s="74"/>
      <c r="I403" s="74"/>
      <c r="J403" s="74"/>
      <c r="K403" s="74"/>
      <c r="L403" s="74"/>
      <c r="M403" s="2"/>
      <c r="N403" s="2"/>
      <c r="O403" s="2"/>
      <c r="P403" s="2"/>
      <c r="Q403" s="74"/>
      <c r="R403" s="2"/>
      <c r="S403" s="2"/>
      <c r="T403" s="76"/>
      <c r="U403" s="88"/>
    </row>
    <row r="404" ht="15.75" customHeight="1">
      <c r="A404" s="2"/>
      <c r="B404" s="2"/>
      <c r="C404" s="2"/>
      <c r="D404" s="2"/>
      <c r="E404" s="2"/>
      <c r="F404" s="2"/>
      <c r="G404" s="2"/>
      <c r="H404" s="74"/>
      <c r="I404" s="74"/>
      <c r="J404" s="74"/>
      <c r="K404" s="74"/>
      <c r="L404" s="74"/>
      <c r="M404" s="2"/>
      <c r="N404" s="2"/>
      <c r="O404" s="2"/>
      <c r="P404" s="2"/>
      <c r="Q404" s="74"/>
      <c r="R404" s="2"/>
      <c r="S404" s="2"/>
      <c r="T404" s="76"/>
      <c r="U404" s="88"/>
    </row>
    <row r="405" ht="15.75" customHeight="1">
      <c r="A405" s="2"/>
      <c r="B405" s="2"/>
      <c r="C405" s="2"/>
      <c r="D405" s="2"/>
      <c r="E405" s="2"/>
      <c r="F405" s="2"/>
      <c r="G405" s="2"/>
      <c r="H405" s="74"/>
      <c r="I405" s="74"/>
      <c r="J405" s="74"/>
      <c r="K405" s="74"/>
      <c r="L405" s="74"/>
      <c r="M405" s="2"/>
      <c r="N405" s="2"/>
      <c r="O405" s="2"/>
      <c r="P405" s="2"/>
      <c r="Q405" s="74"/>
      <c r="R405" s="2"/>
      <c r="S405" s="2"/>
      <c r="T405" s="76"/>
      <c r="U405" s="88"/>
    </row>
    <row r="406" ht="15.75" customHeight="1">
      <c r="A406" s="2"/>
      <c r="B406" s="2"/>
      <c r="C406" s="2"/>
      <c r="D406" s="2"/>
      <c r="E406" s="2"/>
      <c r="F406" s="2"/>
      <c r="G406" s="2"/>
      <c r="H406" s="74"/>
      <c r="I406" s="74"/>
      <c r="J406" s="74"/>
      <c r="K406" s="74"/>
      <c r="L406" s="74"/>
      <c r="M406" s="2"/>
      <c r="N406" s="2"/>
      <c r="O406" s="2"/>
      <c r="P406" s="2"/>
      <c r="Q406" s="74"/>
      <c r="R406" s="2"/>
      <c r="S406" s="2"/>
      <c r="T406" s="76"/>
      <c r="U406" s="88"/>
    </row>
    <row r="407" ht="15.75" customHeight="1">
      <c r="A407" s="2"/>
      <c r="B407" s="2"/>
      <c r="C407" s="2"/>
      <c r="D407" s="2"/>
      <c r="E407" s="2"/>
      <c r="F407" s="2"/>
      <c r="G407" s="2"/>
      <c r="H407" s="74"/>
      <c r="I407" s="74"/>
      <c r="J407" s="74"/>
      <c r="K407" s="74"/>
      <c r="L407" s="74"/>
      <c r="M407" s="2"/>
      <c r="N407" s="2"/>
      <c r="O407" s="2"/>
      <c r="P407" s="2"/>
      <c r="Q407" s="74"/>
      <c r="R407" s="2"/>
      <c r="S407" s="2"/>
      <c r="T407" s="76"/>
      <c r="U407" s="88"/>
    </row>
    <row r="408" ht="15.75" customHeight="1">
      <c r="A408" s="2"/>
      <c r="B408" s="2"/>
      <c r="C408" s="2"/>
      <c r="D408" s="2"/>
      <c r="E408" s="2"/>
      <c r="F408" s="2"/>
      <c r="G408" s="2"/>
      <c r="H408" s="74"/>
      <c r="I408" s="74"/>
      <c r="J408" s="74"/>
      <c r="K408" s="74"/>
      <c r="L408" s="74"/>
      <c r="M408" s="2"/>
      <c r="N408" s="2"/>
      <c r="O408" s="2"/>
      <c r="P408" s="2"/>
      <c r="Q408" s="74"/>
      <c r="R408" s="2"/>
      <c r="S408" s="2"/>
      <c r="T408" s="76"/>
      <c r="U408" s="88"/>
    </row>
    <row r="409" ht="15.75" customHeight="1">
      <c r="A409" s="2"/>
      <c r="B409" s="2"/>
      <c r="C409" s="2"/>
      <c r="D409" s="2"/>
      <c r="E409" s="2"/>
      <c r="F409" s="2"/>
      <c r="G409" s="2"/>
      <c r="H409" s="74"/>
      <c r="I409" s="74"/>
      <c r="J409" s="74"/>
      <c r="K409" s="74"/>
      <c r="L409" s="74"/>
      <c r="M409" s="2"/>
      <c r="N409" s="2"/>
      <c r="O409" s="2"/>
      <c r="P409" s="2"/>
      <c r="Q409" s="74"/>
      <c r="R409" s="2"/>
      <c r="S409" s="2"/>
      <c r="T409" s="76"/>
      <c r="U409" s="88"/>
    </row>
    <row r="410" ht="15.75" customHeight="1">
      <c r="A410" s="2"/>
      <c r="B410" s="2"/>
      <c r="C410" s="2"/>
      <c r="D410" s="2"/>
      <c r="E410" s="2"/>
      <c r="F410" s="2"/>
      <c r="G410" s="2"/>
      <c r="H410" s="74"/>
      <c r="I410" s="74"/>
      <c r="J410" s="74"/>
      <c r="K410" s="74"/>
      <c r="L410" s="74"/>
      <c r="M410" s="2"/>
      <c r="N410" s="2"/>
      <c r="O410" s="2"/>
      <c r="P410" s="2"/>
      <c r="Q410" s="74"/>
      <c r="R410" s="2"/>
      <c r="S410" s="2"/>
      <c r="T410" s="76"/>
      <c r="U410" s="88"/>
    </row>
    <row r="411" ht="15.75" customHeight="1">
      <c r="A411" s="2"/>
      <c r="B411" s="2"/>
      <c r="C411" s="2"/>
      <c r="D411" s="2"/>
      <c r="E411" s="2"/>
      <c r="F411" s="2"/>
      <c r="G411" s="2"/>
      <c r="H411" s="74"/>
      <c r="I411" s="74"/>
      <c r="J411" s="74"/>
      <c r="K411" s="74"/>
      <c r="L411" s="74"/>
      <c r="M411" s="2"/>
      <c r="N411" s="2"/>
      <c r="O411" s="2"/>
      <c r="P411" s="2"/>
      <c r="Q411" s="74"/>
      <c r="R411" s="2"/>
      <c r="S411" s="2"/>
      <c r="T411" s="76"/>
      <c r="U411" s="88"/>
    </row>
    <row r="412" ht="15.75" customHeight="1">
      <c r="A412" s="2"/>
      <c r="B412" s="2"/>
      <c r="C412" s="2"/>
      <c r="D412" s="2"/>
      <c r="E412" s="2"/>
      <c r="F412" s="2"/>
      <c r="G412" s="2"/>
      <c r="H412" s="74"/>
      <c r="I412" s="74"/>
      <c r="J412" s="74"/>
      <c r="K412" s="74"/>
      <c r="L412" s="74"/>
      <c r="M412" s="2"/>
      <c r="N412" s="2"/>
      <c r="O412" s="2"/>
      <c r="P412" s="2"/>
      <c r="Q412" s="74"/>
      <c r="R412" s="2"/>
      <c r="S412" s="2"/>
      <c r="T412" s="76"/>
      <c r="U412" s="88"/>
    </row>
    <row r="413" ht="15.75" customHeight="1">
      <c r="A413" s="2"/>
      <c r="B413" s="2"/>
      <c r="C413" s="2"/>
      <c r="D413" s="2"/>
      <c r="E413" s="2"/>
      <c r="F413" s="2"/>
      <c r="G413" s="2"/>
      <c r="H413" s="74"/>
      <c r="I413" s="74"/>
      <c r="J413" s="74"/>
      <c r="K413" s="74"/>
      <c r="L413" s="74"/>
      <c r="M413" s="2"/>
      <c r="N413" s="2"/>
      <c r="O413" s="2"/>
      <c r="P413" s="2"/>
      <c r="Q413" s="74"/>
      <c r="R413" s="2"/>
      <c r="S413" s="2"/>
      <c r="T413" s="76"/>
      <c r="U413" s="88"/>
    </row>
    <row r="414" ht="15.75" customHeight="1">
      <c r="A414" s="2"/>
      <c r="B414" s="2"/>
      <c r="C414" s="2"/>
      <c r="D414" s="2"/>
      <c r="E414" s="2"/>
      <c r="F414" s="2"/>
      <c r="G414" s="2"/>
      <c r="H414" s="74"/>
      <c r="I414" s="74"/>
      <c r="J414" s="74"/>
      <c r="K414" s="74"/>
      <c r="L414" s="74"/>
      <c r="M414" s="2"/>
      <c r="N414" s="2"/>
      <c r="O414" s="2"/>
      <c r="P414" s="2"/>
      <c r="Q414" s="74"/>
      <c r="R414" s="2"/>
      <c r="S414" s="2"/>
      <c r="T414" s="76"/>
      <c r="U414" s="88"/>
    </row>
    <row r="415" ht="15.75" customHeight="1">
      <c r="A415" s="2"/>
      <c r="B415" s="2"/>
      <c r="C415" s="2"/>
      <c r="D415" s="2"/>
      <c r="E415" s="2"/>
      <c r="F415" s="2"/>
      <c r="G415" s="2"/>
      <c r="H415" s="74"/>
      <c r="I415" s="74"/>
      <c r="J415" s="74"/>
      <c r="K415" s="74"/>
      <c r="L415" s="74"/>
      <c r="M415" s="2"/>
      <c r="N415" s="2"/>
      <c r="O415" s="2"/>
      <c r="P415" s="2"/>
      <c r="Q415" s="74"/>
      <c r="R415" s="2"/>
      <c r="S415" s="2"/>
      <c r="T415" s="76"/>
      <c r="U415" s="88"/>
    </row>
    <row r="416" ht="15.75" customHeight="1">
      <c r="A416" s="2"/>
      <c r="B416" s="2"/>
      <c r="C416" s="2"/>
      <c r="D416" s="2"/>
      <c r="E416" s="2"/>
      <c r="F416" s="2"/>
      <c r="G416" s="2"/>
      <c r="H416" s="74"/>
      <c r="I416" s="74"/>
      <c r="J416" s="74"/>
      <c r="K416" s="74"/>
      <c r="L416" s="74"/>
      <c r="M416" s="2"/>
      <c r="N416" s="2"/>
      <c r="O416" s="2"/>
      <c r="P416" s="2"/>
      <c r="Q416" s="74"/>
      <c r="R416" s="2"/>
      <c r="S416" s="2"/>
      <c r="T416" s="76"/>
      <c r="U416" s="88"/>
    </row>
    <row r="417" ht="15.75" customHeight="1">
      <c r="A417" s="2"/>
      <c r="B417" s="2"/>
      <c r="C417" s="2"/>
      <c r="D417" s="2"/>
      <c r="E417" s="2"/>
      <c r="F417" s="2"/>
      <c r="G417" s="2"/>
      <c r="H417" s="74"/>
      <c r="I417" s="74"/>
      <c r="J417" s="74"/>
      <c r="K417" s="74"/>
      <c r="L417" s="74"/>
      <c r="M417" s="2"/>
      <c r="N417" s="2"/>
      <c r="O417" s="2"/>
      <c r="P417" s="2"/>
      <c r="Q417" s="74"/>
      <c r="R417" s="2"/>
      <c r="S417" s="2"/>
      <c r="T417" s="76"/>
      <c r="U417" s="88"/>
    </row>
    <row r="418" ht="15.75" customHeight="1">
      <c r="A418" s="2"/>
      <c r="B418" s="2"/>
      <c r="C418" s="2"/>
      <c r="D418" s="2"/>
      <c r="E418" s="2"/>
      <c r="F418" s="2"/>
      <c r="G418" s="2"/>
      <c r="H418" s="74"/>
      <c r="I418" s="74"/>
      <c r="J418" s="74"/>
      <c r="K418" s="74"/>
      <c r="L418" s="74"/>
      <c r="M418" s="2"/>
      <c r="N418" s="2"/>
      <c r="O418" s="2"/>
      <c r="P418" s="2"/>
      <c r="Q418" s="74"/>
      <c r="R418" s="2"/>
      <c r="S418" s="2"/>
      <c r="T418" s="76"/>
      <c r="U418" s="88"/>
    </row>
    <row r="419" ht="15.75" customHeight="1">
      <c r="A419" s="2"/>
      <c r="B419" s="2"/>
      <c r="C419" s="2"/>
      <c r="D419" s="2"/>
      <c r="E419" s="2"/>
      <c r="F419" s="2"/>
      <c r="G419" s="2"/>
      <c r="H419" s="74"/>
      <c r="I419" s="74"/>
      <c r="J419" s="74"/>
      <c r="K419" s="74"/>
      <c r="L419" s="74"/>
      <c r="M419" s="2"/>
      <c r="N419" s="2"/>
      <c r="O419" s="2"/>
      <c r="P419" s="2"/>
      <c r="Q419" s="74"/>
      <c r="R419" s="2"/>
      <c r="S419" s="2"/>
      <c r="T419" s="76"/>
      <c r="U419" s="88"/>
    </row>
    <row r="420" ht="15.75" customHeight="1">
      <c r="A420" s="2"/>
      <c r="B420" s="2"/>
      <c r="C420" s="2"/>
      <c r="D420" s="2"/>
      <c r="E420" s="2"/>
      <c r="F420" s="2"/>
      <c r="G420" s="2"/>
      <c r="H420" s="74"/>
      <c r="I420" s="74"/>
      <c r="J420" s="74"/>
      <c r="K420" s="74"/>
      <c r="L420" s="74"/>
      <c r="M420" s="2"/>
      <c r="N420" s="2"/>
      <c r="O420" s="2"/>
      <c r="P420" s="2"/>
      <c r="Q420" s="74"/>
      <c r="R420" s="2"/>
      <c r="S420" s="2"/>
      <c r="T420" s="76"/>
      <c r="U420" s="88"/>
    </row>
    <row r="421" ht="15.75" customHeight="1">
      <c r="A421" s="2"/>
      <c r="B421" s="2"/>
      <c r="C421" s="2"/>
      <c r="D421" s="2"/>
      <c r="E421" s="2"/>
      <c r="F421" s="2"/>
      <c r="G421" s="2"/>
      <c r="H421" s="74"/>
      <c r="I421" s="74"/>
      <c r="J421" s="74"/>
      <c r="K421" s="74"/>
      <c r="L421" s="74"/>
      <c r="M421" s="2"/>
      <c r="N421" s="2"/>
      <c r="O421" s="2"/>
      <c r="P421" s="2"/>
      <c r="Q421" s="74"/>
      <c r="R421" s="2"/>
      <c r="S421" s="2"/>
      <c r="T421" s="76"/>
      <c r="U421" s="88"/>
    </row>
    <row r="422" ht="15.75" customHeight="1">
      <c r="A422" s="2"/>
      <c r="B422" s="2"/>
      <c r="C422" s="2"/>
      <c r="D422" s="2"/>
      <c r="E422" s="2"/>
      <c r="F422" s="2"/>
      <c r="G422" s="2"/>
      <c r="H422" s="74"/>
      <c r="I422" s="74"/>
      <c r="J422" s="74"/>
      <c r="K422" s="74"/>
      <c r="L422" s="74"/>
      <c r="M422" s="2"/>
      <c r="N422" s="2"/>
      <c r="O422" s="2"/>
      <c r="P422" s="2"/>
      <c r="Q422" s="74"/>
      <c r="R422" s="2"/>
      <c r="S422" s="2"/>
      <c r="T422" s="76"/>
      <c r="U422" s="88"/>
    </row>
    <row r="423" ht="15.75" customHeight="1">
      <c r="A423" s="2"/>
      <c r="B423" s="2"/>
      <c r="C423" s="2"/>
      <c r="D423" s="2"/>
      <c r="E423" s="2"/>
      <c r="F423" s="2"/>
      <c r="G423" s="2"/>
      <c r="H423" s="74"/>
      <c r="I423" s="74"/>
      <c r="J423" s="74"/>
      <c r="K423" s="74"/>
      <c r="L423" s="74"/>
      <c r="M423" s="2"/>
      <c r="N423" s="2"/>
      <c r="O423" s="2"/>
      <c r="P423" s="2"/>
      <c r="Q423" s="74"/>
      <c r="R423" s="2"/>
      <c r="S423" s="2"/>
      <c r="T423" s="76"/>
      <c r="U423" s="88"/>
    </row>
    <row r="424" ht="15.75" customHeight="1">
      <c r="A424" s="2"/>
      <c r="B424" s="2"/>
      <c r="C424" s="2"/>
      <c r="D424" s="2"/>
      <c r="E424" s="2"/>
      <c r="F424" s="2"/>
      <c r="G424" s="2"/>
      <c r="H424" s="74"/>
      <c r="I424" s="74"/>
      <c r="J424" s="74"/>
      <c r="K424" s="74"/>
      <c r="L424" s="74"/>
      <c r="M424" s="2"/>
      <c r="N424" s="2"/>
      <c r="O424" s="2"/>
      <c r="P424" s="2"/>
      <c r="Q424" s="74"/>
      <c r="R424" s="2"/>
      <c r="S424" s="2"/>
      <c r="T424" s="76"/>
      <c r="U424" s="88"/>
    </row>
    <row r="425" ht="15.75" customHeight="1">
      <c r="A425" s="2"/>
      <c r="B425" s="2"/>
      <c r="C425" s="2"/>
      <c r="D425" s="2"/>
      <c r="E425" s="2"/>
      <c r="F425" s="2"/>
      <c r="G425" s="2"/>
      <c r="H425" s="74"/>
      <c r="I425" s="74"/>
      <c r="J425" s="74"/>
      <c r="K425" s="74"/>
      <c r="L425" s="74"/>
      <c r="M425" s="2"/>
      <c r="N425" s="2"/>
      <c r="O425" s="2"/>
      <c r="P425" s="2"/>
      <c r="Q425" s="74"/>
      <c r="R425" s="2"/>
      <c r="S425" s="2"/>
      <c r="T425" s="76"/>
      <c r="U425" s="88"/>
    </row>
    <row r="426" ht="15.75" customHeight="1">
      <c r="A426" s="2"/>
      <c r="B426" s="2"/>
      <c r="C426" s="2"/>
      <c r="D426" s="2"/>
      <c r="E426" s="2"/>
      <c r="F426" s="2"/>
      <c r="G426" s="2"/>
      <c r="H426" s="74"/>
      <c r="I426" s="74"/>
      <c r="J426" s="74"/>
      <c r="K426" s="74"/>
      <c r="L426" s="74"/>
      <c r="M426" s="2"/>
      <c r="N426" s="2"/>
      <c r="O426" s="2"/>
      <c r="P426" s="2"/>
      <c r="Q426" s="74"/>
      <c r="R426" s="2"/>
      <c r="S426" s="2"/>
      <c r="T426" s="76"/>
      <c r="U426" s="88"/>
    </row>
    <row r="427" ht="15.75" customHeight="1">
      <c r="A427" s="2"/>
      <c r="B427" s="2"/>
      <c r="C427" s="2"/>
      <c r="D427" s="2"/>
      <c r="E427" s="2"/>
      <c r="F427" s="2"/>
      <c r="G427" s="2"/>
      <c r="H427" s="74"/>
      <c r="I427" s="74"/>
      <c r="J427" s="74"/>
      <c r="K427" s="74"/>
      <c r="L427" s="74"/>
      <c r="M427" s="2"/>
      <c r="N427" s="2"/>
      <c r="O427" s="2"/>
      <c r="P427" s="2"/>
      <c r="Q427" s="74"/>
      <c r="R427" s="2"/>
      <c r="S427" s="2"/>
      <c r="T427" s="76"/>
      <c r="U427" s="88"/>
    </row>
    <row r="428" ht="15.75" customHeight="1">
      <c r="A428" s="2"/>
      <c r="B428" s="2"/>
      <c r="C428" s="2"/>
      <c r="D428" s="2"/>
      <c r="E428" s="2"/>
      <c r="F428" s="2"/>
      <c r="G428" s="2"/>
      <c r="H428" s="74"/>
      <c r="I428" s="74"/>
      <c r="J428" s="74"/>
      <c r="K428" s="74"/>
      <c r="L428" s="74"/>
      <c r="M428" s="2"/>
      <c r="N428" s="2"/>
      <c r="O428" s="2"/>
      <c r="P428" s="2"/>
      <c r="Q428" s="74"/>
      <c r="R428" s="2"/>
      <c r="S428" s="2"/>
      <c r="T428" s="76"/>
      <c r="U428" s="88"/>
    </row>
    <row r="429" ht="15.75" customHeight="1">
      <c r="A429" s="2"/>
      <c r="B429" s="2"/>
      <c r="C429" s="2"/>
      <c r="D429" s="2"/>
      <c r="E429" s="2"/>
      <c r="F429" s="2"/>
      <c r="G429" s="2"/>
      <c r="H429" s="74"/>
      <c r="I429" s="74"/>
      <c r="J429" s="74"/>
      <c r="K429" s="74"/>
      <c r="L429" s="74"/>
      <c r="M429" s="2"/>
      <c r="N429" s="2"/>
      <c r="O429" s="2"/>
      <c r="P429" s="2"/>
      <c r="Q429" s="74"/>
      <c r="R429" s="2"/>
      <c r="S429" s="2"/>
      <c r="T429" s="76"/>
      <c r="U429" s="88"/>
    </row>
    <row r="430" ht="15.75" customHeight="1">
      <c r="A430" s="2"/>
      <c r="B430" s="2"/>
      <c r="C430" s="2"/>
      <c r="D430" s="2"/>
      <c r="E430" s="2"/>
      <c r="F430" s="2"/>
      <c r="G430" s="2"/>
      <c r="H430" s="74"/>
      <c r="I430" s="74"/>
      <c r="J430" s="74"/>
      <c r="K430" s="74"/>
      <c r="L430" s="74"/>
      <c r="M430" s="2"/>
      <c r="N430" s="2"/>
      <c r="O430" s="2"/>
      <c r="P430" s="2"/>
      <c r="Q430" s="74"/>
      <c r="R430" s="2"/>
      <c r="S430" s="2"/>
      <c r="T430" s="76"/>
      <c r="U430" s="88"/>
    </row>
    <row r="431" ht="15.75" customHeight="1">
      <c r="A431" s="2"/>
      <c r="B431" s="2"/>
      <c r="C431" s="2"/>
      <c r="D431" s="2"/>
      <c r="E431" s="2"/>
      <c r="F431" s="2"/>
      <c r="G431" s="2"/>
      <c r="H431" s="74"/>
      <c r="I431" s="74"/>
      <c r="J431" s="74"/>
      <c r="K431" s="74"/>
      <c r="L431" s="74"/>
      <c r="M431" s="2"/>
      <c r="N431" s="2"/>
      <c r="O431" s="2"/>
      <c r="P431" s="2"/>
      <c r="Q431" s="74"/>
      <c r="R431" s="2"/>
      <c r="S431" s="2"/>
      <c r="T431" s="76"/>
      <c r="U431" s="88"/>
    </row>
    <row r="432" ht="15.75" customHeight="1">
      <c r="A432" s="2"/>
      <c r="B432" s="2"/>
      <c r="C432" s="2"/>
      <c r="D432" s="2"/>
      <c r="E432" s="2"/>
      <c r="F432" s="2"/>
      <c r="G432" s="2"/>
      <c r="H432" s="74"/>
      <c r="I432" s="74"/>
      <c r="J432" s="74"/>
      <c r="K432" s="74"/>
      <c r="L432" s="74"/>
      <c r="M432" s="2"/>
      <c r="N432" s="2"/>
      <c r="O432" s="2"/>
      <c r="P432" s="2"/>
      <c r="Q432" s="74"/>
      <c r="R432" s="2"/>
      <c r="S432" s="2"/>
      <c r="T432" s="76"/>
      <c r="U432" s="88"/>
    </row>
    <row r="433" ht="15.75" customHeight="1">
      <c r="A433" s="2"/>
      <c r="B433" s="2"/>
      <c r="C433" s="2"/>
      <c r="D433" s="2"/>
      <c r="E433" s="2"/>
      <c r="F433" s="2"/>
      <c r="G433" s="2"/>
      <c r="H433" s="74"/>
      <c r="I433" s="74"/>
      <c r="J433" s="74"/>
      <c r="K433" s="74"/>
      <c r="L433" s="74"/>
      <c r="M433" s="2"/>
      <c r="N433" s="2"/>
      <c r="O433" s="2"/>
      <c r="P433" s="2"/>
      <c r="Q433" s="74"/>
      <c r="R433" s="2"/>
      <c r="S433" s="2"/>
      <c r="T433" s="76"/>
      <c r="U433" s="88"/>
    </row>
    <row r="434" ht="15.75" customHeight="1">
      <c r="A434" s="2"/>
      <c r="B434" s="2"/>
      <c r="C434" s="2"/>
      <c r="D434" s="2"/>
      <c r="E434" s="2"/>
      <c r="F434" s="2"/>
      <c r="G434" s="2"/>
      <c r="H434" s="74"/>
      <c r="I434" s="74"/>
      <c r="J434" s="74"/>
      <c r="K434" s="74"/>
      <c r="L434" s="74"/>
      <c r="M434" s="2"/>
      <c r="N434" s="2"/>
      <c r="O434" s="2"/>
      <c r="P434" s="2"/>
      <c r="Q434" s="74"/>
      <c r="R434" s="2"/>
      <c r="S434" s="2"/>
      <c r="T434" s="76"/>
      <c r="U434" s="88"/>
    </row>
    <row r="435" ht="15.75" customHeight="1">
      <c r="A435" s="2"/>
      <c r="B435" s="2"/>
      <c r="C435" s="2"/>
      <c r="D435" s="2"/>
      <c r="E435" s="2"/>
      <c r="F435" s="2"/>
      <c r="G435" s="2"/>
      <c r="H435" s="74"/>
      <c r="I435" s="74"/>
      <c r="J435" s="74"/>
      <c r="K435" s="74"/>
      <c r="L435" s="74"/>
      <c r="M435" s="2"/>
      <c r="N435" s="2"/>
      <c r="O435" s="2"/>
      <c r="P435" s="2"/>
      <c r="Q435" s="74"/>
      <c r="R435" s="2"/>
      <c r="S435" s="2"/>
      <c r="T435" s="76"/>
      <c r="U435" s="88"/>
    </row>
    <row r="436" ht="15.75" customHeight="1">
      <c r="A436" s="2"/>
      <c r="B436" s="2"/>
      <c r="C436" s="2"/>
      <c r="D436" s="2"/>
      <c r="E436" s="2"/>
      <c r="F436" s="2"/>
      <c r="G436" s="2"/>
      <c r="H436" s="74"/>
      <c r="I436" s="74"/>
      <c r="J436" s="74"/>
      <c r="K436" s="74"/>
      <c r="L436" s="74"/>
      <c r="M436" s="2"/>
      <c r="N436" s="2"/>
      <c r="O436" s="2"/>
      <c r="P436" s="2"/>
      <c r="Q436" s="74"/>
      <c r="R436" s="2"/>
      <c r="S436" s="2"/>
      <c r="T436" s="76"/>
      <c r="U436" s="88"/>
    </row>
    <row r="437" ht="15.75" customHeight="1">
      <c r="A437" s="2"/>
      <c r="B437" s="2"/>
      <c r="C437" s="2"/>
      <c r="D437" s="2"/>
      <c r="E437" s="2"/>
      <c r="F437" s="2"/>
      <c r="G437" s="2"/>
      <c r="H437" s="74"/>
      <c r="I437" s="74"/>
      <c r="J437" s="74"/>
      <c r="K437" s="74"/>
      <c r="L437" s="74"/>
      <c r="M437" s="2"/>
      <c r="N437" s="2"/>
      <c r="O437" s="2"/>
      <c r="P437" s="2"/>
      <c r="Q437" s="74"/>
      <c r="R437" s="2"/>
      <c r="S437" s="2"/>
      <c r="T437" s="76"/>
      <c r="U437" s="88"/>
    </row>
    <row r="438" ht="15.75" customHeight="1">
      <c r="A438" s="2"/>
      <c r="B438" s="2"/>
      <c r="C438" s="2"/>
      <c r="D438" s="2"/>
      <c r="E438" s="2"/>
      <c r="F438" s="2"/>
      <c r="G438" s="2"/>
      <c r="H438" s="74"/>
      <c r="I438" s="74"/>
      <c r="J438" s="74"/>
      <c r="K438" s="74"/>
      <c r="L438" s="74"/>
      <c r="M438" s="2"/>
      <c r="N438" s="2"/>
      <c r="O438" s="2"/>
      <c r="P438" s="2"/>
      <c r="Q438" s="74"/>
      <c r="R438" s="2"/>
      <c r="S438" s="2"/>
      <c r="T438" s="76"/>
      <c r="U438" s="88"/>
    </row>
    <row r="439" ht="15.75" customHeight="1">
      <c r="A439" s="2"/>
      <c r="B439" s="2"/>
      <c r="C439" s="2"/>
      <c r="D439" s="2"/>
      <c r="E439" s="2"/>
      <c r="F439" s="2"/>
      <c r="G439" s="2"/>
      <c r="H439" s="74"/>
      <c r="I439" s="74"/>
      <c r="J439" s="74"/>
      <c r="K439" s="74"/>
      <c r="L439" s="74"/>
      <c r="M439" s="2"/>
      <c r="N439" s="2"/>
      <c r="O439" s="2"/>
      <c r="P439" s="2"/>
      <c r="Q439" s="74"/>
      <c r="R439" s="2"/>
      <c r="S439" s="2"/>
      <c r="T439" s="76"/>
      <c r="U439" s="88"/>
    </row>
    <row r="440" ht="15.75" customHeight="1">
      <c r="A440" s="2"/>
      <c r="B440" s="2"/>
      <c r="C440" s="2"/>
      <c r="D440" s="2"/>
      <c r="E440" s="2"/>
      <c r="F440" s="2"/>
      <c r="G440" s="2"/>
      <c r="H440" s="74"/>
      <c r="I440" s="74"/>
      <c r="J440" s="74"/>
      <c r="K440" s="74"/>
      <c r="L440" s="74"/>
      <c r="M440" s="2"/>
      <c r="N440" s="2"/>
      <c r="O440" s="2"/>
      <c r="P440" s="2"/>
      <c r="Q440" s="74"/>
      <c r="R440" s="2"/>
      <c r="S440" s="2"/>
      <c r="T440" s="76"/>
      <c r="U440" s="88"/>
    </row>
    <row r="441" ht="15.75" customHeight="1">
      <c r="A441" s="2"/>
      <c r="B441" s="2"/>
      <c r="C441" s="2"/>
      <c r="D441" s="2"/>
      <c r="E441" s="2"/>
      <c r="F441" s="2"/>
      <c r="G441" s="2"/>
      <c r="H441" s="74"/>
      <c r="I441" s="74"/>
      <c r="J441" s="74"/>
      <c r="K441" s="74"/>
      <c r="L441" s="74"/>
      <c r="M441" s="2"/>
      <c r="N441" s="2"/>
      <c r="O441" s="2"/>
      <c r="P441" s="2"/>
      <c r="Q441" s="74"/>
      <c r="R441" s="2"/>
      <c r="S441" s="2"/>
      <c r="T441" s="76"/>
      <c r="U441" s="88"/>
    </row>
    <row r="442" ht="15.75" customHeight="1">
      <c r="A442" s="2"/>
      <c r="B442" s="2"/>
      <c r="C442" s="2"/>
      <c r="D442" s="2"/>
      <c r="E442" s="2"/>
      <c r="F442" s="2"/>
      <c r="G442" s="2"/>
      <c r="H442" s="74"/>
      <c r="I442" s="74"/>
      <c r="J442" s="74"/>
      <c r="K442" s="74"/>
      <c r="L442" s="74"/>
      <c r="M442" s="2"/>
      <c r="N442" s="2"/>
      <c r="O442" s="2"/>
      <c r="P442" s="2"/>
      <c r="Q442" s="74"/>
      <c r="R442" s="2"/>
      <c r="S442" s="2"/>
      <c r="T442" s="76"/>
      <c r="U442" s="88"/>
    </row>
    <row r="443" ht="15.75" customHeight="1">
      <c r="A443" s="2"/>
      <c r="B443" s="2"/>
      <c r="C443" s="2"/>
      <c r="D443" s="2"/>
      <c r="E443" s="2"/>
      <c r="F443" s="2"/>
      <c r="G443" s="2"/>
      <c r="H443" s="74"/>
      <c r="I443" s="74"/>
      <c r="J443" s="74"/>
      <c r="K443" s="74"/>
      <c r="L443" s="74"/>
      <c r="M443" s="2"/>
      <c r="N443" s="2"/>
      <c r="O443" s="2"/>
      <c r="P443" s="2"/>
      <c r="Q443" s="74"/>
      <c r="R443" s="2"/>
      <c r="S443" s="2"/>
      <c r="T443" s="76"/>
      <c r="U443" s="88"/>
    </row>
    <row r="444" ht="15.75" customHeight="1">
      <c r="A444" s="2"/>
      <c r="B444" s="2"/>
      <c r="C444" s="2"/>
      <c r="D444" s="2"/>
      <c r="E444" s="2"/>
      <c r="F444" s="2"/>
      <c r="G444" s="2"/>
      <c r="H444" s="74"/>
      <c r="I444" s="74"/>
      <c r="J444" s="74"/>
      <c r="K444" s="74"/>
      <c r="L444" s="74"/>
      <c r="M444" s="2"/>
      <c r="N444" s="2"/>
      <c r="O444" s="2"/>
      <c r="P444" s="2"/>
      <c r="Q444" s="74"/>
      <c r="R444" s="2"/>
      <c r="S444" s="2"/>
      <c r="T444" s="76"/>
      <c r="U444" s="88"/>
    </row>
    <row r="445" ht="15.75" customHeight="1">
      <c r="A445" s="2"/>
      <c r="B445" s="2"/>
      <c r="C445" s="2"/>
      <c r="D445" s="2"/>
      <c r="E445" s="2"/>
      <c r="F445" s="2"/>
      <c r="G445" s="2"/>
      <c r="H445" s="74"/>
      <c r="I445" s="74"/>
      <c r="J445" s="74"/>
      <c r="K445" s="74"/>
      <c r="L445" s="74"/>
      <c r="M445" s="2"/>
      <c r="N445" s="2"/>
      <c r="O445" s="2"/>
      <c r="P445" s="2"/>
      <c r="Q445" s="74"/>
      <c r="R445" s="2"/>
      <c r="S445" s="2"/>
      <c r="T445" s="76"/>
      <c r="U445" s="88"/>
    </row>
    <row r="446" ht="15.75" customHeight="1">
      <c r="A446" s="2"/>
      <c r="B446" s="2"/>
      <c r="C446" s="2"/>
      <c r="D446" s="2"/>
      <c r="E446" s="2"/>
      <c r="F446" s="2"/>
      <c r="G446" s="2"/>
      <c r="H446" s="74"/>
      <c r="I446" s="74"/>
      <c r="J446" s="74"/>
      <c r="K446" s="74"/>
      <c r="L446" s="74"/>
      <c r="M446" s="2"/>
      <c r="N446" s="2"/>
      <c r="O446" s="2"/>
      <c r="P446" s="2"/>
      <c r="Q446" s="74"/>
      <c r="R446" s="2"/>
      <c r="S446" s="2"/>
      <c r="T446" s="76"/>
      <c r="U446" s="88"/>
    </row>
    <row r="447" ht="15.75" customHeight="1">
      <c r="A447" s="2"/>
      <c r="B447" s="2"/>
      <c r="C447" s="2"/>
      <c r="D447" s="2"/>
      <c r="E447" s="2"/>
      <c r="F447" s="2"/>
      <c r="G447" s="2"/>
      <c r="H447" s="74"/>
      <c r="I447" s="74"/>
      <c r="J447" s="74"/>
      <c r="K447" s="74"/>
      <c r="L447" s="74"/>
      <c r="M447" s="2"/>
      <c r="N447" s="2"/>
      <c r="O447" s="2"/>
      <c r="P447" s="2"/>
      <c r="Q447" s="74"/>
      <c r="R447" s="2"/>
      <c r="S447" s="2"/>
      <c r="T447" s="76"/>
      <c r="U447" s="88"/>
    </row>
    <row r="448" ht="15.75" customHeight="1">
      <c r="A448" s="2"/>
      <c r="B448" s="2"/>
      <c r="C448" s="2"/>
      <c r="D448" s="2"/>
      <c r="E448" s="2"/>
      <c r="F448" s="2"/>
      <c r="G448" s="2"/>
      <c r="H448" s="74"/>
      <c r="I448" s="74"/>
      <c r="J448" s="74"/>
      <c r="K448" s="74"/>
      <c r="L448" s="74"/>
      <c r="M448" s="2"/>
      <c r="N448" s="2"/>
      <c r="O448" s="2"/>
      <c r="P448" s="2"/>
      <c r="Q448" s="74"/>
      <c r="R448" s="2"/>
      <c r="S448" s="2"/>
      <c r="T448" s="76"/>
      <c r="U448" s="88"/>
    </row>
    <row r="449" ht="15.75" customHeight="1">
      <c r="A449" s="2"/>
      <c r="B449" s="2"/>
      <c r="C449" s="2"/>
      <c r="D449" s="2"/>
      <c r="E449" s="2"/>
      <c r="F449" s="2"/>
      <c r="G449" s="2"/>
      <c r="H449" s="74"/>
      <c r="I449" s="74"/>
      <c r="J449" s="74"/>
      <c r="K449" s="74"/>
      <c r="L449" s="74"/>
      <c r="M449" s="2"/>
      <c r="N449" s="2"/>
      <c r="O449" s="2"/>
      <c r="P449" s="2"/>
      <c r="Q449" s="74"/>
      <c r="R449" s="2"/>
      <c r="S449" s="2"/>
      <c r="T449" s="76"/>
      <c r="U449" s="88"/>
    </row>
    <row r="450" ht="15.75" customHeight="1">
      <c r="A450" s="2"/>
      <c r="B450" s="2"/>
      <c r="C450" s="2"/>
      <c r="D450" s="2"/>
      <c r="E450" s="2"/>
      <c r="F450" s="2"/>
      <c r="G450" s="2"/>
      <c r="H450" s="74"/>
      <c r="I450" s="74"/>
      <c r="J450" s="74"/>
      <c r="K450" s="74"/>
      <c r="L450" s="74"/>
      <c r="M450" s="2"/>
      <c r="N450" s="2"/>
      <c r="O450" s="2"/>
      <c r="P450" s="2"/>
      <c r="Q450" s="74"/>
      <c r="R450" s="2"/>
      <c r="S450" s="2"/>
      <c r="T450" s="76"/>
      <c r="U450" s="88"/>
    </row>
    <row r="451" ht="15.75" customHeight="1">
      <c r="A451" s="2"/>
      <c r="B451" s="2"/>
      <c r="C451" s="2"/>
      <c r="D451" s="2"/>
      <c r="E451" s="2"/>
      <c r="F451" s="2"/>
      <c r="G451" s="2"/>
      <c r="H451" s="74"/>
      <c r="I451" s="74"/>
      <c r="J451" s="74"/>
      <c r="K451" s="74"/>
      <c r="L451" s="74"/>
      <c r="M451" s="2"/>
      <c r="N451" s="2"/>
      <c r="O451" s="2"/>
      <c r="P451" s="2"/>
      <c r="Q451" s="74"/>
      <c r="R451" s="2"/>
      <c r="S451" s="2"/>
      <c r="T451" s="76"/>
      <c r="U451" s="88"/>
    </row>
    <row r="452" ht="15.75" customHeight="1">
      <c r="A452" s="2"/>
      <c r="B452" s="2"/>
      <c r="C452" s="2"/>
      <c r="D452" s="2"/>
      <c r="E452" s="2"/>
      <c r="F452" s="2"/>
      <c r="G452" s="2"/>
      <c r="H452" s="74"/>
      <c r="I452" s="74"/>
      <c r="J452" s="74"/>
      <c r="K452" s="74"/>
      <c r="L452" s="74"/>
      <c r="M452" s="2"/>
      <c r="N452" s="2"/>
      <c r="O452" s="2"/>
      <c r="P452" s="2"/>
      <c r="Q452" s="74"/>
      <c r="R452" s="2"/>
      <c r="S452" s="2"/>
      <c r="T452" s="76"/>
      <c r="U452" s="88"/>
    </row>
    <row r="453" ht="15.75" customHeight="1">
      <c r="A453" s="2"/>
      <c r="B453" s="2"/>
      <c r="C453" s="2"/>
      <c r="D453" s="2"/>
      <c r="E453" s="2"/>
      <c r="F453" s="2"/>
      <c r="G453" s="2"/>
      <c r="H453" s="74"/>
      <c r="I453" s="74"/>
      <c r="J453" s="74"/>
      <c r="K453" s="74"/>
      <c r="L453" s="74"/>
      <c r="M453" s="2"/>
      <c r="N453" s="2"/>
      <c r="O453" s="2"/>
      <c r="P453" s="2"/>
      <c r="Q453" s="74"/>
      <c r="R453" s="2"/>
      <c r="S453" s="2"/>
      <c r="T453" s="76"/>
      <c r="U453" s="88"/>
    </row>
    <row r="454" ht="15.75" customHeight="1">
      <c r="A454" s="2"/>
      <c r="B454" s="2"/>
      <c r="C454" s="2"/>
      <c r="D454" s="2"/>
      <c r="E454" s="2"/>
      <c r="F454" s="2"/>
      <c r="G454" s="2"/>
      <c r="H454" s="74"/>
      <c r="I454" s="74"/>
      <c r="J454" s="74"/>
      <c r="K454" s="74"/>
      <c r="L454" s="74"/>
      <c r="M454" s="2"/>
      <c r="N454" s="2"/>
      <c r="O454" s="2"/>
      <c r="P454" s="2"/>
      <c r="Q454" s="74"/>
      <c r="R454" s="2"/>
      <c r="S454" s="2"/>
      <c r="T454" s="76"/>
      <c r="U454" s="88"/>
    </row>
    <row r="455" ht="15.75" customHeight="1">
      <c r="A455" s="2"/>
      <c r="B455" s="2"/>
      <c r="C455" s="2"/>
      <c r="D455" s="2"/>
      <c r="E455" s="2"/>
      <c r="F455" s="2"/>
      <c r="G455" s="2"/>
      <c r="H455" s="74"/>
      <c r="I455" s="74"/>
      <c r="J455" s="74"/>
      <c r="K455" s="74"/>
      <c r="L455" s="74"/>
      <c r="M455" s="2"/>
      <c r="N455" s="2"/>
      <c r="O455" s="2"/>
      <c r="P455" s="2"/>
      <c r="Q455" s="74"/>
      <c r="R455" s="2"/>
      <c r="S455" s="2"/>
      <c r="T455" s="76"/>
      <c r="U455" s="88"/>
    </row>
    <row r="456" ht="15.75" customHeight="1">
      <c r="A456" s="2"/>
      <c r="B456" s="2"/>
      <c r="C456" s="2"/>
      <c r="D456" s="2"/>
      <c r="E456" s="2"/>
      <c r="F456" s="2"/>
      <c r="G456" s="2"/>
      <c r="H456" s="74"/>
      <c r="I456" s="74"/>
      <c r="J456" s="74"/>
      <c r="K456" s="74"/>
      <c r="L456" s="74"/>
      <c r="M456" s="2"/>
      <c r="N456" s="2"/>
      <c r="O456" s="2"/>
      <c r="P456" s="2"/>
      <c r="Q456" s="74"/>
      <c r="R456" s="2"/>
      <c r="S456" s="2"/>
      <c r="T456" s="76"/>
      <c r="U456" s="88"/>
    </row>
    <row r="457" ht="15.75" customHeight="1">
      <c r="A457" s="2"/>
      <c r="B457" s="2"/>
      <c r="C457" s="2"/>
      <c r="D457" s="2"/>
      <c r="E457" s="2"/>
      <c r="F457" s="2"/>
      <c r="G457" s="2"/>
      <c r="H457" s="74"/>
      <c r="I457" s="74"/>
      <c r="J457" s="74"/>
      <c r="K457" s="74"/>
      <c r="L457" s="74"/>
      <c r="M457" s="2"/>
      <c r="N457" s="2"/>
      <c r="O457" s="2"/>
      <c r="P457" s="2"/>
      <c r="Q457" s="74"/>
      <c r="R457" s="2"/>
      <c r="S457" s="2"/>
      <c r="T457" s="76"/>
      <c r="U457" s="88"/>
    </row>
    <row r="458" ht="15.75" customHeight="1">
      <c r="A458" s="2"/>
      <c r="B458" s="2"/>
      <c r="C458" s="2"/>
      <c r="D458" s="2"/>
      <c r="E458" s="2"/>
      <c r="F458" s="2"/>
      <c r="G458" s="2"/>
      <c r="H458" s="74"/>
      <c r="I458" s="74"/>
      <c r="J458" s="74"/>
      <c r="K458" s="74"/>
      <c r="L458" s="74"/>
      <c r="M458" s="2"/>
      <c r="N458" s="2"/>
      <c r="O458" s="2"/>
      <c r="P458" s="2"/>
      <c r="Q458" s="74"/>
      <c r="R458" s="2"/>
      <c r="S458" s="2"/>
      <c r="T458" s="76"/>
      <c r="U458" s="88"/>
    </row>
    <row r="459" ht="15.75" customHeight="1">
      <c r="A459" s="2"/>
      <c r="B459" s="2"/>
      <c r="C459" s="2"/>
      <c r="D459" s="2"/>
      <c r="E459" s="2"/>
      <c r="F459" s="2"/>
      <c r="G459" s="2"/>
      <c r="H459" s="74"/>
      <c r="I459" s="74"/>
      <c r="J459" s="74"/>
      <c r="K459" s="74"/>
      <c r="L459" s="74"/>
      <c r="M459" s="2"/>
      <c r="N459" s="2"/>
      <c r="O459" s="2"/>
      <c r="P459" s="2"/>
      <c r="Q459" s="74"/>
      <c r="R459" s="2"/>
      <c r="S459" s="2"/>
      <c r="T459" s="76"/>
      <c r="U459" s="88"/>
    </row>
    <row r="460" ht="15.75" customHeight="1">
      <c r="A460" s="2"/>
      <c r="B460" s="2"/>
      <c r="C460" s="2"/>
      <c r="D460" s="2"/>
      <c r="E460" s="2"/>
      <c r="F460" s="2"/>
      <c r="G460" s="2"/>
      <c r="H460" s="74"/>
      <c r="I460" s="74"/>
      <c r="J460" s="74"/>
      <c r="K460" s="74"/>
      <c r="L460" s="74"/>
      <c r="M460" s="2"/>
      <c r="N460" s="2"/>
      <c r="O460" s="2"/>
      <c r="P460" s="2"/>
      <c r="Q460" s="74"/>
      <c r="R460" s="2"/>
      <c r="S460" s="2"/>
      <c r="T460" s="76"/>
      <c r="U460" s="88"/>
    </row>
    <row r="461" ht="15.75" customHeight="1">
      <c r="A461" s="2"/>
      <c r="B461" s="2"/>
      <c r="C461" s="2"/>
      <c r="D461" s="2"/>
      <c r="E461" s="2"/>
      <c r="F461" s="2"/>
      <c r="G461" s="2"/>
      <c r="H461" s="74"/>
      <c r="I461" s="74"/>
      <c r="J461" s="74"/>
      <c r="K461" s="74"/>
      <c r="L461" s="74"/>
      <c r="M461" s="2"/>
      <c r="N461" s="2"/>
      <c r="O461" s="2"/>
      <c r="P461" s="2"/>
      <c r="Q461" s="74"/>
      <c r="R461" s="2"/>
      <c r="S461" s="2"/>
      <c r="T461" s="76"/>
      <c r="U461" s="88"/>
    </row>
    <row r="462" ht="15.75" customHeight="1">
      <c r="A462" s="2"/>
      <c r="B462" s="2"/>
      <c r="C462" s="2"/>
      <c r="D462" s="2"/>
      <c r="E462" s="2"/>
      <c r="F462" s="2"/>
      <c r="G462" s="2"/>
      <c r="H462" s="74"/>
      <c r="I462" s="74"/>
      <c r="J462" s="74"/>
      <c r="K462" s="74"/>
      <c r="L462" s="74"/>
      <c r="M462" s="2"/>
      <c r="N462" s="2"/>
      <c r="O462" s="2"/>
      <c r="P462" s="2"/>
      <c r="Q462" s="74"/>
      <c r="R462" s="2"/>
      <c r="S462" s="2"/>
      <c r="T462" s="76"/>
      <c r="U462" s="88"/>
    </row>
    <row r="463" ht="15.75" customHeight="1">
      <c r="A463" s="2"/>
      <c r="B463" s="2"/>
      <c r="C463" s="2"/>
      <c r="D463" s="2"/>
      <c r="E463" s="2"/>
      <c r="F463" s="2"/>
      <c r="G463" s="2"/>
      <c r="H463" s="74"/>
      <c r="I463" s="74"/>
      <c r="J463" s="74"/>
      <c r="K463" s="74"/>
      <c r="L463" s="74"/>
      <c r="M463" s="2"/>
      <c r="N463" s="2"/>
      <c r="O463" s="2"/>
      <c r="P463" s="2"/>
      <c r="Q463" s="74"/>
      <c r="R463" s="2"/>
      <c r="S463" s="2"/>
      <c r="T463" s="76"/>
      <c r="U463" s="88"/>
    </row>
    <row r="464" ht="15.75" customHeight="1">
      <c r="A464" s="2"/>
      <c r="B464" s="2"/>
      <c r="C464" s="2"/>
      <c r="D464" s="2"/>
      <c r="E464" s="2"/>
      <c r="F464" s="2"/>
      <c r="G464" s="2"/>
      <c r="H464" s="74"/>
      <c r="I464" s="74"/>
      <c r="J464" s="74"/>
      <c r="K464" s="74"/>
      <c r="L464" s="74"/>
      <c r="M464" s="2"/>
      <c r="N464" s="2"/>
      <c r="O464" s="2"/>
      <c r="P464" s="2"/>
      <c r="Q464" s="74"/>
      <c r="R464" s="2"/>
      <c r="S464" s="2"/>
      <c r="T464" s="76"/>
      <c r="U464" s="88"/>
    </row>
    <row r="465" ht="15.75" customHeight="1">
      <c r="A465" s="2"/>
      <c r="B465" s="2"/>
      <c r="C465" s="2"/>
      <c r="D465" s="2"/>
      <c r="E465" s="2"/>
      <c r="F465" s="2"/>
      <c r="G465" s="2"/>
      <c r="H465" s="74"/>
      <c r="I465" s="74"/>
      <c r="J465" s="74"/>
      <c r="K465" s="74"/>
      <c r="L465" s="74"/>
      <c r="M465" s="2"/>
      <c r="N465" s="2"/>
      <c r="O465" s="2"/>
      <c r="P465" s="2"/>
      <c r="Q465" s="74"/>
      <c r="R465" s="2"/>
      <c r="S465" s="2"/>
      <c r="T465" s="76"/>
      <c r="U465" s="88"/>
    </row>
    <row r="466" ht="15.75" customHeight="1">
      <c r="A466" s="2"/>
      <c r="B466" s="2"/>
      <c r="C466" s="2"/>
      <c r="D466" s="2"/>
      <c r="E466" s="2"/>
      <c r="F466" s="2"/>
      <c r="G466" s="2"/>
      <c r="H466" s="74"/>
      <c r="I466" s="74"/>
      <c r="J466" s="74"/>
      <c r="K466" s="74"/>
      <c r="L466" s="74"/>
      <c r="M466" s="2"/>
      <c r="N466" s="2"/>
      <c r="O466" s="2"/>
      <c r="P466" s="2"/>
      <c r="Q466" s="74"/>
      <c r="R466" s="2"/>
      <c r="S466" s="2"/>
      <c r="T466" s="76"/>
      <c r="U466" s="88"/>
    </row>
    <row r="467" ht="15.75" customHeight="1">
      <c r="A467" s="2"/>
      <c r="B467" s="2"/>
      <c r="C467" s="2"/>
      <c r="D467" s="2"/>
      <c r="E467" s="2"/>
      <c r="F467" s="2"/>
      <c r="G467" s="2"/>
      <c r="H467" s="74"/>
      <c r="I467" s="74"/>
      <c r="J467" s="74"/>
      <c r="K467" s="74"/>
      <c r="L467" s="74"/>
      <c r="M467" s="2"/>
      <c r="N467" s="2"/>
      <c r="O467" s="2"/>
      <c r="P467" s="2"/>
      <c r="Q467" s="74"/>
      <c r="R467" s="2"/>
      <c r="S467" s="2"/>
      <c r="T467" s="76"/>
      <c r="U467" s="88"/>
    </row>
    <row r="468" ht="15.75" customHeight="1">
      <c r="A468" s="2"/>
      <c r="B468" s="2"/>
      <c r="C468" s="2"/>
      <c r="D468" s="2"/>
      <c r="E468" s="2"/>
      <c r="F468" s="2"/>
      <c r="G468" s="2"/>
      <c r="H468" s="74"/>
      <c r="I468" s="74"/>
      <c r="J468" s="74"/>
      <c r="K468" s="74"/>
      <c r="L468" s="74"/>
      <c r="M468" s="2"/>
      <c r="N468" s="2"/>
      <c r="O468" s="2"/>
      <c r="P468" s="2"/>
      <c r="Q468" s="74"/>
      <c r="R468" s="2"/>
      <c r="S468" s="2"/>
      <c r="T468" s="76"/>
      <c r="U468" s="88"/>
    </row>
    <row r="469" ht="15.75" customHeight="1">
      <c r="A469" s="2"/>
      <c r="B469" s="2"/>
      <c r="C469" s="2"/>
      <c r="D469" s="2"/>
      <c r="E469" s="2"/>
      <c r="F469" s="2"/>
      <c r="G469" s="2"/>
      <c r="H469" s="74"/>
      <c r="I469" s="74"/>
      <c r="J469" s="74"/>
      <c r="K469" s="74"/>
      <c r="L469" s="74"/>
      <c r="M469" s="2"/>
      <c r="N469" s="2"/>
      <c r="O469" s="2"/>
      <c r="P469" s="2"/>
      <c r="Q469" s="74"/>
      <c r="R469" s="2"/>
      <c r="S469" s="2"/>
      <c r="T469" s="76"/>
      <c r="U469" s="88"/>
    </row>
    <row r="470" ht="15.75" customHeight="1">
      <c r="A470" s="2"/>
      <c r="B470" s="2"/>
      <c r="C470" s="2"/>
      <c r="D470" s="2"/>
      <c r="E470" s="2"/>
      <c r="F470" s="2"/>
      <c r="G470" s="2"/>
      <c r="H470" s="74"/>
      <c r="I470" s="74"/>
      <c r="J470" s="74"/>
      <c r="K470" s="74"/>
      <c r="L470" s="74"/>
      <c r="M470" s="2"/>
      <c r="N470" s="2"/>
      <c r="O470" s="2"/>
      <c r="P470" s="2"/>
      <c r="Q470" s="74"/>
      <c r="R470" s="2"/>
      <c r="S470" s="2"/>
      <c r="T470" s="76"/>
      <c r="U470" s="88"/>
    </row>
    <row r="471" ht="15.75" customHeight="1">
      <c r="A471" s="2"/>
      <c r="B471" s="2"/>
      <c r="C471" s="2"/>
      <c r="D471" s="2"/>
      <c r="E471" s="2"/>
      <c r="F471" s="2"/>
      <c r="G471" s="2"/>
      <c r="H471" s="74"/>
      <c r="I471" s="74"/>
      <c r="J471" s="74"/>
      <c r="K471" s="74"/>
      <c r="L471" s="74"/>
      <c r="M471" s="2"/>
      <c r="N471" s="2"/>
      <c r="O471" s="2"/>
      <c r="P471" s="2"/>
      <c r="Q471" s="74"/>
      <c r="R471" s="2"/>
      <c r="S471" s="2"/>
      <c r="T471" s="76"/>
      <c r="U471" s="88"/>
    </row>
    <row r="472" ht="15.75" customHeight="1">
      <c r="A472" s="2"/>
      <c r="B472" s="2"/>
      <c r="C472" s="2"/>
      <c r="D472" s="2"/>
      <c r="E472" s="2"/>
      <c r="F472" s="2"/>
      <c r="G472" s="2"/>
      <c r="H472" s="74"/>
      <c r="I472" s="74"/>
      <c r="J472" s="74"/>
      <c r="K472" s="74"/>
      <c r="L472" s="74"/>
      <c r="M472" s="2"/>
      <c r="N472" s="2"/>
      <c r="O472" s="2"/>
      <c r="P472" s="2"/>
      <c r="Q472" s="74"/>
      <c r="R472" s="2"/>
      <c r="S472" s="2"/>
      <c r="T472" s="76"/>
      <c r="U472" s="88"/>
    </row>
    <row r="473" ht="15.75" customHeight="1">
      <c r="A473" s="2"/>
      <c r="B473" s="2"/>
      <c r="C473" s="2"/>
      <c r="D473" s="2"/>
      <c r="E473" s="2"/>
      <c r="F473" s="2"/>
      <c r="G473" s="2"/>
      <c r="H473" s="74"/>
      <c r="I473" s="74"/>
      <c r="J473" s="74"/>
      <c r="K473" s="74"/>
      <c r="L473" s="74"/>
      <c r="M473" s="2"/>
      <c r="N473" s="2"/>
      <c r="O473" s="2"/>
      <c r="P473" s="2"/>
      <c r="Q473" s="74"/>
      <c r="R473" s="2"/>
      <c r="S473" s="2"/>
      <c r="T473" s="76"/>
      <c r="U473" s="88"/>
    </row>
    <row r="474" ht="15.75" customHeight="1">
      <c r="A474" s="2"/>
      <c r="B474" s="2"/>
      <c r="C474" s="2"/>
      <c r="D474" s="2"/>
      <c r="E474" s="2"/>
      <c r="F474" s="2"/>
      <c r="G474" s="2"/>
      <c r="H474" s="74"/>
      <c r="I474" s="74"/>
      <c r="J474" s="74"/>
      <c r="K474" s="74"/>
      <c r="L474" s="74"/>
      <c r="M474" s="2"/>
      <c r="N474" s="2"/>
      <c r="O474" s="2"/>
      <c r="P474" s="2"/>
      <c r="Q474" s="74"/>
      <c r="R474" s="2"/>
      <c r="S474" s="2"/>
      <c r="T474" s="76"/>
      <c r="U474" s="88"/>
    </row>
    <row r="475" ht="15.75" customHeight="1">
      <c r="A475" s="2"/>
      <c r="B475" s="2"/>
      <c r="C475" s="2"/>
      <c r="D475" s="2"/>
      <c r="E475" s="2"/>
      <c r="F475" s="2"/>
      <c r="G475" s="2"/>
      <c r="H475" s="74"/>
      <c r="I475" s="74"/>
      <c r="J475" s="74"/>
      <c r="K475" s="74"/>
      <c r="L475" s="74"/>
      <c r="M475" s="2"/>
      <c r="N475" s="2"/>
      <c r="O475" s="2"/>
      <c r="P475" s="2"/>
      <c r="Q475" s="74"/>
      <c r="R475" s="2"/>
      <c r="S475" s="2"/>
      <c r="T475" s="76"/>
      <c r="U475" s="88"/>
    </row>
    <row r="476" ht="15.75" customHeight="1">
      <c r="A476" s="2"/>
      <c r="B476" s="2"/>
      <c r="C476" s="2"/>
      <c r="D476" s="2"/>
      <c r="E476" s="2"/>
      <c r="F476" s="2"/>
      <c r="G476" s="2"/>
      <c r="H476" s="74"/>
      <c r="I476" s="74"/>
      <c r="J476" s="74"/>
      <c r="K476" s="74"/>
      <c r="L476" s="74"/>
      <c r="M476" s="2"/>
      <c r="N476" s="2"/>
      <c r="O476" s="2"/>
      <c r="P476" s="2"/>
      <c r="Q476" s="74"/>
      <c r="R476" s="2"/>
      <c r="S476" s="2"/>
      <c r="T476" s="76"/>
      <c r="U476" s="88"/>
    </row>
    <row r="477" ht="15.75" customHeight="1">
      <c r="A477" s="2"/>
      <c r="B477" s="2"/>
      <c r="C477" s="2"/>
      <c r="D477" s="2"/>
      <c r="E477" s="2"/>
      <c r="F477" s="2"/>
      <c r="G477" s="2"/>
      <c r="H477" s="74"/>
      <c r="I477" s="74"/>
      <c r="J477" s="74"/>
      <c r="K477" s="74"/>
      <c r="L477" s="74"/>
      <c r="M477" s="2"/>
      <c r="N477" s="2"/>
      <c r="O477" s="2"/>
      <c r="P477" s="2"/>
      <c r="Q477" s="74"/>
      <c r="R477" s="2"/>
      <c r="S477" s="2"/>
      <c r="T477" s="76"/>
      <c r="U477" s="88"/>
    </row>
    <row r="478" ht="15.75" customHeight="1">
      <c r="A478" s="2"/>
      <c r="B478" s="2"/>
      <c r="C478" s="2"/>
      <c r="D478" s="2"/>
      <c r="E478" s="2"/>
      <c r="F478" s="2"/>
      <c r="G478" s="2"/>
      <c r="H478" s="74"/>
      <c r="I478" s="74"/>
      <c r="J478" s="74"/>
      <c r="K478" s="74"/>
      <c r="L478" s="74"/>
      <c r="M478" s="2"/>
      <c r="N478" s="2"/>
      <c r="O478" s="2"/>
      <c r="P478" s="2"/>
      <c r="Q478" s="74"/>
      <c r="R478" s="2"/>
      <c r="S478" s="2"/>
      <c r="T478" s="76"/>
      <c r="U478" s="88"/>
    </row>
    <row r="479" ht="15.75" customHeight="1">
      <c r="A479" s="2"/>
      <c r="B479" s="2"/>
      <c r="C479" s="2"/>
      <c r="D479" s="2"/>
      <c r="E479" s="2"/>
      <c r="F479" s="2"/>
      <c r="G479" s="2"/>
      <c r="H479" s="74"/>
      <c r="I479" s="74"/>
      <c r="J479" s="74"/>
      <c r="K479" s="74"/>
      <c r="L479" s="74"/>
      <c r="M479" s="2"/>
      <c r="N479" s="2"/>
      <c r="O479" s="2"/>
      <c r="P479" s="2"/>
      <c r="Q479" s="74"/>
      <c r="R479" s="2"/>
      <c r="S479" s="2"/>
      <c r="T479" s="76"/>
      <c r="U479" s="88"/>
    </row>
    <row r="480" ht="15.75" customHeight="1">
      <c r="A480" s="2"/>
      <c r="B480" s="2"/>
      <c r="C480" s="2"/>
      <c r="D480" s="2"/>
      <c r="E480" s="2"/>
      <c r="F480" s="2"/>
      <c r="G480" s="2"/>
      <c r="H480" s="74"/>
      <c r="I480" s="74"/>
      <c r="J480" s="74"/>
      <c r="K480" s="74"/>
      <c r="L480" s="74"/>
      <c r="M480" s="2"/>
      <c r="N480" s="2"/>
      <c r="O480" s="2"/>
      <c r="P480" s="2"/>
      <c r="Q480" s="74"/>
      <c r="R480" s="2"/>
      <c r="S480" s="2"/>
      <c r="T480" s="76"/>
      <c r="U480" s="88"/>
    </row>
    <row r="481" ht="15.75" customHeight="1">
      <c r="A481" s="2"/>
      <c r="B481" s="2"/>
      <c r="C481" s="2"/>
      <c r="D481" s="2"/>
      <c r="E481" s="2"/>
      <c r="F481" s="2"/>
      <c r="G481" s="2"/>
      <c r="H481" s="74"/>
      <c r="I481" s="74"/>
      <c r="J481" s="74"/>
      <c r="K481" s="74"/>
      <c r="L481" s="74"/>
      <c r="M481" s="2"/>
      <c r="N481" s="2"/>
      <c r="O481" s="2"/>
      <c r="P481" s="2"/>
      <c r="Q481" s="74"/>
      <c r="R481" s="2"/>
      <c r="S481" s="2"/>
      <c r="T481" s="76"/>
      <c r="U481" s="88"/>
    </row>
    <row r="482" ht="15.75" customHeight="1">
      <c r="A482" s="2"/>
      <c r="B482" s="2"/>
      <c r="C482" s="2"/>
      <c r="D482" s="2"/>
      <c r="E482" s="2"/>
      <c r="F482" s="2"/>
      <c r="G482" s="2"/>
      <c r="H482" s="74"/>
      <c r="I482" s="74"/>
      <c r="J482" s="74"/>
      <c r="K482" s="74"/>
      <c r="L482" s="74"/>
      <c r="M482" s="2"/>
      <c r="N482" s="2"/>
      <c r="O482" s="2"/>
      <c r="P482" s="2"/>
      <c r="Q482" s="74"/>
      <c r="R482" s="2"/>
      <c r="S482" s="2"/>
      <c r="T482" s="76"/>
      <c r="U482" s="88"/>
    </row>
    <row r="483" ht="15.75" customHeight="1">
      <c r="A483" s="2"/>
      <c r="B483" s="2"/>
      <c r="C483" s="2"/>
      <c r="D483" s="2"/>
      <c r="E483" s="2"/>
      <c r="F483" s="2"/>
      <c r="G483" s="2"/>
      <c r="H483" s="74"/>
      <c r="I483" s="74"/>
      <c r="J483" s="74"/>
      <c r="K483" s="74"/>
      <c r="L483" s="74"/>
      <c r="M483" s="2"/>
      <c r="N483" s="2"/>
      <c r="O483" s="2"/>
      <c r="P483" s="2"/>
      <c r="Q483" s="74"/>
      <c r="R483" s="2"/>
      <c r="S483" s="2"/>
      <c r="T483" s="76"/>
      <c r="U483" s="88"/>
    </row>
    <row r="484" ht="15.75" customHeight="1">
      <c r="A484" s="2"/>
      <c r="B484" s="2"/>
      <c r="C484" s="2"/>
      <c r="D484" s="2"/>
      <c r="E484" s="2"/>
      <c r="F484" s="2"/>
      <c r="G484" s="2"/>
      <c r="H484" s="74"/>
      <c r="I484" s="74"/>
      <c r="J484" s="74"/>
      <c r="K484" s="74"/>
      <c r="L484" s="74"/>
      <c r="M484" s="2"/>
      <c r="N484" s="2"/>
      <c r="O484" s="2"/>
      <c r="P484" s="2"/>
      <c r="Q484" s="74"/>
      <c r="R484" s="2"/>
      <c r="S484" s="2"/>
      <c r="T484" s="76"/>
      <c r="U484" s="88"/>
    </row>
    <row r="485" ht="15.75" customHeight="1">
      <c r="A485" s="2"/>
      <c r="B485" s="2"/>
      <c r="C485" s="2"/>
      <c r="D485" s="2"/>
      <c r="E485" s="2"/>
      <c r="F485" s="2"/>
      <c r="G485" s="2"/>
      <c r="H485" s="74"/>
      <c r="I485" s="74"/>
      <c r="J485" s="74"/>
      <c r="K485" s="74"/>
      <c r="L485" s="74"/>
      <c r="M485" s="2"/>
      <c r="N485" s="2"/>
      <c r="O485" s="2"/>
      <c r="P485" s="2"/>
      <c r="Q485" s="74"/>
      <c r="R485" s="2"/>
      <c r="S485" s="2"/>
      <c r="T485" s="76"/>
      <c r="U485" s="88"/>
    </row>
    <row r="486" ht="15.75" customHeight="1">
      <c r="A486" s="2"/>
      <c r="B486" s="2"/>
      <c r="C486" s="2"/>
      <c r="D486" s="2"/>
      <c r="E486" s="2"/>
      <c r="F486" s="2"/>
      <c r="G486" s="2"/>
      <c r="H486" s="74"/>
      <c r="I486" s="74"/>
      <c r="J486" s="74"/>
      <c r="K486" s="74"/>
      <c r="L486" s="74"/>
      <c r="M486" s="2"/>
      <c r="N486" s="2"/>
      <c r="O486" s="2"/>
      <c r="P486" s="2"/>
      <c r="Q486" s="74"/>
      <c r="R486" s="2"/>
      <c r="S486" s="2"/>
      <c r="T486" s="76"/>
      <c r="U486" s="88"/>
    </row>
    <row r="487" ht="15.75" customHeight="1">
      <c r="A487" s="2"/>
      <c r="B487" s="2"/>
      <c r="C487" s="2"/>
      <c r="D487" s="2"/>
      <c r="E487" s="2"/>
      <c r="F487" s="2"/>
      <c r="G487" s="2"/>
      <c r="H487" s="74"/>
      <c r="I487" s="74"/>
      <c r="J487" s="74"/>
      <c r="K487" s="74"/>
      <c r="L487" s="74"/>
      <c r="M487" s="2"/>
      <c r="N487" s="2"/>
      <c r="O487" s="2"/>
      <c r="P487" s="2"/>
      <c r="Q487" s="74"/>
      <c r="R487" s="2"/>
      <c r="S487" s="2"/>
      <c r="T487" s="76"/>
      <c r="U487" s="88"/>
    </row>
    <row r="488" ht="15.75" customHeight="1">
      <c r="A488" s="2"/>
      <c r="B488" s="2"/>
      <c r="C488" s="2"/>
      <c r="D488" s="2"/>
      <c r="E488" s="2"/>
      <c r="F488" s="2"/>
      <c r="G488" s="2"/>
      <c r="H488" s="74"/>
      <c r="I488" s="74"/>
      <c r="J488" s="74"/>
      <c r="K488" s="74"/>
      <c r="L488" s="74"/>
      <c r="M488" s="2"/>
      <c r="N488" s="2"/>
      <c r="O488" s="2"/>
      <c r="P488" s="2"/>
      <c r="Q488" s="74"/>
      <c r="R488" s="2"/>
      <c r="S488" s="2"/>
      <c r="T488" s="76"/>
      <c r="U488" s="88"/>
    </row>
    <row r="489" ht="15.75" customHeight="1">
      <c r="A489" s="2"/>
      <c r="B489" s="2"/>
      <c r="C489" s="2"/>
      <c r="D489" s="2"/>
      <c r="E489" s="2"/>
      <c r="F489" s="2"/>
      <c r="G489" s="2"/>
      <c r="H489" s="74"/>
      <c r="I489" s="74"/>
      <c r="J489" s="74"/>
      <c r="K489" s="74"/>
      <c r="L489" s="74"/>
      <c r="M489" s="2"/>
      <c r="N489" s="2"/>
      <c r="O489" s="2"/>
      <c r="P489" s="2"/>
      <c r="Q489" s="74"/>
      <c r="R489" s="2"/>
      <c r="S489" s="2"/>
      <c r="T489" s="76"/>
      <c r="U489" s="88"/>
    </row>
    <row r="490" ht="15.75" customHeight="1">
      <c r="A490" s="2"/>
      <c r="B490" s="2"/>
      <c r="C490" s="2"/>
      <c r="D490" s="2"/>
      <c r="E490" s="2"/>
      <c r="F490" s="2"/>
      <c r="G490" s="2"/>
      <c r="H490" s="74"/>
      <c r="I490" s="74"/>
      <c r="J490" s="74"/>
      <c r="K490" s="74"/>
      <c r="L490" s="74"/>
      <c r="M490" s="2"/>
      <c r="N490" s="2"/>
      <c r="O490" s="2"/>
      <c r="P490" s="2"/>
      <c r="Q490" s="74"/>
      <c r="R490" s="2"/>
      <c r="S490" s="2"/>
      <c r="T490" s="76"/>
      <c r="U490" s="88"/>
    </row>
    <row r="491" ht="15.75" customHeight="1">
      <c r="A491" s="2"/>
      <c r="B491" s="2"/>
      <c r="C491" s="2"/>
      <c r="D491" s="2"/>
      <c r="E491" s="2"/>
      <c r="F491" s="2"/>
      <c r="G491" s="2"/>
      <c r="H491" s="74"/>
      <c r="I491" s="74"/>
      <c r="J491" s="74"/>
      <c r="K491" s="74"/>
      <c r="L491" s="74"/>
      <c r="M491" s="2"/>
      <c r="N491" s="2"/>
      <c r="O491" s="2"/>
      <c r="P491" s="2"/>
      <c r="Q491" s="74"/>
      <c r="R491" s="2"/>
      <c r="S491" s="2"/>
      <c r="T491" s="76"/>
      <c r="U491" s="88"/>
    </row>
    <row r="492" ht="15.75" customHeight="1">
      <c r="A492" s="2"/>
      <c r="B492" s="2"/>
      <c r="C492" s="2"/>
      <c r="D492" s="2"/>
      <c r="E492" s="2"/>
      <c r="F492" s="2"/>
      <c r="G492" s="2"/>
      <c r="H492" s="74"/>
      <c r="I492" s="74"/>
      <c r="J492" s="74"/>
      <c r="K492" s="74"/>
      <c r="L492" s="74"/>
      <c r="M492" s="2"/>
      <c r="N492" s="2"/>
      <c r="O492" s="2"/>
      <c r="P492" s="2"/>
      <c r="Q492" s="74"/>
      <c r="R492" s="2"/>
      <c r="S492" s="2"/>
      <c r="T492" s="76"/>
      <c r="U492" s="88"/>
    </row>
    <row r="493" ht="15.75" customHeight="1">
      <c r="A493" s="2"/>
      <c r="B493" s="2"/>
      <c r="C493" s="2"/>
      <c r="D493" s="2"/>
      <c r="E493" s="2"/>
      <c r="F493" s="2"/>
      <c r="G493" s="2"/>
      <c r="H493" s="74"/>
      <c r="I493" s="74"/>
      <c r="J493" s="74"/>
      <c r="K493" s="74"/>
      <c r="L493" s="74"/>
      <c r="M493" s="2"/>
      <c r="N493" s="2"/>
      <c r="O493" s="2"/>
      <c r="P493" s="2"/>
      <c r="Q493" s="74"/>
      <c r="R493" s="2"/>
      <c r="S493" s="2"/>
      <c r="T493" s="76"/>
      <c r="U493" s="88"/>
    </row>
    <row r="494" ht="15.75" customHeight="1">
      <c r="A494" s="2"/>
      <c r="B494" s="2"/>
      <c r="C494" s="2"/>
      <c r="D494" s="2"/>
      <c r="E494" s="2"/>
      <c r="F494" s="2"/>
      <c r="G494" s="2"/>
      <c r="H494" s="74"/>
      <c r="I494" s="74"/>
      <c r="J494" s="74"/>
      <c r="K494" s="74"/>
      <c r="L494" s="74"/>
      <c r="M494" s="2"/>
      <c r="N494" s="2"/>
      <c r="O494" s="2"/>
      <c r="P494" s="2"/>
      <c r="Q494" s="74"/>
      <c r="R494" s="2"/>
      <c r="S494" s="2"/>
      <c r="T494" s="76"/>
      <c r="U494" s="88"/>
    </row>
    <row r="495" ht="15.75" customHeight="1">
      <c r="A495" s="2"/>
      <c r="B495" s="2"/>
      <c r="C495" s="2"/>
      <c r="D495" s="2"/>
      <c r="E495" s="2"/>
      <c r="F495" s="2"/>
      <c r="G495" s="2"/>
      <c r="H495" s="74"/>
      <c r="I495" s="74"/>
      <c r="J495" s="74"/>
      <c r="K495" s="74"/>
      <c r="L495" s="74"/>
      <c r="M495" s="2"/>
      <c r="N495" s="2"/>
      <c r="O495" s="2"/>
      <c r="P495" s="2"/>
      <c r="Q495" s="74"/>
      <c r="R495" s="2"/>
      <c r="S495" s="2"/>
      <c r="T495" s="76"/>
      <c r="U495" s="88"/>
    </row>
    <row r="496" ht="15.75" customHeight="1">
      <c r="A496" s="2"/>
      <c r="B496" s="2"/>
      <c r="C496" s="2"/>
      <c r="D496" s="2"/>
      <c r="E496" s="2"/>
      <c r="F496" s="2"/>
      <c r="G496" s="2"/>
      <c r="H496" s="74"/>
      <c r="I496" s="74"/>
      <c r="J496" s="74"/>
      <c r="K496" s="74"/>
      <c r="L496" s="74"/>
      <c r="M496" s="2"/>
      <c r="N496" s="2"/>
      <c r="O496" s="2"/>
      <c r="P496" s="2"/>
      <c r="Q496" s="74"/>
      <c r="R496" s="2"/>
      <c r="S496" s="2"/>
      <c r="T496" s="76"/>
      <c r="U496" s="88"/>
    </row>
    <row r="497" ht="15.75" customHeight="1">
      <c r="A497" s="2"/>
      <c r="B497" s="2"/>
      <c r="C497" s="2"/>
      <c r="D497" s="2"/>
      <c r="E497" s="2"/>
      <c r="F497" s="2"/>
      <c r="G497" s="2"/>
      <c r="H497" s="74"/>
      <c r="I497" s="74"/>
      <c r="J497" s="74"/>
      <c r="K497" s="74"/>
      <c r="L497" s="74"/>
      <c r="M497" s="2"/>
      <c r="N497" s="2"/>
      <c r="O497" s="2"/>
      <c r="P497" s="2"/>
      <c r="Q497" s="74"/>
      <c r="R497" s="2"/>
      <c r="S497" s="2"/>
      <c r="T497" s="76"/>
      <c r="U497" s="88"/>
    </row>
    <row r="498" ht="15.75" customHeight="1">
      <c r="A498" s="2"/>
      <c r="B498" s="2"/>
      <c r="C498" s="2"/>
      <c r="D498" s="2"/>
      <c r="E498" s="2"/>
      <c r="F498" s="2"/>
      <c r="G498" s="2"/>
      <c r="H498" s="74"/>
      <c r="I498" s="74"/>
      <c r="J498" s="74"/>
      <c r="K498" s="74"/>
      <c r="L498" s="74"/>
      <c r="M498" s="2"/>
      <c r="N498" s="2"/>
      <c r="O498" s="2"/>
      <c r="P498" s="2"/>
      <c r="Q498" s="74"/>
      <c r="R498" s="2"/>
      <c r="S498" s="2"/>
      <c r="T498" s="76"/>
      <c r="U498" s="88"/>
    </row>
    <row r="499" ht="15.75" customHeight="1">
      <c r="A499" s="2"/>
      <c r="B499" s="2"/>
      <c r="C499" s="2"/>
      <c r="D499" s="2"/>
      <c r="E499" s="2"/>
      <c r="F499" s="2"/>
      <c r="G499" s="2"/>
      <c r="H499" s="74"/>
      <c r="I499" s="74"/>
      <c r="J499" s="74"/>
      <c r="K499" s="74"/>
      <c r="L499" s="74"/>
      <c r="M499" s="2"/>
      <c r="N499" s="2"/>
      <c r="O499" s="2"/>
      <c r="P499" s="2"/>
      <c r="Q499" s="74"/>
      <c r="R499" s="2"/>
      <c r="S499" s="2"/>
      <c r="T499" s="76"/>
      <c r="U499" s="88"/>
    </row>
    <row r="500" ht="15.75" customHeight="1">
      <c r="A500" s="2"/>
      <c r="B500" s="2"/>
      <c r="C500" s="2"/>
      <c r="D500" s="2"/>
      <c r="E500" s="2"/>
      <c r="F500" s="2"/>
      <c r="G500" s="2"/>
      <c r="H500" s="74"/>
      <c r="I500" s="74"/>
      <c r="J500" s="74"/>
      <c r="K500" s="74"/>
      <c r="L500" s="74"/>
      <c r="M500" s="2"/>
      <c r="N500" s="2"/>
      <c r="O500" s="2"/>
      <c r="P500" s="2"/>
      <c r="Q500" s="74"/>
      <c r="R500" s="2"/>
      <c r="S500" s="2"/>
      <c r="T500" s="76"/>
      <c r="U500" s="88"/>
    </row>
    <row r="501" ht="15.75" customHeight="1">
      <c r="A501" s="2"/>
      <c r="B501" s="2"/>
      <c r="C501" s="2"/>
      <c r="D501" s="2"/>
      <c r="E501" s="2"/>
      <c r="F501" s="2"/>
      <c r="G501" s="2"/>
      <c r="H501" s="74"/>
      <c r="I501" s="74"/>
      <c r="J501" s="74"/>
      <c r="K501" s="74"/>
      <c r="L501" s="74"/>
      <c r="M501" s="2"/>
      <c r="N501" s="2"/>
      <c r="O501" s="2"/>
      <c r="P501" s="2"/>
      <c r="Q501" s="74"/>
      <c r="R501" s="2"/>
      <c r="S501" s="2"/>
      <c r="T501" s="76"/>
      <c r="U501" s="88"/>
    </row>
    <row r="502" ht="15.75" customHeight="1">
      <c r="A502" s="2"/>
      <c r="B502" s="2"/>
      <c r="C502" s="2"/>
      <c r="D502" s="2"/>
      <c r="E502" s="2"/>
      <c r="F502" s="2"/>
      <c r="G502" s="2"/>
      <c r="H502" s="74"/>
      <c r="I502" s="74"/>
      <c r="J502" s="74"/>
      <c r="K502" s="74"/>
      <c r="L502" s="74"/>
      <c r="M502" s="2"/>
      <c r="N502" s="2"/>
      <c r="O502" s="2"/>
      <c r="P502" s="2"/>
      <c r="Q502" s="74"/>
      <c r="R502" s="2"/>
      <c r="S502" s="2"/>
      <c r="T502" s="76"/>
      <c r="U502" s="88"/>
    </row>
    <row r="503" ht="15.75" customHeight="1">
      <c r="A503" s="2"/>
      <c r="B503" s="2"/>
      <c r="C503" s="2"/>
      <c r="D503" s="2"/>
      <c r="E503" s="2"/>
      <c r="F503" s="2"/>
      <c r="G503" s="2"/>
      <c r="H503" s="74"/>
      <c r="I503" s="74"/>
      <c r="J503" s="74"/>
      <c r="K503" s="74"/>
      <c r="L503" s="74"/>
      <c r="M503" s="2"/>
      <c r="N503" s="2"/>
      <c r="O503" s="2"/>
      <c r="P503" s="2"/>
      <c r="Q503" s="74"/>
      <c r="R503" s="2"/>
      <c r="S503" s="2"/>
      <c r="T503" s="76"/>
      <c r="U503" s="88"/>
    </row>
    <row r="504" ht="15.75" customHeight="1">
      <c r="A504" s="2"/>
      <c r="B504" s="2"/>
      <c r="C504" s="2"/>
      <c r="D504" s="2"/>
      <c r="E504" s="2"/>
      <c r="F504" s="2"/>
      <c r="G504" s="2"/>
      <c r="H504" s="74"/>
      <c r="I504" s="74"/>
      <c r="J504" s="74"/>
      <c r="K504" s="74"/>
      <c r="L504" s="74"/>
      <c r="M504" s="2"/>
      <c r="N504" s="2"/>
      <c r="O504" s="2"/>
      <c r="P504" s="2"/>
      <c r="Q504" s="74"/>
      <c r="R504" s="2"/>
      <c r="S504" s="2"/>
      <c r="T504" s="76"/>
      <c r="U504" s="88"/>
    </row>
    <row r="505" ht="15.75" customHeight="1">
      <c r="A505" s="2"/>
      <c r="B505" s="2"/>
      <c r="C505" s="2"/>
      <c r="D505" s="2"/>
      <c r="E505" s="2"/>
      <c r="F505" s="2"/>
      <c r="G505" s="2"/>
      <c r="H505" s="74"/>
      <c r="I505" s="74"/>
      <c r="J505" s="74"/>
      <c r="K505" s="74"/>
      <c r="L505" s="74"/>
      <c r="M505" s="2"/>
      <c r="N505" s="2"/>
      <c r="O505" s="2"/>
      <c r="P505" s="2"/>
      <c r="Q505" s="74"/>
      <c r="R505" s="2"/>
      <c r="S505" s="2"/>
      <c r="T505" s="76"/>
      <c r="U505" s="88"/>
    </row>
    <row r="506" ht="15.75" customHeight="1">
      <c r="A506" s="2"/>
      <c r="B506" s="2"/>
      <c r="C506" s="2"/>
      <c r="D506" s="2"/>
      <c r="E506" s="2"/>
      <c r="F506" s="2"/>
      <c r="G506" s="2"/>
      <c r="H506" s="74"/>
      <c r="I506" s="74"/>
      <c r="J506" s="74"/>
      <c r="K506" s="74"/>
      <c r="L506" s="74"/>
      <c r="M506" s="2"/>
      <c r="N506" s="2"/>
      <c r="O506" s="2"/>
      <c r="P506" s="2"/>
      <c r="Q506" s="74"/>
      <c r="R506" s="2"/>
      <c r="S506" s="2"/>
      <c r="T506" s="76"/>
      <c r="U506" s="88"/>
    </row>
    <row r="507" ht="15.75" customHeight="1">
      <c r="A507" s="2"/>
      <c r="B507" s="2"/>
      <c r="C507" s="2"/>
      <c r="D507" s="2"/>
      <c r="E507" s="2"/>
      <c r="F507" s="2"/>
      <c r="G507" s="2"/>
      <c r="H507" s="74"/>
      <c r="I507" s="74"/>
      <c r="J507" s="74"/>
      <c r="K507" s="74"/>
      <c r="L507" s="74"/>
      <c r="M507" s="2"/>
      <c r="N507" s="2"/>
      <c r="O507" s="2"/>
      <c r="P507" s="2"/>
      <c r="Q507" s="74"/>
      <c r="R507" s="2"/>
      <c r="S507" s="2"/>
      <c r="T507" s="76"/>
      <c r="U507" s="88"/>
    </row>
    <row r="508" ht="15.75" customHeight="1">
      <c r="A508" s="2"/>
      <c r="B508" s="2"/>
      <c r="C508" s="2"/>
      <c r="D508" s="2"/>
      <c r="E508" s="2"/>
      <c r="F508" s="2"/>
      <c r="G508" s="2"/>
      <c r="H508" s="74"/>
      <c r="I508" s="74"/>
      <c r="J508" s="74"/>
      <c r="K508" s="74"/>
      <c r="L508" s="74"/>
      <c r="M508" s="2"/>
      <c r="N508" s="2"/>
      <c r="O508" s="2"/>
      <c r="P508" s="2"/>
      <c r="Q508" s="74"/>
      <c r="R508" s="2"/>
      <c r="S508" s="2"/>
      <c r="T508" s="76"/>
      <c r="U508" s="88"/>
    </row>
    <row r="509" ht="15.75" customHeight="1">
      <c r="A509" s="2"/>
      <c r="B509" s="2"/>
      <c r="C509" s="2"/>
      <c r="D509" s="2"/>
      <c r="E509" s="2"/>
      <c r="F509" s="2"/>
      <c r="G509" s="2"/>
      <c r="H509" s="74"/>
      <c r="I509" s="74"/>
      <c r="J509" s="74"/>
      <c r="K509" s="74"/>
      <c r="L509" s="74"/>
      <c r="M509" s="2"/>
      <c r="N509" s="2"/>
      <c r="O509" s="2"/>
      <c r="P509" s="2"/>
      <c r="Q509" s="74"/>
      <c r="R509" s="2"/>
      <c r="S509" s="2"/>
      <c r="T509" s="76"/>
      <c r="U509" s="88"/>
    </row>
    <row r="510" ht="15.75" customHeight="1">
      <c r="A510" s="2"/>
      <c r="B510" s="2"/>
      <c r="C510" s="2"/>
      <c r="D510" s="2"/>
      <c r="E510" s="2"/>
      <c r="F510" s="2"/>
      <c r="G510" s="2"/>
      <c r="H510" s="74"/>
      <c r="I510" s="74"/>
      <c r="J510" s="74"/>
      <c r="K510" s="74"/>
      <c r="L510" s="74"/>
      <c r="M510" s="2"/>
      <c r="N510" s="2"/>
      <c r="O510" s="2"/>
      <c r="P510" s="2"/>
      <c r="Q510" s="74"/>
      <c r="R510" s="2"/>
      <c r="S510" s="2"/>
      <c r="T510" s="76"/>
      <c r="U510" s="88"/>
    </row>
    <row r="511" ht="15.75" customHeight="1">
      <c r="A511" s="2"/>
      <c r="B511" s="2"/>
      <c r="C511" s="2"/>
      <c r="D511" s="2"/>
      <c r="E511" s="2"/>
      <c r="F511" s="2"/>
      <c r="G511" s="2"/>
      <c r="H511" s="74"/>
      <c r="I511" s="74"/>
      <c r="J511" s="74"/>
      <c r="K511" s="74"/>
      <c r="L511" s="74"/>
      <c r="M511" s="2"/>
      <c r="N511" s="2"/>
      <c r="O511" s="2"/>
      <c r="P511" s="2"/>
      <c r="Q511" s="74"/>
      <c r="R511" s="2"/>
      <c r="S511" s="2"/>
      <c r="T511" s="76"/>
      <c r="U511" s="88"/>
    </row>
    <row r="512" ht="15.75" customHeight="1">
      <c r="A512" s="2"/>
      <c r="B512" s="2"/>
      <c r="C512" s="2"/>
      <c r="D512" s="2"/>
      <c r="E512" s="2"/>
      <c r="F512" s="2"/>
      <c r="G512" s="2"/>
      <c r="H512" s="74"/>
      <c r="I512" s="74"/>
      <c r="J512" s="74"/>
      <c r="K512" s="74"/>
      <c r="L512" s="74"/>
      <c r="M512" s="2"/>
      <c r="N512" s="2"/>
      <c r="O512" s="2"/>
      <c r="P512" s="2"/>
      <c r="Q512" s="74"/>
      <c r="R512" s="2"/>
      <c r="S512" s="2"/>
      <c r="T512" s="76"/>
      <c r="U512" s="88"/>
    </row>
    <row r="513" ht="15.75" customHeight="1">
      <c r="A513" s="2"/>
      <c r="B513" s="2"/>
      <c r="C513" s="2"/>
      <c r="D513" s="2"/>
      <c r="E513" s="2"/>
      <c r="F513" s="2"/>
      <c r="G513" s="2"/>
      <c r="H513" s="74"/>
      <c r="I513" s="74"/>
      <c r="J513" s="74"/>
      <c r="K513" s="74"/>
      <c r="L513" s="74"/>
      <c r="M513" s="2"/>
      <c r="N513" s="2"/>
      <c r="O513" s="2"/>
      <c r="P513" s="2"/>
      <c r="Q513" s="74"/>
      <c r="R513" s="2"/>
      <c r="S513" s="2"/>
      <c r="T513" s="76"/>
      <c r="U513" s="88"/>
    </row>
    <row r="514" ht="15.75" customHeight="1">
      <c r="A514" s="2"/>
      <c r="B514" s="2"/>
      <c r="C514" s="2"/>
      <c r="D514" s="2"/>
      <c r="E514" s="2"/>
      <c r="F514" s="2"/>
      <c r="G514" s="2"/>
      <c r="H514" s="74"/>
      <c r="I514" s="74"/>
      <c r="J514" s="74"/>
      <c r="K514" s="74"/>
      <c r="L514" s="74"/>
      <c r="M514" s="2"/>
      <c r="N514" s="2"/>
      <c r="O514" s="2"/>
      <c r="P514" s="2"/>
      <c r="Q514" s="74"/>
      <c r="R514" s="2"/>
      <c r="S514" s="2"/>
      <c r="T514" s="76"/>
      <c r="U514" s="88"/>
    </row>
    <row r="515" ht="15.75" customHeight="1">
      <c r="A515" s="2"/>
      <c r="B515" s="2"/>
      <c r="C515" s="2"/>
      <c r="D515" s="2"/>
      <c r="E515" s="2"/>
      <c r="F515" s="2"/>
      <c r="G515" s="2"/>
      <c r="H515" s="74"/>
      <c r="I515" s="74"/>
      <c r="J515" s="74"/>
      <c r="K515" s="74"/>
      <c r="L515" s="74"/>
      <c r="M515" s="2"/>
      <c r="N515" s="2"/>
      <c r="O515" s="2"/>
      <c r="P515" s="2"/>
      <c r="Q515" s="74"/>
      <c r="R515" s="2"/>
      <c r="S515" s="2"/>
      <c r="T515" s="76"/>
      <c r="U515" s="88"/>
    </row>
    <row r="516" ht="15.75" customHeight="1">
      <c r="A516" s="2"/>
      <c r="B516" s="2"/>
      <c r="C516" s="2"/>
      <c r="D516" s="2"/>
      <c r="E516" s="2"/>
      <c r="F516" s="2"/>
      <c r="G516" s="2"/>
      <c r="H516" s="74"/>
      <c r="I516" s="74"/>
      <c r="J516" s="74"/>
      <c r="K516" s="74"/>
      <c r="L516" s="74"/>
      <c r="M516" s="2"/>
      <c r="N516" s="2"/>
      <c r="O516" s="2"/>
      <c r="P516" s="2"/>
      <c r="Q516" s="74"/>
      <c r="R516" s="2"/>
      <c r="S516" s="2"/>
      <c r="T516" s="76"/>
      <c r="U516" s="88"/>
    </row>
    <row r="517" ht="15.75" customHeight="1">
      <c r="A517" s="2"/>
      <c r="B517" s="2"/>
      <c r="C517" s="2"/>
      <c r="D517" s="2"/>
      <c r="E517" s="2"/>
      <c r="F517" s="2"/>
      <c r="G517" s="2"/>
      <c r="H517" s="74"/>
      <c r="I517" s="74"/>
      <c r="J517" s="74"/>
      <c r="K517" s="74"/>
      <c r="L517" s="74"/>
      <c r="M517" s="2"/>
      <c r="N517" s="2"/>
      <c r="O517" s="2"/>
      <c r="P517" s="2"/>
      <c r="Q517" s="74"/>
      <c r="R517" s="2"/>
      <c r="S517" s="2"/>
      <c r="T517" s="76"/>
      <c r="U517" s="88"/>
    </row>
    <row r="518" ht="15.75" customHeight="1">
      <c r="A518" s="2"/>
      <c r="B518" s="2"/>
      <c r="C518" s="2"/>
      <c r="D518" s="2"/>
      <c r="E518" s="2"/>
      <c r="F518" s="2"/>
      <c r="G518" s="2"/>
      <c r="H518" s="74"/>
      <c r="I518" s="74"/>
      <c r="J518" s="74"/>
      <c r="K518" s="74"/>
      <c r="L518" s="74"/>
      <c r="M518" s="2"/>
      <c r="N518" s="2"/>
      <c r="O518" s="2"/>
      <c r="P518" s="2"/>
      <c r="Q518" s="74"/>
      <c r="R518" s="2"/>
      <c r="S518" s="2"/>
      <c r="T518" s="76"/>
      <c r="U518" s="88"/>
    </row>
    <row r="519" ht="15.75" customHeight="1">
      <c r="A519" s="2"/>
      <c r="B519" s="2"/>
      <c r="C519" s="2"/>
      <c r="D519" s="2"/>
      <c r="E519" s="2"/>
      <c r="F519" s="2"/>
      <c r="G519" s="2"/>
      <c r="H519" s="74"/>
      <c r="I519" s="74"/>
      <c r="J519" s="74"/>
      <c r="K519" s="74"/>
      <c r="L519" s="74"/>
      <c r="M519" s="2"/>
      <c r="N519" s="2"/>
      <c r="O519" s="2"/>
      <c r="P519" s="2"/>
      <c r="Q519" s="74"/>
      <c r="R519" s="2"/>
      <c r="S519" s="2"/>
      <c r="T519" s="76"/>
      <c r="U519" s="88"/>
    </row>
    <row r="520" ht="15.75" customHeight="1">
      <c r="A520" s="2"/>
      <c r="B520" s="2"/>
      <c r="C520" s="2"/>
      <c r="D520" s="2"/>
      <c r="E520" s="2"/>
      <c r="F520" s="2"/>
      <c r="G520" s="2"/>
      <c r="H520" s="74"/>
      <c r="I520" s="74"/>
      <c r="J520" s="74"/>
      <c r="K520" s="74"/>
      <c r="L520" s="74"/>
      <c r="M520" s="2"/>
      <c r="N520" s="2"/>
      <c r="O520" s="2"/>
      <c r="P520" s="2"/>
      <c r="Q520" s="74"/>
      <c r="R520" s="2"/>
      <c r="S520" s="2"/>
      <c r="T520" s="76"/>
      <c r="U520" s="88"/>
    </row>
    <row r="521" ht="15.75" customHeight="1">
      <c r="A521" s="2"/>
      <c r="B521" s="2"/>
      <c r="C521" s="2"/>
      <c r="D521" s="2"/>
      <c r="E521" s="2"/>
      <c r="F521" s="2"/>
      <c r="G521" s="2"/>
      <c r="H521" s="74"/>
      <c r="I521" s="74"/>
      <c r="J521" s="74"/>
      <c r="K521" s="74"/>
      <c r="L521" s="74"/>
      <c r="M521" s="2"/>
      <c r="N521" s="2"/>
      <c r="O521" s="2"/>
      <c r="P521" s="2"/>
      <c r="Q521" s="74"/>
      <c r="R521" s="2"/>
      <c r="S521" s="2"/>
      <c r="T521" s="76"/>
      <c r="U521" s="88"/>
    </row>
    <row r="522" ht="15.75" customHeight="1">
      <c r="A522" s="2"/>
      <c r="B522" s="2"/>
      <c r="C522" s="2"/>
      <c r="D522" s="2"/>
      <c r="E522" s="2"/>
      <c r="F522" s="2"/>
      <c r="G522" s="2"/>
      <c r="H522" s="74"/>
      <c r="I522" s="74"/>
      <c r="J522" s="74"/>
      <c r="K522" s="74"/>
      <c r="L522" s="74"/>
      <c r="M522" s="2"/>
      <c r="N522" s="2"/>
      <c r="O522" s="2"/>
      <c r="P522" s="2"/>
      <c r="Q522" s="74"/>
      <c r="R522" s="2"/>
      <c r="S522" s="2"/>
      <c r="T522" s="76"/>
      <c r="U522" s="88"/>
    </row>
    <row r="523" ht="15.75" customHeight="1">
      <c r="A523" s="2"/>
      <c r="B523" s="2"/>
      <c r="C523" s="2"/>
      <c r="D523" s="2"/>
      <c r="E523" s="2"/>
      <c r="F523" s="2"/>
      <c r="G523" s="2"/>
      <c r="H523" s="74"/>
      <c r="I523" s="74"/>
      <c r="J523" s="74"/>
      <c r="K523" s="74"/>
      <c r="L523" s="74"/>
      <c r="M523" s="2"/>
      <c r="N523" s="2"/>
      <c r="O523" s="2"/>
      <c r="P523" s="2"/>
      <c r="Q523" s="74"/>
      <c r="R523" s="2"/>
      <c r="S523" s="2"/>
      <c r="T523" s="76"/>
      <c r="U523" s="88"/>
    </row>
    <row r="524" ht="15.75" customHeight="1">
      <c r="A524" s="2"/>
      <c r="B524" s="2"/>
      <c r="C524" s="2"/>
      <c r="D524" s="2"/>
      <c r="E524" s="2"/>
      <c r="F524" s="2"/>
      <c r="G524" s="2"/>
      <c r="H524" s="74"/>
      <c r="I524" s="74"/>
      <c r="J524" s="74"/>
      <c r="K524" s="74"/>
      <c r="L524" s="74"/>
      <c r="M524" s="2"/>
      <c r="N524" s="2"/>
      <c r="O524" s="2"/>
      <c r="P524" s="2"/>
      <c r="Q524" s="74"/>
      <c r="R524" s="2"/>
      <c r="S524" s="2"/>
      <c r="T524" s="76"/>
      <c r="U524" s="88"/>
    </row>
    <row r="525" ht="15.75" customHeight="1">
      <c r="A525" s="2"/>
      <c r="B525" s="2"/>
      <c r="C525" s="2"/>
      <c r="D525" s="2"/>
      <c r="E525" s="2"/>
      <c r="F525" s="2"/>
      <c r="G525" s="2"/>
      <c r="H525" s="74"/>
      <c r="I525" s="74"/>
      <c r="J525" s="74"/>
      <c r="K525" s="74"/>
      <c r="L525" s="74"/>
      <c r="M525" s="2"/>
      <c r="N525" s="2"/>
      <c r="O525" s="2"/>
      <c r="P525" s="2"/>
      <c r="Q525" s="74"/>
      <c r="R525" s="2"/>
      <c r="S525" s="2"/>
      <c r="T525" s="76"/>
      <c r="U525" s="88"/>
    </row>
    <row r="526" ht="15.75" customHeight="1">
      <c r="A526" s="2"/>
      <c r="B526" s="2"/>
      <c r="C526" s="2"/>
      <c r="D526" s="2"/>
      <c r="E526" s="2"/>
      <c r="F526" s="2"/>
      <c r="G526" s="2"/>
      <c r="H526" s="74"/>
      <c r="I526" s="74"/>
      <c r="J526" s="74"/>
      <c r="K526" s="74"/>
      <c r="L526" s="74"/>
      <c r="M526" s="2"/>
      <c r="N526" s="2"/>
      <c r="O526" s="2"/>
      <c r="P526" s="2"/>
      <c r="Q526" s="74"/>
      <c r="R526" s="2"/>
      <c r="S526" s="2"/>
      <c r="T526" s="76"/>
      <c r="U526" s="88"/>
    </row>
    <row r="527" ht="15.75" customHeight="1">
      <c r="A527" s="2"/>
      <c r="B527" s="2"/>
      <c r="C527" s="2"/>
      <c r="D527" s="2"/>
      <c r="E527" s="2"/>
      <c r="F527" s="2"/>
      <c r="G527" s="2"/>
      <c r="H527" s="74"/>
      <c r="I527" s="74"/>
      <c r="J527" s="74"/>
      <c r="K527" s="74"/>
      <c r="L527" s="74"/>
      <c r="M527" s="2"/>
      <c r="N527" s="2"/>
      <c r="O527" s="2"/>
      <c r="P527" s="2"/>
      <c r="Q527" s="74"/>
      <c r="R527" s="2"/>
      <c r="S527" s="2"/>
      <c r="T527" s="76"/>
      <c r="U527" s="88"/>
    </row>
    <row r="528" ht="15.75" customHeight="1">
      <c r="A528" s="2"/>
      <c r="B528" s="2"/>
      <c r="C528" s="2"/>
      <c r="D528" s="2"/>
      <c r="E528" s="2"/>
      <c r="F528" s="2"/>
      <c r="G528" s="2"/>
      <c r="H528" s="74"/>
      <c r="I528" s="74"/>
      <c r="J528" s="74"/>
      <c r="K528" s="74"/>
      <c r="L528" s="74"/>
      <c r="M528" s="2"/>
      <c r="N528" s="2"/>
      <c r="O528" s="2"/>
      <c r="P528" s="2"/>
      <c r="Q528" s="74"/>
      <c r="R528" s="2"/>
      <c r="S528" s="2"/>
      <c r="T528" s="76"/>
      <c r="U528" s="88"/>
    </row>
    <row r="529" ht="15.75" customHeight="1">
      <c r="A529" s="2"/>
      <c r="B529" s="2"/>
      <c r="C529" s="2"/>
      <c r="D529" s="2"/>
      <c r="E529" s="2"/>
      <c r="F529" s="2"/>
      <c r="G529" s="2"/>
      <c r="H529" s="74"/>
      <c r="I529" s="74"/>
      <c r="J529" s="74"/>
      <c r="K529" s="74"/>
      <c r="L529" s="74"/>
      <c r="M529" s="2"/>
      <c r="N529" s="2"/>
      <c r="O529" s="2"/>
      <c r="P529" s="2"/>
      <c r="Q529" s="74"/>
      <c r="R529" s="2"/>
      <c r="S529" s="2"/>
      <c r="T529" s="76"/>
      <c r="U529" s="88"/>
    </row>
    <row r="530" ht="15.75" customHeight="1">
      <c r="A530" s="2"/>
      <c r="B530" s="2"/>
      <c r="C530" s="2"/>
      <c r="D530" s="2"/>
      <c r="E530" s="2"/>
      <c r="F530" s="2"/>
      <c r="G530" s="2"/>
      <c r="H530" s="74"/>
      <c r="I530" s="74"/>
      <c r="J530" s="74"/>
      <c r="K530" s="74"/>
      <c r="L530" s="74"/>
      <c r="M530" s="2"/>
      <c r="N530" s="2"/>
      <c r="O530" s="2"/>
      <c r="P530" s="2"/>
      <c r="Q530" s="74"/>
      <c r="R530" s="2"/>
      <c r="S530" s="2"/>
      <c r="T530" s="76"/>
      <c r="U530" s="88"/>
    </row>
    <row r="531" ht="15.75" customHeight="1">
      <c r="A531" s="2"/>
      <c r="B531" s="2"/>
      <c r="C531" s="2"/>
      <c r="D531" s="2"/>
      <c r="E531" s="2"/>
      <c r="F531" s="2"/>
      <c r="G531" s="2"/>
      <c r="H531" s="74"/>
      <c r="I531" s="74"/>
      <c r="J531" s="74"/>
      <c r="K531" s="74"/>
      <c r="L531" s="74"/>
      <c r="M531" s="2"/>
      <c r="N531" s="2"/>
      <c r="O531" s="2"/>
      <c r="P531" s="2"/>
      <c r="Q531" s="74"/>
      <c r="R531" s="2"/>
      <c r="S531" s="2"/>
      <c r="T531" s="76"/>
      <c r="U531" s="88"/>
    </row>
    <row r="532" ht="15.75" customHeight="1">
      <c r="A532" s="2"/>
      <c r="B532" s="2"/>
      <c r="C532" s="2"/>
      <c r="D532" s="2"/>
      <c r="E532" s="2"/>
      <c r="F532" s="2"/>
      <c r="G532" s="2"/>
      <c r="H532" s="74"/>
      <c r="I532" s="74"/>
      <c r="J532" s="74"/>
      <c r="K532" s="74"/>
      <c r="L532" s="74"/>
      <c r="M532" s="2"/>
      <c r="N532" s="2"/>
      <c r="O532" s="2"/>
      <c r="P532" s="2"/>
      <c r="Q532" s="74"/>
      <c r="R532" s="2"/>
      <c r="S532" s="2"/>
      <c r="T532" s="76"/>
      <c r="U532" s="88"/>
    </row>
    <row r="533" ht="15.75" customHeight="1">
      <c r="A533" s="2"/>
      <c r="B533" s="2"/>
      <c r="C533" s="2"/>
      <c r="D533" s="2"/>
      <c r="E533" s="2"/>
      <c r="F533" s="2"/>
      <c r="G533" s="2"/>
      <c r="H533" s="74"/>
      <c r="I533" s="74"/>
      <c r="J533" s="74"/>
      <c r="K533" s="74"/>
      <c r="L533" s="74"/>
      <c r="M533" s="2"/>
      <c r="N533" s="2"/>
      <c r="O533" s="2"/>
      <c r="P533" s="2"/>
      <c r="Q533" s="74"/>
      <c r="R533" s="2"/>
      <c r="S533" s="2"/>
      <c r="T533" s="76"/>
      <c r="U533" s="88"/>
    </row>
    <row r="534" ht="15.75" customHeight="1">
      <c r="A534" s="2"/>
      <c r="B534" s="2"/>
      <c r="C534" s="2"/>
      <c r="D534" s="2"/>
      <c r="E534" s="2"/>
      <c r="F534" s="2"/>
      <c r="G534" s="2"/>
      <c r="H534" s="74"/>
      <c r="I534" s="74"/>
      <c r="J534" s="74"/>
      <c r="K534" s="74"/>
      <c r="L534" s="74"/>
      <c r="M534" s="2"/>
      <c r="N534" s="2"/>
      <c r="O534" s="2"/>
      <c r="P534" s="2"/>
      <c r="Q534" s="74"/>
      <c r="R534" s="2"/>
      <c r="S534" s="2"/>
      <c r="T534" s="76"/>
      <c r="U534" s="88"/>
    </row>
    <row r="535" ht="15.75" customHeight="1">
      <c r="A535" s="2"/>
      <c r="B535" s="2"/>
      <c r="C535" s="2"/>
      <c r="D535" s="2"/>
      <c r="E535" s="2"/>
      <c r="F535" s="2"/>
      <c r="G535" s="2"/>
      <c r="H535" s="74"/>
      <c r="I535" s="74"/>
      <c r="J535" s="74"/>
      <c r="K535" s="74"/>
      <c r="L535" s="74"/>
      <c r="M535" s="2"/>
      <c r="N535" s="2"/>
      <c r="O535" s="2"/>
      <c r="P535" s="2"/>
      <c r="Q535" s="74"/>
      <c r="R535" s="2"/>
      <c r="S535" s="2"/>
      <c r="T535" s="76"/>
      <c r="U535" s="88"/>
    </row>
    <row r="536" ht="15.75" customHeight="1">
      <c r="A536" s="2"/>
      <c r="B536" s="2"/>
      <c r="C536" s="2"/>
      <c r="D536" s="2"/>
      <c r="E536" s="2"/>
      <c r="F536" s="2"/>
      <c r="G536" s="2"/>
      <c r="H536" s="74"/>
      <c r="I536" s="74"/>
      <c r="J536" s="74"/>
      <c r="K536" s="74"/>
      <c r="L536" s="74"/>
      <c r="M536" s="2"/>
      <c r="N536" s="2"/>
      <c r="O536" s="2"/>
      <c r="P536" s="2"/>
      <c r="Q536" s="74"/>
      <c r="R536" s="2"/>
      <c r="S536" s="2"/>
      <c r="T536" s="76"/>
      <c r="U536" s="88"/>
    </row>
    <row r="537" ht="15.75" customHeight="1">
      <c r="A537" s="2"/>
      <c r="B537" s="2"/>
      <c r="C537" s="2"/>
      <c r="D537" s="2"/>
      <c r="E537" s="2"/>
      <c r="F537" s="2"/>
      <c r="G537" s="2"/>
      <c r="H537" s="74"/>
      <c r="I537" s="74"/>
      <c r="J537" s="74"/>
      <c r="K537" s="74"/>
      <c r="L537" s="74"/>
      <c r="M537" s="2"/>
      <c r="N537" s="2"/>
      <c r="O537" s="2"/>
      <c r="P537" s="2"/>
      <c r="Q537" s="74"/>
      <c r="R537" s="2"/>
      <c r="S537" s="2"/>
      <c r="T537" s="76"/>
      <c r="U537" s="88"/>
    </row>
    <row r="538" ht="15.75" customHeight="1">
      <c r="A538" s="2"/>
      <c r="B538" s="2"/>
      <c r="C538" s="2"/>
      <c r="D538" s="2"/>
      <c r="E538" s="2"/>
      <c r="F538" s="2"/>
      <c r="G538" s="2"/>
      <c r="H538" s="74"/>
      <c r="I538" s="74"/>
      <c r="J538" s="74"/>
      <c r="K538" s="74"/>
      <c r="L538" s="74"/>
      <c r="M538" s="2"/>
      <c r="N538" s="2"/>
      <c r="O538" s="2"/>
      <c r="P538" s="2"/>
      <c r="Q538" s="74"/>
      <c r="R538" s="2"/>
      <c r="S538" s="2"/>
      <c r="T538" s="76"/>
      <c r="U538" s="88"/>
    </row>
    <row r="539" ht="15.75" customHeight="1">
      <c r="A539" s="2"/>
      <c r="B539" s="2"/>
      <c r="C539" s="2"/>
      <c r="D539" s="2"/>
      <c r="E539" s="2"/>
      <c r="F539" s="2"/>
      <c r="G539" s="2"/>
      <c r="H539" s="74"/>
      <c r="I539" s="74"/>
      <c r="J539" s="74"/>
      <c r="K539" s="74"/>
      <c r="L539" s="74"/>
      <c r="M539" s="2"/>
      <c r="N539" s="2"/>
      <c r="O539" s="2"/>
      <c r="P539" s="2"/>
      <c r="Q539" s="74"/>
      <c r="R539" s="2"/>
      <c r="S539" s="2"/>
      <c r="T539" s="76"/>
      <c r="U539" s="88"/>
    </row>
    <row r="540" ht="15.75" customHeight="1">
      <c r="A540" s="2"/>
      <c r="B540" s="2"/>
      <c r="C540" s="2"/>
      <c r="D540" s="2"/>
      <c r="E540" s="2"/>
      <c r="F540" s="2"/>
      <c r="G540" s="2"/>
      <c r="H540" s="74"/>
      <c r="I540" s="74"/>
      <c r="J540" s="74"/>
      <c r="K540" s="74"/>
      <c r="L540" s="74"/>
      <c r="M540" s="2"/>
      <c r="N540" s="2"/>
      <c r="O540" s="2"/>
      <c r="P540" s="2"/>
      <c r="Q540" s="74"/>
      <c r="R540" s="2"/>
      <c r="S540" s="2"/>
      <c r="T540" s="76"/>
      <c r="U540" s="88"/>
    </row>
    <row r="541" ht="15.75" customHeight="1">
      <c r="A541" s="2"/>
      <c r="B541" s="2"/>
      <c r="C541" s="2"/>
      <c r="D541" s="2"/>
      <c r="E541" s="2"/>
      <c r="F541" s="2"/>
      <c r="G541" s="2"/>
      <c r="H541" s="74"/>
      <c r="I541" s="74"/>
      <c r="J541" s="74"/>
      <c r="K541" s="74"/>
      <c r="L541" s="74"/>
      <c r="M541" s="2"/>
      <c r="N541" s="2"/>
      <c r="O541" s="2"/>
      <c r="P541" s="2"/>
      <c r="Q541" s="74"/>
      <c r="R541" s="2"/>
      <c r="S541" s="2"/>
      <c r="T541" s="76"/>
      <c r="U541" s="88"/>
    </row>
    <row r="542" ht="15.75" customHeight="1">
      <c r="A542" s="2"/>
      <c r="B542" s="2"/>
      <c r="C542" s="2"/>
      <c r="D542" s="2"/>
      <c r="E542" s="2"/>
      <c r="F542" s="2"/>
      <c r="G542" s="2"/>
      <c r="H542" s="74"/>
      <c r="I542" s="74"/>
      <c r="J542" s="74"/>
      <c r="K542" s="74"/>
      <c r="L542" s="74"/>
      <c r="M542" s="2"/>
      <c r="N542" s="2"/>
      <c r="O542" s="2"/>
      <c r="P542" s="2"/>
      <c r="Q542" s="74"/>
      <c r="R542" s="2"/>
      <c r="S542" s="2"/>
      <c r="T542" s="76"/>
      <c r="U542" s="88"/>
    </row>
    <row r="543" ht="15.75" customHeight="1">
      <c r="A543" s="2"/>
      <c r="B543" s="2"/>
      <c r="C543" s="2"/>
      <c r="D543" s="2"/>
      <c r="E543" s="2"/>
      <c r="F543" s="2"/>
      <c r="G543" s="2"/>
      <c r="H543" s="74"/>
      <c r="I543" s="74"/>
      <c r="J543" s="74"/>
      <c r="K543" s="74"/>
      <c r="L543" s="74"/>
      <c r="M543" s="2"/>
      <c r="N543" s="2"/>
      <c r="O543" s="2"/>
      <c r="P543" s="2"/>
      <c r="Q543" s="74"/>
      <c r="R543" s="2"/>
      <c r="S543" s="2"/>
      <c r="T543" s="76"/>
      <c r="U543" s="88"/>
    </row>
    <row r="544" ht="15.75" customHeight="1">
      <c r="A544" s="2"/>
      <c r="B544" s="2"/>
      <c r="C544" s="2"/>
      <c r="D544" s="2"/>
      <c r="E544" s="2"/>
      <c r="F544" s="2"/>
      <c r="G544" s="2"/>
      <c r="H544" s="74"/>
      <c r="I544" s="74"/>
      <c r="J544" s="74"/>
      <c r="K544" s="74"/>
      <c r="L544" s="74"/>
      <c r="M544" s="2"/>
      <c r="N544" s="2"/>
      <c r="O544" s="2"/>
      <c r="P544" s="2"/>
      <c r="Q544" s="74"/>
      <c r="R544" s="2"/>
      <c r="S544" s="2"/>
      <c r="T544" s="76"/>
      <c r="U544" s="88"/>
    </row>
    <row r="545" ht="15.75" customHeight="1">
      <c r="A545" s="2"/>
      <c r="B545" s="2"/>
      <c r="C545" s="2"/>
      <c r="D545" s="2"/>
      <c r="E545" s="2"/>
      <c r="F545" s="2"/>
      <c r="G545" s="2"/>
      <c r="H545" s="74"/>
      <c r="I545" s="74"/>
      <c r="J545" s="74"/>
      <c r="K545" s="74"/>
      <c r="L545" s="74"/>
      <c r="M545" s="2"/>
      <c r="N545" s="2"/>
      <c r="O545" s="2"/>
      <c r="P545" s="2"/>
      <c r="Q545" s="74"/>
      <c r="R545" s="2"/>
      <c r="S545" s="2"/>
      <c r="T545" s="76"/>
      <c r="U545" s="88"/>
    </row>
    <row r="546" ht="15.75" customHeight="1">
      <c r="A546" s="2"/>
      <c r="B546" s="2"/>
      <c r="C546" s="2"/>
      <c r="D546" s="2"/>
      <c r="E546" s="2"/>
      <c r="F546" s="2"/>
      <c r="G546" s="2"/>
      <c r="H546" s="74"/>
      <c r="I546" s="74"/>
      <c r="J546" s="74"/>
      <c r="K546" s="74"/>
      <c r="L546" s="74"/>
      <c r="M546" s="2"/>
      <c r="N546" s="2"/>
      <c r="O546" s="2"/>
      <c r="P546" s="2"/>
      <c r="Q546" s="74"/>
      <c r="R546" s="2"/>
      <c r="S546" s="2"/>
      <c r="T546" s="76"/>
      <c r="U546" s="88"/>
    </row>
    <row r="547" ht="15.75" customHeight="1">
      <c r="A547" s="2"/>
      <c r="B547" s="2"/>
      <c r="C547" s="2"/>
      <c r="D547" s="2"/>
      <c r="E547" s="2"/>
      <c r="F547" s="2"/>
      <c r="G547" s="2"/>
      <c r="H547" s="74"/>
      <c r="I547" s="74"/>
      <c r="J547" s="74"/>
      <c r="K547" s="74"/>
      <c r="L547" s="74"/>
      <c r="M547" s="2"/>
      <c r="N547" s="2"/>
      <c r="O547" s="2"/>
      <c r="P547" s="2"/>
      <c r="Q547" s="74"/>
      <c r="R547" s="2"/>
      <c r="S547" s="2"/>
      <c r="T547" s="76"/>
      <c r="U547" s="88"/>
    </row>
    <row r="548" ht="15.75" customHeight="1">
      <c r="A548" s="2"/>
      <c r="B548" s="2"/>
      <c r="C548" s="2"/>
      <c r="D548" s="2"/>
      <c r="E548" s="2"/>
      <c r="F548" s="2"/>
      <c r="G548" s="2"/>
      <c r="H548" s="74"/>
      <c r="I548" s="74"/>
      <c r="J548" s="74"/>
      <c r="K548" s="74"/>
      <c r="L548" s="74"/>
      <c r="M548" s="2"/>
      <c r="N548" s="2"/>
      <c r="O548" s="2"/>
      <c r="P548" s="2"/>
      <c r="Q548" s="74"/>
      <c r="R548" s="2"/>
      <c r="S548" s="2"/>
      <c r="T548" s="76"/>
      <c r="U548" s="88"/>
    </row>
    <row r="549" ht="15.75" customHeight="1">
      <c r="A549" s="2"/>
      <c r="B549" s="2"/>
      <c r="C549" s="2"/>
      <c r="D549" s="2"/>
      <c r="E549" s="2"/>
      <c r="F549" s="2"/>
      <c r="G549" s="2"/>
      <c r="H549" s="74"/>
      <c r="I549" s="74"/>
      <c r="J549" s="74"/>
      <c r="K549" s="74"/>
      <c r="L549" s="74"/>
      <c r="M549" s="2"/>
      <c r="N549" s="2"/>
      <c r="O549" s="2"/>
      <c r="P549" s="2"/>
      <c r="Q549" s="74"/>
      <c r="R549" s="2"/>
      <c r="S549" s="2"/>
      <c r="T549" s="76"/>
      <c r="U549" s="88"/>
    </row>
    <row r="550" ht="15.75" customHeight="1">
      <c r="A550" s="2"/>
      <c r="B550" s="2"/>
      <c r="C550" s="2"/>
      <c r="D550" s="2"/>
      <c r="E550" s="2"/>
      <c r="F550" s="2"/>
      <c r="G550" s="2"/>
      <c r="H550" s="74"/>
      <c r="I550" s="74"/>
      <c r="J550" s="74"/>
      <c r="K550" s="74"/>
      <c r="L550" s="74"/>
      <c r="M550" s="2"/>
      <c r="N550" s="2"/>
      <c r="O550" s="2"/>
      <c r="P550" s="2"/>
      <c r="Q550" s="74"/>
      <c r="R550" s="2"/>
      <c r="S550" s="2"/>
      <c r="T550" s="76"/>
      <c r="U550" s="88"/>
    </row>
    <row r="551" ht="15.75" customHeight="1">
      <c r="A551" s="2"/>
      <c r="B551" s="2"/>
      <c r="C551" s="2"/>
      <c r="D551" s="2"/>
      <c r="E551" s="2"/>
      <c r="F551" s="2"/>
      <c r="G551" s="2"/>
      <c r="H551" s="74"/>
      <c r="I551" s="74"/>
      <c r="J551" s="74"/>
      <c r="K551" s="74"/>
      <c r="L551" s="74"/>
      <c r="M551" s="2"/>
      <c r="N551" s="2"/>
      <c r="O551" s="2"/>
      <c r="P551" s="2"/>
      <c r="Q551" s="74"/>
      <c r="R551" s="2"/>
      <c r="S551" s="2"/>
      <c r="T551" s="76"/>
      <c r="U551" s="88"/>
    </row>
    <row r="552" ht="15.75" customHeight="1">
      <c r="A552" s="2"/>
      <c r="B552" s="2"/>
      <c r="C552" s="2"/>
      <c r="D552" s="2"/>
      <c r="E552" s="2"/>
      <c r="F552" s="2"/>
      <c r="G552" s="2"/>
      <c r="H552" s="74"/>
      <c r="I552" s="74"/>
      <c r="J552" s="74"/>
      <c r="K552" s="74"/>
      <c r="L552" s="74"/>
      <c r="M552" s="2"/>
      <c r="N552" s="2"/>
      <c r="O552" s="2"/>
      <c r="P552" s="2"/>
      <c r="Q552" s="74"/>
      <c r="R552" s="2"/>
      <c r="S552" s="2"/>
      <c r="T552" s="76"/>
      <c r="U552" s="88"/>
    </row>
    <row r="553" ht="15.75" customHeight="1">
      <c r="A553" s="2"/>
      <c r="B553" s="2"/>
      <c r="C553" s="2"/>
      <c r="D553" s="2"/>
      <c r="E553" s="2"/>
      <c r="F553" s="2"/>
      <c r="G553" s="2"/>
      <c r="H553" s="74"/>
      <c r="I553" s="74"/>
      <c r="J553" s="74"/>
      <c r="K553" s="74"/>
      <c r="L553" s="74"/>
      <c r="M553" s="2"/>
      <c r="N553" s="2"/>
      <c r="O553" s="2"/>
      <c r="P553" s="2"/>
      <c r="Q553" s="74"/>
      <c r="R553" s="2"/>
      <c r="S553" s="2"/>
      <c r="T553" s="76"/>
      <c r="U553" s="88"/>
    </row>
    <row r="554" ht="15.75" customHeight="1">
      <c r="A554" s="2"/>
      <c r="B554" s="2"/>
      <c r="C554" s="2"/>
      <c r="D554" s="2"/>
      <c r="E554" s="2"/>
      <c r="F554" s="2"/>
      <c r="G554" s="2"/>
      <c r="H554" s="74"/>
      <c r="I554" s="74"/>
      <c r="J554" s="74"/>
      <c r="K554" s="74"/>
      <c r="L554" s="74"/>
      <c r="M554" s="2"/>
      <c r="N554" s="2"/>
      <c r="O554" s="2"/>
      <c r="P554" s="2"/>
      <c r="Q554" s="74"/>
      <c r="R554" s="2"/>
      <c r="S554" s="2"/>
      <c r="T554" s="76"/>
      <c r="U554" s="88"/>
    </row>
    <row r="555" ht="15.75" customHeight="1">
      <c r="A555" s="2"/>
      <c r="B555" s="2"/>
      <c r="C555" s="2"/>
      <c r="D555" s="2"/>
      <c r="E555" s="2"/>
      <c r="F555" s="2"/>
      <c r="G555" s="2"/>
      <c r="H555" s="74"/>
      <c r="I555" s="74"/>
      <c r="J555" s="74"/>
      <c r="K555" s="74"/>
      <c r="L555" s="74"/>
      <c r="M555" s="2"/>
      <c r="N555" s="2"/>
      <c r="O555" s="2"/>
      <c r="P555" s="2"/>
      <c r="Q555" s="74"/>
      <c r="R555" s="2"/>
      <c r="S555" s="2"/>
      <c r="T555" s="76"/>
      <c r="U555" s="88"/>
    </row>
    <row r="556" ht="15.75" customHeight="1">
      <c r="A556" s="2"/>
      <c r="B556" s="2"/>
      <c r="C556" s="2"/>
      <c r="D556" s="2"/>
      <c r="E556" s="2"/>
      <c r="F556" s="2"/>
      <c r="G556" s="2"/>
      <c r="H556" s="74"/>
      <c r="I556" s="74"/>
      <c r="J556" s="74"/>
      <c r="K556" s="74"/>
      <c r="L556" s="74"/>
      <c r="M556" s="2"/>
      <c r="N556" s="2"/>
      <c r="O556" s="2"/>
      <c r="P556" s="2"/>
      <c r="Q556" s="74"/>
      <c r="R556" s="2"/>
      <c r="S556" s="2"/>
      <c r="T556" s="76"/>
      <c r="U556" s="88"/>
    </row>
    <row r="557" ht="15.75" customHeight="1">
      <c r="A557" s="2"/>
      <c r="B557" s="2"/>
      <c r="C557" s="2"/>
      <c r="D557" s="2"/>
      <c r="E557" s="2"/>
      <c r="F557" s="2"/>
      <c r="G557" s="2"/>
      <c r="H557" s="74"/>
      <c r="I557" s="74"/>
      <c r="J557" s="74"/>
      <c r="K557" s="74"/>
      <c r="L557" s="74"/>
      <c r="M557" s="2"/>
      <c r="N557" s="2"/>
      <c r="O557" s="2"/>
      <c r="P557" s="2"/>
      <c r="Q557" s="74"/>
      <c r="R557" s="2"/>
      <c r="S557" s="2"/>
      <c r="T557" s="76"/>
      <c r="U557" s="88"/>
    </row>
    <row r="558" ht="15.75" customHeight="1">
      <c r="A558" s="2"/>
      <c r="B558" s="2"/>
      <c r="C558" s="2"/>
      <c r="D558" s="2"/>
      <c r="E558" s="2"/>
      <c r="F558" s="2"/>
      <c r="G558" s="2"/>
      <c r="H558" s="74"/>
      <c r="I558" s="74"/>
      <c r="J558" s="74"/>
      <c r="K558" s="74"/>
      <c r="L558" s="74"/>
      <c r="M558" s="2"/>
      <c r="N558" s="2"/>
      <c r="O558" s="2"/>
      <c r="P558" s="2"/>
      <c r="Q558" s="74"/>
      <c r="R558" s="2"/>
      <c r="S558" s="2"/>
      <c r="T558" s="76"/>
      <c r="U558" s="88"/>
    </row>
    <row r="559" ht="15.75" customHeight="1">
      <c r="A559" s="2"/>
      <c r="B559" s="2"/>
      <c r="C559" s="2"/>
      <c r="D559" s="2"/>
      <c r="E559" s="2"/>
      <c r="F559" s="2"/>
      <c r="G559" s="2"/>
      <c r="H559" s="74"/>
      <c r="I559" s="74"/>
      <c r="J559" s="74"/>
      <c r="K559" s="74"/>
      <c r="L559" s="74"/>
      <c r="M559" s="2"/>
      <c r="N559" s="2"/>
      <c r="O559" s="2"/>
      <c r="P559" s="2"/>
      <c r="Q559" s="74"/>
      <c r="R559" s="2"/>
      <c r="S559" s="2"/>
      <c r="T559" s="76"/>
      <c r="U559" s="88"/>
    </row>
    <row r="560" ht="15.75" customHeight="1">
      <c r="A560" s="2"/>
      <c r="B560" s="2"/>
      <c r="C560" s="2"/>
      <c r="D560" s="2"/>
      <c r="E560" s="2"/>
      <c r="F560" s="2"/>
      <c r="G560" s="2"/>
      <c r="H560" s="74"/>
      <c r="I560" s="74"/>
      <c r="J560" s="74"/>
      <c r="K560" s="74"/>
      <c r="L560" s="74"/>
      <c r="M560" s="2"/>
      <c r="N560" s="2"/>
      <c r="O560" s="2"/>
      <c r="P560" s="2"/>
      <c r="Q560" s="74"/>
      <c r="R560" s="2"/>
      <c r="S560" s="2"/>
      <c r="T560" s="76"/>
      <c r="U560" s="88"/>
    </row>
    <row r="561" ht="15.75" customHeight="1">
      <c r="A561" s="2"/>
      <c r="B561" s="2"/>
      <c r="C561" s="2"/>
      <c r="D561" s="2"/>
      <c r="E561" s="2"/>
      <c r="F561" s="2"/>
      <c r="G561" s="2"/>
      <c r="H561" s="74"/>
      <c r="I561" s="74"/>
      <c r="J561" s="74"/>
      <c r="K561" s="74"/>
      <c r="L561" s="74"/>
      <c r="M561" s="2"/>
      <c r="N561" s="2"/>
      <c r="O561" s="2"/>
      <c r="P561" s="2"/>
      <c r="Q561" s="74"/>
      <c r="R561" s="2"/>
      <c r="S561" s="2"/>
      <c r="T561" s="76"/>
      <c r="U561" s="88"/>
    </row>
    <row r="562" ht="15.75" customHeight="1">
      <c r="A562" s="2"/>
      <c r="B562" s="2"/>
      <c r="C562" s="2"/>
      <c r="D562" s="2"/>
      <c r="E562" s="2"/>
      <c r="F562" s="2"/>
      <c r="G562" s="2"/>
      <c r="H562" s="74"/>
      <c r="I562" s="74"/>
      <c r="J562" s="74"/>
      <c r="K562" s="74"/>
      <c r="L562" s="74"/>
      <c r="M562" s="2"/>
      <c r="N562" s="2"/>
      <c r="O562" s="2"/>
      <c r="P562" s="2"/>
      <c r="Q562" s="74"/>
      <c r="R562" s="2"/>
      <c r="S562" s="2"/>
      <c r="T562" s="76"/>
      <c r="U562" s="88"/>
    </row>
    <row r="563" ht="15.75" customHeight="1">
      <c r="A563" s="2"/>
      <c r="B563" s="2"/>
      <c r="C563" s="2"/>
      <c r="D563" s="2"/>
      <c r="E563" s="2"/>
      <c r="F563" s="2"/>
      <c r="G563" s="2"/>
      <c r="H563" s="74"/>
      <c r="I563" s="74"/>
      <c r="J563" s="74"/>
      <c r="K563" s="74"/>
      <c r="L563" s="74"/>
      <c r="M563" s="2"/>
      <c r="N563" s="2"/>
      <c r="O563" s="2"/>
      <c r="P563" s="2"/>
      <c r="Q563" s="74"/>
      <c r="R563" s="2"/>
      <c r="S563" s="2"/>
      <c r="T563" s="76"/>
      <c r="U563" s="88"/>
    </row>
    <row r="564" ht="15.75" customHeight="1">
      <c r="A564" s="2"/>
      <c r="B564" s="2"/>
      <c r="C564" s="2"/>
      <c r="D564" s="2"/>
      <c r="E564" s="2"/>
      <c r="F564" s="2"/>
      <c r="G564" s="2"/>
      <c r="H564" s="74"/>
      <c r="I564" s="74"/>
      <c r="J564" s="74"/>
      <c r="K564" s="74"/>
      <c r="L564" s="74"/>
      <c r="M564" s="2"/>
      <c r="N564" s="2"/>
      <c r="O564" s="2"/>
      <c r="P564" s="2"/>
      <c r="Q564" s="74"/>
      <c r="R564" s="2"/>
      <c r="S564" s="2"/>
      <c r="T564" s="76"/>
      <c r="U564" s="88"/>
    </row>
    <row r="565" ht="15.75" customHeight="1">
      <c r="A565" s="2"/>
      <c r="B565" s="2"/>
      <c r="C565" s="2"/>
      <c r="D565" s="2"/>
      <c r="E565" s="2"/>
      <c r="F565" s="2"/>
      <c r="G565" s="2"/>
      <c r="H565" s="74"/>
      <c r="I565" s="74"/>
      <c r="J565" s="74"/>
      <c r="K565" s="74"/>
      <c r="L565" s="74"/>
      <c r="M565" s="2"/>
      <c r="N565" s="2"/>
      <c r="O565" s="2"/>
      <c r="P565" s="2"/>
      <c r="Q565" s="74"/>
      <c r="R565" s="2"/>
      <c r="S565" s="2"/>
      <c r="T565" s="76"/>
      <c r="U565" s="88"/>
    </row>
    <row r="566" ht="15.75" customHeight="1">
      <c r="A566" s="2"/>
      <c r="B566" s="2"/>
      <c r="C566" s="2"/>
      <c r="D566" s="2"/>
      <c r="E566" s="2"/>
      <c r="F566" s="2"/>
      <c r="G566" s="2"/>
      <c r="H566" s="74"/>
      <c r="I566" s="74"/>
      <c r="J566" s="74"/>
      <c r="K566" s="74"/>
      <c r="L566" s="74"/>
      <c r="M566" s="2"/>
      <c r="N566" s="2"/>
      <c r="O566" s="2"/>
      <c r="P566" s="2"/>
      <c r="Q566" s="74"/>
      <c r="R566" s="2"/>
      <c r="S566" s="2"/>
      <c r="T566" s="76"/>
      <c r="U566" s="88"/>
    </row>
    <row r="567" ht="15.75" customHeight="1">
      <c r="A567" s="2"/>
      <c r="B567" s="2"/>
      <c r="C567" s="2"/>
      <c r="D567" s="2"/>
      <c r="E567" s="2"/>
      <c r="F567" s="2"/>
      <c r="G567" s="2"/>
      <c r="H567" s="74"/>
      <c r="I567" s="74"/>
      <c r="J567" s="74"/>
      <c r="K567" s="74"/>
      <c r="L567" s="74"/>
      <c r="M567" s="2"/>
      <c r="N567" s="2"/>
      <c r="O567" s="2"/>
      <c r="P567" s="2"/>
      <c r="Q567" s="74"/>
      <c r="R567" s="2"/>
      <c r="S567" s="2"/>
      <c r="T567" s="76"/>
      <c r="U567" s="88"/>
    </row>
    <row r="568" ht="15.75" customHeight="1">
      <c r="A568" s="2"/>
      <c r="B568" s="2"/>
      <c r="C568" s="2"/>
      <c r="D568" s="2"/>
      <c r="E568" s="2"/>
      <c r="F568" s="2"/>
      <c r="G568" s="2"/>
      <c r="H568" s="74"/>
      <c r="I568" s="74"/>
      <c r="J568" s="74"/>
      <c r="K568" s="74"/>
      <c r="L568" s="74"/>
      <c r="M568" s="2"/>
      <c r="N568" s="2"/>
      <c r="O568" s="2"/>
      <c r="P568" s="2"/>
      <c r="Q568" s="74"/>
      <c r="R568" s="2"/>
      <c r="S568" s="2"/>
      <c r="T568" s="76"/>
      <c r="U568" s="88"/>
    </row>
    <row r="569" ht="15.75" customHeight="1">
      <c r="A569" s="2"/>
      <c r="B569" s="2"/>
      <c r="C569" s="2"/>
      <c r="D569" s="2"/>
      <c r="E569" s="2"/>
      <c r="F569" s="2"/>
      <c r="G569" s="2"/>
      <c r="H569" s="74"/>
      <c r="I569" s="74"/>
      <c r="J569" s="74"/>
      <c r="K569" s="74"/>
      <c r="L569" s="74"/>
      <c r="M569" s="2"/>
      <c r="N569" s="2"/>
      <c r="O569" s="2"/>
      <c r="P569" s="2"/>
      <c r="Q569" s="74"/>
      <c r="R569" s="2"/>
      <c r="S569" s="2"/>
      <c r="T569" s="76"/>
      <c r="U569" s="88"/>
    </row>
    <row r="570" ht="15.75" customHeight="1">
      <c r="A570" s="2"/>
      <c r="B570" s="2"/>
      <c r="C570" s="2"/>
      <c r="D570" s="2"/>
      <c r="E570" s="2"/>
      <c r="F570" s="2"/>
      <c r="G570" s="2"/>
      <c r="H570" s="74"/>
      <c r="I570" s="74"/>
      <c r="J570" s="74"/>
      <c r="K570" s="74"/>
      <c r="L570" s="74"/>
      <c r="M570" s="2"/>
      <c r="N570" s="2"/>
      <c r="O570" s="2"/>
      <c r="P570" s="2"/>
      <c r="Q570" s="74"/>
      <c r="R570" s="2"/>
      <c r="S570" s="2"/>
      <c r="T570" s="76"/>
      <c r="U570" s="88"/>
    </row>
    <row r="571" ht="15.75" customHeight="1">
      <c r="A571" s="2"/>
      <c r="B571" s="2"/>
      <c r="C571" s="2"/>
      <c r="D571" s="2"/>
      <c r="E571" s="2"/>
      <c r="F571" s="2"/>
      <c r="G571" s="2"/>
      <c r="H571" s="74"/>
      <c r="I571" s="74"/>
      <c r="J571" s="74"/>
      <c r="K571" s="74"/>
      <c r="L571" s="74"/>
      <c r="M571" s="2"/>
      <c r="N571" s="2"/>
      <c r="O571" s="2"/>
      <c r="P571" s="2"/>
      <c r="Q571" s="74"/>
      <c r="R571" s="2"/>
      <c r="S571" s="2"/>
      <c r="T571" s="76"/>
      <c r="U571" s="88"/>
    </row>
    <row r="572" ht="15.75" customHeight="1">
      <c r="A572" s="2"/>
      <c r="B572" s="2"/>
      <c r="C572" s="2"/>
      <c r="D572" s="2"/>
      <c r="E572" s="2"/>
      <c r="F572" s="2"/>
      <c r="G572" s="2"/>
      <c r="H572" s="74"/>
      <c r="I572" s="74"/>
      <c r="J572" s="74"/>
      <c r="K572" s="74"/>
      <c r="L572" s="74"/>
      <c r="M572" s="2"/>
      <c r="N572" s="2"/>
      <c r="O572" s="2"/>
      <c r="P572" s="2"/>
      <c r="Q572" s="74"/>
      <c r="R572" s="2"/>
      <c r="S572" s="2"/>
      <c r="T572" s="76"/>
      <c r="U572" s="88"/>
    </row>
    <row r="573" ht="15.75" customHeight="1">
      <c r="A573" s="2"/>
      <c r="B573" s="2"/>
      <c r="C573" s="2"/>
      <c r="D573" s="2"/>
      <c r="E573" s="2"/>
      <c r="F573" s="2"/>
      <c r="G573" s="2"/>
      <c r="H573" s="74"/>
      <c r="I573" s="74"/>
      <c r="J573" s="74"/>
      <c r="K573" s="74"/>
      <c r="L573" s="74"/>
      <c r="M573" s="2"/>
      <c r="N573" s="2"/>
      <c r="O573" s="2"/>
      <c r="P573" s="2"/>
      <c r="Q573" s="74"/>
      <c r="R573" s="2"/>
      <c r="S573" s="2"/>
      <c r="T573" s="76"/>
      <c r="U573" s="88"/>
    </row>
    <row r="574" ht="15.75" customHeight="1">
      <c r="A574" s="2"/>
      <c r="B574" s="2"/>
      <c r="C574" s="2"/>
      <c r="D574" s="2"/>
      <c r="E574" s="2"/>
      <c r="F574" s="2"/>
      <c r="G574" s="2"/>
      <c r="H574" s="74"/>
      <c r="I574" s="74"/>
      <c r="J574" s="74"/>
      <c r="K574" s="74"/>
      <c r="L574" s="74"/>
      <c r="M574" s="2"/>
      <c r="N574" s="2"/>
      <c r="O574" s="2"/>
      <c r="P574" s="2"/>
      <c r="Q574" s="74"/>
      <c r="R574" s="2"/>
      <c r="S574" s="2"/>
      <c r="T574" s="76"/>
      <c r="U574" s="88"/>
    </row>
    <row r="575" ht="15.75" customHeight="1">
      <c r="A575" s="2"/>
      <c r="B575" s="2"/>
      <c r="C575" s="2"/>
      <c r="D575" s="2"/>
      <c r="E575" s="2"/>
      <c r="F575" s="2"/>
      <c r="G575" s="2"/>
      <c r="H575" s="74"/>
      <c r="I575" s="74"/>
      <c r="J575" s="74"/>
      <c r="K575" s="74"/>
      <c r="L575" s="74"/>
      <c r="M575" s="2"/>
      <c r="N575" s="2"/>
      <c r="O575" s="2"/>
      <c r="P575" s="2"/>
      <c r="Q575" s="74"/>
      <c r="R575" s="2"/>
      <c r="S575" s="2"/>
      <c r="T575" s="76"/>
      <c r="U575" s="88"/>
    </row>
    <row r="576" ht="15.75" customHeight="1">
      <c r="A576" s="2"/>
      <c r="B576" s="2"/>
      <c r="C576" s="2"/>
      <c r="D576" s="2"/>
      <c r="E576" s="2"/>
      <c r="F576" s="2"/>
      <c r="G576" s="2"/>
      <c r="H576" s="74"/>
      <c r="I576" s="74"/>
      <c r="J576" s="74"/>
      <c r="K576" s="74"/>
      <c r="L576" s="74"/>
      <c r="M576" s="2"/>
      <c r="N576" s="2"/>
      <c r="O576" s="2"/>
      <c r="P576" s="2"/>
      <c r="Q576" s="74"/>
      <c r="R576" s="2"/>
      <c r="S576" s="2"/>
      <c r="T576" s="76"/>
      <c r="U576" s="88"/>
    </row>
    <row r="577" ht="15.75" customHeight="1">
      <c r="A577" s="2"/>
      <c r="B577" s="2"/>
      <c r="C577" s="2"/>
      <c r="D577" s="2"/>
      <c r="E577" s="2"/>
      <c r="F577" s="2"/>
      <c r="G577" s="2"/>
      <c r="H577" s="74"/>
      <c r="I577" s="74"/>
      <c r="J577" s="74"/>
      <c r="K577" s="74"/>
      <c r="L577" s="74"/>
      <c r="M577" s="2"/>
      <c r="N577" s="2"/>
      <c r="O577" s="2"/>
      <c r="P577" s="2"/>
      <c r="Q577" s="74"/>
      <c r="R577" s="2"/>
      <c r="S577" s="2"/>
      <c r="T577" s="76"/>
      <c r="U577" s="88"/>
    </row>
    <row r="578" ht="15.75" customHeight="1">
      <c r="A578" s="2"/>
      <c r="B578" s="2"/>
      <c r="C578" s="2"/>
      <c r="D578" s="2"/>
      <c r="E578" s="2"/>
      <c r="F578" s="2"/>
      <c r="G578" s="2"/>
      <c r="H578" s="74"/>
      <c r="I578" s="74"/>
      <c r="J578" s="74"/>
      <c r="K578" s="74"/>
      <c r="L578" s="74"/>
      <c r="M578" s="2"/>
      <c r="N578" s="2"/>
      <c r="O578" s="2"/>
      <c r="P578" s="2"/>
      <c r="Q578" s="74"/>
      <c r="R578" s="2"/>
      <c r="S578" s="2"/>
      <c r="T578" s="76"/>
      <c r="U578" s="88"/>
    </row>
    <row r="579" ht="15.75" customHeight="1">
      <c r="A579" s="2"/>
      <c r="B579" s="2"/>
      <c r="C579" s="2"/>
      <c r="D579" s="2"/>
      <c r="E579" s="2"/>
      <c r="F579" s="2"/>
      <c r="G579" s="2"/>
      <c r="H579" s="74"/>
      <c r="I579" s="74"/>
      <c r="J579" s="74"/>
      <c r="K579" s="74"/>
      <c r="L579" s="74"/>
      <c r="M579" s="2"/>
      <c r="N579" s="2"/>
      <c r="O579" s="2"/>
      <c r="P579" s="2"/>
      <c r="Q579" s="74"/>
      <c r="R579" s="2"/>
      <c r="S579" s="2"/>
      <c r="T579" s="76"/>
      <c r="U579" s="88"/>
    </row>
    <row r="580" ht="15.75" customHeight="1">
      <c r="A580" s="2"/>
      <c r="B580" s="2"/>
      <c r="C580" s="2"/>
      <c r="D580" s="2"/>
      <c r="E580" s="2"/>
      <c r="F580" s="2"/>
      <c r="G580" s="2"/>
      <c r="H580" s="74"/>
      <c r="I580" s="74"/>
      <c r="J580" s="74"/>
      <c r="K580" s="74"/>
      <c r="L580" s="74"/>
      <c r="M580" s="2"/>
      <c r="N580" s="2"/>
      <c r="O580" s="2"/>
      <c r="P580" s="2"/>
      <c r="Q580" s="74"/>
      <c r="R580" s="2"/>
      <c r="S580" s="2"/>
      <c r="T580" s="76"/>
      <c r="U580" s="88"/>
    </row>
    <row r="581" ht="15.75" customHeight="1">
      <c r="A581" s="2"/>
      <c r="B581" s="2"/>
      <c r="C581" s="2"/>
      <c r="D581" s="2"/>
      <c r="E581" s="2"/>
      <c r="F581" s="2"/>
      <c r="G581" s="2"/>
      <c r="H581" s="74"/>
      <c r="I581" s="74"/>
      <c r="J581" s="74"/>
      <c r="K581" s="74"/>
      <c r="L581" s="74"/>
      <c r="M581" s="2"/>
      <c r="N581" s="2"/>
      <c r="O581" s="2"/>
      <c r="P581" s="2"/>
      <c r="Q581" s="74"/>
      <c r="R581" s="2"/>
      <c r="S581" s="2"/>
      <c r="T581" s="76"/>
      <c r="U581" s="88"/>
    </row>
    <row r="582" ht="15.75" customHeight="1">
      <c r="A582" s="2"/>
      <c r="B582" s="2"/>
      <c r="C582" s="2"/>
      <c r="D582" s="2"/>
      <c r="E582" s="2"/>
      <c r="F582" s="2"/>
      <c r="G582" s="2"/>
      <c r="H582" s="74"/>
      <c r="I582" s="74"/>
      <c r="J582" s="74"/>
      <c r="K582" s="74"/>
      <c r="L582" s="74"/>
      <c r="M582" s="2"/>
      <c r="N582" s="2"/>
      <c r="O582" s="2"/>
      <c r="P582" s="2"/>
      <c r="Q582" s="74"/>
      <c r="R582" s="2"/>
      <c r="S582" s="2"/>
      <c r="T582" s="76"/>
      <c r="U582" s="88"/>
    </row>
    <row r="583" ht="15.75" customHeight="1">
      <c r="A583" s="2"/>
      <c r="B583" s="2"/>
      <c r="C583" s="2"/>
      <c r="D583" s="2"/>
      <c r="E583" s="2"/>
      <c r="F583" s="2"/>
      <c r="G583" s="2"/>
      <c r="H583" s="74"/>
      <c r="I583" s="74"/>
      <c r="J583" s="74"/>
      <c r="K583" s="74"/>
      <c r="L583" s="74"/>
      <c r="M583" s="2"/>
      <c r="N583" s="2"/>
      <c r="O583" s="2"/>
      <c r="P583" s="2"/>
      <c r="Q583" s="74"/>
      <c r="R583" s="2"/>
      <c r="S583" s="2"/>
      <c r="T583" s="76"/>
      <c r="U583" s="88"/>
    </row>
    <row r="584" ht="15.75" customHeight="1">
      <c r="A584" s="2"/>
      <c r="B584" s="2"/>
      <c r="C584" s="2"/>
      <c r="D584" s="2"/>
      <c r="E584" s="2"/>
      <c r="F584" s="2"/>
      <c r="G584" s="2"/>
      <c r="H584" s="74"/>
      <c r="I584" s="74"/>
      <c r="J584" s="74"/>
      <c r="K584" s="74"/>
      <c r="L584" s="74"/>
      <c r="M584" s="2"/>
      <c r="N584" s="2"/>
      <c r="O584" s="2"/>
      <c r="P584" s="2"/>
      <c r="Q584" s="74"/>
      <c r="R584" s="2"/>
      <c r="S584" s="2"/>
      <c r="T584" s="76"/>
      <c r="U584" s="88"/>
    </row>
    <row r="585" ht="15.75" customHeight="1">
      <c r="A585" s="2"/>
      <c r="B585" s="2"/>
      <c r="C585" s="2"/>
      <c r="D585" s="2"/>
      <c r="E585" s="2"/>
      <c r="F585" s="2"/>
      <c r="G585" s="2"/>
      <c r="H585" s="74"/>
      <c r="I585" s="74"/>
      <c r="J585" s="74"/>
      <c r="K585" s="74"/>
      <c r="L585" s="74"/>
      <c r="M585" s="2"/>
      <c r="N585" s="2"/>
      <c r="O585" s="2"/>
      <c r="P585" s="2"/>
      <c r="Q585" s="74"/>
      <c r="R585" s="2"/>
      <c r="S585" s="2"/>
      <c r="T585" s="76"/>
      <c r="U585" s="88"/>
    </row>
    <row r="586" ht="15.75" customHeight="1">
      <c r="A586" s="2"/>
      <c r="B586" s="2"/>
      <c r="C586" s="2"/>
      <c r="D586" s="2"/>
      <c r="E586" s="2"/>
      <c r="F586" s="2"/>
      <c r="G586" s="2"/>
      <c r="H586" s="74"/>
      <c r="I586" s="74"/>
      <c r="J586" s="74"/>
      <c r="K586" s="74"/>
      <c r="L586" s="74"/>
      <c r="M586" s="2"/>
      <c r="N586" s="2"/>
      <c r="O586" s="2"/>
      <c r="P586" s="2"/>
      <c r="Q586" s="74"/>
      <c r="R586" s="2"/>
      <c r="S586" s="2"/>
      <c r="T586" s="76"/>
      <c r="U586" s="88"/>
    </row>
    <row r="587" ht="15.75" customHeight="1">
      <c r="A587" s="2"/>
      <c r="B587" s="2"/>
      <c r="C587" s="2"/>
      <c r="D587" s="2"/>
      <c r="E587" s="2"/>
      <c r="F587" s="2"/>
      <c r="G587" s="2"/>
      <c r="H587" s="74"/>
      <c r="I587" s="74"/>
      <c r="J587" s="74"/>
      <c r="K587" s="74"/>
      <c r="L587" s="74"/>
      <c r="M587" s="2"/>
      <c r="N587" s="2"/>
      <c r="O587" s="2"/>
      <c r="P587" s="2"/>
      <c r="Q587" s="74"/>
      <c r="R587" s="2"/>
      <c r="S587" s="2"/>
      <c r="T587" s="76"/>
      <c r="U587" s="88"/>
    </row>
    <row r="588" ht="15.75" customHeight="1">
      <c r="A588" s="2"/>
      <c r="B588" s="2"/>
      <c r="C588" s="2"/>
      <c r="D588" s="2"/>
      <c r="E588" s="2"/>
      <c r="F588" s="2"/>
      <c r="G588" s="2"/>
      <c r="H588" s="74"/>
      <c r="I588" s="74"/>
      <c r="J588" s="74"/>
      <c r="K588" s="74"/>
      <c r="L588" s="74"/>
      <c r="M588" s="2"/>
      <c r="N588" s="2"/>
      <c r="O588" s="2"/>
      <c r="P588" s="2"/>
      <c r="Q588" s="74"/>
      <c r="R588" s="2"/>
      <c r="S588" s="2"/>
      <c r="T588" s="76"/>
      <c r="U588" s="88"/>
    </row>
    <row r="589" ht="15.75" customHeight="1">
      <c r="A589" s="2"/>
      <c r="B589" s="2"/>
      <c r="C589" s="2"/>
      <c r="D589" s="2"/>
      <c r="E589" s="2"/>
      <c r="F589" s="2"/>
      <c r="G589" s="2"/>
      <c r="H589" s="74"/>
      <c r="I589" s="74"/>
      <c r="J589" s="74"/>
      <c r="K589" s="74"/>
      <c r="L589" s="74"/>
      <c r="M589" s="2"/>
      <c r="N589" s="2"/>
      <c r="O589" s="2"/>
      <c r="P589" s="2"/>
      <c r="Q589" s="74"/>
      <c r="R589" s="2"/>
      <c r="S589" s="2"/>
      <c r="T589" s="76"/>
      <c r="U589" s="88"/>
    </row>
    <row r="590" ht="15.75" customHeight="1">
      <c r="A590" s="2"/>
      <c r="B590" s="2"/>
      <c r="C590" s="2"/>
      <c r="D590" s="2"/>
      <c r="E590" s="2"/>
      <c r="F590" s="2"/>
      <c r="G590" s="2"/>
      <c r="H590" s="74"/>
      <c r="I590" s="74"/>
      <c r="J590" s="74"/>
      <c r="K590" s="74"/>
      <c r="L590" s="74"/>
      <c r="M590" s="2"/>
      <c r="N590" s="2"/>
      <c r="O590" s="2"/>
      <c r="P590" s="2"/>
      <c r="Q590" s="74"/>
      <c r="R590" s="2"/>
      <c r="S590" s="2"/>
      <c r="T590" s="76"/>
      <c r="U590" s="88"/>
    </row>
    <row r="591" ht="15.75" customHeight="1">
      <c r="A591" s="2"/>
      <c r="B591" s="2"/>
      <c r="C591" s="2"/>
      <c r="D591" s="2"/>
      <c r="E591" s="2"/>
      <c r="F591" s="2"/>
      <c r="G591" s="2"/>
      <c r="H591" s="74"/>
      <c r="I591" s="74"/>
      <c r="J591" s="74"/>
      <c r="K591" s="74"/>
      <c r="L591" s="74"/>
      <c r="M591" s="2"/>
      <c r="N591" s="2"/>
      <c r="O591" s="2"/>
      <c r="P591" s="2"/>
      <c r="Q591" s="74"/>
      <c r="R591" s="2"/>
      <c r="S591" s="2"/>
      <c r="T591" s="76"/>
      <c r="U591" s="88"/>
    </row>
    <row r="592" ht="15.75" customHeight="1">
      <c r="A592" s="2"/>
      <c r="B592" s="2"/>
      <c r="C592" s="2"/>
      <c r="D592" s="2"/>
      <c r="E592" s="2"/>
      <c r="F592" s="2"/>
      <c r="G592" s="2"/>
      <c r="H592" s="74"/>
      <c r="I592" s="74"/>
      <c r="J592" s="74"/>
      <c r="K592" s="74"/>
      <c r="L592" s="74"/>
      <c r="M592" s="2"/>
      <c r="N592" s="2"/>
      <c r="O592" s="2"/>
      <c r="P592" s="2"/>
      <c r="Q592" s="74"/>
      <c r="R592" s="2"/>
      <c r="S592" s="2"/>
      <c r="T592" s="76"/>
      <c r="U592" s="88"/>
    </row>
    <row r="593" ht="15.75" customHeight="1">
      <c r="A593" s="2"/>
      <c r="B593" s="2"/>
      <c r="C593" s="2"/>
      <c r="D593" s="2"/>
      <c r="E593" s="2"/>
      <c r="F593" s="2"/>
      <c r="G593" s="2"/>
      <c r="H593" s="74"/>
      <c r="I593" s="74"/>
      <c r="J593" s="74"/>
      <c r="K593" s="74"/>
      <c r="L593" s="74"/>
      <c r="M593" s="2"/>
      <c r="N593" s="2"/>
      <c r="O593" s="2"/>
      <c r="P593" s="2"/>
      <c r="Q593" s="74"/>
      <c r="R593" s="2"/>
      <c r="S593" s="2"/>
      <c r="T593" s="76"/>
      <c r="U593" s="88"/>
    </row>
    <row r="594" ht="15.75" customHeight="1">
      <c r="A594" s="2"/>
      <c r="B594" s="2"/>
      <c r="C594" s="2"/>
      <c r="D594" s="2"/>
      <c r="E594" s="2"/>
      <c r="F594" s="2"/>
      <c r="G594" s="2"/>
      <c r="H594" s="74"/>
      <c r="I594" s="74"/>
      <c r="J594" s="74"/>
      <c r="K594" s="74"/>
      <c r="L594" s="74"/>
      <c r="M594" s="2"/>
      <c r="N594" s="2"/>
      <c r="O594" s="2"/>
      <c r="P594" s="2"/>
      <c r="Q594" s="74"/>
      <c r="R594" s="2"/>
      <c r="S594" s="2"/>
      <c r="T594" s="76"/>
      <c r="U594" s="88"/>
    </row>
    <row r="595" ht="15.75" customHeight="1">
      <c r="A595" s="2"/>
      <c r="B595" s="2"/>
      <c r="C595" s="2"/>
      <c r="D595" s="2"/>
      <c r="E595" s="2"/>
      <c r="F595" s="2"/>
      <c r="G595" s="2"/>
      <c r="H595" s="74"/>
      <c r="I595" s="74"/>
      <c r="J595" s="74"/>
      <c r="K595" s="74"/>
      <c r="L595" s="74"/>
      <c r="M595" s="2"/>
      <c r="N595" s="2"/>
      <c r="O595" s="2"/>
      <c r="P595" s="2"/>
      <c r="Q595" s="74"/>
      <c r="R595" s="2"/>
      <c r="S595" s="2"/>
      <c r="T595" s="76"/>
      <c r="U595" s="88"/>
    </row>
    <row r="596" ht="15.75" customHeight="1">
      <c r="A596" s="2"/>
      <c r="B596" s="2"/>
      <c r="C596" s="2"/>
      <c r="D596" s="2"/>
      <c r="E596" s="2"/>
      <c r="F596" s="2"/>
      <c r="G596" s="2"/>
      <c r="H596" s="74"/>
      <c r="I596" s="74"/>
      <c r="J596" s="74"/>
      <c r="K596" s="74"/>
      <c r="L596" s="74"/>
      <c r="M596" s="2"/>
      <c r="N596" s="2"/>
      <c r="O596" s="2"/>
      <c r="P596" s="2"/>
      <c r="Q596" s="74"/>
      <c r="R596" s="2"/>
      <c r="S596" s="2"/>
      <c r="T596" s="76"/>
      <c r="U596" s="88"/>
    </row>
    <row r="597" ht="15.75" customHeight="1">
      <c r="A597" s="2"/>
      <c r="B597" s="2"/>
      <c r="C597" s="2"/>
      <c r="D597" s="2"/>
      <c r="E597" s="2"/>
      <c r="F597" s="2"/>
      <c r="G597" s="2"/>
      <c r="H597" s="74"/>
      <c r="I597" s="74"/>
      <c r="J597" s="74"/>
      <c r="K597" s="74"/>
      <c r="L597" s="74"/>
      <c r="M597" s="2"/>
      <c r="N597" s="2"/>
      <c r="O597" s="2"/>
      <c r="P597" s="2"/>
      <c r="Q597" s="74"/>
      <c r="R597" s="2"/>
      <c r="S597" s="2"/>
      <c r="T597" s="76"/>
      <c r="U597" s="88"/>
    </row>
    <row r="598" ht="15.75" customHeight="1">
      <c r="A598" s="2"/>
      <c r="B598" s="2"/>
      <c r="C598" s="2"/>
      <c r="D598" s="2"/>
      <c r="E598" s="2"/>
      <c r="F598" s="2"/>
      <c r="G598" s="2"/>
      <c r="H598" s="74"/>
      <c r="I598" s="74"/>
      <c r="J598" s="74"/>
      <c r="K598" s="74"/>
      <c r="L598" s="74"/>
      <c r="M598" s="2"/>
      <c r="N598" s="2"/>
      <c r="O598" s="2"/>
      <c r="P598" s="2"/>
      <c r="Q598" s="74"/>
      <c r="R598" s="2"/>
      <c r="S598" s="2"/>
      <c r="T598" s="76"/>
      <c r="U598" s="88"/>
    </row>
    <row r="599" ht="15.75" customHeight="1">
      <c r="A599" s="2"/>
      <c r="B599" s="2"/>
      <c r="C599" s="2"/>
      <c r="D599" s="2"/>
      <c r="E599" s="2"/>
      <c r="F599" s="2"/>
      <c r="G599" s="2"/>
      <c r="H599" s="74"/>
      <c r="I599" s="74"/>
      <c r="J599" s="74"/>
      <c r="K599" s="74"/>
      <c r="L599" s="74"/>
      <c r="M599" s="2"/>
      <c r="N599" s="2"/>
      <c r="O599" s="2"/>
      <c r="P599" s="2"/>
      <c r="Q599" s="74"/>
      <c r="R599" s="2"/>
      <c r="S599" s="2"/>
      <c r="T599" s="76"/>
      <c r="U599" s="88"/>
    </row>
    <row r="600" ht="15.75" customHeight="1">
      <c r="A600" s="2"/>
      <c r="B600" s="2"/>
      <c r="C600" s="2"/>
      <c r="D600" s="2"/>
      <c r="E600" s="2"/>
      <c r="F600" s="2"/>
      <c r="G600" s="2"/>
      <c r="H600" s="74"/>
      <c r="I600" s="74"/>
      <c r="J600" s="74"/>
      <c r="K600" s="74"/>
      <c r="L600" s="74"/>
      <c r="M600" s="2"/>
      <c r="N600" s="2"/>
      <c r="O600" s="2"/>
      <c r="P600" s="2"/>
      <c r="Q600" s="74"/>
      <c r="R600" s="2"/>
      <c r="S600" s="2"/>
      <c r="T600" s="76"/>
      <c r="U600" s="88"/>
    </row>
    <row r="601" ht="15.75" customHeight="1">
      <c r="A601" s="2"/>
      <c r="B601" s="2"/>
      <c r="C601" s="2"/>
      <c r="D601" s="2"/>
      <c r="E601" s="2"/>
      <c r="F601" s="2"/>
      <c r="G601" s="2"/>
      <c r="H601" s="74"/>
      <c r="I601" s="74"/>
      <c r="J601" s="74"/>
      <c r="K601" s="74"/>
      <c r="L601" s="74"/>
      <c r="M601" s="2"/>
      <c r="N601" s="2"/>
      <c r="O601" s="2"/>
      <c r="P601" s="2"/>
      <c r="Q601" s="74"/>
      <c r="R601" s="2"/>
      <c r="S601" s="2"/>
      <c r="T601" s="76"/>
      <c r="U601" s="88"/>
    </row>
    <row r="602" ht="15.75" customHeight="1">
      <c r="A602" s="2"/>
      <c r="B602" s="2"/>
      <c r="C602" s="2"/>
      <c r="D602" s="2"/>
      <c r="E602" s="2"/>
      <c r="F602" s="2"/>
      <c r="G602" s="2"/>
      <c r="H602" s="74"/>
      <c r="I602" s="74"/>
      <c r="J602" s="74"/>
      <c r="K602" s="74"/>
      <c r="L602" s="74"/>
      <c r="M602" s="2"/>
      <c r="N602" s="2"/>
      <c r="O602" s="2"/>
      <c r="P602" s="2"/>
      <c r="Q602" s="74"/>
      <c r="R602" s="2"/>
      <c r="S602" s="2"/>
      <c r="T602" s="76"/>
      <c r="U602" s="88"/>
    </row>
    <row r="603" ht="15.75" customHeight="1">
      <c r="A603" s="2"/>
      <c r="B603" s="2"/>
      <c r="C603" s="2"/>
      <c r="D603" s="2"/>
      <c r="E603" s="2"/>
      <c r="F603" s="2"/>
      <c r="G603" s="2"/>
      <c r="H603" s="74"/>
      <c r="I603" s="74"/>
      <c r="J603" s="74"/>
      <c r="K603" s="74"/>
      <c r="L603" s="74"/>
      <c r="M603" s="2"/>
      <c r="N603" s="2"/>
      <c r="O603" s="2"/>
      <c r="P603" s="2"/>
      <c r="Q603" s="74"/>
      <c r="R603" s="2"/>
      <c r="S603" s="2"/>
      <c r="T603" s="76"/>
      <c r="U603" s="88"/>
    </row>
    <row r="604" ht="15.75" customHeight="1">
      <c r="A604" s="2"/>
      <c r="B604" s="2"/>
      <c r="C604" s="2"/>
      <c r="D604" s="2"/>
      <c r="E604" s="2"/>
      <c r="F604" s="2"/>
      <c r="G604" s="2"/>
      <c r="H604" s="74"/>
      <c r="I604" s="74"/>
      <c r="J604" s="74"/>
      <c r="K604" s="74"/>
      <c r="L604" s="74"/>
      <c r="M604" s="2"/>
      <c r="N604" s="2"/>
      <c r="O604" s="2"/>
      <c r="P604" s="2"/>
      <c r="Q604" s="74"/>
      <c r="R604" s="2"/>
      <c r="S604" s="2"/>
      <c r="T604" s="76"/>
      <c r="U604" s="88"/>
    </row>
    <row r="605" ht="15.75" customHeight="1">
      <c r="A605" s="2"/>
      <c r="B605" s="2"/>
      <c r="C605" s="2"/>
      <c r="D605" s="2"/>
      <c r="E605" s="2"/>
      <c r="F605" s="2"/>
      <c r="G605" s="2"/>
      <c r="H605" s="74"/>
      <c r="I605" s="74"/>
      <c r="J605" s="74"/>
      <c r="K605" s="74"/>
      <c r="L605" s="74"/>
      <c r="M605" s="2"/>
      <c r="N605" s="2"/>
      <c r="O605" s="2"/>
      <c r="P605" s="2"/>
      <c r="Q605" s="74"/>
      <c r="R605" s="2"/>
      <c r="S605" s="2"/>
      <c r="T605" s="76"/>
      <c r="U605" s="88"/>
    </row>
    <row r="606" ht="15.75" customHeight="1">
      <c r="A606" s="2"/>
      <c r="B606" s="2"/>
      <c r="C606" s="2"/>
      <c r="D606" s="2"/>
      <c r="E606" s="2"/>
      <c r="F606" s="2"/>
      <c r="G606" s="2"/>
      <c r="H606" s="74"/>
      <c r="I606" s="74"/>
      <c r="J606" s="74"/>
      <c r="K606" s="74"/>
      <c r="L606" s="74"/>
      <c r="M606" s="2"/>
      <c r="N606" s="2"/>
      <c r="O606" s="2"/>
      <c r="P606" s="2"/>
      <c r="Q606" s="74"/>
      <c r="R606" s="2"/>
      <c r="S606" s="2"/>
      <c r="T606" s="76"/>
      <c r="U606" s="88"/>
    </row>
    <row r="607" ht="15.75" customHeight="1">
      <c r="A607" s="2"/>
      <c r="B607" s="2"/>
      <c r="C607" s="2"/>
      <c r="D607" s="2"/>
      <c r="E607" s="2"/>
      <c r="F607" s="2"/>
      <c r="G607" s="2"/>
      <c r="H607" s="74"/>
      <c r="I607" s="74"/>
      <c r="J607" s="74"/>
      <c r="K607" s="74"/>
      <c r="L607" s="74"/>
      <c r="M607" s="2"/>
      <c r="N607" s="2"/>
      <c r="O607" s="2"/>
      <c r="P607" s="2"/>
      <c r="Q607" s="74"/>
      <c r="R607" s="2"/>
      <c r="S607" s="2"/>
      <c r="T607" s="76"/>
      <c r="U607" s="88"/>
    </row>
    <row r="608" ht="15.75" customHeight="1">
      <c r="A608" s="2"/>
      <c r="B608" s="2"/>
      <c r="C608" s="2"/>
      <c r="D608" s="2"/>
      <c r="E608" s="2"/>
      <c r="F608" s="2"/>
      <c r="G608" s="2"/>
      <c r="H608" s="74"/>
      <c r="I608" s="74"/>
      <c r="J608" s="74"/>
      <c r="K608" s="74"/>
      <c r="L608" s="74"/>
      <c r="M608" s="2"/>
      <c r="N608" s="2"/>
      <c r="O608" s="2"/>
      <c r="P608" s="2"/>
      <c r="Q608" s="74"/>
      <c r="R608" s="2"/>
      <c r="S608" s="2"/>
      <c r="T608" s="76"/>
      <c r="U608" s="88"/>
    </row>
    <row r="609" ht="15.75" customHeight="1">
      <c r="A609" s="2"/>
      <c r="B609" s="2"/>
      <c r="C609" s="2"/>
      <c r="D609" s="2"/>
      <c r="E609" s="2"/>
      <c r="F609" s="2"/>
      <c r="G609" s="2"/>
      <c r="H609" s="74"/>
      <c r="I609" s="74"/>
      <c r="J609" s="74"/>
      <c r="K609" s="74"/>
      <c r="L609" s="74"/>
      <c r="M609" s="2"/>
      <c r="N609" s="2"/>
      <c r="O609" s="2"/>
      <c r="P609" s="2"/>
      <c r="Q609" s="74"/>
      <c r="R609" s="2"/>
      <c r="S609" s="2"/>
      <c r="T609" s="76"/>
      <c r="U609" s="88"/>
    </row>
    <row r="610" ht="15.75" customHeight="1">
      <c r="A610" s="2"/>
      <c r="B610" s="2"/>
      <c r="C610" s="2"/>
      <c r="D610" s="2"/>
      <c r="E610" s="2"/>
      <c r="F610" s="2"/>
      <c r="G610" s="2"/>
      <c r="H610" s="74"/>
      <c r="I610" s="74"/>
      <c r="J610" s="74"/>
      <c r="K610" s="74"/>
      <c r="L610" s="74"/>
      <c r="M610" s="2"/>
      <c r="N610" s="2"/>
      <c r="O610" s="2"/>
      <c r="P610" s="2"/>
      <c r="Q610" s="74"/>
      <c r="R610" s="2"/>
      <c r="S610" s="2"/>
      <c r="T610" s="76"/>
      <c r="U610" s="88"/>
    </row>
    <row r="611" ht="15.75" customHeight="1">
      <c r="A611" s="2"/>
      <c r="B611" s="2"/>
      <c r="C611" s="2"/>
      <c r="D611" s="2"/>
      <c r="E611" s="2"/>
      <c r="F611" s="2"/>
      <c r="G611" s="2"/>
      <c r="H611" s="74"/>
      <c r="I611" s="74"/>
      <c r="J611" s="74"/>
      <c r="K611" s="74"/>
      <c r="L611" s="74"/>
      <c r="M611" s="2"/>
      <c r="N611" s="2"/>
      <c r="O611" s="2"/>
      <c r="P611" s="2"/>
      <c r="Q611" s="74"/>
      <c r="R611" s="2"/>
      <c r="S611" s="2"/>
      <c r="T611" s="76"/>
      <c r="U611" s="88"/>
    </row>
    <row r="612" ht="15.75" customHeight="1">
      <c r="A612" s="2"/>
      <c r="B612" s="2"/>
      <c r="C612" s="2"/>
      <c r="D612" s="2"/>
      <c r="E612" s="2"/>
      <c r="F612" s="2"/>
      <c r="G612" s="2"/>
      <c r="H612" s="74"/>
      <c r="I612" s="74"/>
      <c r="J612" s="74"/>
      <c r="K612" s="74"/>
      <c r="L612" s="74"/>
      <c r="M612" s="2"/>
      <c r="N612" s="2"/>
      <c r="O612" s="2"/>
      <c r="P612" s="2"/>
      <c r="Q612" s="74"/>
      <c r="R612" s="2"/>
      <c r="S612" s="2"/>
      <c r="T612" s="76"/>
      <c r="U612" s="88"/>
    </row>
    <row r="613" ht="15.75" customHeight="1">
      <c r="A613" s="2"/>
      <c r="B613" s="2"/>
      <c r="C613" s="2"/>
      <c r="D613" s="2"/>
      <c r="E613" s="2"/>
      <c r="F613" s="2"/>
      <c r="G613" s="2"/>
      <c r="H613" s="74"/>
      <c r="I613" s="74"/>
      <c r="J613" s="74"/>
      <c r="K613" s="74"/>
      <c r="L613" s="74"/>
      <c r="M613" s="2"/>
      <c r="N613" s="2"/>
      <c r="O613" s="2"/>
      <c r="P613" s="2"/>
      <c r="Q613" s="74"/>
      <c r="R613" s="2"/>
      <c r="S613" s="2"/>
      <c r="T613" s="76"/>
      <c r="U613" s="88"/>
    </row>
    <row r="614" ht="15.75" customHeight="1">
      <c r="A614" s="2"/>
      <c r="B614" s="2"/>
      <c r="C614" s="2"/>
      <c r="D614" s="2"/>
      <c r="E614" s="2"/>
      <c r="F614" s="2"/>
      <c r="G614" s="2"/>
      <c r="H614" s="74"/>
      <c r="I614" s="74"/>
      <c r="J614" s="74"/>
      <c r="K614" s="74"/>
      <c r="L614" s="74"/>
      <c r="M614" s="2"/>
      <c r="N614" s="2"/>
      <c r="O614" s="2"/>
      <c r="P614" s="2"/>
      <c r="Q614" s="74"/>
      <c r="R614" s="2"/>
      <c r="S614" s="2"/>
      <c r="T614" s="76"/>
      <c r="U614" s="88"/>
    </row>
    <row r="615" ht="15.75" customHeight="1">
      <c r="A615" s="2"/>
      <c r="B615" s="2"/>
      <c r="C615" s="2"/>
      <c r="D615" s="2"/>
      <c r="E615" s="2"/>
      <c r="F615" s="2"/>
      <c r="G615" s="2"/>
      <c r="H615" s="74"/>
      <c r="I615" s="74"/>
      <c r="J615" s="74"/>
      <c r="K615" s="74"/>
      <c r="L615" s="74"/>
      <c r="M615" s="2"/>
      <c r="N615" s="2"/>
      <c r="O615" s="2"/>
      <c r="P615" s="2"/>
      <c r="Q615" s="74"/>
      <c r="R615" s="2"/>
      <c r="S615" s="2"/>
      <c r="T615" s="76"/>
      <c r="U615" s="88"/>
    </row>
    <row r="616" ht="15.75" customHeight="1">
      <c r="A616" s="2"/>
      <c r="B616" s="2"/>
      <c r="C616" s="2"/>
      <c r="D616" s="2"/>
      <c r="E616" s="2"/>
      <c r="F616" s="2"/>
      <c r="G616" s="2"/>
      <c r="H616" s="74"/>
      <c r="I616" s="74"/>
      <c r="J616" s="74"/>
      <c r="K616" s="74"/>
      <c r="L616" s="74"/>
      <c r="M616" s="2"/>
      <c r="N616" s="2"/>
      <c r="O616" s="2"/>
      <c r="P616" s="2"/>
      <c r="Q616" s="74"/>
      <c r="R616" s="2"/>
      <c r="S616" s="2"/>
      <c r="T616" s="76"/>
      <c r="U616" s="88"/>
    </row>
    <row r="617" ht="15.75" customHeight="1">
      <c r="A617" s="2"/>
      <c r="B617" s="2"/>
      <c r="C617" s="2"/>
      <c r="D617" s="2"/>
      <c r="E617" s="2"/>
      <c r="F617" s="2"/>
      <c r="G617" s="2"/>
      <c r="H617" s="74"/>
      <c r="I617" s="74"/>
      <c r="J617" s="74"/>
      <c r="K617" s="74"/>
      <c r="L617" s="74"/>
      <c r="M617" s="2"/>
      <c r="N617" s="2"/>
      <c r="O617" s="2"/>
      <c r="P617" s="2"/>
      <c r="Q617" s="74"/>
      <c r="R617" s="2"/>
      <c r="S617" s="2"/>
      <c r="T617" s="76"/>
      <c r="U617" s="88"/>
    </row>
    <row r="618" ht="15.75" customHeight="1">
      <c r="A618" s="2"/>
      <c r="B618" s="2"/>
      <c r="C618" s="2"/>
      <c r="D618" s="2"/>
      <c r="E618" s="2"/>
      <c r="F618" s="2"/>
      <c r="G618" s="2"/>
      <c r="H618" s="74"/>
      <c r="I618" s="74"/>
      <c r="J618" s="74"/>
      <c r="K618" s="74"/>
      <c r="L618" s="74"/>
      <c r="M618" s="2"/>
      <c r="N618" s="2"/>
      <c r="O618" s="2"/>
      <c r="P618" s="2"/>
      <c r="Q618" s="74"/>
      <c r="R618" s="2"/>
      <c r="S618" s="2"/>
      <c r="T618" s="76"/>
      <c r="U618" s="88"/>
    </row>
    <row r="619" ht="15.75" customHeight="1">
      <c r="A619" s="2"/>
      <c r="B619" s="2"/>
      <c r="C619" s="2"/>
      <c r="D619" s="2"/>
      <c r="E619" s="2"/>
      <c r="F619" s="2"/>
      <c r="G619" s="2"/>
      <c r="H619" s="74"/>
      <c r="I619" s="74"/>
      <c r="J619" s="74"/>
      <c r="K619" s="74"/>
      <c r="L619" s="74"/>
      <c r="M619" s="2"/>
      <c r="N619" s="2"/>
      <c r="O619" s="2"/>
      <c r="P619" s="2"/>
      <c r="Q619" s="74"/>
      <c r="R619" s="2"/>
      <c r="S619" s="2"/>
      <c r="T619" s="76"/>
      <c r="U619" s="88"/>
    </row>
    <row r="620" ht="15.75" customHeight="1">
      <c r="A620" s="2"/>
      <c r="B620" s="2"/>
      <c r="C620" s="2"/>
      <c r="D620" s="2"/>
      <c r="E620" s="2"/>
      <c r="F620" s="2"/>
      <c r="G620" s="2"/>
      <c r="H620" s="74"/>
      <c r="I620" s="74"/>
      <c r="J620" s="74"/>
      <c r="K620" s="74"/>
      <c r="L620" s="74"/>
      <c r="M620" s="2"/>
      <c r="N620" s="2"/>
      <c r="O620" s="2"/>
      <c r="P620" s="2"/>
      <c r="Q620" s="74"/>
      <c r="R620" s="2"/>
      <c r="S620" s="2"/>
      <c r="T620" s="76"/>
      <c r="U620" s="88"/>
    </row>
    <row r="621" ht="15.75" customHeight="1">
      <c r="A621" s="2"/>
      <c r="B621" s="2"/>
      <c r="C621" s="2"/>
      <c r="D621" s="2"/>
      <c r="E621" s="2"/>
      <c r="F621" s="2"/>
      <c r="G621" s="2"/>
      <c r="H621" s="74"/>
      <c r="I621" s="74"/>
      <c r="J621" s="74"/>
      <c r="K621" s="74"/>
      <c r="L621" s="74"/>
      <c r="M621" s="2"/>
      <c r="N621" s="2"/>
      <c r="O621" s="2"/>
      <c r="P621" s="2"/>
      <c r="Q621" s="74"/>
      <c r="R621" s="2"/>
      <c r="S621" s="2"/>
      <c r="T621" s="76"/>
      <c r="U621" s="88"/>
    </row>
    <row r="622" ht="15.75" customHeight="1">
      <c r="A622" s="2"/>
      <c r="B622" s="2"/>
      <c r="C622" s="2"/>
      <c r="D622" s="2"/>
      <c r="E622" s="2"/>
      <c r="F622" s="2"/>
      <c r="G622" s="2"/>
      <c r="H622" s="74"/>
      <c r="I622" s="74"/>
      <c r="J622" s="74"/>
      <c r="K622" s="74"/>
      <c r="L622" s="74"/>
      <c r="M622" s="2"/>
      <c r="N622" s="2"/>
      <c r="O622" s="2"/>
      <c r="P622" s="2"/>
      <c r="Q622" s="74"/>
      <c r="R622" s="2"/>
      <c r="S622" s="2"/>
      <c r="T622" s="76"/>
      <c r="U622" s="88"/>
    </row>
    <row r="623" ht="15.75" customHeight="1">
      <c r="A623" s="2"/>
      <c r="B623" s="2"/>
      <c r="C623" s="2"/>
      <c r="D623" s="2"/>
      <c r="E623" s="2"/>
      <c r="F623" s="2"/>
      <c r="G623" s="2"/>
      <c r="H623" s="74"/>
      <c r="I623" s="74"/>
      <c r="J623" s="74"/>
      <c r="K623" s="74"/>
      <c r="L623" s="74"/>
      <c r="M623" s="2"/>
      <c r="N623" s="2"/>
      <c r="O623" s="2"/>
      <c r="P623" s="2"/>
      <c r="Q623" s="74"/>
      <c r="R623" s="2"/>
      <c r="S623" s="2"/>
      <c r="T623" s="76"/>
      <c r="U623" s="88"/>
    </row>
    <row r="624" ht="15.75" customHeight="1">
      <c r="A624" s="2"/>
      <c r="B624" s="2"/>
      <c r="C624" s="2"/>
      <c r="D624" s="2"/>
      <c r="E624" s="2"/>
      <c r="F624" s="2"/>
      <c r="G624" s="2"/>
      <c r="H624" s="74"/>
      <c r="I624" s="74"/>
      <c r="J624" s="74"/>
      <c r="K624" s="74"/>
      <c r="L624" s="74"/>
      <c r="M624" s="2"/>
      <c r="N624" s="2"/>
      <c r="O624" s="2"/>
      <c r="P624" s="2"/>
      <c r="Q624" s="74"/>
      <c r="R624" s="2"/>
      <c r="S624" s="2"/>
      <c r="T624" s="76"/>
      <c r="U624" s="88"/>
    </row>
    <row r="625" ht="15.75" customHeight="1">
      <c r="A625" s="2"/>
      <c r="B625" s="2"/>
      <c r="C625" s="2"/>
      <c r="D625" s="2"/>
      <c r="E625" s="2"/>
      <c r="F625" s="2"/>
      <c r="G625" s="2"/>
      <c r="H625" s="74"/>
      <c r="I625" s="74"/>
      <c r="J625" s="74"/>
      <c r="K625" s="74"/>
      <c r="L625" s="74"/>
      <c r="M625" s="2"/>
      <c r="N625" s="2"/>
      <c r="O625" s="2"/>
      <c r="P625" s="2"/>
      <c r="Q625" s="74"/>
      <c r="R625" s="2"/>
      <c r="S625" s="2"/>
      <c r="T625" s="76"/>
      <c r="U625" s="88"/>
    </row>
    <row r="626" ht="15.75" customHeight="1">
      <c r="A626" s="2"/>
      <c r="B626" s="2"/>
      <c r="C626" s="2"/>
      <c r="D626" s="2"/>
      <c r="E626" s="2"/>
      <c r="F626" s="2"/>
      <c r="G626" s="2"/>
      <c r="H626" s="74"/>
      <c r="I626" s="74"/>
      <c r="J626" s="74"/>
      <c r="K626" s="74"/>
      <c r="L626" s="74"/>
      <c r="M626" s="2"/>
      <c r="N626" s="2"/>
      <c r="O626" s="2"/>
      <c r="P626" s="2"/>
      <c r="Q626" s="74"/>
      <c r="R626" s="2"/>
      <c r="S626" s="2"/>
      <c r="T626" s="76"/>
      <c r="U626" s="88"/>
    </row>
    <row r="627" ht="15.75" customHeight="1">
      <c r="A627" s="2"/>
      <c r="B627" s="2"/>
      <c r="C627" s="2"/>
      <c r="D627" s="2"/>
      <c r="E627" s="2"/>
      <c r="F627" s="2"/>
      <c r="G627" s="2"/>
      <c r="H627" s="74"/>
      <c r="I627" s="74"/>
      <c r="J627" s="74"/>
      <c r="K627" s="74"/>
      <c r="L627" s="74"/>
      <c r="M627" s="2"/>
      <c r="N627" s="2"/>
      <c r="O627" s="2"/>
      <c r="P627" s="2"/>
      <c r="Q627" s="74"/>
      <c r="R627" s="2"/>
      <c r="S627" s="2"/>
      <c r="T627" s="76"/>
      <c r="U627" s="88"/>
    </row>
    <row r="628" ht="15.75" customHeight="1">
      <c r="A628" s="2"/>
      <c r="B628" s="2"/>
      <c r="C628" s="2"/>
      <c r="D628" s="2"/>
      <c r="E628" s="2"/>
      <c r="F628" s="2"/>
      <c r="G628" s="2"/>
      <c r="H628" s="74"/>
      <c r="I628" s="74"/>
      <c r="J628" s="74"/>
      <c r="K628" s="74"/>
      <c r="L628" s="74"/>
      <c r="M628" s="2"/>
      <c r="N628" s="2"/>
      <c r="O628" s="2"/>
      <c r="P628" s="2"/>
      <c r="Q628" s="74"/>
      <c r="R628" s="2"/>
      <c r="S628" s="2"/>
      <c r="T628" s="76"/>
      <c r="U628" s="88"/>
    </row>
    <row r="629" ht="15.75" customHeight="1">
      <c r="A629" s="2"/>
      <c r="B629" s="2"/>
      <c r="C629" s="2"/>
      <c r="D629" s="2"/>
      <c r="E629" s="2"/>
      <c r="F629" s="2"/>
      <c r="G629" s="2"/>
      <c r="H629" s="74"/>
      <c r="I629" s="74"/>
      <c r="J629" s="74"/>
      <c r="K629" s="74"/>
      <c r="L629" s="74"/>
      <c r="M629" s="2"/>
      <c r="N629" s="2"/>
      <c r="O629" s="2"/>
      <c r="P629" s="2"/>
      <c r="Q629" s="74"/>
      <c r="R629" s="2"/>
      <c r="S629" s="2"/>
      <c r="T629" s="76"/>
      <c r="U629" s="88"/>
    </row>
    <row r="630" ht="15.75" customHeight="1">
      <c r="A630" s="2"/>
      <c r="B630" s="2"/>
      <c r="C630" s="2"/>
      <c r="D630" s="2"/>
      <c r="E630" s="2"/>
      <c r="F630" s="2"/>
      <c r="G630" s="2"/>
      <c r="H630" s="74"/>
      <c r="I630" s="74"/>
      <c r="J630" s="74"/>
      <c r="K630" s="74"/>
      <c r="L630" s="74"/>
      <c r="M630" s="2"/>
      <c r="N630" s="2"/>
      <c r="O630" s="2"/>
      <c r="P630" s="2"/>
      <c r="Q630" s="74"/>
      <c r="R630" s="2"/>
      <c r="S630" s="2"/>
      <c r="T630" s="76"/>
      <c r="U630" s="88"/>
    </row>
    <row r="631" ht="15.75" customHeight="1">
      <c r="A631" s="2"/>
      <c r="B631" s="2"/>
      <c r="C631" s="2"/>
      <c r="D631" s="2"/>
      <c r="E631" s="2"/>
      <c r="F631" s="2"/>
      <c r="G631" s="2"/>
      <c r="H631" s="74"/>
      <c r="I631" s="74"/>
      <c r="J631" s="74"/>
      <c r="K631" s="74"/>
      <c r="L631" s="74"/>
      <c r="M631" s="2"/>
      <c r="N631" s="2"/>
      <c r="O631" s="2"/>
      <c r="P631" s="2"/>
      <c r="Q631" s="74"/>
      <c r="R631" s="2"/>
      <c r="S631" s="2"/>
      <c r="T631" s="76"/>
      <c r="U631" s="88"/>
    </row>
    <row r="632" ht="15.75" customHeight="1">
      <c r="A632" s="2"/>
      <c r="B632" s="2"/>
      <c r="C632" s="2"/>
      <c r="D632" s="2"/>
      <c r="E632" s="2"/>
      <c r="F632" s="2"/>
      <c r="G632" s="2"/>
      <c r="H632" s="74"/>
      <c r="I632" s="74"/>
      <c r="J632" s="74"/>
      <c r="K632" s="74"/>
      <c r="L632" s="74"/>
      <c r="M632" s="2"/>
      <c r="N632" s="2"/>
      <c r="O632" s="2"/>
      <c r="P632" s="2"/>
      <c r="Q632" s="74"/>
      <c r="R632" s="2"/>
      <c r="S632" s="2"/>
      <c r="T632" s="76"/>
      <c r="U632" s="88"/>
    </row>
    <row r="633" ht="15.75" customHeight="1">
      <c r="A633" s="2"/>
      <c r="B633" s="2"/>
      <c r="C633" s="2"/>
      <c r="D633" s="2"/>
      <c r="E633" s="2"/>
      <c r="F633" s="2"/>
      <c r="G633" s="2"/>
      <c r="H633" s="74"/>
      <c r="I633" s="74"/>
      <c r="J633" s="74"/>
      <c r="K633" s="74"/>
      <c r="L633" s="74"/>
      <c r="M633" s="2"/>
      <c r="N633" s="2"/>
      <c r="O633" s="2"/>
      <c r="P633" s="2"/>
      <c r="Q633" s="74"/>
      <c r="R633" s="2"/>
      <c r="S633" s="2"/>
      <c r="T633" s="76"/>
      <c r="U633" s="88"/>
    </row>
    <row r="634" ht="15.75" customHeight="1">
      <c r="A634" s="2"/>
      <c r="B634" s="2"/>
      <c r="C634" s="2"/>
      <c r="D634" s="2"/>
      <c r="E634" s="2"/>
      <c r="F634" s="2"/>
      <c r="G634" s="2"/>
      <c r="H634" s="74"/>
      <c r="I634" s="74"/>
      <c r="J634" s="74"/>
      <c r="K634" s="74"/>
      <c r="L634" s="74"/>
      <c r="M634" s="2"/>
      <c r="N634" s="2"/>
      <c r="O634" s="2"/>
      <c r="P634" s="2"/>
      <c r="Q634" s="74"/>
      <c r="R634" s="2"/>
      <c r="S634" s="2"/>
      <c r="T634" s="76"/>
      <c r="U634" s="88"/>
    </row>
    <row r="635" ht="15.75" customHeight="1">
      <c r="A635" s="2"/>
      <c r="B635" s="2"/>
      <c r="C635" s="2"/>
      <c r="D635" s="2"/>
      <c r="E635" s="2"/>
      <c r="F635" s="2"/>
      <c r="G635" s="2"/>
      <c r="H635" s="74"/>
      <c r="I635" s="74"/>
      <c r="J635" s="74"/>
      <c r="K635" s="74"/>
      <c r="L635" s="74"/>
      <c r="M635" s="2"/>
      <c r="N635" s="2"/>
      <c r="O635" s="2"/>
      <c r="P635" s="2"/>
      <c r="Q635" s="74"/>
      <c r="R635" s="2"/>
      <c r="S635" s="2"/>
      <c r="T635" s="76"/>
      <c r="U635" s="88"/>
    </row>
    <row r="636" ht="15.75" customHeight="1">
      <c r="A636" s="2"/>
      <c r="B636" s="2"/>
      <c r="C636" s="2"/>
      <c r="D636" s="2"/>
      <c r="E636" s="2"/>
      <c r="F636" s="2"/>
      <c r="G636" s="2"/>
      <c r="H636" s="74"/>
      <c r="I636" s="74"/>
      <c r="J636" s="74"/>
      <c r="K636" s="74"/>
      <c r="L636" s="74"/>
      <c r="M636" s="2"/>
      <c r="N636" s="2"/>
      <c r="O636" s="2"/>
      <c r="P636" s="2"/>
      <c r="Q636" s="74"/>
      <c r="R636" s="2"/>
      <c r="S636" s="2"/>
      <c r="T636" s="76"/>
      <c r="U636" s="88"/>
    </row>
    <row r="637" ht="15.75" customHeight="1">
      <c r="A637" s="2"/>
      <c r="B637" s="2"/>
      <c r="C637" s="2"/>
      <c r="D637" s="2"/>
      <c r="E637" s="2"/>
      <c r="F637" s="2"/>
      <c r="G637" s="2"/>
      <c r="H637" s="74"/>
      <c r="I637" s="74"/>
      <c r="J637" s="74"/>
      <c r="K637" s="74"/>
      <c r="L637" s="74"/>
      <c r="M637" s="2"/>
      <c r="N637" s="2"/>
      <c r="O637" s="2"/>
      <c r="P637" s="2"/>
      <c r="Q637" s="74"/>
      <c r="R637" s="2"/>
      <c r="S637" s="2"/>
      <c r="T637" s="76"/>
      <c r="U637" s="88"/>
    </row>
    <row r="638" ht="15.75" customHeight="1">
      <c r="A638" s="2"/>
      <c r="B638" s="2"/>
      <c r="C638" s="2"/>
      <c r="D638" s="2"/>
      <c r="E638" s="2"/>
      <c r="F638" s="2"/>
      <c r="G638" s="2"/>
      <c r="H638" s="74"/>
      <c r="I638" s="74"/>
      <c r="J638" s="74"/>
      <c r="K638" s="74"/>
      <c r="L638" s="74"/>
      <c r="M638" s="2"/>
      <c r="N638" s="2"/>
      <c r="O638" s="2"/>
      <c r="P638" s="2"/>
      <c r="Q638" s="74"/>
      <c r="R638" s="2"/>
      <c r="S638" s="2"/>
      <c r="T638" s="76"/>
      <c r="U638" s="88"/>
    </row>
    <row r="639" ht="15.75" customHeight="1">
      <c r="A639" s="2"/>
      <c r="B639" s="2"/>
      <c r="C639" s="2"/>
      <c r="D639" s="2"/>
      <c r="E639" s="2"/>
      <c r="F639" s="2"/>
      <c r="G639" s="2"/>
      <c r="H639" s="74"/>
      <c r="I639" s="74"/>
      <c r="J639" s="74"/>
      <c r="K639" s="74"/>
      <c r="L639" s="74"/>
      <c r="M639" s="2"/>
      <c r="N639" s="2"/>
      <c r="O639" s="2"/>
      <c r="P639" s="2"/>
      <c r="Q639" s="74"/>
      <c r="R639" s="2"/>
      <c r="S639" s="2"/>
      <c r="T639" s="76"/>
      <c r="U639" s="88"/>
    </row>
    <row r="640" ht="15.75" customHeight="1">
      <c r="A640" s="2"/>
      <c r="B640" s="2"/>
      <c r="C640" s="2"/>
      <c r="D640" s="2"/>
      <c r="E640" s="2"/>
      <c r="F640" s="2"/>
      <c r="G640" s="2"/>
      <c r="H640" s="74"/>
      <c r="I640" s="74"/>
      <c r="J640" s="74"/>
      <c r="K640" s="74"/>
      <c r="L640" s="74"/>
      <c r="M640" s="2"/>
      <c r="N640" s="2"/>
      <c r="O640" s="2"/>
      <c r="P640" s="2"/>
      <c r="Q640" s="74"/>
      <c r="R640" s="2"/>
      <c r="S640" s="2"/>
      <c r="T640" s="76"/>
      <c r="U640" s="88"/>
    </row>
    <row r="641" ht="15.75" customHeight="1">
      <c r="A641" s="2"/>
      <c r="B641" s="2"/>
      <c r="C641" s="2"/>
      <c r="D641" s="2"/>
      <c r="E641" s="2"/>
      <c r="F641" s="2"/>
      <c r="G641" s="2"/>
      <c r="H641" s="74"/>
      <c r="I641" s="74"/>
      <c r="J641" s="74"/>
      <c r="K641" s="74"/>
      <c r="L641" s="74"/>
      <c r="M641" s="2"/>
      <c r="N641" s="2"/>
      <c r="O641" s="2"/>
      <c r="P641" s="2"/>
      <c r="Q641" s="74"/>
      <c r="R641" s="2"/>
      <c r="S641" s="2"/>
      <c r="T641" s="76"/>
      <c r="U641" s="88"/>
    </row>
    <row r="642" ht="15.75" customHeight="1">
      <c r="A642" s="2"/>
      <c r="B642" s="2"/>
      <c r="C642" s="2"/>
      <c r="D642" s="2"/>
      <c r="E642" s="2"/>
      <c r="F642" s="2"/>
      <c r="G642" s="2"/>
      <c r="H642" s="74"/>
      <c r="I642" s="74"/>
      <c r="J642" s="74"/>
      <c r="K642" s="74"/>
      <c r="L642" s="74"/>
      <c r="M642" s="2"/>
      <c r="N642" s="2"/>
      <c r="O642" s="2"/>
      <c r="P642" s="2"/>
      <c r="Q642" s="74"/>
      <c r="R642" s="2"/>
      <c r="S642" s="2"/>
      <c r="T642" s="76"/>
      <c r="U642" s="88"/>
    </row>
    <row r="643" ht="15.75" customHeight="1">
      <c r="A643" s="2"/>
      <c r="B643" s="2"/>
      <c r="C643" s="2"/>
      <c r="D643" s="2"/>
      <c r="E643" s="2"/>
      <c r="F643" s="2"/>
      <c r="G643" s="2"/>
      <c r="H643" s="74"/>
      <c r="I643" s="74"/>
      <c r="J643" s="74"/>
      <c r="K643" s="74"/>
      <c r="L643" s="74"/>
      <c r="M643" s="2"/>
      <c r="N643" s="2"/>
      <c r="O643" s="2"/>
      <c r="P643" s="2"/>
      <c r="Q643" s="74"/>
      <c r="R643" s="2"/>
      <c r="S643" s="2"/>
      <c r="T643" s="76"/>
      <c r="U643" s="88"/>
    </row>
    <row r="644" ht="15.75" customHeight="1">
      <c r="A644" s="2"/>
      <c r="B644" s="2"/>
      <c r="C644" s="2"/>
      <c r="D644" s="2"/>
      <c r="E644" s="2"/>
      <c r="F644" s="2"/>
      <c r="G644" s="2"/>
      <c r="H644" s="74"/>
      <c r="I644" s="74"/>
      <c r="J644" s="74"/>
      <c r="K644" s="74"/>
      <c r="L644" s="74"/>
      <c r="M644" s="2"/>
      <c r="N644" s="2"/>
      <c r="O644" s="2"/>
      <c r="P644" s="2"/>
      <c r="Q644" s="74"/>
      <c r="R644" s="2"/>
      <c r="S644" s="2"/>
      <c r="T644" s="76"/>
      <c r="U644" s="88"/>
    </row>
    <row r="645" ht="15.75" customHeight="1">
      <c r="A645" s="2"/>
      <c r="B645" s="2"/>
      <c r="C645" s="2"/>
      <c r="D645" s="2"/>
      <c r="E645" s="2"/>
      <c r="F645" s="2"/>
      <c r="G645" s="2"/>
      <c r="H645" s="74"/>
      <c r="I645" s="74"/>
      <c r="J645" s="74"/>
      <c r="K645" s="74"/>
      <c r="L645" s="74"/>
      <c r="M645" s="2"/>
      <c r="N645" s="2"/>
      <c r="O645" s="2"/>
      <c r="P645" s="2"/>
      <c r="Q645" s="74"/>
      <c r="R645" s="2"/>
      <c r="S645" s="2"/>
      <c r="T645" s="76"/>
      <c r="U645" s="88"/>
    </row>
    <row r="646" ht="15.75" customHeight="1">
      <c r="A646" s="2"/>
      <c r="B646" s="2"/>
      <c r="C646" s="2"/>
      <c r="D646" s="2"/>
      <c r="E646" s="2"/>
      <c r="F646" s="2"/>
      <c r="G646" s="2"/>
      <c r="H646" s="74"/>
      <c r="I646" s="74"/>
      <c r="J646" s="74"/>
      <c r="K646" s="74"/>
      <c r="L646" s="74"/>
      <c r="M646" s="2"/>
      <c r="N646" s="2"/>
      <c r="O646" s="2"/>
      <c r="P646" s="2"/>
      <c r="Q646" s="74"/>
      <c r="R646" s="2"/>
      <c r="S646" s="2"/>
      <c r="T646" s="76"/>
      <c r="U646" s="88"/>
    </row>
    <row r="647" ht="15.75" customHeight="1">
      <c r="A647" s="2"/>
      <c r="B647" s="2"/>
      <c r="C647" s="2"/>
      <c r="D647" s="2"/>
      <c r="E647" s="2"/>
      <c r="F647" s="2"/>
      <c r="G647" s="2"/>
      <c r="H647" s="74"/>
      <c r="I647" s="74"/>
      <c r="J647" s="74"/>
      <c r="K647" s="74"/>
      <c r="L647" s="74"/>
      <c r="M647" s="2"/>
      <c r="N647" s="2"/>
      <c r="O647" s="2"/>
      <c r="P647" s="2"/>
      <c r="Q647" s="74"/>
      <c r="R647" s="2"/>
      <c r="S647" s="2"/>
      <c r="T647" s="76"/>
      <c r="U647" s="88"/>
    </row>
    <row r="648" ht="15.75" customHeight="1">
      <c r="A648" s="2"/>
      <c r="B648" s="2"/>
      <c r="C648" s="2"/>
      <c r="D648" s="2"/>
      <c r="E648" s="2"/>
      <c r="F648" s="2"/>
      <c r="G648" s="2"/>
      <c r="H648" s="74"/>
      <c r="I648" s="74"/>
      <c r="J648" s="74"/>
      <c r="K648" s="74"/>
      <c r="L648" s="74"/>
      <c r="M648" s="2"/>
      <c r="N648" s="2"/>
      <c r="O648" s="2"/>
      <c r="P648" s="2"/>
      <c r="Q648" s="74"/>
      <c r="R648" s="2"/>
      <c r="S648" s="2"/>
      <c r="T648" s="76"/>
      <c r="U648" s="88"/>
    </row>
    <row r="649" ht="15.75" customHeight="1">
      <c r="A649" s="2"/>
      <c r="B649" s="2"/>
      <c r="C649" s="2"/>
      <c r="D649" s="2"/>
      <c r="E649" s="2"/>
      <c r="F649" s="2"/>
      <c r="G649" s="2"/>
      <c r="H649" s="74"/>
      <c r="I649" s="74"/>
      <c r="J649" s="74"/>
      <c r="K649" s="74"/>
      <c r="L649" s="74"/>
      <c r="M649" s="2"/>
      <c r="N649" s="2"/>
      <c r="O649" s="2"/>
      <c r="P649" s="2"/>
      <c r="Q649" s="74"/>
      <c r="R649" s="2"/>
      <c r="S649" s="2"/>
      <c r="T649" s="76"/>
      <c r="U649" s="88"/>
    </row>
    <row r="650" ht="15.75" customHeight="1">
      <c r="A650" s="2"/>
      <c r="B650" s="2"/>
      <c r="C650" s="2"/>
      <c r="D650" s="2"/>
      <c r="E650" s="2"/>
      <c r="F650" s="2"/>
      <c r="G650" s="2"/>
      <c r="H650" s="74"/>
      <c r="I650" s="74"/>
      <c r="J650" s="74"/>
      <c r="K650" s="74"/>
      <c r="L650" s="74"/>
      <c r="M650" s="2"/>
      <c r="N650" s="2"/>
      <c r="O650" s="2"/>
      <c r="P650" s="2"/>
      <c r="Q650" s="74"/>
      <c r="R650" s="2"/>
      <c r="S650" s="2"/>
      <c r="T650" s="76"/>
      <c r="U650" s="88"/>
    </row>
    <row r="651" ht="15.75" customHeight="1">
      <c r="A651" s="2"/>
      <c r="B651" s="2"/>
      <c r="C651" s="2"/>
      <c r="D651" s="2"/>
      <c r="E651" s="2"/>
      <c r="F651" s="2"/>
      <c r="G651" s="2"/>
      <c r="H651" s="74"/>
      <c r="I651" s="74"/>
      <c r="J651" s="74"/>
      <c r="K651" s="74"/>
      <c r="L651" s="74"/>
      <c r="M651" s="2"/>
      <c r="N651" s="2"/>
      <c r="O651" s="2"/>
      <c r="P651" s="2"/>
      <c r="Q651" s="74"/>
      <c r="R651" s="2"/>
      <c r="S651" s="2"/>
      <c r="T651" s="76"/>
      <c r="U651" s="88"/>
    </row>
    <row r="652" ht="15.75" customHeight="1">
      <c r="A652" s="2"/>
      <c r="B652" s="2"/>
      <c r="C652" s="2"/>
      <c r="D652" s="2"/>
      <c r="E652" s="2"/>
      <c r="F652" s="2"/>
      <c r="G652" s="2"/>
      <c r="H652" s="74"/>
      <c r="I652" s="74"/>
      <c r="J652" s="74"/>
      <c r="K652" s="74"/>
      <c r="L652" s="74"/>
      <c r="M652" s="2"/>
      <c r="N652" s="2"/>
      <c r="O652" s="2"/>
      <c r="P652" s="2"/>
      <c r="Q652" s="74"/>
      <c r="R652" s="2"/>
      <c r="S652" s="2"/>
      <c r="T652" s="76"/>
      <c r="U652" s="88"/>
    </row>
    <row r="653" ht="15.75" customHeight="1">
      <c r="A653" s="2"/>
      <c r="B653" s="2"/>
      <c r="C653" s="2"/>
      <c r="D653" s="2"/>
      <c r="E653" s="2"/>
      <c r="F653" s="2"/>
      <c r="G653" s="2"/>
      <c r="H653" s="74"/>
      <c r="I653" s="74"/>
      <c r="J653" s="74"/>
      <c r="K653" s="74"/>
      <c r="L653" s="74"/>
      <c r="M653" s="2"/>
      <c r="N653" s="2"/>
      <c r="O653" s="2"/>
      <c r="P653" s="2"/>
      <c r="Q653" s="74"/>
      <c r="R653" s="2"/>
      <c r="S653" s="2"/>
      <c r="T653" s="76"/>
      <c r="U653" s="88"/>
    </row>
    <row r="654" ht="15.75" customHeight="1">
      <c r="A654" s="2"/>
      <c r="B654" s="2"/>
      <c r="C654" s="2"/>
      <c r="D654" s="2"/>
      <c r="E654" s="2"/>
      <c r="F654" s="2"/>
      <c r="G654" s="2"/>
      <c r="H654" s="74"/>
      <c r="I654" s="74"/>
      <c r="J654" s="74"/>
      <c r="K654" s="74"/>
      <c r="L654" s="74"/>
      <c r="M654" s="2"/>
      <c r="N654" s="2"/>
      <c r="O654" s="2"/>
      <c r="P654" s="2"/>
      <c r="Q654" s="74"/>
      <c r="R654" s="2"/>
      <c r="S654" s="2"/>
      <c r="T654" s="76"/>
      <c r="U654" s="88"/>
    </row>
    <row r="655" ht="15.75" customHeight="1">
      <c r="A655" s="2"/>
      <c r="B655" s="2"/>
      <c r="C655" s="2"/>
      <c r="D655" s="2"/>
      <c r="E655" s="2"/>
      <c r="F655" s="2"/>
      <c r="G655" s="2"/>
      <c r="H655" s="74"/>
      <c r="I655" s="74"/>
      <c r="J655" s="74"/>
      <c r="K655" s="74"/>
      <c r="L655" s="74"/>
      <c r="M655" s="2"/>
      <c r="N655" s="2"/>
      <c r="O655" s="2"/>
      <c r="P655" s="2"/>
      <c r="Q655" s="74"/>
      <c r="R655" s="2"/>
      <c r="S655" s="2"/>
      <c r="T655" s="76"/>
      <c r="U655" s="88"/>
    </row>
    <row r="656" ht="15.75" customHeight="1">
      <c r="A656" s="2"/>
      <c r="B656" s="2"/>
      <c r="C656" s="2"/>
      <c r="D656" s="2"/>
      <c r="E656" s="2"/>
      <c r="F656" s="2"/>
      <c r="G656" s="2"/>
      <c r="H656" s="74"/>
      <c r="I656" s="74"/>
      <c r="J656" s="74"/>
      <c r="K656" s="74"/>
      <c r="L656" s="74"/>
      <c r="M656" s="2"/>
      <c r="N656" s="2"/>
      <c r="O656" s="2"/>
      <c r="P656" s="2"/>
      <c r="Q656" s="74"/>
      <c r="R656" s="2"/>
      <c r="S656" s="2"/>
      <c r="T656" s="76"/>
      <c r="U656" s="88"/>
    </row>
    <row r="657" ht="15.75" customHeight="1">
      <c r="A657" s="2"/>
      <c r="B657" s="2"/>
      <c r="C657" s="2"/>
      <c r="D657" s="2"/>
      <c r="E657" s="2"/>
      <c r="F657" s="2"/>
      <c r="G657" s="2"/>
      <c r="H657" s="74"/>
      <c r="I657" s="74"/>
      <c r="J657" s="74"/>
      <c r="K657" s="74"/>
      <c r="L657" s="74"/>
      <c r="M657" s="2"/>
      <c r="N657" s="2"/>
      <c r="O657" s="2"/>
      <c r="P657" s="2"/>
      <c r="Q657" s="74"/>
      <c r="R657" s="2"/>
      <c r="S657" s="2"/>
      <c r="T657" s="76"/>
      <c r="U657" s="88"/>
    </row>
    <row r="658" ht="15.75" customHeight="1">
      <c r="A658" s="2"/>
      <c r="B658" s="2"/>
      <c r="C658" s="2"/>
      <c r="D658" s="2"/>
      <c r="E658" s="2"/>
      <c r="F658" s="2"/>
      <c r="G658" s="2"/>
      <c r="H658" s="74"/>
      <c r="I658" s="74"/>
      <c r="J658" s="74"/>
      <c r="K658" s="74"/>
      <c r="L658" s="74"/>
      <c r="M658" s="2"/>
      <c r="N658" s="2"/>
      <c r="O658" s="2"/>
      <c r="P658" s="2"/>
      <c r="Q658" s="74"/>
      <c r="R658" s="2"/>
      <c r="S658" s="2"/>
      <c r="T658" s="76"/>
      <c r="U658" s="88"/>
    </row>
    <row r="659" ht="15.75" customHeight="1">
      <c r="A659" s="2"/>
      <c r="B659" s="2"/>
      <c r="C659" s="2"/>
      <c r="D659" s="2"/>
      <c r="E659" s="2"/>
      <c r="F659" s="2"/>
      <c r="G659" s="2"/>
      <c r="H659" s="74"/>
      <c r="I659" s="74"/>
      <c r="J659" s="74"/>
      <c r="K659" s="74"/>
      <c r="L659" s="74"/>
      <c r="M659" s="2"/>
      <c r="N659" s="2"/>
      <c r="O659" s="2"/>
      <c r="P659" s="2"/>
      <c r="Q659" s="74"/>
      <c r="R659" s="2"/>
      <c r="S659" s="2"/>
      <c r="T659" s="76"/>
      <c r="U659" s="88"/>
    </row>
    <row r="660" ht="15.75" customHeight="1">
      <c r="A660" s="2"/>
      <c r="B660" s="2"/>
      <c r="C660" s="2"/>
      <c r="D660" s="2"/>
      <c r="E660" s="2"/>
      <c r="F660" s="2"/>
      <c r="G660" s="2"/>
      <c r="H660" s="74"/>
      <c r="I660" s="74"/>
      <c r="J660" s="74"/>
      <c r="K660" s="74"/>
      <c r="L660" s="74"/>
      <c r="M660" s="2"/>
      <c r="N660" s="2"/>
      <c r="O660" s="2"/>
      <c r="P660" s="2"/>
      <c r="Q660" s="74"/>
      <c r="R660" s="2"/>
      <c r="S660" s="2"/>
      <c r="T660" s="76"/>
      <c r="U660" s="88"/>
    </row>
    <row r="661" ht="15.75" customHeight="1">
      <c r="A661" s="2"/>
      <c r="B661" s="2"/>
      <c r="C661" s="2"/>
      <c r="D661" s="2"/>
      <c r="E661" s="2"/>
      <c r="F661" s="2"/>
      <c r="G661" s="2"/>
      <c r="H661" s="74"/>
      <c r="I661" s="74"/>
      <c r="J661" s="74"/>
      <c r="K661" s="74"/>
      <c r="L661" s="74"/>
      <c r="M661" s="2"/>
      <c r="N661" s="2"/>
      <c r="O661" s="2"/>
      <c r="P661" s="2"/>
      <c r="Q661" s="74"/>
      <c r="R661" s="2"/>
      <c r="S661" s="2"/>
      <c r="T661" s="76"/>
      <c r="U661" s="88"/>
    </row>
    <row r="662" ht="15.75" customHeight="1">
      <c r="A662" s="2"/>
      <c r="B662" s="2"/>
      <c r="C662" s="2"/>
      <c r="D662" s="2"/>
      <c r="E662" s="2"/>
      <c r="F662" s="2"/>
      <c r="G662" s="2"/>
      <c r="H662" s="74"/>
      <c r="I662" s="74"/>
      <c r="J662" s="74"/>
      <c r="K662" s="74"/>
      <c r="L662" s="74"/>
      <c r="M662" s="2"/>
      <c r="N662" s="2"/>
      <c r="O662" s="2"/>
      <c r="P662" s="2"/>
      <c r="Q662" s="74"/>
      <c r="R662" s="2"/>
      <c r="S662" s="2"/>
      <c r="T662" s="76"/>
      <c r="U662" s="88"/>
    </row>
    <row r="663" ht="15.75" customHeight="1">
      <c r="A663" s="2"/>
      <c r="B663" s="2"/>
      <c r="C663" s="2"/>
      <c r="D663" s="2"/>
      <c r="E663" s="2"/>
      <c r="F663" s="2"/>
      <c r="G663" s="2"/>
      <c r="H663" s="74"/>
      <c r="I663" s="74"/>
      <c r="J663" s="74"/>
      <c r="K663" s="74"/>
      <c r="L663" s="74"/>
      <c r="M663" s="2"/>
      <c r="N663" s="2"/>
      <c r="O663" s="2"/>
      <c r="P663" s="2"/>
      <c r="Q663" s="74"/>
      <c r="R663" s="2"/>
      <c r="S663" s="2"/>
      <c r="T663" s="76"/>
      <c r="U663" s="88"/>
    </row>
    <row r="664" ht="15.75" customHeight="1">
      <c r="A664" s="2"/>
      <c r="B664" s="2"/>
      <c r="C664" s="2"/>
      <c r="D664" s="2"/>
      <c r="E664" s="2"/>
      <c r="F664" s="2"/>
      <c r="G664" s="2"/>
      <c r="H664" s="74"/>
      <c r="I664" s="74"/>
      <c r="J664" s="74"/>
      <c r="K664" s="74"/>
      <c r="L664" s="74"/>
      <c r="M664" s="2"/>
      <c r="N664" s="2"/>
      <c r="O664" s="2"/>
      <c r="P664" s="2"/>
      <c r="Q664" s="74"/>
      <c r="R664" s="2"/>
      <c r="S664" s="2"/>
      <c r="T664" s="76"/>
      <c r="U664" s="88"/>
    </row>
    <row r="665" ht="15.75" customHeight="1">
      <c r="A665" s="2"/>
      <c r="B665" s="2"/>
      <c r="C665" s="2"/>
      <c r="D665" s="2"/>
      <c r="E665" s="2"/>
      <c r="F665" s="2"/>
      <c r="G665" s="2"/>
      <c r="H665" s="74"/>
      <c r="I665" s="74"/>
      <c r="J665" s="74"/>
      <c r="K665" s="74"/>
      <c r="L665" s="74"/>
      <c r="M665" s="2"/>
      <c r="N665" s="2"/>
      <c r="O665" s="2"/>
      <c r="P665" s="2"/>
      <c r="Q665" s="74"/>
      <c r="R665" s="2"/>
      <c r="S665" s="2"/>
      <c r="T665" s="76"/>
      <c r="U665" s="88"/>
    </row>
    <row r="666" ht="15.75" customHeight="1">
      <c r="A666" s="2"/>
      <c r="B666" s="2"/>
      <c r="C666" s="2"/>
      <c r="D666" s="2"/>
      <c r="E666" s="2"/>
      <c r="F666" s="2"/>
      <c r="G666" s="2"/>
      <c r="H666" s="74"/>
      <c r="I666" s="74"/>
      <c r="J666" s="74"/>
      <c r="K666" s="74"/>
      <c r="L666" s="74"/>
      <c r="M666" s="2"/>
      <c r="N666" s="2"/>
      <c r="O666" s="2"/>
      <c r="P666" s="2"/>
      <c r="Q666" s="74"/>
      <c r="R666" s="2"/>
      <c r="S666" s="2"/>
      <c r="T666" s="76"/>
      <c r="U666" s="88"/>
    </row>
    <row r="667" ht="15.75" customHeight="1">
      <c r="A667" s="2"/>
      <c r="B667" s="2"/>
      <c r="C667" s="2"/>
      <c r="D667" s="2"/>
      <c r="E667" s="2"/>
      <c r="F667" s="2"/>
      <c r="G667" s="2"/>
      <c r="H667" s="74"/>
      <c r="I667" s="74"/>
      <c r="J667" s="74"/>
      <c r="K667" s="74"/>
      <c r="L667" s="74"/>
      <c r="M667" s="2"/>
      <c r="N667" s="2"/>
      <c r="O667" s="2"/>
      <c r="P667" s="2"/>
      <c r="Q667" s="74"/>
      <c r="R667" s="2"/>
      <c r="S667" s="2"/>
      <c r="T667" s="76"/>
      <c r="U667" s="88"/>
    </row>
    <row r="668" ht="15.75" customHeight="1">
      <c r="A668" s="2"/>
      <c r="B668" s="2"/>
      <c r="C668" s="2"/>
      <c r="D668" s="2"/>
      <c r="E668" s="2"/>
      <c r="F668" s="2"/>
      <c r="G668" s="2"/>
      <c r="H668" s="74"/>
      <c r="I668" s="74"/>
      <c r="J668" s="74"/>
      <c r="K668" s="74"/>
      <c r="L668" s="74"/>
      <c r="M668" s="2"/>
      <c r="N668" s="2"/>
      <c r="O668" s="2"/>
      <c r="P668" s="2"/>
      <c r="Q668" s="74"/>
      <c r="R668" s="2"/>
      <c r="S668" s="2"/>
      <c r="T668" s="76"/>
      <c r="U668" s="88"/>
    </row>
    <row r="669" ht="15.75" customHeight="1">
      <c r="A669" s="2"/>
      <c r="B669" s="2"/>
      <c r="C669" s="2"/>
      <c r="D669" s="2"/>
      <c r="E669" s="2"/>
      <c r="F669" s="2"/>
      <c r="G669" s="2"/>
      <c r="H669" s="74"/>
      <c r="I669" s="74"/>
      <c r="J669" s="74"/>
      <c r="K669" s="74"/>
      <c r="L669" s="74"/>
      <c r="M669" s="2"/>
      <c r="N669" s="2"/>
      <c r="O669" s="2"/>
      <c r="P669" s="2"/>
      <c r="Q669" s="74"/>
      <c r="R669" s="2"/>
      <c r="S669" s="2"/>
      <c r="T669" s="76"/>
      <c r="U669" s="88"/>
    </row>
    <row r="670" ht="15.75" customHeight="1">
      <c r="A670" s="2"/>
      <c r="B670" s="2"/>
      <c r="C670" s="2"/>
      <c r="D670" s="2"/>
      <c r="E670" s="2"/>
      <c r="F670" s="2"/>
      <c r="G670" s="2"/>
      <c r="H670" s="74"/>
      <c r="I670" s="74"/>
      <c r="J670" s="74"/>
      <c r="K670" s="74"/>
      <c r="L670" s="74"/>
      <c r="M670" s="2"/>
      <c r="N670" s="2"/>
      <c r="O670" s="2"/>
      <c r="P670" s="2"/>
      <c r="Q670" s="74"/>
      <c r="R670" s="2"/>
      <c r="S670" s="2"/>
      <c r="T670" s="76"/>
      <c r="U670" s="88"/>
    </row>
    <row r="671" ht="15.75" customHeight="1">
      <c r="A671" s="2"/>
      <c r="B671" s="2"/>
      <c r="C671" s="2"/>
      <c r="D671" s="2"/>
      <c r="E671" s="2"/>
      <c r="F671" s="2"/>
      <c r="G671" s="2"/>
      <c r="H671" s="74"/>
      <c r="I671" s="74"/>
      <c r="J671" s="74"/>
      <c r="K671" s="74"/>
      <c r="L671" s="74"/>
      <c r="M671" s="2"/>
      <c r="N671" s="2"/>
      <c r="O671" s="2"/>
      <c r="P671" s="2"/>
      <c r="Q671" s="74"/>
      <c r="R671" s="2"/>
      <c r="S671" s="2"/>
      <c r="T671" s="76"/>
      <c r="U671" s="88"/>
    </row>
    <row r="672" ht="15.75" customHeight="1">
      <c r="A672" s="2"/>
      <c r="B672" s="2"/>
      <c r="C672" s="2"/>
      <c r="D672" s="2"/>
      <c r="E672" s="2"/>
      <c r="F672" s="2"/>
      <c r="G672" s="2"/>
      <c r="H672" s="74"/>
      <c r="I672" s="74"/>
      <c r="J672" s="74"/>
      <c r="K672" s="74"/>
      <c r="L672" s="74"/>
      <c r="M672" s="2"/>
      <c r="N672" s="2"/>
      <c r="O672" s="2"/>
      <c r="P672" s="2"/>
      <c r="Q672" s="74"/>
      <c r="R672" s="2"/>
      <c r="S672" s="2"/>
      <c r="T672" s="76"/>
      <c r="U672" s="88"/>
    </row>
    <row r="673" ht="15.75" customHeight="1">
      <c r="A673" s="2"/>
      <c r="B673" s="2"/>
      <c r="C673" s="2"/>
      <c r="D673" s="2"/>
      <c r="E673" s="2"/>
      <c r="F673" s="2"/>
      <c r="G673" s="2"/>
      <c r="H673" s="74"/>
      <c r="I673" s="74"/>
      <c r="J673" s="74"/>
      <c r="K673" s="74"/>
      <c r="L673" s="74"/>
      <c r="M673" s="2"/>
      <c r="N673" s="2"/>
      <c r="O673" s="2"/>
      <c r="P673" s="2"/>
      <c r="Q673" s="74"/>
      <c r="R673" s="2"/>
      <c r="S673" s="2"/>
      <c r="T673" s="76"/>
      <c r="U673" s="88"/>
    </row>
    <row r="674" ht="15.75" customHeight="1">
      <c r="A674" s="2"/>
      <c r="B674" s="2"/>
      <c r="C674" s="2"/>
      <c r="D674" s="2"/>
      <c r="E674" s="2"/>
      <c r="F674" s="2"/>
      <c r="G674" s="2"/>
      <c r="H674" s="74"/>
      <c r="I674" s="74"/>
      <c r="J674" s="74"/>
      <c r="K674" s="74"/>
      <c r="L674" s="74"/>
      <c r="M674" s="2"/>
      <c r="N674" s="2"/>
      <c r="O674" s="2"/>
      <c r="P674" s="2"/>
      <c r="Q674" s="74"/>
      <c r="R674" s="2"/>
      <c r="S674" s="2"/>
      <c r="T674" s="76"/>
      <c r="U674" s="88"/>
    </row>
    <row r="675" ht="15.75" customHeight="1">
      <c r="A675" s="2"/>
      <c r="B675" s="2"/>
      <c r="C675" s="2"/>
      <c r="D675" s="2"/>
      <c r="E675" s="2"/>
      <c r="F675" s="2"/>
      <c r="G675" s="2"/>
      <c r="H675" s="74"/>
      <c r="I675" s="74"/>
      <c r="J675" s="74"/>
      <c r="K675" s="74"/>
      <c r="L675" s="74"/>
      <c r="M675" s="2"/>
      <c r="N675" s="2"/>
      <c r="O675" s="2"/>
      <c r="P675" s="2"/>
      <c r="Q675" s="74"/>
      <c r="R675" s="2"/>
      <c r="S675" s="2"/>
      <c r="T675" s="76"/>
      <c r="U675" s="88"/>
    </row>
    <row r="676" ht="15.75" customHeight="1">
      <c r="A676" s="2"/>
      <c r="B676" s="2"/>
      <c r="C676" s="2"/>
      <c r="D676" s="2"/>
      <c r="E676" s="2"/>
      <c r="F676" s="2"/>
      <c r="G676" s="2"/>
      <c r="H676" s="74"/>
      <c r="I676" s="74"/>
      <c r="J676" s="74"/>
      <c r="K676" s="74"/>
      <c r="L676" s="74"/>
      <c r="M676" s="2"/>
      <c r="N676" s="2"/>
      <c r="O676" s="2"/>
      <c r="P676" s="2"/>
      <c r="Q676" s="74"/>
      <c r="R676" s="2"/>
      <c r="S676" s="2"/>
      <c r="T676" s="76"/>
      <c r="U676" s="88"/>
    </row>
    <row r="677" ht="15.75" customHeight="1">
      <c r="A677" s="2"/>
      <c r="B677" s="2"/>
      <c r="C677" s="2"/>
      <c r="D677" s="2"/>
      <c r="E677" s="2"/>
      <c r="F677" s="2"/>
      <c r="G677" s="2"/>
      <c r="H677" s="74"/>
      <c r="I677" s="74"/>
      <c r="J677" s="74"/>
      <c r="K677" s="74"/>
      <c r="L677" s="74"/>
      <c r="M677" s="2"/>
      <c r="N677" s="2"/>
      <c r="O677" s="2"/>
      <c r="P677" s="2"/>
      <c r="Q677" s="74"/>
      <c r="R677" s="2"/>
      <c r="S677" s="2"/>
      <c r="T677" s="76"/>
      <c r="U677" s="88"/>
    </row>
    <row r="678" ht="15.75" customHeight="1">
      <c r="A678" s="2"/>
      <c r="B678" s="2"/>
      <c r="C678" s="2"/>
      <c r="D678" s="2"/>
      <c r="E678" s="2"/>
      <c r="F678" s="2"/>
      <c r="G678" s="2"/>
      <c r="H678" s="74"/>
      <c r="I678" s="74"/>
      <c r="J678" s="74"/>
      <c r="K678" s="74"/>
      <c r="L678" s="74"/>
      <c r="M678" s="2"/>
      <c r="N678" s="2"/>
      <c r="O678" s="2"/>
      <c r="P678" s="2"/>
      <c r="Q678" s="74"/>
      <c r="R678" s="2"/>
      <c r="S678" s="2"/>
      <c r="T678" s="76"/>
      <c r="U678" s="88"/>
    </row>
    <row r="679" ht="15.75" customHeight="1">
      <c r="A679" s="2"/>
      <c r="B679" s="2"/>
      <c r="C679" s="2"/>
      <c r="D679" s="2"/>
      <c r="E679" s="2"/>
      <c r="F679" s="2"/>
      <c r="G679" s="2"/>
      <c r="H679" s="74"/>
      <c r="I679" s="74"/>
      <c r="J679" s="74"/>
      <c r="K679" s="74"/>
      <c r="L679" s="74"/>
      <c r="M679" s="2"/>
      <c r="N679" s="2"/>
      <c r="O679" s="2"/>
      <c r="P679" s="2"/>
      <c r="Q679" s="74"/>
      <c r="R679" s="2"/>
      <c r="S679" s="2"/>
      <c r="T679" s="76"/>
      <c r="U679" s="88"/>
    </row>
    <row r="680" ht="15.75" customHeight="1">
      <c r="A680" s="2"/>
      <c r="B680" s="2"/>
      <c r="C680" s="2"/>
      <c r="D680" s="2"/>
      <c r="E680" s="2"/>
      <c r="F680" s="2"/>
      <c r="G680" s="2"/>
      <c r="H680" s="74"/>
      <c r="I680" s="74"/>
      <c r="J680" s="74"/>
      <c r="K680" s="74"/>
      <c r="L680" s="74"/>
      <c r="M680" s="2"/>
      <c r="N680" s="2"/>
      <c r="O680" s="2"/>
      <c r="P680" s="2"/>
      <c r="Q680" s="74"/>
      <c r="R680" s="2"/>
      <c r="S680" s="2"/>
      <c r="T680" s="76"/>
      <c r="U680" s="88"/>
    </row>
    <row r="681" ht="15.75" customHeight="1">
      <c r="A681" s="2"/>
      <c r="B681" s="2"/>
      <c r="C681" s="2"/>
      <c r="D681" s="2"/>
      <c r="E681" s="2"/>
      <c r="F681" s="2"/>
      <c r="G681" s="2"/>
      <c r="H681" s="74"/>
      <c r="I681" s="74"/>
      <c r="J681" s="74"/>
      <c r="K681" s="74"/>
      <c r="L681" s="74"/>
      <c r="M681" s="2"/>
      <c r="N681" s="2"/>
      <c r="O681" s="2"/>
      <c r="P681" s="2"/>
      <c r="Q681" s="74"/>
      <c r="R681" s="2"/>
      <c r="S681" s="2"/>
      <c r="T681" s="76"/>
      <c r="U681" s="88"/>
    </row>
    <row r="682" ht="15.75" customHeight="1">
      <c r="A682" s="2"/>
      <c r="B682" s="2"/>
      <c r="C682" s="2"/>
      <c r="D682" s="2"/>
      <c r="E682" s="2"/>
      <c r="F682" s="2"/>
      <c r="G682" s="2"/>
      <c r="H682" s="74"/>
      <c r="I682" s="74"/>
      <c r="J682" s="74"/>
      <c r="K682" s="74"/>
      <c r="L682" s="74"/>
      <c r="M682" s="2"/>
      <c r="N682" s="2"/>
      <c r="O682" s="2"/>
      <c r="P682" s="2"/>
      <c r="Q682" s="74"/>
      <c r="R682" s="2"/>
      <c r="S682" s="2"/>
      <c r="T682" s="76"/>
      <c r="U682" s="88"/>
    </row>
    <row r="683" ht="15.75" customHeight="1">
      <c r="A683" s="2"/>
      <c r="B683" s="2"/>
      <c r="C683" s="2"/>
      <c r="D683" s="2"/>
      <c r="E683" s="2"/>
      <c r="F683" s="2"/>
      <c r="G683" s="2"/>
      <c r="H683" s="74"/>
      <c r="I683" s="74"/>
      <c r="J683" s="74"/>
      <c r="K683" s="74"/>
      <c r="L683" s="74"/>
      <c r="M683" s="2"/>
      <c r="N683" s="2"/>
      <c r="O683" s="2"/>
      <c r="P683" s="2"/>
      <c r="Q683" s="74"/>
      <c r="R683" s="2"/>
      <c r="S683" s="2"/>
      <c r="T683" s="76"/>
      <c r="U683" s="88"/>
    </row>
    <row r="684" ht="15.75" customHeight="1">
      <c r="A684" s="2"/>
      <c r="B684" s="2"/>
      <c r="C684" s="2"/>
      <c r="D684" s="2"/>
      <c r="E684" s="2"/>
      <c r="F684" s="2"/>
      <c r="G684" s="2"/>
      <c r="H684" s="74"/>
      <c r="I684" s="74"/>
      <c r="J684" s="74"/>
      <c r="K684" s="74"/>
      <c r="L684" s="74"/>
      <c r="M684" s="2"/>
      <c r="N684" s="2"/>
      <c r="O684" s="2"/>
      <c r="P684" s="2"/>
      <c r="Q684" s="74"/>
      <c r="R684" s="2"/>
      <c r="S684" s="2"/>
      <c r="T684" s="76"/>
      <c r="U684" s="88"/>
    </row>
    <row r="685" ht="15.75" customHeight="1">
      <c r="A685" s="2"/>
      <c r="B685" s="2"/>
      <c r="C685" s="2"/>
      <c r="D685" s="2"/>
      <c r="E685" s="2"/>
      <c r="F685" s="2"/>
      <c r="G685" s="2"/>
      <c r="H685" s="74"/>
      <c r="I685" s="74"/>
      <c r="J685" s="74"/>
      <c r="K685" s="74"/>
      <c r="L685" s="74"/>
      <c r="M685" s="2"/>
      <c r="N685" s="2"/>
      <c r="O685" s="2"/>
      <c r="P685" s="2"/>
      <c r="Q685" s="74"/>
      <c r="R685" s="2"/>
      <c r="S685" s="2"/>
      <c r="T685" s="76"/>
      <c r="U685" s="88"/>
    </row>
    <row r="686" ht="15.75" customHeight="1">
      <c r="A686" s="2"/>
      <c r="B686" s="2"/>
      <c r="C686" s="2"/>
      <c r="D686" s="2"/>
      <c r="E686" s="2"/>
      <c r="F686" s="2"/>
      <c r="G686" s="2"/>
      <c r="H686" s="74"/>
      <c r="I686" s="74"/>
      <c r="J686" s="74"/>
      <c r="K686" s="74"/>
      <c r="L686" s="74"/>
      <c r="M686" s="2"/>
      <c r="N686" s="2"/>
      <c r="O686" s="2"/>
      <c r="P686" s="2"/>
      <c r="Q686" s="74"/>
      <c r="R686" s="2"/>
      <c r="S686" s="2"/>
      <c r="T686" s="76"/>
      <c r="U686" s="88"/>
    </row>
    <row r="687" ht="15.75" customHeight="1">
      <c r="A687" s="2"/>
      <c r="B687" s="2"/>
      <c r="C687" s="2"/>
      <c r="D687" s="2"/>
      <c r="E687" s="2"/>
      <c r="F687" s="2"/>
      <c r="G687" s="2"/>
      <c r="H687" s="74"/>
      <c r="I687" s="74"/>
      <c r="J687" s="74"/>
      <c r="K687" s="74"/>
      <c r="L687" s="74"/>
      <c r="M687" s="2"/>
      <c r="N687" s="2"/>
      <c r="O687" s="2"/>
      <c r="P687" s="2"/>
      <c r="Q687" s="74"/>
      <c r="R687" s="2"/>
      <c r="S687" s="2"/>
      <c r="T687" s="76"/>
      <c r="U687" s="88"/>
    </row>
    <row r="688" ht="15.75" customHeight="1">
      <c r="A688" s="2"/>
      <c r="B688" s="2"/>
      <c r="C688" s="2"/>
      <c r="D688" s="2"/>
      <c r="E688" s="2"/>
      <c r="F688" s="2"/>
      <c r="G688" s="2"/>
      <c r="H688" s="74"/>
      <c r="I688" s="74"/>
      <c r="J688" s="74"/>
      <c r="K688" s="74"/>
      <c r="L688" s="74"/>
      <c r="M688" s="2"/>
      <c r="N688" s="2"/>
      <c r="O688" s="2"/>
      <c r="P688" s="2"/>
      <c r="Q688" s="74"/>
      <c r="R688" s="2"/>
      <c r="S688" s="2"/>
      <c r="T688" s="76"/>
      <c r="U688" s="88"/>
    </row>
    <row r="689" ht="15.75" customHeight="1">
      <c r="A689" s="2"/>
      <c r="B689" s="2"/>
      <c r="C689" s="2"/>
      <c r="D689" s="2"/>
      <c r="E689" s="2"/>
      <c r="F689" s="2"/>
      <c r="G689" s="2"/>
      <c r="H689" s="74"/>
      <c r="I689" s="74"/>
      <c r="J689" s="74"/>
      <c r="K689" s="74"/>
      <c r="L689" s="74"/>
      <c r="M689" s="2"/>
      <c r="N689" s="2"/>
      <c r="O689" s="2"/>
      <c r="P689" s="2"/>
      <c r="Q689" s="74"/>
      <c r="R689" s="2"/>
      <c r="S689" s="2"/>
      <c r="T689" s="76"/>
      <c r="U689" s="88"/>
    </row>
    <row r="690" ht="15.75" customHeight="1">
      <c r="A690" s="2"/>
      <c r="B690" s="2"/>
      <c r="C690" s="2"/>
      <c r="D690" s="2"/>
      <c r="E690" s="2"/>
      <c r="F690" s="2"/>
      <c r="G690" s="2"/>
      <c r="H690" s="74"/>
      <c r="I690" s="74"/>
      <c r="J690" s="74"/>
      <c r="K690" s="74"/>
      <c r="L690" s="74"/>
      <c r="M690" s="2"/>
      <c r="N690" s="2"/>
      <c r="O690" s="2"/>
      <c r="P690" s="2"/>
      <c r="Q690" s="74"/>
      <c r="R690" s="2"/>
      <c r="S690" s="2"/>
      <c r="T690" s="76"/>
      <c r="U690" s="88"/>
    </row>
    <row r="691" ht="15.75" customHeight="1">
      <c r="A691" s="2"/>
      <c r="B691" s="2"/>
      <c r="C691" s="2"/>
      <c r="D691" s="2"/>
      <c r="E691" s="2"/>
      <c r="F691" s="2"/>
      <c r="G691" s="2"/>
      <c r="H691" s="74"/>
      <c r="I691" s="74"/>
      <c r="J691" s="74"/>
      <c r="K691" s="74"/>
      <c r="L691" s="74"/>
      <c r="M691" s="2"/>
      <c r="N691" s="2"/>
      <c r="O691" s="2"/>
      <c r="P691" s="2"/>
      <c r="Q691" s="74"/>
      <c r="R691" s="2"/>
      <c r="S691" s="2"/>
      <c r="T691" s="76"/>
      <c r="U691" s="88"/>
    </row>
    <row r="692" ht="15.75" customHeight="1">
      <c r="A692" s="2"/>
      <c r="B692" s="2"/>
      <c r="C692" s="2"/>
      <c r="D692" s="2"/>
      <c r="E692" s="2"/>
      <c r="F692" s="2"/>
      <c r="G692" s="2"/>
      <c r="H692" s="74"/>
      <c r="I692" s="74"/>
      <c r="J692" s="74"/>
      <c r="K692" s="74"/>
      <c r="L692" s="74"/>
      <c r="M692" s="2"/>
      <c r="N692" s="2"/>
      <c r="O692" s="2"/>
      <c r="P692" s="2"/>
      <c r="Q692" s="74"/>
      <c r="R692" s="2"/>
      <c r="S692" s="2"/>
      <c r="T692" s="76"/>
      <c r="U692" s="88"/>
    </row>
    <row r="693" ht="15.75" customHeight="1">
      <c r="A693" s="2"/>
      <c r="B693" s="2"/>
      <c r="C693" s="2"/>
      <c r="D693" s="2"/>
      <c r="E693" s="2"/>
      <c r="F693" s="2"/>
      <c r="G693" s="2"/>
      <c r="H693" s="74"/>
      <c r="I693" s="74"/>
      <c r="J693" s="74"/>
      <c r="K693" s="74"/>
      <c r="L693" s="74"/>
      <c r="M693" s="2"/>
      <c r="N693" s="2"/>
      <c r="O693" s="2"/>
      <c r="P693" s="2"/>
      <c r="Q693" s="74"/>
      <c r="R693" s="2"/>
      <c r="S693" s="2"/>
      <c r="T693" s="76"/>
      <c r="U693" s="88"/>
    </row>
    <row r="694" ht="15.75" customHeight="1">
      <c r="A694" s="2"/>
      <c r="B694" s="2"/>
      <c r="C694" s="2"/>
      <c r="D694" s="2"/>
      <c r="E694" s="2"/>
      <c r="F694" s="2"/>
      <c r="G694" s="2"/>
      <c r="H694" s="74"/>
      <c r="I694" s="74"/>
      <c r="J694" s="74"/>
      <c r="K694" s="74"/>
      <c r="L694" s="74"/>
      <c r="M694" s="2"/>
      <c r="N694" s="2"/>
      <c r="O694" s="2"/>
      <c r="P694" s="2"/>
      <c r="Q694" s="74"/>
      <c r="R694" s="2"/>
      <c r="S694" s="2"/>
      <c r="T694" s="76"/>
      <c r="U694" s="88"/>
    </row>
    <row r="695" ht="15.75" customHeight="1">
      <c r="A695" s="2"/>
      <c r="B695" s="2"/>
      <c r="C695" s="2"/>
      <c r="D695" s="2"/>
      <c r="E695" s="2"/>
      <c r="F695" s="2"/>
      <c r="G695" s="2"/>
      <c r="H695" s="74"/>
      <c r="I695" s="74"/>
      <c r="J695" s="74"/>
      <c r="K695" s="74"/>
      <c r="L695" s="74"/>
      <c r="M695" s="2"/>
      <c r="N695" s="2"/>
      <c r="O695" s="2"/>
      <c r="P695" s="2"/>
      <c r="Q695" s="74"/>
      <c r="R695" s="2"/>
      <c r="S695" s="2"/>
      <c r="T695" s="76"/>
      <c r="U695" s="88"/>
    </row>
    <row r="696" ht="15.75" customHeight="1">
      <c r="A696" s="2"/>
      <c r="B696" s="2"/>
      <c r="C696" s="2"/>
      <c r="D696" s="2"/>
      <c r="E696" s="2"/>
      <c r="F696" s="2"/>
      <c r="G696" s="2"/>
      <c r="H696" s="74"/>
      <c r="I696" s="74"/>
      <c r="J696" s="74"/>
      <c r="K696" s="74"/>
      <c r="L696" s="74"/>
      <c r="M696" s="2"/>
      <c r="N696" s="2"/>
      <c r="O696" s="2"/>
      <c r="P696" s="2"/>
      <c r="Q696" s="74"/>
      <c r="R696" s="2"/>
      <c r="S696" s="2"/>
      <c r="T696" s="76"/>
      <c r="U696" s="88"/>
    </row>
    <row r="697" ht="15.75" customHeight="1">
      <c r="A697" s="2"/>
      <c r="B697" s="2"/>
      <c r="C697" s="2"/>
      <c r="D697" s="2"/>
      <c r="E697" s="2"/>
      <c r="F697" s="2"/>
      <c r="G697" s="2"/>
      <c r="H697" s="74"/>
      <c r="I697" s="74"/>
      <c r="J697" s="74"/>
      <c r="K697" s="74"/>
      <c r="L697" s="74"/>
      <c r="M697" s="2"/>
      <c r="N697" s="2"/>
      <c r="O697" s="2"/>
      <c r="P697" s="2"/>
      <c r="Q697" s="74"/>
      <c r="R697" s="2"/>
      <c r="S697" s="2"/>
      <c r="T697" s="76"/>
      <c r="U697" s="88"/>
    </row>
    <row r="698" ht="15.75" customHeight="1">
      <c r="A698" s="2"/>
      <c r="B698" s="2"/>
      <c r="C698" s="2"/>
      <c r="D698" s="2"/>
      <c r="E698" s="2"/>
      <c r="F698" s="2"/>
      <c r="G698" s="2"/>
      <c r="H698" s="74"/>
      <c r="I698" s="74"/>
      <c r="J698" s="74"/>
      <c r="K698" s="74"/>
      <c r="L698" s="74"/>
      <c r="M698" s="2"/>
      <c r="N698" s="2"/>
      <c r="O698" s="2"/>
      <c r="P698" s="2"/>
      <c r="Q698" s="74"/>
      <c r="R698" s="2"/>
      <c r="S698" s="2"/>
      <c r="T698" s="76"/>
      <c r="U698" s="88"/>
    </row>
    <row r="699" ht="15.75" customHeight="1">
      <c r="A699" s="2"/>
      <c r="B699" s="2"/>
      <c r="C699" s="2"/>
      <c r="D699" s="2"/>
      <c r="E699" s="2"/>
      <c r="F699" s="2"/>
      <c r="G699" s="2"/>
      <c r="H699" s="74"/>
      <c r="I699" s="74"/>
      <c r="J699" s="74"/>
      <c r="K699" s="74"/>
      <c r="L699" s="74"/>
      <c r="M699" s="2"/>
      <c r="N699" s="2"/>
      <c r="O699" s="2"/>
      <c r="P699" s="2"/>
      <c r="Q699" s="74"/>
      <c r="R699" s="2"/>
      <c r="S699" s="2"/>
      <c r="T699" s="76"/>
      <c r="U699" s="88"/>
    </row>
    <row r="700" ht="15.75" customHeight="1">
      <c r="A700" s="2"/>
      <c r="B700" s="2"/>
      <c r="C700" s="2"/>
      <c r="D700" s="2"/>
      <c r="E700" s="2"/>
      <c r="F700" s="2"/>
      <c r="G700" s="2"/>
      <c r="H700" s="74"/>
      <c r="I700" s="74"/>
      <c r="J700" s="74"/>
      <c r="K700" s="74"/>
      <c r="L700" s="74"/>
      <c r="M700" s="2"/>
      <c r="N700" s="2"/>
      <c r="O700" s="2"/>
      <c r="P700" s="2"/>
      <c r="Q700" s="74"/>
      <c r="R700" s="2"/>
      <c r="S700" s="2"/>
      <c r="T700" s="76"/>
      <c r="U700" s="88"/>
    </row>
    <row r="701" ht="15.75" customHeight="1">
      <c r="A701" s="2"/>
      <c r="B701" s="2"/>
      <c r="C701" s="2"/>
      <c r="D701" s="2"/>
      <c r="E701" s="2"/>
      <c r="F701" s="2"/>
      <c r="G701" s="2"/>
      <c r="H701" s="74"/>
      <c r="I701" s="74"/>
      <c r="J701" s="74"/>
      <c r="K701" s="74"/>
      <c r="L701" s="74"/>
      <c r="M701" s="2"/>
      <c r="N701" s="2"/>
      <c r="O701" s="2"/>
      <c r="P701" s="2"/>
      <c r="Q701" s="74"/>
      <c r="R701" s="2"/>
      <c r="S701" s="2"/>
      <c r="T701" s="76"/>
      <c r="U701" s="88"/>
    </row>
    <row r="702" ht="15.75" customHeight="1">
      <c r="A702" s="2"/>
      <c r="B702" s="2"/>
      <c r="C702" s="2"/>
      <c r="D702" s="2"/>
      <c r="E702" s="2"/>
      <c r="F702" s="2"/>
      <c r="G702" s="2"/>
      <c r="H702" s="74"/>
      <c r="I702" s="74"/>
      <c r="J702" s="74"/>
      <c r="K702" s="74"/>
      <c r="L702" s="74"/>
      <c r="M702" s="2"/>
      <c r="N702" s="2"/>
      <c r="O702" s="2"/>
      <c r="P702" s="2"/>
      <c r="Q702" s="74"/>
      <c r="R702" s="2"/>
      <c r="S702" s="2"/>
      <c r="T702" s="76"/>
      <c r="U702" s="88"/>
    </row>
    <row r="703" ht="15.75" customHeight="1">
      <c r="A703" s="2"/>
      <c r="B703" s="2"/>
      <c r="C703" s="2"/>
      <c r="D703" s="2"/>
      <c r="E703" s="2"/>
      <c r="F703" s="2"/>
      <c r="G703" s="2"/>
      <c r="H703" s="74"/>
      <c r="I703" s="74"/>
      <c r="J703" s="74"/>
      <c r="K703" s="74"/>
      <c r="L703" s="74"/>
      <c r="M703" s="2"/>
      <c r="N703" s="2"/>
      <c r="O703" s="2"/>
      <c r="P703" s="2"/>
      <c r="Q703" s="74"/>
      <c r="R703" s="2"/>
      <c r="S703" s="2"/>
      <c r="T703" s="76"/>
      <c r="U703" s="88"/>
    </row>
    <row r="704" ht="15.75" customHeight="1">
      <c r="A704" s="2"/>
      <c r="B704" s="2"/>
      <c r="C704" s="2"/>
      <c r="D704" s="2"/>
      <c r="E704" s="2"/>
      <c r="F704" s="2"/>
      <c r="G704" s="2"/>
      <c r="H704" s="74"/>
      <c r="I704" s="74"/>
      <c r="J704" s="74"/>
      <c r="K704" s="74"/>
      <c r="L704" s="74"/>
      <c r="M704" s="2"/>
      <c r="N704" s="2"/>
      <c r="O704" s="2"/>
      <c r="P704" s="2"/>
      <c r="Q704" s="74"/>
      <c r="R704" s="2"/>
      <c r="S704" s="2"/>
      <c r="T704" s="76"/>
      <c r="U704" s="88"/>
    </row>
    <row r="705" ht="15.75" customHeight="1">
      <c r="A705" s="2"/>
      <c r="B705" s="2"/>
      <c r="C705" s="2"/>
      <c r="D705" s="2"/>
      <c r="E705" s="2"/>
      <c r="F705" s="2"/>
      <c r="G705" s="2"/>
      <c r="H705" s="74"/>
      <c r="I705" s="74"/>
      <c r="J705" s="74"/>
      <c r="K705" s="74"/>
      <c r="L705" s="74"/>
      <c r="M705" s="2"/>
      <c r="N705" s="2"/>
      <c r="O705" s="2"/>
      <c r="P705" s="2"/>
      <c r="Q705" s="74"/>
      <c r="R705" s="2"/>
      <c r="S705" s="2"/>
      <c r="T705" s="76"/>
      <c r="U705" s="88"/>
    </row>
    <row r="706" ht="15.75" customHeight="1">
      <c r="A706" s="2"/>
      <c r="B706" s="2"/>
      <c r="C706" s="2"/>
      <c r="D706" s="2"/>
      <c r="E706" s="2"/>
      <c r="F706" s="2"/>
      <c r="G706" s="2"/>
      <c r="H706" s="74"/>
      <c r="I706" s="74"/>
      <c r="J706" s="74"/>
      <c r="K706" s="74"/>
      <c r="L706" s="74"/>
      <c r="M706" s="2"/>
      <c r="N706" s="2"/>
      <c r="O706" s="2"/>
      <c r="P706" s="2"/>
      <c r="Q706" s="74"/>
      <c r="R706" s="2"/>
      <c r="S706" s="2"/>
      <c r="T706" s="76"/>
      <c r="U706" s="88"/>
    </row>
    <row r="707" ht="15.75" customHeight="1">
      <c r="A707" s="2"/>
      <c r="B707" s="2"/>
      <c r="C707" s="2"/>
      <c r="D707" s="2"/>
      <c r="E707" s="2"/>
      <c r="F707" s="2"/>
      <c r="G707" s="2"/>
      <c r="H707" s="74"/>
      <c r="I707" s="74"/>
      <c r="J707" s="74"/>
      <c r="K707" s="74"/>
      <c r="L707" s="74"/>
      <c r="M707" s="2"/>
      <c r="N707" s="2"/>
      <c r="O707" s="2"/>
      <c r="P707" s="2"/>
      <c r="Q707" s="74"/>
      <c r="R707" s="2"/>
      <c r="S707" s="2"/>
      <c r="T707" s="76"/>
      <c r="U707" s="88"/>
    </row>
    <row r="708" ht="15.75" customHeight="1">
      <c r="A708" s="2"/>
      <c r="B708" s="2"/>
      <c r="C708" s="2"/>
      <c r="D708" s="2"/>
      <c r="E708" s="2"/>
      <c r="F708" s="2"/>
      <c r="G708" s="2"/>
      <c r="H708" s="74"/>
      <c r="I708" s="74"/>
      <c r="J708" s="74"/>
      <c r="K708" s="74"/>
      <c r="L708" s="74"/>
      <c r="M708" s="2"/>
      <c r="N708" s="2"/>
      <c r="O708" s="2"/>
      <c r="P708" s="2"/>
      <c r="Q708" s="74"/>
      <c r="R708" s="2"/>
      <c r="S708" s="2"/>
      <c r="T708" s="76"/>
      <c r="U708" s="88"/>
    </row>
    <row r="709" ht="15.75" customHeight="1">
      <c r="A709" s="2"/>
      <c r="B709" s="2"/>
      <c r="C709" s="2"/>
      <c r="D709" s="2"/>
      <c r="E709" s="2"/>
      <c r="F709" s="2"/>
      <c r="G709" s="2"/>
      <c r="H709" s="74"/>
      <c r="I709" s="74"/>
      <c r="J709" s="74"/>
      <c r="K709" s="74"/>
      <c r="L709" s="74"/>
      <c r="M709" s="2"/>
      <c r="N709" s="2"/>
      <c r="O709" s="2"/>
      <c r="P709" s="2"/>
      <c r="Q709" s="74"/>
      <c r="R709" s="2"/>
      <c r="S709" s="2"/>
      <c r="T709" s="76"/>
      <c r="U709" s="88"/>
    </row>
    <row r="710" ht="15.75" customHeight="1">
      <c r="A710" s="2"/>
      <c r="B710" s="2"/>
      <c r="C710" s="2"/>
      <c r="D710" s="2"/>
      <c r="E710" s="2"/>
      <c r="F710" s="2"/>
      <c r="G710" s="2"/>
      <c r="H710" s="74"/>
      <c r="I710" s="74"/>
      <c r="J710" s="74"/>
      <c r="K710" s="74"/>
      <c r="L710" s="74"/>
      <c r="M710" s="2"/>
      <c r="N710" s="2"/>
      <c r="O710" s="2"/>
      <c r="P710" s="2"/>
      <c r="Q710" s="74"/>
      <c r="R710" s="2"/>
      <c r="S710" s="2"/>
      <c r="T710" s="76"/>
      <c r="U710" s="88"/>
    </row>
    <row r="711" ht="15.75" customHeight="1">
      <c r="A711" s="2"/>
      <c r="B711" s="2"/>
      <c r="C711" s="2"/>
      <c r="D711" s="2"/>
      <c r="E711" s="2"/>
      <c r="F711" s="2"/>
      <c r="G711" s="2"/>
      <c r="H711" s="74"/>
      <c r="I711" s="74"/>
      <c r="J711" s="74"/>
      <c r="K711" s="74"/>
      <c r="L711" s="74"/>
      <c r="M711" s="2"/>
      <c r="N711" s="2"/>
      <c r="O711" s="2"/>
      <c r="P711" s="2"/>
      <c r="Q711" s="74"/>
      <c r="R711" s="2"/>
      <c r="S711" s="2"/>
      <c r="T711" s="76"/>
      <c r="U711" s="88"/>
    </row>
    <row r="712" ht="15.75" customHeight="1">
      <c r="A712" s="2"/>
      <c r="B712" s="2"/>
      <c r="C712" s="2"/>
      <c r="D712" s="2"/>
      <c r="E712" s="2"/>
      <c r="F712" s="2"/>
      <c r="G712" s="2"/>
      <c r="H712" s="74"/>
      <c r="I712" s="74"/>
      <c r="J712" s="74"/>
      <c r="K712" s="74"/>
      <c r="L712" s="74"/>
      <c r="M712" s="2"/>
      <c r="N712" s="2"/>
      <c r="O712" s="2"/>
      <c r="P712" s="2"/>
      <c r="Q712" s="74"/>
      <c r="R712" s="2"/>
      <c r="S712" s="2"/>
      <c r="T712" s="76"/>
      <c r="U712" s="88"/>
    </row>
    <row r="713" ht="15.75" customHeight="1">
      <c r="A713" s="2"/>
      <c r="B713" s="2"/>
      <c r="C713" s="2"/>
      <c r="D713" s="2"/>
      <c r="E713" s="2"/>
      <c r="F713" s="2"/>
      <c r="G713" s="2"/>
      <c r="H713" s="74"/>
      <c r="I713" s="74"/>
      <c r="J713" s="74"/>
      <c r="K713" s="74"/>
      <c r="L713" s="74"/>
      <c r="M713" s="2"/>
      <c r="N713" s="2"/>
      <c r="O713" s="2"/>
      <c r="P713" s="2"/>
      <c r="Q713" s="74"/>
      <c r="R713" s="2"/>
      <c r="S713" s="2"/>
      <c r="T713" s="76"/>
      <c r="U713" s="88"/>
    </row>
    <row r="714" ht="15.75" customHeight="1">
      <c r="A714" s="2"/>
      <c r="B714" s="2"/>
      <c r="C714" s="2"/>
      <c r="D714" s="2"/>
      <c r="E714" s="2"/>
      <c r="F714" s="2"/>
      <c r="G714" s="2"/>
      <c r="H714" s="74"/>
      <c r="I714" s="74"/>
      <c r="J714" s="74"/>
      <c r="K714" s="74"/>
      <c r="L714" s="74"/>
      <c r="M714" s="2"/>
      <c r="N714" s="2"/>
      <c r="O714" s="2"/>
      <c r="P714" s="2"/>
      <c r="Q714" s="74"/>
      <c r="R714" s="2"/>
      <c r="S714" s="2"/>
      <c r="T714" s="76"/>
      <c r="U714" s="88"/>
    </row>
    <row r="715" ht="15.75" customHeight="1">
      <c r="A715" s="2"/>
      <c r="B715" s="2"/>
      <c r="C715" s="2"/>
      <c r="D715" s="2"/>
      <c r="E715" s="2"/>
      <c r="F715" s="2"/>
      <c r="G715" s="2"/>
      <c r="H715" s="74"/>
      <c r="I715" s="74"/>
      <c r="J715" s="74"/>
      <c r="K715" s="74"/>
      <c r="L715" s="74"/>
      <c r="M715" s="2"/>
      <c r="N715" s="2"/>
      <c r="O715" s="2"/>
      <c r="P715" s="2"/>
      <c r="Q715" s="74"/>
      <c r="R715" s="2"/>
      <c r="S715" s="2"/>
      <c r="T715" s="76"/>
      <c r="U715" s="88"/>
    </row>
    <row r="716" ht="15.75" customHeight="1">
      <c r="A716" s="2"/>
      <c r="B716" s="2"/>
      <c r="C716" s="2"/>
      <c r="D716" s="2"/>
      <c r="E716" s="2"/>
      <c r="F716" s="2"/>
      <c r="G716" s="2"/>
      <c r="H716" s="74"/>
      <c r="I716" s="74"/>
      <c r="J716" s="74"/>
      <c r="K716" s="74"/>
      <c r="L716" s="74"/>
      <c r="M716" s="2"/>
      <c r="N716" s="2"/>
      <c r="O716" s="2"/>
      <c r="P716" s="2"/>
      <c r="Q716" s="74"/>
      <c r="R716" s="2"/>
      <c r="S716" s="2"/>
      <c r="T716" s="76"/>
      <c r="U716" s="88"/>
    </row>
    <row r="717" ht="15.75" customHeight="1">
      <c r="A717" s="2"/>
      <c r="B717" s="2"/>
      <c r="C717" s="2"/>
      <c r="D717" s="2"/>
      <c r="E717" s="2"/>
      <c r="F717" s="2"/>
      <c r="G717" s="2"/>
      <c r="H717" s="74"/>
      <c r="I717" s="74"/>
      <c r="J717" s="74"/>
      <c r="K717" s="74"/>
      <c r="L717" s="74"/>
      <c r="M717" s="2"/>
      <c r="N717" s="2"/>
      <c r="O717" s="2"/>
      <c r="P717" s="2"/>
      <c r="Q717" s="74"/>
      <c r="R717" s="2"/>
      <c r="S717" s="2"/>
      <c r="T717" s="76"/>
      <c r="U717" s="88"/>
    </row>
    <row r="718" ht="15.75" customHeight="1">
      <c r="A718" s="2"/>
      <c r="B718" s="2"/>
      <c r="C718" s="2"/>
      <c r="D718" s="2"/>
      <c r="E718" s="2"/>
      <c r="F718" s="2"/>
      <c r="G718" s="2"/>
      <c r="H718" s="74"/>
      <c r="I718" s="74"/>
      <c r="J718" s="74"/>
      <c r="K718" s="74"/>
      <c r="L718" s="74"/>
      <c r="M718" s="2"/>
      <c r="N718" s="2"/>
      <c r="O718" s="2"/>
      <c r="P718" s="2"/>
      <c r="Q718" s="74"/>
      <c r="R718" s="2"/>
      <c r="S718" s="2"/>
      <c r="T718" s="76"/>
      <c r="U718" s="88"/>
    </row>
    <row r="719" ht="15.75" customHeight="1">
      <c r="A719" s="2"/>
      <c r="B719" s="2"/>
      <c r="C719" s="2"/>
      <c r="D719" s="2"/>
      <c r="E719" s="2"/>
      <c r="F719" s="2"/>
      <c r="G719" s="2"/>
      <c r="H719" s="74"/>
      <c r="I719" s="74"/>
      <c r="J719" s="74"/>
      <c r="K719" s="74"/>
      <c r="L719" s="74"/>
      <c r="M719" s="2"/>
      <c r="N719" s="2"/>
      <c r="O719" s="2"/>
      <c r="P719" s="2"/>
      <c r="Q719" s="74"/>
      <c r="R719" s="2"/>
      <c r="S719" s="2"/>
      <c r="T719" s="76"/>
      <c r="U719" s="88"/>
    </row>
    <row r="720" ht="15.75" customHeight="1">
      <c r="A720" s="2"/>
      <c r="B720" s="2"/>
      <c r="C720" s="2"/>
      <c r="D720" s="2"/>
      <c r="E720" s="2"/>
      <c r="F720" s="2"/>
      <c r="G720" s="2"/>
      <c r="H720" s="74"/>
      <c r="I720" s="74"/>
      <c r="J720" s="74"/>
      <c r="K720" s="74"/>
      <c r="L720" s="74"/>
      <c r="M720" s="2"/>
      <c r="N720" s="2"/>
      <c r="O720" s="2"/>
      <c r="P720" s="2"/>
      <c r="Q720" s="74"/>
      <c r="R720" s="2"/>
      <c r="S720" s="2"/>
      <c r="T720" s="76"/>
      <c r="U720" s="88"/>
    </row>
    <row r="721" ht="15.75" customHeight="1">
      <c r="A721" s="2"/>
      <c r="B721" s="2"/>
      <c r="C721" s="2"/>
      <c r="D721" s="2"/>
      <c r="E721" s="2"/>
      <c r="F721" s="2"/>
      <c r="G721" s="2"/>
      <c r="H721" s="74"/>
      <c r="I721" s="74"/>
      <c r="J721" s="74"/>
      <c r="K721" s="74"/>
      <c r="L721" s="74"/>
      <c r="M721" s="2"/>
      <c r="N721" s="2"/>
      <c r="O721" s="2"/>
      <c r="P721" s="2"/>
      <c r="Q721" s="74"/>
      <c r="R721" s="2"/>
      <c r="S721" s="2"/>
      <c r="T721" s="76"/>
      <c r="U721" s="88"/>
    </row>
    <row r="722" ht="15.75" customHeight="1">
      <c r="A722" s="2"/>
      <c r="B722" s="2"/>
      <c r="C722" s="2"/>
      <c r="D722" s="2"/>
      <c r="E722" s="2"/>
      <c r="F722" s="2"/>
      <c r="G722" s="2"/>
      <c r="H722" s="74"/>
      <c r="I722" s="74"/>
      <c r="J722" s="74"/>
      <c r="K722" s="74"/>
      <c r="L722" s="74"/>
      <c r="M722" s="2"/>
      <c r="N722" s="2"/>
      <c r="O722" s="2"/>
      <c r="P722" s="2"/>
      <c r="Q722" s="74"/>
      <c r="R722" s="2"/>
      <c r="S722" s="2"/>
      <c r="T722" s="76"/>
      <c r="U722" s="88"/>
    </row>
    <row r="723" ht="15.75" customHeight="1">
      <c r="A723" s="2"/>
      <c r="B723" s="2"/>
      <c r="C723" s="2"/>
      <c r="D723" s="2"/>
      <c r="E723" s="2"/>
      <c r="F723" s="2"/>
      <c r="G723" s="2"/>
      <c r="H723" s="74"/>
      <c r="I723" s="74"/>
      <c r="J723" s="74"/>
      <c r="K723" s="74"/>
      <c r="L723" s="74"/>
      <c r="M723" s="2"/>
      <c r="N723" s="2"/>
      <c r="O723" s="2"/>
      <c r="P723" s="2"/>
      <c r="Q723" s="74"/>
      <c r="R723" s="2"/>
      <c r="S723" s="2"/>
      <c r="T723" s="76"/>
      <c r="U723" s="88"/>
    </row>
    <row r="724" ht="15.75" customHeight="1">
      <c r="A724" s="2"/>
      <c r="B724" s="2"/>
      <c r="C724" s="2"/>
      <c r="D724" s="2"/>
      <c r="E724" s="2"/>
      <c r="F724" s="2"/>
      <c r="G724" s="2"/>
      <c r="H724" s="74"/>
      <c r="I724" s="74"/>
      <c r="J724" s="74"/>
      <c r="K724" s="74"/>
      <c r="L724" s="74"/>
      <c r="M724" s="2"/>
      <c r="N724" s="2"/>
      <c r="O724" s="2"/>
      <c r="P724" s="2"/>
      <c r="Q724" s="74"/>
      <c r="R724" s="2"/>
      <c r="S724" s="2"/>
      <c r="T724" s="76"/>
      <c r="U724" s="88"/>
    </row>
    <row r="725" ht="15.75" customHeight="1">
      <c r="A725" s="2"/>
      <c r="B725" s="2"/>
      <c r="C725" s="2"/>
      <c r="D725" s="2"/>
      <c r="E725" s="2"/>
      <c r="F725" s="2"/>
      <c r="G725" s="2"/>
      <c r="H725" s="74"/>
      <c r="I725" s="74"/>
      <c r="J725" s="74"/>
      <c r="K725" s="74"/>
      <c r="L725" s="74"/>
      <c r="M725" s="2"/>
      <c r="N725" s="2"/>
      <c r="O725" s="2"/>
      <c r="P725" s="2"/>
      <c r="Q725" s="74"/>
      <c r="R725" s="2"/>
      <c r="S725" s="2"/>
      <c r="T725" s="76"/>
      <c r="U725" s="88"/>
    </row>
    <row r="726" ht="15.75" customHeight="1">
      <c r="A726" s="2"/>
      <c r="B726" s="2"/>
      <c r="C726" s="2"/>
      <c r="D726" s="2"/>
      <c r="E726" s="2"/>
      <c r="F726" s="2"/>
      <c r="G726" s="2"/>
      <c r="H726" s="74"/>
      <c r="I726" s="74"/>
      <c r="J726" s="74"/>
      <c r="K726" s="74"/>
      <c r="L726" s="74"/>
      <c r="M726" s="2"/>
      <c r="N726" s="2"/>
      <c r="O726" s="2"/>
      <c r="P726" s="2"/>
      <c r="Q726" s="74"/>
      <c r="R726" s="2"/>
      <c r="S726" s="2"/>
      <c r="T726" s="76"/>
      <c r="U726" s="88"/>
    </row>
    <row r="727" ht="15.75" customHeight="1">
      <c r="A727" s="2"/>
      <c r="B727" s="2"/>
      <c r="C727" s="2"/>
      <c r="D727" s="2"/>
      <c r="E727" s="2"/>
      <c r="F727" s="2"/>
      <c r="G727" s="2"/>
      <c r="H727" s="74"/>
      <c r="I727" s="74"/>
      <c r="J727" s="74"/>
      <c r="K727" s="74"/>
      <c r="L727" s="74"/>
      <c r="M727" s="2"/>
      <c r="N727" s="2"/>
      <c r="O727" s="2"/>
      <c r="P727" s="2"/>
      <c r="Q727" s="74"/>
      <c r="R727" s="2"/>
      <c r="S727" s="2"/>
      <c r="T727" s="76"/>
      <c r="U727" s="88"/>
    </row>
    <row r="728" ht="15.75" customHeight="1">
      <c r="A728" s="2"/>
      <c r="B728" s="2"/>
      <c r="C728" s="2"/>
      <c r="D728" s="2"/>
      <c r="E728" s="2"/>
      <c r="F728" s="2"/>
      <c r="G728" s="2"/>
      <c r="H728" s="74"/>
      <c r="I728" s="74"/>
      <c r="J728" s="74"/>
      <c r="K728" s="74"/>
      <c r="L728" s="74"/>
      <c r="M728" s="2"/>
      <c r="N728" s="2"/>
      <c r="O728" s="2"/>
      <c r="P728" s="2"/>
      <c r="Q728" s="74"/>
      <c r="R728" s="2"/>
      <c r="S728" s="2"/>
      <c r="T728" s="76"/>
      <c r="U728" s="88"/>
    </row>
    <row r="729" ht="15.75" customHeight="1">
      <c r="A729" s="2"/>
      <c r="B729" s="2"/>
      <c r="C729" s="2"/>
      <c r="D729" s="2"/>
      <c r="E729" s="2"/>
      <c r="F729" s="2"/>
      <c r="G729" s="2"/>
      <c r="H729" s="74"/>
      <c r="I729" s="74"/>
      <c r="J729" s="74"/>
      <c r="K729" s="74"/>
      <c r="L729" s="74"/>
      <c r="M729" s="2"/>
      <c r="N729" s="2"/>
      <c r="O729" s="2"/>
      <c r="P729" s="2"/>
      <c r="Q729" s="74"/>
      <c r="R729" s="2"/>
      <c r="S729" s="2"/>
      <c r="T729" s="76"/>
      <c r="U729" s="88"/>
    </row>
    <row r="730" ht="15.75" customHeight="1">
      <c r="A730" s="2"/>
      <c r="B730" s="2"/>
      <c r="C730" s="2"/>
      <c r="D730" s="2"/>
      <c r="E730" s="2"/>
      <c r="F730" s="2"/>
      <c r="G730" s="2"/>
      <c r="H730" s="74"/>
      <c r="I730" s="74"/>
      <c r="J730" s="74"/>
      <c r="K730" s="74"/>
      <c r="L730" s="74"/>
      <c r="M730" s="2"/>
      <c r="N730" s="2"/>
      <c r="O730" s="2"/>
      <c r="P730" s="2"/>
      <c r="Q730" s="74"/>
      <c r="R730" s="2"/>
      <c r="S730" s="2"/>
      <c r="T730" s="76"/>
      <c r="U730" s="88"/>
    </row>
    <row r="731" ht="15.75" customHeight="1">
      <c r="A731" s="2"/>
      <c r="B731" s="2"/>
      <c r="C731" s="2"/>
      <c r="D731" s="2"/>
      <c r="E731" s="2"/>
      <c r="F731" s="2"/>
      <c r="G731" s="2"/>
      <c r="H731" s="74"/>
      <c r="I731" s="74"/>
      <c r="J731" s="74"/>
      <c r="K731" s="74"/>
      <c r="L731" s="74"/>
      <c r="M731" s="2"/>
      <c r="N731" s="2"/>
      <c r="O731" s="2"/>
      <c r="P731" s="2"/>
      <c r="Q731" s="74"/>
      <c r="R731" s="2"/>
      <c r="S731" s="2"/>
      <c r="T731" s="76"/>
      <c r="U731" s="88"/>
    </row>
    <row r="732" ht="15.75" customHeight="1">
      <c r="A732" s="2"/>
      <c r="B732" s="2"/>
      <c r="C732" s="2"/>
      <c r="D732" s="2"/>
      <c r="E732" s="2"/>
      <c r="F732" s="2"/>
      <c r="G732" s="2"/>
      <c r="H732" s="74"/>
      <c r="I732" s="74"/>
      <c r="J732" s="74"/>
      <c r="K732" s="74"/>
      <c r="L732" s="74"/>
      <c r="M732" s="2"/>
      <c r="N732" s="2"/>
      <c r="O732" s="2"/>
      <c r="P732" s="2"/>
      <c r="Q732" s="74"/>
      <c r="R732" s="2"/>
      <c r="S732" s="2"/>
      <c r="T732" s="76"/>
      <c r="U732" s="88"/>
    </row>
    <row r="733" ht="15.75" customHeight="1">
      <c r="A733" s="2"/>
      <c r="B733" s="2"/>
      <c r="C733" s="2"/>
      <c r="D733" s="2"/>
      <c r="E733" s="2"/>
      <c r="F733" s="2"/>
      <c r="G733" s="2"/>
      <c r="H733" s="74"/>
      <c r="I733" s="74"/>
      <c r="J733" s="74"/>
      <c r="K733" s="74"/>
      <c r="L733" s="74"/>
      <c r="M733" s="2"/>
      <c r="N733" s="2"/>
      <c r="O733" s="2"/>
      <c r="P733" s="2"/>
      <c r="Q733" s="74"/>
      <c r="R733" s="2"/>
      <c r="S733" s="2"/>
      <c r="T733" s="76"/>
      <c r="U733" s="88"/>
    </row>
    <row r="734" ht="15.75" customHeight="1">
      <c r="A734" s="2"/>
      <c r="B734" s="2"/>
      <c r="C734" s="2"/>
      <c r="D734" s="2"/>
      <c r="E734" s="2"/>
      <c r="F734" s="2"/>
      <c r="G734" s="2"/>
      <c r="H734" s="74"/>
      <c r="I734" s="74"/>
      <c r="J734" s="74"/>
      <c r="K734" s="74"/>
      <c r="L734" s="74"/>
      <c r="M734" s="2"/>
      <c r="N734" s="2"/>
      <c r="O734" s="2"/>
      <c r="P734" s="2"/>
      <c r="Q734" s="74"/>
      <c r="R734" s="2"/>
      <c r="S734" s="2"/>
      <c r="T734" s="76"/>
      <c r="U734" s="88"/>
    </row>
    <row r="735" ht="15.75" customHeight="1">
      <c r="A735" s="2"/>
      <c r="B735" s="2"/>
      <c r="C735" s="2"/>
      <c r="D735" s="2"/>
      <c r="E735" s="2"/>
      <c r="F735" s="2"/>
      <c r="G735" s="2"/>
      <c r="H735" s="74"/>
      <c r="I735" s="74"/>
      <c r="J735" s="74"/>
      <c r="K735" s="74"/>
      <c r="L735" s="74"/>
      <c r="M735" s="2"/>
      <c r="N735" s="2"/>
      <c r="O735" s="2"/>
      <c r="P735" s="2"/>
      <c r="Q735" s="74"/>
      <c r="R735" s="2"/>
      <c r="S735" s="2"/>
      <c r="T735" s="76"/>
      <c r="U735" s="88"/>
    </row>
    <row r="736" ht="15.75" customHeight="1">
      <c r="A736" s="2"/>
      <c r="B736" s="2"/>
      <c r="C736" s="2"/>
      <c r="D736" s="2"/>
      <c r="E736" s="2"/>
      <c r="F736" s="2"/>
      <c r="G736" s="2"/>
      <c r="H736" s="74"/>
      <c r="I736" s="74"/>
      <c r="J736" s="74"/>
      <c r="K736" s="74"/>
      <c r="L736" s="74"/>
      <c r="M736" s="2"/>
      <c r="N736" s="2"/>
      <c r="O736" s="2"/>
      <c r="P736" s="2"/>
      <c r="Q736" s="74"/>
      <c r="R736" s="2"/>
      <c r="S736" s="2"/>
      <c r="T736" s="76"/>
      <c r="U736" s="88"/>
    </row>
    <row r="737" ht="15.75" customHeight="1">
      <c r="A737" s="2"/>
      <c r="B737" s="2"/>
      <c r="C737" s="2"/>
      <c r="D737" s="2"/>
      <c r="E737" s="2"/>
      <c r="F737" s="2"/>
      <c r="G737" s="2"/>
      <c r="H737" s="74"/>
      <c r="I737" s="74"/>
      <c r="J737" s="74"/>
      <c r="K737" s="74"/>
      <c r="L737" s="74"/>
      <c r="M737" s="2"/>
      <c r="N737" s="2"/>
      <c r="O737" s="2"/>
      <c r="P737" s="2"/>
      <c r="Q737" s="74"/>
      <c r="R737" s="2"/>
      <c r="S737" s="2"/>
      <c r="T737" s="76"/>
      <c r="U737" s="88"/>
    </row>
    <row r="738" ht="15.75" customHeight="1">
      <c r="A738" s="2"/>
      <c r="B738" s="2"/>
      <c r="C738" s="2"/>
      <c r="D738" s="2"/>
      <c r="E738" s="2"/>
      <c r="F738" s="2"/>
      <c r="G738" s="2"/>
      <c r="H738" s="74"/>
      <c r="I738" s="74"/>
      <c r="J738" s="74"/>
      <c r="K738" s="74"/>
      <c r="L738" s="74"/>
      <c r="M738" s="2"/>
      <c r="N738" s="2"/>
      <c r="O738" s="2"/>
      <c r="P738" s="2"/>
      <c r="Q738" s="74"/>
      <c r="R738" s="2"/>
      <c r="S738" s="2"/>
      <c r="T738" s="76"/>
      <c r="U738" s="88"/>
    </row>
    <row r="739" ht="15.75" customHeight="1">
      <c r="A739" s="2"/>
      <c r="B739" s="2"/>
      <c r="C739" s="2"/>
      <c r="D739" s="2"/>
      <c r="E739" s="2"/>
      <c r="F739" s="2"/>
      <c r="G739" s="2"/>
      <c r="H739" s="74"/>
      <c r="I739" s="74"/>
      <c r="J739" s="74"/>
      <c r="K739" s="74"/>
      <c r="L739" s="74"/>
      <c r="M739" s="2"/>
      <c r="N739" s="2"/>
      <c r="O739" s="2"/>
      <c r="P739" s="2"/>
      <c r="Q739" s="74"/>
      <c r="R739" s="2"/>
      <c r="S739" s="2"/>
      <c r="T739" s="76"/>
      <c r="U739" s="88"/>
    </row>
    <row r="740" ht="15.75" customHeight="1">
      <c r="A740" s="2"/>
      <c r="B740" s="2"/>
      <c r="C740" s="2"/>
      <c r="D740" s="2"/>
      <c r="E740" s="2"/>
      <c r="F740" s="2"/>
      <c r="G740" s="2"/>
      <c r="H740" s="74"/>
      <c r="I740" s="74"/>
      <c r="J740" s="74"/>
      <c r="K740" s="74"/>
      <c r="L740" s="74"/>
      <c r="M740" s="2"/>
      <c r="N740" s="2"/>
      <c r="O740" s="2"/>
      <c r="P740" s="2"/>
      <c r="Q740" s="74"/>
      <c r="R740" s="2"/>
      <c r="S740" s="2"/>
      <c r="T740" s="76"/>
      <c r="U740" s="88"/>
    </row>
    <row r="741" ht="15.75" customHeight="1">
      <c r="A741" s="2"/>
      <c r="B741" s="2"/>
      <c r="C741" s="2"/>
      <c r="D741" s="2"/>
      <c r="E741" s="2"/>
      <c r="F741" s="2"/>
      <c r="G741" s="2"/>
      <c r="H741" s="74"/>
      <c r="I741" s="74"/>
      <c r="J741" s="74"/>
      <c r="K741" s="74"/>
      <c r="L741" s="74"/>
      <c r="M741" s="2"/>
      <c r="N741" s="2"/>
      <c r="O741" s="2"/>
      <c r="P741" s="2"/>
      <c r="Q741" s="74"/>
      <c r="R741" s="2"/>
      <c r="S741" s="2"/>
      <c r="T741" s="76"/>
      <c r="U741" s="88"/>
    </row>
    <row r="742" ht="15.75" customHeight="1">
      <c r="A742" s="2"/>
      <c r="B742" s="2"/>
      <c r="C742" s="2"/>
      <c r="D742" s="2"/>
      <c r="E742" s="2"/>
      <c r="F742" s="2"/>
      <c r="G742" s="2"/>
      <c r="H742" s="74"/>
      <c r="I742" s="74"/>
      <c r="J742" s="74"/>
      <c r="K742" s="74"/>
      <c r="L742" s="74"/>
      <c r="M742" s="2"/>
      <c r="N742" s="2"/>
      <c r="O742" s="2"/>
      <c r="P742" s="2"/>
      <c r="Q742" s="74"/>
      <c r="R742" s="2"/>
      <c r="S742" s="2"/>
      <c r="T742" s="76"/>
      <c r="U742" s="88"/>
    </row>
    <row r="743" ht="15.75" customHeight="1">
      <c r="A743" s="2"/>
      <c r="B743" s="2"/>
      <c r="C743" s="2"/>
      <c r="D743" s="2"/>
      <c r="E743" s="2"/>
      <c r="F743" s="2"/>
      <c r="G743" s="2"/>
      <c r="H743" s="74"/>
      <c r="I743" s="74"/>
      <c r="J743" s="74"/>
      <c r="K743" s="74"/>
      <c r="L743" s="74"/>
      <c r="M743" s="2"/>
      <c r="N743" s="2"/>
      <c r="O743" s="2"/>
      <c r="P743" s="2"/>
      <c r="Q743" s="74"/>
      <c r="R743" s="2"/>
      <c r="S743" s="2"/>
      <c r="T743" s="76"/>
      <c r="U743" s="88"/>
    </row>
    <row r="744" ht="15.75" customHeight="1">
      <c r="A744" s="2"/>
      <c r="B744" s="2"/>
      <c r="C744" s="2"/>
      <c r="D744" s="2"/>
      <c r="E744" s="2"/>
      <c r="F744" s="2"/>
      <c r="G744" s="2"/>
      <c r="H744" s="74"/>
      <c r="I744" s="74"/>
      <c r="J744" s="74"/>
      <c r="K744" s="74"/>
      <c r="L744" s="74"/>
      <c r="M744" s="2"/>
      <c r="N744" s="2"/>
      <c r="O744" s="2"/>
      <c r="P744" s="2"/>
      <c r="Q744" s="74"/>
      <c r="R744" s="2"/>
      <c r="S744" s="2"/>
      <c r="T744" s="76"/>
      <c r="U744" s="88"/>
    </row>
    <row r="745" ht="15.75" customHeight="1">
      <c r="A745" s="2"/>
      <c r="B745" s="2"/>
      <c r="C745" s="2"/>
      <c r="D745" s="2"/>
      <c r="E745" s="2"/>
      <c r="F745" s="2"/>
      <c r="G745" s="2"/>
      <c r="H745" s="74"/>
      <c r="I745" s="74"/>
      <c r="J745" s="74"/>
      <c r="K745" s="74"/>
      <c r="L745" s="74"/>
      <c r="M745" s="2"/>
      <c r="N745" s="2"/>
      <c r="O745" s="2"/>
      <c r="P745" s="2"/>
      <c r="Q745" s="74"/>
      <c r="R745" s="2"/>
      <c r="S745" s="2"/>
      <c r="T745" s="76"/>
      <c r="U745" s="88"/>
    </row>
    <row r="746" ht="15.75" customHeight="1">
      <c r="A746" s="2"/>
      <c r="B746" s="2"/>
      <c r="C746" s="2"/>
      <c r="D746" s="2"/>
      <c r="E746" s="2"/>
      <c r="F746" s="2"/>
      <c r="G746" s="2"/>
      <c r="H746" s="74"/>
      <c r="I746" s="74"/>
      <c r="J746" s="74"/>
      <c r="K746" s="74"/>
      <c r="L746" s="74"/>
      <c r="M746" s="2"/>
      <c r="N746" s="2"/>
      <c r="O746" s="2"/>
      <c r="P746" s="2"/>
      <c r="Q746" s="74"/>
      <c r="R746" s="2"/>
      <c r="S746" s="2"/>
      <c r="T746" s="76"/>
      <c r="U746" s="88"/>
    </row>
    <row r="747" ht="15.75" customHeight="1">
      <c r="A747" s="2"/>
      <c r="B747" s="2"/>
      <c r="C747" s="2"/>
      <c r="D747" s="2"/>
      <c r="E747" s="2"/>
      <c r="F747" s="2"/>
      <c r="G747" s="2"/>
      <c r="H747" s="74"/>
      <c r="I747" s="74"/>
      <c r="J747" s="74"/>
      <c r="K747" s="74"/>
      <c r="L747" s="74"/>
      <c r="M747" s="2"/>
      <c r="N747" s="2"/>
      <c r="O747" s="2"/>
      <c r="P747" s="2"/>
      <c r="Q747" s="74"/>
      <c r="R747" s="2"/>
      <c r="S747" s="2"/>
      <c r="T747" s="76"/>
      <c r="U747" s="88"/>
    </row>
    <row r="748" ht="15.75" customHeight="1">
      <c r="A748" s="2"/>
      <c r="B748" s="2"/>
      <c r="C748" s="2"/>
      <c r="D748" s="2"/>
      <c r="E748" s="2"/>
      <c r="F748" s="2"/>
      <c r="G748" s="2"/>
      <c r="H748" s="74"/>
      <c r="I748" s="74"/>
      <c r="J748" s="74"/>
      <c r="K748" s="74"/>
      <c r="L748" s="74"/>
      <c r="M748" s="2"/>
      <c r="N748" s="2"/>
      <c r="O748" s="2"/>
      <c r="P748" s="2"/>
      <c r="Q748" s="74"/>
      <c r="R748" s="2"/>
      <c r="S748" s="2"/>
      <c r="T748" s="76"/>
      <c r="U748" s="88"/>
    </row>
    <row r="749" ht="15.75" customHeight="1">
      <c r="A749" s="2"/>
      <c r="B749" s="2"/>
      <c r="C749" s="2"/>
      <c r="D749" s="2"/>
      <c r="E749" s="2"/>
      <c r="F749" s="2"/>
      <c r="G749" s="2"/>
      <c r="H749" s="74"/>
      <c r="I749" s="74"/>
      <c r="J749" s="74"/>
      <c r="K749" s="74"/>
      <c r="L749" s="74"/>
      <c r="M749" s="2"/>
      <c r="N749" s="2"/>
      <c r="O749" s="2"/>
      <c r="P749" s="2"/>
      <c r="Q749" s="74"/>
      <c r="R749" s="2"/>
      <c r="S749" s="2"/>
      <c r="T749" s="76"/>
      <c r="U749" s="88"/>
    </row>
    <row r="750" ht="15.75" customHeight="1">
      <c r="A750" s="2"/>
      <c r="B750" s="2"/>
      <c r="C750" s="2"/>
      <c r="D750" s="2"/>
      <c r="E750" s="2"/>
      <c r="F750" s="2"/>
      <c r="G750" s="2"/>
      <c r="H750" s="74"/>
      <c r="I750" s="74"/>
      <c r="J750" s="74"/>
      <c r="K750" s="74"/>
      <c r="L750" s="74"/>
      <c r="M750" s="2"/>
      <c r="N750" s="2"/>
      <c r="O750" s="2"/>
      <c r="P750" s="2"/>
      <c r="Q750" s="74"/>
      <c r="R750" s="2"/>
      <c r="S750" s="2"/>
      <c r="T750" s="76"/>
      <c r="U750" s="88"/>
    </row>
    <row r="751" ht="15.75" customHeight="1">
      <c r="A751" s="2"/>
      <c r="B751" s="2"/>
      <c r="C751" s="2"/>
      <c r="D751" s="2"/>
      <c r="E751" s="2"/>
      <c r="F751" s="2"/>
      <c r="G751" s="2"/>
      <c r="H751" s="74"/>
      <c r="I751" s="74"/>
      <c r="J751" s="74"/>
      <c r="K751" s="74"/>
      <c r="L751" s="74"/>
      <c r="M751" s="2"/>
      <c r="N751" s="2"/>
      <c r="O751" s="2"/>
      <c r="P751" s="2"/>
      <c r="Q751" s="74"/>
      <c r="R751" s="2"/>
      <c r="S751" s="2"/>
      <c r="T751" s="76"/>
      <c r="U751" s="88"/>
    </row>
    <row r="752" ht="15.75" customHeight="1">
      <c r="A752" s="2"/>
      <c r="B752" s="2"/>
      <c r="C752" s="2"/>
      <c r="D752" s="2"/>
      <c r="E752" s="2"/>
      <c r="F752" s="2"/>
      <c r="G752" s="2"/>
      <c r="H752" s="74"/>
      <c r="I752" s="74"/>
      <c r="J752" s="74"/>
      <c r="K752" s="74"/>
      <c r="L752" s="74"/>
      <c r="M752" s="2"/>
      <c r="N752" s="2"/>
      <c r="O752" s="2"/>
      <c r="P752" s="2"/>
      <c r="Q752" s="74"/>
      <c r="R752" s="2"/>
      <c r="S752" s="2"/>
      <c r="T752" s="76"/>
      <c r="U752" s="88"/>
    </row>
    <row r="753" ht="15.75" customHeight="1">
      <c r="A753" s="2"/>
      <c r="B753" s="2"/>
      <c r="C753" s="2"/>
      <c r="D753" s="2"/>
      <c r="E753" s="2"/>
      <c r="F753" s="2"/>
      <c r="G753" s="2"/>
      <c r="H753" s="74"/>
      <c r="I753" s="74"/>
      <c r="J753" s="74"/>
      <c r="K753" s="74"/>
      <c r="L753" s="74"/>
      <c r="M753" s="2"/>
      <c r="N753" s="2"/>
      <c r="O753" s="2"/>
      <c r="P753" s="2"/>
      <c r="Q753" s="74"/>
      <c r="R753" s="2"/>
      <c r="S753" s="2"/>
      <c r="T753" s="76"/>
      <c r="U753" s="88"/>
    </row>
    <row r="754" ht="15.75" customHeight="1">
      <c r="A754" s="2"/>
      <c r="B754" s="2"/>
      <c r="C754" s="2"/>
      <c r="D754" s="2"/>
      <c r="E754" s="2"/>
      <c r="F754" s="2"/>
      <c r="G754" s="2"/>
      <c r="H754" s="74"/>
      <c r="I754" s="74"/>
      <c r="J754" s="74"/>
      <c r="K754" s="74"/>
      <c r="L754" s="74"/>
      <c r="M754" s="2"/>
      <c r="N754" s="2"/>
      <c r="O754" s="2"/>
      <c r="P754" s="2"/>
      <c r="Q754" s="74"/>
      <c r="R754" s="2"/>
      <c r="S754" s="2"/>
      <c r="T754" s="76"/>
      <c r="U754" s="88"/>
    </row>
    <row r="755" ht="15.75" customHeight="1">
      <c r="A755" s="2"/>
      <c r="B755" s="2"/>
      <c r="C755" s="2"/>
      <c r="D755" s="2"/>
      <c r="E755" s="2"/>
      <c r="F755" s="2"/>
      <c r="G755" s="2"/>
      <c r="H755" s="74"/>
      <c r="I755" s="74"/>
      <c r="J755" s="74"/>
      <c r="K755" s="74"/>
      <c r="L755" s="74"/>
      <c r="M755" s="2"/>
      <c r="N755" s="2"/>
      <c r="O755" s="2"/>
      <c r="P755" s="2"/>
      <c r="Q755" s="74"/>
      <c r="R755" s="2"/>
      <c r="S755" s="2"/>
      <c r="T755" s="76"/>
      <c r="U755" s="88"/>
    </row>
    <row r="756" ht="15.75" customHeight="1">
      <c r="A756" s="2"/>
      <c r="B756" s="2"/>
      <c r="C756" s="2"/>
      <c r="D756" s="2"/>
      <c r="E756" s="2"/>
      <c r="F756" s="2"/>
      <c r="G756" s="2"/>
      <c r="H756" s="74"/>
      <c r="I756" s="74"/>
      <c r="J756" s="74"/>
      <c r="K756" s="74"/>
      <c r="L756" s="74"/>
      <c r="M756" s="2"/>
      <c r="N756" s="2"/>
      <c r="O756" s="2"/>
      <c r="P756" s="2"/>
      <c r="Q756" s="74"/>
      <c r="R756" s="2"/>
      <c r="S756" s="2"/>
      <c r="T756" s="76"/>
      <c r="U756" s="88"/>
    </row>
    <row r="757" ht="15.75" customHeight="1">
      <c r="A757" s="2"/>
      <c r="B757" s="2"/>
      <c r="C757" s="2"/>
      <c r="D757" s="2"/>
      <c r="E757" s="2"/>
      <c r="F757" s="2"/>
      <c r="G757" s="2"/>
      <c r="H757" s="74"/>
      <c r="I757" s="74"/>
      <c r="J757" s="74"/>
      <c r="K757" s="74"/>
      <c r="L757" s="74"/>
      <c r="M757" s="2"/>
      <c r="N757" s="2"/>
      <c r="O757" s="2"/>
      <c r="P757" s="2"/>
      <c r="Q757" s="74"/>
      <c r="R757" s="2"/>
      <c r="S757" s="2"/>
      <c r="T757" s="76"/>
      <c r="U757" s="88"/>
    </row>
    <row r="758" ht="15.75" customHeight="1">
      <c r="A758" s="2"/>
      <c r="B758" s="2"/>
      <c r="C758" s="2"/>
      <c r="D758" s="2"/>
      <c r="E758" s="2"/>
      <c r="F758" s="2"/>
      <c r="G758" s="2"/>
      <c r="H758" s="74"/>
      <c r="I758" s="74"/>
      <c r="J758" s="74"/>
      <c r="K758" s="74"/>
      <c r="L758" s="74"/>
      <c r="M758" s="2"/>
      <c r="N758" s="2"/>
      <c r="O758" s="2"/>
      <c r="P758" s="2"/>
      <c r="Q758" s="74"/>
      <c r="R758" s="2"/>
      <c r="S758" s="2"/>
      <c r="T758" s="76"/>
      <c r="U758" s="88"/>
    </row>
    <row r="759" ht="15.75" customHeight="1">
      <c r="A759" s="2"/>
      <c r="B759" s="2"/>
      <c r="C759" s="2"/>
      <c r="D759" s="2"/>
      <c r="E759" s="2"/>
      <c r="F759" s="2"/>
      <c r="G759" s="2"/>
      <c r="H759" s="74"/>
      <c r="I759" s="74"/>
      <c r="J759" s="74"/>
      <c r="K759" s="74"/>
      <c r="L759" s="74"/>
      <c r="M759" s="2"/>
      <c r="N759" s="2"/>
      <c r="O759" s="2"/>
      <c r="P759" s="2"/>
      <c r="Q759" s="74"/>
      <c r="R759" s="2"/>
      <c r="S759" s="2"/>
      <c r="T759" s="76"/>
      <c r="U759" s="88"/>
    </row>
    <row r="760" ht="15.75" customHeight="1">
      <c r="A760" s="2"/>
      <c r="B760" s="2"/>
      <c r="C760" s="2"/>
      <c r="D760" s="2"/>
      <c r="E760" s="2"/>
      <c r="F760" s="2"/>
      <c r="G760" s="2"/>
      <c r="H760" s="74"/>
      <c r="I760" s="74"/>
      <c r="J760" s="74"/>
      <c r="K760" s="74"/>
      <c r="L760" s="74"/>
      <c r="M760" s="2"/>
      <c r="N760" s="2"/>
      <c r="O760" s="2"/>
      <c r="P760" s="2"/>
      <c r="Q760" s="74"/>
      <c r="R760" s="2"/>
      <c r="S760" s="2"/>
      <c r="T760" s="76"/>
      <c r="U760" s="88"/>
    </row>
    <row r="761" ht="15.75" customHeight="1">
      <c r="A761" s="2"/>
      <c r="B761" s="2"/>
      <c r="C761" s="2"/>
      <c r="D761" s="2"/>
      <c r="E761" s="2"/>
      <c r="F761" s="2"/>
      <c r="G761" s="2"/>
      <c r="H761" s="74"/>
      <c r="I761" s="74"/>
      <c r="J761" s="74"/>
      <c r="K761" s="74"/>
      <c r="L761" s="74"/>
      <c r="M761" s="2"/>
      <c r="N761" s="2"/>
      <c r="O761" s="2"/>
      <c r="P761" s="2"/>
      <c r="Q761" s="74"/>
      <c r="R761" s="2"/>
      <c r="S761" s="2"/>
      <c r="T761" s="76"/>
      <c r="U761" s="88"/>
    </row>
    <row r="762" ht="15.75" customHeight="1">
      <c r="A762" s="2"/>
      <c r="B762" s="2"/>
      <c r="C762" s="2"/>
      <c r="D762" s="2"/>
      <c r="E762" s="2"/>
      <c r="F762" s="2"/>
      <c r="G762" s="2"/>
      <c r="H762" s="74"/>
      <c r="I762" s="74"/>
      <c r="J762" s="74"/>
      <c r="K762" s="74"/>
      <c r="L762" s="74"/>
      <c r="M762" s="2"/>
      <c r="N762" s="2"/>
      <c r="O762" s="2"/>
      <c r="P762" s="2"/>
      <c r="Q762" s="74"/>
      <c r="R762" s="2"/>
      <c r="S762" s="2"/>
      <c r="T762" s="76"/>
      <c r="U762" s="88"/>
    </row>
    <row r="763" ht="15.75" customHeight="1">
      <c r="A763" s="2"/>
      <c r="B763" s="2"/>
      <c r="C763" s="2"/>
      <c r="D763" s="2"/>
      <c r="E763" s="2"/>
      <c r="F763" s="2"/>
      <c r="G763" s="2"/>
      <c r="H763" s="74"/>
      <c r="I763" s="74"/>
      <c r="J763" s="74"/>
      <c r="K763" s="74"/>
      <c r="L763" s="74"/>
      <c r="M763" s="2"/>
      <c r="N763" s="2"/>
      <c r="O763" s="2"/>
      <c r="P763" s="2"/>
      <c r="Q763" s="74"/>
      <c r="R763" s="2"/>
      <c r="S763" s="2"/>
      <c r="T763" s="76"/>
      <c r="U763" s="88"/>
    </row>
    <row r="764" ht="15.75" customHeight="1">
      <c r="A764" s="2"/>
      <c r="B764" s="2"/>
      <c r="C764" s="2"/>
      <c r="D764" s="2"/>
      <c r="E764" s="2"/>
      <c r="F764" s="2"/>
      <c r="G764" s="2"/>
      <c r="H764" s="74"/>
      <c r="I764" s="74"/>
      <c r="J764" s="74"/>
      <c r="K764" s="74"/>
      <c r="L764" s="74"/>
      <c r="M764" s="2"/>
      <c r="N764" s="2"/>
      <c r="O764" s="2"/>
      <c r="P764" s="2"/>
      <c r="Q764" s="74"/>
      <c r="R764" s="2"/>
      <c r="S764" s="2"/>
      <c r="T764" s="76"/>
      <c r="U764" s="88"/>
    </row>
    <row r="765" ht="15.75" customHeight="1">
      <c r="A765" s="2"/>
      <c r="B765" s="2"/>
      <c r="C765" s="2"/>
      <c r="D765" s="2"/>
      <c r="E765" s="2"/>
      <c r="F765" s="2"/>
      <c r="G765" s="2"/>
      <c r="H765" s="74"/>
      <c r="I765" s="74"/>
      <c r="J765" s="74"/>
      <c r="K765" s="74"/>
      <c r="L765" s="74"/>
      <c r="M765" s="2"/>
      <c r="N765" s="2"/>
      <c r="O765" s="2"/>
      <c r="P765" s="2"/>
      <c r="Q765" s="74"/>
      <c r="R765" s="2"/>
      <c r="S765" s="2"/>
      <c r="T765" s="76"/>
      <c r="U765" s="88"/>
    </row>
    <row r="766" ht="15.75" customHeight="1">
      <c r="A766" s="2"/>
      <c r="B766" s="2"/>
      <c r="C766" s="2"/>
      <c r="D766" s="2"/>
      <c r="E766" s="2"/>
      <c r="F766" s="2"/>
      <c r="G766" s="2"/>
      <c r="H766" s="74"/>
      <c r="I766" s="74"/>
      <c r="J766" s="74"/>
      <c r="K766" s="74"/>
      <c r="L766" s="74"/>
      <c r="M766" s="2"/>
      <c r="N766" s="2"/>
      <c r="O766" s="2"/>
      <c r="P766" s="2"/>
      <c r="Q766" s="74"/>
      <c r="R766" s="2"/>
      <c r="S766" s="2"/>
      <c r="T766" s="76"/>
      <c r="U766" s="88"/>
    </row>
    <row r="767" ht="15.75" customHeight="1">
      <c r="A767" s="2"/>
      <c r="B767" s="2"/>
      <c r="C767" s="2"/>
      <c r="D767" s="2"/>
      <c r="E767" s="2"/>
      <c r="F767" s="2"/>
      <c r="G767" s="2"/>
      <c r="H767" s="74"/>
      <c r="I767" s="74"/>
      <c r="J767" s="74"/>
      <c r="K767" s="74"/>
      <c r="L767" s="74"/>
      <c r="M767" s="2"/>
      <c r="N767" s="2"/>
      <c r="O767" s="2"/>
      <c r="P767" s="2"/>
      <c r="Q767" s="74"/>
      <c r="R767" s="2"/>
      <c r="S767" s="2"/>
      <c r="T767" s="76"/>
      <c r="U767" s="88"/>
    </row>
    <row r="768" ht="15.75" customHeight="1">
      <c r="A768" s="2"/>
      <c r="B768" s="2"/>
      <c r="C768" s="2"/>
      <c r="D768" s="2"/>
      <c r="E768" s="2"/>
      <c r="F768" s="2"/>
      <c r="G768" s="2"/>
      <c r="H768" s="74"/>
      <c r="I768" s="74"/>
      <c r="J768" s="74"/>
      <c r="K768" s="74"/>
      <c r="L768" s="74"/>
      <c r="M768" s="2"/>
      <c r="N768" s="2"/>
      <c r="O768" s="2"/>
      <c r="P768" s="2"/>
      <c r="Q768" s="74"/>
      <c r="R768" s="2"/>
      <c r="S768" s="2"/>
      <c r="T768" s="76"/>
      <c r="U768" s="88"/>
    </row>
    <row r="769" ht="15.75" customHeight="1">
      <c r="A769" s="2"/>
      <c r="B769" s="2"/>
      <c r="C769" s="2"/>
      <c r="D769" s="2"/>
      <c r="E769" s="2"/>
      <c r="F769" s="2"/>
      <c r="G769" s="2"/>
      <c r="H769" s="74"/>
      <c r="I769" s="74"/>
      <c r="J769" s="74"/>
      <c r="K769" s="74"/>
      <c r="L769" s="74"/>
      <c r="M769" s="2"/>
      <c r="N769" s="2"/>
      <c r="O769" s="2"/>
      <c r="P769" s="2"/>
      <c r="Q769" s="74"/>
      <c r="R769" s="2"/>
      <c r="S769" s="2"/>
      <c r="T769" s="76"/>
      <c r="U769" s="88"/>
    </row>
    <row r="770" ht="15.75" customHeight="1">
      <c r="A770" s="2"/>
      <c r="B770" s="2"/>
      <c r="C770" s="2"/>
      <c r="D770" s="2"/>
      <c r="E770" s="2"/>
      <c r="F770" s="2"/>
      <c r="G770" s="2"/>
      <c r="H770" s="74"/>
      <c r="I770" s="74"/>
      <c r="J770" s="74"/>
      <c r="K770" s="74"/>
      <c r="L770" s="74"/>
      <c r="M770" s="2"/>
      <c r="N770" s="2"/>
      <c r="O770" s="2"/>
      <c r="P770" s="2"/>
      <c r="Q770" s="74"/>
      <c r="R770" s="2"/>
      <c r="S770" s="2"/>
      <c r="T770" s="76"/>
      <c r="U770" s="88"/>
    </row>
    <row r="771" ht="15.75" customHeight="1">
      <c r="A771" s="2"/>
      <c r="B771" s="2"/>
      <c r="C771" s="2"/>
      <c r="D771" s="2"/>
      <c r="E771" s="2"/>
      <c r="F771" s="2"/>
      <c r="G771" s="2"/>
      <c r="H771" s="74"/>
      <c r="I771" s="74"/>
      <c r="J771" s="74"/>
      <c r="K771" s="74"/>
      <c r="L771" s="74"/>
      <c r="M771" s="2"/>
      <c r="N771" s="2"/>
      <c r="O771" s="2"/>
      <c r="P771" s="2"/>
      <c r="Q771" s="74"/>
      <c r="R771" s="2"/>
      <c r="S771" s="2"/>
      <c r="T771" s="76"/>
      <c r="U771" s="88"/>
    </row>
    <row r="772" ht="15.75" customHeight="1">
      <c r="A772" s="2"/>
      <c r="B772" s="2"/>
      <c r="C772" s="2"/>
      <c r="D772" s="2"/>
      <c r="E772" s="2"/>
      <c r="F772" s="2"/>
      <c r="G772" s="2"/>
      <c r="H772" s="74"/>
      <c r="I772" s="74"/>
      <c r="J772" s="74"/>
      <c r="K772" s="74"/>
      <c r="L772" s="74"/>
      <c r="M772" s="2"/>
      <c r="N772" s="2"/>
      <c r="O772" s="2"/>
      <c r="P772" s="2"/>
      <c r="Q772" s="74"/>
      <c r="R772" s="2"/>
      <c r="S772" s="2"/>
      <c r="T772" s="76"/>
      <c r="U772" s="88"/>
    </row>
    <row r="773" ht="15.75" customHeight="1">
      <c r="A773" s="2"/>
      <c r="B773" s="2"/>
      <c r="C773" s="2"/>
      <c r="D773" s="2"/>
      <c r="E773" s="2"/>
      <c r="F773" s="2"/>
      <c r="G773" s="2"/>
      <c r="H773" s="74"/>
      <c r="I773" s="74"/>
      <c r="J773" s="74"/>
      <c r="K773" s="74"/>
      <c r="L773" s="74"/>
      <c r="M773" s="2"/>
      <c r="N773" s="2"/>
      <c r="O773" s="2"/>
      <c r="P773" s="2"/>
      <c r="Q773" s="74"/>
      <c r="R773" s="2"/>
      <c r="S773" s="2"/>
      <c r="T773" s="76"/>
      <c r="U773" s="88"/>
    </row>
    <row r="774" ht="15.75" customHeight="1">
      <c r="A774" s="2"/>
      <c r="B774" s="2"/>
      <c r="C774" s="2"/>
      <c r="D774" s="2"/>
      <c r="E774" s="2"/>
      <c r="F774" s="2"/>
      <c r="G774" s="2"/>
      <c r="H774" s="74"/>
      <c r="I774" s="74"/>
      <c r="J774" s="74"/>
      <c r="K774" s="74"/>
      <c r="L774" s="74"/>
      <c r="M774" s="2"/>
      <c r="N774" s="2"/>
      <c r="O774" s="2"/>
      <c r="P774" s="2"/>
      <c r="Q774" s="74"/>
      <c r="R774" s="2"/>
      <c r="S774" s="2"/>
      <c r="T774" s="76"/>
      <c r="U774" s="88"/>
    </row>
    <row r="775" ht="15.75" customHeight="1">
      <c r="A775" s="2"/>
      <c r="B775" s="2"/>
      <c r="C775" s="2"/>
      <c r="D775" s="2"/>
      <c r="E775" s="2"/>
      <c r="F775" s="2"/>
      <c r="G775" s="2"/>
      <c r="H775" s="74"/>
      <c r="I775" s="74"/>
      <c r="J775" s="74"/>
      <c r="K775" s="74"/>
      <c r="L775" s="74"/>
      <c r="M775" s="2"/>
      <c r="N775" s="2"/>
      <c r="O775" s="2"/>
      <c r="P775" s="2"/>
      <c r="Q775" s="74"/>
      <c r="R775" s="2"/>
      <c r="S775" s="2"/>
      <c r="T775" s="76"/>
      <c r="U775" s="88"/>
    </row>
    <row r="776" ht="15.75" customHeight="1">
      <c r="A776" s="2"/>
      <c r="B776" s="2"/>
      <c r="C776" s="2"/>
      <c r="D776" s="2"/>
      <c r="E776" s="2"/>
      <c r="F776" s="2"/>
      <c r="G776" s="2"/>
      <c r="H776" s="74"/>
      <c r="I776" s="74"/>
      <c r="J776" s="74"/>
      <c r="K776" s="74"/>
      <c r="L776" s="74"/>
      <c r="M776" s="2"/>
      <c r="N776" s="2"/>
      <c r="O776" s="2"/>
      <c r="P776" s="2"/>
      <c r="Q776" s="74"/>
      <c r="R776" s="2"/>
      <c r="S776" s="2"/>
      <c r="T776" s="76"/>
      <c r="U776" s="88"/>
    </row>
    <row r="777" ht="15.75" customHeight="1">
      <c r="A777" s="2"/>
      <c r="B777" s="2"/>
      <c r="C777" s="2"/>
      <c r="D777" s="2"/>
      <c r="E777" s="2"/>
      <c r="F777" s="2"/>
      <c r="G777" s="2"/>
      <c r="H777" s="74"/>
      <c r="I777" s="74"/>
      <c r="J777" s="74"/>
      <c r="K777" s="74"/>
      <c r="L777" s="74"/>
      <c r="M777" s="2"/>
      <c r="N777" s="2"/>
      <c r="O777" s="2"/>
      <c r="P777" s="2"/>
      <c r="Q777" s="74"/>
      <c r="R777" s="2"/>
      <c r="S777" s="2"/>
      <c r="T777" s="76"/>
      <c r="U777" s="88"/>
    </row>
    <row r="778" ht="15.75" customHeight="1">
      <c r="A778" s="2"/>
      <c r="B778" s="2"/>
      <c r="C778" s="2"/>
      <c r="D778" s="2"/>
      <c r="E778" s="2"/>
      <c r="F778" s="2"/>
      <c r="G778" s="2"/>
      <c r="H778" s="74"/>
      <c r="I778" s="74"/>
      <c r="J778" s="74"/>
      <c r="K778" s="74"/>
      <c r="L778" s="74"/>
      <c r="M778" s="2"/>
      <c r="N778" s="2"/>
      <c r="O778" s="2"/>
      <c r="P778" s="2"/>
      <c r="Q778" s="74"/>
      <c r="R778" s="2"/>
      <c r="S778" s="2"/>
      <c r="T778" s="76"/>
      <c r="U778" s="88"/>
    </row>
    <row r="779" ht="15.75" customHeight="1">
      <c r="A779" s="2"/>
      <c r="B779" s="2"/>
      <c r="C779" s="2"/>
      <c r="D779" s="2"/>
      <c r="E779" s="2"/>
      <c r="F779" s="2"/>
      <c r="G779" s="2"/>
      <c r="H779" s="74"/>
      <c r="I779" s="74"/>
      <c r="J779" s="74"/>
      <c r="K779" s="74"/>
      <c r="L779" s="74"/>
      <c r="M779" s="2"/>
      <c r="N779" s="2"/>
      <c r="O779" s="2"/>
      <c r="P779" s="2"/>
      <c r="Q779" s="74"/>
      <c r="R779" s="2"/>
      <c r="S779" s="2"/>
      <c r="T779" s="76"/>
      <c r="U779" s="88"/>
    </row>
    <row r="780" ht="15.75" customHeight="1">
      <c r="A780" s="2"/>
      <c r="B780" s="2"/>
      <c r="C780" s="2"/>
      <c r="D780" s="2"/>
      <c r="E780" s="2"/>
      <c r="F780" s="2"/>
      <c r="G780" s="2"/>
      <c r="H780" s="74"/>
      <c r="I780" s="74"/>
      <c r="J780" s="74"/>
      <c r="K780" s="74"/>
      <c r="L780" s="74"/>
      <c r="M780" s="2"/>
      <c r="N780" s="2"/>
      <c r="O780" s="2"/>
      <c r="P780" s="2"/>
      <c r="Q780" s="74"/>
      <c r="R780" s="2"/>
      <c r="S780" s="2"/>
      <c r="T780" s="76"/>
      <c r="U780" s="88"/>
    </row>
    <row r="781" ht="15.75" customHeight="1">
      <c r="A781" s="2"/>
      <c r="B781" s="2"/>
      <c r="C781" s="2"/>
      <c r="D781" s="2"/>
      <c r="E781" s="2"/>
      <c r="F781" s="2"/>
      <c r="G781" s="2"/>
      <c r="H781" s="74"/>
      <c r="I781" s="74"/>
      <c r="J781" s="74"/>
      <c r="K781" s="74"/>
      <c r="L781" s="74"/>
      <c r="M781" s="2"/>
      <c r="N781" s="2"/>
      <c r="O781" s="2"/>
      <c r="P781" s="2"/>
      <c r="Q781" s="74"/>
      <c r="R781" s="2"/>
      <c r="S781" s="2"/>
      <c r="T781" s="76"/>
      <c r="U781" s="88"/>
    </row>
    <row r="782" ht="15.75" customHeight="1">
      <c r="A782" s="2"/>
      <c r="B782" s="2"/>
      <c r="C782" s="2"/>
      <c r="D782" s="2"/>
      <c r="E782" s="2"/>
      <c r="F782" s="2"/>
      <c r="G782" s="2"/>
      <c r="H782" s="74"/>
      <c r="I782" s="74"/>
      <c r="J782" s="74"/>
      <c r="K782" s="74"/>
      <c r="L782" s="74"/>
      <c r="M782" s="2"/>
      <c r="N782" s="2"/>
      <c r="O782" s="2"/>
      <c r="P782" s="2"/>
      <c r="Q782" s="74"/>
      <c r="R782" s="2"/>
      <c r="S782" s="2"/>
      <c r="T782" s="76"/>
      <c r="U782" s="88"/>
    </row>
    <row r="783" ht="15.75" customHeight="1">
      <c r="A783" s="2"/>
      <c r="B783" s="2"/>
      <c r="C783" s="2"/>
      <c r="D783" s="2"/>
      <c r="E783" s="2"/>
      <c r="F783" s="2"/>
      <c r="G783" s="2"/>
      <c r="H783" s="74"/>
      <c r="I783" s="74"/>
      <c r="J783" s="74"/>
      <c r="K783" s="74"/>
      <c r="L783" s="74"/>
      <c r="M783" s="2"/>
      <c r="N783" s="2"/>
      <c r="O783" s="2"/>
      <c r="P783" s="2"/>
      <c r="Q783" s="74"/>
      <c r="R783" s="2"/>
      <c r="S783" s="2"/>
      <c r="T783" s="76"/>
      <c r="U783" s="88"/>
    </row>
    <row r="784" ht="15.75" customHeight="1">
      <c r="A784" s="2"/>
      <c r="B784" s="2"/>
      <c r="C784" s="2"/>
      <c r="D784" s="2"/>
      <c r="E784" s="2"/>
      <c r="F784" s="2"/>
      <c r="G784" s="2"/>
      <c r="H784" s="74"/>
      <c r="I784" s="74"/>
      <c r="J784" s="74"/>
      <c r="K784" s="74"/>
      <c r="L784" s="74"/>
      <c r="M784" s="2"/>
      <c r="N784" s="2"/>
      <c r="O784" s="2"/>
      <c r="P784" s="2"/>
      <c r="Q784" s="74"/>
      <c r="R784" s="2"/>
      <c r="S784" s="2"/>
      <c r="T784" s="76"/>
      <c r="U784" s="88"/>
    </row>
    <row r="785" ht="15.75" customHeight="1">
      <c r="A785" s="2"/>
      <c r="B785" s="2"/>
      <c r="C785" s="2"/>
      <c r="D785" s="2"/>
      <c r="E785" s="2"/>
      <c r="F785" s="2"/>
      <c r="G785" s="2"/>
      <c r="H785" s="74"/>
      <c r="I785" s="74"/>
      <c r="J785" s="74"/>
      <c r="K785" s="74"/>
      <c r="L785" s="74"/>
      <c r="M785" s="2"/>
      <c r="N785" s="2"/>
      <c r="O785" s="2"/>
      <c r="P785" s="2"/>
      <c r="Q785" s="74"/>
      <c r="R785" s="2"/>
      <c r="S785" s="2"/>
      <c r="T785" s="76"/>
      <c r="U785" s="88"/>
    </row>
    <row r="786" ht="15.75" customHeight="1">
      <c r="A786" s="2"/>
      <c r="B786" s="2"/>
      <c r="C786" s="2"/>
      <c r="D786" s="2"/>
      <c r="E786" s="2"/>
      <c r="F786" s="2"/>
      <c r="G786" s="2"/>
      <c r="H786" s="74"/>
      <c r="I786" s="74"/>
      <c r="J786" s="74"/>
      <c r="K786" s="74"/>
      <c r="L786" s="74"/>
      <c r="M786" s="2"/>
      <c r="N786" s="2"/>
      <c r="O786" s="2"/>
      <c r="P786" s="2"/>
      <c r="Q786" s="74"/>
      <c r="R786" s="2"/>
      <c r="S786" s="2"/>
      <c r="T786" s="76"/>
      <c r="U786" s="88"/>
    </row>
    <row r="787" ht="15.75" customHeight="1">
      <c r="A787" s="2"/>
      <c r="B787" s="2"/>
      <c r="C787" s="2"/>
      <c r="D787" s="2"/>
      <c r="E787" s="2"/>
      <c r="F787" s="2"/>
      <c r="G787" s="2"/>
      <c r="H787" s="74"/>
      <c r="I787" s="74"/>
      <c r="J787" s="74"/>
      <c r="K787" s="74"/>
      <c r="L787" s="74"/>
      <c r="M787" s="2"/>
      <c r="N787" s="2"/>
      <c r="O787" s="2"/>
      <c r="P787" s="2"/>
      <c r="Q787" s="74"/>
      <c r="R787" s="2"/>
      <c r="S787" s="2"/>
      <c r="T787" s="76"/>
      <c r="U787" s="88"/>
    </row>
    <row r="788" ht="15.75" customHeight="1">
      <c r="A788" s="2"/>
      <c r="B788" s="2"/>
      <c r="C788" s="2"/>
      <c r="D788" s="2"/>
      <c r="E788" s="2"/>
      <c r="F788" s="2"/>
      <c r="G788" s="2"/>
      <c r="H788" s="74"/>
      <c r="I788" s="74"/>
      <c r="J788" s="74"/>
      <c r="K788" s="74"/>
      <c r="L788" s="74"/>
      <c r="M788" s="2"/>
      <c r="N788" s="2"/>
      <c r="O788" s="2"/>
      <c r="P788" s="2"/>
      <c r="Q788" s="74"/>
      <c r="R788" s="2"/>
      <c r="S788" s="2"/>
      <c r="T788" s="76"/>
      <c r="U788" s="88"/>
    </row>
    <row r="789" ht="15.75" customHeight="1">
      <c r="A789" s="2"/>
      <c r="B789" s="2"/>
      <c r="C789" s="2"/>
      <c r="D789" s="2"/>
      <c r="E789" s="2"/>
      <c r="F789" s="2"/>
      <c r="G789" s="2"/>
      <c r="H789" s="74"/>
      <c r="I789" s="74"/>
      <c r="J789" s="74"/>
      <c r="K789" s="74"/>
      <c r="L789" s="74"/>
      <c r="M789" s="2"/>
      <c r="N789" s="2"/>
      <c r="O789" s="2"/>
      <c r="P789" s="2"/>
      <c r="Q789" s="74"/>
      <c r="R789" s="2"/>
      <c r="S789" s="2"/>
      <c r="T789" s="76"/>
      <c r="U789" s="88"/>
    </row>
    <row r="790" ht="15.75" customHeight="1">
      <c r="A790" s="2"/>
      <c r="B790" s="2"/>
      <c r="C790" s="2"/>
      <c r="D790" s="2"/>
      <c r="E790" s="2"/>
      <c r="F790" s="2"/>
      <c r="G790" s="2"/>
      <c r="H790" s="74"/>
      <c r="I790" s="74"/>
      <c r="J790" s="74"/>
      <c r="K790" s="74"/>
      <c r="L790" s="74"/>
      <c r="M790" s="2"/>
      <c r="N790" s="2"/>
      <c r="O790" s="2"/>
      <c r="P790" s="2"/>
      <c r="Q790" s="74"/>
      <c r="R790" s="2"/>
      <c r="S790" s="2"/>
      <c r="T790" s="76"/>
      <c r="U790" s="88"/>
    </row>
    <row r="791" ht="15.75" customHeight="1">
      <c r="A791" s="2"/>
      <c r="B791" s="2"/>
      <c r="C791" s="2"/>
      <c r="D791" s="2"/>
      <c r="E791" s="2"/>
      <c r="F791" s="2"/>
      <c r="G791" s="2"/>
      <c r="H791" s="74"/>
      <c r="I791" s="74"/>
      <c r="J791" s="74"/>
      <c r="K791" s="74"/>
      <c r="L791" s="74"/>
      <c r="M791" s="2"/>
      <c r="N791" s="2"/>
      <c r="O791" s="2"/>
      <c r="P791" s="2"/>
      <c r="Q791" s="74"/>
      <c r="R791" s="2"/>
      <c r="S791" s="2"/>
      <c r="T791" s="76"/>
      <c r="U791" s="88"/>
    </row>
    <row r="792" ht="15.75" customHeight="1">
      <c r="A792" s="2"/>
      <c r="B792" s="2"/>
      <c r="C792" s="2"/>
      <c r="D792" s="2"/>
      <c r="E792" s="2"/>
      <c r="F792" s="2"/>
      <c r="G792" s="2"/>
      <c r="H792" s="74"/>
      <c r="I792" s="74"/>
      <c r="J792" s="74"/>
      <c r="K792" s="74"/>
      <c r="L792" s="74"/>
      <c r="M792" s="2"/>
      <c r="N792" s="2"/>
      <c r="O792" s="2"/>
      <c r="P792" s="2"/>
      <c r="Q792" s="74"/>
      <c r="R792" s="2"/>
      <c r="S792" s="2"/>
      <c r="T792" s="76"/>
      <c r="U792" s="88"/>
    </row>
    <row r="793" ht="15.75" customHeight="1">
      <c r="A793" s="2"/>
      <c r="B793" s="2"/>
      <c r="C793" s="2"/>
      <c r="D793" s="2"/>
      <c r="E793" s="2"/>
      <c r="F793" s="2"/>
      <c r="G793" s="2"/>
      <c r="H793" s="74"/>
      <c r="I793" s="74"/>
      <c r="J793" s="74"/>
      <c r="K793" s="74"/>
      <c r="L793" s="74"/>
      <c r="M793" s="2"/>
      <c r="N793" s="2"/>
      <c r="O793" s="2"/>
      <c r="P793" s="2"/>
      <c r="Q793" s="74"/>
      <c r="R793" s="2"/>
      <c r="S793" s="2"/>
      <c r="T793" s="76"/>
      <c r="U793" s="88"/>
    </row>
    <row r="794" ht="15.75" customHeight="1">
      <c r="A794" s="2"/>
      <c r="B794" s="2"/>
      <c r="C794" s="2"/>
      <c r="D794" s="2"/>
      <c r="E794" s="2"/>
      <c r="F794" s="2"/>
      <c r="G794" s="2"/>
      <c r="H794" s="74"/>
      <c r="I794" s="74"/>
      <c r="J794" s="74"/>
      <c r="K794" s="74"/>
      <c r="L794" s="74"/>
      <c r="M794" s="2"/>
      <c r="N794" s="2"/>
      <c r="O794" s="2"/>
      <c r="P794" s="2"/>
      <c r="Q794" s="74"/>
      <c r="R794" s="2"/>
      <c r="S794" s="2"/>
      <c r="T794" s="76"/>
      <c r="U794" s="88"/>
    </row>
    <row r="795" ht="15.75" customHeight="1">
      <c r="A795" s="2"/>
      <c r="B795" s="2"/>
      <c r="C795" s="2"/>
      <c r="D795" s="2"/>
      <c r="E795" s="2"/>
      <c r="F795" s="2"/>
      <c r="G795" s="2"/>
      <c r="H795" s="74"/>
      <c r="I795" s="74"/>
      <c r="J795" s="74"/>
      <c r="K795" s="74"/>
      <c r="L795" s="74"/>
      <c r="M795" s="2"/>
      <c r="N795" s="2"/>
      <c r="O795" s="2"/>
      <c r="P795" s="2"/>
      <c r="Q795" s="74"/>
      <c r="R795" s="2"/>
      <c r="S795" s="2"/>
      <c r="T795" s="76"/>
      <c r="U795" s="88"/>
    </row>
    <row r="796" ht="15.75" customHeight="1">
      <c r="A796" s="2"/>
      <c r="B796" s="2"/>
      <c r="C796" s="2"/>
      <c r="D796" s="2"/>
      <c r="E796" s="2"/>
      <c r="F796" s="2"/>
      <c r="G796" s="2"/>
      <c r="H796" s="74"/>
      <c r="I796" s="74"/>
      <c r="J796" s="74"/>
      <c r="K796" s="74"/>
      <c r="L796" s="74"/>
      <c r="M796" s="2"/>
      <c r="N796" s="2"/>
      <c r="O796" s="2"/>
      <c r="P796" s="2"/>
      <c r="Q796" s="74"/>
      <c r="R796" s="2"/>
      <c r="S796" s="2"/>
      <c r="T796" s="76"/>
      <c r="U796" s="88"/>
    </row>
    <row r="797" ht="15.75" customHeight="1">
      <c r="A797" s="2"/>
      <c r="B797" s="2"/>
      <c r="C797" s="2"/>
      <c r="D797" s="2"/>
      <c r="E797" s="2"/>
      <c r="F797" s="2"/>
      <c r="G797" s="2"/>
      <c r="H797" s="74"/>
      <c r="I797" s="74"/>
      <c r="J797" s="74"/>
      <c r="K797" s="74"/>
      <c r="L797" s="74"/>
      <c r="M797" s="2"/>
      <c r="N797" s="2"/>
      <c r="O797" s="2"/>
      <c r="P797" s="2"/>
      <c r="Q797" s="74"/>
      <c r="R797" s="2"/>
      <c r="S797" s="2"/>
      <c r="T797" s="76"/>
      <c r="U797" s="88"/>
    </row>
    <row r="798" ht="15.75" customHeight="1">
      <c r="A798" s="2"/>
      <c r="B798" s="2"/>
      <c r="C798" s="2"/>
      <c r="D798" s="2"/>
      <c r="E798" s="2"/>
      <c r="F798" s="2"/>
      <c r="G798" s="2"/>
      <c r="H798" s="74"/>
      <c r="I798" s="74"/>
      <c r="J798" s="74"/>
      <c r="K798" s="74"/>
      <c r="L798" s="74"/>
      <c r="M798" s="2"/>
      <c r="N798" s="2"/>
      <c r="O798" s="2"/>
      <c r="P798" s="2"/>
      <c r="Q798" s="74"/>
      <c r="R798" s="2"/>
      <c r="S798" s="2"/>
      <c r="T798" s="76"/>
      <c r="U798" s="88"/>
    </row>
    <row r="799" ht="15.75" customHeight="1">
      <c r="A799" s="2"/>
      <c r="B799" s="2"/>
      <c r="C799" s="2"/>
      <c r="D799" s="2"/>
      <c r="E799" s="2"/>
      <c r="F799" s="2"/>
      <c r="G799" s="2"/>
      <c r="H799" s="74"/>
      <c r="I799" s="74"/>
      <c r="J799" s="74"/>
      <c r="K799" s="74"/>
      <c r="L799" s="74"/>
      <c r="M799" s="2"/>
      <c r="N799" s="2"/>
      <c r="O799" s="2"/>
      <c r="P799" s="2"/>
      <c r="Q799" s="74"/>
      <c r="R799" s="2"/>
      <c r="S799" s="2"/>
      <c r="T799" s="76"/>
      <c r="U799" s="88"/>
    </row>
    <row r="800" ht="15.75" customHeight="1">
      <c r="A800" s="2"/>
      <c r="B800" s="2"/>
      <c r="C800" s="2"/>
      <c r="D800" s="2"/>
      <c r="E800" s="2"/>
      <c r="F800" s="2"/>
      <c r="G800" s="2"/>
      <c r="H800" s="74"/>
      <c r="I800" s="74"/>
      <c r="J800" s="74"/>
      <c r="K800" s="74"/>
      <c r="L800" s="74"/>
      <c r="M800" s="2"/>
      <c r="N800" s="2"/>
      <c r="O800" s="2"/>
      <c r="P800" s="2"/>
      <c r="Q800" s="74"/>
      <c r="R800" s="2"/>
      <c r="S800" s="2"/>
      <c r="T800" s="76"/>
      <c r="U800" s="88"/>
    </row>
    <row r="801" ht="15.75" customHeight="1">
      <c r="A801" s="2"/>
      <c r="B801" s="2"/>
      <c r="C801" s="2"/>
      <c r="D801" s="2"/>
      <c r="E801" s="2"/>
      <c r="F801" s="2"/>
      <c r="G801" s="2"/>
      <c r="H801" s="74"/>
      <c r="I801" s="74"/>
      <c r="J801" s="74"/>
      <c r="K801" s="74"/>
      <c r="L801" s="74"/>
      <c r="M801" s="2"/>
      <c r="N801" s="2"/>
      <c r="O801" s="2"/>
      <c r="P801" s="2"/>
      <c r="Q801" s="74"/>
      <c r="R801" s="2"/>
      <c r="S801" s="2"/>
      <c r="T801" s="76"/>
      <c r="U801" s="88"/>
    </row>
    <row r="802" ht="15.75" customHeight="1">
      <c r="A802" s="2"/>
      <c r="B802" s="2"/>
      <c r="C802" s="2"/>
      <c r="D802" s="2"/>
      <c r="E802" s="2"/>
      <c r="F802" s="2"/>
      <c r="G802" s="2"/>
      <c r="H802" s="74"/>
      <c r="I802" s="74"/>
      <c r="J802" s="74"/>
      <c r="K802" s="74"/>
      <c r="L802" s="74"/>
      <c r="M802" s="2"/>
      <c r="N802" s="2"/>
      <c r="O802" s="2"/>
      <c r="P802" s="2"/>
      <c r="Q802" s="74"/>
      <c r="R802" s="2"/>
      <c r="S802" s="2"/>
      <c r="T802" s="76"/>
      <c r="U802" s="88"/>
    </row>
    <row r="803" ht="15.75" customHeight="1">
      <c r="A803" s="2"/>
      <c r="B803" s="2"/>
      <c r="C803" s="2"/>
      <c r="D803" s="2"/>
      <c r="E803" s="2"/>
      <c r="F803" s="2"/>
      <c r="G803" s="2"/>
      <c r="H803" s="74"/>
      <c r="I803" s="74"/>
      <c r="J803" s="74"/>
      <c r="K803" s="74"/>
      <c r="L803" s="74"/>
      <c r="M803" s="2"/>
      <c r="N803" s="2"/>
      <c r="O803" s="2"/>
      <c r="P803" s="2"/>
      <c r="Q803" s="74"/>
      <c r="R803" s="2"/>
      <c r="S803" s="2"/>
      <c r="T803" s="76"/>
      <c r="U803" s="88"/>
    </row>
    <row r="804" ht="15.75" customHeight="1">
      <c r="A804" s="2"/>
      <c r="B804" s="2"/>
      <c r="C804" s="2"/>
      <c r="D804" s="2"/>
      <c r="E804" s="2"/>
      <c r="F804" s="2"/>
      <c r="G804" s="2"/>
      <c r="H804" s="74"/>
      <c r="I804" s="74"/>
      <c r="J804" s="74"/>
      <c r="K804" s="74"/>
      <c r="L804" s="74"/>
      <c r="M804" s="2"/>
      <c r="N804" s="2"/>
      <c r="O804" s="2"/>
      <c r="P804" s="2"/>
      <c r="Q804" s="74"/>
      <c r="R804" s="2"/>
      <c r="S804" s="2"/>
      <c r="T804" s="76"/>
      <c r="U804" s="88"/>
    </row>
    <row r="805" ht="15.75" customHeight="1">
      <c r="A805" s="2"/>
      <c r="B805" s="2"/>
      <c r="C805" s="2"/>
      <c r="D805" s="2"/>
      <c r="E805" s="2"/>
      <c r="F805" s="2"/>
      <c r="G805" s="2"/>
      <c r="H805" s="74"/>
      <c r="I805" s="74"/>
      <c r="J805" s="74"/>
      <c r="K805" s="74"/>
      <c r="L805" s="74"/>
      <c r="M805" s="2"/>
      <c r="N805" s="2"/>
      <c r="O805" s="2"/>
      <c r="P805" s="2"/>
      <c r="Q805" s="74"/>
      <c r="R805" s="2"/>
      <c r="S805" s="2"/>
      <c r="T805" s="76"/>
      <c r="U805" s="88"/>
    </row>
    <row r="806" ht="15.75" customHeight="1">
      <c r="A806" s="2"/>
      <c r="B806" s="2"/>
      <c r="C806" s="2"/>
      <c r="D806" s="2"/>
      <c r="E806" s="2"/>
      <c r="F806" s="2"/>
      <c r="G806" s="2"/>
      <c r="H806" s="74"/>
      <c r="I806" s="74"/>
      <c r="J806" s="74"/>
      <c r="K806" s="74"/>
      <c r="L806" s="74"/>
      <c r="M806" s="2"/>
      <c r="N806" s="2"/>
      <c r="O806" s="2"/>
      <c r="P806" s="2"/>
      <c r="Q806" s="74"/>
      <c r="R806" s="2"/>
      <c r="S806" s="2"/>
      <c r="T806" s="76"/>
      <c r="U806" s="88"/>
    </row>
    <row r="807" ht="15.75" customHeight="1">
      <c r="A807" s="2"/>
      <c r="B807" s="2"/>
      <c r="C807" s="2"/>
      <c r="D807" s="2"/>
      <c r="E807" s="2"/>
      <c r="F807" s="2"/>
      <c r="G807" s="2"/>
      <c r="H807" s="74"/>
      <c r="I807" s="74"/>
      <c r="J807" s="74"/>
      <c r="K807" s="74"/>
      <c r="L807" s="74"/>
      <c r="M807" s="2"/>
      <c r="N807" s="2"/>
      <c r="O807" s="2"/>
      <c r="P807" s="2"/>
      <c r="Q807" s="74"/>
      <c r="R807" s="2"/>
      <c r="S807" s="2"/>
      <c r="T807" s="76"/>
      <c r="U807" s="88"/>
    </row>
    <row r="808" ht="15.75" customHeight="1">
      <c r="A808" s="2"/>
      <c r="B808" s="2"/>
      <c r="C808" s="2"/>
      <c r="D808" s="2"/>
      <c r="E808" s="2"/>
      <c r="F808" s="2"/>
      <c r="G808" s="2"/>
      <c r="H808" s="74"/>
      <c r="I808" s="74"/>
      <c r="J808" s="74"/>
      <c r="K808" s="74"/>
      <c r="L808" s="74"/>
      <c r="M808" s="2"/>
      <c r="N808" s="2"/>
      <c r="O808" s="2"/>
      <c r="P808" s="2"/>
      <c r="Q808" s="74"/>
      <c r="R808" s="2"/>
      <c r="S808" s="2"/>
      <c r="T808" s="76"/>
      <c r="U808" s="88"/>
    </row>
    <row r="809" ht="15.75" customHeight="1">
      <c r="A809" s="2"/>
      <c r="B809" s="2"/>
      <c r="C809" s="2"/>
      <c r="D809" s="2"/>
      <c r="E809" s="2"/>
      <c r="F809" s="2"/>
      <c r="G809" s="2"/>
      <c r="H809" s="74"/>
      <c r="I809" s="74"/>
      <c r="J809" s="74"/>
      <c r="K809" s="74"/>
      <c r="L809" s="74"/>
      <c r="M809" s="2"/>
      <c r="N809" s="2"/>
      <c r="O809" s="2"/>
      <c r="P809" s="2"/>
      <c r="Q809" s="74"/>
      <c r="R809" s="2"/>
      <c r="S809" s="2"/>
      <c r="T809" s="76"/>
      <c r="U809" s="88"/>
    </row>
    <row r="810" ht="15.75" customHeight="1">
      <c r="A810" s="2"/>
      <c r="B810" s="2"/>
      <c r="C810" s="2"/>
      <c r="D810" s="2"/>
      <c r="E810" s="2"/>
      <c r="F810" s="2"/>
      <c r="G810" s="2"/>
      <c r="H810" s="74"/>
      <c r="I810" s="74"/>
      <c r="J810" s="74"/>
      <c r="K810" s="74"/>
      <c r="L810" s="74"/>
      <c r="M810" s="2"/>
      <c r="N810" s="2"/>
      <c r="O810" s="2"/>
      <c r="P810" s="2"/>
      <c r="Q810" s="74"/>
      <c r="R810" s="2"/>
      <c r="S810" s="2"/>
      <c r="T810" s="76"/>
      <c r="U810" s="88"/>
    </row>
    <row r="811" ht="15.75" customHeight="1">
      <c r="A811" s="2"/>
      <c r="B811" s="2"/>
      <c r="C811" s="2"/>
      <c r="D811" s="2"/>
      <c r="E811" s="2"/>
      <c r="F811" s="2"/>
      <c r="G811" s="2"/>
      <c r="H811" s="74"/>
      <c r="I811" s="74"/>
      <c r="J811" s="74"/>
      <c r="K811" s="74"/>
      <c r="L811" s="74"/>
      <c r="M811" s="2"/>
      <c r="N811" s="2"/>
      <c r="O811" s="2"/>
      <c r="P811" s="2"/>
      <c r="Q811" s="74"/>
      <c r="R811" s="2"/>
      <c r="S811" s="2"/>
      <c r="T811" s="76"/>
      <c r="U811" s="88"/>
    </row>
    <row r="812" ht="15.75" customHeight="1">
      <c r="A812" s="2"/>
      <c r="B812" s="2"/>
      <c r="C812" s="2"/>
      <c r="D812" s="2"/>
      <c r="E812" s="2"/>
      <c r="F812" s="2"/>
      <c r="G812" s="2"/>
      <c r="H812" s="74"/>
      <c r="I812" s="74"/>
      <c r="J812" s="74"/>
      <c r="K812" s="74"/>
      <c r="L812" s="74"/>
      <c r="M812" s="2"/>
      <c r="N812" s="2"/>
      <c r="O812" s="2"/>
      <c r="P812" s="2"/>
      <c r="Q812" s="74"/>
      <c r="R812" s="2"/>
      <c r="S812" s="2"/>
      <c r="T812" s="76"/>
      <c r="U812" s="88"/>
    </row>
    <row r="813" ht="15.75" customHeight="1">
      <c r="A813" s="2"/>
      <c r="B813" s="2"/>
      <c r="C813" s="2"/>
      <c r="D813" s="2"/>
      <c r="E813" s="2"/>
      <c r="F813" s="2"/>
      <c r="G813" s="2"/>
      <c r="H813" s="74"/>
      <c r="I813" s="74"/>
      <c r="J813" s="74"/>
      <c r="K813" s="74"/>
      <c r="L813" s="74"/>
      <c r="M813" s="2"/>
      <c r="N813" s="2"/>
      <c r="O813" s="2"/>
      <c r="P813" s="2"/>
      <c r="Q813" s="74"/>
      <c r="R813" s="2"/>
      <c r="S813" s="2"/>
      <c r="T813" s="76"/>
      <c r="U813" s="88"/>
    </row>
    <row r="814" ht="15.75" customHeight="1">
      <c r="A814" s="2"/>
      <c r="B814" s="2"/>
      <c r="C814" s="2"/>
      <c r="D814" s="2"/>
      <c r="E814" s="2"/>
      <c r="F814" s="2"/>
      <c r="G814" s="2"/>
      <c r="H814" s="74"/>
      <c r="I814" s="74"/>
      <c r="J814" s="74"/>
      <c r="K814" s="74"/>
      <c r="L814" s="74"/>
      <c r="M814" s="2"/>
      <c r="N814" s="2"/>
      <c r="O814" s="2"/>
      <c r="P814" s="2"/>
      <c r="Q814" s="74"/>
      <c r="R814" s="2"/>
      <c r="S814" s="2"/>
      <c r="T814" s="76"/>
      <c r="U814" s="88"/>
    </row>
    <row r="815" ht="15.75" customHeight="1">
      <c r="A815" s="2"/>
      <c r="B815" s="2"/>
      <c r="C815" s="2"/>
      <c r="D815" s="2"/>
      <c r="E815" s="2"/>
      <c r="F815" s="2"/>
      <c r="G815" s="2"/>
      <c r="H815" s="74"/>
      <c r="I815" s="74"/>
      <c r="J815" s="74"/>
      <c r="K815" s="74"/>
      <c r="L815" s="74"/>
      <c r="M815" s="2"/>
      <c r="N815" s="2"/>
      <c r="O815" s="2"/>
      <c r="P815" s="2"/>
      <c r="Q815" s="74"/>
      <c r="R815" s="2"/>
      <c r="S815" s="2"/>
      <c r="T815" s="76"/>
      <c r="U815" s="88"/>
    </row>
    <row r="816" ht="15.75" customHeight="1">
      <c r="A816" s="2"/>
      <c r="B816" s="2"/>
      <c r="C816" s="2"/>
      <c r="D816" s="2"/>
      <c r="E816" s="2"/>
      <c r="F816" s="2"/>
      <c r="G816" s="2"/>
      <c r="H816" s="74"/>
      <c r="I816" s="74"/>
      <c r="J816" s="74"/>
      <c r="K816" s="74"/>
      <c r="L816" s="74"/>
      <c r="M816" s="2"/>
      <c r="N816" s="2"/>
      <c r="O816" s="2"/>
      <c r="P816" s="2"/>
      <c r="Q816" s="74"/>
      <c r="R816" s="2"/>
      <c r="S816" s="2"/>
      <c r="T816" s="76"/>
      <c r="U816" s="88"/>
    </row>
    <row r="817" ht="15.75" customHeight="1">
      <c r="A817" s="2"/>
      <c r="B817" s="2"/>
      <c r="C817" s="2"/>
      <c r="D817" s="2"/>
      <c r="E817" s="2"/>
      <c r="F817" s="2"/>
      <c r="G817" s="2"/>
      <c r="H817" s="74"/>
      <c r="I817" s="74"/>
      <c r="J817" s="74"/>
      <c r="K817" s="74"/>
      <c r="L817" s="74"/>
      <c r="M817" s="2"/>
      <c r="N817" s="2"/>
      <c r="O817" s="2"/>
      <c r="P817" s="2"/>
      <c r="Q817" s="74"/>
      <c r="R817" s="2"/>
      <c r="S817" s="2"/>
      <c r="T817" s="76"/>
      <c r="U817" s="88"/>
    </row>
    <row r="818" ht="15.75" customHeight="1">
      <c r="A818" s="2"/>
      <c r="B818" s="2"/>
      <c r="C818" s="2"/>
      <c r="D818" s="2"/>
      <c r="E818" s="2"/>
      <c r="F818" s="2"/>
      <c r="G818" s="2"/>
      <c r="H818" s="74"/>
      <c r="I818" s="74"/>
      <c r="J818" s="74"/>
      <c r="K818" s="74"/>
      <c r="L818" s="74"/>
      <c r="M818" s="2"/>
      <c r="N818" s="2"/>
      <c r="O818" s="2"/>
      <c r="P818" s="2"/>
      <c r="Q818" s="74"/>
      <c r="R818" s="2"/>
      <c r="S818" s="2"/>
      <c r="T818" s="76"/>
      <c r="U818" s="88"/>
    </row>
    <row r="819" ht="15.75" customHeight="1">
      <c r="A819" s="2"/>
      <c r="B819" s="2"/>
      <c r="C819" s="2"/>
      <c r="D819" s="2"/>
      <c r="E819" s="2"/>
      <c r="F819" s="2"/>
      <c r="G819" s="2"/>
      <c r="H819" s="74"/>
      <c r="I819" s="74"/>
      <c r="J819" s="74"/>
      <c r="K819" s="74"/>
      <c r="L819" s="74"/>
      <c r="M819" s="2"/>
      <c r="N819" s="2"/>
      <c r="O819" s="2"/>
      <c r="P819" s="2"/>
      <c r="Q819" s="74"/>
      <c r="R819" s="2"/>
      <c r="S819" s="2"/>
      <c r="T819" s="76"/>
      <c r="U819" s="88"/>
    </row>
    <row r="820" ht="15.75" customHeight="1">
      <c r="A820" s="2"/>
      <c r="B820" s="2"/>
      <c r="C820" s="2"/>
      <c r="D820" s="2"/>
      <c r="E820" s="2"/>
      <c r="F820" s="2"/>
      <c r="G820" s="2"/>
      <c r="H820" s="74"/>
      <c r="I820" s="74"/>
      <c r="J820" s="74"/>
      <c r="K820" s="74"/>
      <c r="L820" s="74"/>
      <c r="M820" s="2"/>
      <c r="N820" s="2"/>
      <c r="O820" s="2"/>
      <c r="P820" s="2"/>
      <c r="Q820" s="74"/>
      <c r="R820" s="2"/>
      <c r="S820" s="2"/>
      <c r="T820" s="76"/>
      <c r="U820" s="88"/>
    </row>
    <row r="821" ht="15.75" customHeight="1">
      <c r="A821" s="2"/>
      <c r="B821" s="2"/>
      <c r="C821" s="2"/>
      <c r="D821" s="2"/>
      <c r="E821" s="2"/>
      <c r="F821" s="2"/>
      <c r="G821" s="2"/>
      <c r="H821" s="74"/>
      <c r="I821" s="74"/>
      <c r="J821" s="74"/>
      <c r="K821" s="74"/>
      <c r="L821" s="74"/>
      <c r="M821" s="2"/>
      <c r="N821" s="2"/>
      <c r="O821" s="2"/>
      <c r="P821" s="2"/>
      <c r="Q821" s="74"/>
      <c r="R821" s="2"/>
      <c r="S821" s="2"/>
      <c r="T821" s="76"/>
      <c r="U821" s="88"/>
    </row>
    <row r="822" ht="15.75" customHeight="1">
      <c r="A822" s="2"/>
      <c r="B822" s="2"/>
      <c r="C822" s="2"/>
      <c r="D822" s="2"/>
      <c r="E822" s="2"/>
      <c r="F822" s="2"/>
      <c r="G822" s="2"/>
      <c r="H822" s="74"/>
      <c r="I822" s="74"/>
      <c r="J822" s="74"/>
      <c r="K822" s="74"/>
      <c r="L822" s="74"/>
      <c r="M822" s="2"/>
      <c r="N822" s="2"/>
      <c r="O822" s="2"/>
      <c r="P822" s="2"/>
      <c r="Q822" s="74"/>
      <c r="R822" s="2"/>
      <c r="S822" s="2"/>
      <c r="T822" s="76"/>
      <c r="U822" s="88"/>
    </row>
    <row r="823" ht="15.75" customHeight="1">
      <c r="A823" s="2"/>
      <c r="B823" s="2"/>
      <c r="C823" s="2"/>
      <c r="D823" s="2"/>
      <c r="E823" s="2"/>
      <c r="F823" s="2"/>
      <c r="G823" s="2"/>
      <c r="H823" s="74"/>
      <c r="I823" s="74"/>
      <c r="J823" s="74"/>
      <c r="K823" s="74"/>
      <c r="L823" s="74"/>
      <c r="M823" s="2"/>
      <c r="N823" s="2"/>
      <c r="O823" s="2"/>
      <c r="P823" s="2"/>
      <c r="Q823" s="74"/>
      <c r="R823" s="2"/>
      <c r="S823" s="2"/>
      <c r="T823" s="76"/>
      <c r="U823" s="88"/>
    </row>
    <row r="824" ht="15.75" customHeight="1">
      <c r="A824" s="2"/>
      <c r="B824" s="2"/>
      <c r="C824" s="2"/>
      <c r="D824" s="2"/>
      <c r="E824" s="2"/>
      <c r="F824" s="2"/>
      <c r="G824" s="2"/>
      <c r="H824" s="74"/>
      <c r="I824" s="74"/>
      <c r="J824" s="74"/>
      <c r="K824" s="74"/>
      <c r="L824" s="74"/>
      <c r="M824" s="2"/>
      <c r="N824" s="2"/>
      <c r="O824" s="2"/>
      <c r="P824" s="2"/>
      <c r="Q824" s="74"/>
      <c r="R824" s="2"/>
      <c r="S824" s="2"/>
      <c r="T824" s="76"/>
      <c r="U824" s="88"/>
    </row>
    <row r="825" ht="15.75" customHeight="1">
      <c r="A825" s="2"/>
      <c r="B825" s="2"/>
      <c r="C825" s="2"/>
      <c r="D825" s="2"/>
      <c r="E825" s="2"/>
      <c r="F825" s="2"/>
      <c r="G825" s="2"/>
      <c r="H825" s="74"/>
      <c r="I825" s="74"/>
      <c r="J825" s="74"/>
      <c r="K825" s="74"/>
      <c r="L825" s="74"/>
      <c r="M825" s="2"/>
      <c r="N825" s="2"/>
      <c r="O825" s="2"/>
      <c r="P825" s="2"/>
      <c r="Q825" s="74"/>
      <c r="R825" s="2"/>
      <c r="S825" s="2"/>
      <c r="T825" s="76"/>
      <c r="U825" s="88"/>
    </row>
    <row r="826" ht="15.75" customHeight="1">
      <c r="A826" s="2"/>
      <c r="B826" s="2"/>
      <c r="C826" s="2"/>
      <c r="D826" s="2"/>
      <c r="E826" s="2"/>
      <c r="F826" s="2"/>
      <c r="G826" s="2"/>
      <c r="H826" s="74"/>
      <c r="I826" s="74"/>
      <c r="J826" s="74"/>
      <c r="K826" s="74"/>
      <c r="L826" s="74"/>
      <c r="M826" s="2"/>
      <c r="N826" s="2"/>
      <c r="O826" s="2"/>
      <c r="P826" s="2"/>
      <c r="Q826" s="74"/>
      <c r="R826" s="2"/>
      <c r="S826" s="2"/>
      <c r="T826" s="76"/>
      <c r="U826" s="88"/>
    </row>
    <row r="827" ht="15.75" customHeight="1">
      <c r="A827" s="2"/>
      <c r="B827" s="2"/>
      <c r="C827" s="2"/>
      <c r="D827" s="2"/>
      <c r="E827" s="2"/>
      <c r="F827" s="2"/>
      <c r="G827" s="2"/>
      <c r="H827" s="74"/>
      <c r="I827" s="74"/>
      <c r="J827" s="74"/>
      <c r="K827" s="74"/>
      <c r="L827" s="74"/>
      <c r="M827" s="2"/>
      <c r="N827" s="2"/>
      <c r="O827" s="2"/>
      <c r="P827" s="2"/>
      <c r="Q827" s="74"/>
      <c r="R827" s="2"/>
      <c r="S827" s="2"/>
      <c r="T827" s="76"/>
      <c r="U827" s="88"/>
    </row>
    <row r="828" ht="15.75" customHeight="1">
      <c r="A828" s="2"/>
      <c r="B828" s="2"/>
      <c r="C828" s="2"/>
      <c r="D828" s="2"/>
      <c r="E828" s="2"/>
      <c r="F828" s="2"/>
      <c r="G828" s="2"/>
      <c r="H828" s="74"/>
      <c r="I828" s="74"/>
      <c r="J828" s="74"/>
      <c r="K828" s="74"/>
      <c r="L828" s="74"/>
      <c r="M828" s="2"/>
      <c r="N828" s="2"/>
      <c r="O828" s="2"/>
      <c r="P828" s="2"/>
      <c r="Q828" s="74"/>
      <c r="R828" s="2"/>
      <c r="S828" s="2"/>
      <c r="T828" s="76"/>
      <c r="U828" s="88"/>
    </row>
    <row r="829" ht="15.75" customHeight="1">
      <c r="A829" s="2"/>
      <c r="B829" s="2"/>
      <c r="C829" s="2"/>
      <c r="D829" s="2"/>
      <c r="E829" s="2"/>
      <c r="F829" s="2"/>
      <c r="G829" s="2"/>
      <c r="H829" s="74"/>
      <c r="I829" s="74"/>
      <c r="J829" s="74"/>
      <c r="K829" s="74"/>
      <c r="L829" s="74"/>
      <c r="M829" s="2"/>
      <c r="N829" s="2"/>
      <c r="O829" s="2"/>
      <c r="P829" s="2"/>
      <c r="Q829" s="74"/>
      <c r="R829" s="2"/>
      <c r="S829" s="2"/>
      <c r="T829" s="76"/>
      <c r="U829" s="88"/>
    </row>
    <row r="830" ht="15.75" customHeight="1">
      <c r="A830" s="2"/>
      <c r="B830" s="2"/>
      <c r="C830" s="2"/>
      <c r="D830" s="2"/>
      <c r="E830" s="2"/>
      <c r="F830" s="2"/>
      <c r="G830" s="2"/>
      <c r="H830" s="74"/>
      <c r="I830" s="74"/>
      <c r="J830" s="74"/>
      <c r="K830" s="74"/>
      <c r="L830" s="74"/>
      <c r="M830" s="2"/>
      <c r="N830" s="2"/>
      <c r="O830" s="2"/>
      <c r="P830" s="2"/>
      <c r="Q830" s="74"/>
      <c r="R830" s="2"/>
      <c r="S830" s="2"/>
      <c r="T830" s="76"/>
      <c r="U830" s="88"/>
    </row>
    <row r="831" ht="15.75" customHeight="1">
      <c r="A831" s="2"/>
      <c r="B831" s="2"/>
      <c r="C831" s="2"/>
      <c r="D831" s="2"/>
      <c r="E831" s="2"/>
      <c r="F831" s="2"/>
      <c r="G831" s="2"/>
      <c r="H831" s="74"/>
      <c r="I831" s="74"/>
      <c r="J831" s="74"/>
      <c r="K831" s="74"/>
      <c r="L831" s="74"/>
      <c r="M831" s="2"/>
      <c r="N831" s="2"/>
      <c r="O831" s="2"/>
      <c r="P831" s="2"/>
      <c r="Q831" s="74"/>
      <c r="R831" s="2"/>
      <c r="S831" s="2"/>
      <c r="T831" s="76"/>
      <c r="U831" s="88"/>
    </row>
    <row r="832" ht="15.75" customHeight="1">
      <c r="A832" s="2"/>
      <c r="B832" s="2"/>
      <c r="C832" s="2"/>
      <c r="D832" s="2"/>
      <c r="E832" s="2"/>
      <c r="F832" s="2"/>
      <c r="G832" s="2"/>
      <c r="H832" s="74"/>
      <c r="I832" s="74"/>
      <c r="J832" s="74"/>
      <c r="K832" s="74"/>
      <c r="L832" s="74"/>
      <c r="M832" s="2"/>
      <c r="N832" s="2"/>
      <c r="O832" s="2"/>
      <c r="P832" s="2"/>
      <c r="Q832" s="74"/>
      <c r="R832" s="2"/>
      <c r="S832" s="2"/>
      <c r="T832" s="76"/>
      <c r="U832" s="88"/>
    </row>
    <row r="833" ht="15.75" customHeight="1">
      <c r="A833" s="2"/>
      <c r="B833" s="2"/>
      <c r="C833" s="2"/>
      <c r="D833" s="2"/>
      <c r="E833" s="2"/>
      <c r="F833" s="2"/>
      <c r="G833" s="2"/>
      <c r="H833" s="74"/>
      <c r="I833" s="74"/>
      <c r="J833" s="74"/>
      <c r="K833" s="74"/>
      <c r="L833" s="74"/>
      <c r="M833" s="2"/>
      <c r="N833" s="2"/>
      <c r="O833" s="2"/>
      <c r="P833" s="2"/>
      <c r="Q833" s="74"/>
      <c r="R833" s="2"/>
      <c r="S833" s="2"/>
      <c r="T833" s="76"/>
      <c r="U833" s="88"/>
    </row>
    <row r="834" ht="15.75" customHeight="1">
      <c r="A834" s="2"/>
      <c r="B834" s="2"/>
      <c r="C834" s="2"/>
      <c r="D834" s="2"/>
      <c r="E834" s="2"/>
      <c r="F834" s="2"/>
      <c r="G834" s="2"/>
      <c r="H834" s="74"/>
      <c r="I834" s="74"/>
      <c r="J834" s="74"/>
      <c r="K834" s="74"/>
      <c r="L834" s="74"/>
      <c r="M834" s="2"/>
      <c r="N834" s="2"/>
      <c r="O834" s="2"/>
      <c r="P834" s="2"/>
      <c r="Q834" s="74"/>
      <c r="R834" s="2"/>
      <c r="S834" s="2"/>
      <c r="T834" s="76"/>
      <c r="U834" s="88"/>
    </row>
    <row r="835" ht="15.75" customHeight="1">
      <c r="A835" s="2"/>
      <c r="B835" s="2"/>
      <c r="C835" s="2"/>
      <c r="D835" s="2"/>
      <c r="E835" s="2"/>
      <c r="F835" s="2"/>
      <c r="G835" s="2"/>
      <c r="H835" s="74"/>
      <c r="I835" s="74"/>
      <c r="J835" s="74"/>
      <c r="K835" s="74"/>
      <c r="L835" s="74"/>
      <c r="M835" s="2"/>
      <c r="N835" s="2"/>
      <c r="O835" s="2"/>
      <c r="P835" s="2"/>
      <c r="Q835" s="74"/>
      <c r="R835" s="2"/>
      <c r="S835" s="2"/>
      <c r="T835" s="76"/>
      <c r="U835" s="88"/>
    </row>
    <row r="836" ht="15.75" customHeight="1">
      <c r="A836" s="2"/>
      <c r="B836" s="2"/>
      <c r="C836" s="2"/>
      <c r="D836" s="2"/>
      <c r="E836" s="2"/>
      <c r="F836" s="2"/>
      <c r="G836" s="2"/>
      <c r="H836" s="74"/>
      <c r="I836" s="74"/>
      <c r="J836" s="74"/>
      <c r="K836" s="74"/>
      <c r="L836" s="74"/>
      <c r="M836" s="2"/>
      <c r="N836" s="2"/>
      <c r="O836" s="2"/>
      <c r="P836" s="2"/>
      <c r="Q836" s="74"/>
      <c r="R836" s="2"/>
      <c r="S836" s="2"/>
      <c r="T836" s="76"/>
      <c r="U836" s="88"/>
    </row>
    <row r="837" ht="15.75" customHeight="1">
      <c r="A837" s="2"/>
      <c r="B837" s="2"/>
      <c r="C837" s="2"/>
      <c r="D837" s="2"/>
      <c r="E837" s="2"/>
      <c r="F837" s="2"/>
      <c r="G837" s="2"/>
      <c r="H837" s="74"/>
      <c r="I837" s="74"/>
      <c r="J837" s="74"/>
      <c r="K837" s="74"/>
      <c r="L837" s="74"/>
      <c r="M837" s="2"/>
      <c r="N837" s="2"/>
      <c r="O837" s="2"/>
      <c r="P837" s="2"/>
      <c r="Q837" s="74"/>
      <c r="R837" s="2"/>
      <c r="S837" s="2"/>
      <c r="T837" s="76"/>
      <c r="U837" s="88"/>
    </row>
    <row r="838" ht="15.75" customHeight="1">
      <c r="A838" s="2"/>
      <c r="B838" s="2"/>
      <c r="C838" s="2"/>
      <c r="D838" s="2"/>
      <c r="E838" s="2"/>
      <c r="F838" s="2"/>
      <c r="G838" s="2"/>
      <c r="H838" s="74"/>
      <c r="I838" s="74"/>
      <c r="J838" s="74"/>
      <c r="K838" s="74"/>
      <c r="L838" s="74"/>
      <c r="M838" s="2"/>
      <c r="N838" s="2"/>
      <c r="O838" s="2"/>
      <c r="P838" s="2"/>
      <c r="Q838" s="74"/>
      <c r="R838" s="2"/>
      <c r="S838" s="2"/>
      <c r="T838" s="76"/>
      <c r="U838" s="88"/>
    </row>
    <row r="839" ht="15.75" customHeight="1">
      <c r="A839" s="2"/>
      <c r="B839" s="2"/>
      <c r="C839" s="2"/>
      <c r="D839" s="2"/>
      <c r="E839" s="2"/>
      <c r="F839" s="2"/>
      <c r="G839" s="2"/>
      <c r="H839" s="74"/>
      <c r="I839" s="74"/>
      <c r="J839" s="74"/>
      <c r="K839" s="74"/>
      <c r="L839" s="74"/>
      <c r="M839" s="2"/>
      <c r="N839" s="2"/>
      <c r="O839" s="2"/>
      <c r="P839" s="2"/>
      <c r="Q839" s="74"/>
      <c r="R839" s="2"/>
      <c r="S839" s="2"/>
      <c r="T839" s="76"/>
      <c r="U839" s="88"/>
    </row>
    <row r="840" ht="15.75" customHeight="1">
      <c r="A840" s="2"/>
      <c r="B840" s="2"/>
      <c r="C840" s="2"/>
      <c r="D840" s="2"/>
      <c r="E840" s="2"/>
      <c r="F840" s="2"/>
      <c r="G840" s="2"/>
      <c r="H840" s="74"/>
      <c r="I840" s="74"/>
      <c r="J840" s="74"/>
      <c r="K840" s="74"/>
      <c r="L840" s="74"/>
      <c r="M840" s="2"/>
      <c r="N840" s="2"/>
      <c r="O840" s="2"/>
      <c r="P840" s="2"/>
      <c r="Q840" s="74"/>
      <c r="R840" s="2"/>
      <c r="S840" s="2"/>
      <c r="T840" s="76"/>
      <c r="U840" s="88"/>
    </row>
    <row r="841" ht="15.75" customHeight="1">
      <c r="A841" s="2"/>
      <c r="B841" s="2"/>
      <c r="C841" s="2"/>
      <c r="D841" s="2"/>
      <c r="E841" s="2"/>
      <c r="F841" s="2"/>
      <c r="G841" s="2"/>
      <c r="H841" s="74"/>
      <c r="I841" s="74"/>
      <c r="J841" s="74"/>
      <c r="K841" s="74"/>
      <c r="L841" s="74"/>
      <c r="M841" s="2"/>
      <c r="N841" s="2"/>
      <c r="O841" s="2"/>
      <c r="P841" s="2"/>
      <c r="Q841" s="74"/>
      <c r="R841" s="2"/>
      <c r="S841" s="2"/>
      <c r="T841" s="76"/>
      <c r="U841" s="88"/>
    </row>
    <row r="842" ht="15.75" customHeight="1">
      <c r="A842" s="2"/>
      <c r="B842" s="2"/>
      <c r="C842" s="2"/>
      <c r="D842" s="2"/>
      <c r="E842" s="2"/>
      <c r="F842" s="2"/>
      <c r="G842" s="2"/>
      <c r="H842" s="74"/>
      <c r="I842" s="74"/>
      <c r="J842" s="74"/>
      <c r="K842" s="74"/>
      <c r="L842" s="74"/>
      <c r="M842" s="2"/>
      <c r="N842" s="2"/>
      <c r="O842" s="2"/>
      <c r="P842" s="2"/>
      <c r="Q842" s="74"/>
      <c r="R842" s="2"/>
      <c r="S842" s="2"/>
      <c r="T842" s="76"/>
      <c r="U842" s="88"/>
    </row>
    <row r="843" ht="15.75" customHeight="1">
      <c r="A843" s="2"/>
      <c r="B843" s="2"/>
      <c r="C843" s="2"/>
      <c r="D843" s="2"/>
      <c r="E843" s="2"/>
      <c r="F843" s="2"/>
      <c r="G843" s="2"/>
      <c r="H843" s="74"/>
      <c r="I843" s="74"/>
      <c r="J843" s="74"/>
      <c r="K843" s="74"/>
      <c r="L843" s="74"/>
      <c r="M843" s="2"/>
      <c r="N843" s="2"/>
      <c r="O843" s="2"/>
      <c r="P843" s="2"/>
      <c r="Q843" s="74"/>
      <c r="R843" s="2"/>
      <c r="S843" s="2"/>
      <c r="T843" s="76"/>
      <c r="U843" s="88"/>
    </row>
    <row r="844" ht="15.75" customHeight="1">
      <c r="A844" s="2"/>
      <c r="B844" s="2"/>
      <c r="C844" s="2"/>
      <c r="D844" s="2"/>
      <c r="E844" s="2"/>
      <c r="F844" s="2"/>
      <c r="G844" s="2"/>
      <c r="H844" s="74"/>
      <c r="I844" s="74"/>
      <c r="J844" s="74"/>
      <c r="K844" s="74"/>
      <c r="L844" s="74"/>
      <c r="M844" s="2"/>
      <c r="N844" s="2"/>
      <c r="O844" s="2"/>
      <c r="P844" s="2"/>
      <c r="Q844" s="74"/>
      <c r="R844" s="2"/>
      <c r="S844" s="2"/>
      <c r="T844" s="76"/>
      <c r="U844" s="88"/>
    </row>
    <row r="845" ht="15.75" customHeight="1">
      <c r="A845" s="2"/>
      <c r="B845" s="2"/>
      <c r="C845" s="2"/>
      <c r="D845" s="2"/>
      <c r="E845" s="2"/>
      <c r="F845" s="2"/>
      <c r="G845" s="2"/>
      <c r="H845" s="74"/>
      <c r="I845" s="74"/>
      <c r="J845" s="74"/>
      <c r="K845" s="74"/>
      <c r="L845" s="74"/>
      <c r="M845" s="2"/>
      <c r="N845" s="2"/>
      <c r="O845" s="2"/>
      <c r="P845" s="2"/>
      <c r="Q845" s="74"/>
      <c r="R845" s="2"/>
      <c r="S845" s="2"/>
      <c r="T845" s="76"/>
      <c r="U845" s="88"/>
    </row>
    <row r="846" ht="15.75" customHeight="1">
      <c r="A846" s="2"/>
      <c r="B846" s="2"/>
      <c r="C846" s="2"/>
      <c r="D846" s="2"/>
      <c r="E846" s="2"/>
      <c r="F846" s="2"/>
      <c r="G846" s="2"/>
      <c r="H846" s="74"/>
      <c r="I846" s="74"/>
      <c r="J846" s="74"/>
      <c r="K846" s="74"/>
      <c r="L846" s="74"/>
      <c r="M846" s="2"/>
      <c r="N846" s="2"/>
      <c r="O846" s="2"/>
      <c r="P846" s="2"/>
      <c r="Q846" s="74"/>
      <c r="R846" s="2"/>
      <c r="S846" s="2"/>
      <c r="T846" s="76"/>
      <c r="U846" s="88"/>
    </row>
    <row r="847" ht="15.75" customHeight="1">
      <c r="A847" s="2"/>
      <c r="B847" s="2"/>
      <c r="C847" s="2"/>
      <c r="D847" s="2"/>
      <c r="E847" s="2"/>
      <c r="F847" s="2"/>
      <c r="G847" s="2"/>
      <c r="H847" s="74"/>
      <c r="I847" s="74"/>
      <c r="J847" s="74"/>
      <c r="K847" s="74"/>
      <c r="L847" s="74"/>
      <c r="M847" s="2"/>
      <c r="N847" s="2"/>
      <c r="O847" s="2"/>
      <c r="P847" s="2"/>
      <c r="Q847" s="74"/>
      <c r="R847" s="2"/>
      <c r="S847" s="2"/>
      <c r="T847" s="76"/>
      <c r="U847" s="88"/>
    </row>
    <row r="848" ht="15.75" customHeight="1">
      <c r="A848" s="2"/>
      <c r="B848" s="2"/>
      <c r="C848" s="2"/>
      <c r="D848" s="2"/>
      <c r="E848" s="2"/>
      <c r="F848" s="2"/>
      <c r="G848" s="2"/>
      <c r="H848" s="74"/>
      <c r="I848" s="74"/>
      <c r="J848" s="74"/>
      <c r="K848" s="74"/>
      <c r="L848" s="74"/>
      <c r="M848" s="2"/>
      <c r="N848" s="2"/>
      <c r="O848" s="2"/>
      <c r="P848" s="2"/>
      <c r="Q848" s="74"/>
      <c r="R848" s="2"/>
      <c r="S848" s="2"/>
      <c r="T848" s="76"/>
      <c r="U848" s="88"/>
    </row>
    <row r="849" ht="15.75" customHeight="1">
      <c r="A849" s="2"/>
      <c r="B849" s="2"/>
      <c r="C849" s="2"/>
      <c r="D849" s="2"/>
      <c r="E849" s="2"/>
      <c r="F849" s="2"/>
      <c r="G849" s="2"/>
      <c r="H849" s="74"/>
      <c r="I849" s="74"/>
      <c r="J849" s="74"/>
      <c r="K849" s="74"/>
      <c r="L849" s="74"/>
      <c r="M849" s="2"/>
      <c r="N849" s="2"/>
      <c r="O849" s="2"/>
      <c r="P849" s="2"/>
      <c r="Q849" s="74"/>
      <c r="R849" s="2"/>
      <c r="S849" s="2"/>
      <c r="T849" s="76"/>
      <c r="U849" s="88"/>
    </row>
    <row r="850" ht="15.75" customHeight="1">
      <c r="A850" s="2"/>
      <c r="B850" s="2"/>
      <c r="C850" s="2"/>
      <c r="D850" s="2"/>
      <c r="E850" s="2"/>
      <c r="F850" s="2"/>
      <c r="G850" s="2"/>
      <c r="H850" s="74"/>
      <c r="I850" s="74"/>
      <c r="J850" s="74"/>
      <c r="K850" s="74"/>
      <c r="L850" s="74"/>
      <c r="M850" s="2"/>
      <c r="N850" s="2"/>
      <c r="O850" s="2"/>
      <c r="P850" s="2"/>
      <c r="Q850" s="74"/>
      <c r="R850" s="2"/>
      <c r="S850" s="2"/>
      <c r="T850" s="76"/>
      <c r="U850" s="88"/>
    </row>
    <row r="851" ht="15.75" customHeight="1">
      <c r="A851" s="2"/>
      <c r="B851" s="2"/>
      <c r="C851" s="2"/>
      <c r="D851" s="2"/>
      <c r="E851" s="2"/>
      <c r="F851" s="2"/>
      <c r="G851" s="2"/>
      <c r="H851" s="74"/>
      <c r="I851" s="74"/>
      <c r="J851" s="74"/>
      <c r="K851" s="74"/>
      <c r="L851" s="74"/>
      <c r="M851" s="2"/>
      <c r="N851" s="2"/>
      <c r="O851" s="2"/>
      <c r="P851" s="2"/>
      <c r="Q851" s="74"/>
      <c r="R851" s="2"/>
      <c r="S851" s="2"/>
      <c r="T851" s="76"/>
      <c r="U851" s="88"/>
    </row>
    <row r="852" ht="15.75" customHeight="1">
      <c r="A852" s="2"/>
      <c r="B852" s="2"/>
      <c r="C852" s="2"/>
      <c r="D852" s="2"/>
      <c r="E852" s="2"/>
      <c r="F852" s="2"/>
      <c r="G852" s="2"/>
      <c r="H852" s="74"/>
      <c r="I852" s="74"/>
      <c r="J852" s="74"/>
      <c r="K852" s="74"/>
      <c r="L852" s="74"/>
      <c r="M852" s="2"/>
      <c r="N852" s="2"/>
      <c r="O852" s="2"/>
      <c r="P852" s="2"/>
      <c r="Q852" s="74"/>
      <c r="R852" s="2"/>
      <c r="S852" s="2"/>
      <c r="T852" s="76"/>
      <c r="U852" s="88"/>
    </row>
    <row r="853" ht="15.75" customHeight="1">
      <c r="A853" s="2"/>
      <c r="B853" s="2"/>
      <c r="C853" s="2"/>
      <c r="D853" s="2"/>
      <c r="E853" s="2"/>
      <c r="F853" s="2"/>
      <c r="G853" s="2"/>
      <c r="H853" s="74"/>
      <c r="I853" s="74"/>
      <c r="J853" s="74"/>
      <c r="K853" s="74"/>
      <c r="L853" s="74"/>
      <c r="M853" s="2"/>
      <c r="N853" s="2"/>
      <c r="O853" s="2"/>
      <c r="P853" s="2"/>
      <c r="Q853" s="74"/>
      <c r="R853" s="2"/>
      <c r="S853" s="2"/>
      <c r="T853" s="76"/>
      <c r="U853" s="88"/>
    </row>
    <row r="854" ht="15.75" customHeight="1">
      <c r="A854" s="2"/>
      <c r="B854" s="2"/>
      <c r="C854" s="2"/>
      <c r="D854" s="2"/>
      <c r="E854" s="2"/>
      <c r="F854" s="2"/>
      <c r="G854" s="2"/>
      <c r="H854" s="74"/>
      <c r="I854" s="74"/>
      <c r="J854" s="74"/>
      <c r="K854" s="74"/>
      <c r="L854" s="74"/>
      <c r="M854" s="2"/>
      <c r="N854" s="2"/>
      <c r="O854" s="2"/>
      <c r="P854" s="2"/>
      <c r="Q854" s="74"/>
      <c r="R854" s="2"/>
      <c r="S854" s="2"/>
      <c r="T854" s="76"/>
      <c r="U854" s="88"/>
    </row>
    <row r="855" ht="15.75" customHeight="1">
      <c r="A855" s="2"/>
      <c r="B855" s="2"/>
      <c r="C855" s="2"/>
      <c r="D855" s="2"/>
      <c r="E855" s="2"/>
      <c r="F855" s="2"/>
      <c r="G855" s="2"/>
      <c r="H855" s="74"/>
      <c r="I855" s="74"/>
      <c r="J855" s="74"/>
      <c r="K855" s="74"/>
      <c r="L855" s="74"/>
      <c r="M855" s="2"/>
      <c r="N855" s="2"/>
      <c r="O855" s="2"/>
      <c r="P855" s="2"/>
      <c r="Q855" s="74"/>
      <c r="R855" s="2"/>
      <c r="S855" s="2"/>
      <c r="T855" s="76"/>
      <c r="U855" s="88"/>
    </row>
    <row r="856" ht="15.75" customHeight="1">
      <c r="A856" s="2"/>
      <c r="B856" s="2"/>
      <c r="C856" s="2"/>
      <c r="D856" s="2"/>
      <c r="E856" s="2"/>
      <c r="F856" s="2"/>
      <c r="G856" s="2"/>
      <c r="H856" s="74"/>
      <c r="I856" s="74"/>
      <c r="J856" s="74"/>
      <c r="K856" s="74"/>
      <c r="L856" s="74"/>
      <c r="M856" s="2"/>
      <c r="N856" s="2"/>
      <c r="O856" s="2"/>
      <c r="P856" s="2"/>
      <c r="Q856" s="74"/>
      <c r="R856" s="2"/>
      <c r="S856" s="2"/>
      <c r="T856" s="76"/>
      <c r="U856" s="88"/>
    </row>
    <row r="857" ht="15.75" customHeight="1">
      <c r="A857" s="2"/>
      <c r="B857" s="2"/>
      <c r="C857" s="2"/>
      <c r="D857" s="2"/>
      <c r="E857" s="2"/>
      <c r="F857" s="2"/>
      <c r="G857" s="2"/>
      <c r="H857" s="74"/>
      <c r="I857" s="74"/>
      <c r="J857" s="74"/>
      <c r="K857" s="74"/>
      <c r="L857" s="74"/>
      <c r="M857" s="2"/>
      <c r="N857" s="2"/>
      <c r="O857" s="2"/>
      <c r="P857" s="2"/>
      <c r="Q857" s="74"/>
      <c r="R857" s="2"/>
      <c r="S857" s="2"/>
      <c r="T857" s="76"/>
      <c r="U857" s="88"/>
    </row>
    <row r="858" ht="15.75" customHeight="1">
      <c r="A858" s="2"/>
      <c r="B858" s="2"/>
      <c r="C858" s="2"/>
      <c r="D858" s="2"/>
      <c r="E858" s="2"/>
      <c r="F858" s="2"/>
      <c r="G858" s="2"/>
      <c r="H858" s="74"/>
      <c r="I858" s="74"/>
      <c r="J858" s="74"/>
      <c r="K858" s="74"/>
      <c r="L858" s="74"/>
      <c r="M858" s="2"/>
      <c r="N858" s="2"/>
      <c r="O858" s="2"/>
      <c r="P858" s="2"/>
      <c r="Q858" s="74"/>
      <c r="R858" s="2"/>
      <c r="S858" s="2"/>
      <c r="T858" s="76"/>
      <c r="U858" s="88"/>
    </row>
    <row r="859" ht="15.75" customHeight="1">
      <c r="A859" s="2"/>
      <c r="B859" s="2"/>
      <c r="C859" s="2"/>
      <c r="D859" s="2"/>
      <c r="E859" s="2"/>
      <c r="F859" s="2"/>
      <c r="G859" s="2"/>
      <c r="H859" s="74"/>
      <c r="I859" s="74"/>
      <c r="J859" s="74"/>
      <c r="K859" s="74"/>
      <c r="L859" s="74"/>
      <c r="M859" s="2"/>
      <c r="N859" s="2"/>
      <c r="O859" s="2"/>
      <c r="P859" s="2"/>
      <c r="Q859" s="74"/>
      <c r="R859" s="2"/>
      <c r="S859" s="2"/>
      <c r="T859" s="76"/>
      <c r="U859" s="88"/>
    </row>
    <row r="860" ht="15.75" customHeight="1">
      <c r="A860" s="2"/>
      <c r="B860" s="2"/>
      <c r="C860" s="2"/>
      <c r="D860" s="2"/>
      <c r="E860" s="2"/>
      <c r="F860" s="2"/>
      <c r="G860" s="2"/>
      <c r="H860" s="74"/>
      <c r="I860" s="74"/>
      <c r="J860" s="74"/>
      <c r="K860" s="74"/>
      <c r="L860" s="74"/>
      <c r="M860" s="2"/>
      <c r="N860" s="2"/>
      <c r="O860" s="2"/>
      <c r="P860" s="2"/>
      <c r="Q860" s="74"/>
      <c r="R860" s="2"/>
      <c r="S860" s="2"/>
      <c r="T860" s="76"/>
      <c r="U860" s="88"/>
    </row>
    <row r="861" ht="15.75" customHeight="1">
      <c r="A861" s="2"/>
      <c r="B861" s="2"/>
      <c r="C861" s="2"/>
      <c r="D861" s="2"/>
      <c r="E861" s="2"/>
      <c r="F861" s="2"/>
      <c r="G861" s="2"/>
      <c r="H861" s="74"/>
      <c r="I861" s="74"/>
      <c r="J861" s="74"/>
      <c r="K861" s="74"/>
      <c r="L861" s="74"/>
      <c r="M861" s="2"/>
      <c r="N861" s="2"/>
      <c r="O861" s="2"/>
      <c r="P861" s="2"/>
      <c r="Q861" s="74"/>
      <c r="R861" s="2"/>
      <c r="S861" s="2"/>
      <c r="T861" s="76"/>
      <c r="U861" s="88"/>
    </row>
    <row r="862" ht="15.75" customHeight="1">
      <c r="A862" s="2"/>
      <c r="B862" s="2"/>
      <c r="C862" s="2"/>
      <c r="D862" s="2"/>
      <c r="E862" s="2"/>
      <c r="F862" s="2"/>
      <c r="G862" s="2"/>
      <c r="H862" s="74"/>
      <c r="I862" s="74"/>
      <c r="J862" s="74"/>
      <c r="K862" s="74"/>
      <c r="L862" s="74"/>
      <c r="M862" s="2"/>
      <c r="N862" s="2"/>
      <c r="O862" s="2"/>
      <c r="P862" s="2"/>
      <c r="Q862" s="74"/>
      <c r="R862" s="2"/>
      <c r="S862" s="2"/>
      <c r="T862" s="76"/>
      <c r="U862" s="88"/>
    </row>
    <row r="863" ht="15.75" customHeight="1">
      <c r="A863" s="2"/>
      <c r="B863" s="2"/>
      <c r="C863" s="2"/>
      <c r="D863" s="2"/>
      <c r="E863" s="2"/>
      <c r="F863" s="2"/>
      <c r="G863" s="2"/>
      <c r="H863" s="74"/>
      <c r="I863" s="74"/>
      <c r="J863" s="74"/>
      <c r="K863" s="74"/>
      <c r="L863" s="74"/>
      <c r="M863" s="2"/>
      <c r="N863" s="2"/>
      <c r="O863" s="2"/>
      <c r="P863" s="2"/>
      <c r="Q863" s="74"/>
      <c r="R863" s="2"/>
      <c r="S863" s="2"/>
      <c r="T863" s="76"/>
      <c r="U863" s="88"/>
    </row>
    <row r="864" ht="15.75" customHeight="1">
      <c r="A864" s="2"/>
      <c r="B864" s="2"/>
      <c r="C864" s="2"/>
      <c r="D864" s="2"/>
      <c r="E864" s="2"/>
      <c r="F864" s="2"/>
      <c r="G864" s="2"/>
      <c r="H864" s="74"/>
      <c r="I864" s="74"/>
      <c r="J864" s="74"/>
      <c r="K864" s="74"/>
      <c r="L864" s="74"/>
      <c r="M864" s="2"/>
      <c r="N864" s="2"/>
      <c r="O864" s="2"/>
      <c r="P864" s="2"/>
      <c r="Q864" s="74"/>
      <c r="R864" s="2"/>
      <c r="S864" s="2"/>
      <c r="T864" s="76"/>
      <c r="U864" s="88"/>
    </row>
    <row r="865" ht="15.75" customHeight="1">
      <c r="A865" s="2"/>
      <c r="B865" s="2"/>
      <c r="C865" s="2"/>
      <c r="D865" s="2"/>
      <c r="E865" s="2"/>
      <c r="F865" s="2"/>
      <c r="G865" s="2"/>
      <c r="H865" s="74"/>
      <c r="I865" s="74"/>
      <c r="J865" s="74"/>
      <c r="K865" s="74"/>
      <c r="L865" s="74"/>
      <c r="M865" s="2"/>
      <c r="N865" s="2"/>
      <c r="O865" s="2"/>
      <c r="P865" s="2"/>
      <c r="Q865" s="74"/>
      <c r="R865" s="2"/>
      <c r="S865" s="2"/>
      <c r="T865" s="76"/>
      <c r="U865" s="88"/>
    </row>
    <row r="866" ht="15.75" customHeight="1">
      <c r="A866" s="2"/>
      <c r="B866" s="2"/>
      <c r="C866" s="2"/>
      <c r="D866" s="2"/>
      <c r="E866" s="2"/>
      <c r="F866" s="2"/>
      <c r="G866" s="2"/>
      <c r="H866" s="74"/>
      <c r="I866" s="74"/>
      <c r="J866" s="74"/>
      <c r="K866" s="74"/>
      <c r="L866" s="74"/>
      <c r="M866" s="2"/>
      <c r="N866" s="2"/>
      <c r="O866" s="2"/>
      <c r="P866" s="2"/>
      <c r="Q866" s="74"/>
      <c r="R866" s="2"/>
      <c r="S866" s="2"/>
      <c r="T866" s="76"/>
      <c r="U866" s="88"/>
    </row>
    <row r="867" ht="15.75" customHeight="1">
      <c r="A867" s="2"/>
      <c r="B867" s="2"/>
      <c r="C867" s="2"/>
      <c r="D867" s="2"/>
      <c r="E867" s="2"/>
      <c r="F867" s="2"/>
      <c r="G867" s="2"/>
      <c r="H867" s="74"/>
      <c r="I867" s="74"/>
      <c r="J867" s="74"/>
      <c r="K867" s="74"/>
      <c r="L867" s="74"/>
      <c r="M867" s="2"/>
      <c r="N867" s="2"/>
      <c r="O867" s="2"/>
      <c r="P867" s="2"/>
      <c r="Q867" s="74"/>
      <c r="R867" s="2"/>
      <c r="S867" s="2"/>
      <c r="T867" s="76"/>
      <c r="U867" s="88"/>
    </row>
    <row r="868" ht="15.75" customHeight="1">
      <c r="A868" s="2"/>
      <c r="B868" s="2"/>
      <c r="C868" s="2"/>
      <c r="D868" s="2"/>
      <c r="E868" s="2"/>
      <c r="F868" s="2"/>
      <c r="G868" s="2"/>
      <c r="H868" s="74"/>
      <c r="I868" s="74"/>
      <c r="J868" s="74"/>
      <c r="K868" s="74"/>
      <c r="L868" s="74"/>
      <c r="M868" s="2"/>
      <c r="N868" s="2"/>
      <c r="O868" s="2"/>
      <c r="P868" s="2"/>
      <c r="Q868" s="74"/>
      <c r="R868" s="2"/>
      <c r="S868" s="2"/>
      <c r="T868" s="76"/>
      <c r="U868" s="88"/>
    </row>
    <row r="869" ht="15.75" customHeight="1">
      <c r="A869" s="2"/>
      <c r="B869" s="2"/>
      <c r="C869" s="2"/>
      <c r="D869" s="2"/>
      <c r="E869" s="2"/>
      <c r="F869" s="2"/>
      <c r="G869" s="2"/>
      <c r="H869" s="74"/>
      <c r="I869" s="74"/>
      <c r="J869" s="74"/>
      <c r="K869" s="74"/>
      <c r="L869" s="74"/>
      <c r="M869" s="2"/>
      <c r="N869" s="2"/>
      <c r="O869" s="2"/>
      <c r="P869" s="2"/>
      <c r="Q869" s="74"/>
      <c r="R869" s="2"/>
      <c r="S869" s="2"/>
      <c r="T869" s="76"/>
      <c r="U869" s="88"/>
    </row>
    <row r="870" ht="15.75" customHeight="1">
      <c r="A870" s="2"/>
      <c r="B870" s="2"/>
      <c r="C870" s="2"/>
      <c r="D870" s="2"/>
      <c r="E870" s="2"/>
      <c r="F870" s="2"/>
      <c r="G870" s="2"/>
      <c r="H870" s="74"/>
      <c r="I870" s="74"/>
      <c r="J870" s="74"/>
      <c r="K870" s="74"/>
      <c r="L870" s="74"/>
      <c r="M870" s="2"/>
      <c r="N870" s="2"/>
      <c r="O870" s="2"/>
      <c r="P870" s="2"/>
      <c r="Q870" s="74"/>
      <c r="R870" s="2"/>
      <c r="S870" s="2"/>
      <c r="T870" s="76"/>
      <c r="U870" s="88"/>
    </row>
    <row r="871" ht="15.75" customHeight="1">
      <c r="A871" s="2"/>
      <c r="B871" s="2"/>
      <c r="C871" s="2"/>
      <c r="D871" s="2"/>
      <c r="E871" s="2"/>
      <c r="F871" s="2"/>
      <c r="G871" s="2"/>
      <c r="H871" s="74"/>
      <c r="I871" s="74"/>
      <c r="J871" s="74"/>
      <c r="K871" s="74"/>
      <c r="L871" s="74"/>
      <c r="M871" s="2"/>
      <c r="N871" s="2"/>
      <c r="O871" s="2"/>
      <c r="P871" s="2"/>
      <c r="Q871" s="74"/>
      <c r="R871" s="2"/>
      <c r="S871" s="2"/>
      <c r="T871" s="76"/>
      <c r="U871" s="88"/>
    </row>
    <row r="872" ht="15.75" customHeight="1">
      <c r="A872" s="2"/>
      <c r="B872" s="2"/>
      <c r="C872" s="2"/>
      <c r="D872" s="2"/>
      <c r="E872" s="2"/>
      <c r="F872" s="2"/>
      <c r="G872" s="2"/>
      <c r="H872" s="74"/>
      <c r="I872" s="74"/>
      <c r="J872" s="74"/>
      <c r="K872" s="74"/>
      <c r="L872" s="74"/>
      <c r="M872" s="2"/>
      <c r="N872" s="2"/>
      <c r="O872" s="2"/>
      <c r="P872" s="2"/>
      <c r="Q872" s="74"/>
      <c r="R872" s="2"/>
      <c r="S872" s="2"/>
      <c r="T872" s="76"/>
      <c r="U872" s="88"/>
    </row>
    <row r="873" ht="15.75" customHeight="1">
      <c r="A873" s="2"/>
      <c r="B873" s="2"/>
      <c r="C873" s="2"/>
      <c r="D873" s="2"/>
      <c r="E873" s="2"/>
      <c r="F873" s="2"/>
      <c r="G873" s="2"/>
      <c r="H873" s="74"/>
      <c r="I873" s="74"/>
      <c r="J873" s="74"/>
      <c r="K873" s="74"/>
      <c r="L873" s="74"/>
      <c r="M873" s="2"/>
      <c r="N873" s="2"/>
      <c r="O873" s="2"/>
      <c r="P873" s="2"/>
      <c r="Q873" s="74"/>
      <c r="R873" s="2"/>
      <c r="S873" s="2"/>
      <c r="T873" s="76"/>
      <c r="U873" s="88"/>
    </row>
    <row r="874" ht="15.75" customHeight="1">
      <c r="A874" s="2"/>
      <c r="B874" s="2"/>
      <c r="C874" s="2"/>
      <c r="D874" s="2"/>
      <c r="E874" s="2"/>
      <c r="F874" s="2"/>
      <c r="G874" s="2"/>
      <c r="H874" s="74"/>
      <c r="I874" s="74"/>
      <c r="J874" s="74"/>
      <c r="K874" s="74"/>
      <c r="L874" s="74"/>
      <c r="M874" s="2"/>
      <c r="N874" s="2"/>
      <c r="O874" s="2"/>
      <c r="P874" s="2"/>
      <c r="Q874" s="74"/>
      <c r="R874" s="2"/>
      <c r="S874" s="2"/>
      <c r="T874" s="76"/>
      <c r="U874" s="88"/>
    </row>
    <row r="875" ht="15.75" customHeight="1">
      <c r="A875" s="2"/>
      <c r="B875" s="2"/>
      <c r="C875" s="2"/>
      <c r="D875" s="2"/>
      <c r="E875" s="2"/>
      <c r="F875" s="2"/>
      <c r="G875" s="2"/>
      <c r="H875" s="74"/>
      <c r="I875" s="74"/>
      <c r="J875" s="74"/>
      <c r="K875" s="74"/>
      <c r="L875" s="74"/>
      <c r="M875" s="2"/>
      <c r="N875" s="2"/>
      <c r="O875" s="2"/>
      <c r="P875" s="2"/>
      <c r="Q875" s="74"/>
      <c r="R875" s="2"/>
      <c r="S875" s="2"/>
      <c r="T875" s="76"/>
      <c r="U875" s="88"/>
    </row>
    <row r="876" ht="15.75" customHeight="1">
      <c r="A876" s="2"/>
      <c r="B876" s="2"/>
      <c r="C876" s="2"/>
      <c r="D876" s="2"/>
      <c r="E876" s="2"/>
      <c r="F876" s="2"/>
      <c r="G876" s="2"/>
      <c r="H876" s="74"/>
      <c r="I876" s="74"/>
      <c r="J876" s="74"/>
      <c r="K876" s="74"/>
      <c r="L876" s="74"/>
      <c r="M876" s="2"/>
      <c r="N876" s="2"/>
      <c r="O876" s="2"/>
      <c r="P876" s="2"/>
      <c r="Q876" s="74"/>
      <c r="R876" s="2"/>
      <c r="S876" s="2"/>
      <c r="T876" s="76"/>
      <c r="U876" s="88"/>
    </row>
    <row r="877" ht="15.75" customHeight="1">
      <c r="A877" s="2"/>
      <c r="B877" s="2"/>
      <c r="C877" s="2"/>
      <c r="D877" s="2"/>
      <c r="E877" s="2"/>
      <c r="F877" s="2"/>
      <c r="G877" s="2"/>
      <c r="H877" s="74"/>
      <c r="I877" s="74"/>
      <c r="J877" s="74"/>
      <c r="K877" s="74"/>
      <c r="L877" s="74"/>
      <c r="M877" s="2"/>
      <c r="N877" s="2"/>
      <c r="O877" s="2"/>
      <c r="P877" s="2"/>
      <c r="Q877" s="74"/>
      <c r="R877" s="2"/>
      <c r="S877" s="2"/>
      <c r="T877" s="76"/>
      <c r="U877" s="88"/>
    </row>
    <row r="878" ht="15.75" customHeight="1">
      <c r="A878" s="2"/>
      <c r="B878" s="2"/>
      <c r="C878" s="2"/>
      <c r="D878" s="2"/>
      <c r="E878" s="2"/>
      <c r="F878" s="2"/>
      <c r="G878" s="2"/>
      <c r="H878" s="74"/>
      <c r="I878" s="74"/>
      <c r="J878" s="74"/>
      <c r="K878" s="74"/>
      <c r="L878" s="74"/>
      <c r="M878" s="2"/>
      <c r="N878" s="2"/>
      <c r="O878" s="2"/>
      <c r="P878" s="2"/>
      <c r="Q878" s="74"/>
      <c r="R878" s="2"/>
      <c r="S878" s="2"/>
      <c r="T878" s="76"/>
      <c r="U878" s="88"/>
    </row>
    <row r="879" ht="15.75" customHeight="1">
      <c r="A879" s="2"/>
      <c r="B879" s="2"/>
      <c r="C879" s="2"/>
      <c r="D879" s="2"/>
      <c r="E879" s="2"/>
      <c r="F879" s="2"/>
      <c r="G879" s="2"/>
      <c r="H879" s="74"/>
      <c r="I879" s="74"/>
      <c r="J879" s="74"/>
      <c r="K879" s="74"/>
      <c r="L879" s="74"/>
      <c r="M879" s="2"/>
      <c r="N879" s="2"/>
      <c r="O879" s="2"/>
      <c r="P879" s="2"/>
      <c r="Q879" s="74"/>
      <c r="R879" s="2"/>
      <c r="S879" s="2"/>
      <c r="T879" s="76"/>
      <c r="U879" s="88"/>
    </row>
    <row r="880" ht="15.75" customHeight="1">
      <c r="A880" s="2"/>
      <c r="B880" s="2"/>
      <c r="C880" s="2"/>
      <c r="D880" s="2"/>
      <c r="E880" s="2"/>
      <c r="F880" s="2"/>
      <c r="G880" s="2"/>
      <c r="H880" s="74"/>
      <c r="I880" s="74"/>
      <c r="J880" s="74"/>
      <c r="K880" s="74"/>
      <c r="L880" s="74"/>
      <c r="M880" s="2"/>
      <c r="N880" s="2"/>
      <c r="O880" s="2"/>
      <c r="P880" s="2"/>
      <c r="Q880" s="74"/>
      <c r="R880" s="2"/>
      <c r="S880" s="2"/>
      <c r="T880" s="76"/>
      <c r="U880" s="88"/>
    </row>
    <row r="881" ht="15.75" customHeight="1">
      <c r="A881" s="2"/>
      <c r="B881" s="2"/>
      <c r="C881" s="2"/>
      <c r="D881" s="2"/>
      <c r="E881" s="2"/>
      <c r="F881" s="2"/>
      <c r="G881" s="2"/>
      <c r="H881" s="74"/>
      <c r="I881" s="74"/>
      <c r="J881" s="74"/>
      <c r="K881" s="74"/>
      <c r="L881" s="74"/>
      <c r="M881" s="2"/>
      <c r="N881" s="2"/>
      <c r="O881" s="2"/>
      <c r="P881" s="2"/>
      <c r="Q881" s="74"/>
      <c r="R881" s="2"/>
      <c r="S881" s="2"/>
      <c r="T881" s="76"/>
      <c r="U881" s="88"/>
    </row>
    <row r="882" ht="15.75" customHeight="1">
      <c r="A882" s="2"/>
      <c r="B882" s="2"/>
      <c r="C882" s="2"/>
      <c r="D882" s="2"/>
      <c r="E882" s="2"/>
      <c r="F882" s="2"/>
      <c r="G882" s="2"/>
      <c r="H882" s="74"/>
      <c r="I882" s="74"/>
      <c r="J882" s="74"/>
      <c r="K882" s="74"/>
      <c r="L882" s="74"/>
      <c r="M882" s="2"/>
      <c r="N882" s="2"/>
      <c r="O882" s="2"/>
      <c r="P882" s="2"/>
      <c r="Q882" s="74"/>
      <c r="R882" s="2"/>
      <c r="S882" s="2"/>
      <c r="T882" s="76"/>
      <c r="U882" s="88"/>
    </row>
    <row r="883" ht="15.75" customHeight="1">
      <c r="A883" s="2"/>
      <c r="B883" s="2"/>
      <c r="C883" s="2"/>
      <c r="D883" s="2"/>
      <c r="E883" s="2"/>
      <c r="F883" s="2"/>
      <c r="G883" s="2"/>
      <c r="H883" s="74"/>
      <c r="I883" s="74"/>
      <c r="J883" s="74"/>
      <c r="K883" s="74"/>
      <c r="L883" s="74"/>
      <c r="M883" s="2"/>
      <c r="N883" s="2"/>
      <c r="O883" s="2"/>
      <c r="P883" s="2"/>
      <c r="Q883" s="74"/>
      <c r="R883" s="2"/>
      <c r="S883" s="2"/>
      <c r="T883" s="76"/>
      <c r="U883" s="88"/>
    </row>
    <row r="884" ht="15.75" customHeight="1">
      <c r="A884" s="2"/>
      <c r="B884" s="2"/>
      <c r="C884" s="2"/>
      <c r="D884" s="2"/>
      <c r="E884" s="2"/>
      <c r="F884" s="2"/>
      <c r="G884" s="2"/>
      <c r="H884" s="74"/>
      <c r="I884" s="74"/>
      <c r="J884" s="74"/>
      <c r="K884" s="74"/>
      <c r="L884" s="74"/>
      <c r="M884" s="2"/>
      <c r="N884" s="2"/>
      <c r="O884" s="2"/>
      <c r="P884" s="2"/>
      <c r="Q884" s="74"/>
      <c r="R884" s="2"/>
      <c r="S884" s="2"/>
      <c r="T884" s="76"/>
      <c r="U884" s="88"/>
    </row>
    <row r="885" ht="15.75" customHeight="1">
      <c r="A885" s="2"/>
      <c r="B885" s="2"/>
      <c r="C885" s="2"/>
      <c r="D885" s="2"/>
      <c r="E885" s="2"/>
      <c r="F885" s="2"/>
      <c r="G885" s="2"/>
      <c r="H885" s="74"/>
      <c r="I885" s="74"/>
      <c r="J885" s="74"/>
      <c r="K885" s="74"/>
      <c r="L885" s="74"/>
      <c r="M885" s="2"/>
      <c r="N885" s="2"/>
      <c r="O885" s="2"/>
      <c r="P885" s="2"/>
      <c r="Q885" s="74"/>
      <c r="R885" s="2"/>
      <c r="S885" s="2"/>
      <c r="T885" s="76"/>
      <c r="U885" s="88"/>
    </row>
    <row r="886" ht="15.75" customHeight="1">
      <c r="A886" s="2"/>
      <c r="B886" s="2"/>
      <c r="C886" s="2"/>
      <c r="D886" s="2"/>
      <c r="E886" s="2"/>
      <c r="F886" s="2"/>
      <c r="G886" s="2"/>
      <c r="H886" s="74"/>
      <c r="I886" s="74"/>
      <c r="J886" s="74"/>
      <c r="K886" s="74"/>
      <c r="L886" s="74"/>
      <c r="M886" s="2"/>
      <c r="N886" s="2"/>
      <c r="O886" s="2"/>
      <c r="P886" s="2"/>
      <c r="Q886" s="74"/>
      <c r="R886" s="2"/>
      <c r="S886" s="2"/>
      <c r="T886" s="76"/>
      <c r="U886" s="88"/>
    </row>
    <row r="887" ht="15.75" customHeight="1">
      <c r="A887" s="2"/>
      <c r="B887" s="2"/>
      <c r="C887" s="2"/>
      <c r="D887" s="2"/>
      <c r="E887" s="2"/>
      <c r="F887" s="2"/>
      <c r="G887" s="2"/>
      <c r="H887" s="74"/>
      <c r="I887" s="74"/>
      <c r="J887" s="74"/>
      <c r="K887" s="74"/>
      <c r="L887" s="74"/>
      <c r="M887" s="2"/>
      <c r="N887" s="2"/>
      <c r="O887" s="2"/>
      <c r="P887" s="2"/>
      <c r="Q887" s="74"/>
      <c r="R887" s="2"/>
      <c r="S887" s="2"/>
      <c r="T887" s="76"/>
      <c r="U887" s="88"/>
    </row>
    <row r="888" ht="15.75" customHeight="1">
      <c r="A888" s="2"/>
      <c r="B888" s="2"/>
      <c r="C888" s="2"/>
      <c r="D888" s="2"/>
      <c r="E888" s="2"/>
      <c r="F888" s="2"/>
      <c r="G888" s="2"/>
      <c r="H888" s="74"/>
      <c r="I888" s="74"/>
      <c r="J888" s="74"/>
      <c r="K888" s="74"/>
      <c r="L888" s="74"/>
      <c r="M888" s="2"/>
      <c r="N888" s="2"/>
      <c r="O888" s="2"/>
      <c r="P888" s="2"/>
      <c r="Q888" s="74"/>
      <c r="R888" s="2"/>
      <c r="S888" s="2"/>
      <c r="T888" s="76"/>
      <c r="U888" s="88"/>
    </row>
    <row r="889" ht="15.75" customHeight="1">
      <c r="A889" s="2"/>
      <c r="B889" s="2"/>
      <c r="C889" s="2"/>
      <c r="D889" s="2"/>
      <c r="E889" s="2"/>
      <c r="F889" s="2"/>
      <c r="G889" s="2"/>
      <c r="H889" s="74"/>
      <c r="I889" s="74"/>
      <c r="J889" s="74"/>
      <c r="K889" s="74"/>
      <c r="L889" s="74"/>
      <c r="M889" s="2"/>
      <c r="N889" s="2"/>
      <c r="O889" s="2"/>
      <c r="P889" s="2"/>
      <c r="Q889" s="74"/>
      <c r="R889" s="2"/>
      <c r="S889" s="2"/>
      <c r="T889" s="76"/>
      <c r="U889" s="88"/>
    </row>
    <row r="890" ht="15.75" customHeight="1">
      <c r="A890" s="2"/>
      <c r="B890" s="2"/>
      <c r="C890" s="2"/>
      <c r="D890" s="2"/>
      <c r="E890" s="2"/>
      <c r="F890" s="2"/>
      <c r="G890" s="2"/>
      <c r="H890" s="74"/>
      <c r="I890" s="74"/>
      <c r="J890" s="74"/>
      <c r="K890" s="74"/>
      <c r="L890" s="74"/>
      <c r="M890" s="2"/>
      <c r="N890" s="2"/>
      <c r="O890" s="2"/>
      <c r="P890" s="2"/>
      <c r="Q890" s="74"/>
      <c r="R890" s="2"/>
      <c r="S890" s="2"/>
      <c r="T890" s="76"/>
      <c r="U890" s="88"/>
    </row>
    <row r="891" ht="15.75" customHeight="1">
      <c r="A891" s="2"/>
      <c r="B891" s="2"/>
      <c r="C891" s="2"/>
      <c r="D891" s="2"/>
      <c r="E891" s="2"/>
      <c r="F891" s="2"/>
      <c r="G891" s="2"/>
      <c r="H891" s="74"/>
      <c r="I891" s="74"/>
      <c r="J891" s="74"/>
      <c r="K891" s="74"/>
      <c r="L891" s="74"/>
      <c r="M891" s="2"/>
      <c r="N891" s="2"/>
      <c r="O891" s="2"/>
      <c r="P891" s="2"/>
      <c r="Q891" s="74"/>
      <c r="R891" s="2"/>
      <c r="S891" s="2"/>
      <c r="T891" s="76"/>
      <c r="U891" s="88"/>
    </row>
    <row r="892" ht="15.75" customHeight="1">
      <c r="A892" s="2"/>
      <c r="B892" s="2"/>
      <c r="C892" s="2"/>
      <c r="D892" s="2"/>
      <c r="E892" s="2"/>
      <c r="F892" s="2"/>
      <c r="G892" s="2"/>
      <c r="H892" s="74"/>
      <c r="I892" s="74"/>
      <c r="J892" s="74"/>
      <c r="K892" s="74"/>
      <c r="L892" s="74"/>
      <c r="M892" s="2"/>
      <c r="N892" s="2"/>
      <c r="O892" s="2"/>
      <c r="P892" s="2"/>
      <c r="Q892" s="74"/>
      <c r="R892" s="2"/>
      <c r="S892" s="2"/>
      <c r="T892" s="76"/>
      <c r="U892" s="88"/>
    </row>
    <row r="893" ht="15.75" customHeight="1">
      <c r="A893" s="2"/>
      <c r="B893" s="2"/>
      <c r="C893" s="2"/>
      <c r="D893" s="2"/>
      <c r="E893" s="2"/>
      <c r="F893" s="2"/>
      <c r="G893" s="2"/>
      <c r="H893" s="74"/>
      <c r="I893" s="74"/>
      <c r="J893" s="74"/>
      <c r="K893" s="74"/>
      <c r="L893" s="74"/>
      <c r="M893" s="2"/>
      <c r="N893" s="2"/>
      <c r="O893" s="2"/>
      <c r="P893" s="2"/>
      <c r="Q893" s="74"/>
      <c r="R893" s="2"/>
      <c r="S893" s="2"/>
      <c r="T893" s="76"/>
      <c r="U893" s="88"/>
    </row>
    <row r="894" ht="15.75" customHeight="1">
      <c r="A894" s="2"/>
      <c r="B894" s="2"/>
      <c r="C894" s="2"/>
      <c r="D894" s="2"/>
      <c r="E894" s="2"/>
      <c r="F894" s="2"/>
      <c r="G894" s="2"/>
      <c r="H894" s="74"/>
      <c r="I894" s="74"/>
      <c r="J894" s="74"/>
      <c r="K894" s="74"/>
      <c r="L894" s="74"/>
      <c r="M894" s="2"/>
      <c r="N894" s="2"/>
      <c r="O894" s="2"/>
      <c r="P894" s="2"/>
      <c r="Q894" s="74"/>
      <c r="R894" s="2"/>
      <c r="S894" s="2"/>
      <c r="T894" s="76"/>
      <c r="U894" s="88"/>
    </row>
    <row r="895" ht="15.75" customHeight="1">
      <c r="A895" s="2"/>
      <c r="B895" s="2"/>
      <c r="C895" s="2"/>
      <c r="D895" s="2"/>
      <c r="E895" s="2"/>
      <c r="F895" s="2"/>
      <c r="G895" s="2"/>
      <c r="H895" s="74"/>
      <c r="I895" s="74"/>
      <c r="J895" s="74"/>
      <c r="K895" s="74"/>
      <c r="L895" s="74"/>
      <c r="M895" s="2"/>
      <c r="N895" s="2"/>
      <c r="O895" s="2"/>
      <c r="P895" s="2"/>
      <c r="Q895" s="74"/>
      <c r="R895" s="2"/>
      <c r="S895" s="2"/>
      <c r="T895" s="76"/>
      <c r="U895" s="88"/>
    </row>
    <row r="896" ht="15.75" customHeight="1">
      <c r="A896" s="2"/>
      <c r="B896" s="2"/>
      <c r="C896" s="2"/>
      <c r="D896" s="2"/>
      <c r="E896" s="2"/>
      <c r="F896" s="2"/>
      <c r="G896" s="2"/>
      <c r="H896" s="74"/>
      <c r="I896" s="74"/>
      <c r="J896" s="74"/>
      <c r="K896" s="74"/>
      <c r="L896" s="74"/>
      <c r="M896" s="2"/>
      <c r="N896" s="2"/>
      <c r="O896" s="2"/>
      <c r="P896" s="2"/>
      <c r="Q896" s="74"/>
      <c r="R896" s="2"/>
      <c r="S896" s="2"/>
      <c r="T896" s="76"/>
      <c r="U896" s="88"/>
    </row>
    <row r="897" ht="15.75" customHeight="1">
      <c r="A897" s="2"/>
      <c r="B897" s="2"/>
      <c r="C897" s="2"/>
      <c r="D897" s="2"/>
      <c r="E897" s="2"/>
      <c r="F897" s="2"/>
      <c r="G897" s="2"/>
      <c r="H897" s="74"/>
      <c r="I897" s="74"/>
      <c r="J897" s="74"/>
      <c r="K897" s="74"/>
      <c r="L897" s="74"/>
      <c r="M897" s="2"/>
      <c r="N897" s="2"/>
      <c r="O897" s="2"/>
      <c r="P897" s="2"/>
      <c r="Q897" s="74"/>
      <c r="R897" s="2"/>
      <c r="S897" s="2"/>
      <c r="T897" s="76"/>
      <c r="U897" s="88"/>
    </row>
    <row r="898" ht="15.75" customHeight="1">
      <c r="A898" s="2"/>
      <c r="B898" s="2"/>
      <c r="C898" s="2"/>
      <c r="D898" s="2"/>
      <c r="E898" s="2"/>
      <c r="F898" s="2"/>
      <c r="G898" s="2"/>
      <c r="H898" s="74"/>
      <c r="I898" s="74"/>
      <c r="J898" s="74"/>
      <c r="K898" s="74"/>
      <c r="L898" s="74"/>
      <c r="M898" s="2"/>
      <c r="N898" s="2"/>
      <c r="O898" s="2"/>
      <c r="P898" s="2"/>
      <c r="Q898" s="74"/>
      <c r="R898" s="2"/>
      <c r="S898" s="2"/>
      <c r="T898" s="76"/>
      <c r="U898" s="88"/>
    </row>
    <row r="899" ht="15.75" customHeight="1">
      <c r="A899" s="2"/>
      <c r="B899" s="2"/>
      <c r="C899" s="2"/>
      <c r="D899" s="2"/>
      <c r="E899" s="2"/>
      <c r="F899" s="2"/>
      <c r="G899" s="2"/>
      <c r="H899" s="74"/>
      <c r="I899" s="74"/>
      <c r="J899" s="74"/>
      <c r="K899" s="74"/>
      <c r="L899" s="74"/>
      <c r="M899" s="2"/>
      <c r="N899" s="2"/>
      <c r="O899" s="2"/>
      <c r="P899" s="2"/>
      <c r="Q899" s="74"/>
      <c r="R899" s="2"/>
      <c r="S899" s="2"/>
      <c r="T899" s="76"/>
      <c r="U899" s="88"/>
    </row>
    <row r="900" ht="15.75" customHeight="1">
      <c r="A900" s="2"/>
      <c r="B900" s="2"/>
      <c r="C900" s="2"/>
      <c r="D900" s="2"/>
      <c r="E900" s="2"/>
      <c r="F900" s="2"/>
      <c r="G900" s="2"/>
      <c r="H900" s="74"/>
      <c r="I900" s="74"/>
      <c r="J900" s="74"/>
      <c r="K900" s="74"/>
      <c r="L900" s="74"/>
      <c r="M900" s="2"/>
      <c r="N900" s="2"/>
      <c r="O900" s="2"/>
      <c r="P900" s="2"/>
      <c r="Q900" s="74"/>
      <c r="R900" s="2"/>
      <c r="S900" s="2"/>
      <c r="T900" s="76"/>
      <c r="U900" s="88"/>
    </row>
    <row r="901" ht="15.75" customHeight="1">
      <c r="A901" s="2"/>
      <c r="B901" s="2"/>
      <c r="C901" s="2"/>
      <c r="D901" s="2"/>
      <c r="E901" s="2"/>
      <c r="F901" s="2"/>
      <c r="G901" s="2"/>
      <c r="H901" s="74"/>
      <c r="I901" s="74"/>
      <c r="J901" s="74"/>
      <c r="K901" s="74"/>
      <c r="L901" s="74"/>
      <c r="M901" s="2"/>
      <c r="N901" s="2"/>
      <c r="O901" s="2"/>
      <c r="P901" s="2"/>
      <c r="Q901" s="74"/>
      <c r="R901" s="2"/>
      <c r="S901" s="2"/>
      <c r="T901" s="76"/>
      <c r="U901" s="88"/>
    </row>
    <row r="902" ht="15.75" customHeight="1">
      <c r="A902" s="2"/>
      <c r="B902" s="2"/>
      <c r="C902" s="2"/>
      <c r="D902" s="2"/>
      <c r="E902" s="2"/>
      <c r="F902" s="2"/>
      <c r="G902" s="2"/>
      <c r="H902" s="74"/>
      <c r="I902" s="74"/>
      <c r="J902" s="74"/>
      <c r="K902" s="74"/>
      <c r="L902" s="74"/>
      <c r="M902" s="2"/>
      <c r="N902" s="2"/>
      <c r="O902" s="2"/>
      <c r="P902" s="2"/>
      <c r="Q902" s="74"/>
      <c r="R902" s="2"/>
      <c r="S902" s="2"/>
      <c r="T902" s="76"/>
      <c r="U902" s="88"/>
    </row>
    <row r="903" ht="15.75" customHeight="1">
      <c r="A903" s="2"/>
      <c r="B903" s="2"/>
      <c r="C903" s="2"/>
      <c r="D903" s="2"/>
      <c r="E903" s="2"/>
      <c r="F903" s="2"/>
      <c r="G903" s="2"/>
      <c r="H903" s="74"/>
      <c r="I903" s="74"/>
      <c r="J903" s="74"/>
      <c r="K903" s="74"/>
      <c r="L903" s="74"/>
      <c r="M903" s="2"/>
      <c r="N903" s="2"/>
      <c r="O903" s="2"/>
      <c r="P903" s="2"/>
      <c r="Q903" s="74"/>
      <c r="R903" s="2"/>
      <c r="S903" s="2"/>
      <c r="T903" s="76"/>
      <c r="U903" s="88"/>
    </row>
    <row r="904" ht="15.75" customHeight="1">
      <c r="A904" s="2"/>
      <c r="B904" s="2"/>
      <c r="C904" s="2"/>
      <c r="D904" s="2"/>
      <c r="E904" s="2"/>
      <c r="F904" s="2"/>
      <c r="G904" s="2"/>
      <c r="H904" s="74"/>
      <c r="I904" s="74"/>
      <c r="J904" s="74"/>
      <c r="K904" s="74"/>
      <c r="L904" s="74"/>
      <c r="M904" s="2"/>
      <c r="N904" s="2"/>
      <c r="O904" s="2"/>
      <c r="P904" s="2"/>
      <c r="Q904" s="74"/>
      <c r="R904" s="2"/>
      <c r="S904" s="2"/>
      <c r="T904" s="76"/>
      <c r="U904" s="88"/>
    </row>
    <row r="905" ht="15.75" customHeight="1">
      <c r="A905" s="2"/>
      <c r="B905" s="2"/>
      <c r="C905" s="2"/>
      <c r="D905" s="2"/>
      <c r="E905" s="2"/>
      <c r="F905" s="2"/>
      <c r="G905" s="2"/>
      <c r="H905" s="74"/>
      <c r="I905" s="74"/>
      <c r="J905" s="74"/>
      <c r="K905" s="74"/>
      <c r="L905" s="74"/>
      <c r="M905" s="2"/>
      <c r="N905" s="2"/>
      <c r="O905" s="2"/>
      <c r="P905" s="2"/>
      <c r="Q905" s="74"/>
      <c r="R905" s="2"/>
      <c r="S905" s="2"/>
      <c r="T905" s="76"/>
      <c r="U905" s="88"/>
    </row>
    <row r="906" ht="15.75" customHeight="1">
      <c r="A906" s="2"/>
      <c r="B906" s="2"/>
      <c r="C906" s="2"/>
      <c r="D906" s="2"/>
      <c r="E906" s="2"/>
      <c r="F906" s="2"/>
      <c r="G906" s="2"/>
      <c r="H906" s="74"/>
      <c r="I906" s="74"/>
      <c r="J906" s="74"/>
      <c r="K906" s="74"/>
      <c r="L906" s="74"/>
      <c r="M906" s="2"/>
      <c r="N906" s="2"/>
      <c r="O906" s="2"/>
      <c r="P906" s="2"/>
      <c r="Q906" s="74"/>
      <c r="R906" s="2"/>
      <c r="S906" s="2"/>
      <c r="T906" s="76"/>
      <c r="U906" s="88"/>
    </row>
    <row r="907" ht="15.75" customHeight="1">
      <c r="A907" s="2"/>
      <c r="B907" s="2"/>
      <c r="C907" s="2"/>
      <c r="D907" s="2"/>
      <c r="E907" s="2"/>
      <c r="F907" s="2"/>
      <c r="G907" s="2"/>
      <c r="H907" s="74"/>
      <c r="I907" s="74"/>
      <c r="J907" s="74"/>
      <c r="K907" s="74"/>
      <c r="L907" s="74"/>
      <c r="M907" s="2"/>
      <c r="N907" s="2"/>
      <c r="O907" s="2"/>
      <c r="P907" s="2"/>
      <c r="Q907" s="74"/>
      <c r="R907" s="2"/>
      <c r="S907" s="2"/>
      <c r="T907" s="76"/>
      <c r="U907" s="88"/>
    </row>
    <row r="908" ht="15.75" customHeight="1">
      <c r="A908" s="2"/>
      <c r="B908" s="2"/>
      <c r="C908" s="2"/>
      <c r="D908" s="2"/>
      <c r="E908" s="2"/>
      <c r="F908" s="2"/>
      <c r="G908" s="2"/>
      <c r="H908" s="74"/>
      <c r="I908" s="74"/>
      <c r="J908" s="74"/>
      <c r="K908" s="74"/>
      <c r="L908" s="74"/>
      <c r="M908" s="2"/>
      <c r="N908" s="2"/>
      <c r="O908" s="2"/>
      <c r="P908" s="2"/>
      <c r="Q908" s="74"/>
      <c r="R908" s="2"/>
      <c r="S908" s="2"/>
      <c r="T908" s="76"/>
      <c r="U908" s="88"/>
    </row>
    <row r="909" ht="15.75" customHeight="1">
      <c r="A909" s="2"/>
      <c r="B909" s="2"/>
      <c r="C909" s="2"/>
      <c r="D909" s="2"/>
      <c r="E909" s="2"/>
      <c r="F909" s="2"/>
      <c r="G909" s="2"/>
      <c r="H909" s="74"/>
      <c r="I909" s="74"/>
      <c r="J909" s="74"/>
      <c r="K909" s="74"/>
      <c r="L909" s="74"/>
      <c r="M909" s="2"/>
      <c r="N909" s="2"/>
      <c r="O909" s="2"/>
      <c r="P909" s="2"/>
      <c r="Q909" s="74"/>
      <c r="R909" s="2"/>
      <c r="S909" s="2"/>
      <c r="T909" s="76"/>
      <c r="U909" s="88"/>
    </row>
    <row r="910" ht="15.75" customHeight="1">
      <c r="A910" s="2"/>
      <c r="B910" s="2"/>
      <c r="C910" s="2"/>
      <c r="D910" s="2"/>
      <c r="E910" s="2"/>
      <c r="F910" s="2"/>
      <c r="G910" s="2"/>
      <c r="H910" s="74"/>
      <c r="I910" s="74"/>
      <c r="J910" s="74"/>
      <c r="K910" s="74"/>
      <c r="L910" s="74"/>
      <c r="M910" s="2"/>
      <c r="N910" s="2"/>
      <c r="O910" s="2"/>
      <c r="P910" s="2"/>
      <c r="Q910" s="74"/>
      <c r="R910" s="2"/>
      <c r="S910" s="2"/>
      <c r="T910" s="76"/>
      <c r="U910" s="88"/>
    </row>
    <row r="911" ht="15.75" customHeight="1">
      <c r="A911" s="2"/>
      <c r="B911" s="2"/>
      <c r="C911" s="2"/>
      <c r="D911" s="2"/>
      <c r="E911" s="2"/>
      <c r="F911" s="2"/>
      <c r="G911" s="2"/>
      <c r="H911" s="74"/>
      <c r="I911" s="74"/>
      <c r="J911" s="74"/>
      <c r="K911" s="74"/>
      <c r="L911" s="74"/>
      <c r="M911" s="2"/>
      <c r="N911" s="2"/>
      <c r="O911" s="2"/>
      <c r="P911" s="2"/>
      <c r="Q911" s="74"/>
      <c r="R911" s="2"/>
      <c r="S911" s="2"/>
      <c r="T911" s="76"/>
      <c r="U911" s="88"/>
    </row>
    <row r="912" ht="15.75" customHeight="1">
      <c r="A912" s="2"/>
      <c r="B912" s="2"/>
      <c r="C912" s="2"/>
      <c r="D912" s="2"/>
      <c r="E912" s="2"/>
      <c r="F912" s="2"/>
      <c r="G912" s="2"/>
      <c r="H912" s="74"/>
      <c r="I912" s="74"/>
      <c r="J912" s="74"/>
      <c r="K912" s="74"/>
      <c r="L912" s="74"/>
      <c r="M912" s="2"/>
      <c r="N912" s="2"/>
      <c r="O912" s="2"/>
      <c r="P912" s="2"/>
      <c r="Q912" s="74"/>
      <c r="R912" s="2"/>
      <c r="S912" s="2"/>
      <c r="T912" s="76"/>
      <c r="U912" s="88"/>
    </row>
    <row r="913" ht="15.75" customHeight="1">
      <c r="A913" s="2"/>
      <c r="B913" s="2"/>
      <c r="C913" s="2"/>
      <c r="D913" s="2"/>
      <c r="E913" s="2"/>
      <c r="F913" s="2"/>
      <c r="G913" s="2"/>
      <c r="H913" s="74"/>
      <c r="I913" s="74"/>
      <c r="J913" s="74"/>
      <c r="K913" s="74"/>
      <c r="L913" s="74"/>
      <c r="M913" s="2"/>
      <c r="N913" s="2"/>
      <c r="O913" s="2"/>
      <c r="P913" s="2"/>
      <c r="Q913" s="74"/>
      <c r="R913" s="2"/>
      <c r="S913" s="2"/>
      <c r="T913" s="76"/>
      <c r="U913" s="88"/>
    </row>
    <row r="914" ht="15.75" customHeight="1">
      <c r="A914" s="2"/>
      <c r="B914" s="2"/>
      <c r="C914" s="2"/>
      <c r="D914" s="2"/>
      <c r="E914" s="2"/>
      <c r="F914" s="2"/>
      <c r="G914" s="2"/>
      <c r="H914" s="74"/>
      <c r="I914" s="74"/>
      <c r="J914" s="74"/>
      <c r="K914" s="74"/>
      <c r="L914" s="74"/>
      <c r="M914" s="2"/>
      <c r="N914" s="2"/>
      <c r="O914" s="2"/>
      <c r="P914" s="2"/>
      <c r="Q914" s="74"/>
      <c r="R914" s="2"/>
      <c r="S914" s="2"/>
      <c r="T914" s="76"/>
      <c r="U914" s="88"/>
    </row>
    <row r="915" ht="15.75" customHeight="1">
      <c r="A915" s="2"/>
      <c r="B915" s="2"/>
      <c r="C915" s="2"/>
      <c r="D915" s="2"/>
      <c r="E915" s="2"/>
      <c r="F915" s="2"/>
      <c r="G915" s="2"/>
      <c r="H915" s="74"/>
      <c r="I915" s="74"/>
      <c r="J915" s="74"/>
      <c r="K915" s="74"/>
      <c r="L915" s="74"/>
      <c r="M915" s="2"/>
      <c r="N915" s="2"/>
      <c r="O915" s="2"/>
      <c r="P915" s="2"/>
      <c r="Q915" s="74"/>
      <c r="R915" s="2"/>
      <c r="S915" s="2"/>
      <c r="T915" s="76"/>
      <c r="U915" s="88"/>
    </row>
    <row r="916" ht="15.75" customHeight="1">
      <c r="A916" s="2"/>
      <c r="B916" s="2"/>
      <c r="C916" s="2"/>
      <c r="D916" s="2"/>
      <c r="E916" s="2"/>
      <c r="F916" s="2"/>
      <c r="G916" s="2"/>
      <c r="H916" s="74"/>
      <c r="I916" s="74"/>
      <c r="J916" s="74"/>
      <c r="K916" s="74"/>
      <c r="L916" s="74"/>
      <c r="M916" s="2"/>
      <c r="N916" s="2"/>
      <c r="O916" s="2"/>
      <c r="P916" s="2"/>
      <c r="Q916" s="74"/>
      <c r="R916" s="2"/>
      <c r="S916" s="2"/>
      <c r="T916" s="76"/>
      <c r="U916" s="88"/>
    </row>
    <row r="917" ht="15.75" customHeight="1">
      <c r="A917" s="2"/>
      <c r="B917" s="2"/>
      <c r="C917" s="2"/>
      <c r="D917" s="2"/>
      <c r="E917" s="2"/>
      <c r="F917" s="2"/>
      <c r="G917" s="2"/>
      <c r="H917" s="74"/>
      <c r="I917" s="74"/>
      <c r="J917" s="74"/>
      <c r="K917" s="74"/>
      <c r="L917" s="74"/>
      <c r="M917" s="2"/>
      <c r="N917" s="2"/>
      <c r="O917" s="2"/>
      <c r="P917" s="2"/>
      <c r="Q917" s="74"/>
      <c r="R917" s="2"/>
      <c r="S917" s="2"/>
      <c r="T917" s="76"/>
      <c r="U917" s="88"/>
    </row>
    <row r="918" ht="15.75" customHeight="1">
      <c r="A918" s="2"/>
      <c r="B918" s="2"/>
      <c r="C918" s="2"/>
      <c r="D918" s="2"/>
      <c r="E918" s="2"/>
      <c r="F918" s="2"/>
      <c r="G918" s="2"/>
      <c r="H918" s="74"/>
      <c r="I918" s="74"/>
      <c r="J918" s="74"/>
      <c r="K918" s="74"/>
      <c r="L918" s="74"/>
      <c r="M918" s="2"/>
      <c r="N918" s="2"/>
      <c r="O918" s="2"/>
      <c r="P918" s="2"/>
      <c r="Q918" s="74"/>
      <c r="R918" s="2"/>
      <c r="S918" s="2"/>
      <c r="T918" s="76"/>
      <c r="U918" s="88"/>
    </row>
    <row r="919" ht="15.75" customHeight="1">
      <c r="A919" s="2"/>
      <c r="B919" s="2"/>
      <c r="C919" s="2"/>
      <c r="D919" s="2"/>
      <c r="E919" s="2"/>
      <c r="F919" s="2"/>
      <c r="G919" s="2"/>
      <c r="H919" s="74"/>
      <c r="I919" s="74"/>
      <c r="J919" s="74"/>
      <c r="K919" s="74"/>
      <c r="L919" s="74"/>
      <c r="M919" s="2"/>
      <c r="N919" s="2"/>
      <c r="O919" s="2"/>
      <c r="P919" s="2"/>
      <c r="Q919" s="74"/>
      <c r="R919" s="2"/>
      <c r="S919" s="2"/>
      <c r="T919" s="76"/>
      <c r="U919" s="88"/>
    </row>
    <row r="920" ht="15.75" customHeight="1">
      <c r="A920" s="2"/>
      <c r="B920" s="2"/>
      <c r="C920" s="2"/>
      <c r="D920" s="2"/>
      <c r="E920" s="2"/>
      <c r="F920" s="2"/>
      <c r="G920" s="2"/>
      <c r="H920" s="74"/>
      <c r="I920" s="74"/>
      <c r="J920" s="74"/>
      <c r="K920" s="74"/>
      <c r="L920" s="74"/>
      <c r="M920" s="2"/>
      <c r="N920" s="2"/>
      <c r="O920" s="2"/>
      <c r="P920" s="2"/>
      <c r="Q920" s="74"/>
      <c r="R920" s="2"/>
      <c r="S920" s="2"/>
      <c r="T920" s="76"/>
      <c r="U920" s="88"/>
    </row>
    <row r="921" ht="15.75" customHeight="1">
      <c r="A921" s="2"/>
      <c r="B921" s="2"/>
      <c r="C921" s="2"/>
      <c r="D921" s="2"/>
      <c r="E921" s="2"/>
      <c r="F921" s="2"/>
      <c r="G921" s="2"/>
      <c r="H921" s="74"/>
      <c r="I921" s="74"/>
      <c r="J921" s="74"/>
      <c r="K921" s="74"/>
      <c r="L921" s="74"/>
      <c r="M921" s="2"/>
      <c r="N921" s="2"/>
      <c r="O921" s="2"/>
      <c r="P921" s="2"/>
      <c r="Q921" s="74"/>
      <c r="R921" s="2"/>
      <c r="S921" s="2"/>
      <c r="T921" s="76"/>
      <c r="U921" s="88"/>
    </row>
    <row r="922" ht="15.75" customHeight="1">
      <c r="A922" s="2"/>
      <c r="B922" s="2"/>
      <c r="C922" s="2"/>
      <c r="D922" s="2"/>
      <c r="E922" s="2"/>
      <c r="F922" s="2"/>
      <c r="G922" s="2"/>
      <c r="H922" s="74"/>
      <c r="I922" s="74"/>
      <c r="J922" s="74"/>
      <c r="K922" s="74"/>
      <c r="L922" s="74"/>
      <c r="M922" s="2"/>
      <c r="N922" s="2"/>
      <c r="O922" s="2"/>
      <c r="P922" s="2"/>
      <c r="Q922" s="74"/>
      <c r="R922" s="2"/>
      <c r="S922" s="2"/>
      <c r="T922" s="76"/>
      <c r="U922" s="88"/>
    </row>
    <row r="923" ht="15.75" customHeight="1">
      <c r="A923" s="2"/>
      <c r="B923" s="2"/>
      <c r="C923" s="2"/>
      <c r="D923" s="2"/>
      <c r="E923" s="2"/>
      <c r="F923" s="2"/>
      <c r="G923" s="2"/>
      <c r="H923" s="74"/>
      <c r="I923" s="74"/>
      <c r="J923" s="74"/>
      <c r="K923" s="74"/>
      <c r="L923" s="74"/>
      <c r="M923" s="2"/>
      <c r="N923" s="2"/>
      <c r="O923" s="2"/>
      <c r="P923" s="2"/>
      <c r="Q923" s="74"/>
      <c r="R923" s="2"/>
      <c r="S923" s="2"/>
      <c r="T923" s="76"/>
      <c r="U923" s="88"/>
    </row>
    <row r="924" ht="15.75" customHeight="1">
      <c r="A924" s="2"/>
      <c r="B924" s="2"/>
      <c r="C924" s="2"/>
      <c r="D924" s="2"/>
      <c r="E924" s="2"/>
      <c r="F924" s="2"/>
      <c r="G924" s="2"/>
      <c r="H924" s="74"/>
      <c r="I924" s="74"/>
      <c r="J924" s="74"/>
      <c r="K924" s="74"/>
      <c r="L924" s="74"/>
      <c r="M924" s="2"/>
      <c r="N924" s="2"/>
      <c r="O924" s="2"/>
      <c r="P924" s="2"/>
      <c r="Q924" s="74"/>
      <c r="R924" s="2"/>
      <c r="S924" s="2"/>
      <c r="T924" s="76"/>
      <c r="U924" s="88"/>
    </row>
    <row r="925" ht="15.75" customHeight="1">
      <c r="A925" s="2"/>
      <c r="B925" s="2"/>
      <c r="C925" s="2"/>
      <c r="D925" s="2"/>
      <c r="E925" s="2"/>
      <c r="F925" s="2"/>
      <c r="G925" s="2"/>
      <c r="H925" s="74"/>
      <c r="I925" s="74"/>
      <c r="J925" s="74"/>
      <c r="K925" s="74"/>
      <c r="L925" s="74"/>
      <c r="M925" s="2"/>
      <c r="N925" s="2"/>
      <c r="O925" s="2"/>
      <c r="P925" s="2"/>
      <c r="Q925" s="74"/>
      <c r="R925" s="2"/>
      <c r="S925" s="2"/>
      <c r="T925" s="76"/>
      <c r="U925" s="88"/>
    </row>
    <row r="926" ht="15.75" customHeight="1">
      <c r="A926" s="2"/>
      <c r="B926" s="2"/>
      <c r="C926" s="2"/>
      <c r="D926" s="2"/>
      <c r="E926" s="2"/>
      <c r="F926" s="2"/>
      <c r="G926" s="2"/>
      <c r="H926" s="74"/>
      <c r="I926" s="74"/>
      <c r="J926" s="74"/>
      <c r="K926" s="74"/>
      <c r="L926" s="74"/>
      <c r="M926" s="2"/>
      <c r="N926" s="2"/>
      <c r="O926" s="2"/>
      <c r="P926" s="2"/>
      <c r="Q926" s="74"/>
      <c r="R926" s="2"/>
      <c r="S926" s="2"/>
      <c r="T926" s="76"/>
      <c r="U926" s="88"/>
    </row>
    <row r="927" ht="15.75" customHeight="1">
      <c r="A927" s="2"/>
      <c r="B927" s="2"/>
      <c r="C927" s="2"/>
      <c r="D927" s="2"/>
      <c r="E927" s="2"/>
      <c r="F927" s="2"/>
      <c r="G927" s="2"/>
      <c r="H927" s="74"/>
      <c r="I927" s="74"/>
      <c r="J927" s="74"/>
      <c r="K927" s="74"/>
      <c r="L927" s="74"/>
      <c r="M927" s="2"/>
      <c r="N927" s="2"/>
      <c r="O927" s="2"/>
      <c r="P927" s="2"/>
      <c r="Q927" s="74"/>
      <c r="R927" s="2"/>
      <c r="S927" s="2"/>
      <c r="T927" s="76"/>
      <c r="U927" s="88"/>
    </row>
    <row r="928" ht="15.75" customHeight="1">
      <c r="A928" s="2"/>
      <c r="B928" s="2"/>
      <c r="C928" s="2"/>
      <c r="D928" s="2"/>
      <c r="E928" s="2"/>
      <c r="F928" s="2"/>
      <c r="G928" s="2"/>
      <c r="H928" s="74"/>
      <c r="I928" s="74"/>
      <c r="J928" s="74"/>
      <c r="K928" s="74"/>
      <c r="L928" s="74"/>
      <c r="M928" s="2"/>
      <c r="N928" s="2"/>
      <c r="O928" s="2"/>
      <c r="P928" s="2"/>
      <c r="Q928" s="74"/>
      <c r="R928" s="2"/>
      <c r="S928" s="2"/>
      <c r="T928" s="76"/>
      <c r="U928" s="88"/>
    </row>
    <row r="929" ht="15.75" customHeight="1">
      <c r="A929" s="2"/>
      <c r="B929" s="2"/>
      <c r="C929" s="2"/>
      <c r="D929" s="2"/>
      <c r="E929" s="2"/>
      <c r="F929" s="2"/>
      <c r="G929" s="2"/>
      <c r="H929" s="74"/>
      <c r="I929" s="74"/>
      <c r="J929" s="74"/>
      <c r="K929" s="74"/>
      <c r="L929" s="74"/>
      <c r="M929" s="2"/>
      <c r="N929" s="2"/>
      <c r="O929" s="2"/>
      <c r="P929" s="2"/>
      <c r="Q929" s="74"/>
      <c r="R929" s="2"/>
      <c r="S929" s="2"/>
      <c r="T929" s="76"/>
      <c r="U929" s="88"/>
    </row>
    <row r="930" ht="15.75" customHeight="1">
      <c r="A930" s="2"/>
      <c r="B930" s="2"/>
      <c r="C930" s="2"/>
      <c r="D930" s="2"/>
      <c r="E930" s="2"/>
      <c r="F930" s="2"/>
      <c r="G930" s="2"/>
      <c r="H930" s="74"/>
      <c r="I930" s="74"/>
      <c r="J930" s="74"/>
      <c r="K930" s="74"/>
      <c r="L930" s="74"/>
      <c r="M930" s="2"/>
      <c r="N930" s="2"/>
      <c r="O930" s="2"/>
      <c r="P930" s="2"/>
      <c r="Q930" s="74"/>
      <c r="R930" s="2"/>
      <c r="S930" s="2"/>
      <c r="T930" s="76"/>
      <c r="U930" s="88"/>
    </row>
    <row r="931" ht="15.75" customHeight="1">
      <c r="A931" s="2"/>
      <c r="B931" s="2"/>
      <c r="C931" s="2"/>
      <c r="D931" s="2"/>
      <c r="E931" s="2"/>
      <c r="F931" s="2"/>
      <c r="G931" s="2"/>
      <c r="H931" s="74"/>
      <c r="I931" s="74"/>
      <c r="J931" s="74"/>
      <c r="K931" s="74"/>
      <c r="L931" s="74"/>
      <c r="M931" s="2"/>
      <c r="N931" s="2"/>
      <c r="O931" s="2"/>
      <c r="P931" s="2"/>
      <c r="Q931" s="74"/>
      <c r="R931" s="2"/>
      <c r="S931" s="2"/>
      <c r="T931" s="76"/>
      <c r="U931" s="88"/>
    </row>
    <row r="932" ht="15.75" customHeight="1">
      <c r="A932" s="2"/>
      <c r="B932" s="2"/>
      <c r="C932" s="2"/>
      <c r="D932" s="2"/>
      <c r="E932" s="2"/>
      <c r="F932" s="2"/>
      <c r="G932" s="2"/>
      <c r="H932" s="74"/>
      <c r="I932" s="74"/>
      <c r="J932" s="74"/>
      <c r="K932" s="74"/>
      <c r="L932" s="74"/>
      <c r="M932" s="2"/>
      <c r="N932" s="2"/>
      <c r="O932" s="2"/>
      <c r="P932" s="2"/>
      <c r="Q932" s="74"/>
      <c r="R932" s="2"/>
      <c r="S932" s="2"/>
      <c r="T932" s="76"/>
      <c r="U932" s="88"/>
    </row>
    <row r="933" ht="15.75" customHeight="1">
      <c r="A933" s="2"/>
      <c r="B933" s="2"/>
      <c r="C933" s="2"/>
      <c r="D933" s="2"/>
      <c r="E933" s="2"/>
      <c r="F933" s="2"/>
      <c r="G933" s="2"/>
      <c r="H933" s="74"/>
      <c r="I933" s="74"/>
      <c r="J933" s="74"/>
      <c r="K933" s="74"/>
      <c r="L933" s="74"/>
      <c r="M933" s="2"/>
      <c r="N933" s="2"/>
      <c r="O933" s="2"/>
      <c r="P933" s="2"/>
      <c r="Q933" s="74"/>
      <c r="R933" s="2"/>
      <c r="S933" s="2"/>
      <c r="T933" s="76"/>
      <c r="U933" s="88"/>
    </row>
    <row r="934" ht="15.75" customHeight="1">
      <c r="A934" s="2"/>
      <c r="B934" s="2"/>
      <c r="C934" s="2"/>
      <c r="D934" s="2"/>
      <c r="E934" s="2"/>
      <c r="F934" s="2"/>
      <c r="G934" s="2"/>
      <c r="H934" s="74"/>
      <c r="I934" s="74"/>
      <c r="J934" s="74"/>
      <c r="K934" s="74"/>
      <c r="L934" s="74"/>
      <c r="M934" s="2"/>
      <c r="N934" s="2"/>
      <c r="O934" s="2"/>
      <c r="P934" s="2"/>
      <c r="Q934" s="74"/>
      <c r="R934" s="2"/>
      <c r="S934" s="2"/>
      <c r="T934" s="76"/>
      <c r="U934" s="88"/>
    </row>
    <row r="935" ht="15.75" customHeight="1">
      <c r="A935" s="2"/>
      <c r="B935" s="2"/>
      <c r="C935" s="2"/>
      <c r="D935" s="2"/>
      <c r="E935" s="2"/>
      <c r="F935" s="2"/>
      <c r="G935" s="2"/>
      <c r="H935" s="74"/>
      <c r="I935" s="74"/>
      <c r="J935" s="74"/>
      <c r="K935" s="74"/>
      <c r="L935" s="74"/>
      <c r="M935" s="2"/>
      <c r="N935" s="2"/>
      <c r="O935" s="2"/>
      <c r="P935" s="2"/>
      <c r="Q935" s="74"/>
      <c r="R935" s="2"/>
      <c r="S935" s="2"/>
      <c r="T935" s="76"/>
      <c r="U935" s="88"/>
    </row>
    <row r="936" ht="15.75" customHeight="1">
      <c r="A936" s="2"/>
      <c r="B936" s="2"/>
      <c r="C936" s="2"/>
      <c r="D936" s="2"/>
      <c r="E936" s="2"/>
      <c r="F936" s="2"/>
      <c r="G936" s="2"/>
      <c r="H936" s="74"/>
      <c r="I936" s="74"/>
      <c r="J936" s="74"/>
      <c r="K936" s="74"/>
      <c r="L936" s="74"/>
      <c r="M936" s="2"/>
      <c r="N936" s="2"/>
      <c r="O936" s="2"/>
      <c r="P936" s="2"/>
      <c r="Q936" s="74"/>
      <c r="R936" s="2"/>
      <c r="S936" s="2"/>
      <c r="T936" s="76"/>
      <c r="U936" s="88"/>
    </row>
    <row r="937" ht="15.75" customHeight="1">
      <c r="A937" s="2"/>
      <c r="B937" s="2"/>
      <c r="C937" s="2"/>
      <c r="D937" s="2"/>
      <c r="E937" s="2"/>
      <c r="F937" s="2"/>
      <c r="G937" s="2"/>
      <c r="H937" s="74"/>
      <c r="I937" s="74"/>
      <c r="J937" s="74"/>
      <c r="K937" s="74"/>
      <c r="L937" s="74"/>
      <c r="M937" s="2"/>
      <c r="N937" s="2"/>
      <c r="O937" s="2"/>
      <c r="P937" s="2"/>
      <c r="Q937" s="74"/>
      <c r="R937" s="2"/>
      <c r="S937" s="2"/>
      <c r="T937" s="76"/>
      <c r="U937" s="88"/>
    </row>
    <row r="938" ht="15.75" customHeight="1">
      <c r="A938" s="2"/>
      <c r="B938" s="2"/>
      <c r="C938" s="2"/>
      <c r="D938" s="2"/>
      <c r="E938" s="2"/>
      <c r="F938" s="2"/>
      <c r="G938" s="2"/>
      <c r="H938" s="74"/>
      <c r="I938" s="74"/>
      <c r="J938" s="74"/>
      <c r="K938" s="74"/>
      <c r="L938" s="74"/>
      <c r="M938" s="2"/>
      <c r="N938" s="2"/>
      <c r="O938" s="2"/>
      <c r="P938" s="2"/>
      <c r="Q938" s="74"/>
      <c r="R938" s="2"/>
      <c r="S938" s="2"/>
      <c r="T938" s="76"/>
      <c r="U938" s="88"/>
    </row>
    <row r="939" ht="15.75" customHeight="1">
      <c r="A939" s="2"/>
      <c r="B939" s="2"/>
      <c r="C939" s="2"/>
      <c r="D939" s="2"/>
      <c r="E939" s="2"/>
      <c r="F939" s="2"/>
      <c r="G939" s="2"/>
      <c r="H939" s="74"/>
      <c r="I939" s="74"/>
      <c r="J939" s="74"/>
      <c r="K939" s="74"/>
      <c r="L939" s="74"/>
      <c r="M939" s="2"/>
      <c r="N939" s="2"/>
      <c r="O939" s="2"/>
      <c r="P939" s="2"/>
      <c r="Q939" s="74"/>
      <c r="R939" s="2"/>
      <c r="S939" s="2"/>
      <c r="T939" s="76"/>
      <c r="U939" s="88"/>
    </row>
    <row r="940" ht="15.75" customHeight="1">
      <c r="A940" s="2"/>
      <c r="B940" s="2"/>
      <c r="C940" s="2"/>
      <c r="D940" s="2"/>
      <c r="E940" s="2"/>
      <c r="F940" s="2"/>
      <c r="G940" s="2"/>
      <c r="H940" s="74"/>
      <c r="I940" s="74"/>
      <c r="J940" s="74"/>
      <c r="K940" s="74"/>
      <c r="L940" s="74"/>
      <c r="M940" s="2"/>
      <c r="N940" s="2"/>
      <c r="O940" s="2"/>
      <c r="P940" s="2"/>
      <c r="Q940" s="74"/>
      <c r="R940" s="2"/>
      <c r="S940" s="2"/>
      <c r="T940" s="76"/>
      <c r="U940" s="88"/>
    </row>
    <row r="941" ht="15.75" customHeight="1">
      <c r="A941" s="2"/>
      <c r="B941" s="2"/>
      <c r="C941" s="2"/>
      <c r="D941" s="2"/>
      <c r="E941" s="2"/>
      <c r="F941" s="2"/>
      <c r="G941" s="2"/>
      <c r="H941" s="74"/>
      <c r="I941" s="74"/>
      <c r="J941" s="74"/>
      <c r="K941" s="74"/>
      <c r="L941" s="74"/>
      <c r="M941" s="2"/>
      <c r="N941" s="2"/>
      <c r="O941" s="2"/>
      <c r="P941" s="2"/>
      <c r="Q941" s="74"/>
      <c r="R941" s="2"/>
      <c r="S941" s="2"/>
      <c r="T941" s="76"/>
      <c r="U941" s="88"/>
    </row>
    <row r="942" ht="15.75" customHeight="1">
      <c r="A942" s="2"/>
      <c r="B942" s="2"/>
      <c r="C942" s="2"/>
      <c r="D942" s="2"/>
      <c r="E942" s="2"/>
      <c r="F942" s="2"/>
      <c r="G942" s="2"/>
      <c r="H942" s="74"/>
      <c r="I942" s="74"/>
      <c r="J942" s="74"/>
      <c r="K942" s="74"/>
      <c r="L942" s="74"/>
      <c r="M942" s="2"/>
      <c r="N942" s="2"/>
      <c r="O942" s="2"/>
      <c r="P942" s="2"/>
      <c r="Q942" s="74"/>
      <c r="R942" s="2"/>
      <c r="S942" s="2"/>
      <c r="T942" s="76"/>
      <c r="U942" s="88"/>
    </row>
    <row r="943" ht="15.75" customHeight="1">
      <c r="A943" s="2"/>
      <c r="B943" s="2"/>
      <c r="C943" s="2"/>
      <c r="D943" s="2"/>
      <c r="E943" s="2"/>
      <c r="F943" s="2"/>
      <c r="G943" s="2"/>
      <c r="H943" s="74"/>
      <c r="I943" s="74"/>
      <c r="J943" s="74"/>
      <c r="K943" s="74"/>
      <c r="L943" s="74"/>
      <c r="M943" s="2"/>
      <c r="N943" s="2"/>
      <c r="O943" s="2"/>
      <c r="P943" s="2"/>
      <c r="Q943" s="74"/>
      <c r="R943" s="2"/>
      <c r="S943" s="2"/>
      <c r="T943" s="76"/>
      <c r="U943" s="88"/>
    </row>
    <row r="944" ht="15.75" customHeight="1">
      <c r="A944" s="2"/>
      <c r="B944" s="2"/>
      <c r="C944" s="2"/>
      <c r="D944" s="2"/>
      <c r="E944" s="2"/>
      <c r="F944" s="2"/>
      <c r="G944" s="2"/>
      <c r="H944" s="74"/>
      <c r="I944" s="74"/>
      <c r="J944" s="74"/>
      <c r="K944" s="74"/>
      <c r="L944" s="74"/>
      <c r="M944" s="2"/>
      <c r="N944" s="2"/>
      <c r="O944" s="2"/>
      <c r="P944" s="2"/>
      <c r="Q944" s="74"/>
      <c r="R944" s="2"/>
      <c r="S944" s="2"/>
      <c r="T944" s="76"/>
      <c r="U944" s="88"/>
    </row>
    <row r="945" ht="15.75" customHeight="1">
      <c r="A945" s="2"/>
      <c r="B945" s="2"/>
      <c r="C945" s="2"/>
      <c r="D945" s="2"/>
      <c r="E945" s="2"/>
      <c r="F945" s="2"/>
      <c r="G945" s="2"/>
      <c r="H945" s="74"/>
      <c r="I945" s="74"/>
      <c r="J945" s="74"/>
      <c r="K945" s="74"/>
      <c r="L945" s="74"/>
      <c r="M945" s="2"/>
      <c r="N945" s="2"/>
      <c r="O945" s="2"/>
      <c r="P945" s="2"/>
      <c r="Q945" s="74"/>
      <c r="R945" s="2"/>
      <c r="S945" s="2"/>
      <c r="T945" s="76"/>
      <c r="U945" s="88"/>
    </row>
    <row r="946" ht="15.75" customHeight="1">
      <c r="A946" s="2"/>
      <c r="B946" s="2"/>
      <c r="C946" s="2"/>
      <c r="D946" s="2"/>
      <c r="E946" s="2"/>
      <c r="F946" s="2"/>
      <c r="G946" s="2"/>
      <c r="H946" s="74"/>
      <c r="I946" s="74"/>
      <c r="J946" s="74"/>
      <c r="K946" s="74"/>
      <c r="L946" s="74"/>
      <c r="M946" s="2"/>
      <c r="N946" s="2"/>
      <c r="O946" s="2"/>
      <c r="P946" s="2"/>
      <c r="Q946" s="74"/>
      <c r="R946" s="2"/>
      <c r="S946" s="2"/>
      <c r="T946" s="76"/>
      <c r="U946" s="88"/>
    </row>
    <row r="947" ht="15.75" customHeight="1">
      <c r="A947" s="2"/>
      <c r="B947" s="2"/>
      <c r="C947" s="2"/>
      <c r="D947" s="2"/>
      <c r="E947" s="2"/>
      <c r="F947" s="2"/>
      <c r="G947" s="2"/>
      <c r="H947" s="74"/>
      <c r="I947" s="74"/>
      <c r="J947" s="74"/>
      <c r="K947" s="74"/>
      <c r="L947" s="74"/>
      <c r="M947" s="2"/>
      <c r="N947" s="2"/>
      <c r="O947" s="2"/>
      <c r="P947" s="2"/>
      <c r="Q947" s="74"/>
      <c r="R947" s="2"/>
      <c r="S947" s="2"/>
      <c r="T947" s="76"/>
      <c r="U947" s="88"/>
    </row>
    <row r="948" ht="15.75" customHeight="1">
      <c r="A948" s="2"/>
      <c r="B948" s="2"/>
      <c r="C948" s="2"/>
      <c r="D948" s="2"/>
      <c r="E948" s="2"/>
      <c r="F948" s="2"/>
      <c r="G948" s="2"/>
      <c r="H948" s="74"/>
      <c r="I948" s="74"/>
      <c r="J948" s="74"/>
      <c r="K948" s="74"/>
      <c r="L948" s="74"/>
      <c r="M948" s="2"/>
      <c r="N948" s="2"/>
      <c r="O948" s="2"/>
      <c r="P948" s="2"/>
      <c r="Q948" s="74"/>
      <c r="R948" s="2"/>
      <c r="S948" s="2"/>
      <c r="T948" s="76"/>
      <c r="U948" s="88"/>
    </row>
    <row r="949" ht="15.75" customHeight="1">
      <c r="A949" s="2"/>
      <c r="B949" s="2"/>
      <c r="C949" s="2"/>
      <c r="D949" s="2"/>
      <c r="E949" s="2"/>
      <c r="F949" s="2"/>
      <c r="G949" s="2"/>
      <c r="H949" s="74"/>
      <c r="I949" s="74"/>
      <c r="J949" s="74"/>
      <c r="K949" s="74"/>
      <c r="L949" s="74"/>
      <c r="M949" s="2"/>
      <c r="N949" s="2"/>
      <c r="O949" s="2"/>
      <c r="P949" s="2"/>
      <c r="Q949" s="74"/>
      <c r="R949" s="2"/>
      <c r="S949" s="2"/>
      <c r="T949" s="76"/>
      <c r="U949" s="88"/>
    </row>
    <row r="950" ht="15.75" customHeight="1">
      <c r="A950" s="2"/>
      <c r="B950" s="2"/>
      <c r="C950" s="2"/>
      <c r="D950" s="2"/>
      <c r="E950" s="2"/>
      <c r="F950" s="2"/>
      <c r="G950" s="2"/>
      <c r="H950" s="74"/>
      <c r="I950" s="74"/>
      <c r="J950" s="74"/>
      <c r="K950" s="74"/>
      <c r="L950" s="74"/>
      <c r="M950" s="2"/>
      <c r="N950" s="2"/>
      <c r="O950" s="2"/>
      <c r="P950" s="2"/>
      <c r="Q950" s="74"/>
      <c r="R950" s="2"/>
      <c r="S950" s="2"/>
      <c r="T950" s="76"/>
      <c r="U950" s="88"/>
    </row>
    <row r="951" ht="15.75" customHeight="1">
      <c r="A951" s="2"/>
      <c r="B951" s="2"/>
      <c r="C951" s="2"/>
      <c r="D951" s="2"/>
      <c r="E951" s="2"/>
      <c r="F951" s="2"/>
      <c r="G951" s="2"/>
      <c r="H951" s="74"/>
      <c r="I951" s="74"/>
      <c r="J951" s="74"/>
      <c r="K951" s="74"/>
      <c r="L951" s="74"/>
      <c r="M951" s="2"/>
      <c r="N951" s="2"/>
      <c r="O951" s="2"/>
      <c r="P951" s="2"/>
      <c r="Q951" s="74"/>
      <c r="R951" s="2"/>
      <c r="S951" s="2"/>
      <c r="T951" s="76"/>
      <c r="U951" s="88"/>
    </row>
    <row r="952" ht="15.75" customHeight="1">
      <c r="A952" s="2"/>
      <c r="B952" s="2"/>
      <c r="C952" s="2"/>
      <c r="D952" s="2"/>
      <c r="E952" s="2"/>
      <c r="F952" s="2"/>
      <c r="G952" s="2"/>
      <c r="H952" s="74"/>
      <c r="I952" s="74"/>
      <c r="J952" s="74"/>
      <c r="K952" s="74"/>
      <c r="L952" s="74"/>
      <c r="M952" s="2"/>
      <c r="N952" s="2"/>
      <c r="O952" s="2"/>
      <c r="P952" s="2"/>
      <c r="Q952" s="74"/>
      <c r="R952" s="2"/>
      <c r="S952" s="2"/>
      <c r="T952" s="76"/>
      <c r="U952" s="88"/>
    </row>
    <row r="953" ht="15.75" customHeight="1">
      <c r="A953" s="2"/>
      <c r="B953" s="2"/>
      <c r="C953" s="2"/>
      <c r="D953" s="2"/>
      <c r="E953" s="2"/>
      <c r="F953" s="2"/>
      <c r="G953" s="2"/>
      <c r="H953" s="74"/>
      <c r="I953" s="74"/>
      <c r="J953" s="74"/>
      <c r="K953" s="74"/>
      <c r="L953" s="74"/>
      <c r="M953" s="2"/>
      <c r="N953" s="2"/>
      <c r="O953" s="2"/>
      <c r="P953" s="2"/>
      <c r="Q953" s="74"/>
      <c r="R953" s="2"/>
      <c r="S953" s="2"/>
      <c r="T953" s="76"/>
      <c r="U953" s="88"/>
    </row>
    <row r="954" ht="15.75" customHeight="1">
      <c r="A954" s="2"/>
      <c r="B954" s="2"/>
      <c r="C954" s="2"/>
      <c r="D954" s="2"/>
      <c r="E954" s="2"/>
      <c r="F954" s="2"/>
      <c r="G954" s="2"/>
      <c r="H954" s="74"/>
      <c r="I954" s="74"/>
      <c r="J954" s="74"/>
      <c r="K954" s="74"/>
      <c r="L954" s="74"/>
      <c r="M954" s="2"/>
      <c r="N954" s="2"/>
      <c r="O954" s="2"/>
      <c r="P954" s="2"/>
      <c r="Q954" s="74"/>
      <c r="R954" s="2"/>
      <c r="S954" s="2"/>
      <c r="T954" s="76"/>
      <c r="U954" s="88"/>
    </row>
    <row r="955" ht="15.75" customHeight="1">
      <c r="A955" s="2"/>
      <c r="B955" s="2"/>
      <c r="C955" s="2"/>
      <c r="D955" s="2"/>
      <c r="E955" s="2"/>
      <c r="F955" s="2"/>
      <c r="G955" s="2"/>
      <c r="H955" s="74"/>
      <c r="I955" s="74"/>
      <c r="J955" s="74"/>
      <c r="K955" s="74"/>
      <c r="L955" s="74"/>
      <c r="M955" s="2"/>
      <c r="N955" s="2"/>
      <c r="O955" s="2"/>
      <c r="P955" s="2"/>
      <c r="Q955" s="74"/>
      <c r="R955" s="2"/>
      <c r="S955" s="2"/>
      <c r="T955" s="76"/>
      <c r="U955" s="88"/>
    </row>
    <row r="956" ht="15.75" customHeight="1">
      <c r="A956" s="2"/>
      <c r="B956" s="2"/>
      <c r="C956" s="2"/>
      <c r="D956" s="2"/>
      <c r="E956" s="2"/>
      <c r="F956" s="2"/>
      <c r="G956" s="2"/>
      <c r="H956" s="74"/>
      <c r="I956" s="74"/>
      <c r="J956" s="74"/>
      <c r="K956" s="74"/>
      <c r="L956" s="74"/>
      <c r="M956" s="2"/>
      <c r="N956" s="2"/>
      <c r="O956" s="2"/>
      <c r="P956" s="2"/>
      <c r="Q956" s="74"/>
      <c r="R956" s="2"/>
      <c r="S956" s="2"/>
      <c r="T956" s="76"/>
      <c r="U956" s="88"/>
    </row>
    <row r="957" ht="15.75" customHeight="1">
      <c r="A957" s="2"/>
      <c r="B957" s="2"/>
      <c r="C957" s="2"/>
      <c r="D957" s="2"/>
      <c r="E957" s="2"/>
      <c r="F957" s="2"/>
      <c r="G957" s="2"/>
      <c r="H957" s="74"/>
      <c r="I957" s="74"/>
      <c r="J957" s="74"/>
      <c r="K957" s="74"/>
      <c r="L957" s="74"/>
      <c r="M957" s="2"/>
      <c r="N957" s="2"/>
      <c r="O957" s="2"/>
      <c r="P957" s="2"/>
      <c r="Q957" s="74"/>
      <c r="R957" s="2"/>
      <c r="S957" s="2"/>
      <c r="T957" s="76"/>
      <c r="U957" s="88"/>
    </row>
    <row r="958" ht="15.75" customHeight="1">
      <c r="A958" s="2"/>
      <c r="B958" s="2"/>
      <c r="C958" s="2"/>
      <c r="D958" s="2"/>
      <c r="E958" s="2"/>
      <c r="F958" s="2"/>
      <c r="G958" s="2"/>
      <c r="H958" s="74"/>
      <c r="I958" s="74"/>
      <c r="J958" s="74"/>
      <c r="K958" s="74"/>
      <c r="L958" s="74"/>
      <c r="M958" s="2"/>
      <c r="N958" s="2"/>
      <c r="O958" s="2"/>
      <c r="P958" s="2"/>
      <c r="Q958" s="74"/>
      <c r="R958" s="2"/>
      <c r="S958" s="2"/>
      <c r="T958" s="76"/>
      <c r="U958" s="88"/>
    </row>
    <row r="959" ht="15.75" customHeight="1">
      <c r="A959" s="2"/>
      <c r="B959" s="2"/>
      <c r="C959" s="2"/>
      <c r="D959" s="2"/>
      <c r="E959" s="2"/>
      <c r="F959" s="2"/>
      <c r="G959" s="2"/>
      <c r="H959" s="74"/>
      <c r="I959" s="74"/>
      <c r="J959" s="74"/>
      <c r="K959" s="74"/>
      <c r="L959" s="74"/>
      <c r="M959" s="2"/>
      <c r="N959" s="2"/>
      <c r="O959" s="2"/>
      <c r="P959" s="2"/>
      <c r="Q959" s="74"/>
      <c r="R959" s="2"/>
      <c r="S959" s="2"/>
      <c r="T959" s="76"/>
      <c r="U959" s="88"/>
    </row>
    <row r="960" ht="15.75" customHeight="1">
      <c r="A960" s="2"/>
      <c r="B960" s="2"/>
      <c r="C960" s="2"/>
      <c r="D960" s="2"/>
      <c r="E960" s="2"/>
      <c r="F960" s="2"/>
      <c r="G960" s="2"/>
      <c r="H960" s="74"/>
      <c r="I960" s="74"/>
      <c r="J960" s="74"/>
      <c r="K960" s="74"/>
      <c r="L960" s="74"/>
      <c r="M960" s="2"/>
      <c r="N960" s="2"/>
      <c r="O960" s="2"/>
      <c r="P960" s="2"/>
      <c r="Q960" s="74"/>
      <c r="R960" s="2"/>
      <c r="S960" s="2"/>
      <c r="T960" s="76"/>
      <c r="U960" s="88"/>
    </row>
    <row r="961" ht="15.75" customHeight="1">
      <c r="A961" s="2"/>
      <c r="B961" s="2"/>
      <c r="C961" s="2"/>
      <c r="D961" s="2"/>
      <c r="E961" s="2"/>
      <c r="F961" s="2"/>
      <c r="G961" s="2"/>
      <c r="H961" s="74"/>
      <c r="I961" s="74"/>
      <c r="J961" s="74"/>
      <c r="K961" s="74"/>
      <c r="L961" s="74"/>
      <c r="M961" s="2"/>
      <c r="N961" s="2"/>
      <c r="O961" s="2"/>
      <c r="P961" s="2"/>
      <c r="Q961" s="74"/>
      <c r="R961" s="2"/>
      <c r="S961" s="2"/>
      <c r="T961" s="76"/>
      <c r="U961" s="88"/>
    </row>
    <row r="962" ht="15.75" customHeight="1">
      <c r="A962" s="2"/>
      <c r="B962" s="2"/>
      <c r="C962" s="2"/>
      <c r="D962" s="2"/>
      <c r="E962" s="2"/>
      <c r="F962" s="2"/>
      <c r="G962" s="2"/>
      <c r="H962" s="74"/>
      <c r="I962" s="74"/>
      <c r="J962" s="74"/>
      <c r="K962" s="74"/>
      <c r="L962" s="74"/>
      <c r="M962" s="2"/>
      <c r="N962" s="2"/>
      <c r="O962" s="2"/>
      <c r="P962" s="2"/>
      <c r="Q962" s="74"/>
      <c r="R962" s="2"/>
      <c r="S962" s="2"/>
      <c r="T962" s="76"/>
      <c r="U962" s="88"/>
    </row>
    <row r="963" ht="15.75" customHeight="1">
      <c r="A963" s="2"/>
      <c r="B963" s="2"/>
      <c r="C963" s="2"/>
      <c r="D963" s="2"/>
      <c r="E963" s="2"/>
      <c r="F963" s="2"/>
      <c r="G963" s="2"/>
      <c r="H963" s="74"/>
      <c r="I963" s="74"/>
      <c r="J963" s="74"/>
      <c r="K963" s="74"/>
      <c r="L963" s="74"/>
      <c r="M963" s="2"/>
      <c r="N963" s="2"/>
      <c r="O963" s="2"/>
      <c r="P963" s="2"/>
      <c r="Q963" s="74"/>
      <c r="R963" s="2"/>
      <c r="S963" s="2"/>
      <c r="T963" s="76"/>
      <c r="U963" s="88"/>
    </row>
    <row r="964" ht="15.75" customHeight="1">
      <c r="A964" s="2"/>
      <c r="B964" s="2"/>
      <c r="C964" s="2"/>
      <c r="D964" s="2"/>
      <c r="E964" s="2"/>
      <c r="F964" s="2"/>
      <c r="G964" s="2"/>
      <c r="H964" s="74"/>
      <c r="I964" s="74"/>
      <c r="J964" s="74"/>
      <c r="K964" s="74"/>
      <c r="L964" s="74"/>
      <c r="M964" s="2"/>
      <c r="N964" s="2"/>
      <c r="O964" s="2"/>
      <c r="P964" s="2"/>
      <c r="Q964" s="74"/>
      <c r="R964" s="2"/>
      <c r="S964" s="2"/>
      <c r="T964" s="76"/>
      <c r="U964" s="88"/>
    </row>
    <row r="965" ht="15.75" customHeight="1">
      <c r="A965" s="2"/>
      <c r="B965" s="2"/>
      <c r="C965" s="2"/>
      <c r="D965" s="2"/>
      <c r="E965" s="2"/>
      <c r="F965" s="2"/>
      <c r="G965" s="2"/>
      <c r="H965" s="74"/>
      <c r="I965" s="74"/>
      <c r="J965" s="74"/>
      <c r="K965" s="74"/>
      <c r="L965" s="74"/>
      <c r="M965" s="2"/>
      <c r="N965" s="2"/>
      <c r="O965" s="2"/>
      <c r="P965" s="2"/>
      <c r="Q965" s="74"/>
      <c r="R965" s="2"/>
      <c r="S965" s="2"/>
      <c r="T965" s="76"/>
      <c r="U965" s="88"/>
    </row>
    <row r="966" ht="15.75" customHeight="1">
      <c r="A966" s="2"/>
      <c r="B966" s="2"/>
      <c r="C966" s="2"/>
      <c r="D966" s="2"/>
      <c r="E966" s="2"/>
      <c r="F966" s="2"/>
      <c r="G966" s="2"/>
      <c r="H966" s="74"/>
      <c r="I966" s="74"/>
      <c r="J966" s="74"/>
      <c r="K966" s="74"/>
      <c r="L966" s="74"/>
      <c r="M966" s="2"/>
      <c r="N966" s="2"/>
      <c r="O966" s="2"/>
      <c r="P966" s="2"/>
      <c r="Q966" s="74"/>
      <c r="R966" s="2"/>
      <c r="S966" s="2"/>
      <c r="T966" s="76"/>
      <c r="U966" s="88"/>
    </row>
    <row r="967" ht="15.75" customHeight="1">
      <c r="A967" s="2"/>
      <c r="B967" s="2"/>
      <c r="C967" s="2"/>
      <c r="D967" s="2"/>
      <c r="E967" s="2"/>
      <c r="F967" s="2"/>
      <c r="G967" s="2"/>
      <c r="H967" s="74"/>
      <c r="I967" s="74"/>
      <c r="J967" s="74"/>
      <c r="K967" s="74"/>
      <c r="L967" s="74"/>
      <c r="M967" s="2"/>
      <c r="N967" s="2"/>
      <c r="O967" s="2"/>
      <c r="P967" s="2"/>
      <c r="Q967" s="74"/>
      <c r="R967" s="2"/>
      <c r="S967" s="2"/>
      <c r="T967" s="76"/>
      <c r="U967" s="88"/>
    </row>
    <row r="968" ht="15.75" customHeight="1">
      <c r="A968" s="2"/>
      <c r="B968" s="2"/>
      <c r="C968" s="2"/>
      <c r="D968" s="2"/>
      <c r="E968" s="2"/>
      <c r="F968" s="2"/>
      <c r="G968" s="2"/>
      <c r="H968" s="74"/>
      <c r="I968" s="74"/>
      <c r="J968" s="74"/>
      <c r="K968" s="74"/>
      <c r="L968" s="74"/>
      <c r="M968" s="2"/>
      <c r="N968" s="2"/>
      <c r="O968" s="2"/>
      <c r="P968" s="2"/>
      <c r="Q968" s="74"/>
      <c r="R968" s="2"/>
      <c r="S968" s="2"/>
      <c r="T968" s="76"/>
      <c r="U968" s="88"/>
    </row>
    <row r="969" ht="15.75" customHeight="1">
      <c r="A969" s="2"/>
      <c r="B969" s="2"/>
      <c r="C969" s="2"/>
      <c r="D969" s="2"/>
      <c r="E969" s="2"/>
      <c r="F969" s="2"/>
      <c r="G969" s="2"/>
      <c r="H969" s="74"/>
      <c r="I969" s="74"/>
      <c r="J969" s="74"/>
      <c r="K969" s="74"/>
      <c r="L969" s="74"/>
      <c r="M969" s="2"/>
      <c r="N969" s="2"/>
      <c r="O969" s="2"/>
      <c r="P969" s="2"/>
      <c r="Q969" s="74"/>
      <c r="R969" s="2"/>
      <c r="S969" s="2"/>
      <c r="T969" s="76"/>
      <c r="U969" s="88"/>
    </row>
    <row r="970" ht="15.75" customHeight="1">
      <c r="A970" s="2"/>
      <c r="B970" s="2"/>
      <c r="C970" s="2"/>
      <c r="D970" s="2"/>
      <c r="E970" s="2"/>
      <c r="F970" s="2"/>
      <c r="G970" s="2"/>
      <c r="H970" s="74"/>
      <c r="I970" s="74"/>
      <c r="J970" s="74"/>
      <c r="K970" s="74"/>
      <c r="L970" s="74"/>
      <c r="M970" s="2"/>
      <c r="N970" s="2"/>
      <c r="O970" s="2"/>
      <c r="P970" s="2"/>
      <c r="Q970" s="74"/>
      <c r="R970" s="2"/>
      <c r="S970" s="2"/>
      <c r="T970" s="76"/>
      <c r="U970" s="88"/>
    </row>
    <row r="971" ht="15.75" customHeight="1">
      <c r="A971" s="2"/>
      <c r="B971" s="2"/>
      <c r="C971" s="2"/>
      <c r="D971" s="2"/>
      <c r="E971" s="2"/>
      <c r="F971" s="2"/>
      <c r="G971" s="2"/>
      <c r="H971" s="74"/>
      <c r="I971" s="74"/>
      <c r="J971" s="74"/>
      <c r="K971" s="74"/>
      <c r="L971" s="74"/>
      <c r="M971" s="2"/>
      <c r="N971" s="2"/>
      <c r="O971" s="2"/>
      <c r="P971" s="2"/>
      <c r="Q971" s="74"/>
      <c r="R971" s="2"/>
      <c r="S971" s="2"/>
      <c r="T971" s="76"/>
      <c r="U971" s="88"/>
    </row>
    <row r="972" ht="15.75" customHeight="1">
      <c r="A972" s="2"/>
      <c r="B972" s="2"/>
      <c r="C972" s="2"/>
      <c r="D972" s="2"/>
      <c r="E972" s="2"/>
      <c r="F972" s="2"/>
      <c r="G972" s="2"/>
      <c r="H972" s="74"/>
      <c r="I972" s="74"/>
      <c r="J972" s="74"/>
      <c r="K972" s="74"/>
      <c r="L972" s="74"/>
      <c r="M972" s="2"/>
      <c r="N972" s="2"/>
      <c r="O972" s="2"/>
      <c r="P972" s="2"/>
      <c r="Q972" s="74"/>
      <c r="R972" s="2"/>
      <c r="S972" s="2"/>
      <c r="T972" s="76"/>
      <c r="U972" s="88"/>
    </row>
    <row r="973" ht="15.75" customHeight="1">
      <c r="A973" s="2"/>
      <c r="B973" s="2"/>
      <c r="C973" s="2"/>
      <c r="D973" s="2"/>
      <c r="E973" s="2"/>
      <c r="F973" s="2"/>
      <c r="G973" s="2"/>
      <c r="H973" s="74"/>
      <c r="I973" s="74"/>
      <c r="J973" s="74"/>
      <c r="K973" s="74"/>
      <c r="L973" s="74"/>
      <c r="M973" s="2"/>
      <c r="N973" s="2"/>
      <c r="O973" s="2"/>
      <c r="P973" s="2"/>
      <c r="Q973" s="74"/>
      <c r="R973" s="2"/>
      <c r="S973" s="2"/>
      <c r="T973" s="76"/>
      <c r="U973" s="88"/>
    </row>
    <row r="974" ht="15.75" customHeight="1">
      <c r="A974" s="2"/>
      <c r="B974" s="2"/>
      <c r="C974" s="2"/>
      <c r="D974" s="2"/>
      <c r="E974" s="2"/>
      <c r="F974" s="2"/>
      <c r="G974" s="2"/>
      <c r="H974" s="74"/>
      <c r="I974" s="74"/>
      <c r="J974" s="74"/>
      <c r="K974" s="74"/>
      <c r="L974" s="74"/>
      <c r="M974" s="2"/>
      <c r="N974" s="2"/>
      <c r="O974" s="2"/>
      <c r="P974" s="2"/>
      <c r="Q974" s="74"/>
      <c r="R974" s="2"/>
      <c r="S974" s="2"/>
      <c r="T974" s="76"/>
      <c r="U974" s="88"/>
    </row>
    <row r="975" ht="15.75" customHeight="1">
      <c r="A975" s="2"/>
      <c r="B975" s="2"/>
      <c r="C975" s="2"/>
      <c r="D975" s="2"/>
      <c r="E975" s="2"/>
      <c r="F975" s="2"/>
      <c r="G975" s="2"/>
      <c r="H975" s="74"/>
      <c r="I975" s="74"/>
      <c r="J975" s="74"/>
      <c r="K975" s="74"/>
      <c r="L975" s="74"/>
      <c r="M975" s="2"/>
      <c r="N975" s="2"/>
      <c r="O975" s="2"/>
      <c r="P975" s="2"/>
      <c r="Q975" s="74"/>
      <c r="R975" s="2"/>
      <c r="S975" s="2"/>
      <c r="T975" s="76"/>
      <c r="U975" s="88"/>
    </row>
    <row r="976" ht="15.75" customHeight="1">
      <c r="A976" s="2"/>
      <c r="B976" s="2"/>
      <c r="C976" s="2"/>
      <c r="D976" s="2"/>
      <c r="E976" s="2"/>
      <c r="F976" s="2"/>
      <c r="G976" s="2"/>
      <c r="H976" s="74"/>
      <c r="I976" s="74"/>
      <c r="J976" s="74"/>
      <c r="K976" s="74"/>
      <c r="L976" s="74"/>
      <c r="M976" s="2"/>
      <c r="N976" s="2"/>
      <c r="O976" s="2"/>
      <c r="P976" s="2"/>
      <c r="Q976" s="74"/>
      <c r="R976" s="2"/>
      <c r="S976" s="2"/>
      <c r="T976" s="76"/>
      <c r="U976" s="88"/>
    </row>
    <row r="977" ht="15.75" customHeight="1">
      <c r="A977" s="2"/>
      <c r="B977" s="2"/>
      <c r="C977" s="2"/>
      <c r="D977" s="2"/>
      <c r="E977" s="2"/>
      <c r="F977" s="2"/>
      <c r="G977" s="2"/>
      <c r="H977" s="74"/>
      <c r="I977" s="74"/>
      <c r="J977" s="74"/>
      <c r="K977" s="74"/>
      <c r="L977" s="74"/>
      <c r="M977" s="2"/>
      <c r="N977" s="2"/>
      <c r="O977" s="2"/>
      <c r="P977" s="2"/>
      <c r="Q977" s="74"/>
      <c r="R977" s="2"/>
      <c r="S977" s="2"/>
      <c r="T977" s="76"/>
      <c r="U977" s="88"/>
    </row>
    <row r="978" ht="15.75" customHeight="1">
      <c r="A978" s="2"/>
      <c r="B978" s="2"/>
      <c r="C978" s="2"/>
      <c r="D978" s="2"/>
      <c r="E978" s="2"/>
      <c r="F978" s="2"/>
      <c r="G978" s="2"/>
      <c r="H978" s="74"/>
      <c r="I978" s="74"/>
      <c r="J978" s="74"/>
      <c r="K978" s="74"/>
      <c r="L978" s="74"/>
      <c r="M978" s="2"/>
      <c r="N978" s="2"/>
      <c r="O978" s="2"/>
      <c r="P978" s="2"/>
      <c r="Q978" s="74"/>
      <c r="R978" s="2"/>
      <c r="S978" s="2"/>
      <c r="T978" s="76"/>
      <c r="U978" s="88"/>
    </row>
    <row r="979" ht="15.75" customHeight="1">
      <c r="A979" s="2"/>
      <c r="B979" s="2"/>
      <c r="C979" s="2"/>
      <c r="D979" s="2"/>
      <c r="E979" s="2"/>
      <c r="F979" s="2"/>
      <c r="G979" s="2"/>
      <c r="H979" s="74"/>
      <c r="I979" s="74"/>
      <c r="J979" s="74"/>
      <c r="K979" s="74"/>
      <c r="L979" s="74"/>
      <c r="M979" s="2"/>
      <c r="N979" s="2"/>
      <c r="O979" s="2"/>
      <c r="P979" s="2"/>
      <c r="Q979" s="74"/>
      <c r="R979" s="2"/>
      <c r="S979" s="2"/>
      <c r="T979" s="76"/>
      <c r="U979" s="88"/>
    </row>
    <row r="980" ht="15.75" customHeight="1">
      <c r="A980" s="2"/>
      <c r="B980" s="2"/>
      <c r="C980" s="2"/>
      <c r="D980" s="2"/>
      <c r="E980" s="2"/>
      <c r="F980" s="2"/>
      <c r="G980" s="2"/>
      <c r="H980" s="74"/>
      <c r="I980" s="74"/>
      <c r="J980" s="74"/>
      <c r="K980" s="74"/>
      <c r="L980" s="74"/>
      <c r="M980" s="2"/>
      <c r="N980" s="2"/>
      <c r="O980" s="2"/>
      <c r="P980" s="2"/>
      <c r="Q980" s="74"/>
      <c r="R980" s="2"/>
      <c r="S980" s="2"/>
      <c r="T980" s="76"/>
      <c r="U980" s="88"/>
    </row>
    <row r="981" ht="15.75" customHeight="1">
      <c r="A981" s="2"/>
      <c r="B981" s="2"/>
      <c r="C981" s="2"/>
      <c r="D981" s="2"/>
      <c r="E981" s="2"/>
      <c r="F981" s="2"/>
      <c r="G981" s="2"/>
      <c r="H981" s="74"/>
      <c r="I981" s="74"/>
      <c r="J981" s="74"/>
      <c r="K981" s="74"/>
      <c r="L981" s="74"/>
      <c r="M981" s="2"/>
      <c r="N981" s="2"/>
      <c r="O981" s="2"/>
      <c r="P981" s="2"/>
      <c r="Q981" s="74"/>
      <c r="R981" s="2"/>
      <c r="S981" s="2"/>
      <c r="T981" s="76"/>
      <c r="U981" s="88"/>
    </row>
    <row r="982" ht="15.75" customHeight="1">
      <c r="A982" s="2"/>
      <c r="B982" s="2"/>
      <c r="C982" s="2"/>
      <c r="D982" s="2"/>
      <c r="E982" s="2"/>
      <c r="F982" s="2"/>
      <c r="G982" s="2"/>
      <c r="H982" s="74"/>
      <c r="I982" s="74"/>
      <c r="J982" s="74"/>
      <c r="K982" s="74"/>
      <c r="L982" s="74"/>
      <c r="M982" s="2"/>
      <c r="N982" s="2"/>
      <c r="O982" s="2"/>
      <c r="P982" s="2"/>
      <c r="Q982" s="74"/>
      <c r="R982" s="2"/>
      <c r="S982" s="2"/>
      <c r="T982" s="76"/>
      <c r="U982" s="88"/>
    </row>
    <row r="983" ht="15.75" customHeight="1">
      <c r="A983" s="2"/>
      <c r="B983" s="2"/>
      <c r="C983" s="2"/>
      <c r="D983" s="2"/>
      <c r="E983" s="2"/>
      <c r="F983" s="2"/>
      <c r="G983" s="2"/>
      <c r="H983" s="74"/>
      <c r="I983" s="74"/>
      <c r="J983" s="74"/>
      <c r="K983" s="74"/>
      <c r="L983" s="74"/>
      <c r="M983" s="2"/>
      <c r="N983" s="2"/>
      <c r="O983" s="2"/>
      <c r="P983" s="2"/>
      <c r="Q983" s="74"/>
      <c r="R983" s="2"/>
      <c r="S983" s="2"/>
      <c r="T983" s="76"/>
      <c r="U983" s="88"/>
    </row>
    <row r="984" ht="15.75" customHeight="1">
      <c r="A984" s="2"/>
      <c r="B984" s="2"/>
      <c r="C984" s="2"/>
      <c r="D984" s="2"/>
      <c r="E984" s="2"/>
      <c r="F984" s="2"/>
      <c r="G984" s="2"/>
      <c r="H984" s="74"/>
      <c r="I984" s="74"/>
      <c r="J984" s="74"/>
      <c r="K984" s="74"/>
      <c r="L984" s="74"/>
      <c r="M984" s="2"/>
      <c r="N984" s="2"/>
      <c r="O984" s="2"/>
      <c r="P984" s="2"/>
      <c r="Q984" s="74"/>
      <c r="R984" s="2"/>
      <c r="S984" s="2"/>
      <c r="T984" s="76"/>
      <c r="U984" s="88"/>
    </row>
    <row r="985" ht="15.75" customHeight="1">
      <c r="A985" s="2"/>
      <c r="B985" s="2"/>
      <c r="C985" s="2"/>
      <c r="D985" s="2"/>
      <c r="E985" s="2"/>
      <c r="F985" s="2"/>
      <c r="G985" s="2"/>
      <c r="H985" s="74"/>
      <c r="I985" s="74"/>
      <c r="J985" s="74"/>
      <c r="K985" s="74"/>
      <c r="L985" s="74"/>
      <c r="M985" s="2"/>
      <c r="N985" s="2"/>
      <c r="O985" s="2"/>
      <c r="P985" s="2"/>
      <c r="Q985" s="74"/>
      <c r="R985" s="2"/>
      <c r="S985" s="2"/>
      <c r="T985" s="76"/>
      <c r="U985" s="88"/>
    </row>
    <row r="986" ht="15.75" customHeight="1">
      <c r="A986" s="2"/>
      <c r="B986" s="2"/>
      <c r="C986" s="2"/>
      <c r="D986" s="2"/>
      <c r="E986" s="2"/>
      <c r="F986" s="2"/>
      <c r="G986" s="2"/>
      <c r="H986" s="74"/>
      <c r="I986" s="74"/>
      <c r="J986" s="74"/>
      <c r="K986" s="74"/>
      <c r="L986" s="74"/>
      <c r="M986" s="2"/>
      <c r="N986" s="2"/>
      <c r="O986" s="2"/>
      <c r="P986" s="2"/>
      <c r="Q986" s="74"/>
      <c r="R986" s="2"/>
      <c r="S986" s="2"/>
      <c r="T986" s="76"/>
      <c r="U986" s="88"/>
    </row>
    <row r="987" ht="15.75" customHeight="1">
      <c r="A987" s="2"/>
      <c r="B987" s="2"/>
      <c r="C987" s="2"/>
      <c r="D987" s="2"/>
      <c r="E987" s="2"/>
      <c r="F987" s="2"/>
      <c r="G987" s="2"/>
      <c r="H987" s="74"/>
      <c r="I987" s="74"/>
      <c r="J987" s="74"/>
      <c r="K987" s="74"/>
      <c r="L987" s="74"/>
      <c r="M987" s="2"/>
      <c r="N987" s="2"/>
      <c r="O987" s="2"/>
      <c r="P987" s="2"/>
      <c r="Q987" s="74"/>
      <c r="R987" s="2"/>
      <c r="S987" s="2"/>
      <c r="T987" s="76"/>
      <c r="U987" s="88"/>
    </row>
    <row r="988" ht="15.75" customHeight="1">
      <c r="A988" s="2"/>
      <c r="B988" s="2"/>
      <c r="C988" s="2"/>
      <c r="D988" s="2"/>
      <c r="E988" s="2"/>
      <c r="F988" s="2"/>
      <c r="G988" s="2"/>
      <c r="H988" s="74"/>
      <c r="I988" s="74"/>
      <c r="J988" s="74"/>
      <c r="K988" s="74"/>
      <c r="L988" s="74"/>
      <c r="M988" s="2"/>
      <c r="N988" s="2"/>
      <c r="O988" s="2"/>
      <c r="P988" s="2"/>
      <c r="Q988" s="74"/>
      <c r="R988" s="2"/>
      <c r="S988" s="2"/>
      <c r="T988" s="76"/>
      <c r="U988" s="88"/>
    </row>
    <row r="989" ht="15.75" customHeight="1">
      <c r="A989" s="2"/>
      <c r="B989" s="2"/>
      <c r="C989" s="2"/>
      <c r="D989" s="2"/>
      <c r="E989" s="2"/>
      <c r="F989" s="2"/>
      <c r="G989" s="2"/>
      <c r="H989" s="74"/>
      <c r="I989" s="74"/>
      <c r="J989" s="74"/>
      <c r="K989" s="74"/>
      <c r="L989" s="74"/>
      <c r="M989" s="2"/>
      <c r="N989" s="2"/>
      <c r="O989" s="2"/>
      <c r="P989" s="2"/>
      <c r="Q989" s="74"/>
      <c r="R989" s="2"/>
      <c r="S989" s="2"/>
      <c r="T989" s="76"/>
      <c r="U989" s="88"/>
    </row>
    <row r="990" ht="15.75" customHeight="1">
      <c r="A990" s="2"/>
      <c r="B990" s="2"/>
      <c r="C990" s="2"/>
      <c r="D990" s="2"/>
      <c r="E990" s="2"/>
      <c r="F990" s="2"/>
      <c r="G990" s="2"/>
      <c r="H990" s="74"/>
      <c r="I990" s="74"/>
      <c r="J990" s="74"/>
      <c r="K990" s="74"/>
      <c r="L990" s="74"/>
      <c r="M990" s="2"/>
      <c r="N990" s="2"/>
      <c r="O990" s="2"/>
      <c r="P990" s="2"/>
      <c r="Q990" s="74"/>
      <c r="R990" s="2"/>
      <c r="S990" s="2"/>
      <c r="T990" s="76"/>
      <c r="U990" s="88"/>
    </row>
    <row r="991" ht="15.75" customHeight="1">
      <c r="A991" s="2"/>
      <c r="B991" s="2"/>
      <c r="C991" s="2"/>
      <c r="D991" s="2"/>
      <c r="E991" s="2"/>
      <c r="F991" s="2"/>
      <c r="G991" s="2"/>
      <c r="H991" s="74"/>
      <c r="I991" s="74"/>
      <c r="J991" s="74"/>
      <c r="K991" s="74"/>
      <c r="L991" s="74"/>
      <c r="M991" s="2"/>
      <c r="N991" s="2"/>
      <c r="O991" s="2"/>
      <c r="P991" s="2"/>
      <c r="Q991" s="74"/>
      <c r="R991" s="2"/>
      <c r="S991" s="2"/>
      <c r="T991" s="76"/>
      <c r="U991" s="88"/>
    </row>
    <row r="992" ht="15.75" customHeight="1">
      <c r="A992" s="2"/>
      <c r="B992" s="2"/>
      <c r="C992" s="2"/>
      <c r="D992" s="2"/>
      <c r="E992" s="2"/>
      <c r="F992" s="2"/>
      <c r="G992" s="2"/>
      <c r="H992" s="74"/>
      <c r="I992" s="74"/>
      <c r="J992" s="74"/>
      <c r="K992" s="74"/>
      <c r="L992" s="74"/>
      <c r="M992" s="2"/>
      <c r="N992" s="2"/>
      <c r="O992" s="2"/>
      <c r="P992" s="2"/>
      <c r="Q992" s="74"/>
      <c r="R992" s="2"/>
      <c r="S992" s="2"/>
      <c r="T992" s="76"/>
      <c r="U992" s="88"/>
    </row>
    <row r="993" ht="15.75" customHeight="1">
      <c r="A993" s="2"/>
      <c r="B993" s="2"/>
      <c r="C993" s="2"/>
      <c r="D993" s="2"/>
      <c r="E993" s="2"/>
      <c r="F993" s="2"/>
      <c r="G993" s="2"/>
      <c r="H993" s="74"/>
      <c r="I993" s="74"/>
      <c r="J993" s="74"/>
      <c r="K993" s="74"/>
      <c r="L993" s="74"/>
      <c r="M993" s="2"/>
      <c r="N993" s="2"/>
      <c r="O993" s="2"/>
      <c r="P993" s="2"/>
      <c r="Q993" s="74"/>
      <c r="R993" s="2"/>
      <c r="S993" s="2"/>
      <c r="T993" s="76"/>
      <c r="U993" s="88"/>
    </row>
    <row r="994" ht="15.75" customHeight="1">
      <c r="A994" s="2"/>
      <c r="B994" s="2"/>
      <c r="C994" s="2"/>
      <c r="D994" s="2"/>
      <c r="E994" s="2"/>
      <c r="F994" s="2"/>
      <c r="G994" s="2"/>
      <c r="H994" s="74"/>
      <c r="I994" s="74"/>
      <c r="J994" s="74"/>
      <c r="K994" s="74"/>
      <c r="L994" s="74"/>
      <c r="M994" s="2"/>
      <c r="N994" s="2"/>
      <c r="O994" s="2"/>
      <c r="P994" s="2"/>
      <c r="Q994" s="74"/>
      <c r="R994" s="2"/>
      <c r="S994" s="2"/>
      <c r="T994" s="76"/>
      <c r="U994" s="88"/>
    </row>
    <row r="995" ht="15.75" customHeight="1">
      <c r="A995" s="2"/>
      <c r="B995" s="2"/>
      <c r="C995" s="2"/>
      <c r="D995" s="2"/>
      <c r="E995" s="2"/>
      <c r="F995" s="2"/>
      <c r="G995" s="2"/>
      <c r="H995" s="74"/>
      <c r="I995" s="74"/>
      <c r="J995" s="74"/>
      <c r="K995" s="74"/>
      <c r="L995" s="74"/>
      <c r="M995" s="2"/>
      <c r="N995" s="2"/>
      <c r="O995" s="2"/>
      <c r="P995" s="2"/>
      <c r="Q995" s="74"/>
      <c r="R995" s="2"/>
      <c r="S995" s="2"/>
      <c r="T995" s="76"/>
      <c r="U995" s="88"/>
    </row>
    <row r="996" ht="15.75" customHeight="1">
      <c r="A996" s="2"/>
      <c r="B996" s="2"/>
      <c r="C996" s="2"/>
      <c r="D996" s="2"/>
      <c r="E996" s="2"/>
      <c r="F996" s="2"/>
      <c r="G996" s="2"/>
      <c r="H996" s="74"/>
      <c r="I996" s="74"/>
      <c r="J996" s="74"/>
      <c r="K996" s="74"/>
      <c r="L996" s="74"/>
      <c r="M996" s="2"/>
      <c r="N996" s="2"/>
      <c r="O996" s="2"/>
      <c r="P996" s="2"/>
      <c r="Q996" s="74"/>
      <c r="R996" s="2"/>
      <c r="S996" s="2"/>
      <c r="T996" s="76"/>
      <c r="U996" s="88"/>
    </row>
    <row r="997" ht="15.75" customHeight="1">
      <c r="A997" s="2"/>
      <c r="B997" s="2"/>
      <c r="C997" s="2"/>
      <c r="D997" s="2"/>
      <c r="E997" s="2"/>
      <c r="F997" s="2"/>
      <c r="G997" s="2"/>
      <c r="H997" s="74"/>
      <c r="I997" s="74"/>
      <c r="J997" s="74"/>
      <c r="K997" s="74"/>
      <c r="L997" s="74"/>
      <c r="M997" s="2"/>
      <c r="N997" s="2"/>
      <c r="O997" s="2"/>
      <c r="P997" s="2"/>
      <c r="Q997" s="74"/>
      <c r="R997" s="2"/>
      <c r="S997" s="2"/>
      <c r="T997" s="76"/>
      <c r="U997" s="88"/>
    </row>
    <row r="998" ht="15.75" customHeight="1">
      <c r="A998" s="2"/>
      <c r="B998" s="2"/>
      <c r="C998" s="2"/>
      <c r="D998" s="2"/>
      <c r="E998" s="2"/>
      <c r="F998" s="2"/>
      <c r="G998" s="2"/>
      <c r="H998" s="74"/>
      <c r="I998" s="74"/>
      <c r="J998" s="74"/>
      <c r="K998" s="74"/>
      <c r="L998" s="74"/>
      <c r="M998" s="2"/>
      <c r="N998" s="2"/>
      <c r="O998" s="2"/>
      <c r="P998" s="2"/>
      <c r="Q998" s="74"/>
      <c r="R998" s="2"/>
      <c r="S998" s="2"/>
      <c r="T998" s="76"/>
      <c r="U998" s="88"/>
    </row>
    <row r="999" ht="15.75" customHeight="1">
      <c r="A999" s="2"/>
      <c r="B999" s="2"/>
      <c r="C999" s="2"/>
      <c r="D999" s="2"/>
      <c r="E999" s="2"/>
      <c r="F999" s="2"/>
      <c r="G999" s="2"/>
      <c r="H999" s="74"/>
      <c r="I999" s="74"/>
      <c r="J999" s="74"/>
      <c r="K999" s="74"/>
      <c r="L999" s="74"/>
      <c r="M999" s="2"/>
      <c r="N999" s="2"/>
      <c r="O999" s="2"/>
      <c r="P999" s="2"/>
      <c r="Q999" s="74"/>
      <c r="R999" s="2"/>
      <c r="S999" s="2"/>
      <c r="T999" s="76"/>
      <c r="U999" s="88"/>
    </row>
    <row r="1000" ht="15.75" customHeight="1">
      <c r="A1000" s="2"/>
      <c r="B1000" s="2"/>
      <c r="C1000" s="2"/>
      <c r="D1000" s="2"/>
      <c r="E1000" s="2"/>
      <c r="F1000" s="2"/>
      <c r="G1000" s="2"/>
      <c r="H1000" s="74"/>
      <c r="I1000" s="74"/>
      <c r="J1000" s="74"/>
      <c r="K1000" s="74"/>
      <c r="L1000" s="74"/>
      <c r="M1000" s="2"/>
      <c r="N1000" s="2"/>
      <c r="O1000" s="2"/>
      <c r="P1000" s="2"/>
      <c r="Q1000" s="74"/>
      <c r="R1000" s="2"/>
      <c r="S1000" s="2"/>
      <c r="T1000" s="76"/>
      <c r="U1000" s="88"/>
    </row>
  </sheetData>
  <autoFilter ref="$A$1:$U$400"/>
  <dataValidations>
    <dataValidation type="list" allowBlank="1" showErrorMessage="1" sqref="C2:C133 C135:C1000">
      <formula1>"P0,P1,P2,P3"</formula1>
    </dataValidation>
    <dataValidation type="list" allowBlank="1" showErrorMessage="1" sqref="N2:N133 N136:N307 N310:N332 N334:N335 N337:N1000">
      <formula1>"Sampreet"</formula1>
    </dataValidation>
    <dataValidation type="list" allowBlank="1" showErrorMessage="1" sqref="P12 P59 P61 P63:P65 P67:P92 P94:P100 P102:P107 P109:P142 P144:P147 P149:P152 P154:P165 P167:P196 P198:P211 P213:P217 P219:P250 P252:P270 P276:P277 P279:P283 P285 P287:P289">
      <formula1>"Fixed,In-Progress,Need-Discussion,Duplicate,Rejected,Blocked"</formula1>
    </dataValidation>
    <dataValidation type="list" allowBlank="1" showErrorMessage="1" sqref="F2:F1000">
      <formula1>"PVT,UAT,HTML/CSS"</formula1>
    </dataValidation>
    <dataValidation type="list" allowBlank="1" showErrorMessage="1" sqref="T2:T65 R2:R95 T67:T95 T99:T116 R99:R144 T118:T144 T146:T166 T168:T210 R146:R1000 T212:T1000">
      <formula1>"Open,Hold,Resolved,Reopened,Need Discussion"</formula1>
    </dataValidation>
    <dataValidation type="list" allowBlank="1" showErrorMessage="1" sqref="P275">
      <formula1>"Fixed,In Progress,Need Discussion,Rejected,Duplicate,Blocked"</formula1>
    </dataValidation>
    <dataValidation type="list" allowBlank="1" showErrorMessage="1" sqref="U2:U1000">
      <formula1>"Fixed,Pending,Reopen"</formula1>
    </dataValidation>
    <dataValidation type="list" allowBlank="1" showErrorMessage="1" sqref="P2:P11 P13 P17:P26 P28:P41 P43:P52 P55:P58 P60 P62 P66 P93 P101 P108 P143 P148 P153 P166 P197 P212 P218 P251 P278 P284 P286 P290:P1000">
      <formula1>"Fixed,In Progress,Need Discussion"</formula1>
    </dataValidation>
    <dataValidation type="list" allowBlank="1" showErrorMessage="1" sqref="P14:P16 P27 P42 P53:P54 P271:P274">
      <formula1>"FIxed,In-Progress,Need-Discussion,Rejected,Duplicate"</formula1>
    </dataValidation>
  </dataValidations>
  <hyperlinks>
    <hyperlink r:id="rId1" ref="K2"/>
    <hyperlink r:id="rId2" ref="K3"/>
    <hyperlink r:id="rId3" ref="H4"/>
    <hyperlink r:id="rId4" ref="K4"/>
    <hyperlink r:id="rId5" ref="K5"/>
    <hyperlink r:id="rId6" ref="K6"/>
    <hyperlink r:id="rId7" ref="K7"/>
    <hyperlink r:id="rId8" ref="H8"/>
    <hyperlink r:id="rId9" ref="K8"/>
    <hyperlink r:id="rId10" ref="L8"/>
    <hyperlink r:id="rId11" ref="K9"/>
    <hyperlink r:id="rId12" ref="L9"/>
    <hyperlink r:id="rId13" ref="K10"/>
    <hyperlink r:id="rId14" ref="L10"/>
    <hyperlink r:id="rId15" ref="K11"/>
    <hyperlink r:id="rId16" ref="L11"/>
    <hyperlink r:id="rId17" ref="H12"/>
    <hyperlink r:id="rId18" ref="K12"/>
    <hyperlink r:id="rId19" ref="L12"/>
    <hyperlink r:id="rId20" ref="K13"/>
    <hyperlink r:id="rId21" ref="L13"/>
    <hyperlink r:id="rId22" ref="H14"/>
    <hyperlink r:id="rId23" ref="K14"/>
    <hyperlink r:id="rId24" ref="L14"/>
    <hyperlink r:id="rId25" ref="H15"/>
    <hyperlink r:id="rId26" ref="K15"/>
    <hyperlink r:id="rId27" ref="L15"/>
    <hyperlink r:id="rId28" ref="H16"/>
    <hyperlink r:id="rId29" ref="K16"/>
    <hyperlink r:id="rId30" ref="L16"/>
    <hyperlink r:id="rId31" ref="J17"/>
    <hyperlink r:id="rId32" ref="K17"/>
    <hyperlink r:id="rId33" ref="H18"/>
    <hyperlink r:id="rId34" ref="K18"/>
    <hyperlink r:id="rId35" ref="K19"/>
    <hyperlink r:id="rId36" ref="K20"/>
    <hyperlink r:id="rId37" ref="K21"/>
    <hyperlink r:id="rId38" ref="K22"/>
    <hyperlink r:id="rId39" ref="K23"/>
    <hyperlink r:id="rId40" ref="K24"/>
    <hyperlink r:id="rId41" ref="K25"/>
    <hyperlink r:id="rId42" ref="K26"/>
    <hyperlink r:id="rId43" ref="H27"/>
    <hyperlink r:id="rId44" ref="K27"/>
    <hyperlink r:id="rId45" ref="K28"/>
    <hyperlink r:id="rId46" ref="K29"/>
    <hyperlink r:id="rId47" ref="K30"/>
    <hyperlink r:id="rId48" ref="K31"/>
    <hyperlink r:id="rId49" ref="K32"/>
    <hyperlink r:id="rId50" ref="K33"/>
    <hyperlink r:id="rId51" ref="K34"/>
    <hyperlink r:id="rId52" ref="K35"/>
    <hyperlink r:id="rId53" ref="H36"/>
    <hyperlink r:id="rId54" ref="K36"/>
    <hyperlink r:id="rId55" ref="H37"/>
    <hyperlink r:id="rId56" ref="K37"/>
    <hyperlink r:id="rId57" ref="K38"/>
    <hyperlink r:id="rId58" ref="L38"/>
    <hyperlink r:id="rId59" ref="K39"/>
    <hyperlink r:id="rId60" ref="K40"/>
    <hyperlink r:id="rId61" ref="K41"/>
    <hyperlink r:id="rId62" ref="K42"/>
    <hyperlink r:id="rId63" ref="K43"/>
    <hyperlink r:id="rId64" ref="K44"/>
    <hyperlink r:id="rId65" ref="K45"/>
    <hyperlink r:id="rId66" ref="K46"/>
    <hyperlink r:id="rId67" ref="K47"/>
    <hyperlink r:id="rId68" ref="K48"/>
    <hyperlink r:id="rId69" ref="K49"/>
    <hyperlink r:id="rId70" ref="K50"/>
    <hyperlink r:id="rId71" ref="K51"/>
    <hyperlink r:id="rId72" ref="H52"/>
    <hyperlink r:id="rId73" ref="K52"/>
    <hyperlink r:id="rId74" ref="K53"/>
    <hyperlink r:id="rId75" ref="K54"/>
    <hyperlink r:id="rId76" ref="K55"/>
    <hyperlink r:id="rId77" ref="K56"/>
    <hyperlink r:id="rId78" ref="K57"/>
    <hyperlink r:id="rId79" ref="L57"/>
    <hyperlink r:id="rId80" ref="K58"/>
    <hyperlink r:id="rId81" ref="L58"/>
    <hyperlink r:id="rId82" ref="K59"/>
    <hyperlink r:id="rId83" ref="L59"/>
    <hyperlink r:id="rId84" ref="K60"/>
    <hyperlink r:id="rId85" ref="K61"/>
    <hyperlink r:id="rId86" ref="K62"/>
    <hyperlink r:id="rId87" ref="K63"/>
    <hyperlink r:id="rId88" ref="K64"/>
    <hyperlink r:id="rId89" ref="K65"/>
    <hyperlink r:id="rId90" ref="K66"/>
    <hyperlink r:id="rId91" ref="K67"/>
    <hyperlink r:id="rId92" ref="K68"/>
    <hyperlink r:id="rId93" ref="K69"/>
    <hyperlink r:id="rId94" ref="K70"/>
    <hyperlink r:id="rId95" ref="K71"/>
    <hyperlink r:id="rId96" ref="K72"/>
    <hyperlink r:id="rId97" ref="K73"/>
    <hyperlink r:id="rId98" ref="K74"/>
    <hyperlink r:id="rId99" ref="K75"/>
    <hyperlink r:id="rId100" ref="L75"/>
    <hyperlink r:id="rId101" ref="K76"/>
    <hyperlink r:id="rId102" ref="K77"/>
    <hyperlink r:id="rId103" ref="K78"/>
    <hyperlink r:id="rId104" ref="K79"/>
    <hyperlink r:id="rId105" ref="K80"/>
    <hyperlink r:id="rId106" ref="K81"/>
    <hyperlink r:id="rId107" ref="K82"/>
    <hyperlink r:id="rId108" ref="K83"/>
    <hyperlink r:id="rId109" ref="L83"/>
    <hyperlink r:id="rId110" ref="K84"/>
    <hyperlink r:id="rId111" ref="K85"/>
    <hyperlink r:id="rId112" ref="L85"/>
    <hyperlink r:id="rId113" ref="K86"/>
    <hyperlink r:id="rId114" ref="L86"/>
    <hyperlink r:id="rId115" ref="H87"/>
    <hyperlink r:id="rId116" ref="K87"/>
    <hyperlink r:id="rId117" ref="L87"/>
    <hyperlink r:id="rId118" ref="K88"/>
    <hyperlink r:id="rId119" ref="L88"/>
    <hyperlink r:id="rId120" ref="K89"/>
    <hyperlink r:id="rId121" ref="K90"/>
    <hyperlink r:id="rId122" ref="K91"/>
    <hyperlink r:id="rId123" ref="L91"/>
    <hyperlink r:id="rId124" ref="H92"/>
    <hyperlink r:id="rId125" ref="K92"/>
    <hyperlink r:id="rId126" ref="L92"/>
    <hyperlink r:id="rId127" ref="K93"/>
    <hyperlink r:id="rId128" ref="K94"/>
    <hyperlink r:id="rId129" ref="K95"/>
    <hyperlink r:id="rId130" ref="K96"/>
    <hyperlink r:id="rId131" ref="K97"/>
    <hyperlink r:id="rId132" ref="K98"/>
    <hyperlink r:id="rId133" ref="K99"/>
    <hyperlink r:id="rId134" ref="L99"/>
    <hyperlink r:id="rId135" ref="K100"/>
    <hyperlink r:id="rId136" ref="K101"/>
    <hyperlink r:id="rId137" ref="K102"/>
    <hyperlink r:id="rId138" ref="K103"/>
    <hyperlink r:id="rId139" ref="K104"/>
    <hyperlink r:id="rId140" ref="K105"/>
    <hyperlink r:id="rId141" ref="K106"/>
    <hyperlink r:id="rId142" ref="K107"/>
    <hyperlink r:id="rId143" ref="K108"/>
    <hyperlink r:id="rId144" ref="H109"/>
    <hyperlink r:id="rId145" ref="K109"/>
    <hyperlink r:id="rId146" ref="K110"/>
    <hyperlink r:id="rId147" ref="H111"/>
    <hyperlink r:id="rId148" ref="K111"/>
    <hyperlink r:id="rId149" ref="K112"/>
    <hyperlink r:id="rId150" ref="K113"/>
    <hyperlink r:id="rId151" ref="K114"/>
    <hyperlink r:id="rId152" ref="K115"/>
    <hyperlink r:id="rId153" ref="H116"/>
    <hyperlink r:id="rId154" ref="K116"/>
    <hyperlink r:id="rId155" ref="H117"/>
    <hyperlink r:id="rId156" ref="K117"/>
    <hyperlink r:id="rId157" ref="L117"/>
    <hyperlink r:id="rId158" ref="K118"/>
    <hyperlink r:id="rId159" ref="L118"/>
    <hyperlink r:id="rId160" ref="K119"/>
    <hyperlink r:id="rId161" ref="K120"/>
    <hyperlink r:id="rId162" ref="K121"/>
    <hyperlink r:id="rId163" ref="L121"/>
    <hyperlink r:id="rId164" ref="K122"/>
    <hyperlink r:id="rId165" ref="L122"/>
    <hyperlink r:id="rId166" ref="K123"/>
    <hyperlink r:id="rId167" ref="L123"/>
    <hyperlink r:id="rId168" ref="H124"/>
    <hyperlink r:id="rId169" ref="K124"/>
    <hyperlink r:id="rId170" ref="L124"/>
    <hyperlink r:id="rId171" ref="K125"/>
    <hyperlink r:id="rId172" ref="L125"/>
    <hyperlink r:id="rId173" ref="K126"/>
    <hyperlink r:id="rId174" ref="K127"/>
    <hyperlink r:id="rId175" ref="L127"/>
    <hyperlink r:id="rId176" ref="K128"/>
    <hyperlink r:id="rId177" ref="K129"/>
    <hyperlink r:id="rId178" ref="K130"/>
    <hyperlink r:id="rId179" ref="K131"/>
    <hyperlink r:id="rId180" ref="K132"/>
    <hyperlink r:id="rId181" ref="H133"/>
    <hyperlink r:id="rId182" ref="K133"/>
    <hyperlink r:id="rId183" ref="K134"/>
    <hyperlink r:id="rId184" ref="K135"/>
    <hyperlink r:id="rId185" ref="K136"/>
    <hyperlink r:id="rId186" ref="K137"/>
    <hyperlink r:id="rId187" ref="L137"/>
    <hyperlink r:id="rId188" ref="K138"/>
    <hyperlink r:id="rId189" ref="K139"/>
    <hyperlink r:id="rId190" ref="H140"/>
    <hyperlink r:id="rId191" ref="K140"/>
    <hyperlink r:id="rId192" ref="H141"/>
    <hyperlink r:id="rId193" ref="K141"/>
    <hyperlink r:id="rId194" ref="K142"/>
    <hyperlink r:id="rId195" ref="K143"/>
    <hyperlink r:id="rId196" ref="K144"/>
    <hyperlink r:id="rId197" ref="K145"/>
    <hyperlink r:id="rId198" ref="K146"/>
    <hyperlink r:id="rId199" ref="K147"/>
    <hyperlink r:id="rId200" ref="H148"/>
    <hyperlink r:id="rId201" ref="K148"/>
    <hyperlink r:id="rId202" ref="L148"/>
    <hyperlink r:id="rId203" ref="K149"/>
    <hyperlink r:id="rId204" ref="K150"/>
    <hyperlink r:id="rId205" ref="K151"/>
    <hyperlink r:id="rId206" ref="K152"/>
    <hyperlink r:id="rId207" ref="L152"/>
    <hyperlink r:id="rId208" ref="K153"/>
    <hyperlink r:id="rId209" ref="K154"/>
    <hyperlink r:id="rId210" ref="H155"/>
    <hyperlink r:id="rId211" ref="K155"/>
    <hyperlink r:id="rId212" ref="K156"/>
    <hyperlink r:id="rId213" ref="K157"/>
    <hyperlink r:id="rId214" ref="K158"/>
    <hyperlink r:id="rId215" ref="K159"/>
    <hyperlink r:id="rId216" ref="K160"/>
    <hyperlink r:id="rId217" ref="K161"/>
    <hyperlink r:id="rId218" ref="K162"/>
    <hyperlink r:id="rId219" ref="K163"/>
    <hyperlink r:id="rId220" ref="K164"/>
    <hyperlink r:id="rId221" ref="K165"/>
    <hyperlink r:id="rId222" ref="K166"/>
    <hyperlink r:id="rId223" ref="K167"/>
    <hyperlink r:id="rId224" ref="K168"/>
    <hyperlink r:id="rId225" ref="K169"/>
    <hyperlink r:id="rId226" ref="K170"/>
    <hyperlink r:id="rId227" ref="K171"/>
    <hyperlink r:id="rId228" ref="K172"/>
    <hyperlink r:id="rId229" ref="K173"/>
    <hyperlink r:id="rId230" ref="L173"/>
    <hyperlink r:id="rId231" ref="K174"/>
    <hyperlink r:id="rId232" ref="K175"/>
    <hyperlink r:id="rId233" ref="K176"/>
    <hyperlink r:id="rId234" ref="K177"/>
    <hyperlink r:id="rId235" ref="K178"/>
    <hyperlink r:id="rId236" ref="J179"/>
    <hyperlink r:id="rId237" ref="K179"/>
    <hyperlink r:id="rId238" ref="K180"/>
    <hyperlink r:id="rId239" ref="K181"/>
    <hyperlink r:id="rId240" ref="K182"/>
    <hyperlink r:id="rId241" ref="K183"/>
    <hyperlink r:id="rId242" ref="K184"/>
    <hyperlink r:id="rId243" ref="K185"/>
    <hyperlink r:id="rId244" ref="K186"/>
    <hyperlink r:id="rId245" ref="K187"/>
    <hyperlink r:id="rId246" ref="K188"/>
    <hyperlink r:id="rId247" ref="K189"/>
    <hyperlink r:id="rId248" ref="K190"/>
    <hyperlink r:id="rId249" ref="K191"/>
    <hyperlink r:id="rId250" ref="K192"/>
    <hyperlink r:id="rId251" ref="K193"/>
    <hyperlink r:id="rId252" ref="K194"/>
    <hyperlink r:id="rId253" ref="K195"/>
    <hyperlink r:id="rId254" ref="K196"/>
    <hyperlink r:id="rId255" ref="K197"/>
    <hyperlink r:id="rId256" ref="K198"/>
    <hyperlink r:id="rId257" ref="K199"/>
    <hyperlink r:id="rId258" ref="K200"/>
    <hyperlink r:id="rId259" ref="L200"/>
    <hyperlink r:id="rId260" ref="K201"/>
    <hyperlink r:id="rId261" ref="K202"/>
    <hyperlink r:id="rId262" ref="K203"/>
    <hyperlink r:id="rId263" ref="K204"/>
    <hyperlink r:id="rId264" ref="K205"/>
    <hyperlink r:id="rId265" ref="L205"/>
    <hyperlink r:id="rId266" ref="K206"/>
    <hyperlink r:id="rId267" ref="K207"/>
    <hyperlink r:id="rId268" ref="K208"/>
    <hyperlink r:id="rId269" ref="K209"/>
    <hyperlink r:id="rId270" ref="L209"/>
    <hyperlink r:id="rId271" ref="K210"/>
    <hyperlink r:id="rId272" ref="L210"/>
    <hyperlink r:id="rId273" ref="K211"/>
    <hyperlink r:id="rId274" ref="L211"/>
    <hyperlink r:id="rId275" ref="K212"/>
    <hyperlink r:id="rId276" ref="K213"/>
    <hyperlink r:id="rId277" ref="K214"/>
    <hyperlink r:id="rId278" ref="K215"/>
    <hyperlink r:id="rId279" ref="L215"/>
    <hyperlink r:id="rId280" ref="K216"/>
    <hyperlink r:id="rId281" ref="L216"/>
    <hyperlink r:id="rId282" ref="K217"/>
    <hyperlink r:id="rId283" ref="L217"/>
    <hyperlink r:id="rId284" ref="K218"/>
    <hyperlink r:id="rId285" ref="L218"/>
    <hyperlink r:id="rId286" ref="K219"/>
    <hyperlink r:id="rId287" ref="K220"/>
    <hyperlink r:id="rId288" ref="K221"/>
    <hyperlink r:id="rId289" ref="K222"/>
    <hyperlink r:id="rId290" ref="K223"/>
    <hyperlink r:id="rId291" ref="K224"/>
    <hyperlink r:id="rId292" ref="K225"/>
    <hyperlink r:id="rId293" ref="K226"/>
    <hyperlink r:id="rId294" ref="K227"/>
    <hyperlink r:id="rId295" ref="L227"/>
    <hyperlink r:id="rId296" ref="T227"/>
    <hyperlink r:id="rId297" ref="K228"/>
    <hyperlink r:id="rId298" ref="K229"/>
    <hyperlink r:id="rId299" ref="K230"/>
    <hyperlink r:id="rId300" ref="K231"/>
    <hyperlink r:id="rId301" ref="K232"/>
    <hyperlink r:id="rId302" ref="K233"/>
    <hyperlink r:id="rId303" ref="H234"/>
    <hyperlink r:id="rId304" ref="K234"/>
    <hyperlink r:id="rId305" ref="H235"/>
    <hyperlink r:id="rId306" ref="K235"/>
    <hyperlink r:id="rId307" ref="H236"/>
    <hyperlink r:id="rId308" ref="K236"/>
    <hyperlink r:id="rId309" ref="H237"/>
    <hyperlink r:id="rId310" ref="K237"/>
    <hyperlink r:id="rId311" ref="H238"/>
    <hyperlink r:id="rId312" ref="K238"/>
    <hyperlink r:id="rId313" ref="H239"/>
    <hyperlink r:id="rId314" ref="K239"/>
    <hyperlink r:id="rId315" ref="H240"/>
    <hyperlink r:id="rId316" ref="K240"/>
    <hyperlink r:id="rId317" ref="H241"/>
    <hyperlink r:id="rId318" ref="K241"/>
    <hyperlink r:id="rId319" ref="K242"/>
    <hyperlink r:id="rId320" ref="H243"/>
    <hyperlink r:id="rId321" ref="K243"/>
    <hyperlink r:id="rId322" ref="H244"/>
    <hyperlink r:id="rId323" ref="K244"/>
    <hyperlink r:id="rId324" ref="H245"/>
    <hyperlink r:id="rId325" ref="K245"/>
    <hyperlink r:id="rId326" ref="H246"/>
    <hyperlink r:id="rId327" ref="K246"/>
    <hyperlink r:id="rId328" ref="H247"/>
    <hyperlink r:id="rId329" ref="K247"/>
    <hyperlink r:id="rId330" ref="H248"/>
    <hyperlink r:id="rId331" ref="K248"/>
    <hyperlink r:id="rId332" ref="H249"/>
    <hyperlink r:id="rId333" ref="K249"/>
    <hyperlink r:id="rId334" ref="K250"/>
    <hyperlink r:id="rId335" ref="L250"/>
    <hyperlink r:id="rId336" ref="H251"/>
    <hyperlink r:id="rId337" ref="K251"/>
    <hyperlink r:id="rId338" ref="K252"/>
    <hyperlink r:id="rId339" ref="K253"/>
    <hyperlink r:id="rId340" ref="K254"/>
    <hyperlink r:id="rId341" ref="L254"/>
    <hyperlink r:id="rId342" ref="K255"/>
    <hyperlink r:id="rId343" ref="L255"/>
    <hyperlink r:id="rId344" ref="K256"/>
    <hyperlink r:id="rId345" ref="L256"/>
    <hyperlink r:id="rId346" ref="K257"/>
    <hyperlink r:id="rId347" ref="H258"/>
    <hyperlink r:id="rId348" ref="K258"/>
    <hyperlink r:id="rId349" ref="H259"/>
    <hyperlink r:id="rId350" ref="K259"/>
    <hyperlink r:id="rId351" ref="H260"/>
    <hyperlink r:id="rId352" ref="K260"/>
    <hyperlink r:id="rId353" ref="H261"/>
    <hyperlink r:id="rId354" ref="K261"/>
    <hyperlink r:id="rId355" ref="L261"/>
    <hyperlink r:id="rId356" ref="H262"/>
    <hyperlink r:id="rId357" ref="K262"/>
    <hyperlink r:id="rId358" ref="H263"/>
    <hyperlink r:id="rId359" ref="K263"/>
    <hyperlink r:id="rId360" ref="H264"/>
    <hyperlink r:id="rId361" ref="K264"/>
    <hyperlink r:id="rId362" ref="L264"/>
    <hyperlink r:id="rId363" ref="H265"/>
    <hyperlink r:id="rId364" ref="K265"/>
    <hyperlink r:id="rId365" ref="H266"/>
    <hyperlink r:id="rId366" ref="K266"/>
    <hyperlink r:id="rId367" ref="H267"/>
    <hyperlink r:id="rId368" ref="K267"/>
    <hyperlink r:id="rId369" ref="H268"/>
    <hyperlink r:id="rId370" ref="K268"/>
    <hyperlink r:id="rId371" ref="H269"/>
    <hyperlink r:id="rId372" ref="K269"/>
    <hyperlink r:id="rId373" ref="K270"/>
    <hyperlink r:id="rId374" ref="L270"/>
    <hyperlink r:id="rId375" ref="H271"/>
    <hyperlink r:id="rId376" ref="K271"/>
    <hyperlink r:id="rId377" ref="H272"/>
    <hyperlink r:id="rId378" ref="K272"/>
    <hyperlink r:id="rId379" ref="H273"/>
    <hyperlink r:id="rId380" ref="K273"/>
    <hyperlink r:id="rId381" ref="H274"/>
    <hyperlink r:id="rId382" ref="K274"/>
    <hyperlink r:id="rId383" ref="K275"/>
    <hyperlink r:id="rId384" ref="H276"/>
    <hyperlink r:id="rId385" ref="K276"/>
    <hyperlink r:id="rId386" ref="H277"/>
    <hyperlink r:id="rId387" ref="K277"/>
    <hyperlink r:id="rId388" ref="K278"/>
    <hyperlink r:id="rId389" ref="H279"/>
    <hyperlink r:id="rId390" ref="K279"/>
    <hyperlink r:id="rId391" ref="H280"/>
    <hyperlink r:id="rId392" ref="K280"/>
    <hyperlink r:id="rId393" ref="H281"/>
    <hyperlink r:id="rId394" ref="K281"/>
    <hyperlink r:id="rId395" ref="H282"/>
    <hyperlink r:id="rId396" ref="K282"/>
    <hyperlink r:id="rId397" ref="H283"/>
    <hyperlink r:id="rId398" ref="K283"/>
    <hyperlink r:id="rId399" ref="H284"/>
    <hyperlink r:id="rId400" ref="K284"/>
    <hyperlink r:id="rId401" ref="L284"/>
    <hyperlink r:id="rId402" ref="H285"/>
    <hyperlink r:id="rId403" ref="K285"/>
    <hyperlink r:id="rId404" ref="H286"/>
    <hyperlink r:id="rId405" ref="K286"/>
    <hyperlink r:id="rId406" ref="L286"/>
    <hyperlink r:id="rId407" ref="H287"/>
    <hyperlink r:id="rId408" ref="K287"/>
    <hyperlink r:id="rId409" ref="K288"/>
    <hyperlink r:id="rId410" ref="K289"/>
    <hyperlink r:id="rId411" ref="K290"/>
    <hyperlink r:id="rId412" ref="K291"/>
    <hyperlink r:id="rId413" ref="K292"/>
    <hyperlink r:id="rId414" ref="K295"/>
    <hyperlink r:id="rId415" ref="K296"/>
    <hyperlink r:id="rId416" ref="K297"/>
    <hyperlink r:id="rId417" ref="K298"/>
    <hyperlink r:id="rId418" ref="K299"/>
    <hyperlink r:id="rId419" ref="K300"/>
    <hyperlink r:id="rId420" ref="K301"/>
    <hyperlink r:id="rId421" ref="L301"/>
    <hyperlink r:id="rId422" ref="K302"/>
    <hyperlink r:id="rId423" ref="K303"/>
    <hyperlink r:id="rId424" ref="K304"/>
    <hyperlink r:id="rId425" ref="K305"/>
    <hyperlink r:id="rId426" ref="K306"/>
    <hyperlink r:id="rId427" ref="K307"/>
    <hyperlink r:id="rId428" ref="L307"/>
    <hyperlink r:id="rId429" ref="K308"/>
    <hyperlink r:id="rId430" ref="K309"/>
    <hyperlink r:id="rId431" ref="K310"/>
    <hyperlink r:id="rId432" ref="K311"/>
    <hyperlink r:id="rId433" ref="K312"/>
    <hyperlink r:id="rId434" ref="K313"/>
    <hyperlink r:id="rId435" ref="K314"/>
    <hyperlink r:id="rId436" ref="K315"/>
    <hyperlink r:id="rId437" ref="K316"/>
    <hyperlink r:id="rId438" ref="K317"/>
    <hyperlink r:id="rId439" ref="K318"/>
    <hyperlink r:id="rId440" ref="K319"/>
    <hyperlink r:id="rId441" ref="K320"/>
    <hyperlink r:id="rId442" ref="K321"/>
    <hyperlink r:id="rId443" ref="K322"/>
    <hyperlink r:id="rId444" ref="K323"/>
    <hyperlink r:id="rId445" ref="K324"/>
    <hyperlink r:id="rId446" ref="K325"/>
    <hyperlink r:id="rId447" ref="K326"/>
    <hyperlink r:id="rId448" ref="K327"/>
    <hyperlink r:id="rId449" ref="K328"/>
    <hyperlink r:id="rId450" ref="K329"/>
    <hyperlink r:id="rId451" ref="K330"/>
    <hyperlink r:id="rId452" ref="L330"/>
    <hyperlink r:id="rId453" ref="K331"/>
    <hyperlink r:id="rId454" ref="L331"/>
    <hyperlink r:id="rId455" ref="K332"/>
    <hyperlink r:id="rId456" ref="K333"/>
    <hyperlink r:id="rId457" ref="K334"/>
    <hyperlink r:id="rId458" ref="K335"/>
    <hyperlink r:id="rId459" ref="L335"/>
    <hyperlink r:id="rId460" ref="K336"/>
    <hyperlink r:id="rId461" ref="K337"/>
  </hyperlinks>
  <printOptions/>
  <pageMargins bottom="0.75" footer="0.0" header="0.0" left="0.7" right="0.7" top="0.75"/>
  <pageSetup orientation="landscape"/>
  <headerFooter>
    <oddFooter>&amp;C_x000D_#000000 SBI Card Restricted</oddFooter>
  </headerFooter>
  <drawing r:id="rId46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34.88"/>
    <col customWidth="1" min="3" max="4" width="26.13"/>
    <col customWidth="1" min="5" max="5" width="40.75"/>
    <col customWidth="1" min="6" max="6" width="9.13"/>
    <col customWidth="1" min="7" max="26" width="8.63"/>
  </cols>
  <sheetData>
    <row r="1">
      <c r="A1" s="316" t="s">
        <v>4414</v>
      </c>
      <c r="B1" s="316" t="s">
        <v>4415</v>
      </c>
      <c r="C1" s="316" t="s">
        <v>4416</v>
      </c>
      <c r="D1" s="316" t="s">
        <v>4417</v>
      </c>
      <c r="E1" s="316" t="s">
        <v>276</v>
      </c>
      <c r="F1" s="317"/>
      <c r="G1" s="317"/>
      <c r="H1" s="317"/>
      <c r="I1" s="317"/>
      <c r="J1" s="317"/>
      <c r="K1" s="317"/>
      <c r="L1" s="317"/>
      <c r="M1" s="317"/>
      <c r="N1" s="317"/>
      <c r="O1" s="317"/>
      <c r="P1" s="317"/>
      <c r="Q1" s="317"/>
      <c r="R1" s="317"/>
      <c r="S1" s="317"/>
      <c r="T1" s="317"/>
      <c r="U1" s="317"/>
      <c r="V1" s="317"/>
      <c r="W1" s="317"/>
      <c r="X1" s="317"/>
      <c r="Y1" s="317"/>
      <c r="Z1" s="317"/>
    </row>
    <row r="2" ht="21.0" customHeight="1">
      <c r="A2" s="117" t="s">
        <v>50</v>
      </c>
      <c r="B2" s="117" t="s">
        <v>502</v>
      </c>
      <c r="C2" s="318" t="s">
        <v>559</v>
      </c>
      <c r="D2" s="318" t="s">
        <v>559</v>
      </c>
      <c r="E2" s="117"/>
      <c r="F2" s="319"/>
      <c r="G2" s="319"/>
      <c r="H2" s="319"/>
      <c r="I2" s="319"/>
      <c r="J2" s="319"/>
      <c r="K2" s="319"/>
      <c r="L2" s="319"/>
      <c r="M2" s="319"/>
      <c r="N2" s="319"/>
      <c r="O2" s="319"/>
      <c r="P2" s="319"/>
      <c r="Q2" s="319"/>
      <c r="R2" s="319"/>
      <c r="S2" s="319"/>
      <c r="T2" s="319"/>
      <c r="U2" s="319"/>
      <c r="V2" s="319"/>
      <c r="W2" s="319"/>
      <c r="X2" s="319"/>
      <c r="Y2" s="319"/>
      <c r="Z2" s="319"/>
    </row>
    <row r="3" ht="66.0" customHeight="1">
      <c r="A3" s="117" t="s">
        <v>58</v>
      </c>
      <c r="B3" s="117" t="s">
        <v>4418</v>
      </c>
      <c r="C3" s="318" t="s">
        <v>559</v>
      </c>
      <c r="D3" s="318" t="s">
        <v>559</v>
      </c>
      <c r="E3" s="117" t="s">
        <v>4419</v>
      </c>
      <c r="F3" s="319"/>
      <c r="G3" s="319"/>
      <c r="H3" s="319"/>
      <c r="I3" s="319"/>
      <c r="J3" s="319"/>
      <c r="K3" s="319"/>
      <c r="L3" s="319"/>
      <c r="M3" s="319"/>
      <c r="N3" s="319"/>
      <c r="O3" s="319"/>
      <c r="P3" s="319"/>
      <c r="Q3" s="319"/>
      <c r="R3" s="319"/>
      <c r="S3" s="319"/>
      <c r="T3" s="319"/>
      <c r="U3" s="319"/>
      <c r="V3" s="319"/>
      <c r="W3" s="319"/>
      <c r="X3" s="319"/>
      <c r="Y3" s="319"/>
      <c r="Z3" s="319"/>
    </row>
    <row r="4" ht="91.5" customHeight="1">
      <c r="A4" s="117" t="s">
        <v>63</v>
      </c>
      <c r="B4" s="117" t="s">
        <v>4420</v>
      </c>
      <c r="C4" s="318" t="s">
        <v>559</v>
      </c>
      <c r="D4" s="318" t="s">
        <v>559</v>
      </c>
      <c r="E4" s="117" t="s">
        <v>4421</v>
      </c>
      <c r="F4" s="319"/>
      <c r="G4" s="319"/>
      <c r="H4" s="319"/>
      <c r="I4" s="319"/>
      <c r="J4" s="319"/>
      <c r="K4" s="319"/>
      <c r="L4" s="319"/>
      <c r="M4" s="319"/>
      <c r="N4" s="319"/>
      <c r="O4" s="319"/>
      <c r="P4" s="319"/>
      <c r="Q4" s="319"/>
      <c r="R4" s="319"/>
      <c r="S4" s="319"/>
      <c r="T4" s="319"/>
      <c r="U4" s="319"/>
      <c r="V4" s="319"/>
      <c r="W4" s="319"/>
      <c r="X4" s="319"/>
      <c r="Y4" s="319"/>
      <c r="Z4" s="319"/>
    </row>
    <row r="5" ht="112.5" customHeight="1">
      <c r="A5" s="117" t="s">
        <v>70</v>
      </c>
      <c r="B5" s="117" t="s">
        <v>4422</v>
      </c>
      <c r="C5" s="318" t="s">
        <v>559</v>
      </c>
      <c r="D5" s="318" t="s">
        <v>559</v>
      </c>
      <c r="E5" s="117"/>
      <c r="F5" s="319"/>
      <c r="G5" s="319"/>
      <c r="H5" s="319"/>
      <c r="I5" s="319"/>
      <c r="J5" s="319"/>
      <c r="K5" s="319"/>
      <c r="L5" s="319"/>
      <c r="M5" s="319"/>
      <c r="N5" s="319"/>
      <c r="O5" s="319"/>
      <c r="P5" s="319"/>
      <c r="Q5" s="319"/>
      <c r="R5" s="319"/>
      <c r="S5" s="319"/>
      <c r="T5" s="319"/>
      <c r="U5" s="319"/>
      <c r="V5" s="319"/>
      <c r="W5" s="319"/>
      <c r="X5" s="319"/>
      <c r="Y5" s="319"/>
      <c r="Z5" s="319"/>
    </row>
    <row r="6" ht="63.0" customHeight="1">
      <c r="A6" s="117" t="s">
        <v>74</v>
      </c>
      <c r="B6" s="320" t="s">
        <v>4423</v>
      </c>
      <c r="C6" s="318" t="s">
        <v>559</v>
      </c>
      <c r="D6" s="318" t="s">
        <v>559</v>
      </c>
      <c r="E6" s="117" t="s">
        <v>4424</v>
      </c>
      <c r="F6" s="319"/>
      <c r="G6" s="319"/>
      <c r="H6" s="319"/>
      <c r="I6" s="319"/>
      <c r="J6" s="319"/>
      <c r="K6" s="319"/>
      <c r="L6" s="319"/>
      <c r="M6" s="319"/>
      <c r="N6" s="319"/>
      <c r="O6" s="319"/>
      <c r="P6" s="319"/>
      <c r="Q6" s="319"/>
      <c r="R6" s="319"/>
      <c r="S6" s="319"/>
      <c r="T6" s="319"/>
      <c r="U6" s="319"/>
      <c r="V6" s="319"/>
      <c r="W6" s="319"/>
      <c r="X6" s="319"/>
      <c r="Y6" s="319"/>
      <c r="Z6" s="319"/>
    </row>
    <row r="7" ht="92.25" customHeight="1">
      <c r="A7" s="117" t="s">
        <v>79</v>
      </c>
      <c r="B7" s="117" t="s">
        <v>4425</v>
      </c>
      <c r="C7" s="318" t="s">
        <v>559</v>
      </c>
      <c r="D7" s="318" t="s">
        <v>559</v>
      </c>
      <c r="E7" s="117"/>
      <c r="F7" s="321"/>
      <c r="G7" s="321"/>
      <c r="H7" s="321"/>
      <c r="I7" s="321"/>
      <c r="J7" s="321"/>
      <c r="K7" s="321"/>
      <c r="L7" s="321"/>
      <c r="M7" s="321"/>
      <c r="N7" s="321"/>
      <c r="O7" s="321"/>
      <c r="P7" s="321"/>
      <c r="Q7" s="321"/>
      <c r="R7" s="321"/>
      <c r="S7" s="321"/>
      <c r="T7" s="321"/>
      <c r="U7" s="321"/>
      <c r="V7" s="321"/>
      <c r="W7" s="321"/>
      <c r="X7" s="321"/>
      <c r="Y7" s="321"/>
      <c r="Z7" s="321"/>
    </row>
    <row r="8" ht="62.25" customHeight="1">
      <c r="A8" s="117" t="s">
        <v>82</v>
      </c>
      <c r="B8" s="117" t="s">
        <v>4426</v>
      </c>
      <c r="C8" s="318" t="s">
        <v>559</v>
      </c>
      <c r="D8" s="318" t="s">
        <v>559</v>
      </c>
      <c r="E8" s="117"/>
      <c r="F8" s="319"/>
      <c r="G8" s="319"/>
      <c r="H8" s="319"/>
      <c r="I8" s="319"/>
      <c r="J8" s="319"/>
      <c r="K8" s="319"/>
      <c r="L8" s="319"/>
      <c r="M8" s="319"/>
      <c r="N8" s="319"/>
      <c r="O8" s="319"/>
      <c r="P8" s="319"/>
      <c r="Q8" s="319"/>
      <c r="R8" s="319"/>
      <c r="S8" s="319"/>
      <c r="T8" s="319"/>
      <c r="U8" s="319"/>
      <c r="V8" s="319"/>
      <c r="W8" s="319"/>
      <c r="X8" s="319"/>
      <c r="Y8" s="319"/>
      <c r="Z8" s="319"/>
    </row>
    <row r="9" ht="91.5" customHeight="1">
      <c r="A9" s="117" t="s">
        <v>85</v>
      </c>
      <c r="B9" s="117" t="s">
        <v>4427</v>
      </c>
      <c r="C9" s="318" t="s">
        <v>559</v>
      </c>
      <c r="D9" s="318" t="s">
        <v>559</v>
      </c>
      <c r="E9" s="117" t="s">
        <v>4428</v>
      </c>
      <c r="F9" s="319"/>
      <c r="G9" s="319"/>
      <c r="H9" s="319"/>
      <c r="I9" s="319"/>
      <c r="J9" s="319"/>
      <c r="K9" s="319"/>
      <c r="L9" s="319"/>
      <c r="M9" s="319"/>
      <c r="N9" s="319"/>
      <c r="O9" s="319"/>
      <c r="P9" s="319"/>
      <c r="Q9" s="319"/>
      <c r="R9" s="319"/>
      <c r="S9" s="319"/>
      <c r="T9" s="319"/>
      <c r="U9" s="319"/>
      <c r="V9" s="319"/>
      <c r="W9" s="319"/>
      <c r="X9" s="319"/>
      <c r="Y9" s="319"/>
      <c r="Z9" s="319"/>
    </row>
    <row r="10" ht="19.5" customHeight="1">
      <c r="A10" s="117" t="s">
        <v>88</v>
      </c>
      <c r="B10" s="117" t="s">
        <v>608</v>
      </c>
      <c r="C10" s="318" t="s">
        <v>559</v>
      </c>
      <c r="D10" s="318" t="s">
        <v>559</v>
      </c>
      <c r="E10" s="117"/>
      <c r="F10" s="319"/>
      <c r="G10" s="319"/>
      <c r="H10" s="319"/>
      <c r="I10" s="319"/>
      <c r="J10" s="319"/>
      <c r="K10" s="319"/>
      <c r="L10" s="319"/>
      <c r="M10" s="319"/>
      <c r="N10" s="319"/>
      <c r="O10" s="319"/>
      <c r="P10" s="319"/>
      <c r="Q10" s="319"/>
      <c r="R10" s="319"/>
      <c r="S10" s="319"/>
      <c r="T10" s="319"/>
      <c r="U10" s="319"/>
      <c r="V10" s="319"/>
      <c r="W10" s="319"/>
      <c r="X10" s="319"/>
      <c r="Y10" s="319"/>
      <c r="Z10" s="319"/>
    </row>
    <row r="11" ht="93.0" customHeight="1">
      <c r="A11" s="117" t="s">
        <v>93</v>
      </c>
      <c r="B11" s="117" t="s">
        <v>4429</v>
      </c>
      <c r="C11" s="318" t="s">
        <v>559</v>
      </c>
      <c r="D11" s="318" t="s">
        <v>559</v>
      </c>
      <c r="E11" s="117" t="s">
        <v>4430</v>
      </c>
      <c r="F11" s="319"/>
      <c r="G11" s="319"/>
      <c r="H11" s="319"/>
      <c r="I11" s="319"/>
      <c r="J11" s="319"/>
      <c r="K11" s="319"/>
      <c r="L11" s="319"/>
      <c r="M11" s="319"/>
      <c r="N11" s="319"/>
      <c r="O11" s="319"/>
      <c r="P11" s="319"/>
      <c r="Q11" s="319"/>
      <c r="R11" s="319"/>
      <c r="S11" s="319"/>
      <c r="T11" s="319"/>
      <c r="U11" s="319"/>
      <c r="V11" s="319"/>
      <c r="W11" s="319"/>
      <c r="X11" s="319"/>
      <c r="Y11" s="319"/>
      <c r="Z11" s="319"/>
    </row>
    <row r="12" ht="96.75" customHeight="1">
      <c r="A12" s="117" t="s">
        <v>625</v>
      </c>
      <c r="B12" s="117" t="s">
        <v>4431</v>
      </c>
      <c r="C12" s="318" t="s">
        <v>559</v>
      </c>
      <c r="D12" s="318" t="s">
        <v>559</v>
      </c>
      <c r="E12" s="117" t="s">
        <v>4432</v>
      </c>
      <c r="F12" s="319"/>
      <c r="G12" s="319"/>
      <c r="H12" s="319"/>
      <c r="I12" s="319"/>
      <c r="J12" s="319"/>
      <c r="K12" s="319"/>
      <c r="L12" s="319"/>
      <c r="M12" s="319"/>
      <c r="N12" s="319"/>
      <c r="O12" s="319"/>
      <c r="P12" s="319"/>
      <c r="Q12" s="319"/>
      <c r="R12" s="319"/>
      <c r="S12" s="319"/>
      <c r="T12" s="319"/>
      <c r="U12" s="319"/>
      <c r="V12" s="319"/>
      <c r="W12" s="319"/>
      <c r="X12" s="319"/>
      <c r="Y12" s="319"/>
      <c r="Z12" s="319"/>
    </row>
    <row r="13" ht="91.5" customHeight="1">
      <c r="A13" s="117" t="s">
        <v>100</v>
      </c>
      <c r="B13" s="320" t="s">
        <v>4433</v>
      </c>
      <c r="C13" s="318" t="s">
        <v>559</v>
      </c>
      <c r="D13" s="318" t="s">
        <v>559</v>
      </c>
      <c r="E13" s="117"/>
      <c r="F13" s="319"/>
      <c r="G13" s="319"/>
      <c r="H13" s="319"/>
      <c r="I13" s="319"/>
      <c r="J13" s="319"/>
      <c r="K13" s="319"/>
      <c r="L13" s="319"/>
      <c r="M13" s="319"/>
      <c r="N13" s="319"/>
      <c r="O13" s="319"/>
      <c r="P13" s="319"/>
      <c r="Q13" s="319"/>
      <c r="R13" s="319"/>
      <c r="S13" s="319"/>
      <c r="T13" s="319"/>
      <c r="U13" s="319"/>
      <c r="V13" s="319"/>
      <c r="W13" s="319"/>
      <c r="X13" s="319"/>
      <c r="Y13" s="319"/>
      <c r="Z13" s="319"/>
    </row>
    <row r="14" ht="63.0" customHeight="1">
      <c r="A14" s="117" t="s">
        <v>479</v>
      </c>
      <c r="B14" s="117" t="s">
        <v>4434</v>
      </c>
      <c r="C14" s="318" t="s">
        <v>559</v>
      </c>
      <c r="D14" s="318" t="s">
        <v>559</v>
      </c>
      <c r="E14" s="117"/>
      <c r="F14" s="319"/>
      <c r="G14" s="319"/>
      <c r="H14" s="319"/>
      <c r="I14" s="319"/>
      <c r="J14" s="319"/>
      <c r="K14" s="319"/>
      <c r="L14" s="319"/>
      <c r="M14" s="319"/>
      <c r="N14" s="319"/>
      <c r="O14" s="319"/>
      <c r="P14" s="319"/>
      <c r="Q14" s="319"/>
      <c r="R14" s="319"/>
      <c r="S14" s="319"/>
      <c r="T14" s="319"/>
      <c r="U14" s="319"/>
      <c r="V14" s="319"/>
      <c r="W14" s="319"/>
      <c r="X14" s="319"/>
      <c r="Y14" s="319"/>
      <c r="Z14" s="319"/>
    </row>
    <row r="15">
      <c r="A15" s="117" t="s">
        <v>106</v>
      </c>
      <c r="B15" s="117" t="s">
        <v>4435</v>
      </c>
      <c r="C15" s="318" t="s">
        <v>559</v>
      </c>
      <c r="D15" s="318" t="s">
        <v>559</v>
      </c>
      <c r="E15" s="117" t="s">
        <v>4436</v>
      </c>
      <c r="F15" s="319"/>
      <c r="G15" s="319"/>
      <c r="H15" s="319"/>
      <c r="I15" s="319"/>
      <c r="J15" s="319"/>
      <c r="K15" s="319"/>
      <c r="L15" s="319"/>
      <c r="M15" s="319"/>
      <c r="N15" s="319"/>
      <c r="O15" s="319"/>
      <c r="P15" s="319"/>
      <c r="Q15" s="319"/>
      <c r="R15" s="319"/>
      <c r="S15" s="319"/>
      <c r="T15" s="319"/>
      <c r="U15" s="319"/>
      <c r="V15" s="319"/>
      <c r="W15" s="319"/>
      <c r="X15" s="319"/>
      <c r="Y15" s="319"/>
      <c r="Z15" s="319"/>
    </row>
    <row r="16" ht="66.0" customHeight="1">
      <c r="A16" s="117" t="s">
        <v>110</v>
      </c>
      <c r="B16" s="117" t="s">
        <v>4437</v>
      </c>
      <c r="C16" s="318" t="s">
        <v>559</v>
      </c>
      <c r="D16" s="318" t="s">
        <v>559</v>
      </c>
      <c r="E16" s="117" t="s">
        <v>4438</v>
      </c>
      <c r="F16" s="319"/>
      <c r="G16" s="319"/>
      <c r="H16" s="319"/>
      <c r="I16" s="319"/>
      <c r="J16" s="319"/>
      <c r="K16" s="319"/>
      <c r="L16" s="319"/>
      <c r="M16" s="319"/>
      <c r="N16" s="319"/>
      <c r="O16" s="319"/>
      <c r="P16" s="319"/>
      <c r="Q16" s="319"/>
      <c r="R16" s="319"/>
      <c r="S16" s="319"/>
      <c r="T16" s="319"/>
      <c r="U16" s="319"/>
      <c r="V16" s="319"/>
      <c r="W16" s="319"/>
      <c r="X16" s="319"/>
      <c r="Y16" s="319"/>
      <c r="Z16" s="319"/>
    </row>
    <row r="17" ht="48.0" customHeight="1">
      <c r="A17" s="117" t="s">
        <v>3557</v>
      </c>
      <c r="B17" s="117" t="s">
        <v>4439</v>
      </c>
      <c r="C17" s="318" t="s">
        <v>559</v>
      </c>
      <c r="D17" s="318" t="s">
        <v>559</v>
      </c>
      <c r="E17" s="117"/>
      <c r="F17" s="319"/>
      <c r="G17" s="319"/>
      <c r="H17" s="319"/>
      <c r="I17" s="319"/>
      <c r="J17" s="319"/>
      <c r="K17" s="319"/>
      <c r="L17" s="319"/>
      <c r="M17" s="319"/>
      <c r="N17" s="319"/>
      <c r="O17" s="319"/>
      <c r="P17" s="319"/>
      <c r="Q17" s="319"/>
      <c r="R17" s="319"/>
      <c r="S17" s="319"/>
      <c r="T17" s="319"/>
      <c r="U17" s="319"/>
      <c r="V17" s="319"/>
      <c r="W17" s="319"/>
      <c r="X17" s="319"/>
      <c r="Y17" s="319"/>
      <c r="Z17" s="319"/>
    </row>
    <row r="18" ht="90.75" customHeight="1">
      <c r="A18" s="322" t="s">
        <v>481</v>
      </c>
      <c r="B18" s="117" t="s">
        <v>4440</v>
      </c>
      <c r="C18" s="318" t="s">
        <v>559</v>
      </c>
      <c r="D18" s="318" t="s">
        <v>559</v>
      </c>
      <c r="E18" s="117"/>
      <c r="F18" s="319"/>
      <c r="G18" s="319"/>
      <c r="H18" s="319"/>
      <c r="I18" s="319"/>
      <c r="J18" s="319"/>
      <c r="K18" s="319"/>
      <c r="L18" s="319"/>
      <c r="M18" s="319"/>
      <c r="N18" s="319"/>
      <c r="O18" s="319"/>
      <c r="P18" s="319"/>
      <c r="Q18" s="319"/>
      <c r="R18" s="319"/>
      <c r="S18" s="319"/>
      <c r="T18" s="319"/>
      <c r="U18" s="319"/>
      <c r="V18" s="319"/>
      <c r="W18" s="319"/>
      <c r="X18" s="319"/>
      <c r="Y18" s="319"/>
      <c r="Z18" s="319"/>
    </row>
    <row r="19" ht="94.5" customHeight="1">
      <c r="A19" s="322" t="s">
        <v>120</v>
      </c>
      <c r="B19" s="117" t="s">
        <v>4441</v>
      </c>
      <c r="C19" s="318" t="s">
        <v>559</v>
      </c>
      <c r="D19" s="318" t="s">
        <v>559</v>
      </c>
      <c r="E19" s="117"/>
      <c r="F19" s="319"/>
      <c r="G19" s="319"/>
      <c r="H19" s="319"/>
      <c r="I19" s="319"/>
      <c r="J19" s="319"/>
      <c r="K19" s="319"/>
      <c r="L19" s="319"/>
      <c r="M19" s="319"/>
      <c r="N19" s="319"/>
      <c r="O19" s="319"/>
      <c r="P19" s="319"/>
      <c r="Q19" s="319"/>
      <c r="R19" s="319"/>
      <c r="S19" s="319"/>
      <c r="T19" s="319"/>
      <c r="U19" s="319"/>
      <c r="V19" s="319"/>
      <c r="W19" s="319"/>
      <c r="X19" s="319"/>
      <c r="Y19" s="319"/>
      <c r="Z19" s="319"/>
    </row>
    <row r="20" ht="60.0" customHeight="1">
      <c r="A20" s="117" t="s">
        <v>123</v>
      </c>
      <c r="B20" s="117" t="s">
        <v>4442</v>
      </c>
      <c r="C20" s="318" t="s">
        <v>559</v>
      </c>
      <c r="D20" s="318" t="s">
        <v>559</v>
      </c>
      <c r="E20" s="323" t="s">
        <v>4443</v>
      </c>
      <c r="F20" s="319"/>
      <c r="G20" s="319"/>
      <c r="H20" s="319"/>
      <c r="I20" s="319"/>
      <c r="J20" s="319"/>
      <c r="K20" s="319"/>
      <c r="L20" s="319"/>
      <c r="M20" s="319"/>
      <c r="N20" s="319"/>
      <c r="O20" s="319"/>
      <c r="P20" s="319"/>
      <c r="Q20" s="319"/>
      <c r="R20" s="319"/>
      <c r="S20" s="319"/>
      <c r="T20" s="319"/>
      <c r="U20" s="319"/>
      <c r="V20" s="319"/>
      <c r="W20" s="319"/>
      <c r="X20" s="319"/>
      <c r="Y20" s="319"/>
      <c r="Z20" s="319"/>
    </row>
    <row r="21" ht="93.0" customHeight="1">
      <c r="A21" s="117" t="s">
        <v>672</v>
      </c>
      <c r="B21" s="117" t="s">
        <v>4444</v>
      </c>
      <c r="C21" s="318" t="s">
        <v>559</v>
      </c>
      <c r="D21" s="318" t="s">
        <v>559</v>
      </c>
      <c r="E21" s="117" t="s">
        <v>4445</v>
      </c>
      <c r="F21" s="319"/>
      <c r="G21" s="319"/>
      <c r="H21" s="319"/>
      <c r="I21" s="319"/>
      <c r="J21" s="319"/>
      <c r="K21" s="319"/>
      <c r="L21" s="319"/>
      <c r="M21" s="319"/>
      <c r="N21" s="319"/>
      <c r="O21" s="319"/>
      <c r="P21" s="319"/>
      <c r="Q21" s="319"/>
      <c r="R21" s="319"/>
      <c r="S21" s="319"/>
      <c r="T21" s="319"/>
      <c r="U21" s="319"/>
      <c r="V21" s="319"/>
      <c r="W21" s="319"/>
      <c r="X21" s="319"/>
      <c r="Y21" s="319"/>
      <c r="Z21" s="319"/>
    </row>
    <row r="22" ht="15.75" customHeight="1">
      <c r="A22" s="117" t="s">
        <v>129</v>
      </c>
      <c r="B22" s="117" t="s">
        <v>4446</v>
      </c>
      <c r="C22" s="318" t="s">
        <v>559</v>
      </c>
      <c r="D22" s="318" t="s">
        <v>559</v>
      </c>
      <c r="E22" s="117" t="s">
        <v>4447</v>
      </c>
      <c r="F22" s="319"/>
      <c r="G22" s="319"/>
      <c r="H22" s="319"/>
      <c r="I22" s="319"/>
      <c r="J22" s="319"/>
      <c r="K22" s="319"/>
      <c r="L22" s="319"/>
      <c r="M22" s="319"/>
      <c r="N22" s="319"/>
      <c r="O22" s="319"/>
      <c r="P22" s="319"/>
      <c r="Q22" s="319"/>
      <c r="R22" s="319"/>
      <c r="S22" s="319"/>
      <c r="T22" s="319"/>
      <c r="U22" s="319"/>
      <c r="V22" s="319"/>
      <c r="W22" s="319"/>
      <c r="X22" s="319"/>
      <c r="Y22" s="319"/>
      <c r="Z22" s="319"/>
    </row>
    <row r="23" ht="90.75" customHeight="1">
      <c r="A23" s="322" t="s">
        <v>539</v>
      </c>
      <c r="B23" s="117" t="s">
        <v>4448</v>
      </c>
      <c r="C23" s="318" t="s">
        <v>559</v>
      </c>
      <c r="D23" s="318" t="s">
        <v>559</v>
      </c>
      <c r="E23" s="117"/>
      <c r="F23" s="319"/>
      <c r="G23" s="319"/>
      <c r="H23" s="319"/>
      <c r="I23" s="319"/>
      <c r="J23" s="319"/>
      <c r="K23" s="319"/>
      <c r="L23" s="319"/>
      <c r="M23" s="319"/>
      <c r="N23" s="319"/>
      <c r="O23" s="319"/>
      <c r="P23" s="319"/>
      <c r="Q23" s="319"/>
      <c r="R23" s="319"/>
      <c r="S23" s="319"/>
      <c r="T23" s="319"/>
      <c r="U23" s="319"/>
      <c r="V23" s="319"/>
      <c r="W23" s="319"/>
      <c r="X23" s="319"/>
      <c r="Y23" s="319"/>
      <c r="Z23" s="319"/>
    </row>
    <row r="24" ht="94.5" customHeight="1">
      <c r="A24" s="322" t="s">
        <v>135</v>
      </c>
      <c r="B24" s="117" t="s">
        <v>4449</v>
      </c>
      <c r="C24" s="318" t="s">
        <v>559</v>
      </c>
      <c r="D24" s="318" t="s">
        <v>559</v>
      </c>
      <c r="E24" s="117" t="s">
        <v>4430</v>
      </c>
      <c r="F24" s="319"/>
      <c r="G24" s="319"/>
      <c r="H24" s="319"/>
      <c r="I24" s="319"/>
      <c r="J24" s="319"/>
      <c r="K24" s="319"/>
      <c r="L24" s="319"/>
      <c r="M24" s="319"/>
      <c r="N24" s="319"/>
      <c r="O24" s="319"/>
      <c r="P24" s="319"/>
      <c r="Q24" s="319"/>
      <c r="R24" s="319"/>
      <c r="S24" s="319"/>
      <c r="T24" s="319"/>
      <c r="U24" s="319"/>
      <c r="V24" s="319"/>
      <c r="W24" s="319"/>
      <c r="X24" s="319"/>
      <c r="Y24" s="319"/>
      <c r="Z24" s="319"/>
    </row>
    <row r="25" ht="93.0" customHeight="1">
      <c r="A25" s="117" t="s">
        <v>540</v>
      </c>
      <c r="B25" s="117" t="s">
        <v>4450</v>
      </c>
      <c r="C25" s="318" t="s">
        <v>559</v>
      </c>
      <c r="D25" s="318" t="s">
        <v>559</v>
      </c>
      <c r="E25" s="117" t="s">
        <v>4451</v>
      </c>
      <c r="F25" s="319"/>
      <c r="G25" s="319"/>
      <c r="H25" s="319"/>
      <c r="I25" s="319"/>
      <c r="J25" s="319"/>
      <c r="K25" s="319"/>
      <c r="L25" s="319"/>
      <c r="M25" s="319"/>
      <c r="N25" s="319"/>
      <c r="O25" s="319"/>
      <c r="P25" s="319"/>
      <c r="Q25" s="319"/>
      <c r="R25" s="319"/>
      <c r="S25" s="319"/>
      <c r="T25" s="319"/>
      <c r="U25" s="319"/>
      <c r="V25" s="319"/>
      <c r="W25" s="319"/>
      <c r="X25" s="319"/>
      <c r="Y25" s="319"/>
      <c r="Z25" s="319"/>
    </row>
    <row r="26" ht="22.5" customHeight="1">
      <c r="A26" s="322" t="s">
        <v>499</v>
      </c>
      <c r="B26" s="117" t="s">
        <v>579</v>
      </c>
      <c r="C26" s="318" t="s">
        <v>559</v>
      </c>
      <c r="D26" s="318" t="s">
        <v>559</v>
      </c>
      <c r="E26" s="117"/>
      <c r="F26" s="319"/>
      <c r="G26" s="319"/>
      <c r="H26" s="319"/>
      <c r="I26" s="319"/>
      <c r="J26" s="319"/>
      <c r="K26" s="319"/>
      <c r="L26" s="319"/>
      <c r="M26" s="319"/>
      <c r="N26" s="319"/>
      <c r="O26" s="319"/>
      <c r="P26" s="319"/>
      <c r="Q26" s="319"/>
      <c r="R26" s="319"/>
      <c r="S26" s="319"/>
      <c r="T26" s="319"/>
      <c r="U26" s="319"/>
      <c r="V26" s="319"/>
      <c r="W26" s="319"/>
      <c r="X26" s="319"/>
      <c r="Y26" s="319"/>
      <c r="Z26" s="319"/>
    </row>
    <row r="27" ht="86.25" customHeight="1">
      <c r="A27" s="322" t="s">
        <v>4452</v>
      </c>
      <c r="B27" s="117" t="s">
        <v>4453</v>
      </c>
      <c r="C27" s="318" t="s">
        <v>559</v>
      </c>
      <c r="D27" s="318" t="s">
        <v>559</v>
      </c>
      <c r="E27" s="117"/>
      <c r="F27" s="319"/>
      <c r="G27" s="319"/>
      <c r="H27" s="319"/>
      <c r="I27" s="319"/>
      <c r="J27" s="319"/>
      <c r="K27" s="319"/>
      <c r="L27" s="319"/>
      <c r="M27" s="319"/>
      <c r="N27" s="319"/>
      <c r="O27" s="319"/>
      <c r="P27" s="319"/>
      <c r="Q27" s="319"/>
      <c r="R27" s="319"/>
      <c r="S27" s="319"/>
      <c r="T27" s="319"/>
      <c r="U27" s="319"/>
      <c r="V27" s="319"/>
      <c r="W27" s="319"/>
      <c r="X27" s="319"/>
      <c r="Y27" s="319"/>
      <c r="Z27" s="319"/>
    </row>
    <row r="28" ht="63.0" customHeight="1">
      <c r="A28" s="117" t="s">
        <v>502</v>
      </c>
      <c r="B28" s="117" t="s">
        <v>4454</v>
      </c>
      <c r="C28" s="318" t="s">
        <v>559</v>
      </c>
      <c r="D28" s="318" t="s">
        <v>559</v>
      </c>
      <c r="E28" s="117" t="s">
        <v>4455</v>
      </c>
      <c r="F28" s="319"/>
      <c r="G28" s="319"/>
      <c r="H28" s="319"/>
      <c r="I28" s="319"/>
      <c r="J28" s="319"/>
      <c r="K28" s="319"/>
      <c r="L28" s="319"/>
      <c r="M28" s="319"/>
      <c r="N28" s="319"/>
      <c r="O28" s="319"/>
      <c r="P28" s="319"/>
      <c r="Q28" s="319"/>
      <c r="R28" s="319"/>
      <c r="S28" s="319"/>
      <c r="T28" s="319"/>
      <c r="U28" s="319"/>
      <c r="V28" s="319"/>
      <c r="W28" s="319"/>
      <c r="X28" s="319"/>
      <c r="Y28" s="319"/>
      <c r="Z28" s="319"/>
    </row>
    <row r="29" ht="89.25" customHeight="1">
      <c r="A29" s="117" t="s">
        <v>608</v>
      </c>
      <c r="B29" s="117" t="s">
        <v>4456</v>
      </c>
      <c r="C29" s="318" t="s">
        <v>559</v>
      </c>
      <c r="D29" s="318" t="s">
        <v>559</v>
      </c>
      <c r="E29" s="117"/>
      <c r="F29" s="319"/>
      <c r="G29" s="319"/>
      <c r="H29" s="319"/>
      <c r="I29" s="319"/>
      <c r="J29" s="319"/>
      <c r="K29" s="319"/>
      <c r="L29" s="319"/>
      <c r="M29" s="319"/>
      <c r="N29" s="319"/>
      <c r="O29" s="319"/>
      <c r="P29" s="319"/>
      <c r="Q29" s="319"/>
      <c r="R29" s="319"/>
      <c r="S29" s="319"/>
      <c r="T29" s="319"/>
      <c r="U29" s="319"/>
      <c r="V29" s="319"/>
      <c r="W29" s="319"/>
      <c r="X29" s="319"/>
      <c r="Y29" s="319"/>
      <c r="Z29" s="319"/>
    </row>
    <row r="30" ht="64.5" customHeight="1">
      <c r="A30" s="117" t="s">
        <v>525</v>
      </c>
      <c r="B30" s="117" t="s">
        <v>4457</v>
      </c>
      <c r="C30" s="318" t="s">
        <v>559</v>
      </c>
      <c r="D30" s="318" t="s">
        <v>559</v>
      </c>
      <c r="E30" s="117"/>
      <c r="F30" s="319"/>
      <c r="G30" s="319"/>
      <c r="H30" s="319"/>
      <c r="I30" s="319"/>
      <c r="J30" s="319"/>
      <c r="K30" s="319"/>
      <c r="L30" s="319"/>
      <c r="M30" s="319"/>
      <c r="N30" s="319"/>
      <c r="O30" s="319"/>
      <c r="P30" s="319"/>
      <c r="Q30" s="319"/>
      <c r="R30" s="319"/>
      <c r="S30" s="319"/>
      <c r="T30" s="319"/>
      <c r="U30" s="319"/>
      <c r="V30" s="319"/>
      <c r="W30" s="319"/>
      <c r="X30" s="319"/>
      <c r="Y30" s="319"/>
      <c r="Z30" s="319"/>
    </row>
    <row r="31" ht="71.25" customHeight="1">
      <c r="A31" s="117" t="s">
        <v>639</v>
      </c>
      <c r="B31" s="117" t="s">
        <v>4458</v>
      </c>
      <c r="C31" s="318" t="s">
        <v>559</v>
      </c>
      <c r="D31" s="318" t="s">
        <v>559</v>
      </c>
      <c r="E31" s="117"/>
      <c r="F31" s="319"/>
      <c r="G31" s="319"/>
      <c r="H31" s="319"/>
      <c r="I31" s="319"/>
      <c r="J31" s="319"/>
      <c r="K31" s="319"/>
      <c r="L31" s="319"/>
      <c r="M31" s="319"/>
      <c r="N31" s="319"/>
      <c r="O31" s="319"/>
      <c r="P31" s="319"/>
      <c r="Q31" s="319"/>
      <c r="R31" s="319"/>
      <c r="S31" s="319"/>
      <c r="T31" s="319"/>
      <c r="U31" s="319"/>
      <c r="V31" s="319"/>
      <c r="W31" s="319"/>
      <c r="X31" s="319"/>
      <c r="Y31" s="319"/>
      <c r="Z31" s="319"/>
    </row>
    <row r="32" ht="94.5" customHeight="1">
      <c r="A32" s="117" t="s">
        <v>161</v>
      </c>
      <c r="B32" s="117" t="s">
        <v>4459</v>
      </c>
      <c r="C32" s="318" t="s">
        <v>559</v>
      </c>
      <c r="D32" s="318" t="s">
        <v>559</v>
      </c>
      <c r="E32" s="117" t="s">
        <v>4430</v>
      </c>
      <c r="F32" s="319"/>
      <c r="G32" s="319"/>
      <c r="H32" s="319"/>
      <c r="I32" s="319"/>
      <c r="J32" s="319"/>
      <c r="K32" s="319"/>
      <c r="L32" s="319"/>
      <c r="M32" s="319"/>
      <c r="N32" s="319"/>
      <c r="O32" s="319"/>
      <c r="P32" s="319"/>
      <c r="Q32" s="319"/>
      <c r="R32" s="319"/>
      <c r="S32" s="319"/>
      <c r="T32" s="319"/>
      <c r="U32" s="319"/>
      <c r="V32" s="319"/>
      <c r="W32" s="319"/>
      <c r="X32" s="319"/>
      <c r="Y32" s="319"/>
      <c r="Z32" s="319"/>
    </row>
    <row r="33" ht="94.5" customHeight="1">
      <c r="A33" s="117" t="s">
        <v>4460</v>
      </c>
      <c r="B33" s="117" t="s">
        <v>4461</v>
      </c>
      <c r="C33" s="318" t="s">
        <v>559</v>
      </c>
      <c r="D33" s="318" t="s">
        <v>559</v>
      </c>
      <c r="E33" s="117" t="s">
        <v>4462</v>
      </c>
      <c r="F33" s="319"/>
      <c r="G33" s="319"/>
      <c r="H33" s="319"/>
      <c r="I33" s="319"/>
      <c r="J33" s="319"/>
      <c r="K33" s="319"/>
      <c r="L33" s="319"/>
      <c r="M33" s="319"/>
      <c r="N33" s="319"/>
      <c r="O33" s="319"/>
      <c r="P33" s="319"/>
      <c r="Q33" s="319"/>
      <c r="R33" s="319"/>
      <c r="S33" s="319"/>
      <c r="T33" s="319"/>
      <c r="U33" s="319"/>
      <c r="V33" s="319"/>
      <c r="W33" s="319"/>
      <c r="X33" s="319"/>
      <c r="Y33" s="319"/>
      <c r="Z33" s="319"/>
    </row>
    <row r="34" ht="98.25" customHeight="1">
      <c r="A34" s="117" t="s">
        <v>634</v>
      </c>
      <c r="B34" s="117" t="s">
        <v>4463</v>
      </c>
      <c r="C34" s="318" t="s">
        <v>559</v>
      </c>
      <c r="D34" s="318" t="s">
        <v>559</v>
      </c>
      <c r="E34" s="117"/>
      <c r="F34" s="319"/>
      <c r="G34" s="319"/>
      <c r="H34" s="319"/>
      <c r="I34" s="319"/>
      <c r="J34" s="319"/>
      <c r="K34" s="319"/>
      <c r="L34" s="319"/>
      <c r="M34" s="319"/>
      <c r="N34" s="319"/>
      <c r="O34" s="319"/>
      <c r="P34" s="319"/>
      <c r="Q34" s="319"/>
      <c r="R34" s="319"/>
      <c r="S34" s="319"/>
      <c r="T34" s="319"/>
      <c r="U34" s="319"/>
      <c r="V34" s="319"/>
      <c r="W34" s="319"/>
      <c r="X34" s="319"/>
      <c r="Y34" s="319"/>
      <c r="Z34" s="319"/>
    </row>
    <row r="35" ht="82.5" customHeight="1">
      <c r="A35" s="117" t="s">
        <v>508</v>
      </c>
      <c r="B35" s="117" t="s">
        <v>4464</v>
      </c>
      <c r="C35" s="318" t="s">
        <v>559</v>
      </c>
      <c r="D35" s="318" t="s">
        <v>559</v>
      </c>
      <c r="E35" s="117"/>
      <c r="F35" s="319"/>
      <c r="G35" s="319"/>
      <c r="H35" s="319"/>
      <c r="I35" s="319"/>
      <c r="J35" s="319"/>
      <c r="K35" s="319"/>
      <c r="L35" s="319"/>
      <c r="M35" s="319"/>
      <c r="N35" s="319"/>
      <c r="O35" s="319"/>
      <c r="P35" s="319"/>
      <c r="Q35" s="319"/>
      <c r="R35" s="319"/>
      <c r="S35" s="319"/>
      <c r="T35" s="319"/>
      <c r="U35" s="319"/>
      <c r="V35" s="319"/>
      <c r="W35" s="319"/>
      <c r="X35" s="319"/>
      <c r="Y35" s="319"/>
      <c r="Z35" s="319"/>
    </row>
    <row r="36" ht="97.5" customHeight="1">
      <c r="A36" s="117" t="s">
        <v>509</v>
      </c>
      <c r="B36" s="117" t="s">
        <v>4465</v>
      </c>
      <c r="C36" s="318" t="s">
        <v>559</v>
      </c>
      <c r="D36" s="318" t="s">
        <v>559</v>
      </c>
      <c r="E36" s="117"/>
      <c r="F36" s="319"/>
      <c r="G36" s="319"/>
      <c r="H36" s="319"/>
      <c r="I36" s="319"/>
      <c r="J36" s="319"/>
      <c r="K36" s="319"/>
      <c r="L36" s="319"/>
      <c r="M36" s="319"/>
      <c r="N36" s="319"/>
      <c r="O36" s="319"/>
      <c r="P36" s="319"/>
      <c r="Q36" s="319"/>
      <c r="R36" s="319"/>
      <c r="S36" s="319"/>
      <c r="T36" s="319"/>
      <c r="U36" s="319"/>
      <c r="V36" s="319"/>
      <c r="W36" s="319"/>
      <c r="X36" s="319"/>
      <c r="Y36" s="319"/>
      <c r="Z36" s="319"/>
    </row>
    <row r="37" ht="98.25" customHeight="1">
      <c r="A37" s="117" t="s">
        <v>588</v>
      </c>
      <c r="B37" s="117" t="s">
        <v>4466</v>
      </c>
      <c r="C37" s="318" t="s">
        <v>559</v>
      </c>
      <c r="D37" s="318" t="s">
        <v>559</v>
      </c>
      <c r="E37" s="117" t="s">
        <v>4467</v>
      </c>
      <c r="F37" s="319"/>
      <c r="G37" s="319"/>
      <c r="H37" s="319"/>
      <c r="I37" s="319"/>
      <c r="J37" s="319"/>
      <c r="K37" s="319"/>
      <c r="L37" s="319"/>
      <c r="M37" s="319"/>
      <c r="N37" s="319"/>
      <c r="O37" s="319"/>
      <c r="P37" s="319"/>
      <c r="Q37" s="319"/>
      <c r="R37" s="319"/>
      <c r="S37" s="319"/>
      <c r="T37" s="319"/>
      <c r="U37" s="319"/>
      <c r="V37" s="319"/>
      <c r="W37" s="319"/>
      <c r="X37" s="319"/>
      <c r="Y37" s="319"/>
      <c r="Z37" s="319"/>
    </row>
    <row r="38" ht="94.5" customHeight="1">
      <c r="A38" s="117" t="s">
        <v>648</v>
      </c>
      <c r="B38" s="117" t="s">
        <v>4468</v>
      </c>
      <c r="C38" s="318" t="s">
        <v>559</v>
      </c>
      <c r="D38" s="318" t="s">
        <v>559</v>
      </c>
      <c r="E38" s="117"/>
      <c r="F38" s="319"/>
      <c r="G38" s="319"/>
      <c r="H38" s="319"/>
      <c r="I38" s="319"/>
      <c r="J38" s="319"/>
      <c r="K38" s="319"/>
      <c r="L38" s="319"/>
      <c r="M38" s="319"/>
      <c r="N38" s="319"/>
      <c r="O38" s="319"/>
      <c r="P38" s="319"/>
      <c r="Q38" s="319"/>
      <c r="R38" s="319"/>
      <c r="S38" s="319"/>
      <c r="T38" s="319"/>
      <c r="U38" s="319"/>
      <c r="V38" s="319"/>
      <c r="W38" s="319"/>
      <c r="X38" s="319"/>
      <c r="Y38" s="319"/>
      <c r="Z38" s="319"/>
    </row>
    <row r="39" ht="95.25" customHeight="1">
      <c r="A39" s="117" t="s">
        <v>4469</v>
      </c>
      <c r="B39" s="117" t="s">
        <v>4470</v>
      </c>
      <c r="C39" s="318" t="s">
        <v>559</v>
      </c>
      <c r="D39" s="318" t="s">
        <v>559</v>
      </c>
      <c r="E39" s="117" t="s">
        <v>4471</v>
      </c>
      <c r="F39" s="319"/>
      <c r="G39" s="319"/>
      <c r="H39" s="319"/>
      <c r="I39" s="319"/>
      <c r="J39" s="319"/>
      <c r="K39" s="319"/>
      <c r="L39" s="319"/>
      <c r="M39" s="319"/>
      <c r="N39" s="319"/>
      <c r="O39" s="319"/>
      <c r="P39" s="319"/>
      <c r="Q39" s="319"/>
      <c r="R39" s="319"/>
      <c r="S39" s="319"/>
      <c r="T39" s="319"/>
      <c r="U39" s="319"/>
      <c r="V39" s="319"/>
      <c r="W39" s="319"/>
      <c r="X39" s="319"/>
      <c r="Y39" s="319"/>
      <c r="Z39" s="319"/>
    </row>
    <row r="40" ht="15.75" customHeight="1">
      <c r="A40" s="117" t="s">
        <v>187</v>
      </c>
      <c r="B40" s="117" t="s">
        <v>4472</v>
      </c>
      <c r="C40" s="318" t="s">
        <v>559</v>
      </c>
      <c r="D40" s="318" t="s">
        <v>559</v>
      </c>
      <c r="E40" s="117" t="s">
        <v>4473</v>
      </c>
      <c r="F40" s="319"/>
      <c r="G40" s="319"/>
      <c r="H40" s="319"/>
      <c r="I40" s="319"/>
      <c r="J40" s="319"/>
      <c r="K40" s="319"/>
      <c r="L40" s="319"/>
      <c r="M40" s="319"/>
      <c r="N40" s="319"/>
      <c r="O40" s="319"/>
      <c r="P40" s="319"/>
      <c r="Q40" s="319"/>
      <c r="R40" s="319"/>
      <c r="S40" s="319"/>
      <c r="T40" s="319"/>
      <c r="U40" s="319"/>
      <c r="V40" s="319"/>
      <c r="W40" s="319"/>
      <c r="X40" s="319"/>
      <c r="Y40" s="319"/>
      <c r="Z40" s="319"/>
    </row>
    <row r="41" ht="15.75" customHeight="1">
      <c r="A41" s="117" t="s">
        <v>4474</v>
      </c>
      <c r="B41" s="117" t="s">
        <v>4475</v>
      </c>
      <c r="C41" s="318" t="s">
        <v>559</v>
      </c>
      <c r="D41" s="318" t="s">
        <v>559</v>
      </c>
      <c r="E41" s="117"/>
      <c r="F41" s="319"/>
      <c r="G41" s="319"/>
      <c r="H41" s="319"/>
      <c r="I41" s="319"/>
      <c r="J41" s="319"/>
      <c r="K41" s="319"/>
      <c r="L41" s="319"/>
      <c r="M41" s="319"/>
      <c r="N41" s="319"/>
      <c r="O41" s="319"/>
      <c r="P41" s="319"/>
      <c r="Q41" s="319"/>
      <c r="R41" s="319"/>
      <c r="S41" s="319"/>
      <c r="T41" s="319"/>
      <c r="U41" s="319"/>
      <c r="V41" s="319"/>
      <c r="W41" s="319"/>
      <c r="X41" s="319"/>
      <c r="Y41" s="319"/>
      <c r="Z41" s="319"/>
    </row>
    <row r="42" ht="95.25" customHeight="1">
      <c r="A42" s="117" t="s">
        <v>4476</v>
      </c>
      <c r="B42" s="117" t="s">
        <v>4477</v>
      </c>
      <c r="C42" s="318" t="s">
        <v>559</v>
      </c>
      <c r="D42" s="318" t="s">
        <v>559</v>
      </c>
      <c r="E42" s="117" t="s">
        <v>4478</v>
      </c>
      <c r="F42" s="319"/>
      <c r="G42" s="319"/>
      <c r="H42" s="319"/>
      <c r="I42" s="319"/>
      <c r="J42" s="319"/>
      <c r="K42" s="319"/>
      <c r="L42" s="319"/>
      <c r="M42" s="319"/>
      <c r="N42" s="319"/>
      <c r="O42" s="319"/>
      <c r="P42" s="319"/>
      <c r="Q42" s="319"/>
      <c r="R42" s="319"/>
      <c r="S42" s="319"/>
      <c r="T42" s="319"/>
      <c r="U42" s="319"/>
      <c r="V42" s="319"/>
      <c r="W42" s="319"/>
      <c r="X42" s="319"/>
      <c r="Y42" s="319"/>
      <c r="Z42" s="319"/>
    </row>
    <row r="43" ht="15.75" customHeight="1">
      <c r="A43" s="192" t="s">
        <v>214</v>
      </c>
      <c r="B43" s="117" t="s">
        <v>4479</v>
      </c>
      <c r="C43" s="318" t="s">
        <v>559</v>
      </c>
      <c r="D43" s="318" t="s">
        <v>559</v>
      </c>
      <c r="E43" s="117"/>
      <c r="F43" s="319"/>
      <c r="G43" s="319"/>
      <c r="H43" s="319"/>
      <c r="I43" s="319"/>
      <c r="J43" s="319"/>
      <c r="K43" s="319"/>
      <c r="L43" s="319"/>
      <c r="M43" s="319"/>
      <c r="N43" s="319"/>
      <c r="O43" s="319"/>
      <c r="P43" s="319"/>
      <c r="Q43" s="319"/>
      <c r="R43" s="319"/>
      <c r="S43" s="319"/>
      <c r="T43" s="319"/>
      <c r="U43" s="319"/>
      <c r="V43" s="319"/>
      <c r="W43" s="319"/>
      <c r="X43" s="319"/>
      <c r="Y43" s="319"/>
      <c r="Z43" s="319"/>
    </row>
    <row r="44" ht="15.75" customHeight="1">
      <c r="A44" s="117" t="s">
        <v>216</v>
      </c>
      <c r="B44" s="117" t="s">
        <v>4480</v>
      </c>
      <c r="C44" s="318" t="s">
        <v>559</v>
      </c>
      <c r="D44" s="318" t="s">
        <v>559</v>
      </c>
      <c r="E44" s="117" t="s">
        <v>4481</v>
      </c>
      <c r="F44" s="319"/>
      <c r="G44" s="319"/>
      <c r="H44" s="319"/>
      <c r="I44" s="319"/>
      <c r="J44" s="319"/>
      <c r="K44" s="319"/>
      <c r="L44" s="319"/>
      <c r="M44" s="319"/>
      <c r="N44" s="319"/>
      <c r="O44" s="319"/>
      <c r="P44" s="319"/>
      <c r="Q44" s="319"/>
      <c r="R44" s="319"/>
      <c r="S44" s="319"/>
      <c r="T44" s="319"/>
      <c r="U44" s="319"/>
      <c r="V44" s="319"/>
      <c r="W44" s="319"/>
      <c r="X44" s="319"/>
      <c r="Y44" s="319"/>
      <c r="Z44" s="319"/>
    </row>
    <row r="45" ht="15.75" customHeight="1">
      <c r="A45" s="117" t="s">
        <v>218</v>
      </c>
      <c r="B45" s="117" t="s">
        <v>4482</v>
      </c>
      <c r="C45" s="318" t="s">
        <v>559</v>
      </c>
      <c r="D45" s="318" t="s">
        <v>559</v>
      </c>
      <c r="E45" s="117"/>
      <c r="F45" s="319"/>
      <c r="G45" s="319"/>
      <c r="H45" s="319"/>
      <c r="I45" s="319"/>
      <c r="J45" s="319"/>
      <c r="K45" s="319"/>
      <c r="L45" s="319"/>
      <c r="M45" s="319"/>
      <c r="N45" s="319"/>
      <c r="O45" s="319"/>
      <c r="P45" s="319"/>
      <c r="Q45" s="319"/>
      <c r="R45" s="319"/>
      <c r="S45" s="319"/>
      <c r="T45" s="319"/>
      <c r="U45" s="319"/>
      <c r="V45" s="319"/>
      <c r="W45" s="319"/>
      <c r="X45" s="319"/>
      <c r="Y45" s="319"/>
      <c r="Z45" s="319"/>
    </row>
    <row r="46" ht="15.75" customHeight="1">
      <c r="A46" s="117"/>
      <c r="B46" s="117"/>
      <c r="C46" s="318"/>
      <c r="D46" s="318"/>
      <c r="E46" s="117"/>
      <c r="F46" s="319"/>
      <c r="G46" s="319"/>
      <c r="H46" s="319"/>
      <c r="I46" s="319"/>
      <c r="J46" s="319"/>
      <c r="K46" s="319"/>
      <c r="L46" s="319"/>
      <c r="M46" s="319"/>
      <c r="N46" s="319"/>
      <c r="O46" s="319"/>
      <c r="P46" s="319"/>
      <c r="Q46" s="319"/>
      <c r="R46" s="319"/>
      <c r="S46" s="319"/>
      <c r="T46" s="319"/>
      <c r="U46" s="319"/>
      <c r="V46" s="319"/>
      <c r="W46" s="319"/>
      <c r="X46" s="319"/>
      <c r="Y46" s="319"/>
      <c r="Z46" s="319"/>
    </row>
    <row r="47" ht="15.75" customHeight="1">
      <c r="A47" s="117"/>
      <c r="B47" s="117"/>
      <c r="C47" s="318"/>
      <c r="D47" s="318"/>
      <c r="E47" s="117"/>
      <c r="F47" s="119"/>
      <c r="G47" s="119"/>
      <c r="H47" s="119"/>
      <c r="I47" s="119"/>
      <c r="J47" s="119"/>
      <c r="K47" s="119"/>
      <c r="L47" s="119"/>
      <c r="M47" s="119"/>
      <c r="N47" s="119"/>
      <c r="O47" s="119"/>
      <c r="P47" s="119"/>
      <c r="Q47" s="119"/>
      <c r="R47" s="119"/>
      <c r="S47" s="119"/>
      <c r="T47" s="119"/>
      <c r="U47" s="119"/>
      <c r="V47" s="119"/>
      <c r="W47" s="119"/>
      <c r="X47" s="119"/>
      <c r="Y47" s="119"/>
      <c r="Z47" s="119"/>
    </row>
    <row r="48" ht="15.75" customHeight="1">
      <c r="A48" s="117"/>
      <c r="B48" s="117"/>
      <c r="C48" s="318"/>
      <c r="D48" s="318"/>
      <c r="E48" s="117"/>
      <c r="F48" s="319"/>
      <c r="G48" s="319"/>
      <c r="H48" s="319"/>
      <c r="I48" s="319"/>
      <c r="J48" s="319"/>
      <c r="K48" s="319"/>
      <c r="L48" s="319"/>
      <c r="M48" s="319"/>
      <c r="N48" s="319"/>
      <c r="O48" s="319"/>
      <c r="P48" s="319"/>
      <c r="Q48" s="319"/>
      <c r="R48" s="319"/>
      <c r="S48" s="319"/>
      <c r="T48" s="319"/>
      <c r="U48" s="319"/>
      <c r="V48" s="319"/>
      <c r="W48" s="319"/>
      <c r="X48" s="319"/>
      <c r="Y48" s="319"/>
      <c r="Z48" s="319"/>
    </row>
    <row r="49" ht="15.75" customHeight="1">
      <c r="A49" s="117"/>
      <c r="B49" s="117"/>
      <c r="C49" s="318"/>
      <c r="D49" s="318"/>
      <c r="E49" s="117"/>
      <c r="F49" s="319"/>
      <c r="G49" s="319"/>
      <c r="H49" s="319"/>
      <c r="I49" s="319"/>
      <c r="J49" s="319"/>
      <c r="K49" s="319"/>
      <c r="L49" s="319"/>
      <c r="M49" s="319"/>
      <c r="N49" s="319"/>
      <c r="O49" s="319"/>
      <c r="P49" s="319"/>
      <c r="Q49" s="319"/>
      <c r="R49" s="319"/>
      <c r="S49" s="319"/>
      <c r="T49" s="319"/>
      <c r="U49" s="319"/>
      <c r="V49" s="319"/>
      <c r="W49" s="319"/>
      <c r="X49" s="319"/>
      <c r="Y49" s="319"/>
      <c r="Z49" s="319"/>
    </row>
    <row r="50" ht="15.75" customHeight="1">
      <c r="A50" s="117"/>
      <c r="B50" s="117"/>
      <c r="C50" s="318"/>
      <c r="D50" s="318"/>
      <c r="E50" s="117"/>
      <c r="F50" s="319"/>
      <c r="G50" s="319"/>
      <c r="H50" s="319"/>
      <c r="I50" s="319"/>
      <c r="J50" s="319"/>
      <c r="K50" s="319"/>
      <c r="L50" s="319"/>
      <c r="M50" s="319"/>
      <c r="N50" s="319"/>
      <c r="O50" s="319"/>
      <c r="P50" s="319"/>
      <c r="Q50" s="319"/>
      <c r="R50" s="319"/>
      <c r="S50" s="319"/>
      <c r="T50" s="319"/>
      <c r="U50" s="319"/>
      <c r="V50" s="319"/>
      <c r="W50" s="319"/>
      <c r="X50" s="319"/>
      <c r="Y50" s="319"/>
      <c r="Z50" s="319"/>
    </row>
    <row r="51" ht="15.75" customHeight="1">
      <c r="A51" s="319"/>
      <c r="B51" s="319"/>
      <c r="C51" s="317"/>
      <c r="D51" s="317"/>
      <c r="E51" s="319"/>
      <c r="F51" s="319"/>
      <c r="G51" s="319"/>
      <c r="H51" s="319"/>
      <c r="I51" s="319"/>
      <c r="J51" s="319"/>
      <c r="K51" s="319"/>
      <c r="L51" s="319"/>
      <c r="M51" s="319"/>
      <c r="N51" s="319"/>
      <c r="O51" s="319"/>
      <c r="P51" s="319"/>
      <c r="Q51" s="319"/>
      <c r="R51" s="319"/>
      <c r="S51" s="319"/>
      <c r="T51" s="319"/>
      <c r="U51" s="319"/>
      <c r="V51" s="319"/>
      <c r="W51" s="319"/>
      <c r="X51" s="319"/>
      <c r="Y51" s="319"/>
      <c r="Z51" s="319"/>
    </row>
    <row r="52" ht="15.75" customHeight="1">
      <c r="A52" s="319"/>
      <c r="B52" s="319"/>
      <c r="C52" s="317"/>
      <c r="D52" s="317"/>
      <c r="E52" s="319"/>
      <c r="F52" s="319"/>
      <c r="G52" s="319"/>
      <c r="H52" s="319"/>
      <c r="I52" s="319"/>
      <c r="J52" s="319"/>
      <c r="K52" s="319"/>
      <c r="L52" s="319"/>
      <c r="M52" s="319"/>
      <c r="N52" s="319"/>
      <c r="O52" s="319"/>
      <c r="P52" s="319"/>
      <c r="Q52" s="319"/>
      <c r="R52" s="319"/>
      <c r="S52" s="319"/>
      <c r="T52" s="319"/>
      <c r="U52" s="319"/>
      <c r="V52" s="319"/>
      <c r="W52" s="319"/>
      <c r="X52" s="319"/>
      <c r="Y52" s="319"/>
      <c r="Z52" s="319"/>
    </row>
    <row r="53" ht="15.75" customHeight="1">
      <c r="A53" s="319"/>
      <c r="B53" s="319"/>
      <c r="C53" s="317"/>
      <c r="D53" s="317"/>
      <c r="E53" s="319"/>
      <c r="F53" s="319"/>
      <c r="G53" s="319"/>
      <c r="H53" s="319"/>
      <c r="I53" s="319"/>
      <c r="J53" s="319"/>
      <c r="K53" s="319"/>
      <c r="L53" s="319"/>
      <c r="M53" s="319"/>
      <c r="N53" s="319"/>
      <c r="O53" s="319"/>
      <c r="P53" s="319"/>
      <c r="Q53" s="319"/>
      <c r="R53" s="319"/>
      <c r="S53" s="319"/>
      <c r="T53" s="319"/>
      <c r="U53" s="319"/>
      <c r="V53" s="319"/>
      <c r="W53" s="319"/>
      <c r="X53" s="319"/>
      <c r="Y53" s="319"/>
      <c r="Z53" s="319"/>
    </row>
    <row r="54" ht="15.75" customHeight="1">
      <c r="A54" s="319"/>
      <c r="B54" s="319"/>
      <c r="C54" s="317"/>
      <c r="D54" s="317"/>
      <c r="E54" s="319"/>
      <c r="F54" s="319"/>
      <c r="G54" s="319"/>
      <c r="H54" s="319"/>
      <c r="I54" s="319"/>
      <c r="J54" s="319"/>
      <c r="K54" s="319"/>
      <c r="L54" s="319"/>
      <c r="M54" s="319"/>
      <c r="N54" s="319"/>
      <c r="O54" s="319"/>
      <c r="P54" s="319"/>
      <c r="Q54" s="319"/>
      <c r="R54" s="319"/>
      <c r="S54" s="319"/>
      <c r="T54" s="319"/>
      <c r="U54" s="319"/>
      <c r="V54" s="319"/>
      <c r="W54" s="319"/>
      <c r="X54" s="319"/>
      <c r="Y54" s="319"/>
      <c r="Z54" s="319"/>
    </row>
    <row r="55" ht="15.75" customHeight="1">
      <c r="A55" s="319"/>
      <c r="B55" s="319"/>
      <c r="C55" s="317"/>
      <c r="D55" s="317"/>
      <c r="E55" s="319"/>
      <c r="F55" s="319"/>
      <c r="G55" s="319"/>
      <c r="H55" s="319"/>
      <c r="I55" s="319"/>
      <c r="J55" s="319"/>
      <c r="K55" s="319"/>
      <c r="L55" s="319"/>
      <c r="M55" s="319"/>
      <c r="N55" s="319"/>
      <c r="O55" s="319"/>
      <c r="P55" s="319"/>
      <c r="Q55" s="319"/>
      <c r="R55" s="319"/>
      <c r="S55" s="319"/>
      <c r="T55" s="319"/>
      <c r="U55" s="319"/>
      <c r="V55" s="319"/>
      <c r="W55" s="319"/>
      <c r="X55" s="319"/>
      <c r="Y55" s="319"/>
      <c r="Z55" s="319"/>
    </row>
    <row r="56" ht="15.75" customHeight="1">
      <c r="A56" s="319"/>
      <c r="B56" s="319"/>
      <c r="C56" s="317"/>
      <c r="D56" s="317"/>
      <c r="E56" s="319"/>
      <c r="F56" s="319"/>
      <c r="G56" s="319"/>
      <c r="H56" s="319"/>
      <c r="I56" s="319"/>
      <c r="J56" s="319"/>
      <c r="K56" s="319"/>
      <c r="L56" s="319"/>
      <c r="M56" s="319"/>
      <c r="N56" s="319"/>
      <c r="O56" s="319"/>
      <c r="P56" s="319"/>
      <c r="Q56" s="319"/>
      <c r="R56" s="319"/>
      <c r="S56" s="319"/>
      <c r="T56" s="319"/>
      <c r="U56" s="319"/>
      <c r="V56" s="319"/>
      <c r="W56" s="319"/>
      <c r="X56" s="319"/>
      <c r="Y56" s="319"/>
      <c r="Z56" s="319"/>
    </row>
    <row r="57" ht="15.75" customHeight="1">
      <c r="A57" s="319"/>
      <c r="B57" s="319"/>
      <c r="C57" s="317"/>
      <c r="D57" s="317"/>
      <c r="E57" s="319"/>
      <c r="F57" s="319"/>
      <c r="G57" s="319"/>
      <c r="H57" s="319"/>
      <c r="I57" s="319"/>
      <c r="J57" s="319"/>
      <c r="K57" s="319"/>
      <c r="L57" s="319"/>
      <c r="M57" s="319"/>
      <c r="N57" s="319"/>
      <c r="O57" s="319"/>
      <c r="P57" s="319"/>
      <c r="Q57" s="319"/>
      <c r="R57" s="319"/>
      <c r="S57" s="319"/>
      <c r="T57" s="319"/>
      <c r="U57" s="319"/>
      <c r="V57" s="319"/>
      <c r="W57" s="319"/>
      <c r="X57" s="319"/>
      <c r="Y57" s="319"/>
      <c r="Z57" s="319"/>
    </row>
    <row r="58" ht="15.75" customHeight="1">
      <c r="A58" s="319"/>
      <c r="B58" s="319"/>
      <c r="C58" s="317"/>
      <c r="D58" s="317"/>
      <c r="E58" s="319"/>
      <c r="F58" s="319"/>
      <c r="G58" s="319"/>
      <c r="H58" s="319"/>
      <c r="I58" s="319"/>
      <c r="J58" s="319"/>
      <c r="K58" s="319"/>
      <c r="L58" s="319"/>
      <c r="M58" s="319"/>
      <c r="N58" s="319"/>
      <c r="O58" s="319"/>
      <c r="P58" s="319"/>
      <c r="Q58" s="319"/>
      <c r="R58" s="319"/>
      <c r="S58" s="319"/>
      <c r="T58" s="319"/>
      <c r="U58" s="319"/>
      <c r="V58" s="319"/>
      <c r="W58" s="319"/>
      <c r="X58" s="319"/>
      <c r="Y58" s="319"/>
      <c r="Z58" s="319"/>
    </row>
    <row r="59" ht="15.75" customHeight="1">
      <c r="A59" s="319"/>
      <c r="B59" s="319"/>
      <c r="C59" s="317"/>
      <c r="D59" s="317"/>
      <c r="E59" s="319"/>
      <c r="F59" s="319"/>
      <c r="G59" s="319"/>
      <c r="H59" s="319"/>
      <c r="I59" s="319"/>
      <c r="J59" s="319"/>
      <c r="K59" s="319"/>
      <c r="L59" s="319"/>
      <c r="M59" s="319"/>
      <c r="N59" s="319"/>
      <c r="O59" s="319"/>
      <c r="P59" s="319"/>
      <c r="Q59" s="319"/>
      <c r="R59" s="319"/>
      <c r="S59" s="319"/>
      <c r="T59" s="319"/>
      <c r="U59" s="319"/>
      <c r="V59" s="319"/>
      <c r="W59" s="319"/>
      <c r="X59" s="319"/>
      <c r="Y59" s="319"/>
      <c r="Z59" s="319"/>
    </row>
    <row r="60" ht="15.75" customHeight="1">
      <c r="A60" s="319"/>
      <c r="B60" s="319"/>
      <c r="C60" s="317"/>
      <c r="D60" s="317"/>
      <c r="E60" s="319"/>
      <c r="F60" s="319"/>
      <c r="G60" s="319"/>
      <c r="H60" s="319"/>
      <c r="I60" s="319"/>
      <c r="J60" s="319"/>
      <c r="K60" s="319"/>
      <c r="L60" s="319"/>
      <c r="M60" s="319"/>
      <c r="N60" s="319"/>
      <c r="O60" s="319"/>
      <c r="P60" s="319"/>
      <c r="Q60" s="319"/>
      <c r="R60" s="319"/>
      <c r="S60" s="319"/>
      <c r="T60" s="319"/>
      <c r="U60" s="319"/>
      <c r="V60" s="319"/>
      <c r="W60" s="319"/>
      <c r="X60" s="319"/>
      <c r="Y60" s="319"/>
      <c r="Z60" s="319"/>
    </row>
    <row r="61" ht="15.75" customHeight="1">
      <c r="A61" s="319"/>
      <c r="B61" s="319"/>
      <c r="C61" s="317"/>
      <c r="D61" s="317"/>
      <c r="E61" s="319"/>
      <c r="F61" s="319"/>
      <c r="G61" s="319"/>
      <c r="H61" s="319"/>
      <c r="I61" s="319"/>
      <c r="J61" s="319"/>
      <c r="K61" s="319"/>
      <c r="L61" s="319"/>
      <c r="M61" s="319"/>
      <c r="N61" s="319"/>
      <c r="O61" s="319"/>
      <c r="P61" s="319"/>
      <c r="Q61" s="319"/>
      <c r="R61" s="319"/>
      <c r="S61" s="319"/>
      <c r="T61" s="319"/>
      <c r="U61" s="319"/>
      <c r="V61" s="319"/>
      <c r="W61" s="319"/>
      <c r="X61" s="319"/>
      <c r="Y61" s="319"/>
      <c r="Z61" s="319"/>
    </row>
    <row r="62" ht="15.75" customHeight="1">
      <c r="A62" s="319"/>
      <c r="B62" s="319"/>
      <c r="C62" s="317"/>
      <c r="D62" s="317"/>
      <c r="E62" s="319"/>
      <c r="F62" s="319"/>
      <c r="G62" s="319"/>
      <c r="H62" s="319"/>
      <c r="I62" s="319"/>
      <c r="J62" s="319"/>
      <c r="K62" s="319"/>
      <c r="L62" s="319"/>
      <c r="M62" s="319"/>
      <c r="N62" s="319"/>
      <c r="O62" s="319"/>
      <c r="P62" s="319"/>
      <c r="Q62" s="319"/>
      <c r="R62" s="319"/>
      <c r="S62" s="319"/>
      <c r="T62" s="319"/>
      <c r="U62" s="319"/>
      <c r="V62" s="319"/>
      <c r="W62" s="319"/>
      <c r="X62" s="319"/>
      <c r="Y62" s="319"/>
      <c r="Z62" s="319"/>
    </row>
    <row r="63" ht="15.75" customHeight="1">
      <c r="A63" s="319"/>
      <c r="B63" s="319"/>
      <c r="C63" s="317"/>
      <c r="D63" s="317"/>
      <c r="E63" s="319"/>
      <c r="F63" s="319"/>
      <c r="G63" s="319"/>
      <c r="H63" s="319"/>
      <c r="I63" s="319"/>
      <c r="J63" s="319"/>
      <c r="K63" s="319"/>
      <c r="L63" s="319"/>
      <c r="M63" s="319"/>
      <c r="N63" s="319"/>
      <c r="O63" s="319"/>
      <c r="P63" s="319"/>
      <c r="Q63" s="319"/>
      <c r="R63" s="319"/>
      <c r="S63" s="319"/>
      <c r="T63" s="319"/>
      <c r="U63" s="319"/>
      <c r="V63" s="319"/>
      <c r="W63" s="319"/>
      <c r="X63" s="319"/>
      <c r="Y63" s="319"/>
      <c r="Z63" s="319"/>
    </row>
    <row r="64" ht="15.75" customHeight="1">
      <c r="A64" s="319"/>
      <c r="B64" s="319"/>
      <c r="C64" s="317"/>
      <c r="D64" s="317"/>
      <c r="E64" s="319"/>
      <c r="F64" s="319"/>
      <c r="G64" s="319"/>
      <c r="H64" s="319"/>
      <c r="I64" s="319"/>
      <c r="J64" s="319"/>
      <c r="K64" s="319"/>
      <c r="L64" s="319"/>
      <c r="M64" s="319"/>
      <c r="N64" s="319"/>
      <c r="O64" s="319"/>
      <c r="P64" s="319"/>
      <c r="Q64" s="319"/>
      <c r="R64" s="319"/>
      <c r="S64" s="319"/>
      <c r="T64" s="319"/>
      <c r="U64" s="319"/>
      <c r="V64" s="319"/>
      <c r="W64" s="319"/>
      <c r="X64" s="319"/>
      <c r="Y64" s="319"/>
      <c r="Z64" s="319"/>
    </row>
    <row r="65" ht="15.75" customHeight="1">
      <c r="A65" s="319"/>
      <c r="B65" s="319"/>
      <c r="C65" s="317"/>
      <c r="D65" s="317"/>
      <c r="E65" s="319"/>
      <c r="F65" s="319"/>
      <c r="G65" s="319"/>
      <c r="H65" s="319"/>
      <c r="I65" s="319"/>
      <c r="J65" s="319"/>
      <c r="K65" s="319"/>
      <c r="L65" s="319"/>
      <c r="M65" s="319"/>
      <c r="N65" s="319"/>
      <c r="O65" s="319"/>
      <c r="P65" s="319"/>
      <c r="Q65" s="319"/>
      <c r="R65" s="319"/>
      <c r="S65" s="319"/>
      <c r="T65" s="319"/>
      <c r="U65" s="319"/>
      <c r="V65" s="319"/>
      <c r="W65" s="319"/>
      <c r="X65" s="319"/>
      <c r="Y65" s="319"/>
      <c r="Z65" s="319"/>
    </row>
    <row r="66" ht="15.75" customHeight="1">
      <c r="A66" s="319"/>
      <c r="B66" s="319"/>
      <c r="C66" s="317"/>
      <c r="D66" s="317"/>
      <c r="E66" s="319"/>
      <c r="F66" s="319"/>
      <c r="G66" s="319"/>
      <c r="H66" s="319"/>
      <c r="I66" s="319"/>
      <c r="J66" s="319"/>
      <c r="K66" s="319"/>
      <c r="L66" s="319"/>
      <c r="M66" s="319"/>
      <c r="N66" s="319"/>
      <c r="O66" s="319"/>
      <c r="P66" s="319"/>
      <c r="Q66" s="319"/>
      <c r="R66" s="319"/>
      <c r="S66" s="319"/>
      <c r="T66" s="319"/>
      <c r="U66" s="319"/>
      <c r="V66" s="319"/>
      <c r="W66" s="319"/>
      <c r="X66" s="319"/>
      <c r="Y66" s="319"/>
      <c r="Z66" s="319"/>
    </row>
    <row r="67" ht="15.75" customHeight="1">
      <c r="A67" s="319"/>
      <c r="B67" s="319"/>
      <c r="C67" s="317"/>
      <c r="D67" s="317"/>
      <c r="E67" s="319"/>
      <c r="F67" s="319"/>
      <c r="G67" s="319"/>
      <c r="H67" s="319"/>
      <c r="I67" s="319"/>
      <c r="J67" s="319"/>
      <c r="K67" s="319"/>
      <c r="L67" s="319"/>
      <c r="M67" s="319"/>
      <c r="N67" s="319"/>
      <c r="O67" s="319"/>
      <c r="P67" s="319"/>
      <c r="Q67" s="319"/>
      <c r="R67" s="319"/>
      <c r="S67" s="319"/>
      <c r="T67" s="319"/>
      <c r="U67" s="319"/>
      <c r="V67" s="319"/>
      <c r="W67" s="319"/>
      <c r="X67" s="319"/>
      <c r="Y67" s="319"/>
      <c r="Z67" s="319"/>
    </row>
    <row r="68" ht="15.75" customHeight="1">
      <c r="A68" s="319"/>
      <c r="B68" s="319"/>
      <c r="C68" s="317"/>
      <c r="D68" s="317"/>
      <c r="E68" s="319"/>
      <c r="F68" s="319"/>
      <c r="G68" s="319"/>
      <c r="H68" s="319"/>
      <c r="I68" s="319"/>
      <c r="J68" s="319"/>
      <c r="K68" s="319"/>
      <c r="L68" s="319"/>
      <c r="M68" s="319"/>
      <c r="N68" s="319"/>
      <c r="O68" s="319"/>
      <c r="P68" s="319"/>
      <c r="Q68" s="319"/>
      <c r="R68" s="319"/>
      <c r="S68" s="319"/>
      <c r="T68" s="319"/>
      <c r="U68" s="319"/>
      <c r="V68" s="319"/>
      <c r="W68" s="319"/>
      <c r="X68" s="319"/>
      <c r="Y68" s="319"/>
      <c r="Z68" s="319"/>
    </row>
    <row r="69" ht="15.75" customHeight="1">
      <c r="A69" s="319"/>
      <c r="B69" s="319"/>
      <c r="C69" s="317"/>
      <c r="D69" s="317"/>
      <c r="E69" s="319"/>
      <c r="F69" s="319"/>
      <c r="G69" s="319"/>
      <c r="H69" s="319"/>
      <c r="I69" s="319"/>
      <c r="J69" s="319"/>
      <c r="K69" s="319"/>
      <c r="L69" s="319"/>
      <c r="M69" s="319"/>
      <c r="N69" s="319"/>
      <c r="O69" s="319"/>
      <c r="P69" s="319"/>
      <c r="Q69" s="319"/>
      <c r="R69" s="319"/>
      <c r="S69" s="319"/>
      <c r="T69" s="319"/>
      <c r="U69" s="319"/>
      <c r="V69" s="319"/>
      <c r="W69" s="319"/>
      <c r="X69" s="319"/>
      <c r="Y69" s="319"/>
      <c r="Z69" s="319"/>
    </row>
    <row r="70" ht="15.75" customHeight="1">
      <c r="A70" s="319"/>
      <c r="B70" s="319"/>
      <c r="C70" s="317"/>
      <c r="D70" s="317"/>
      <c r="E70" s="319"/>
      <c r="F70" s="319"/>
      <c r="G70" s="319"/>
      <c r="H70" s="319"/>
      <c r="I70" s="319"/>
      <c r="J70" s="319"/>
      <c r="K70" s="319"/>
      <c r="L70" s="319"/>
      <c r="M70" s="319"/>
      <c r="N70" s="319"/>
      <c r="O70" s="319"/>
      <c r="P70" s="319"/>
      <c r="Q70" s="319"/>
      <c r="R70" s="319"/>
      <c r="S70" s="319"/>
      <c r="T70" s="319"/>
      <c r="U70" s="319"/>
      <c r="V70" s="319"/>
      <c r="W70" s="319"/>
      <c r="X70" s="319"/>
      <c r="Y70" s="319"/>
      <c r="Z70" s="319"/>
    </row>
    <row r="71" ht="15.75" customHeight="1">
      <c r="A71" s="319"/>
      <c r="B71" s="319"/>
      <c r="C71" s="317"/>
      <c r="D71" s="317"/>
      <c r="E71" s="319"/>
      <c r="F71" s="319"/>
      <c r="G71" s="319"/>
      <c r="H71" s="319"/>
      <c r="I71" s="319"/>
      <c r="J71" s="319"/>
      <c r="K71" s="319"/>
      <c r="L71" s="319"/>
      <c r="M71" s="319"/>
      <c r="N71" s="319"/>
      <c r="O71" s="319"/>
      <c r="P71" s="319"/>
      <c r="Q71" s="319"/>
      <c r="R71" s="319"/>
      <c r="S71" s="319"/>
      <c r="T71" s="319"/>
      <c r="U71" s="319"/>
      <c r="V71" s="319"/>
      <c r="W71" s="319"/>
      <c r="X71" s="319"/>
      <c r="Y71" s="319"/>
      <c r="Z71" s="319"/>
    </row>
    <row r="72" ht="15.75" customHeight="1">
      <c r="A72" s="319"/>
      <c r="B72" s="319"/>
      <c r="C72" s="317"/>
      <c r="D72" s="317"/>
      <c r="E72" s="319"/>
      <c r="F72" s="319"/>
      <c r="G72" s="319"/>
      <c r="H72" s="319"/>
      <c r="I72" s="319"/>
      <c r="J72" s="319"/>
      <c r="K72" s="319"/>
      <c r="L72" s="319"/>
      <c r="M72" s="319"/>
      <c r="N72" s="319"/>
      <c r="O72" s="319"/>
      <c r="P72" s="319"/>
      <c r="Q72" s="319"/>
      <c r="R72" s="319"/>
      <c r="S72" s="319"/>
      <c r="T72" s="319"/>
      <c r="U72" s="319"/>
      <c r="V72" s="319"/>
      <c r="W72" s="319"/>
      <c r="X72" s="319"/>
      <c r="Y72" s="319"/>
      <c r="Z72" s="319"/>
    </row>
    <row r="73" ht="15.75" customHeight="1">
      <c r="A73" s="319"/>
      <c r="B73" s="319"/>
      <c r="C73" s="317"/>
      <c r="D73" s="317"/>
      <c r="E73" s="319"/>
      <c r="F73" s="319"/>
      <c r="G73" s="319"/>
      <c r="H73" s="319"/>
      <c r="I73" s="319"/>
      <c r="J73" s="319"/>
      <c r="K73" s="319"/>
      <c r="L73" s="319"/>
      <c r="M73" s="319"/>
      <c r="N73" s="319"/>
      <c r="O73" s="319"/>
      <c r="P73" s="319"/>
      <c r="Q73" s="319"/>
      <c r="R73" s="319"/>
      <c r="S73" s="319"/>
      <c r="T73" s="319"/>
      <c r="U73" s="319"/>
      <c r="V73" s="319"/>
      <c r="W73" s="319"/>
      <c r="X73" s="319"/>
      <c r="Y73" s="319"/>
      <c r="Z73" s="319"/>
    </row>
    <row r="74" ht="15.75" customHeight="1">
      <c r="A74" s="319"/>
      <c r="B74" s="319"/>
      <c r="C74" s="317"/>
      <c r="D74" s="317"/>
      <c r="E74" s="319"/>
      <c r="F74" s="319"/>
      <c r="G74" s="319"/>
      <c r="H74" s="319"/>
      <c r="I74" s="319"/>
      <c r="J74" s="319"/>
      <c r="K74" s="319"/>
      <c r="L74" s="319"/>
      <c r="M74" s="319"/>
      <c r="N74" s="319"/>
      <c r="O74" s="319"/>
      <c r="P74" s="319"/>
      <c r="Q74" s="319"/>
      <c r="R74" s="319"/>
      <c r="S74" s="319"/>
      <c r="T74" s="319"/>
      <c r="U74" s="319"/>
      <c r="V74" s="319"/>
      <c r="W74" s="319"/>
      <c r="X74" s="319"/>
      <c r="Y74" s="319"/>
      <c r="Z74" s="319"/>
    </row>
    <row r="75" ht="15.75" customHeight="1">
      <c r="A75" s="319"/>
      <c r="B75" s="319"/>
      <c r="C75" s="317"/>
      <c r="D75" s="317"/>
      <c r="E75" s="319"/>
      <c r="F75" s="319"/>
      <c r="G75" s="319"/>
      <c r="H75" s="319"/>
      <c r="I75" s="319"/>
      <c r="J75" s="319"/>
      <c r="K75" s="319"/>
      <c r="L75" s="319"/>
      <c r="M75" s="319"/>
      <c r="N75" s="319"/>
      <c r="O75" s="319"/>
      <c r="P75" s="319"/>
      <c r="Q75" s="319"/>
      <c r="R75" s="319"/>
      <c r="S75" s="319"/>
      <c r="T75" s="319"/>
      <c r="U75" s="319"/>
      <c r="V75" s="319"/>
      <c r="W75" s="319"/>
      <c r="X75" s="319"/>
      <c r="Y75" s="319"/>
      <c r="Z75" s="319"/>
    </row>
    <row r="76" ht="15.75" customHeight="1">
      <c r="A76" s="319"/>
      <c r="B76" s="319"/>
      <c r="C76" s="317"/>
      <c r="D76" s="317"/>
      <c r="E76" s="319"/>
      <c r="F76" s="319"/>
      <c r="G76" s="319"/>
      <c r="H76" s="319"/>
      <c r="I76" s="319"/>
      <c r="J76" s="319"/>
      <c r="K76" s="319"/>
      <c r="L76" s="319"/>
      <c r="M76" s="319"/>
      <c r="N76" s="319"/>
      <c r="O76" s="319"/>
      <c r="P76" s="319"/>
      <c r="Q76" s="319"/>
      <c r="R76" s="319"/>
      <c r="S76" s="319"/>
      <c r="T76" s="319"/>
      <c r="U76" s="319"/>
      <c r="V76" s="319"/>
      <c r="W76" s="319"/>
      <c r="X76" s="319"/>
      <c r="Y76" s="319"/>
      <c r="Z76" s="319"/>
    </row>
    <row r="77" ht="15.75" customHeight="1">
      <c r="A77" s="319"/>
      <c r="B77" s="319"/>
      <c r="C77" s="317"/>
      <c r="D77" s="317"/>
      <c r="E77" s="319"/>
      <c r="F77" s="319"/>
      <c r="G77" s="319"/>
      <c r="H77" s="319"/>
      <c r="I77" s="319"/>
      <c r="J77" s="319"/>
      <c r="K77" s="319"/>
      <c r="L77" s="319"/>
      <c r="M77" s="319"/>
      <c r="N77" s="319"/>
      <c r="O77" s="319"/>
      <c r="P77" s="319"/>
      <c r="Q77" s="319"/>
      <c r="R77" s="319"/>
      <c r="S77" s="319"/>
      <c r="T77" s="319"/>
      <c r="U77" s="319"/>
      <c r="V77" s="319"/>
      <c r="W77" s="319"/>
      <c r="X77" s="319"/>
      <c r="Y77" s="319"/>
      <c r="Z77" s="319"/>
    </row>
    <row r="78" ht="15.75" customHeight="1">
      <c r="A78" s="319"/>
      <c r="B78" s="319"/>
      <c r="C78" s="317"/>
      <c r="D78" s="317"/>
      <c r="E78" s="319"/>
      <c r="F78" s="319"/>
      <c r="G78" s="319"/>
      <c r="H78" s="319"/>
      <c r="I78" s="319"/>
      <c r="J78" s="319"/>
      <c r="K78" s="319"/>
      <c r="L78" s="319"/>
      <c r="M78" s="319"/>
      <c r="N78" s="319"/>
      <c r="O78" s="319"/>
      <c r="P78" s="319"/>
      <c r="Q78" s="319"/>
      <c r="R78" s="319"/>
      <c r="S78" s="319"/>
      <c r="T78" s="319"/>
      <c r="U78" s="319"/>
      <c r="V78" s="319"/>
      <c r="W78" s="319"/>
      <c r="X78" s="319"/>
      <c r="Y78" s="319"/>
      <c r="Z78" s="319"/>
    </row>
    <row r="79" ht="15.75" customHeight="1">
      <c r="A79" s="319"/>
      <c r="B79" s="319"/>
      <c r="C79" s="317"/>
      <c r="D79" s="317"/>
      <c r="E79" s="319"/>
      <c r="F79" s="319"/>
      <c r="G79" s="319"/>
      <c r="H79" s="319"/>
      <c r="I79" s="319"/>
      <c r="J79" s="319"/>
      <c r="K79" s="319"/>
      <c r="L79" s="319"/>
      <c r="M79" s="319"/>
      <c r="N79" s="319"/>
      <c r="O79" s="319"/>
      <c r="P79" s="319"/>
      <c r="Q79" s="319"/>
      <c r="R79" s="319"/>
      <c r="S79" s="319"/>
      <c r="T79" s="319"/>
      <c r="U79" s="319"/>
      <c r="V79" s="319"/>
      <c r="W79" s="319"/>
      <c r="X79" s="319"/>
      <c r="Y79" s="319"/>
      <c r="Z79" s="319"/>
    </row>
    <row r="80" ht="15.75" customHeight="1">
      <c r="A80" s="319"/>
      <c r="B80" s="319"/>
      <c r="C80" s="317"/>
      <c r="D80" s="317"/>
      <c r="E80" s="319"/>
      <c r="F80" s="319"/>
      <c r="G80" s="319"/>
      <c r="H80" s="319"/>
      <c r="I80" s="319"/>
      <c r="J80" s="319"/>
      <c r="K80" s="319"/>
      <c r="L80" s="319"/>
      <c r="M80" s="319"/>
      <c r="N80" s="319"/>
      <c r="O80" s="319"/>
      <c r="P80" s="319"/>
      <c r="Q80" s="319"/>
      <c r="R80" s="319"/>
      <c r="S80" s="319"/>
      <c r="T80" s="319"/>
      <c r="U80" s="319"/>
      <c r="V80" s="319"/>
      <c r="W80" s="319"/>
      <c r="X80" s="319"/>
      <c r="Y80" s="319"/>
      <c r="Z80" s="319"/>
    </row>
    <row r="81" ht="15.75" customHeight="1">
      <c r="A81" s="319"/>
      <c r="B81" s="319"/>
      <c r="C81" s="317"/>
      <c r="D81" s="317"/>
      <c r="E81" s="319"/>
      <c r="F81" s="319"/>
      <c r="G81" s="319"/>
      <c r="H81" s="319"/>
      <c r="I81" s="319"/>
      <c r="J81" s="319"/>
      <c r="K81" s="319"/>
      <c r="L81" s="319"/>
      <c r="M81" s="319"/>
      <c r="N81" s="319"/>
      <c r="O81" s="319"/>
      <c r="P81" s="319"/>
      <c r="Q81" s="319"/>
      <c r="R81" s="319"/>
      <c r="S81" s="319"/>
      <c r="T81" s="319"/>
      <c r="U81" s="319"/>
      <c r="V81" s="319"/>
      <c r="W81" s="319"/>
      <c r="X81" s="319"/>
      <c r="Y81" s="319"/>
      <c r="Z81" s="319"/>
    </row>
    <row r="82" ht="15.75" customHeight="1">
      <c r="A82" s="319"/>
      <c r="B82" s="319"/>
      <c r="C82" s="317"/>
      <c r="D82" s="317"/>
      <c r="E82" s="319"/>
      <c r="F82" s="319"/>
      <c r="G82" s="319"/>
      <c r="H82" s="319"/>
      <c r="I82" s="319"/>
      <c r="J82" s="319"/>
      <c r="K82" s="319"/>
      <c r="L82" s="319"/>
      <c r="M82" s="319"/>
      <c r="N82" s="319"/>
      <c r="O82" s="319"/>
      <c r="P82" s="319"/>
      <c r="Q82" s="319"/>
      <c r="R82" s="319"/>
      <c r="S82" s="319"/>
      <c r="T82" s="319"/>
      <c r="U82" s="319"/>
      <c r="V82" s="319"/>
      <c r="W82" s="319"/>
      <c r="X82" s="319"/>
      <c r="Y82" s="319"/>
      <c r="Z82" s="319"/>
    </row>
    <row r="83" ht="15.75" customHeight="1">
      <c r="A83" s="319"/>
      <c r="B83" s="319"/>
      <c r="C83" s="317"/>
      <c r="D83" s="317"/>
      <c r="E83" s="319"/>
      <c r="F83" s="319"/>
      <c r="G83" s="319"/>
      <c r="H83" s="319"/>
      <c r="I83" s="319"/>
      <c r="J83" s="319"/>
      <c r="K83" s="319"/>
      <c r="L83" s="319"/>
      <c r="M83" s="319"/>
      <c r="N83" s="319"/>
      <c r="O83" s="319"/>
      <c r="P83" s="319"/>
      <c r="Q83" s="319"/>
      <c r="R83" s="319"/>
      <c r="S83" s="319"/>
      <c r="T83" s="319"/>
      <c r="U83" s="319"/>
      <c r="V83" s="319"/>
      <c r="W83" s="319"/>
      <c r="X83" s="319"/>
      <c r="Y83" s="319"/>
      <c r="Z83" s="319"/>
    </row>
    <row r="84" ht="15.75" customHeight="1">
      <c r="A84" s="319"/>
      <c r="B84" s="319"/>
      <c r="C84" s="317"/>
      <c r="D84" s="317"/>
      <c r="E84" s="319"/>
      <c r="F84" s="319"/>
      <c r="G84" s="319"/>
      <c r="H84" s="319"/>
      <c r="I84" s="319"/>
      <c r="J84" s="319"/>
      <c r="K84" s="319"/>
      <c r="L84" s="319"/>
      <c r="M84" s="319"/>
      <c r="N84" s="319"/>
      <c r="O84" s="319"/>
      <c r="P84" s="319"/>
      <c r="Q84" s="319"/>
      <c r="R84" s="319"/>
      <c r="S84" s="319"/>
      <c r="T84" s="319"/>
      <c r="U84" s="319"/>
      <c r="V84" s="319"/>
      <c r="W84" s="319"/>
      <c r="X84" s="319"/>
      <c r="Y84" s="319"/>
      <c r="Z84" s="319"/>
    </row>
    <row r="85" ht="15.75" customHeight="1">
      <c r="A85" s="319"/>
      <c r="B85" s="319"/>
      <c r="C85" s="317"/>
      <c r="D85" s="317"/>
      <c r="E85" s="319"/>
      <c r="F85" s="319"/>
      <c r="G85" s="319"/>
      <c r="H85" s="319"/>
      <c r="I85" s="319"/>
      <c r="J85" s="319"/>
      <c r="K85" s="319"/>
      <c r="L85" s="319"/>
      <c r="M85" s="319"/>
      <c r="N85" s="319"/>
      <c r="O85" s="319"/>
      <c r="P85" s="319"/>
      <c r="Q85" s="319"/>
      <c r="R85" s="319"/>
      <c r="S85" s="319"/>
      <c r="T85" s="319"/>
      <c r="U85" s="319"/>
      <c r="V85" s="319"/>
      <c r="W85" s="319"/>
      <c r="X85" s="319"/>
      <c r="Y85" s="319"/>
      <c r="Z85" s="319"/>
    </row>
    <row r="86" ht="15.75" customHeight="1">
      <c r="A86" s="319"/>
      <c r="B86" s="319"/>
      <c r="C86" s="317"/>
      <c r="D86" s="317"/>
      <c r="E86" s="319"/>
      <c r="F86" s="319"/>
      <c r="G86" s="319"/>
      <c r="H86" s="319"/>
      <c r="I86" s="319"/>
      <c r="J86" s="319"/>
      <c r="K86" s="319"/>
      <c r="L86" s="319"/>
      <c r="M86" s="319"/>
      <c r="N86" s="319"/>
      <c r="O86" s="319"/>
      <c r="P86" s="319"/>
      <c r="Q86" s="319"/>
      <c r="R86" s="319"/>
      <c r="S86" s="319"/>
      <c r="T86" s="319"/>
      <c r="U86" s="319"/>
      <c r="V86" s="319"/>
      <c r="W86" s="319"/>
      <c r="X86" s="319"/>
      <c r="Y86" s="319"/>
      <c r="Z86" s="319"/>
    </row>
    <row r="87" ht="15.75" customHeight="1">
      <c r="A87" s="319"/>
      <c r="B87" s="319"/>
      <c r="C87" s="317"/>
      <c r="D87" s="317"/>
      <c r="E87" s="319"/>
      <c r="F87" s="319"/>
      <c r="G87" s="319"/>
      <c r="H87" s="319"/>
      <c r="I87" s="319"/>
      <c r="J87" s="319"/>
      <c r="K87" s="319"/>
      <c r="L87" s="319"/>
      <c r="M87" s="319"/>
      <c r="N87" s="319"/>
      <c r="O87" s="319"/>
      <c r="P87" s="319"/>
      <c r="Q87" s="319"/>
      <c r="R87" s="319"/>
      <c r="S87" s="319"/>
      <c r="T87" s="319"/>
      <c r="U87" s="319"/>
      <c r="V87" s="319"/>
      <c r="W87" s="319"/>
      <c r="X87" s="319"/>
      <c r="Y87" s="319"/>
      <c r="Z87" s="319"/>
    </row>
    <row r="88" ht="15.75" customHeight="1">
      <c r="A88" s="319"/>
      <c r="B88" s="319"/>
      <c r="C88" s="317"/>
      <c r="D88" s="317"/>
      <c r="E88" s="319"/>
      <c r="F88" s="319"/>
      <c r="G88" s="319"/>
      <c r="H88" s="319"/>
      <c r="I88" s="319"/>
      <c r="J88" s="319"/>
      <c r="K88" s="319"/>
      <c r="L88" s="319"/>
      <c r="M88" s="319"/>
      <c r="N88" s="319"/>
      <c r="O88" s="319"/>
      <c r="P88" s="319"/>
      <c r="Q88" s="319"/>
      <c r="R88" s="319"/>
      <c r="S88" s="319"/>
      <c r="T88" s="319"/>
      <c r="U88" s="319"/>
      <c r="V88" s="319"/>
      <c r="W88" s="319"/>
      <c r="X88" s="319"/>
      <c r="Y88" s="319"/>
      <c r="Z88" s="319"/>
    </row>
    <row r="89" ht="15.75" customHeight="1">
      <c r="A89" s="319"/>
      <c r="B89" s="319"/>
      <c r="C89" s="317"/>
      <c r="D89" s="317"/>
      <c r="E89" s="319"/>
      <c r="F89" s="319"/>
      <c r="G89" s="319"/>
      <c r="H89" s="319"/>
      <c r="I89" s="319"/>
      <c r="J89" s="319"/>
      <c r="K89" s="319"/>
      <c r="L89" s="319"/>
      <c r="M89" s="319"/>
      <c r="N89" s="319"/>
      <c r="O89" s="319"/>
      <c r="P89" s="319"/>
      <c r="Q89" s="319"/>
      <c r="R89" s="319"/>
      <c r="S89" s="319"/>
      <c r="T89" s="319"/>
      <c r="U89" s="319"/>
      <c r="V89" s="319"/>
      <c r="W89" s="319"/>
      <c r="X89" s="319"/>
      <c r="Y89" s="319"/>
      <c r="Z89" s="319"/>
    </row>
    <row r="90" ht="15.75" customHeight="1">
      <c r="A90" s="319"/>
      <c r="B90" s="319"/>
      <c r="C90" s="317"/>
      <c r="D90" s="317"/>
      <c r="E90" s="319"/>
      <c r="F90" s="319"/>
      <c r="G90" s="319"/>
      <c r="H90" s="319"/>
      <c r="I90" s="319"/>
      <c r="J90" s="319"/>
      <c r="K90" s="319"/>
      <c r="L90" s="319"/>
      <c r="M90" s="319"/>
      <c r="N90" s="319"/>
      <c r="O90" s="319"/>
      <c r="P90" s="319"/>
      <c r="Q90" s="319"/>
      <c r="R90" s="319"/>
      <c r="S90" s="319"/>
      <c r="T90" s="319"/>
      <c r="U90" s="319"/>
      <c r="V90" s="319"/>
      <c r="W90" s="319"/>
      <c r="X90" s="319"/>
      <c r="Y90" s="319"/>
      <c r="Z90" s="319"/>
    </row>
    <row r="91" ht="15.75" customHeight="1">
      <c r="A91" s="319"/>
      <c r="B91" s="319"/>
      <c r="C91" s="317"/>
      <c r="D91" s="317"/>
      <c r="E91" s="319"/>
      <c r="F91" s="319"/>
      <c r="G91" s="319"/>
      <c r="H91" s="319"/>
      <c r="I91" s="319"/>
      <c r="J91" s="319"/>
      <c r="K91" s="319"/>
      <c r="L91" s="319"/>
      <c r="M91" s="319"/>
      <c r="N91" s="319"/>
      <c r="O91" s="319"/>
      <c r="P91" s="319"/>
      <c r="Q91" s="319"/>
      <c r="R91" s="319"/>
      <c r="S91" s="319"/>
      <c r="T91" s="319"/>
      <c r="U91" s="319"/>
      <c r="V91" s="319"/>
      <c r="W91" s="319"/>
      <c r="X91" s="319"/>
      <c r="Y91" s="319"/>
      <c r="Z91" s="319"/>
    </row>
    <row r="92" ht="15.75" customHeight="1">
      <c r="A92" s="319"/>
      <c r="B92" s="319"/>
      <c r="C92" s="317"/>
      <c r="D92" s="317"/>
      <c r="E92" s="319"/>
      <c r="F92" s="319"/>
      <c r="G92" s="319"/>
      <c r="H92" s="319"/>
      <c r="I92" s="319"/>
      <c r="J92" s="319"/>
      <c r="K92" s="319"/>
      <c r="L92" s="319"/>
      <c r="M92" s="319"/>
      <c r="N92" s="319"/>
      <c r="O92" s="319"/>
      <c r="P92" s="319"/>
      <c r="Q92" s="319"/>
      <c r="R92" s="319"/>
      <c r="S92" s="319"/>
      <c r="T92" s="319"/>
      <c r="U92" s="319"/>
      <c r="V92" s="319"/>
      <c r="W92" s="319"/>
      <c r="X92" s="319"/>
      <c r="Y92" s="319"/>
      <c r="Z92" s="319"/>
    </row>
    <row r="93" ht="15.75" customHeight="1">
      <c r="A93" s="319"/>
      <c r="B93" s="319"/>
      <c r="C93" s="317"/>
      <c r="D93" s="317"/>
      <c r="E93" s="319"/>
      <c r="F93" s="319"/>
      <c r="G93" s="319"/>
      <c r="H93" s="319"/>
      <c r="I93" s="319"/>
      <c r="J93" s="319"/>
      <c r="K93" s="319"/>
      <c r="L93" s="319"/>
      <c r="M93" s="319"/>
      <c r="N93" s="319"/>
      <c r="O93" s="319"/>
      <c r="P93" s="319"/>
      <c r="Q93" s="319"/>
      <c r="R93" s="319"/>
      <c r="S93" s="319"/>
      <c r="T93" s="319"/>
      <c r="U93" s="319"/>
      <c r="V93" s="319"/>
      <c r="W93" s="319"/>
      <c r="X93" s="319"/>
      <c r="Y93" s="319"/>
      <c r="Z93" s="319"/>
    </row>
    <row r="94" ht="15.75" customHeight="1">
      <c r="A94" s="319"/>
      <c r="B94" s="319"/>
      <c r="C94" s="317"/>
      <c r="D94" s="317"/>
      <c r="E94" s="319"/>
      <c r="F94" s="319"/>
      <c r="G94" s="319"/>
      <c r="H94" s="319"/>
      <c r="I94" s="319"/>
      <c r="J94" s="319"/>
      <c r="K94" s="319"/>
      <c r="L94" s="319"/>
      <c r="M94" s="319"/>
      <c r="N94" s="319"/>
      <c r="O94" s="319"/>
      <c r="P94" s="319"/>
      <c r="Q94" s="319"/>
      <c r="R94" s="319"/>
      <c r="S94" s="319"/>
      <c r="T94" s="319"/>
      <c r="U94" s="319"/>
      <c r="V94" s="319"/>
      <c r="W94" s="319"/>
      <c r="X94" s="319"/>
      <c r="Y94" s="319"/>
      <c r="Z94" s="319"/>
    </row>
    <row r="95" ht="15.75" customHeight="1">
      <c r="A95" s="319"/>
      <c r="B95" s="319"/>
      <c r="C95" s="317"/>
      <c r="D95" s="317"/>
      <c r="E95" s="319"/>
      <c r="F95" s="319"/>
      <c r="G95" s="319"/>
      <c r="H95" s="319"/>
      <c r="I95" s="319"/>
      <c r="J95" s="319"/>
      <c r="K95" s="319"/>
      <c r="L95" s="319"/>
      <c r="M95" s="319"/>
      <c r="N95" s="319"/>
      <c r="O95" s="319"/>
      <c r="P95" s="319"/>
      <c r="Q95" s="319"/>
      <c r="R95" s="319"/>
      <c r="S95" s="319"/>
      <c r="T95" s="319"/>
      <c r="U95" s="319"/>
      <c r="V95" s="319"/>
      <c r="W95" s="319"/>
      <c r="X95" s="319"/>
      <c r="Y95" s="319"/>
      <c r="Z95" s="319"/>
    </row>
    <row r="96" ht="15.75" customHeight="1">
      <c r="A96" s="319"/>
      <c r="B96" s="319"/>
      <c r="C96" s="317"/>
      <c r="D96" s="317"/>
      <c r="E96" s="319"/>
      <c r="F96" s="319"/>
      <c r="G96" s="319"/>
      <c r="H96" s="319"/>
      <c r="I96" s="319"/>
      <c r="J96" s="319"/>
      <c r="K96" s="319"/>
      <c r="L96" s="319"/>
      <c r="M96" s="319"/>
      <c r="N96" s="319"/>
      <c r="O96" s="319"/>
      <c r="P96" s="319"/>
      <c r="Q96" s="319"/>
      <c r="R96" s="319"/>
      <c r="S96" s="319"/>
      <c r="T96" s="319"/>
      <c r="U96" s="319"/>
      <c r="V96" s="319"/>
      <c r="W96" s="319"/>
      <c r="X96" s="319"/>
      <c r="Y96" s="319"/>
      <c r="Z96" s="319"/>
    </row>
    <row r="97" ht="15.75" customHeight="1">
      <c r="A97" s="319"/>
      <c r="B97" s="319"/>
      <c r="C97" s="317"/>
      <c r="D97" s="317"/>
      <c r="E97" s="319"/>
      <c r="F97" s="319"/>
      <c r="G97" s="319"/>
      <c r="H97" s="319"/>
      <c r="I97" s="319"/>
      <c r="J97" s="319"/>
      <c r="K97" s="319"/>
      <c r="L97" s="319"/>
      <c r="M97" s="319"/>
      <c r="N97" s="319"/>
      <c r="O97" s="319"/>
      <c r="P97" s="319"/>
      <c r="Q97" s="319"/>
      <c r="R97" s="319"/>
      <c r="S97" s="319"/>
      <c r="T97" s="319"/>
      <c r="U97" s="319"/>
      <c r="V97" s="319"/>
      <c r="W97" s="319"/>
      <c r="X97" s="319"/>
      <c r="Y97" s="319"/>
      <c r="Z97" s="319"/>
    </row>
    <row r="98" ht="15.75" customHeight="1">
      <c r="A98" s="319"/>
      <c r="B98" s="319"/>
      <c r="C98" s="317"/>
      <c r="D98" s="317"/>
      <c r="E98" s="319"/>
      <c r="F98" s="319"/>
      <c r="G98" s="319"/>
      <c r="H98" s="319"/>
      <c r="I98" s="319"/>
      <c r="J98" s="319"/>
      <c r="K98" s="319"/>
      <c r="L98" s="319"/>
      <c r="M98" s="319"/>
      <c r="N98" s="319"/>
      <c r="O98" s="319"/>
      <c r="P98" s="319"/>
      <c r="Q98" s="319"/>
      <c r="R98" s="319"/>
      <c r="S98" s="319"/>
      <c r="T98" s="319"/>
      <c r="U98" s="319"/>
      <c r="V98" s="319"/>
      <c r="W98" s="319"/>
      <c r="X98" s="319"/>
      <c r="Y98" s="319"/>
      <c r="Z98" s="319"/>
    </row>
    <row r="99" ht="15.75" customHeight="1">
      <c r="A99" s="319"/>
      <c r="B99" s="319"/>
      <c r="C99" s="317"/>
      <c r="D99" s="317"/>
      <c r="E99" s="319"/>
      <c r="F99" s="319"/>
      <c r="G99" s="319"/>
      <c r="H99" s="319"/>
      <c r="I99" s="319"/>
      <c r="J99" s="319"/>
      <c r="K99" s="319"/>
      <c r="L99" s="319"/>
      <c r="M99" s="319"/>
      <c r="N99" s="319"/>
      <c r="O99" s="319"/>
      <c r="P99" s="319"/>
      <c r="Q99" s="319"/>
      <c r="R99" s="319"/>
      <c r="S99" s="319"/>
      <c r="T99" s="319"/>
      <c r="U99" s="319"/>
      <c r="V99" s="319"/>
      <c r="W99" s="319"/>
      <c r="X99" s="319"/>
      <c r="Y99" s="319"/>
      <c r="Z99" s="319"/>
    </row>
    <row r="100" ht="15.75" customHeight="1">
      <c r="A100" s="319"/>
      <c r="B100" s="319"/>
      <c r="C100" s="317"/>
      <c r="D100" s="317"/>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row>
    <row r="101" ht="15.75" customHeight="1">
      <c r="A101" s="319"/>
      <c r="B101" s="319"/>
      <c r="C101" s="317"/>
      <c r="D101" s="317"/>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row>
    <row r="102" ht="15.75" customHeight="1">
      <c r="A102" s="319"/>
      <c r="B102" s="319"/>
      <c r="C102" s="317"/>
      <c r="D102" s="317"/>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row>
    <row r="103" ht="15.75" customHeight="1">
      <c r="A103" s="319"/>
      <c r="B103" s="319"/>
      <c r="C103" s="317"/>
      <c r="D103" s="317"/>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row>
    <row r="104" ht="15.75" customHeight="1">
      <c r="A104" s="319"/>
      <c r="B104" s="319"/>
      <c r="C104" s="317"/>
      <c r="D104" s="317"/>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row>
    <row r="105" ht="15.75" customHeight="1">
      <c r="A105" s="319"/>
      <c r="B105" s="319"/>
      <c r="C105" s="317"/>
      <c r="D105" s="317"/>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row>
    <row r="106" ht="15.75" customHeight="1">
      <c r="A106" s="319"/>
      <c r="B106" s="319"/>
      <c r="C106" s="317"/>
      <c r="D106" s="317"/>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row>
    <row r="107" ht="15.75" customHeight="1">
      <c r="A107" s="319"/>
      <c r="B107" s="319"/>
      <c r="C107" s="317"/>
      <c r="D107" s="317"/>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row>
    <row r="108" ht="15.75" customHeight="1">
      <c r="A108" s="319"/>
      <c r="B108" s="319"/>
      <c r="C108" s="317"/>
      <c r="D108" s="317"/>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row>
    <row r="109" ht="15.75" customHeight="1">
      <c r="A109" s="319"/>
      <c r="B109" s="319"/>
      <c r="C109" s="317"/>
      <c r="D109" s="317"/>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row>
    <row r="110" ht="15.75" customHeight="1">
      <c r="A110" s="319"/>
      <c r="B110" s="319"/>
      <c r="C110" s="317"/>
      <c r="D110" s="317"/>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row>
    <row r="111" ht="15.75" customHeight="1">
      <c r="A111" s="319"/>
      <c r="B111" s="319"/>
      <c r="C111" s="317"/>
      <c r="D111" s="317"/>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row>
    <row r="112" ht="15.75" customHeight="1">
      <c r="A112" s="319"/>
      <c r="B112" s="319"/>
      <c r="C112" s="317"/>
      <c r="D112" s="317"/>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row>
    <row r="113" ht="15.75" customHeight="1">
      <c r="A113" s="319"/>
      <c r="B113" s="319"/>
      <c r="C113" s="317"/>
      <c r="D113" s="317"/>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row>
    <row r="114" ht="15.75" customHeight="1">
      <c r="A114" s="319"/>
      <c r="B114" s="319"/>
      <c r="C114" s="317"/>
      <c r="D114" s="317"/>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row>
    <row r="115" ht="15.75" customHeight="1">
      <c r="A115" s="319"/>
      <c r="B115" s="319"/>
      <c r="C115" s="317"/>
      <c r="D115" s="317"/>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row>
    <row r="116" ht="15.75" customHeight="1">
      <c r="A116" s="319"/>
      <c r="B116" s="319"/>
      <c r="C116" s="317"/>
      <c r="D116" s="317"/>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row>
    <row r="117" ht="15.75" customHeight="1">
      <c r="A117" s="319"/>
      <c r="B117" s="319"/>
      <c r="C117" s="317"/>
      <c r="D117" s="317"/>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row>
    <row r="118" ht="15.75" customHeight="1">
      <c r="A118" s="319"/>
      <c r="B118" s="319"/>
      <c r="C118" s="317"/>
      <c r="D118" s="317"/>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row>
    <row r="119" ht="15.75" customHeight="1">
      <c r="A119" s="319"/>
      <c r="B119" s="319"/>
      <c r="C119" s="317"/>
      <c r="D119" s="317"/>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row>
    <row r="120" ht="15.75" customHeight="1">
      <c r="A120" s="319"/>
      <c r="B120" s="319"/>
      <c r="C120" s="317"/>
      <c r="D120" s="317"/>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row>
    <row r="121" ht="15.75" customHeight="1">
      <c r="A121" s="319"/>
      <c r="B121" s="319"/>
      <c r="C121" s="317"/>
      <c r="D121" s="317"/>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row>
    <row r="122" ht="15.75" customHeight="1">
      <c r="A122" s="319"/>
      <c r="B122" s="319"/>
      <c r="C122" s="317"/>
      <c r="D122" s="317"/>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row>
    <row r="123" ht="15.75" customHeight="1">
      <c r="A123" s="319"/>
      <c r="B123" s="319"/>
      <c r="C123" s="317"/>
      <c r="D123" s="317"/>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row>
    <row r="124" ht="15.75" customHeight="1">
      <c r="A124" s="319"/>
      <c r="B124" s="319"/>
      <c r="C124" s="317"/>
      <c r="D124" s="317"/>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row>
    <row r="125" ht="15.75" customHeight="1">
      <c r="A125" s="319"/>
      <c r="B125" s="319"/>
      <c r="C125" s="317"/>
      <c r="D125" s="317"/>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row>
    <row r="126" ht="15.75" customHeight="1">
      <c r="A126" s="319"/>
      <c r="B126" s="319"/>
      <c r="C126" s="317"/>
      <c r="D126" s="317"/>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row>
    <row r="127" ht="15.75" customHeight="1">
      <c r="A127" s="319"/>
      <c r="B127" s="319"/>
      <c r="C127" s="317"/>
      <c r="D127" s="317"/>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row>
    <row r="128" ht="15.75" customHeight="1">
      <c r="A128" s="319"/>
      <c r="B128" s="319"/>
      <c r="C128" s="317"/>
      <c r="D128" s="317"/>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row>
    <row r="129" ht="15.75" customHeight="1">
      <c r="A129" s="319"/>
      <c r="B129" s="319"/>
      <c r="C129" s="317"/>
      <c r="D129" s="317"/>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row>
    <row r="130" ht="15.75" customHeight="1">
      <c r="A130" s="319"/>
      <c r="B130" s="319"/>
      <c r="C130" s="317"/>
      <c r="D130" s="317"/>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row>
    <row r="131" ht="15.75" customHeight="1">
      <c r="A131" s="319"/>
      <c r="B131" s="319"/>
      <c r="C131" s="317"/>
      <c r="D131" s="317"/>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row>
    <row r="132" ht="15.75" customHeight="1">
      <c r="A132" s="319"/>
      <c r="B132" s="319"/>
      <c r="C132" s="317"/>
      <c r="D132" s="317"/>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row>
    <row r="133" ht="15.75" customHeight="1">
      <c r="A133" s="319"/>
      <c r="B133" s="319"/>
      <c r="C133" s="317"/>
      <c r="D133" s="317"/>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row>
    <row r="134" ht="15.75" customHeight="1">
      <c r="A134" s="319"/>
      <c r="B134" s="319"/>
      <c r="C134" s="317"/>
      <c r="D134" s="317"/>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row>
    <row r="135" ht="15.75" customHeight="1">
      <c r="A135" s="319"/>
      <c r="B135" s="319"/>
      <c r="C135" s="317"/>
      <c r="D135" s="317"/>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row>
    <row r="136" ht="15.75" customHeight="1">
      <c r="A136" s="319"/>
      <c r="B136" s="319"/>
      <c r="C136" s="317"/>
      <c r="D136" s="317"/>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row>
    <row r="137" ht="15.75" customHeight="1">
      <c r="A137" s="319"/>
      <c r="B137" s="319"/>
      <c r="C137" s="317"/>
      <c r="D137" s="317"/>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row>
    <row r="138" ht="15.75" customHeight="1">
      <c r="A138" s="319"/>
      <c r="B138" s="319"/>
      <c r="C138" s="317"/>
      <c r="D138" s="317"/>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row>
    <row r="139" ht="15.75" customHeight="1">
      <c r="A139" s="319"/>
      <c r="B139" s="319"/>
      <c r="C139" s="317"/>
      <c r="D139" s="317"/>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row>
    <row r="140" ht="15.75" customHeight="1">
      <c r="A140" s="319"/>
      <c r="B140" s="319"/>
      <c r="C140" s="317"/>
      <c r="D140" s="317"/>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row>
    <row r="141" ht="15.75" customHeight="1">
      <c r="A141" s="319"/>
      <c r="B141" s="319"/>
      <c r="C141" s="317"/>
      <c r="D141" s="317"/>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row>
    <row r="142" ht="15.75" customHeight="1">
      <c r="A142" s="319"/>
      <c r="B142" s="319"/>
      <c r="C142" s="317"/>
      <c r="D142" s="317"/>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row>
    <row r="143" ht="15.75" customHeight="1">
      <c r="A143" s="319"/>
      <c r="B143" s="319"/>
      <c r="C143" s="317"/>
      <c r="D143" s="317"/>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row>
    <row r="144" ht="15.75" customHeight="1">
      <c r="A144" s="319"/>
      <c r="B144" s="319"/>
      <c r="C144" s="317"/>
      <c r="D144" s="317"/>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row>
    <row r="145" ht="15.75" customHeight="1">
      <c r="A145" s="319"/>
      <c r="B145" s="319"/>
      <c r="C145" s="317"/>
      <c r="D145" s="317"/>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row>
    <row r="146" ht="15.75" customHeight="1">
      <c r="A146" s="319"/>
      <c r="B146" s="319"/>
      <c r="C146" s="317"/>
      <c r="D146" s="317"/>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row>
    <row r="147" ht="15.75" customHeight="1">
      <c r="A147" s="319"/>
      <c r="B147" s="319"/>
      <c r="C147" s="317"/>
      <c r="D147" s="317"/>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row>
    <row r="148" ht="15.75" customHeight="1">
      <c r="A148" s="319"/>
      <c r="B148" s="319"/>
      <c r="C148" s="317"/>
      <c r="D148" s="317"/>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row>
    <row r="149" ht="15.75" customHeight="1">
      <c r="A149" s="319"/>
      <c r="B149" s="319"/>
      <c r="C149" s="317"/>
      <c r="D149" s="317"/>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row>
    <row r="150" ht="15.75" customHeight="1">
      <c r="A150" s="319"/>
      <c r="B150" s="319"/>
      <c r="C150" s="317"/>
      <c r="D150" s="317"/>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row>
    <row r="151" ht="15.75" customHeight="1">
      <c r="A151" s="319"/>
      <c r="B151" s="319"/>
      <c r="C151" s="317"/>
      <c r="D151" s="317"/>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row>
    <row r="152" ht="15.75" customHeight="1">
      <c r="A152" s="319"/>
      <c r="B152" s="319"/>
      <c r="C152" s="317"/>
      <c r="D152" s="317"/>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row>
    <row r="153" ht="15.75" customHeight="1">
      <c r="A153" s="319"/>
      <c r="B153" s="319"/>
      <c r="C153" s="317"/>
      <c r="D153" s="317"/>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row>
    <row r="154" ht="15.75" customHeight="1">
      <c r="A154" s="319"/>
      <c r="B154" s="319"/>
      <c r="C154" s="317"/>
      <c r="D154" s="317"/>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row>
    <row r="155" ht="15.75" customHeight="1">
      <c r="A155" s="319"/>
      <c r="B155" s="319"/>
      <c r="C155" s="317"/>
      <c r="D155" s="317"/>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row>
    <row r="156" ht="15.75" customHeight="1">
      <c r="A156" s="319"/>
      <c r="B156" s="319"/>
      <c r="C156" s="317"/>
      <c r="D156" s="317"/>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row>
    <row r="157" ht="15.75" customHeight="1">
      <c r="A157" s="319"/>
      <c r="B157" s="319"/>
      <c r="C157" s="317"/>
      <c r="D157" s="317"/>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row>
    <row r="158" ht="15.75" customHeight="1">
      <c r="A158" s="319"/>
      <c r="B158" s="319"/>
      <c r="C158" s="317"/>
      <c r="D158" s="317"/>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row>
    <row r="159" ht="15.75" customHeight="1">
      <c r="A159" s="319"/>
      <c r="B159" s="319"/>
      <c r="C159" s="317"/>
      <c r="D159" s="317"/>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row>
    <row r="160" ht="15.75" customHeight="1">
      <c r="A160" s="319"/>
      <c r="B160" s="319"/>
      <c r="C160" s="317"/>
      <c r="D160" s="317"/>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row>
    <row r="161" ht="15.75" customHeight="1">
      <c r="A161" s="319"/>
      <c r="B161" s="319"/>
      <c r="C161" s="317"/>
      <c r="D161" s="317"/>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row>
    <row r="162" ht="15.75" customHeight="1">
      <c r="A162" s="319"/>
      <c r="B162" s="319"/>
      <c r="C162" s="317"/>
      <c r="D162" s="317"/>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row>
    <row r="163" ht="15.75" customHeight="1">
      <c r="A163" s="319"/>
      <c r="B163" s="319"/>
      <c r="C163" s="317"/>
      <c r="D163" s="317"/>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row>
    <row r="164" ht="15.75" customHeight="1">
      <c r="A164" s="319"/>
      <c r="B164" s="319"/>
      <c r="C164" s="317"/>
      <c r="D164" s="317"/>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row>
    <row r="165" ht="15.75" customHeight="1">
      <c r="A165" s="319"/>
      <c r="B165" s="319"/>
      <c r="C165" s="317"/>
      <c r="D165" s="317"/>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row>
    <row r="166" ht="15.75" customHeight="1">
      <c r="A166" s="319"/>
      <c r="B166" s="319"/>
      <c r="C166" s="317"/>
      <c r="D166" s="317"/>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row>
    <row r="167" ht="15.75" customHeight="1">
      <c r="A167" s="319"/>
      <c r="B167" s="319"/>
      <c r="C167" s="317"/>
      <c r="D167" s="317"/>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row>
    <row r="168" ht="15.75" customHeight="1">
      <c r="A168" s="319"/>
      <c r="B168" s="319"/>
      <c r="C168" s="317"/>
      <c r="D168" s="317"/>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row>
    <row r="169" ht="15.75" customHeight="1">
      <c r="A169" s="319"/>
      <c r="B169" s="319"/>
      <c r="C169" s="317"/>
      <c r="D169" s="317"/>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row>
    <row r="170" ht="15.75" customHeight="1">
      <c r="A170" s="319"/>
      <c r="B170" s="319"/>
      <c r="C170" s="317"/>
      <c r="D170" s="317"/>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row>
    <row r="171" ht="15.75" customHeight="1">
      <c r="A171" s="319"/>
      <c r="B171" s="319"/>
      <c r="C171" s="317"/>
      <c r="D171" s="317"/>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row>
    <row r="172" ht="15.75" customHeight="1">
      <c r="A172" s="319"/>
      <c r="B172" s="319"/>
      <c r="C172" s="317"/>
      <c r="D172" s="317"/>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row>
    <row r="173" ht="15.75" customHeight="1">
      <c r="A173" s="319"/>
      <c r="B173" s="319"/>
      <c r="C173" s="317"/>
      <c r="D173" s="317"/>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row>
    <row r="174" ht="15.75" customHeight="1">
      <c r="A174" s="319"/>
      <c r="B174" s="319"/>
      <c r="C174" s="317"/>
      <c r="D174" s="317"/>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row>
    <row r="175" ht="15.75" customHeight="1">
      <c r="A175" s="319"/>
      <c r="B175" s="319"/>
      <c r="C175" s="317"/>
      <c r="D175" s="317"/>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row>
    <row r="176" ht="15.75" customHeight="1">
      <c r="A176" s="319"/>
      <c r="B176" s="319"/>
      <c r="C176" s="317"/>
      <c r="D176" s="317"/>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row>
    <row r="177" ht="15.75" customHeight="1">
      <c r="A177" s="319"/>
      <c r="B177" s="319"/>
      <c r="C177" s="317"/>
      <c r="D177" s="317"/>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row>
    <row r="178" ht="15.75" customHeight="1">
      <c r="A178" s="319"/>
      <c r="B178" s="319"/>
      <c r="C178" s="317"/>
      <c r="D178" s="317"/>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row>
    <row r="179" ht="15.75" customHeight="1">
      <c r="A179" s="319"/>
      <c r="B179" s="319"/>
      <c r="C179" s="317"/>
      <c r="D179" s="317"/>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row>
    <row r="180" ht="15.75" customHeight="1">
      <c r="A180" s="319"/>
      <c r="B180" s="319"/>
      <c r="C180" s="317"/>
      <c r="D180" s="317"/>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row>
    <row r="181" ht="15.75" customHeight="1">
      <c r="A181" s="319"/>
      <c r="B181" s="319"/>
      <c r="C181" s="317"/>
      <c r="D181" s="317"/>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row>
    <row r="182" ht="15.75" customHeight="1">
      <c r="A182" s="319"/>
      <c r="B182" s="319"/>
      <c r="C182" s="317"/>
      <c r="D182" s="317"/>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row>
    <row r="183" ht="15.75" customHeight="1">
      <c r="A183" s="319"/>
      <c r="B183" s="319"/>
      <c r="C183" s="317"/>
      <c r="D183" s="317"/>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row>
    <row r="184" ht="15.75" customHeight="1">
      <c r="A184" s="319"/>
      <c r="B184" s="319"/>
      <c r="C184" s="317"/>
      <c r="D184" s="317"/>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row>
    <row r="185" ht="15.75" customHeight="1">
      <c r="A185" s="319"/>
      <c r="B185" s="319"/>
      <c r="C185" s="317"/>
      <c r="D185" s="317"/>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row>
    <row r="186" ht="15.75" customHeight="1">
      <c r="A186" s="319"/>
      <c r="B186" s="319"/>
      <c r="C186" s="317"/>
      <c r="D186" s="317"/>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row>
    <row r="187" ht="15.75" customHeight="1">
      <c r="A187" s="319"/>
      <c r="B187" s="319"/>
      <c r="C187" s="317"/>
      <c r="D187" s="317"/>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row>
    <row r="188" ht="15.75" customHeight="1">
      <c r="A188" s="319"/>
      <c r="B188" s="319"/>
      <c r="C188" s="317"/>
      <c r="D188" s="317"/>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row>
    <row r="189" ht="15.75" customHeight="1">
      <c r="A189" s="319"/>
      <c r="B189" s="319"/>
      <c r="C189" s="317"/>
      <c r="D189" s="317"/>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row>
    <row r="190" ht="15.75" customHeight="1">
      <c r="A190" s="324"/>
      <c r="B190" s="319"/>
      <c r="C190" s="317"/>
      <c r="D190" s="317"/>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row>
    <row r="191" ht="15.75" customHeight="1">
      <c r="A191" s="324"/>
      <c r="B191" s="319"/>
      <c r="C191" s="317"/>
      <c r="D191" s="317"/>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row>
    <row r="192" ht="15.75" customHeight="1">
      <c r="A192" s="324"/>
      <c r="B192" s="319"/>
      <c r="C192" s="317"/>
      <c r="D192" s="317"/>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row>
    <row r="193" ht="15.75" customHeight="1">
      <c r="A193" s="324"/>
      <c r="B193" s="319"/>
      <c r="C193" s="317"/>
      <c r="D193" s="317"/>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row>
    <row r="194" ht="15.75" customHeight="1">
      <c r="A194" s="324"/>
      <c r="B194" s="319"/>
      <c r="C194" s="317"/>
      <c r="D194" s="317"/>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row>
    <row r="195" ht="15.75" customHeight="1">
      <c r="A195" s="324"/>
      <c r="B195" s="319"/>
      <c r="C195" s="317"/>
      <c r="D195" s="317"/>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row>
    <row r="196" ht="15.75" customHeight="1">
      <c r="A196" s="324"/>
      <c r="B196" s="319"/>
      <c r="C196" s="317"/>
      <c r="D196" s="317"/>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row>
    <row r="197" ht="15.75" customHeight="1">
      <c r="A197" s="324"/>
      <c r="B197" s="319"/>
      <c r="C197" s="317"/>
      <c r="D197" s="317"/>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row>
    <row r="198" ht="15.75" customHeight="1">
      <c r="A198" s="324"/>
      <c r="B198" s="319"/>
      <c r="C198" s="317"/>
      <c r="D198" s="317"/>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row>
    <row r="199" ht="15.75" customHeight="1">
      <c r="A199" s="324"/>
      <c r="B199" s="319"/>
      <c r="C199" s="317"/>
      <c r="D199" s="317"/>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row>
    <row r="200" ht="15.75" customHeight="1">
      <c r="A200" s="324"/>
      <c r="B200" s="319"/>
      <c r="C200" s="317"/>
      <c r="D200" s="317"/>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row>
    <row r="201" ht="15.75" customHeight="1">
      <c r="A201" s="324"/>
      <c r="B201" s="319"/>
      <c r="C201" s="317"/>
      <c r="D201" s="317"/>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row>
    <row r="202" ht="15.75" customHeight="1">
      <c r="A202" s="324"/>
      <c r="B202" s="319"/>
      <c r="C202" s="317"/>
      <c r="D202" s="317"/>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row>
    <row r="203" ht="15.75" customHeight="1">
      <c r="A203" s="324"/>
      <c r="B203" s="319"/>
      <c r="C203" s="317"/>
      <c r="D203" s="317"/>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row>
    <row r="204" ht="15.75" customHeight="1">
      <c r="A204" s="324"/>
      <c r="B204" s="319"/>
      <c r="C204" s="317"/>
      <c r="D204" s="317"/>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row>
    <row r="205" ht="15.75" customHeight="1">
      <c r="A205" s="324"/>
      <c r="B205" s="319"/>
      <c r="C205" s="317"/>
      <c r="D205" s="317"/>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row>
    <row r="206" ht="15.75" customHeight="1">
      <c r="A206" s="324"/>
      <c r="B206" s="319"/>
      <c r="C206" s="317"/>
      <c r="D206" s="317"/>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row>
    <row r="207" ht="15.75" customHeight="1">
      <c r="A207" s="324"/>
      <c r="B207" s="319"/>
      <c r="C207" s="317"/>
      <c r="D207" s="317"/>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row>
    <row r="208" ht="15.75" customHeight="1">
      <c r="A208" s="324"/>
      <c r="B208" s="319"/>
      <c r="C208" s="317"/>
      <c r="D208" s="317"/>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row>
    <row r="209" ht="15.75" customHeight="1">
      <c r="A209" s="324"/>
      <c r="B209" s="319"/>
      <c r="C209" s="317"/>
      <c r="D209" s="317"/>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row>
    <row r="210" ht="15.75" customHeight="1">
      <c r="A210" s="324"/>
      <c r="B210" s="319"/>
      <c r="C210" s="317"/>
      <c r="D210" s="317"/>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row>
    <row r="211" ht="15.75" customHeight="1">
      <c r="A211" s="324"/>
      <c r="B211" s="319"/>
      <c r="C211" s="317"/>
      <c r="D211" s="317"/>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row>
    <row r="212" ht="15.75" customHeight="1">
      <c r="A212" s="324"/>
      <c r="B212" s="319"/>
      <c r="C212" s="317"/>
      <c r="D212" s="317"/>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row>
    <row r="213" ht="15.75" customHeight="1">
      <c r="A213" s="324"/>
      <c r="B213" s="319"/>
      <c r="C213" s="317"/>
      <c r="D213" s="317"/>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row>
    <row r="214" ht="15.75" customHeight="1">
      <c r="A214" s="324"/>
      <c r="B214" s="319"/>
      <c r="C214" s="317"/>
      <c r="D214" s="317"/>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row>
    <row r="215" ht="15.75" customHeight="1">
      <c r="A215" s="324"/>
      <c r="B215" s="319"/>
      <c r="C215" s="317"/>
      <c r="D215" s="317"/>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row>
    <row r="216" ht="15.75" customHeight="1">
      <c r="A216" s="324"/>
      <c r="B216" s="319"/>
      <c r="C216" s="317"/>
      <c r="D216" s="317"/>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row>
    <row r="217" ht="15.75" customHeight="1">
      <c r="A217" s="324"/>
      <c r="B217" s="319"/>
      <c r="C217" s="317"/>
      <c r="D217" s="317"/>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row>
    <row r="218" ht="15.75" customHeight="1">
      <c r="A218" s="324"/>
      <c r="B218" s="319"/>
      <c r="C218" s="317"/>
      <c r="D218" s="317"/>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row>
    <row r="219" ht="15.75" customHeight="1">
      <c r="A219" s="324"/>
      <c r="B219" s="319"/>
      <c r="C219" s="317"/>
      <c r="D219" s="317"/>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row>
    <row r="220" ht="15.75" customHeight="1">
      <c r="A220" s="324"/>
      <c r="B220" s="319"/>
      <c r="C220" s="317"/>
      <c r="D220" s="317"/>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row>
    <row r="221" ht="15.75" customHeight="1">
      <c r="A221" s="324"/>
      <c r="B221" s="319"/>
      <c r="C221" s="317"/>
      <c r="D221" s="317"/>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row>
    <row r="222" ht="15.75" customHeight="1">
      <c r="A222" s="324"/>
      <c r="B222" s="319"/>
      <c r="C222" s="317"/>
      <c r="D222" s="317"/>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row>
    <row r="223" ht="15.75" customHeight="1">
      <c r="A223" s="324"/>
      <c r="B223" s="319"/>
      <c r="C223" s="317"/>
      <c r="D223" s="317"/>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row>
    <row r="224" ht="15.75" customHeight="1">
      <c r="A224" s="324"/>
      <c r="B224" s="319"/>
      <c r="C224" s="317"/>
      <c r="D224" s="317"/>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row>
    <row r="225" ht="15.75" customHeight="1">
      <c r="A225" s="324"/>
      <c r="B225" s="319"/>
      <c r="C225" s="317"/>
      <c r="D225" s="317"/>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row>
    <row r="226" ht="15.75" customHeight="1">
      <c r="A226" s="324"/>
      <c r="B226" s="319"/>
      <c r="C226" s="317"/>
      <c r="D226" s="317"/>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row>
    <row r="227" ht="15.75" customHeight="1">
      <c r="A227" s="324"/>
      <c r="B227" s="319"/>
      <c r="C227" s="317"/>
      <c r="D227" s="317"/>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row>
    <row r="228" ht="15.75" customHeight="1">
      <c r="A228" s="324"/>
      <c r="B228" s="319"/>
      <c r="C228" s="317"/>
      <c r="D228" s="317"/>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row>
    <row r="229" ht="15.75" customHeight="1">
      <c r="A229" s="324"/>
      <c r="B229" s="319"/>
      <c r="C229" s="317"/>
      <c r="D229" s="317"/>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row>
    <row r="230" ht="15.75" customHeight="1">
      <c r="A230" s="324"/>
      <c r="B230" s="319"/>
      <c r="C230" s="317"/>
      <c r="D230" s="317"/>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row>
    <row r="231" ht="15.75" customHeight="1">
      <c r="A231" s="324"/>
      <c r="B231" s="319"/>
      <c r="C231" s="317"/>
      <c r="D231" s="317"/>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row>
    <row r="232" ht="15.75" customHeight="1">
      <c r="A232" s="324"/>
      <c r="B232" s="319"/>
      <c r="C232" s="317"/>
      <c r="D232" s="317"/>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row>
    <row r="233" ht="15.75" customHeight="1">
      <c r="A233" s="324"/>
      <c r="B233" s="319"/>
      <c r="C233" s="317"/>
      <c r="D233" s="317"/>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row>
    <row r="234" ht="15.75" customHeight="1">
      <c r="A234" s="324"/>
      <c r="B234" s="319"/>
      <c r="C234" s="317"/>
      <c r="D234" s="317"/>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row>
    <row r="235" ht="15.75" customHeight="1">
      <c r="A235" s="324"/>
      <c r="B235" s="319"/>
      <c r="C235" s="317"/>
      <c r="D235" s="317"/>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row>
    <row r="236" ht="15.75" customHeight="1">
      <c r="A236" s="324"/>
      <c r="B236" s="319"/>
      <c r="C236" s="317"/>
      <c r="D236" s="317"/>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row>
    <row r="237" ht="15.75" customHeight="1">
      <c r="A237" s="324"/>
      <c r="B237" s="319"/>
      <c r="C237" s="317"/>
      <c r="D237" s="317"/>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row>
    <row r="238" ht="15.75" customHeight="1">
      <c r="A238" s="324"/>
      <c r="B238" s="319"/>
      <c r="C238" s="317"/>
      <c r="D238" s="317"/>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row>
    <row r="239" ht="15.75" customHeight="1">
      <c r="A239" s="324"/>
      <c r="B239" s="319"/>
      <c r="C239" s="317"/>
      <c r="D239" s="317"/>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row>
    <row r="240" ht="15.75" customHeight="1">
      <c r="A240" s="324"/>
      <c r="B240" s="319"/>
      <c r="C240" s="317"/>
      <c r="D240" s="317"/>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row>
    <row r="241" ht="15.75" customHeight="1">
      <c r="A241" s="324"/>
      <c r="B241" s="319"/>
      <c r="C241" s="317"/>
      <c r="D241" s="317"/>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row>
    <row r="242" ht="15.75" customHeight="1">
      <c r="A242" s="324"/>
      <c r="B242" s="319"/>
      <c r="C242" s="317"/>
      <c r="D242" s="317"/>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row>
    <row r="243" ht="15.75" customHeight="1">
      <c r="A243" s="324"/>
      <c r="B243" s="319"/>
      <c r="C243" s="317"/>
      <c r="D243" s="317"/>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row>
    <row r="244" ht="15.75" customHeight="1">
      <c r="A244" s="324"/>
      <c r="B244" s="319"/>
      <c r="C244" s="317"/>
      <c r="D244" s="317"/>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row>
    <row r="245" ht="15.75" customHeight="1">
      <c r="A245" s="324"/>
      <c r="B245" s="319"/>
      <c r="C245" s="317"/>
      <c r="D245" s="317"/>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row>
    <row r="246" ht="15.75" customHeight="1">
      <c r="A246" s="324"/>
      <c r="B246" s="319"/>
      <c r="C246" s="317"/>
      <c r="D246" s="317"/>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row>
    <row r="247" ht="15.75" customHeight="1">
      <c r="A247" s="324"/>
      <c r="B247" s="319"/>
      <c r="C247" s="317"/>
      <c r="D247" s="317"/>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row>
    <row r="248" ht="15.75" customHeight="1">
      <c r="A248" s="324"/>
      <c r="B248" s="319"/>
      <c r="C248" s="317"/>
      <c r="D248" s="317"/>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row>
    <row r="249" ht="15.75" customHeight="1">
      <c r="A249" s="324"/>
      <c r="B249" s="319"/>
      <c r="C249" s="317"/>
      <c r="D249" s="317"/>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row>
    <row r="250" ht="15.75" customHeight="1">
      <c r="A250" s="324"/>
      <c r="B250" s="319"/>
      <c r="C250" s="317"/>
      <c r="D250" s="317"/>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row>
    <row r="251" ht="15.75" customHeight="1">
      <c r="A251" s="324"/>
      <c r="B251" s="319"/>
      <c r="C251" s="317"/>
      <c r="D251" s="317"/>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row>
    <row r="252" ht="15.75" customHeight="1">
      <c r="A252" s="324"/>
      <c r="B252" s="319"/>
      <c r="C252" s="317"/>
      <c r="D252" s="317"/>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row>
    <row r="253" ht="15.75" customHeight="1">
      <c r="A253" s="324"/>
      <c r="B253" s="319"/>
      <c r="C253" s="317"/>
      <c r="D253" s="317"/>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row>
    <row r="254" ht="15.75" customHeight="1">
      <c r="A254" s="324"/>
      <c r="B254" s="319"/>
      <c r="C254" s="317"/>
      <c r="D254" s="317"/>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row>
    <row r="255" ht="15.75" customHeight="1">
      <c r="A255" s="324"/>
      <c r="B255" s="319"/>
      <c r="C255" s="317"/>
      <c r="D255" s="317"/>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row>
    <row r="256" ht="15.75" customHeight="1">
      <c r="A256" s="324"/>
      <c r="B256" s="319"/>
      <c r="C256" s="317"/>
      <c r="D256" s="317"/>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row>
    <row r="257" ht="15.75" customHeight="1">
      <c r="A257" s="324"/>
      <c r="B257" s="319"/>
      <c r="C257" s="317"/>
      <c r="D257" s="317"/>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row>
    <row r="258" ht="15.75" customHeight="1">
      <c r="A258" s="324"/>
      <c r="B258" s="319"/>
      <c r="C258" s="317"/>
      <c r="D258" s="317"/>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row>
    <row r="259" ht="15.75" customHeight="1">
      <c r="A259" s="324"/>
      <c r="B259" s="319"/>
      <c r="C259" s="317"/>
      <c r="D259" s="317"/>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row>
    <row r="260" ht="15.75" customHeight="1">
      <c r="A260" s="324"/>
      <c r="B260" s="319"/>
      <c r="C260" s="317"/>
      <c r="D260" s="317"/>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row>
    <row r="261" ht="15.75" customHeight="1">
      <c r="A261" s="324"/>
      <c r="B261" s="319"/>
      <c r="C261" s="317"/>
      <c r="D261" s="317"/>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row>
    <row r="262" ht="15.75" customHeight="1">
      <c r="A262" s="324"/>
      <c r="B262" s="319"/>
      <c r="C262" s="317"/>
      <c r="D262" s="317"/>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row>
    <row r="263" ht="15.75" customHeight="1">
      <c r="A263" s="324"/>
      <c r="B263" s="319"/>
      <c r="C263" s="317"/>
      <c r="D263" s="317"/>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row>
    <row r="264" ht="15.75" customHeight="1">
      <c r="A264" s="324"/>
      <c r="B264" s="319"/>
      <c r="C264" s="317"/>
      <c r="D264" s="317"/>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row>
    <row r="265" ht="15.75" customHeight="1">
      <c r="A265" s="324"/>
      <c r="B265" s="319"/>
      <c r="C265" s="317"/>
      <c r="D265" s="317"/>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row>
    <row r="266" ht="15.75" customHeight="1">
      <c r="A266" s="324"/>
      <c r="B266" s="319"/>
      <c r="C266" s="317"/>
      <c r="D266" s="317"/>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row>
    <row r="267" ht="15.75" customHeight="1">
      <c r="A267" s="324"/>
      <c r="B267" s="319"/>
      <c r="C267" s="317"/>
      <c r="D267" s="317"/>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row>
    <row r="268" ht="15.75" customHeight="1">
      <c r="A268" s="324"/>
      <c r="B268" s="319"/>
      <c r="C268" s="317"/>
      <c r="D268" s="317"/>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row>
    <row r="269" ht="15.75" customHeight="1">
      <c r="A269" s="324"/>
      <c r="B269" s="319"/>
      <c r="C269" s="317"/>
      <c r="D269" s="317"/>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row>
    <row r="270" ht="15.75" customHeight="1">
      <c r="A270" s="324"/>
      <c r="B270" s="319"/>
      <c r="C270" s="317"/>
      <c r="D270" s="317"/>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row>
    <row r="271" ht="15.75" customHeight="1">
      <c r="A271" s="324"/>
      <c r="B271" s="319"/>
      <c r="C271" s="317"/>
      <c r="D271" s="317"/>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row>
    <row r="272" ht="15.75" customHeight="1">
      <c r="A272" s="324"/>
      <c r="B272" s="319"/>
      <c r="C272" s="317"/>
      <c r="D272" s="317"/>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row>
    <row r="273" ht="15.75" customHeight="1">
      <c r="A273" s="324"/>
      <c r="B273" s="319"/>
      <c r="C273" s="317"/>
      <c r="D273" s="317"/>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row>
    <row r="274" ht="15.75" customHeight="1">
      <c r="A274" s="324"/>
      <c r="B274" s="319"/>
      <c r="C274" s="317"/>
      <c r="D274" s="317"/>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row>
    <row r="275" ht="15.75" customHeight="1">
      <c r="A275" s="324"/>
      <c r="B275" s="319"/>
      <c r="C275" s="317"/>
      <c r="D275" s="317"/>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row>
    <row r="276" ht="15.75" customHeight="1">
      <c r="A276" s="324"/>
      <c r="B276" s="319"/>
      <c r="C276" s="317"/>
      <c r="D276" s="317"/>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row>
    <row r="277" ht="15.75" customHeight="1">
      <c r="A277" s="324"/>
      <c r="B277" s="319"/>
      <c r="C277" s="317"/>
      <c r="D277" s="317"/>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row>
    <row r="278" ht="15.75" customHeight="1">
      <c r="A278" s="324"/>
      <c r="B278" s="319"/>
      <c r="C278" s="317"/>
      <c r="D278" s="317"/>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row>
    <row r="279" ht="15.75" customHeight="1">
      <c r="A279" s="324"/>
      <c r="B279" s="319"/>
      <c r="C279" s="317"/>
      <c r="D279" s="317"/>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row>
    <row r="280" ht="15.75" customHeight="1">
      <c r="A280" s="324"/>
      <c r="B280" s="319"/>
      <c r="C280" s="317"/>
      <c r="D280" s="317"/>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row>
    <row r="281" ht="15.75" customHeight="1">
      <c r="A281" s="324"/>
      <c r="B281" s="319"/>
      <c r="C281" s="317"/>
      <c r="D281" s="317"/>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row>
    <row r="282" ht="15.75" customHeight="1">
      <c r="A282" s="324"/>
      <c r="B282" s="319"/>
      <c r="C282" s="317"/>
      <c r="D282" s="317"/>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row>
    <row r="283" ht="15.75" customHeight="1">
      <c r="A283" s="324"/>
      <c r="B283" s="319"/>
      <c r="C283" s="317"/>
      <c r="D283" s="317"/>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row>
    <row r="284" ht="15.75" customHeight="1">
      <c r="A284" s="324"/>
      <c r="B284" s="319"/>
      <c r="C284" s="317"/>
      <c r="D284" s="317"/>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row>
    <row r="285" ht="15.75" customHeight="1">
      <c r="A285" s="324"/>
      <c r="B285" s="319"/>
      <c r="C285" s="317"/>
      <c r="D285" s="317"/>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row>
    <row r="286" ht="15.75" customHeight="1">
      <c r="A286" s="324"/>
      <c r="B286" s="319"/>
      <c r="C286" s="317"/>
      <c r="D286" s="317"/>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row>
    <row r="287" ht="15.75" customHeight="1">
      <c r="A287" s="324"/>
      <c r="B287" s="319"/>
      <c r="C287" s="317"/>
      <c r="D287" s="317"/>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row>
    <row r="288" ht="15.75" customHeight="1">
      <c r="A288" s="324"/>
      <c r="B288" s="319"/>
      <c r="C288" s="317"/>
      <c r="D288" s="317"/>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row>
    <row r="289" ht="15.75" customHeight="1">
      <c r="A289" s="324"/>
      <c r="B289" s="319"/>
      <c r="C289" s="317"/>
      <c r="D289" s="317"/>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row>
    <row r="290" ht="15.75" customHeight="1">
      <c r="A290" s="324"/>
      <c r="B290" s="319"/>
      <c r="C290" s="317"/>
      <c r="D290" s="317"/>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row>
    <row r="291" ht="15.75" customHeight="1">
      <c r="A291" s="324"/>
      <c r="B291" s="319"/>
      <c r="C291" s="317"/>
      <c r="D291" s="317"/>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row>
    <row r="292" ht="15.75" customHeight="1">
      <c r="A292" s="324"/>
      <c r="B292" s="319"/>
      <c r="C292" s="317"/>
      <c r="D292" s="317"/>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row>
    <row r="293" ht="15.75" customHeight="1">
      <c r="A293" s="324"/>
      <c r="B293" s="319"/>
      <c r="C293" s="317"/>
      <c r="D293" s="317"/>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row>
    <row r="294" ht="15.75" customHeight="1">
      <c r="A294" s="324"/>
      <c r="B294" s="319"/>
      <c r="C294" s="317"/>
      <c r="D294" s="317"/>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row>
    <row r="295" ht="15.75" customHeight="1">
      <c r="A295" s="324"/>
      <c r="B295" s="319"/>
      <c r="C295" s="317"/>
      <c r="D295" s="317"/>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row>
    <row r="296" ht="15.75" customHeight="1">
      <c r="A296" s="324"/>
      <c r="B296" s="319"/>
      <c r="C296" s="317"/>
      <c r="D296" s="317"/>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row>
    <row r="297" ht="15.75" customHeight="1">
      <c r="A297" s="324"/>
      <c r="B297" s="319"/>
      <c r="C297" s="317"/>
      <c r="D297" s="317"/>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row>
    <row r="298" ht="15.75" customHeight="1">
      <c r="A298" s="324"/>
      <c r="B298" s="319"/>
      <c r="C298" s="317"/>
      <c r="D298" s="317"/>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row>
    <row r="299" ht="15.75" customHeight="1">
      <c r="A299" s="324"/>
      <c r="B299" s="319"/>
      <c r="C299" s="317"/>
      <c r="D299" s="317"/>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row>
    <row r="300" ht="15.75" customHeight="1">
      <c r="A300" s="324"/>
      <c r="B300" s="319"/>
      <c r="C300" s="317"/>
      <c r="D300" s="317"/>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row>
    <row r="301" ht="15.75" customHeight="1">
      <c r="A301" s="324"/>
      <c r="B301" s="319"/>
      <c r="C301" s="317"/>
      <c r="D301" s="317"/>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row>
    <row r="302" ht="15.75" customHeight="1">
      <c r="A302" s="324"/>
      <c r="B302" s="319"/>
      <c r="C302" s="317"/>
      <c r="D302" s="317"/>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row>
    <row r="303" ht="15.75" customHeight="1">
      <c r="A303" s="324"/>
      <c r="B303" s="319"/>
      <c r="C303" s="317"/>
      <c r="D303" s="317"/>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row>
    <row r="304" ht="15.75" customHeight="1">
      <c r="A304" s="324"/>
      <c r="B304" s="319"/>
      <c r="C304" s="317"/>
      <c r="D304" s="317"/>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row>
    <row r="305" ht="15.75" customHeight="1">
      <c r="A305" s="324"/>
      <c r="B305" s="319"/>
      <c r="C305" s="317"/>
      <c r="D305" s="317"/>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row>
    <row r="306" ht="15.75" customHeight="1">
      <c r="A306" s="324"/>
      <c r="B306" s="319"/>
      <c r="C306" s="317"/>
      <c r="D306" s="317"/>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row>
    <row r="307" ht="15.75" customHeight="1">
      <c r="A307" s="324"/>
      <c r="B307" s="319"/>
      <c r="C307" s="317"/>
      <c r="D307" s="317"/>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row>
    <row r="308" ht="15.75" customHeight="1">
      <c r="A308" s="324"/>
      <c r="B308" s="319"/>
      <c r="C308" s="317"/>
      <c r="D308" s="317"/>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row>
    <row r="309" ht="15.75" customHeight="1">
      <c r="A309" s="324"/>
      <c r="B309" s="319"/>
      <c r="C309" s="317"/>
      <c r="D309" s="317"/>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row>
    <row r="310" ht="15.75" customHeight="1">
      <c r="A310" s="324"/>
      <c r="B310" s="319"/>
      <c r="C310" s="317"/>
      <c r="D310" s="317"/>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row>
    <row r="311" ht="15.75" customHeight="1">
      <c r="A311" s="324"/>
      <c r="B311" s="319"/>
      <c r="C311" s="317"/>
      <c r="D311" s="317"/>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row>
    <row r="312" ht="15.75" customHeight="1">
      <c r="A312" s="324"/>
      <c r="B312" s="319"/>
      <c r="C312" s="317"/>
      <c r="D312" s="317"/>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row>
    <row r="313" ht="15.75" customHeight="1">
      <c r="A313" s="324"/>
      <c r="B313" s="319"/>
      <c r="C313" s="317"/>
      <c r="D313" s="317"/>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row>
    <row r="314" ht="15.75" customHeight="1">
      <c r="A314" s="324"/>
      <c r="B314" s="319"/>
      <c r="C314" s="317"/>
      <c r="D314" s="317"/>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row>
    <row r="315" ht="15.75" customHeight="1">
      <c r="A315" s="324"/>
      <c r="B315" s="319"/>
      <c r="C315" s="317"/>
      <c r="D315" s="317"/>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row>
    <row r="316" ht="15.75" customHeight="1">
      <c r="A316" s="324"/>
      <c r="B316" s="319"/>
      <c r="C316" s="317"/>
      <c r="D316" s="317"/>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row>
    <row r="317" ht="15.75" customHeight="1">
      <c r="A317" s="324"/>
      <c r="B317" s="319"/>
      <c r="C317" s="317"/>
      <c r="D317" s="317"/>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row>
    <row r="318" ht="15.75" customHeight="1">
      <c r="A318" s="324"/>
      <c r="B318" s="319"/>
      <c r="C318" s="317"/>
      <c r="D318" s="317"/>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row>
    <row r="319" ht="15.75" customHeight="1">
      <c r="A319" s="324"/>
      <c r="B319" s="319"/>
      <c r="C319" s="317"/>
      <c r="D319" s="317"/>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row>
    <row r="320" ht="15.75" customHeight="1">
      <c r="A320" s="324"/>
      <c r="B320" s="319"/>
      <c r="C320" s="317"/>
      <c r="D320" s="317"/>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row>
    <row r="321" ht="15.75" customHeight="1">
      <c r="A321" s="324"/>
      <c r="B321" s="319"/>
      <c r="C321" s="317"/>
      <c r="D321" s="317"/>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row>
    <row r="322" ht="15.75" customHeight="1">
      <c r="A322" s="324"/>
      <c r="B322" s="319"/>
      <c r="C322" s="317"/>
      <c r="D322" s="317"/>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row>
    <row r="323" ht="15.75" customHeight="1">
      <c r="A323" s="324"/>
      <c r="B323" s="319"/>
      <c r="C323" s="317"/>
      <c r="D323" s="317"/>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row>
    <row r="324" ht="15.75" customHeight="1">
      <c r="A324" s="324"/>
      <c r="B324" s="319"/>
      <c r="C324" s="317"/>
      <c r="D324" s="317"/>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row>
    <row r="325" ht="15.75" customHeight="1">
      <c r="A325" s="324"/>
      <c r="B325" s="319"/>
      <c r="C325" s="317"/>
      <c r="D325" s="317"/>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row>
    <row r="326" ht="15.75" customHeight="1">
      <c r="A326" s="324"/>
      <c r="B326" s="319"/>
      <c r="C326" s="317"/>
      <c r="D326" s="317"/>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row>
    <row r="327" ht="15.75" customHeight="1">
      <c r="A327" s="324"/>
      <c r="B327" s="319"/>
      <c r="C327" s="317"/>
      <c r="D327" s="317"/>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row>
    <row r="328" ht="15.75" customHeight="1">
      <c r="A328" s="324"/>
      <c r="B328" s="319"/>
      <c r="C328" s="317"/>
      <c r="D328" s="317"/>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row>
    <row r="329" ht="15.75" customHeight="1">
      <c r="A329" s="324"/>
      <c r="B329" s="319"/>
      <c r="C329" s="317"/>
      <c r="D329" s="317"/>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row>
    <row r="330" ht="15.75" customHeight="1">
      <c r="A330" s="324"/>
      <c r="B330" s="319"/>
      <c r="C330" s="317"/>
      <c r="D330" s="317"/>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row>
    <row r="331" ht="15.75" customHeight="1">
      <c r="A331" s="324"/>
      <c r="B331" s="319"/>
      <c r="C331" s="317"/>
      <c r="D331" s="317"/>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row>
    <row r="332" ht="15.75" customHeight="1">
      <c r="A332" s="324"/>
      <c r="B332" s="319"/>
      <c r="C332" s="317"/>
      <c r="D332" s="317"/>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row>
    <row r="333" ht="15.75" customHeight="1">
      <c r="A333" s="324"/>
      <c r="B333" s="319"/>
      <c r="C333" s="317"/>
      <c r="D333" s="317"/>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row>
    <row r="334" ht="15.75" customHeight="1">
      <c r="A334" s="324"/>
      <c r="B334" s="319"/>
      <c r="C334" s="317"/>
      <c r="D334" s="317"/>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row>
    <row r="335" ht="15.75" customHeight="1">
      <c r="A335" s="324"/>
      <c r="B335" s="319"/>
      <c r="C335" s="317"/>
      <c r="D335" s="317"/>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row>
    <row r="336" ht="15.75" customHeight="1">
      <c r="A336" s="324"/>
      <c r="B336" s="319"/>
      <c r="C336" s="317"/>
      <c r="D336" s="317"/>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row>
    <row r="337" ht="15.75" customHeight="1">
      <c r="A337" s="324"/>
      <c r="B337" s="319"/>
      <c r="C337" s="317"/>
      <c r="D337" s="317"/>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row>
    <row r="338" ht="15.75" customHeight="1">
      <c r="A338" s="324"/>
      <c r="B338" s="319"/>
      <c r="C338" s="317"/>
      <c r="D338" s="317"/>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row>
    <row r="339" ht="15.75" customHeight="1">
      <c r="A339" s="324"/>
      <c r="B339" s="319"/>
      <c r="C339" s="317"/>
      <c r="D339" s="317"/>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row>
    <row r="340" ht="15.75" customHeight="1">
      <c r="A340" s="324"/>
      <c r="B340" s="319"/>
      <c r="C340" s="317"/>
      <c r="D340" s="317"/>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row>
    <row r="341" ht="15.75" customHeight="1">
      <c r="A341" s="324"/>
      <c r="B341" s="319"/>
      <c r="C341" s="317"/>
      <c r="D341" s="317"/>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row>
    <row r="342" ht="15.75" customHeight="1">
      <c r="A342" s="324"/>
      <c r="B342" s="319"/>
      <c r="C342" s="317"/>
      <c r="D342" s="317"/>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row>
    <row r="343" ht="15.75" customHeight="1">
      <c r="A343" s="324"/>
      <c r="B343" s="319"/>
      <c r="C343" s="317"/>
      <c r="D343" s="317"/>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row>
    <row r="344" ht="15.75" customHeight="1">
      <c r="A344" s="324"/>
      <c r="B344" s="319"/>
      <c r="C344" s="317"/>
      <c r="D344" s="317"/>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row>
    <row r="345" ht="15.75" customHeight="1">
      <c r="A345" s="324"/>
      <c r="B345" s="319"/>
      <c r="C345" s="317"/>
      <c r="D345" s="317"/>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row>
    <row r="346" ht="15.75" customHeight="1">
      <c r="A346" s="324"/>
      <c r="B346" s="319"/>
      <c r="C346" s="317"/>
      <c r="D346" s="317"/>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row>
    <row r="347" ht="15.75" customHeight="1">
      <c r="A347" s="324"/>
      <c r="B347" s="319"/>
      <c r="C347" s="317"/>
      <c r="D347" s="317"/>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row>
    <row r="348" ht="15.75" customHeight="1">
      <c r="A348" s="324"/>
      <c r="B348" s="319"/>
      <c r="C348" s="317"/>
      <c r="D348" s="317"/>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row>
    <row r="349" ht="15.75" customHeight="1">
      <c r="A349" s="324"/>
      <c r="B349" s="319"/>
      <c r="C349" s="317"/>
      <c r="D349" s="317"/>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row>
    <row r="350" ht="15.75" customHeight="1">
      <c r="A350" s="324"/>
      <c r="B350" s="319"/>
      <c r="C350" s="317"/>
      <c r="D350" s="317"/>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row>
    <row r="351" ht="15.75" customHeight="1">
      <c r="A351" s="324"/>
      <c r="B351" s="319"/>
      <c r="C351" s="317"/>
      <c r="D351" s="317"/>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row>
    <row r="352" ht="15.75" customHeight="1">
      <c r="A352" s="324"/>
      <c r="B352" s="319"/>
      <c r="C352" s="317"/>
      <c r="D352" s="317"/>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row>
    <row r="353" ht="15.75" customHeight="1">
      <c r="A353" s="324"/>
      <c r="B353" s="319"/>
      <c r="C353" s="317"/>
      <c r="D353" s="317"/>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row>
    <row r="354" ht="15.75" customHeight="1">
      <c r="A354" s="324"/>
      <c r="B354" s="319"/>
      <c r="C354" s="317"/>
      <c r="D354" s="317"/>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row>
    <row r="355" ht="15.75" customHeight="1">
      <c r="A355" s="324"/>
      <c r="B355" s="319"/>
      <c r="C355" s="317"/>
      <c r="D355" s="317"/>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row>
    <row r="356" ht="15.75" customHeight="1">
      <c r="A356" s="324"/>
      <c r="B356" s="319"/>
      <c r="C356" s="317"/>
      <c r="D356" s="317"/>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row>
    <row r="357" ht="15.75" customHeight="1">
      <c r="A357" s="324"/>
      <c r="B357" s="319"/>
      <c r="C357" s="317"/>
      <c r="D357" s="317"/>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row>
    <row r="358" ht="15.75" customHeight="1">
      <c r="A358" s="324"/>
      <c r="B358" s="319"/>
      <c r="C358" s="317"/>
      <c r="D358" s="317"/>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row>
    <row r="359" ht="15.75" customHeight="1">
      <c r="A359" s="324"/>
      <c r="B359" s="319"/>
      <c r="C359" s="317"/>
      <c r="D359" s="317"/>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row>
    <row r="360" ht="15.75" customHeight="1">
      <c r="A360" s="324"/>
      <c r="B360" s="319"/>
      <c r="C360" s="317"/>
      <c r="D360" s="317"/>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row>
    <row r="361" ht="15.75" customHeight="1">
      <c r="A361" s="324"/>
      <c r="B361" s="319"/>
      <c r="C361" s="317"/>
      <c r="D361" s="317"/>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row>
    <row r="362" ht="15.75" customHeight="1">
      <c r="A362" s="324"/>
      <c r="B362" s="319"/>
      <c r="C362" s="317"/>
      <c r="D362" s="317"/>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row>
    <row r="363" ht="15.75" customHeight="1">
      <c r="A363" s="324"/>
      <c r="B363" s="319"/>
      <c r="C363" s="317"/>
      <c r="D363" s="317"/>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row>
    <row r="364" ht="15.75" customHeight="1">
      <c r="A364" s="324"/>
      <c r="B364" s="319"/>
      <c r="C364" s="317"/>
      <c r="D364" s="317"/>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row>
    <row r="365" ht="15.75" customHeight="1">
      <c r="A365" s="324"/>
      <c r="B365" s="319"/>
      <c r="C365" s="317"/>
      <c r="D365" s="317"/>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row>
    <row r="366" ht="15.75" customHeight="1">
      <c r="A366" s="324"/>
      <c r="B366" s="319"/>
      <c r="C366" s="317"/>
      <c r="D366" s="317"/>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row>
    <row r="367" ht="15.75" customHeight="1">
      <c r="A367" s="324"/>
      <c r="B367" s="319"/>
      <c r="C367" s="317"/>
      <c r="D367" s="317"/>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row>
    <row r="368" ht="15.75" customHeight="1">
      <c r="A368" s="324"/>
      <c r="B368" s="319"/>
      <c r="C368" s="317"/>
      <c r="D368" s="317"/>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row>
    <row r="369" ht="15.75" customHeight="1">
      <c r="A369" s="324"/>
      <c r="B369" s="319"/>
      <c r="C369" s="317"/>
      <c r="D369" s="317"/>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row>
    <row r="370" ht="15.75" customHeight="1">
      <c r="A370" s="324"/>
      <c r="B370" s="319"/>
      <c r="C370" s="317"/>
      <c r="D370" s="317"/>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row>
    <row r="371" ht="15.75" customHeight="1">
      <c r="A371" s="324"/>
      <c r="B371" s="319"/>
      <c r="C371" s="317"/>
      <c r="D371" s="317"/>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row>
    <row r="372" ht="15.75" customHeight="1">
      <c r="A372" s="324"/>
      <c r="B372" s="319"/>
      <c r="C372" s="317"/>
      <c r="D372" s="317"/>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row>
    <row r="373" ht="15.75" customHeight="1">
      <c r="A373" s="324"/>
      <c r="B373" s="319"/>
      <c r="C373" s="317"/>
      <c r="D373" s="317"/>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row>
    <row r="374" ht="15.75" customHeight="1">
      <c r="A374" s="324"/>
      <c r="B374" s="319"/>
      <c r="C374" s="317"/>
      <c r="D374" s="317"/>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row>
    <row r="375" ht="15.75" customHeight="1">
      <c r="A375" s="324"/>
      <c r="B375" s="319"/>
      <c r="C375" s="317"/>
      <c r="D375" s="317"/>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row>
    <row r="376" ht="15.75" customHeight="1">
      <c r="A376" s="324"/>
      <c r="B376" s="319"/>
      <c r="C376" s="317"/>
      <c r="D376" s="317"/>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row>
    <row r="377" ht="15.75" customHeight="1">
      <c r="A377" s="324"/>
      <c r="B377" s="319"/>
      <c r="C377" s="317"/>
      <c r="D377" s="317"/>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row>
    <row r="378" ht="15.75" customHeight="1">
      <c r="A378" s="324"/>
      <c r="B378" s="319"/>
      <c r="C378" s="317"/>
      <c r="D378" s="317"/>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row>
    <row r="379" ht="15.75" customHeight="1">
      <c r="A379" s="324"/>
      <c r="B379" s="319"/>
      <c r="C379" s="317"/>
      <c r="D379" s="317"/>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row>
    <row r="380" ht="15.75" customHeight="1">
      <c r="A380" s="324"/>
      <c r="B380" s="319"/>
      <c r="C380" s="317"/>
      <c r="D380" s="317"/>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row>
    <row r="381" ht="15.75" customHeight="1">
      <c r="A381" s="324"/>
      <c r="B381" s="319"/>
      <c r="C381" s="317"/>
      <c r="D381" s="317"/>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row>
    <row r="382" ht="15.75" customHeight="1">
      <c r="A382" s="324"/>
      <c r="B382" s="319"/>
      <c r="C382" s="317"/>
      <c r="D382" s="317"/>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row>
    <row r="383" ht="15.75" customHeight="1">
      <c r="A383" s="324"/>
      <c r="B383" s="319"/>
      <c r="C383" s="317"/>
      <c r="D383" s="317"/>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row>
    <row r="384" ht="15.75" customHeight="1">
      <c r="A384" s="324"/>
      <c r="B384" s="319"/>
      <c r="C384" s="317"/>
      <c r="D384" s="317"/>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row>
    <row r="385" ht="15.75" customHeight="1">
      <c r="A385" s="324"/>
      <c r="B385" s="319"/>
      <c r="C385" s="317"/>
      <c r="D385" s="317"/>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row>
    <row r="386" ht="15.75" customHeight="1">
      <c r="A386" s="324"/>
      <c r="B386" s="319"/>
      <c r="C386" s="317"/>
      <c r="D386" s="317"/>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row>
    <row r="387" ht="15.75" customHeight="1">
      <c r="A387" s="324"/>
      <c r="B387" s="319"/>
      <c r="C387" s="317"/>
      <c r="D387" s="317"/>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row>
    <row r="388" ht="15.75" customHeight="1">
      <c r="A388" s="324"/>
      <c r="B388" s="319"/>
      <c r="C388" s="317"/>
      <c r="D388" s="317"/>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row>
    <row r="389" ht="15.75" customHeight="1">
      <c r="A389" s="324"/>
      <c r="B389" s="319"/>
      <c r="C389" s="317"/>
      <c r="D389" s="317"/>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row>
    <row r="390" ht="15.75" customHeight="1">
      <c r="A390" s="324"/>
      <c r="B390" s="319"/>
      <c r="C390" s="317"/>
      <c r="D390" s="317"/>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row>
    <row r="391" ht="15.75" customHeight="1">
      <c r="A391" s="324"/>
      <c r="B391" s="319"/>
      <c r="C391" s="317"/>
      <c r="D391" s="317"/>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row>
    <row r="392" ht="15.75" customHeight="1">
      <c r="A392" s="324"/>
      <c r="B392" s="319"/>
      <c r="C392" s="317"/>
      <c r="D392" s="317"/>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row>
    <row r="393" ht="15.75" customHeight="1">
      <c r="A393" s="324"/>
      <c r="B393" s="319"/>
      <c r="C393" s="317"/>
      <c r="D393" s="317"/>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row>
    <row r="394" ht="15.75" customHeight="1">
      <c r="A394" s="324"/>
      <c r="B394" s="319"/>
      <c r="C394" s="317"/>
      <c r="D394" s="317"/>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row>
    <row r="395" ht="15.75" customHeight="1">
      <c r="A395" s="324"/>
      <c r="B395" s="319"/>
      <c r="C395" s="317"/>
      <c r="D395" s="317"/>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row>
    <row r="396" ht="15.75" customHeight="1">
      <c r="A396" s="324"/>
      <c r="B396" s="319"/>
      <c r="C396" s="317"/>
      <c r="D396" s="317"/>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row>
    <row r="397" ht="15.75" customHeight="1">
      <c r="A397" s="324"/>
      <c r="B397" s="319"/>
      <c r="C397" s="317"/>
      <c r="D397" s="317"/>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row>
    <row r="398" ht="15.75" customHeight="1">
      <c r="A398" s="324"/>
      <c r="B398" s="319"/>
      <c r="C398" s="317"/>
      <c r="D398" s="317"/>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row>
    <row r="399" ht="15.75" customHeight="1">
      <c r="A399" s="324"/>
      <c r="B399" s="319"/>
      <c r="C399" s="317"/>
      <c r="D399" s="317"/>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row>
    <row r="400" ht="15.75" customHeight="1">
      <c r="A400" s="324"/>
      <c r="B400" s="319"/>
      <c r="C400" s="317"/>
      <c r="D400" s="317"/>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row>
    <row r="401" ht="15.75" customHeight="1">
      <c r="A401" s="324"/>
      <c r="B401" s="319"/>
      <c r="C401" s="317"/>
      <c r="D401" s="317"/>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row>
    <row r="402" ht="15.75" customHeight="1">
      <c r="A402" s="324"/>
      <c r="B402" s="319"/>
      <c r="C402" s="317"/>
      <c r="D402" s="317"/>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row>
    <row r="403" ht="15.75" customHeight="1">
      <c r="A403" s="324"/>
      <c r="B403" s="319"/>
      <c r="C403" s="317"/>
      <c r="D403" s="317"/>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row>
    <row r="404" ht="15.75" customHeight="1">
      <c r="A404" s="324"/>
      <c r="B404" s="319"/>
      <c r="C404" s="317"/>
      <c r="D404" s="317"/>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row>
    <row r="405" ht="15.75" customHeight="1">
      <c r="A405" s="324"/>
      <c r="B405" s="319"/>
      <c r="C405" s="317"/>
      <c r="D405" s="317"/>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row>
    <row r="406" ht="15.75" customHeight="1">
      <c r="A406" s="324"/>
      <c r="B406" s="319"/>
      <c r="C406" s="317"/>
      <c r="D406" s="317"/>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row>
    <row r="407" ht="15.75" customHeight="1">
      <c r="A407" s="324"/>
      <c r="B407" s="319"/>
      <c r="C407" s="317"/>
      <c r="D407" s="317"/>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row>
    <row r="408" ht="15.75" customHeight="1">
      <c r="A408" s="324"/>
      <c r="B408" s="319"/>
      <c r="C408" s="317"/>
      <c r="D408" s="317"/>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row>
    <row r="409" ht="15.75" customHeight="1">
      <c r="A409" s="324"/>
      <c r="B409" s="319"/>
      <c r="C409" s="317"/>
      <c r="D409" s="317"/>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row>
    <row r="410" ht="15.75" customHeight="1">
      <c r="A410" s="324"/>
      <c r="B410" s="319"/>
      <c r="C410" s="317"/>
      <c r="D410" s="317"/>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row>
    <row r="411" ht="15.75" customHeight="1">
      <c r="A411" s="324"/>
      <c r="B411" s="319"/>
      <c r="C411" s="317"/>
      <c r="D411" s="317"/>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row>
    <row r="412" ht="15.75" customHeight="1">
      <c r="A412" s="324"/>
      <c r="B412" s="319"/>
      <c r="C412" s="317"/>
      <c r="D412" s="317"/>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row>
    <row r="413" ht="15.75" customHeight="1">
      <c r="A413" s="324"/>
      <c r="B413" s="319"/>
      <c r="C413" s="317"/>
      <c r="D413" s="317"/>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row>
    <row r="414" ht="15.75" customHeight="1">
      <c r="A414" s="324"/>
      <c r="B414" s="319"/>
      <c r="C414" s="317"/>
      <c r="D414" s="317"/>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row>
    <row r="415" ht="15.75" customHeight="1">
      <c r="A415" s="324"/>
      <c r="B415" s="319"/>
      <c r="C415" s="317"/>
      <c r="D415" s="317"/>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row>
    <row r="416" ht="15.75" customHeight="1">
      <c r="A416" s="324"/>
      <c r="B416" s="319"/>
      <c r="C416" s="317"/>
      <c r="D416" s="317"/>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row>
    <row r="417" ht="15.75" customHeight="1">
      <c r="A417" s="324"/>
      <c r="B417" s="319"/>
      <c r="C417" s="317"/>
      <c r="D417" s="317"/>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row>
    <row r="418" ht="15.75" customHeight="1">
      <c r="A418" s="324"/>
      <c r="B418" s="319"/>
      <c r="C418" s="317"/>
      <c r="D418" s="317"/>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row>
    <row r="419" ht="15.75" customHeight="1">
      <c r="A419" s="324"/>
      <c r="B419" s="319"/>
      <c r="C419" s="317"/>
      <c r="D419" s="317"/>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row>
    <row r="420" ht="15.75" customHeight="1">
      <c r="A420" s="324"/>
      <c r="B420" s="319"/>
      <c r="C420" s="317"/>
      <c r="D420" s="317"/>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row>
    <row r="421" ht="15.75" customHeight="1">
      <c r="A421" s="324"/>
      <c r="B421" s="319"/>
      <c r="C421" s="317"/>
      <c r="D421" s="317"/>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row>
    <row r="422" ht="15.75" customHeight="1">
      <c r="A422" s="324"/>
      <c r="B422" s="319"/>
      <c r="C422" s="317"/>
      <c r="D422" s="317"/>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row>
    <row r="423" ht="15.75" customHeight="1">
      <c r="A423" s="324"/>
      <c r="B423" s="319"/>
      <c r="C423" s="317"/>
      <c r="D423" s="317"/>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row>
    <row r="424" ht="15.75" customHeight="1">
      <c r="A424" s="324"/>
      <c r="B424" s="319"/>
      <c r="C424" s="317"/>
      <c r="D424" s="317"/>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row>
    <row r="425" ht="15.75" customHeight="1">
      <c r="A425" s="324"/>
      <c r="B425" s="319"/>
      <c r="C425" s="317"/>
      <c r="D425" s="317"/>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row>
    <row r="426" ht="15.75" customHeight="1">
      <c r="A426" s="324"/>
      <c r="B426" s="319"/>
      <c r="C426" s="317"/>
      <c r="D426" s="317"/>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row>
    <row r="427" ht="15.75" customHeight="1">
      <c r="A427" s="324"/>
      <c r="B427" s="319"/>
      <c r="C427" s="317"/>
      <c r="D427" s="317"/>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row>
    <row r="428" ht="15.75" customHeight="1">
      <c r="A428" s="324"/>
      <c r="B428" s="319"/>
      <c r="C428" s="317"/>
      <c r="D428" s="317"/>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row>
    <row r="429" ht="15.75" customHeight="1">
      <c r="A429" s="324"/>
      <c r="B429" s="319"/>
      <c r="C429" s="317"/>
      <c r="D429" s="317"/>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row>
    <row r="430" ht="15.75" customHeight="1">
      <c r="A430" s="324"/>
      <c r="B430" s="319"/>
      <c r="C430" s="317"/>
      <c r="D430" s="317"/>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row>
    <row r="431" ht="15.75" customHeight="1">
      <c r="A431" s="324"/>
      <c r="B431" s="319"/>
      <c r="C431" s="317"/>
      <c r="D431" s="317"/>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row>
    <row r="432" ht="15.75" customHeight="1">
      <c r="A432" s="324"/>
      <c r="B432" s="319"/>
      <c r="C432" s="317"/>
      <c r="D432" s="317"/>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row>
    <row r="433" ht="15.75" customHeight="1">
      <c r="A433" s="324"/>
      <c r="B433" s="319"/>
      <c r="C433" s="317"/>
      <c r="D433" s="317"/>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row>
    <row r="434" ht="15.75" customHeight="1">
      <c r="A434" s="324"/>
      <c r="B434" s="319"/>
      <c r="C434" s="317"/>
      <c r="D434" s="317"/>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row>
    <row r="435" ht="15.75" customHeight="1">
      <c r="A435" s="324"/>
      <c r="B435" s="319"/>
      <c r="C435" s="317"/>
      <c r="D435" s="317"/>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row>
    <row r="436" ht="15.75" customHeight="1">
      <c r="A436" s="324"/>
      <c r="B436" s="319"/>
      <c r="C436" s="317"/>
      <c r="D436" s="317"/>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row>
    <row r="437" ht="15.75" customHeight="1">
      <c r="A437" s="324"/>
      <c r="B437" s="319"/>
      <c r="C437" s="317"/>
      <c r="D437" s="317"/>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row>
    <row r="438" ht="15.75" customHeight="1">
      <c r="A438" s="324"/>
      <c r="B438" s="319"/>
      <c r="C438" s="317"/>
      <c r="D438" s="317"/>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row>
    <row r="439" ht="15.75" customHeight="1">
      <c r="A439" s="324"/>
      <c r="B439" s="319"/>
      <c r="C439" s="317"/>
      <c r="D439" s="317"/>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row>
    <row r="440" ht="15.75" customHeight="1">
      <c r="A440" s="324"/>
      <c r="B440" s="319"/>
      <c r="C440" s="317"/>
      <c r="D440" s="317"/>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row>
    <row r="441" ht="15.75" customHeight="1">
      <c r="A441" s="324"/>
      <c r="B441" s="319"/>
      <c r="C441" s="317"/>
      <c r="D441" s="317"/>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row>
    <row r="442" ht="15.75" customHeight="1">
      <c r="A442" s="324"/>
      <c r="B442" s="319"/>
      <c r="C442" s="317"/>
      <c r="D442" s="317"/>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row>
    <row r="443" ht="15.75" customHeight="1">
      <c r="A443" s="324"/>
      <c r="B443" s="319"/>
      <c r="C443" s="317"/>
      <c r="D443" s="317"/>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row>
    <row r="444" ht="15.75" customHeight="1">
      <c r="A444" s="324"/>
      <c r="B444" s="319"/>
      <c r="C444" s="317"/>
      <c r="D444" s="317"/>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row>
    <row r="445" ht="15.75" customHeight="1">
      <c r="A445" s="324"/>
      <c r="B445" s="319"/>
      <c r="C445" s="317"/>
      <c r="D445" s="317"/>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row>
    <row r="446" ht="15.75" customHeight="1">
      <c r="A446" s="324"/>
      <c r="B446" s="319"/>
      <c r="C446" s="317"/>
      <c r="D446" s="317"/>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row>
    <row r="447" ht="15.75" customHeight="1">
      <c r="A447" s="324"/>
      <c r="B447" s="319"/>
      <c r="C447" s="317"/>
      <c r="D447" s="317"/>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row>
    <row r="448" ht="15.75" customHeight="1">
      <c r="A448" s="324"/>
      <c r="B448" s="319"/>
      <c r="C448" s="317"/>
      <c r="D448" s="317"/>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row>
    <row r="449" ht="15.75" customHeight="1">
      <c r="A449" s="324"/>
      <c r="B449" s="319"/>
      <c r="C449" s="317"/>
      <c r="D449" s="317"/>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row>
    <row r="450" ht="15.75" customHeight="1">
      <c r="A450" s="324"/>
      <c r="B450" s="319"/>
      <c r="C450" s="317"/>
      <c r="D450" s="317"/>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row>
    <row r="451" ht="15.75" customHeight="1">
      <c r="A451" s="324"/>
      <c r="B451" s="319"/>
      <c r="C451" s="317"/>
      <c r="D451" s="317"/>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row>
    <row r="452" ht="15.75" customHeight="1">
      <c r="A452" s="324"/>
      <c r="B452" s="319"/>
      <c r="C452" s="317"/>
      <c r="D452" s="317"/>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row>
    <row r="453" ht="15.75" customHeight="1">
      <c r="A453" s="324"/>
      <c r="B453" s="319"/>
      <c r="C453" s="317"/>
      <c r="D453" s="317"/>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row>
    <row r="454" ht="15.75" customHeight="1">
      <c r="A454" s="324"/>
      <c r="B454" s="319"/>
      <c r="C454" s="317"/>
      <c r="D454" s="317"/>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row>
    <row r="455" ht="15.75" customHeight="1">
      <c r="A455" s="324"/>
      <c r="B455" s="319"/>
      <c r="C455" s="317"/>
      <c r="D455" s="317"/>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row>
    <row r="456" ht="15.75" customHeight="1">
      <c r="A456" s="324"/>
      <c r="B456" s="319"/>
      <c r="C456" s="317"/>
      <c r="D456" s="317"/>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row>
    <row r="457" ht="15.75" customHeight="1">
      <c r="A457" s="324"/>
      <c r="B457" s="319"/>
      <c r="C457" s="317"/>
      <c r="D457" s="317"/>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row>
    <row r="458" ht="15.75" customHeight="1">
      <c r="A458" s="324"/>
      <c r="B458" s="319"/>
      <c r="C458" s="317"/>
      <c r="D458" s="317"/>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row>
    <row r="459" ht="15.75" customHeight="1">
      <c r="A459" s="324"/>
      <c r="B459" s="319"/>
      <c r="C459" s="317"/>
      <c r="D459" s="317"/>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row>
    <row r="460" ht="15.75" customHeight="1">
      <c r="A460" s="324"/>
      <c r="B460" s="319"/>
      <c r="C460" s="317"/>
      <c r="D460" s="317"/>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row>
    <row r="461" ht="15.75" customHeight="1">
      <c r="A461" s="324"/>
      <c r="B461" s="319"/>
      <c r="C461" s="317"/>
      <c r="D461" s="317"/>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row>
    <row r="462" ht="15.75" customHeight="1">
      <c r="A462" s="324"/>
      <c r="B462" s="319"/>
      <c r="C462" s="317"/>
      <c r="D462" s="317"/>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row>
    <row r="463" ht="15.75" customHeight="1">
      <c r="A463" s="324"/>
      <c r="B463" s="319"/>
      <c r="C463" s="317"/>
      <c r="D463" s="317"/>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row>
    <row r="464" ht="15.75" customHeight="1">
      <c r="A464" s="324"/>
      <c r="B464" s="319"/>
      <c r="C464" s="317"/>
      <c r="D464" s="317"/>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row>
    <row r="465" ht="15.75" customHeight="1">
      <c r="A465" s="324"/>
      <c r="B465" s="319"/>
      <c r="C465" s="317"/>
      <c r="D465" s="317"/>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row>
    <row r="466" ht="15.75" customHeight="1">
      <c r="A466" s="324"/>
      <c r="B466" s="319"/>
      <c r="C466" s="317"/>
      <c r="D466" s="317"/>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row>
    <row r="467" ht="15.75" customHeight="1">
      <c r="A467" s="324"/>
      <c r="B467" s="319"/>
      <c r="C467" s="317"/>
      <c r="D467" s="317"/>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row>
    <row r="468" ht="15.75" customHeight="1">
      <c r="A468" s="324"/>
      <c r="B468" s="319"/>
      <c r="C468" s="317"/>
      <c r="D468" s="317"/>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row>
    <row r="469" ht="15.75" customHeight="1">
      <c r="A469" s="324"/>
      <c r="B469" s="319"/>
      <c r="C469" s="317"/>
      <c r="D469" s="317"/>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row>
    <row r="470" ht="15.75" customHeight="1">
      <c r="A470" s="324"/>
      <c r="B470" s="319"/>
      <c r="C470" s="317"/>
      <c r="D470" s="317"/>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row>
    <row r="471" ht="15.75" customHeight="1">
      <c r="A471" s="324"/>
      <c r="B471" s="319"/>
      <c r="C471" s="317"/>
      <c r="D471" s="317"/>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row>
    <row r="472" ht="15.75" customHeight="1">
      <c r="A472" s="324"/>
      <c r="B472" s="319"/>
      <c r="C472" s="317"/>
      <c r="D472" s="317"/>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row>
    <row r="473" ht="15.75" customHeight="1">
      <c r="A473" s="324"/>
      <c r="B473" s="319"/>
      <c r="C473" s="317"/>
      <c r="D473" s="317"/>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row>
    <row r="474" ht="15.75" customHeight="1">
      <c r="A474" s="324"/>
      <c r="B474" s="319"/>
      <c r="C474" s="317"/>
      <c r="D474" s="317"/>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row>
    <row r="475" ht="15.75" customHeight="1">
      <c r="A475" s="324"/>
      <c r="B475" s="319"/>
      <c r="C475" s="317"/>
      <c r="D475" s="317"/>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row>
    <row r="476" ht="15.75" customHeight="1">
      <c r="A476" s="324"/>
      <c r="B476" s="319"/>
      <c r="C476" s="317"/>
      <c r="D476" s="317"/>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row>
    <row r="477" ht="15.75" customHeight="1">
      <c r="A477" s="324"/>
      <c r="B477" s="319"/>
      <c r="C477" s="317"/>
      <c r="D477" s="317"/>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row>
    <row r="478" ht="15.75" customHeight="1">
      <c r="A478" s="324"/>
      <c r="B478" s="319"/>
      <c r="C478" s="317"/>
      <c r="D478" s="317"/>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row>
    <row r="479" ht="15.75" customHeight="1">
      <c r="A479" s="324"/>
      <c r="B479" s="319"/>
      <c r="C479" s="317"/>
      <c r="D479" s="317"/>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row>
    <row r="480" ht="15.75" customHeight="1">
      <c r="A480" s="324"/>
      <c r="B480" s="319"/>
      <c r="C480" s="317"/>
      <c r="D480" s="317"/>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row>
    <row r="481" ht="15.75" customHeight="1">
      <c r="A481" s="324"/>
      <c r="B481" s="319"/>
      <c r="C481" s="317"/>
      <c r="D481" s="317"/>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row>
    <row r="482" ht="15.75" customHeight="1">
      <c r="A482" s="324"/>
      <c r="B482" s="319"/>
      <c r="C482" s="317"/>
      <c r="D482" s="317"/>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row>
    <row r="483" ht="15.75" customHeight="1">
      <c r="A483" s="324"/>
      <c r="B483" s="319"/>
      <c r="C483" s="317"/>
      <c r="D483" s="317"/>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row>
    <row r="484" ht="15.75" customHeight="1">
      <c r="A484" s="324"/>
      <c r="B484" s="319"/>
      <c r="C484" s="317"/>
      <c r="D484" s="317"/>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row>
    <row r="485" ht="15.75" customHeight="1">
      <c r="A485" s="324"/>
      <c r="B485" s="319"/>
      <c r="C485" s="317"/>
      <c r="D485" s="317"/>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row>
    <row r="486" ht="15.75" customHeight="1">
      <c r="A486" s="324"/>
      <c r="B486" s="319"/>
      <c r="C486" s="317"/>
      <c r="D486" s="317"/>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row>
    <row r="487" ht="15.75" customHeight="1">
      <c r="A487" s="324"/>
      <c r="B487" s="319"/>
      <c r="C487" s="317"/>
      <c r="D487" s="317"/>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row>
    <row r="488" ht="15.75" customHeight="1">
      <c r="A488" s="324"/>
      <c r="B488" s="319"/>
      <c r="C488" s="317"/>
      <c r="D488" s="317"/>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row>
    <row r="489" ht="15.75" customHeight="1">
      <c r="A489" s="324"/>
      <c r="B489" s="319"/>
      <c r="C489" s="317"/>
      <c r="D489" s="317"/>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row>
    <row r="490" ht="15.75" customHeight="1">
      <c r="A490" s="324"/>
      <c r="B490" s="319"/>
      <c r="C490" s="317"/>
      <c r="D490" s="317"/>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row>
    <row r="491" ht="15.75" customHeight="1">
      <c r="A491" s="324"/>
      <c r="B491" s="319"/>
      <c r="C491" s="317"/>
      <c r="D491" s="317"/>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row>
    <row r="492" ht="15.75" customHeight="1">
      <c r="A492" s="324"/>
      <c r="B492" s="319"/>
      <c r="C492" s="317"/>
      <c r="D492" s="317"/>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row>
    <row r="493" ht="15.75" customHeight="1">
      <c r="A493" s="324"/>
      <c r="B493" s="319"/>
      <c r="C493" s="317"/>
      <c r="D493" s="317"/>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row>
    <row r="494" ht="15.75" customHeight="1">
      <c r="A494" s="324"/>
      <c r="B494" s="319"/>
      <c r="C494" s="317"/>
      <c r="D494" s="317"/>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row>
    <row r="495" ht="15.75" customHeight="1">
      <c r="A495" s="324"/>
      <c r="B495" s="319"/>
      <c r="C495" s="317"/>
      <c r="D495" s="317"/>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row>
    <row r="496" ht="15.75" customHeight="1">
      <c r="A496" s="324"/>
      <c r="B496" s="319"/>
      <c r="C496" s="317"/>
      <c r="D496" s="317"/>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row>
    <row r="497" ht="15.75" customHeight="1">
      <c r="A497" s="324"/>
      <c r="B497" s="319"/>
      <c r="C497" s="317"/>
      <c r="D497" s="317"/>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row>
    <row r="498" ht="15.75" customHeight="1">
      <c r="A498" s="324"/>
      <c r="B498" s="319"/>
      <c r="C498" s="317"/>
      <c r="D498" s="317"/>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row>
    <row r="499" ht="15.75" customHeight="1">
      <c r="A499" s="324"/>
      <c r="B499" s="319"/>
      <c r="C499" s="317"/>
      <c r="D499" s="317"/>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row>
    <row r="500" ht="15.75" customHeight="1">
      <c r="A500" s="324"/>
      <c r="B500" s="319"/>
      <c r="C500" s="317"/>
      <c r="D500" s="317"/>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row>
    <row r="501" ht="15.75" customHeight="1">
      <c r="A501" s="324"/>
      <c r="B501" s="319"/>
      <c r="C501" s="317"/>
      <c r="D501" s="317"/>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row>
    <row r="502" ht="15.75" customHeight="1">
      <c r="A502" s="324"/>
      <c r="B502" s="319"/>
      <c r="C502" s="317"/>
      <c r="D502" s="317"/>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row>
    <row r="503" ht="15.75" customHeight="1">
      <c r="A503" s="324"/>
      <c r="B503" s="319"/>
      <c r="C503" s="317"/>
      <c r="D503" s="317"/>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row>
    <row r="504" ht="15.75" customHeight="1">
      <c r="A504" s="324"/>
      <c r="B504" s="319"/>
      <c r="C504" s="317"/>
      <c r="D504" s="317"/>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row>
    <row r="505" ht="15.75" customHeight="1">
      <c r="A505" s="324"/>
      <c r="B505" s="319"/>
      <c r="C505" s="317"/>
      <c r="D505" s="317"/>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row>
    <row r="506" ht="15.75" customHeight="1">
      <c r="A506" s="324"/>
      <c r="B506" s="319"/>
      <c r="C506" s="317"/>
      <c r="D506" s="317"/>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row>
    <row r="507" ht="15.75" customHeight="1">
      <c r="A507" s="324"/>
      <c r="B507" s="319"/>
      <c r="C507" s="317"/>
      <c r="D507" s="317"/>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row>
    <row r="508" ht="15.75" customHeight="1">
      <c r="A508" s="324"/>
      <c r="B508" s="319"/>
      <c r="C508" s="317"/>
      <c r="D508" s="317"/>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row>
    <row r="509" ht="15.75" customHeight="1">
      <c r="A509" s="324"/>
      <c r="B509" s="319"/>
      <c r="C509" s="317"/>
      <c r="D509" s="317"/>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row>
    <row r="510" ht="15.75" customHeight="1">
      <c r="A510" s="324"/>
      <c r="B510" s="319"/>
      <c r="C510" s="317"/>
      <c r="D510" s="317"/>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row>
    <row r="511" ht="15.75" customHeight="1">
      <c r="A511" s="324"/>
      <c r="B511" s="319"/>
      <c r="C511" s="317"/>
      <c r="D511" s="317"/>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row>
    <row r="512" ht="15.75" customHeight="1">
      <c r="A512" s="324"/>
      <c r="B512" s="319"/>
      <c r="C512" s="317"/>
      <c r="D512" s="317"/>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row>
    <row r="513" ht="15.75" customHeight="1">
      <c r="A513" s="324"/>
      <c r="B513" s="319"/>
      <c r="C513" s="317"/>
      <c r="D513" s="317"/>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row>
    <row r="514" ht="15.75" customHeight="1">
      <c r="A514" s="324"/>
      <c r="B514" s="319"/>
      <c r="C514" s="317"/>
      <c r="D514" s="317"/>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row>
    <row r="515" ht="15.75" customHeight="1">
      <c r="A515" s="324"/>
      <c r="B515" s="319"/>
      <c r="C515" s="317"/>
      <c r="D515" s="317"/>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row>
    <row r="516" ht="15.75" customHeight="1">
      <c r="A516" s="324"/>
      <c r="B516" s="319"/>
      <c r="C516" s="317"/>
      <c r="D516" s="317"/>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row>
    <row r="517" ht="15.75" customHeight="1">
      <c r="A517" s="324"/>
      <c r="B517" s="319"/>
      <c r="C517" s="317"/>
      <c r="D517" s="317"/>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row>
    <row r="518" ht="15.75" customHeight="1">
      <c r="A518" s="324"/>
      <c r="B518" s="319"/>
      <c r="C518" s="317"/>
      <c r="D518" s="317"/>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row>
    <row r="519" ht="15.75" customHeight="1">
      <c r="A519" s="324"/>
      <c r="B519" s="319"/>
      <c r="C519" s="317"/>
      <c r="D519" s="317"/>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row>
    <row r="520" ht="15.75" customHeight="1">
      <c r="A520" s="324"/>
      <c r="B520" s="319"/>
      <c r="C520" s="317"/>
      <c r="D520" s="317"/>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row>
    <row r="521" ht="15.75" customHeight="1">
      <c r="A521" s="324"/>
      <c r="B521" s="319"/>
      <c r="C521" s="317"/>
      <c r="D521" s="317"/>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row>
    <row r="522" ht="15.75" customHeight="1">
      <c r="A522" s="324"/>
      <c r="B522" s="319"/>
      <c r="C522" s="317"/>
      <c r="D522" s="317"/>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row>
    <row r="523" ht="15.75" customHeight="1">
      <c r="A523" s="324"/>
      <c r="B523" s="319"/>
      <c r="C523" s="317"/>
      <c r="D523" s="317"/>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row>
    <row r="524" ht="15.75" customHeight="1">
      <c r="A524" s="324"/>
      <c r="B524" s="319"/>
      <c r="C524" s="317"/>
      <c r="D524" s="317"/>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row>
    <row r="525" ht="15.75" customHeight="1">
      <c r="A525" s="324"/>
      <c r="B525" s="319"/>
      <c r="C525" s="317"/>
      <c r="D525" s="317"/>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row>
    <row r="526" ht="15.75" customHeight="1">
      <c r="A526" s="324"/>
      <c r="B526" s="319"/>
      <c r="C526" s="317"/>
      <c r="D526" s="317"/>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row>
    <row r="527" ht="15.75" customHeight="1">
      <c r="A527" s="324"/>
      <c r="B527" s="319"/>
      <c r="C527" s="317"/>
      <c r="D527" s="317"/>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row>
    <row r="528" ht="15.75" customHeight="1">
      <c r="A528" s="324"/>
      <c r="B528" s="319"/>
      <c r="C528" s="317"/>
      <c r="D528" s="317"/>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row>
    <row r="529" ht="15.75" customHeight="1">
      <c r="A529" s="324"/>
      <c r="B529" s="319"/>
      <c r="C529" s="317"/>
      <c r="D529" s="317"/>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row>
    <row r="530" ht="15.75" customHeight="1">
      <c r="A530" s="324"/>
      <c r="B530" s="319"/>
      <c r="C530" s="317"/>
      <c r="D530" s="317"/>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row>
    <row r="531" ht="15.75" customHeight="1">
      <c r="A531" s="324"/>
      <c r="B531" s="319"/>
      <c r="C531" s="317"/>
      <c r="D531" s="317"/>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row>
    <row r="532" ht="15.75" customHeight="1">
      <c r="A532" s="324"/>
      <c r="B532" s="319"/>
      <c r="C532" s="317"/>
      <c r="D532" s="317"/>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row>
    <row r="533" ht="15.75" customHeight="1">
      <c r="A533" s="324"/>
      <c r="B533" s="319"/>
      <c r="C533" s="317"/>
      <c r="D533" s="317"/>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row>
    <row r="534" ht="15.75" customHeight="1">
      <c r="A534" s="324"/>
      <c r="B534" s="319"/>
      <c r="C534" s="317"/>
      <c r="D534" s="317"/>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row>
    <row r="535" ht="15.75" customHeight="1">
      <c r="A535" s="324"/>
      <c r="B535" s="319"/>
      <c r="C535" s="317"/>
      <c r="D535" s="317"/>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row>
    <row r="536" ht="15.75" customHeight="1">
      <c r="A536" s="324"/>
      <c r="B536" s="319"/>
      <c r="C536" s="317"/>
      <c r="D536" s="317"/>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row>
    <row r="537" ht="15.75" customHeight="1">
      <c r="A537" s="324"/>
      <c r="B537" s="319"/>
      <c r="C537" s="317"/>
      <c r="D537" s="317"/>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row>
    <row r="538" ht="15.75" customHeight="1">
      <c r="A538" s="324"/>
      <c r="B538" s="319"/>
      <c r="C538" s="317"/>
      <c r="D538" s="317"/>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row>
    <row r="539" ht="15.75" customHeight="1">
      <c r="A539" s="324"/>
      <c r="B539" s="319"/>
      <c r="C539" s="317"/>
      <c r="D539" s="317"/>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row>
    <row r="540" ht="15.75" customHeight="1">
      <c r="A540" s="324"/>
      <c r="B540" s="319"/>
      <c r="C540" s="317"/>
      <c r="D540" s="317"/>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row>
    <row r="541" ht="15.75" customHeight="1">
      <c r="A541" s="324"/>
      <c r="B541" s="319"/>
      <c r="C541" s="317"/>
      <c r="D541" s="317"/>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row>
    <row r="542" ht="15.75" customHeight="1">
      <c r="A542" s="324"/>
      <c r="B542" s="319"/>
      <c r="C542" s="317"/>
      <c r="D542" s="317"/>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row>
    <row r="543" ht="15.75" customHeight="1">
      <c r="A543" s="324"/>
      <c r="B543" s="319"/>
      <c r="C543" s="317"/>
      <c r="D543" s="317"/>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row>
    <row r="544" ht="15.75" customHeight="1">
      <c r="A544" s="324"/>
      <c r="B544" s="319"/>
      <c r="C544" s="317"/>
      <c r="D544" s="317"/>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row>
    <row r="545" ht="15.75" customHeight="1">
      <c r="A545" s="324"/>
      <c r="B545" s="319"/>
      <c r="C545" s="317"/>
      <c r="D545" s="317"/>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row>
    <row r="546" ht="15.75" customHeight="1">
      <c r="A546" s="324"/>
      <c r="B546" s="319"/>
      <c r="C546" s="317"/>
      <c r="D546" s="317"/>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row>
    <row r="547" ht="15.75" customHeight="1">
      <c r="A547" s="324"/>
      <c r="B547" s="319"/>
      <c r="C547" s="317"/>
      <c r="D547" s="317"/>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row>
    <row r="548" ht="15.75" customHeight="1">
      <c r="A548" s="324"/>
      <c r="B548" s="319"/>
      <c r="C548" s="317"/>
      <c r="D548" s="317"/>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row>
    <row r="549" ht="15.75" customHeight="1">
      <c r="A549" s="324"/>
      <c r="B549" s="319"/>
      <c r="C549" s="317"/>
      <c r="D549" s="317"/>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row>
    <row r="550" ht="15.75" customHeight="1">
      <c r="A550" s="324"/>
      <c r="B550" s="319"/>
      <c r="C550" s="317"/>
      <c r="D550" s="317"/>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row>
    <row r="551" ht="15.75" customHeight="1">
      <c r="A551" s="324"/>
      <c r="B551" s="319"/>
      <c r="C551" s="317"/>
      <c r="D551" s="317"/>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row>
    <row r="552" ht="15.75" customHeight="1">
      <c r="A552" s="324"/>
      <c r="B552" s="319"/>
      <c r="C552" s="317"/>
      <c r="D552" s="317"/>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row>
    <row r="553" ht="15.75" customHeight="1">
      <c r="A553" s="324"/>
      <c r="B553" s="319"/>
      <c r="C553" s="317"/>
      <c r="D553" s="317"/>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row>
    <row r="554" ht="15.75" customHeight="1">
      <c r="A554" s="324"/>
      <c r="B554" s="319"/>
      <c r="C554" s="317"/>
      <c r="D554" s="317"/>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row>
    <row r="555" ht="15.75" customHeight="1">
      <c r="A555" s="324"/>
      <c r="B555" s="319"/>
      <c r="C555" s="317"/>
      <c r="D555" s="317"/>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row>
    <row r="556" ht="15.75" customHeight="1">
      <c r="A556" s="324"/>
      <c r="B556" s="319"/>
      <c r="C556" s="317"/>
      <c r="D556" s="317"/>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row>
    <row r="557" ht="15.75" customHeight="1">
      <c r="A557" s="324"/>
      <c r="B557" s="319"/>
      <c r="C557" s="317"/>
      <c r="D557" s="317"/>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row>
    <row r="558" ht="15.75" customHeight="1">
      <c r="A558" s="324"/>
      <c r="B558" s="319"/>
      <c r="C558" s="317"/>
      <c r="D558" s="317"/>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row>
    <row r="559" ht="15.75" customHeight="1">
      <c r="A559" s="324"/>
      <c r="B559" s="319"/>
      <c r="C559" s="317"/>
      <c r="D559" s="317"/>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row>
    <row r="560" ht="15.75" customHeight="1">
      <c r="A560" s="324"/>
      <c r="B560" s="319"/>
      <c r="C560" s="317"/>
      <c r="D560" s="317"/>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row>
    <row r="561" ht="15.75" customHeight="1">
      <c r="A561" s="324"/>
      <c r="B561" s="319"/>
      <c r="C561" s="317"/>
      <c r="D561" s="317"/>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row>
    <row r="562" ht="15.75" customHeight="1">
      <c r="A562" s="324"/>
      <c r="B562" s="319"/>
      <c r="C562" s="317"/>
      <c r="D562" s="317"/>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row>
    <row r="563" ht="15.75" customHeight="1">
      <c r="A563" s="324"/>
      <c r="B563" s="319"/>
      <c r="C563" s="317"/>
      <c r="D563" s="317"/>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row>
    <row r="564" ht="15.75" customHeight="1">
      <c r="A564" s="324"/>
      <c r="B564" s="319"/>
      <c r="C564" s="317"/>
      <c r="D564" s="317"/>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row>
    <row r="565" ht="15.75" customHeight="1">
      <c r="A565" s="324"/>
      <c r="B565" s="319"/>
      <c r="C565" s="317"/>
      <c r="D565" s="317"/>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row>
    <row r="566" ht="15.75" customHeight="1">
      <c r="A566" s="324"/>
      <c r="B566" s="319"/>
      <c r="C566" s="317"/>
      <c r="D566" s="317"/>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row>
    <row r="567" ht="15.75" customHeight="1">
      <c r="A567" s="324"/>
      <c r="B567" s="319"/>
      <c r="C567" s="317"/>
      <c r="D567" s="317"/>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row>
    <row r="568" ht="15.75" customHeight="1">
      <c r="A568" s="324"/>
      <c r="B568" s="319"/>
      <c r="C568" s="317"/>
      <c r="D568" s="317"/>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row>
    <row r="569" ht="15.75" customHeight="1">
      <c r="A569" s="324"/>
      <c r="B569" s="319"/>
      <c r="C569" s="317"/>
      <c r="D569" s="317"/>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row>
    <row r="570" ht="15.75" customHeight="1">
      <c r="A570" s="324"/>
      <c r="B570" s="319"/>
      <c r="C570" s="317"/>
      <c r="D570" s="317"/>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row>
    <row r="571" ht="15.75" customHeight="1">
      <c r="A571" s="324"/>
      <c r="B571" s="319"/>
      <c r="C571" s="317"/>
      <c r="D571" s="317"/>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row>
    <row r="572" ht="15.75" customHeight="1">
      <c r="A572" s="324"/>
      <c r="B572" s="319"/>
      <c r="C572" s="317"/>
      <c r="D572" s="317"/>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row>
    <row r="573" ht="15.75" customHeight="1">
      <c r="A573" s="324"/>
      <c r="B573" s="319"/>
      <c r="C573" s="317"/>
      <c r="D573" s="317"/>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row>
    <row r="574" ht="15.75" customHeight="1">
      <c r="A574" s="324"/>
      <c r="B574" s="319"/>
      <c r="C574" s="317"/>
      <c r="D574" s="317"/>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row>
    <row r="575" ht="15.75" customHeight="1">
      <c r="A575" s="324"/>
      <c r="B575" s="319"/>
      <c r="C575" s="317"/>
      <c r="D575" s="317"/>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row>
    <row r="576" ht="15.75" customHeight="1">
      <c r="A576" s="324"/>
      <c r="B576" s="319"/>
      <c r="C576" s="317"/>
      <c r="D576" s="317"/>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row>
    <row r="577" ht="15.75" customHeight="1">
      <c r="A577" s="324"/>
      <c r="B577" s="319"/>
      <c r="C577" s="317"/>
      <c r="D577" s="317"/>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row>
    <row r="578" ht="15.75" customHeight="1">
      <c r="A578" s="324"/>
      <c r="B578" s="319"/>
      <c r="C578" s="317"/>
      <c r="D578" s="317"/>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row>
    <row r="579" ht="15.75" customHeight="1">
      <c r="A579" s="324"/>
      <c r="B579" s="319"/>
      <c r="C579" s="317"/>
      <c r="D579" s="317"/>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row>
    <row r="580" ht="15.75" customHeight="1">
      <c r="A580" s="324"/>
      <c r="B580" s="319"/>
      <c r="C580" s="317"/>
      <c r="D580" s="317"/>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row>
    <row r="581" ht="15.75" customHeight="1">
      <c r="A581" s="324"/>
      <c r="B581" s="319"/>
      <c r="C581" s="317"/>
      <c r="D581" s="317"/>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row>
    <row r="582" ht="15.75" customHeight="1">
      <c r="A582" s="324"/>
      <c r="B582" s="319"/>
      <c r="C582" s="317"/>
      <c r="D582" s="317"/>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row>
    <row r="583" ht="15.75" customHeight="1">
      <c r="A583" s="324"/>
      <c r="B583" s="319"/>
      <c r="C583" s="317"/>
      <c r="D583" s="317"/>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row>
    <row r="584" ht="15.75" customHeight="1">
      <c r="A584" s="324"/>
      <c r="B584" s="319"/>
      <c r="C584" s="317"/>
      <c r="D584" s="317"/>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row>
    <row r="585" ht="15.75" customHeight="1">
      <c r="A585" s="324"/>
      <c r="B585" s="319"/>
      <c r="C585" s="317"/>
      <c r="D585" s="317"/>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row>
    <row r="586" ht="15.75" customHeight="1">
      <c r="A586" s="324"/>
      <c r="B586" s="319"/>
      <c r="C586" s="317"/>
      <c r="D586" s="317"/>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row>
    <row r="587" ht="15.75" customHeight="1">
      <c r="A587" s="324"/>
      <c r="B587" s="319"/>
      <c r="C587" s="317"/>
      <c r="D587" s="317"/>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row>
    <row r="588" ht="15.75" customHeight="1">
      <c r="A588" s="324"/>
      <c r="B588" s="319"/>
      <c r="C588" s="317"/>
      <c r="D588" s="317"/>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row>
    <row r="589" ht="15.75" customHeight="1">
      <c r="A589" s="324"/>
      <c r="B589" s="319"/>
      <c r="C589" s="317"/>
      <c r="D589" s="317"/>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row>
    <row r="590" ht="15.75" customHeight="1">
      <c r="A590" s="324"/>
      <c r="B590" s="319"/>
      <c r="C590" s="317"/>
      <c r="D590" s="317"/>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row>
    <row r="591" ht="15.75" customHeight="1">
      <c r="A591" s="324"/>
      <c r="B591" s="319"/>
      <c r="C591" s="317"/>
      <c r="D591" s="317"/>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row>
    <row r="592" ht="15.75" customHeight="1">
      <c r="A592" s="324"/>
      <c r="B592" s="319"/>
      <c r="C592" s="317"/>
      <c r="D592" s="317"/>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row>
    <row r="593" ht="15.75" customHeight="1">
      <c r="A593" s="324"/>
      <c r="B593" s="319"/>
      <c r="C593" s="317"/>
      <c r="D593" s="317"/>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row>
    <row r="594" ht="15.75" customHeight="1">
      <c r="A594" s="324"/>
      <c r="B594" s="319"/>
      <c r="C594" s="317"/>
      <c r="D594" s="317"/>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row>
    <row r="595" ht="15.75" customHeight="1">
      <c r="A595" s="324"/>
      <c r="B595" s="319"/>
      <c r="C595" s="317"/>
      <c r="D595" s="317"/>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row>
    <row r="596" ht="15.75" customHeight="1">
      <c r="A596" s="324"/>
      <c r="B596" s="319"/>
      <c r="C596" s="317"/>
      <c r="D596" s="317"/>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row>
    <row r="597" ht="15.75" customHeight="1">
      <c r="A597" s="324"/>
      <c r="B597" s="319"/>
      <c r="C597" s="317"/>
      <c r="D597" s="317"/>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row>
    <row r="598" ht="15.75" customHeight="1">
      <c r="A598" s="324"/>
      <c r="B598" s="319"/>
      <c r="C598" s="317"/>
      <c r="D598" s="317"/>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row>
    <row r="599" ht="15.75" customHeight="1">
      <c r="A599" s="324"/>
      <c r="B599" s="319"/>
      <c r="C599" s="317"/>
      <c r="D599" s="317"/>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row>
    <row r="600" ht="15.75" customHeight="1">
      <c r="A600" s="324"/>
      <c r="B600" s="319"/>
      <c r="C600" s="317"/>
      <c r="D600" s="317"/>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row>
    <row r="601" ht="15.75" customHeight="1">
      <c r="A601" s="324"/>
      <c r="B601" s="319"/>
      <c r="C601" s="317"/>
      <c r="D601" s="317"/>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row>
    <row r="602" ht="15.75" customHeight="1">
      <c r="A602" s="324"/>
      <c r="B602" s="319"/>
      <c r="C602" s="317"/>
      <c r="D602" s="317"/>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row>
    <row r="603" ht="15.75" customHeight="1">
      <c r="A603" s="324"/>
      <c r="B603" s="319"/>
      <c r="C603" s="317"/>
      <c r="D603" s="317"/>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row>
    <row r="604" ht="15.75" customHeight="1">
      <c r="A604" s="324"/>
      <c r="B604" s="319"/>
      <c r="C604" s="317"/>
      <c r="D604" s="317"/>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row>
    <row r="605" ht="15.75" customHeight="1">
      <c r="A605" s="324"/>
      <c r="B605" s="319"/>
      <c r="C605" s="317"/>
      <c r="D605" s="317"/>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row>
    <row r="606" ht="15.75" customHeight="1">
      <c r="A606" s="324"/>
      <c r="B606" s="319"/>
      <c r="C606" s="317"/>
      <c r="D606" s="317"/>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row>
    <row r="607" ht="15.75" customHeight="1">
      <c r="A607" s="324"/>
      <c r="B607" s="319"/>
      <c r="C607" s="317"/>
      <c r="D607" s="317"/>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row>
    <row r="608" ht="15.75" customHeight="1">
      <c r="A608" s="324"/>
      <c r="B608" s="319"/>
      <c r="C608" s="317"/>
      <c r="D608" s="317"/>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row>
    <row r="609" ht="15.75" customHeight="1">
      <c r="A609" s="324"/>
      <c r="B609" s="319"/>
      <c r="C609" s="317"/>
      <c r="D609" s="317"/>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row>
    <row r="610" ht="15.75" customHeight="1">
      <c r="A610" s="324"/>
      <c r="B610" s="319"/>
      <c r="C610" s="317"/>
      <c r="D610" s="317"/>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row>
    <row r="611" ht="15.75" customHeight="1">
      <c r="A611" s="324"/>
      <c r="B611" s="319"/>
      <c r="C611" s="317"/>
      <c r="D611" s="317"/>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row>
    <row r="612" ht="15.75" customHeight="1">
      <c r="A612" s="324"/>
      <c r="B612" s="319"/>
      <c r="C612" s="317"/>
      <c r="D612" s="317"/>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row>
    <row r="613" ht="15.75" customHeight="1">
      <c r="A613" s="324"/>
      <c r="B613" s="319"/>
      <c r="C613" s="317"/>
      <c r="D613" s="317"/>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row>
    <row r="614" ht="15.75" customHeight="1">
      <c r="A614" s="324"/>
      <c r="B614" s="319"/>
      <c r="C614" s="317"/>
      <c r="D614" s="317"/>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row>
    <row r="615" ht="15.75" customHeight="1">
      <c r="A615" s="324"/>
      <c r="B615" s="319"/>
      <c r="C615" s="317"/>
      <c r="D615" s="317"/>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row>
    <row r="616" ht="15.75" customHeight="1">
      <c r="A616" s="324"/>
      <c r="B616" s="319"/>
      <c r="C616" s="317"/>
      <c r="D616" s="317"/>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row>
    <row r="617" ht="15.75" customHeight="1">
      <c r="A617" s="324"/>
      <c r="B617" s="319"/>
      <c r="C617" s="317"/>
      <c r="D617" s="317"/>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row>
    <row r="618" ht="15.75" customHeight="1">
      <c r="A618" s="324"/>
      <c r="B618" s="319"/>
      <c r="C618" s="317"/>
      <c r="D618" s="317"/>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row>
    <row r="619" ht="15.75" customHeight="1">
      <c r="A619" s="324"/>
      <c r="B619" s="319"/>
      <c r="C619" s="317"/>
      <c r="D619" s="317"/>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row>
    <row r="620" ht="15.75" customHeight="1">
      <c r="A620" s="324"/>
      <c r="B620" s="319"/>
      <c r="C620" s="317"/>
      <c r="D620" s="317"/>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row>
    <row r="621" ht="15.75" customHeight="1">
      <c r="A621" s="324"/>
      <c r="B621" s="319"/>
      <c r="C621" s="317"/>
      <c r="D621" s="317"/>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row>
    <row r="622" ht="15.75" customHeight="1">
      <c r="A622" s="324"/>
      <c r="B622" s="319"/>
      <c r="C622" s="317"/>
      <c r="D622" s="317"/>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row>
    <row r="623" ht="15.75" customHeight="1">
      <c r="A623" s="324"/>
      <c r="B623" s="319"/>
      <c r="C623" s="317"/>
      <c r="D623" s="317"/>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row>
    <row r="624" ht="15.75" customHeight="1">
      <c r="A624" s="324"/>
      <c r="B624" s="319"/>
      <c r="C624" s="317"/>
      <c r="D624" s="317"/>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row>
    <row r="625" ht="15.75" customHeight="1">
      <c r="A625" s="324"/>
      <c r="B625" s="319"/>
      <c r="C625" s="317"/>
      <c r="D625" s="317"/>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row>
    <row r="626" ht="15.75" customHeight="1">
      <c r="A626" s="324"/>
      <c r="B626" s="319"/>
      <c r="C626" s="317"/>
      <c r="D626" s="317"/>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row>
    <row r="627" ht="15.75" customHeight="1">
      <c r="A627" s="324"/>
      <c r="B627" s="319"/>
      <c r="C627" s="317"/>
      <c r="D627" s="317"/>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row>
    <row r="628" ht="15.75" customHeight="1">
      <c r="A628" s="324"/>
      <c r="B628" s="319"/>
      <c r="C628" s="317"/>
      <c r="D628" s="317"/>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row>
    <row r="629" ht="15.75" customHeight="1">
      <c r="A629" s="324"/>
      <c r="B629" s="319"/>
      <c r="C629" s="317"/>
      <c r="D629" s="317"/>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row>
    <row r="630" ht="15.75" customHeight="1">
      <c r="A630" s="324"/>
      <c r="B630" s="319"/>
      <c r="C630" s="317"/>
      <c r="D630" s="317"/>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row>
    <row r="631" ht="15.75" customHeight="1">
      <c r="A631" s="324"/>
      <c r="B631" s="319"/>
      <c r="C631" s="317"/>
      <c r="D631" s="317"/>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row>
    <row r="632" ht="15.75" customHeight="1">
      <c r="A632" s="324"/>
      <c r="B632" s="319"/>
      <c r="C632" s="317"/>
      <c r="D632" s="317"/>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row>
    <row r="633" ht="15.75" customHeight="1">
      <c r="A633" s="324"/>
      <c r="B633" s="319"/>
      <c r="C633" s="317"/>
      <c r="D633" s="317"/>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row>
    <row r="634" ht="15.75" customHeight="1">
      <c r="A634" s="324"/>
      <c r="B634" s="319"/>
      <c r="C634" s="317"/>
      <c r="D634" s="317"/>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row>
    <row r="635" ht="15.75" customHeight="1">
      <c r="A635" s="324"/>
      <c r="B635" s="319"/>
      <c r="C635" s="317"/>
      <c r="D635" s="317"/>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row>
    <row r="636" ht="15.75" customHeight="1">
      <c r="A636" s="324"/>
      <c r="B636" s="319"/>
      <c r="C636" s="317"/>
      <c r="D636" s="317"/>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row>
    <row r="637" ht="15.75" customHeight="1">
      <c r="A637" s="324"/>
      <c r="B637" s="319"/>
      <c r="C637" s="317"/>
      <c r="D637" s="317"/>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row>
    <row r="638" ht="15.75" customHeight="1">
      <c r="A638" s="324"/>
      <c r="B638" s="319"/>
      <c r="C638" s="317"/>
      <c r="D638" s="317"/>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row>
    <row r="639" ht="15.75" customHeight="1">
      <c r="A639" s="324"/>
      <c r="B639" s="319"/>
      <c r="C639" s="317"/>
      <c r="D639" s="317"/>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row>
    <row r="640" ht="15.75" customHeight="1">
      <c r="A640" s="324"/>
      <c r="B640" s="319"/>
      <c r="C640" s="317"/>
      <c r="D640" s="317"/>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row>
    <row r="641" ht="15.75" customHeight="1">
      <c r="A641" s="324"/>
      <c r="B641" s="319"/>
      <c r="C641" s="317"/>
      <c r="D641" s="317"/>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row>
    <row r="642" ht="15.75" customHeight="1">
      <c r="A642" s="324"/>
      <c r="B642" s="319"/>
      <c r="C642" s="317"/>
      <c r="D642" s="317"/>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row>
    <row r="643" ht="15.75" customHeight="1">
      <c r="A643" s="324"/>
      <c r="B643" s="319"/>
      <c r="C643" s="317"/>
      <c r="D643" s="317"/>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row>
    <row r="644" ht="15.75" customHeight="1">
      <c r="A644" s="324"/>
      <c r="B644" s="319"/>
      <c r="C644" s="317"/>
      <c r="D644" s="317"/>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row>
    <row r="645" ht="15.75" customHeight="1">
      <c r="A645" s="324"/>
      <c r="B645" s="319"/>
      <c r="C645" s="317"/>
      <c r="D645" s="317"/>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row>
    <row r="646" ht="15.75" customHeight="1">
      <c r="A646" s="324"/>
      <c r="B646" s="319"/>
      <c r="C646" s="317"/>
      <c r="D646" s="317"/>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row>
    <row r="647" ht="15.75" customHeight="1">
      <c r="A647" s="324"/>
      <c r="B647" s="319"/>
      <c r="C647" s="317"/>
      <c r="D647" s="317"/>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row>
    <row r="648" ht="15.75" customHeight="1">
      <c r="A648" s="324"/>
      <c r="B648" s="319"/>
      <c r="C648" s="317"/>
      <c r="D648" s="317"/>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row>
    <row r="649" ht="15.75" customHeight="1">
      <c r="A649" s="324"/>
      <c r="B649" s="319"/>
      <c r="C649" s="317"/>
      <c r="D649" s="317"/>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row>
    <row r="650" ht="15.75" customHeight="1">
      <c r="A650" s="324"/>
      <c r="B650" s="319"/>
      <c r="C650" s="317"/>
      <c r="D650" s="317"/>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row>
    <row r="651" ht="15.75" customHeight="1">
      <c r="A651" s="324"/>
      <c r="B651" s="319"/>
      <c r="C651" s="317"/>
      <c r="D651" s="317"/>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row>
    <row r="652" ht="15.75" customHeight="1">
      <c r="A652" s="324"/>
      <c r="B652" s="319"/>
      <c r="C652" s="317"/>
      <c r="D652" s="317"/>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row>
    <row r="653" ht="15.75" customHeight="1">
      <c r="A653" s="324"/>
      <c r="B653" s="319"/>
      <c r="C653" s="317"/>
      <c r="D653" s="317"/>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row>
    <row r="654" ht="15.75" customHeight="1">
      <c r="A654" s="324"/>
      <c r="B654" s="319"/>
      <c r="C654" s="317"/>
      <c r="D654" s="317"/>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row>
    <row r="655" ht="15.75" customHeight="1">
      <c r="A655" s="324"/>
      <c r="B655" s="319"/>
      <c r="C655" s="317"/>
      <c r="D655" s="317"/>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row>
    <row r="656" ht="15.75" customHeight="1">
      <c r="A656" s="324"/>
      <c r="B656" s="319"/>
      <c r="C656" s="317"/>
      <c r="D656" s="317"/>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row>
    <row r="657" ht="15.75" customHeight="1">
      <c r="A657" s="324"/>
      <c r="B657" s="319"/>
      <c r="C657" s="317"/>
      <c r="D657" s="317"/>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row>
    <row r="658" ht="15.75" customHeight="1">
      <c r="A658" s="324"/>
      <c r="B658" s="319"/>
      <c r="C658" s="317"/>
      <c r="D658" s="317"/>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row>
    <row r="659" ht="15.75" customHeight="1">
      <c r="A659" s="324"/>
      <c r="B659" s="319"/>
      <c r="C659" s="317"/>
      <c r="D659" s="317"/>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row>
    <row r="660" ht="15.75" customHeight="1">
      <c r="A660" s="324"/>
      <c r="B660" s="319"/>
      <c r="C660" s="317"/>
      <c r="D660" s="317"/>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row>
    <row r="661" ht="15.75" customHeight="1">
      <c r="A661" s="324"/>
      <c r="B661" s="319"/>
      <c r="C661" s="317"/>
      <c r="D661" s="317"/>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row>
    <row r="662" ht="15.75" customHeight="1">
      <c r="A662" s="324"/>
      <c r="B662" s="319"/>
      <c r="C662" s="317"/>
      <c r="D662" s="317"/>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row>
    <row r="663" ht="15.75" customHeight="1">
      <c r="A663" s="324"/>
      <c r="B663" s="319"/>
      <c r="C663" s="317"/>
      <c r="D663" s="317"/>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row>
    <row r="664" ht="15.75" customHeight="1">
      <c r="A664" s="324"/>
      <c r="B664" s="319"/>
      <c r="C664" s="317"/>
      <c r="D664" s="317"/>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row>
    <row r="665" ht="15.75" customHeight="1">
      <c r="A665" s="324"/>
      <c r="B665" s="319"/>
      <c r="C665" s="317"/>
      <c r="D665" s="317"/>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row>
    <row r="666" ht="15.75" customHeight="1">
      <c r="A666" s="324"/>
      <c r="B666" s="319"/>
      <c r="C666" s="317"/>
      <c r="D666" s="317"/>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row>
    <row r="667" ht="15.75" customHeight="1">
      <c r="A667" s="324"/>
      <c r="B667" s="319"/>
      <c r="C667" s="317"/>
      <c r="D667" s="317"/>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row>
    <row r="668" ht="15.75" customHeight="1">
      <c r="A668" s="324"/>
      <c r="B668" s="319"/>
      <c r="C668" s="317"/>
      <c r="D668" s="317"/>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row>
    <row r="669" ht="15.75" customHeight="1">
      <c r="A669" s="324"/>
      <c r="B669" s="319"/>
      <c r="C669" s="317"/>
      <c r="D669" s="317"/>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row>
    <row r="670" ht="15.75" customHeight="1">
      <c r="A670" s="324"/>
      <c r="B670" s="319"/>
      <c r="C670" s="317"/>
      <c r="D670" s="317"/>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row>
    <row r="671" ht="15.75" customHeight="1">
      <c r="A671" s="324"/>
      <c r="B671" s="319"/>
      <c r="C671" s="317"/>
      <c r="D671" s="317"/>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row>
    <row r="672" ht="15.75" customHeight="1">
      <c r="A672" s="324"/>
      <c r="B672" s="319"/>
      <c r="C672" s="317"/>
      <c r="D672" s="317"/>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row>
    <row r="673" ht="15.75" customHeight="1">
      <c r="A673" s="324"/>
      <c r="B673" s="319"/>
      <c r="C673" s="317"/>
      <c r="D673" s="317"/>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row>
    <row r="674" ht="15.75" customHeight="1">
      <c r="A674" s="324"/>
      <c r="B674" s="319"/>
      <c r="C674" s="317"/>
      <c r="D674" s="317"/>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row>
    <row r="675" ht="15.75" customHeight="1">
      <c r="A675" s="324"/>
      <c r="B675" s="319"/>
      <c r="C675" s="317"/>
      <c r="D675" s="317"/>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row>
    <row r="676" ht="15.75" customHeight="1">
      <c r="A676" s="324"/>
      <c r="B676" s="319"/>
      <c r="C676" s="317"/>
      <c r="D676" s="317"/>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row>
    <row r="677" ht="15.75" customHeight="1">
      <c r="A677" s="324"/>
      <c r="B677" s="319"/>
      <c r="C677" s="317"/>
      <c r="D677" s="317"/>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row>
    <row r="678" ht="15.75" customHeight="1">
      <c r="A678" s="324"/>
      <c r="B678" s="319"/>
      <c r="C678" s="317"/>
      <c r="D678" s="317"/>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row>
    <row r="679" ht="15.75" customHeight="1">
      <c r="A679" s="324"/>
      <c r="B679" s="319"/>
      <c r="C679" s="317"/>
      <c r="D679" s="317"/>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row>
    <row r="680" ht="15.75" customHeight="1">
      <c r="A680" s="324"/>
      <c r="B680" s="319"/>
      <c r="C680" s="317"/>
      <c r="D680" s="317"/>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row>
    <row r="681" ht="15.75" customHeight="1">
      <c r="A681" s="324"/>
      <c r="B681" s="319"/>
      <c r="C681" s="317"/>
      <c r="D681" s="317"/>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row>
    <row r="682" ht="15.75" customHeight="1">
      <c r="A682" s="324"/>
      <c r="B682" s="319"/>
      <c r="C682" s="317"/>
      <c r="D682" s="317"/>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row>
    <row r="683" ht="15.75" customHeight="1">
      <c r="A683" s="324"/>
      <c r="B683" s="319"/>
      <c r="C683" s="317"/>
      <c r="D683" s="317"/>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row>
    <row r="684" ht="15.75" customHeight="1">
      <c r="A684" s="324"/>
      <c r="B684" s="319"/>
      <c r="C684" s="317"/>
      <c r="D684" s="317"/>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row>
    <row r="685" ht="15.75" customHeight="1">
      <c r="A685" s="324"/>
      <c r="B685" s="319"/>
      <c r="C685" s="317"/>
      <c r="D685" s="317"/>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row>
    <row r="686" ht="15.75" customHeight="1">
      <c r="A686" s="324"/>
      <c r="B686" s="319"/>
      <c r="C686" s="317"/>
      <c r="D686" s="317"/>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row>
    <row r="687" ht="15.75" customHeight="1">
      <c r="A687" s="324"/>
      <c r="B687" s="319"/>
      <c r="C687" s="317"/>
      <c r="D687" s="317"/>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row>
    <row r="688" ht="15.75" customHeight="1">
      <c r="A688" s="324"/>
      <c r="B688" s="319"/>
      <c r="C688" s="317"/>
      <c r="D688" s="317"/>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row>
    <row r="689" ht="15.75" customHeight="1">
      <c r="A689" s="324"/>
      <c r="B689" s="319"/>
      <c r="C689" s="317"/>
      <c r="D689" s="317"/>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row>
    <row r="690" ht="15.75" customHeight="1">
      <c r="A690" s="324"/>
      <c r="B690" s="319"/>
      <c r="C690" s="317"/>
      <c r="D690" s="317"/>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row>
    <row r="691" ht="15.75" customHeight="1">
      <c r="A691" s="324"/>
      <c r="B691" s="319"/>
      <c r="C691" s="317"/>
      <c r="D691" s="317"/>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row>
    <row r="692" ht="15.75" customHeight="1">
      <c r="A692" s="324"/>
      <c r="B692" s="319"/>
      <c r="C692" s="317"/>
      <c r="D692" s="317"/>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row>
    <row r="693" ht="15.75" customHeight="1">
      <c r="A693" s="324"/>
      <c r="B693" s="319"/>
      <c r="C693" s="317"/>
      <c r="D693" s="317"/>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row>
    <row r="694" ht="15.75" customHeight="1">
      <c r="A694" s="324"/>
      <c r="B694" s="319"/>
      <c r="C694" s="317"/>
      <c r="D694" s="317"/>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row>
    <row r="695" ht="15.75" customHeight="1">
      <c r="A695" s="324"/>
      <c r="B695" s="319"/>
      <c r="C695" s="317"/>
      <c r="D695" s="317"/>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row>
    <row r="696" ht="15.75" customHeight="1">
      <c r="A696" s="324"/>
      <c r="B696" s="319"/>
      <c r="C696" s="317"/>
      <c r="D696" s="317"/>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row>
    <row r="697" ht="15.75" customHeight="1">
      <c r="A697" s="324"/>
      <c r="B697" s="319"/>
      <c r="C697" s="317"/>
      <c r="D697" s="317"/>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row>
    <row r="698" ht="15.75" customHeight="1">
      <c r="A698" s="324"/>
      <c r="B698" s="319"/>
      <c r="C698" s="317"/>
      <c r="D698" s="317"/>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row>
    <row r="699" ht="15.75" customHeight="1">
      <c r="A699" s="324"/>
      <c r="B699" s="319"/>
      <c r="C699" s="317"/>
      <c r="D699" s="317"/>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row>
    <row r="700" ht="15.75" customHeight="1">
      <c r="A700" s="324"/>
      <c r="B700" s="319"/>
      <c r="C700" s="317"/>
      <c r="D700" s="317"/>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row>
    <row r="701" ht="15.75" customHeight="1">
      <c r="A701" s="324"/>
      <c r="B701" s="319"/>
      <c r="C701" s="317"/>
      <c r="D701" s="317"/>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row>
    <row r="702" ht="15.75" customHeight="1">
      <c r="A702" s="324"/>
      <c r="B702" s="319"/>
      <c r="C702" s="317"/>
      <c r="D702" s="317"/>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row>
    <row r="703" ht="15.75" customHeight="1">
      <c r="A703" s="324"/>
      <c r="B703" s="319"/>
      <c r="C703" s="317"/>
      <c r="D703" s="317"/>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row>
    <row r="704" ht="15.75" customHeight="1">
      <c r="A704" s="324"/>
      <c r="B704" s="319"/>
      <c r="C704" s="317"/>
      <c r="D704" s="317"/>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row>
    <row r="705" ht="15.75" customHeight="1">
      <c r="A705" s="324"/>
      <c r="B705" s="319"/>
      <c r="C705" s="317"/>
      <c r="D705" s="317"/>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row>
    <row r="706" ht="15.75" customHeight="1">
      <c r="A706" s="324"/>
      <c r="B706" s="319"/>
      <c r="C706" s="317"/>
      <c r="D706" s="317"/>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row>
    <row r="707" ht="15.75" customHeight="1">
      <c r="A707" s="324"/>
      <c r="B707" s="319"/>
      <c r="C707" s="317"/>
      <c r="D707" s="317"/>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row>
    <row r="708" ht="15.75" customHeight="1">
      <c r="A708" s="324"/>
      <c r="B708" s="319"/>
      <c r="C708" s="317"/>
      <c r="D708" s="317"/>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row>
    <row r="709" ht="15.75" customHeight="1">
      <c r="A709" s="324"/>
      <c r="B709" s="319"/>
      <c r="C709" s="317"/>
      <c r="D709" s="317"/>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row>
    <row r="710" ht="15.75" customHeight="1">
      <c r="A710" s="324"/>
      <c r="B710" s="319"/>
      <c r="C710" s="317"/>
      <c r="D710" s="317"/>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row>
    <row r="711" ht="15.75" customHeight="1">
      <c r="A711" s="324"/>
      <c r="B711" s="319"/>
      <c r="C711" s="317"/>
      <c r="D711" s="317"/>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row>
    <row r="712" ht="15.75" customHeight="1">
      <c r="A712" s="324"/>
      <c r="B712" s="319"/>
      <c r="C712" s="317"/>
      <c r="D712" s="317"/>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row>
    <row r="713" ht="15.75" customHeight="1">
      <c r="A713" s="324"/>
      <c r="B713" s="319"/>
      <c r="C713" s="317"/>
      <c r="D713" s="317"/>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row>
    <row r="714" ht="15.75" customHeight="1">
      <c r="A714" s="324"/>
      <c r="B714" s="319"/>
      <c r="C714" s="317"/>
      <c r="D714" s="317"/>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row>
    <row r="715" ht="15.75" customHeight="1">
      <c r="A715" s="324"/>
      <c r="B715" s="319"/>
      <c r="C715" s="317"/>
      <c r="D715" s="317"/>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row>
    <row r="716" ht="15.75" customHeight="1">
      <c r="A716" s="324"/>
      <c r="B716" s="319"/>
      <c r="C716" s="317"/>
      <c r="D716" s="317"/>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row>
    <row r="717" ht="15.75" customHeight="1">
      <c r="A717" s="324"/>
      <c r="B717" s="319"/>
      <c r="C717" s="317"/>
      <c r="D717" s="317"/>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row>
    <row r="718" ht="15.75" customHeight="1">
      <c r="A718" s="324"/>
      <c r="B718" s="319"/>
      <c r="C718" s="317"/>
      <c r="D718" s="317"/>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row>
    <row r="719" ht="15.75" customHeight="1">
      <c r="A719" s="324"/>
      <c r="B719" s="319"/>
      <c r="C719" s="317"/>
      <c r="D719" s="317"/>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row>
    <row r="720" ht="15.75" customHeight="1">
      <c r="A720" s="324"/>
      <c r="B720" s="319"/>
      <c r="C720" s="317"/>
      <c r="D720" s="317"/>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row>
    <row r="721" ht="15.75" customHeight="1">
      <c r="A721" s="324"/>
      <c r="B721" s="319"/>
      <c r="C721" s="317"/>
      <c r="D721" s="317"/>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row>
    <row r="722" ht="15.75" customHeight="1">
      <c r="A722" s="324"/>
      <c r="B722" s="319"/>
      <c r="C722" s="317"/>
      <c r="D722" s="317"/>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row>
    <row r="723" ht="15.75" customHeight="1">
      <c r="A723" s="324"/>
      <c r="B723" s="319"/>
      <c r="C723" s="317"/>
      <c r="D723" s="317"/>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row>
    <row r="724" ht="15.75" customHeight="1">
      <c r="A724" s="324"/>
      <c r="B724" s="319"/>
      <c r="C724" s="317"/>
      <c r="D724" s="317"/>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row>
    <row r="725" ht="15.75" customHeight="1">
      <c r="A725" s="324"/>
      <c r="B725" s="319"/>
      <c r="C725" s="317"/>
      <c r="D725" s="317"/>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row>
    <row r="726" ht="15.75" customHeight="1">
      <c r="A726" s="324"/>
      <c r="B726" s="319"/>
      <c r="C726" s="317"/>
      <c r="D726" s="317"/>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row>
    <row r="727" ht="15.75" customHeight="1">
      <c r="A727" s="324"/>
      <c r="B727" s="319"/>
      <c r="C727" s="317"/>
      <c r="D727" s="317"/>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row>
    <row r="728" ht="15.75" customHeight="1">
      <c r="A728" s="324"/>
      <c r="B728" s="319"/>
      <c r="C728" s="317"/>
      <c r="D728" s="317"/>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row>
    <row r="729" ht="15.75" customHeight="1">
      <c r="A729" s="324"/>
      <c r="B729" s="319"/>
      <c r="C729" s="317"/>
      <c r="D729" s="317"/>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row>
    <row r="730" ht="15.75" customHeight="1">
      <c r="A730" s="324"/>
      <c r="B730" s="319"/>
      <c r="C730" s="317"/>
      <c r="D730" s="317"/>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row>
    <row r="731" ht="15.75" customHeight="1">
      <c r="A731" s="324"/>
      <c r="B731" s="319"/>
      <c r="C731" s="317"/>
      <c r="D731" s="317"/>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row>
    <row r="732" ht="15.75" customHeight="1">
      <c r="A732" s="324"/>
      <c r="B732" s="319"/>
      <c r="C732" s="317"/>
      <c r="D732" s="317"/>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row>
    <row r="733" ht="15.75" customHeight="1">
      <c r="A733" s="324"/>
      <c r="B733" s="319"/>
      <c r="C733" s="317"/>
      <c r="D733" s="317"/>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row>
    <row r="734" ht="15.75" customHeight="1">
      <c r="A734" s="324"/>
      <c r="B734" s="319"/>
      <c r="C734" s="317"/>
      <c r="D734" s="317"/>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row>
    <row r="735" ht="15.75" customHeight="1">
      <c r="A735" s="324"/>
      <c r="B735" s="319"/>
      <c r="C735" s="317"/>
      <c r="D735" s="317"/>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row>
    <row r="736" ht="15.75" customHeight="1">
      <c r="A736" s="324"/>
      <c r="B736" s="319"/>
      <c r="C736" s="317"/>
      <c r="D736" s="317"/>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row>
    <row r="737" ht="15.75" customHeight="1">
      <c r="A737" s="324"/>
      <c r="B737" s="319"/>
      <c r="C737" s="317"/>
      <c r="D737" s="317"/>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row>
    <row r="738" ht="15.75" customHeight="1">
      <c r="A738" s="324"/>
      <c r="B738" s="319"/>
      <c r="C738" s="317"/>
      <c r="D738" s="317"/>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row>
    <row r="739" ht="15.75" customHeight="1">
      <c r="A739" s="324"/>
      <c r="B739" s="319"/>
      <c r="C739" s="317"/>
      <c r="D739" s="317"/>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row>
    <row r="740" ht="15.75" customHeight="1">
      <c r="A740" s="324"/>
      <c r="B740" s="319"/>
      <c r="C740" s="317"/>
      <c r="D740" s="317"/>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row>
    <row r="741" ht="15.75" customHeight="1">
      <c r="A741" s="324"/>
      <c r="B741" s="319"/>
      <c r="C741" s="317"/>
      <c r="D741" s="317"/>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row>
    <row r="742" ht="15.75" customHeight="1">
      <c r="A742" s="324"/>
      <c r="B742" s="319"/>
      <c r="C742" s="317"/>
      <c r="D742" s="317"/>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row>
    <row r="743" ht="15.75" customHeight="1">
      <c r="A743" s="324"/>
      <c r="B743" s="319"/>
      <c r="C743" s="317"/>
      <c r="D743" s="317"/>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row>
    <row r="744" ht="15.75" customHeight="1">
      <c r="A744" s="324"/>
      <c r="B744" s="319"/>
      <c r="C744" s="317"/>
      <c r="D744" s="317"/>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row>
    <row r="745" ht="15.75" customHeight="1">
      <c r="A745" s="324"/>
      <c r="B745" s="319"/>
      <c r="C745" s="317"/>
      <c r="D745" s="317"/>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row>
    <row r="746" ht="15.75" customHeight="1">
      <c r="A746" s="324"/>
      <c r="B746" s="319"/>
      <c r="C746" s="317"/>
      <c r="D746" s="317"/>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row>
    <row r="747" ht="15.75" customHeight="1">
      <c r="A747" s="324"/>
      <c r="B747" s="319"/>
      <c r="C747" s="317"/>
      <c r="D747" s="317"/>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row>
    <row r="748" ht="15.75" customHeight="1">
      <c r="A748" s="324"/>
      <c r="B748" s="319"/>
      <c r="C748" s="317"/>
      <c r="D748" s="317"/>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row>
    <row r="749" ht="15.75" customHeight="1">
      <c r="A749" s="324"/>
      <c r="B749" s="319"/>
      <c r="C749" s="317"/>
      <c r="D749" s="317"/>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row>
    <row r="750" ht="15.75" customHeight="1">
      <c r="A750" s="324"/>
      <c r="B750" s="319"/>
      <c r="C750" s="317"/>
      <c r="D750" s="317"/>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row>
    <row r="751" ht="15.75" customHeight="1">
      <c r="A751" s="324"/>
      <c r="B751" s="319"/>
      <c r="C751" s="317"/>
      <c r="D751" s="317"/>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row>
    <row r="752" ht="15.75" customHeight="1">
      <c r="A752" s="324"/>
      <c r="B752" s="319"/>
      <c r="C752" s="317"/>
      <c r="D752" s="317"/>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row>
    <row r="753" ht="15.75" customHeight="1">
      <c r="A753" s="324"/>
      <c r="B753" s="319"/>
      <c r="C753" s="317"/>
      <c r="D753" s="317"/>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row>
    <row r="754" ht="15.75" customHeight="1">
      <c r="A754" s="324"/>
      <c r="B754" s="319"/>
      <c r="C754" s="317"/>
      <c r="D754" s="317"/>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row>
    <row r="755" ht="15.75" customHeight="1">
      <c r="A755" s="324"/>
      <c r="B755" s="319"/>
      <c r="C755" s="317"/>
      <c r="D755" s="317"/>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row>
    <row r="756" ht="15.75" customHeight="1">
      <c r="A756" s="324"/>
      <c r="B756" s="319"/>
      <c r="C756" s="317"/>
      <c r="D756" s="317"/>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row>
    <row r="757" ht="15.75" customHeight="1">
      <c r="A757" s="324"/>
      <c r="B757" s="319"/>
      <c r="C757" s="317"/>
      <c r="D757" s="317"/>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row>
    <row r="758" ht="15.75" customHeight="1">
      <c r="A758" s="324"/>
      <c r="B758" s="319"/>
      <c r="C758" s="317"/>
      <c r="D758" s="317"/>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row>
    <row r="759" ht="15.75" customHeight="1">
      <c r="A759" s="324"/>
      <c r="B759" s="319"/>
      <c r="C759" s="317"/>
      <c r="D759" s="317"/>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row>
    <row r="760" ht="15.75" customHeight="1">
      <c r="A760" s="324"/>
      <c r="B760" s="319"/>
      <c r="C760" s="317"/>
      <c r="D760" s="317"/>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row>
    <row r="761" ht="15.75" customHeight="1">
      <c r="A761" s="324"/>
      <c r="B761" s="319"/>
      <c r="C761" s="317"/>
      <c r="D761" s="317"/>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row>
    <row r="762" ht="15.75" customHeight="1">
      <c r="A762" s="324"/>
      <c r="B762" s="319"/>
      <c r="C762" s="317"/>
      <c r="D762" s="317"/>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row>
    <row r="763" ht="15.75" customHeight="1">
      <c r="A763" s="324"/>
      <c r="B763" s="319"/>
      <c r="C763" s="317"/>
      <c r="D763" s="317"/>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row>
    <row r="764" ht="15.75" customHeight="1">
      <c r="A764" s="324"/>
      <c r="B764" s="319"/>
      <c r="C764" s="317"/>
      <c r="D764" s="317"/>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row>
    <row r="765" ht="15.75" customHeight="1">
      <c r="A765" s="324"/>
      <c r="B765" s="319"/>
      <c r="C765" s="317"/>
      <c r="D765" s="317"/>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row>
    <row r="766" ht="15.75" customHeight="1">
      <c r="A766" s="324"/>
      <c r="B766" s="319"/>
      <c r="C766" s="317"/>
      <c r="D766" s="317"/>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row>
    <row r="767" ht="15.75" customHeight="1">
      <c r="A767" s="324"/>
      <c r="B767" s="319"/>
      <c r="C767" s="317"/>
      <c r="D767" s="317"/>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row>
    <row r="768" ht="15.75" customHeight="1">
      <c r="A768" s="324"/>
      <c r="B768" s="319"/>
      <c r="C768" s="317"/>
      <c r="D768" s="317"/>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row>
    <row r="769" ht="15.75" customHeight="1">
      <c r="A769" s="324"/>
      <c r="B769" s="319"/>
      <c r="C769" s="317"/>
      <c r="D769" s="317"/>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row>
    <row r="770" ht="15.75" customHeight="1">
      <c r="A770" s="324"/>
      <c r="B770" s="319"/>
      <c r="C770" s="317"/>
      <c r="D770" s="317"/>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row>
    <row r="771" ht="15.75" customHeight="1">
      <c r="A771" s="324"/>
      <c r="B771" s="319"/>
      <c r="C771" s="317"/>
      <c r="D771" s="317"/>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row>
    <row r="772" ht="15.75" customHeight="1">
      <c r="A772" s="324"/>
      <c r="B772" s="319"/>
      <c r="C772" s="317"/>
      <c r="D772" s="317"/>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row>
    <row r="773" ht="15.75" customHeight="1">
      <c r="A773" s="324"/>
      <c r="B773" s="319"/>
      <c r="C773" s="317"/>
      <c r="D773" s="317"/>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row>
    <row r="774" ht="15.75" customHeight="1">
      <c r="A774" s="324"/>
      <c r="B774" s="319"/>
      <c r="C774" s="317"/>
      <c r="D774" s="317"/>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row>
    <row r="775" ht="15.75" customHeight="1">
      <c r="A775" s="324"/>
      <c r="B775" s="319"/>
      <c r="C775" s="317"/>
      <c r="D775" s="317"/>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row>
    <row r="776" ht="15.75" customHeight="1">
      <c r="A776" s="324"/>
      <c r="B776" s="319"/>
      <c r="C776" s="317"/>
      <c r="D776" s="317"/>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row>
    <row r="777" ht="15.75" customHeight="1">
      <c r="A777" s="324"/>
      <c r="B777" s="319"/>
      <c r="C777" s="317"/>
      <c r="D777" s="317"/>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row>
    <row r="778" ht="15.75" customHeight="1">
      <c r="A778" s="324"/>
      <c r="B778" s="319"/>
      <c r="C778" s="317"/>
      <c r="D778" s="317"/>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row>
    <row r="779" ht="15.75" customHeight="1">
      <c r="A779" s="324"/>
      <c r="B779" s="319"/>
      <c r="C779" s="317"/>
      <c r="D779" s="317"/>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row>
    <row r="780" ht="15.75" customHeight="1">
      <c r="A780" s="324"/>
      <c r="B780" s="319"/>
      <c r="C780" s="317"/>
      <c r="D780" s="317"/>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row>
    <row r="781" ht="15.75" customHeight="1">
      <c r="A781" s="324"/>
      <c r="B781" s="319"/>
      <c r="C781" s="317"/>
      <c r="D781" s="317"/>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row>
    <row r="782" ht="15.75" customHeight="1">
      <c r="A782" s="324"/>
      <c r="B782" s="319"/>
      <c r="C782" s="317"/>
      <c r="D782" s="317"/>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row>
    <row r="783" ht="15.75" customHeight="1">
      <c r="A783" s="324"/>
      <c r="B783" s="319"/>
      <c r="C783" s="317"/>
      <c r="D783" s="317"/>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row>
    <row r="784" ht="15.75" customHeight="1">
      <c r="A784" s="324"/>
      <c r="B784" s="319"/>
      <c r="C784" s="317"/>
      <c r="D784" s="317"/>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row>
    <row r="785" ht="15.75" customHeight="1">
      <c r="A785" s="324"/>
      <c r="B785" s="319"/>
      <c r="C785" s="317"/>
      <c r="D785" s="317"/>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row>
    <row r="786" ht="15.75" customHeight="1">
      <c r="A786" s="324"/>
      <c r="B786" s="319"/>
      <c r="C786" s="317"/>
      <c r="D786" s="317"/>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row>
    <row r="787" ht="15.75" customHeight="1">
      <c r="A787" s="324"/>
      <c r="B787" s="319"/>
      <c r="C787" s="317"/>
      <c r="D787" s="317"/>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row>
    <row r="788" ht="15.75" customHeight="1">
      <c r="A788" s="324"/>
      <c r="B788" s="319"/>
      <c r="C788" s="317"/>
      <c r="D788" s="317"/>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row>
    <row r="789" ht="15.75" customHeight="1">
      <c r="A789" s="324"/>
      <c r="B789" s="319"/>
      <c r="C789" s="317"/>
      <c r="D789" s="317"/>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row>
    <row r="790" ht="15.75" customHeight="1">
      <c r="A790" s="324"/>
      <c r="B790" s="319"/>
      <c r="C790" s="317"/>
      <c r="D790" s="317"/>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row>
    <row r="791" ht="15.75" customHeight="1">
      <c r="A791" s="324"/>
      <c r="B791" s="319"/>
      <c r="C791" s="317"/>
      <c r="D791" s="317"/>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row>
    <row r="792" ht="15.75" customHeight="1">
      <c r="A792" s="324"/>
      <c r="B792" s="319"/>
      <c r="C792" s="317"/>
      <c r="D792" s="317"/>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row>
    <row r="793" ht="15.75" customHeight="1">
      <c r="A793" s="324"/>
      <c r="B793" s="319"/>
      <c r="C793" s="317"/>
      <c r="D793" s="317"/>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row>
    <row r="794" ht="15.75" customHeight="1">
      <c r="A794" s="324"/>
      <c r="B794" s="319"/>
      <c r="C794" s="317"/>
      <c r="D794" s="317"/>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row>
    <row r="795" ht="15.75" customHeight="1">
      <c r="A795" s="324"/>
      <c r="B795" s="319"/>
      <c r="C795" s="317"/>
      <c r="D795" s="317"/>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row>
    <row r="796" ht="15.75" customHeight="1">
      <c r="A796" s="324"/>
      <c r="B796" s="319"/>
      <c r="C796" s="317"/>
      <c r="D796" s="317"/>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row>
    <row r="797" ht="15.75" customHeight="1">
      <c r="A797" s="324"/>
      <c r="B797" s="319"/>
      <c r="C797" s="317"/>
      <c r="D797" s="317"/>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row>
    <row r="798" ht="15.75" customHeight="1">
      <c r="A798" s="324"/>
      <c r="B798" s="319"/>
      <c r="C798" s="317"/>
      <c r="D798" s="317"/>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row>
    <row r="799" ht="15.75" customHeight="1">
      <c r="A799" s="324"/>
      <c r="B799" s="319"/>
      <c r="C799" s="317"/>
      <c r="D799" s="317"/>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row>
    <row r="800" ht="15.75" customHeight="1">
      <c r="A800" s="324"/>
      <c r="B800" s="319"/>
      <c r="C800" s="317"/>
      <c r="D800" s="317"/>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row>
    <row r="801" ht="15.75" customHeight="1">
      <c r="A801" s="324"/>
      <c r="B801" s="319"/>
      <c r="C801" s="317"/>
      <c r="D801" s="317"/>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row>
    <row r="802" ht="15.75" customHeight="1">
      <c r="A802" s="324"/>
      <c r="B802" s="319"/>
      <c r="C802" s="317"/>
      <c r="D802" s="317"/>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row>
    <row r="803" ht="15.75" customHeight="1">
      <c r="A803" s="324"/>
      <c r="B803" s="319"/>
      <c r="C803" s="317"/>
      <c r="D803" s="317"/>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row>
    <row r="804" ht="15.75" customHeight="1">
      <c r="A804" s="324"/>
      <c r="B804" s="319"/>
      <c r="C804" s="317"/>
      <c r="D804" s="317"/>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row>
    <row r="805" ht="15.75" customHeight="1">
      <c r="A805" s="324"/>
      <c r="B805" s="319"/>
      <c r="C805" s="317"/>
      <c r="D805" s="317"/>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row>
    <row r="806" ht="15.75" customHeight="1">
      <c r="A806" s="324"/>
      <c r="B806" s="319"/>
      <c r="C806" s="317"/>
      <c r="D806" s="317"/>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row>
    <row r="807" ht="15.75" customHeight="1">
      <c r="A807" s="324"/>
      <c r="B807" s="319"/>
      <c r="C807" s="317"/>
      <c r="D807" s="317"/>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row>
    <row r="808" ht="15.75" customHeight="1">
      <c r="A808" s="324"/>
      <c r="B808" s="319"/>
      <c r="C808" s="317"/>
      <c r="D808" s="317"/>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row>
    <row r="809" ht="15.75" customHeight="1">
      <c r="A809" s="324"/>
      <c r="B809" s="319"/>
      <c r="C809" s="317"/>
      <c r="D809" s="317"/>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row>
    <row r="810" ht="15.75" customHeight="1">
      <c r="A810" s="324"/>
      <c r="B810" s="319"/>
      <c r="C810" s="317"/>
      <c r="D810" s="317"/>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row>
    <row r="811" ht="15.75" customHeight="1">
      <c r="A811" s="324"/>
      <c r="B811" s="319"/>
      <c r="C811" s="317"/>
      <c r="D811" s="317"/>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row>
    <row r="812" ht="15.75" customHeight="1">
      <c r="A812" s="324"/>
      <c r="B812" s="319"/>
      <c r="C812" s="317"/>
      <c r="D812" s="317"/>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row>
    <row r="813" ht="15.75" customHeight="1">
      <c r="A813" s="324"/>
      <c r="B813" s="319"/>
      <c r="C813" s="317"/>
      <c r="D813" s="317"/>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row>
    <row r="814" ht="15.75" customHeight="1">
      <c r="A814" s="324"/>
      <c r="B814" s="319"/>
      <c r="C814" s="317"/>
      <c r="D814" s="317"/>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row>
    <row r="815" ht="15.75" customHeight="1">
      <c r="A815" s="324"/>
      <c r="B815" s="319"/>
      <c r="C815" s="317"/>
      <c r="D815" s="317"/>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row>
    <row r="816" ht="15.75" customHeight="1">
      <c r="A816" s="324"/>
      <c r="B816" s="319"/>
      <c r="C816" s="317"/>
      <c r="D816" s="317"/>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row>
    <row r="817" ht="15.75" customHeight="1">
      <c r="A817" s="324"/>
      <c r="B817" s="319"/>
      <c r="C817" s="317"/>
      <c r="D817" s="317"/>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row>
    <row r="818" ht="15.75" customHeight="1">
      <c r="A818" s="324"/>
      <c r="B818" s="319"/>
      <c r="C818" s="317"/>
      <c r="D818" s="317"/>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row>
    <row r="819" ht="15.75" customHeight="1">
      <c r="A819" s="324"/>
      <c r="B819" s="319"/>
      <c r="C819" s="317"/>
      <c r="D819" s="317"/>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row>
    <row r="820" ht="15.75" customHeight="1">
      <c r="A820" s="324"/>
      <c r="B820" s="319"/>
      <c r="C820" s="317"/>
      <c r="D820" s="317"/>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row>
    <row r="821" ht="15.75" customHeight="1">
      <c r="A821" s="324"/>
      <c r="B821" s="319"/>
      <c r="C821" s="317"/>
      <c r="D821" s="317"/>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row>
    <row r="822" ht="15.75" customHeight="1">
      <c r="A822" s="324"/>
      <c r="B822" s="319"/>
      <c r="C822" s="317"/>
      <c r="D822" s="317"/>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row>
    <row r="823" ht="15.75" customHeight="1">
      <c r="A823" s="324"/>
      <c r="B823" s="319"/>
      <c r="C823" s="317"/>
      <c r="D823" s="317"/>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row>
    <row r="824" ht="15.75" customHeight="1">
      <c r="A824" s="324"/>
      <c r="B824" s="319"/>
      <c r="C824" s="317"/>
      <c r="D824" s="317"/>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row>
    <row r="825" ht="15.75" customHeight="1">
      <c r="A825" s="324"/>
      <c r="B825" s="319"/>
      <c r="C825" s="317"/>
      <c r="D825" s="317"/>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row>
    <row r="826" ht="15.75" customHeight="1">
      <c r="A826" s="324"/>
      <c r="B826" s="319"/>
      <c r="C826" s="317"/>
      <c r="D826" s="317"/>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row>
    <row r="827" ht="15.75" customHeight="1">
      <c r="A827" s="324"/>
      <c r="B827" s="319"/>
      <c r="C827" s="317"/>
      <c r="D827" s="317"/>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row>
    <row r="828" ht="15.75" customHeight="1">
      <c r="A828" s="324"/>
      <c r="B828" s="319"/>
      <c r="C828" s="317"/>
      <c r="D828" s="317"/>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row>
    <row r="829" ht="15.75" customHeight="1">
      <c r="A829" s="324"/>
      <c r="B829" s="319"/>
      <c r="C829" s="317"/>
      <c r="D829" s="317"/>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row>
    <row r="830" ht="15.75" customHeight="1">
      <c r="A830" s="324"/>
      <c r="B830" s="319"/>
      <c r="C830" s="317"/>
      <c r="D830" s="317"/>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row>
    <row r="831" ht="15.75" customHeight="1">
      <c r="A831" s="324"/>
      <c r="B831" s="319"/>
      <c r="C831" s="317"/>
      <c r="D831" s="317"/>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row>
    <row r="832" ht="15.75" customHeight="1">
      <c r="A832" s="324"/>
      <c r="B832" s="319"/>
      <c r="C832" s="317"/>
      <c r="D832" s="317"/>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row>
    <row r="833" ht="15.75" customHeight="1">
      <c r="A833" s="324"/>
      <c r="B833" s="319"/>
      <c r="C833" s="317"/>
      <c r="D833" s="317"/>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row>
    <row r="834" ht="15.75" customHeight="1">
      <c r="A834" s="324"/>
      <c r="B834" s="319"/>
      <c r="C834" s="317"/>
      <c r="D834" s="317"/>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row>
    <row r="835" ht="15.75" customHeight="1">
      <c r="A835" s="324"/>
      <c r="B835" s="319"/>
      <c r="C835" s="317"/>
      <c r="D835" s="317"/>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row>
    <row r="836" ht="15.75" customHeight="1">
      <c r="A836" s="324"/>
      <c r="B836" s="319"/>
      <c r="C836" s="317"/>
      <c r="D836" s="317"/>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row>
    <row r="837" ht="15.75" customHeight="1">
      <c r="A837" s="324"/>
      <c r="B837" s="319"/>
      <c r="C837" s="317"/>
      <c r="D837" s="317"/>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row>
    <row r="838" ht="15.75" customHeight="1">
      <c r="A838" s="324"/>
      <c r="B838" s="319"/>
      <c r="C838" s="317"/>
      <c r="D838" s="317"/>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row>
    <row r="839" ht="15.75" customHeight="1">
      <c r="A839" s="324"/>
      <c r="B839" s="319"/>
      <c r="C839" s="317"/>
      <c r="D839" s="317"/>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row>
    <row r="840" ht="15.75" customHeight="1">
      <c r="A840" s="324"/>
      <c r="B840" s="319"/>
      <c r="C840" s="317"/>
      <c r="D840" s="317"/>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row>
    <row r="841" ht="15.75" customHeight="1">
      <c r="A841" s="324"/>
      <c r="B841" s="319"/>
      <c r="C841" s="317"/>
      <c r="D841" s="317"/>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row>
    <row r="842" ht="15.75" customHeight="1">
      <c r="A842" s="324"/>
      <c r="B842" s="319"/>
      <c r="C842" s="317"/>
      <c r="D842" s="317"/>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row>
    <row r="843" ht="15.75" customHeight="1">
      <c r="A843" s="324"/>
      <c r="B843" s="319"/>
      <c r="C843" s="317"/>
      <c r="D843" s="317"/>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row>
    <row r="844" ht="15.75" customHeight="1">
      <c r="A844" s="324"/>
      <c r="B844" s="319"/>
      <c r="C844" s="317"/>
      <c r="D844" s="317"/>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row>
    <row r="845" ht="15.75" customHeight="1">
      <c r="A845" s="324"/>
      <c r="B845" s="319"/>
      <c r="C845" s="317"/>
      <c r="D845" s="317"/>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row>
    <row r="846" ht="15.75" customHeight="1">
      <c r="A846" s="324"/>
      <c r="B846" s="319"/>
      <c r="C846" s="317"/>
      <c r="D846" s="317"/>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row>
    <row r="847" ht="15.75" customHeight="1">
      <c r="A847" s="324"/>
      <c r="B847" s="319"/>
      <c r="C847" s="317"/>
      <c r="D847" s="317"/>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row>
    <row r="848" ht="15.75" customHeight="1">
      <c r="A848" s="324"/>
      <c r="B848" s="319"/>
      <c r="C848" s="317"/>
      <c r="D848" s="317"/>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row>
    <row r="849" ht="15.75" customHeight="1">
      <c r="A849" s="324"/>
      <c r="B849" s="319"/>
      <c r="C849" s="317"/>
      <c r="D849" s="317"/>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row>
    <row r="850" ht="15.75" customHeight="1">
      <c r="A850" s="324"/>
      <c r="B850" s="319"/>
      <c r="C850" s="317"/>
      <c r="D850" s="317"/>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row>
    <row r="851" ht="15.75" customHeight="1">
      <c r="A851" s="324"/>
      <c r="B851" s="319"/>
      <c r="C851" s="317"/>
      <c r="D851" s="317"/>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row>
    <row r="852" ht="15.75" customHeight="1">
      <c r="A852" s="324"/>
      <c r="B852" s="319"/>
      <c r="C852" s="317"/>
      <c r="D852" s="317"/>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row>
    <row r="853" ht="15.75" customHeight="1">
      <c r="A853" s="324"/>
      <c r="B853" s="319"/>
      <c r="C853" s="317"/>
      <c r="D853" s="317"/>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row>
    <row r="854" ht="15.75" customHeight="1">
      <c r="A854" s="324"/>
      <c r="B854" s="319"/>
      <c r="C854" s="317"/>
      <c r="D854" s="317"/>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row>
    <row r="855" ht="15.75" customHeight="1">
      <c r="A855" s="324"/>
      <c r="B855" s="319"/>
      <c r="C855" s="317"/>
      <c r="D855" s="317"/>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row>
    <row r="856" ht="15.75" customHeight="1">
      <c r="A856" s="324"/>
      <c r="B856" s="319"/>
      <c r="C856" s="317"/>
      <c r="D856" s="317"/>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row>
    <row r="857" ht="15.75" customHeight="1">
      <c r="A857" s="324"/>
      <c r="B857" s="319"/>
      <c r="C857" s="317"/>
      <c r="D857" s="317"/>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row>
    <row r="858" ht="15.75" customHeight="1">
      <c r="A858" s="324"/>
      <c r="B858" s="319"/>
      <c r="C858" s="317"/>
      <c r="D858" s="317"/>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row>
    <row r="859" ht="15.75" customHeight="1">
      <c r="A859" s="324"/>
      <c r="B859" s="319"/>
      <c r="C859" s="317"/>
      <c r="D859" s="317"/>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row>
    <row r="860" ht="15.75" customHeight="1">
      <c r="A860" s="324"/>
      <c r="B860" s="319"/>
      <c r="C860" s="317"/>
      <c r="D860" s="317"/>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row>
    <row r="861" ht="15.75" customHeight="1">
      <c r="A861" s="324"/>
      <c r="B861" s="319"/>
      <c r="C861" s="317"/>
      <c r="D861" s="317"/>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row>
    <row r="862" ht="15.75" customHeight="1">
      <c r="A862" s="324"/>
      <c r="B862" s="319"/>
      <c r="C862" s="317"/>
      <c r="D862" s="317"/>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row>
    <row r="863" ht="15.75" customHeight="1">
      <c r="A863" s="324"/>
      <c r="B863" s="319"/>
      <c r="C863" s="317"/>
      <c r="D863" s="317"/>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row>
    <row r="864" ht="15.75" customHeight="1">
      <c r="A864" s="324"/>
      <c r="B864" s="319"/>
      <c r="C864" s="317"/>
      <c r="D864" s="317"/>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row>
    <row r="865" ht="15.75" customHeight="1">
      <c r="A865" s="324"/>
      <c r="B865" s="319"/>
      <c r="C865" s="317"/>
      <c r="D865" s="317"/>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row>
    <row r="866" ht="15.75" customHeight="1">
      <c r="A866" s="324"/>
      <c r="B866" s="319"/>
      <c r="C866" s="317"/>
      <c r="D866" s="317"/>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row>
    <row r="867" ht="15.75" customHeight="1">
      <c r="A867" s="324"/>
      <c r="B867" s="319"/>
      <c r="C867" s="317"/>
      <c r="D867" s="317"/>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row>
    <row r="868" ht="15.75" customHeight="1">
      <c r="A868" s="324"/>
      <c r="B868" s="319"/>
      <c r="C868" s="317"/>
      <c r="D868" s="317"/>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row>
    <row r="869" ht="15.75" customHeight="1">
      <c r="A869" s="324"/>
      <c r="B869" s="319"/>
      <c r="C869" s="317"/>
      <c r="D869" s="317"/>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row>
    <row r="870" ht="15.75" customHeight="1">
      <c r="A870" s="324"/>
      <c r="B870" s="319"/>
      <c r="C870" s="317"/>
      <c r="D870" s="317"/>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row>
    <row r="871" ht="15.75" customHeight="1">
      <c r="A871" s="324"/>
      <c r="B871" s="319"/>
      <c r="C871" s="317"/>
      <c r="D871" s="317"/>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row>
    <row r="872" ht="15.75" customHeight="1">
      <c r="A872" s="324"/>
      <c r="B872" s="319"/>
      <c r="C872" s="317"/>
      <c r="D872" s="317"/>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row>
    <row r="873" ht="15.75" customHeight="1">
      <c r="A873" s="324"/>
      <c r="B873" s="319"/>
      <c r="C873" s="317"/>
      <c r="D873" s="317"/>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row>
    <row r="874" ht="15.75" customHeight="1">
      <c r="A874" s="324"/>
      <c r="B874" s="319"/>
      <c r="C874" s="317"/>
      <c r="D874" s="317"/>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row>
    <row r="875" ht="15.75" customHeight="1">
      <c r="A875" s="324"/>
      <c r="B875" s="319"/>
      <c r="C875" s="317"/>
      <c r="D875" s="317"/>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row>
    <row r="876" ht="15.75" customHeight="1">
      <c r="A876" s="324"/>
      <c r="B876" s="319"/>
      <c r="C876" s="317"/>
      <c r="D876" s="317"/>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row>
    <row r="877" ht="15.75" customHeight="1">
      <c r="A877" s="324"/>
      <c r="B877" s="319"/>
      <c r="C877" s="317"/>
      <c r="D877" s="317"/>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row>
    <row r="878" ht="15.75" customHeight="1">
      <c r="A878" s="324"/>
      <c r="B878" s="319"/>
      <c r="C878" s="317"/>
      <c r="D878" s="317"/>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row>
    <row r="879" ht="15.75" customHeight="1">
      <c r="A879" s="324"/>
      <c r="B879" s="319"/>
      <c r="C879" s="317"/>
      <c r="D879" s="317"/>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row>
    <row r="880" ht="15.75" customHeight="1">
      <c r="A880" s="324"/>
      <c r="B880" s="319"/>
      <c r="C880" s="317"/>
      <c r="D880" s="317"/>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row>
    <row r="881" ht="15.75" customHeight="1">
      <c r="A881" s="324"/>
      <c r="B881" s="319"/>
      <c r="C881" s="317"/>
      <c r="D881" s="317"/>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row>
    <row r="882" ht="15.75" customHeight="1">
      <c r="A882" s="324"/>
      <c r="B882" s="319"/>
      <c r="C882" s="317"/>
      <c r="D882" s="317"/>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row>
    <row r="883" ht="15.75" customHeight="1">
      <c r="A883" s="324"/>
      <c r="B883" s="319"/>
      <c r="C883" s="317"/>
      <c r="D883" s="317"/>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row>
    <row r="884" ht="15.75" customHeight="1">
      <c r="A884" s="324"/>
      <c r="B884" s="319"/>
      <c r="C884" s="317"/>
      <c r="D884" s="317"/>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row>
    <row r="885" ht="15.75" customHeight="1">
      <c r="A885" s="324"/>
      <c r="B885" s="319"/>
      <c r="C885" s="317"/>
      <c r="D885" s="317"/>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row>
    <row r="886" ht="15.75" customHeight="1">
      <c r="A886" s="324"/>
      <c r="B886" s="319"/>
      <c r="C886" s="317"/>
      <c r="D886" s="317"/>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row>
    <row r="887" ht="15.75" customHeight="1">
      <c r="A887" s="324"/>
      <c r="B887" s="319"/>
      <c r="C887" s="317"/>
      <c r="D887" s="317"/>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row>
    <row r="888" ht="15.75" customHeight="1">
      <c r="A888" s="324"/>
      <c r="B888" s="319"/>
      <c r="C888" s="317"/>
      <c r="D888" s="317"/>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row>
    <row r="889" ht="15.75" customHeight="1">
      <c r="A889" s="324"/>
      <c r="B889" s="319"/>
      <c r="C889" s="317"/>
      <c r="D889" s="317"/>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row>
    <row r="890" ht="15.75" customHeight="1">
      <c r="A890" s="324"/>
      <c r="B890" s="319"/>
      <c r="C890" s="317"/>
      <c r="D890" s="317"/>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row>
    <row r="891" ht="15.75" customHeight="1">
      <c r="A891" s="324"/>
      <c r="B891" s="319"/>
      <c r="C891" s="317"/>
      <c r="D891" s="317"/>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row>
    <row r="892" ht="15.75" customHeight="1">
      <c r="A892" s="324"/>
      <c r="B892" s="319"/>
      <c r="C892" s="317"/>
      <c r="D892" s="317"/>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row>
    <row r="893" ht="15.75" customHeight="1">
      <c r="A893" s="324"/>
      <c r="B893" s="319"/>
      <c r="C893" s="317"/>
      <c r="D893" s="317"/>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row>
    <row r="894" ht="15.75" customHeight="1">
      <c r="A894" s="324"/>
      <c r="B894" s="319"/>
      <c r="C894" s="317"/>
      <c r="D894" s="317"/>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row>
    <row r="895" ht="15.75" customHeight="1">
      <c r="A895" s="324"/>
      <c r="B895" s="319"/>
      <c r="C895" s="317"/>
      <c r="D895" s="317"/>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row>
    <row r="896" ht="15.75" customHeight="1">
      <c r="A896" s="324"/>
      <c r="B896" s="319"/>
      <c r="C896" s="317"/>
      <c r="D896" s="317"/>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row>
    <row r="897" ht="15.75" customHeight="1">
      <c r="A897" s="324"/>
      <c r="B897" s="319"/>
      <c r="C897" s="317"/>
      <c r="D897" s="317"/>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row>
    <row r="898" ht="15.75" customHeight="1">
      <c r="A898" s="324"/>
      <c r="B898" s="319"/>
      <c r="C898" s="317"/>
      <c r="D898" s="317"/>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row>
    <row r="899" ht="15.75" customHeight="1">
      <c r="A899" s="324"/>
      <c r="B899" s="319"/>
      <c r="C899" s="317"/>
      <c r="D899" s="317"/>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row>
    <row r="900" ht="15.75" customHeight="1">
      <c r="A900" s="324"/>
      <c r="B900" s="319"/>
      <c r="C900" s="317"/>
      <c r="D900" s="317"/>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row>
    <row r="901" ht="15.75" customHeight="1">
      <c r="A901" s="324"/>
      <c r="B901" s="319"/>
      <c r="C901" s="317"/>
      <c r="D901" s="317"/>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row>
    <row r="902" ht="15.75" customHeight="1">
      <c r="A902" s="324"/>
      <c r="B902" s="319"/>
      <c r="C902" s="317"/>
      <c r="D902" s="317"/>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row>
    <row r="903" ht="15.75" customHeight="1">
      <c r="A903" s="324"/>
      <c r="B903" s="319"/>
      <c r="C903" s="317"/>
      <c r="D903" s="317"/>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row>
    <row r="904" ht="15.75" customHeight="1">
      <c r="A904" s="324"/>
      <c r="B904" s="319"/>
      <c r="C904" s="317"/>
      <c r="D904" s="317"/>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row>
    <row r="905" ht="15.75" customHeight="1">
      <c r="A905" s="324"/>
      <c r="B905" s="319"/>
      <c r="C905" s="317"/>
      <c r="D905" s="317"/>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row>
    <row r="906" ht="15.75" customHeight="1">
      <c r="A906" s="324"/>
      <c r="B906" s="319"/>
      <c r="C906" s="317"/>
      <c r="D906" s="317"/>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row>
    <row r="907" ht="15.75" customHeight="1">
      <c r="A907" s="324"/>
      <c r="B907" s="319"/>
      <c r="C907" s="317"/>
      <c r="D907" s="317"/>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row>
    <row r="908" ht="15.75" customHeight="1">
      <c r="A908" s="324"/>
      <c r="B908" s="319"/>
      <c r="C908" s="317"/>
      <c r="D908" s="317"/>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row>
    <row r="909" ht="15.75" customHeight="1">
      <c r="A909" s="324"/>
      <c r="B909" s="319"/>
      <c r="C909" s="317"/>
      <c r="D909" s="317"/>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row>
    <row r="910" ht="15.75" customHeight="1">
      <c r="A910" s="324"/>
      <c r="B910" s="319"/>
      <c r="C910" s="317"/>
      <c r="D910" s="317"/>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row>
    <row r="911" ht="15.75" customHeight="1">
      <c r="A911" s="324"/>
      <c r="B911" s="319"/>
      <c r="C911" s="317"/>
      <c r="D911" s="317"/>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row>
    <row r="912" ht="15.75" customHeight="1">
      <c r="A912" s="324"/>
      <c r="B912" s="319"/>
      <c r="C912" s="317"/>
      <c r="D912" s="317"/>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row>
    <row r="913" ht="15.75" customHeight="1">
      <c r="A913" s="324"/>
      <c r="B913" s="319"/>
      <c r="C913" s="317"/>
      <c r="D913" s="317"/>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row>
    <row r="914" ht="15.75" customHeight="1">
      <c r="A914" s="324"/>
      <c r="B914" s="319"/>
      <c r="C914" s="317"/>
      <c r="D914" s="317"/>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row>
    <row r="915" ht="15.75" customHeight="1">
      <c r="A915" s="324"/>
      <c r="B915" s="319"/>
      <c r="C915" s="317"/>
      <c r="D915" s="317"/>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row>
    <row r="916" ht="15.75" customHeight="1">
      <c r="A916" s="324"/>
      <c r="B916" s="319"/>
      <c r="C916" s="317"/>
      <c r="D916" s="317"/>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row>
    <row r="917" ht="15.75" customHeight="1">
      <c r="A917" s="324"/>
      <c r="B917" s="319"/>
      <c r="C917" s="317"/>
      <c r="D917" s="317"/>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row>
    <row r="918" ht="15.75" customHeight="1">
      <c r="A918" s="324"/>
      <c r="B918" s="319"/>
      <c r="C918" s="317"/>
      <c r="D918" s="317"/>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row>
    <row r="919" ht="15.75" customHeight="1">
      <c r="A919" s="324"/>
      <c r="B919" s="319"/>
      <c r="C919" s="317"/>
      <c r="D919" s="317"/>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row>
    <row r="920" ht="15.75" customHeight="1">
      <c r="A920" s="324"/>
      <c r="B920" s="319"/>
      <c r="C920" s="317"/>
      <c r="D920" s="317"/>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row>
    <row r="921" ht="15.75" customHeight="1">
      <c r="A921" s="324"/>
      <c r="B921" s="319"/>
      <c r="C921" s="317"/>
      <c r="D921" s="317"/>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row>
    <row r="922" ht="15.75" customHeight="1">
      <c r="A922" s="324"/>
      <c r="B922" s="319"/>
      <c r="C922" s="317"/>
      <c r="D922" s="317"/>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row>
    <row r="923" ht="15.75" customHeight="1">
      <c r="A923" s="324"/>
      <c r="B923" s="319"/>
      <c r="C923" s="317"/>
      <c r="D923" s="317"/>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row>
    <row r="924" ht="15.75" customHeight="1">
      <c r="A924" s="324"/>
      <c r="B924" s="319"/>
      <c r="C924" s="317"/>
      <c r="D924" s="317"/>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row>
    <row r="925" ht="15.75" customHeight="1">
      <c r="A925" s="324"/>
      <c r="B925" s="319"/>
      <c r="C925" s="317"/>
      <c r="D925" s="317"/>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row>
    <row r="926" ht="15.75" customHeight="1">
      <c r="A926" s="324"/>
      <c r="B926" s="319"/>
      <c r="C926" s="317"/>
      <c r="D926" s="317"/>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row>
    <row r="927" ht="15.75" customHeight="1">
      <c r="A927" s="324"/>
      <c r="B927" s="319"/>
      <c r="C927" s="317"/>
      <c r="D927" s="317"/>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row>
    <row r="928" ht="15.75" customHeight="1">
      <c r="A928" s="324"/>
      <c r="B928" s="319"/>
      <c r="C928" s="317"/>
      <c r="D928" s="317"/>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row>
    <row r="929" ht="15.75" customHeight="1">
      <c r="A929" s="324"/>
      <c r="B929" s="319"/>
      <c r="C929" s="317"/>
      <c r="D929" s="317"/>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row>
    <row r="930" ht="15.75" customHeight="1">
      <c r="A930" s="324"/>
      <c r="B930" s="319"/>
      <c r="C930" s="317"/>
      <c r="D930" s="317"/>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row>
    <row r="931" ht="15.75" customHeight="1">
      <c r="A931" s="324"/>
      <c r="B931" s="319"/>
      <c r="C931" s="317"/>
      <c r="D931" s="317"/>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row>
    <row r="932" ht="15.75" customHeight="1">
      <c r="A932" s="324"/>
      <c r="B932" s="319"/>
      <c r="C932" s="317"/>
      <c r="D932" s="317"/>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row>
    <row r="933" ht="15.75" customHeight="1">
      <c r="A933" s="324"/>
      <c r="B933" s="319"/>
      <c r="C933" s="317"/>
      <c r="D933" s="317"/>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row>
    <row r="934" ht="15.75" customHeight="1">
      <c r="A934" s="324"/>
      <c r="B934" s="319"/>
      <c r="C934" s="317"/>
      <c r="D934" s="317"/>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row>
    <row r="935" ht="15.75" customHeight="1">
      <c r="A935" s="324"/>
      <c r="B935" s="319"/>
      <c r="C935" s="317"/>
      <c r="D935" s="317"/>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row>
    <row r="936" ht="15.75" customHeight="1">
      <c r="A936" s="324"/>
      <c r="B936" s="319"/>
      <c r="C936" s="317"/>
      <c r="D936" s="317"/>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row>
    <row r="937" ht="15.75" customHeight="1">
      <c r="A937" s="324"/>
      <c r="B937" s="319"/>
      <c r="C937" s="317"/>
      <c r="D937" s="317"/>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row>
    <row r="938" ht="15.75" customHeight="1">
      <c r="A938" s="324"/>
      <c r="B938" s="319"/>
      <c r="C938" s="317"/>
      <c r="D938" s="317"/>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row>
    <row r="939" ht="15.75" customHeight="1">
      <c r="A939" s="324"/>
      <c r="B939" s="319"/>
      <c r="C939" s="317"/>
      <c r="D939" s="317"/>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row>
    <row r="940" ht="15.75" customHeight="1">
      <c r="A940" s="324"/>
      <c r="B940" s="319"/>
      <c r="C940" s="317"/>
      <c r="D940" s="317"/>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row>
    <row r="941" ht="15.75" customHeight="1">
      <c r="A941" s="324"/>
      <c r="B941" s="319"/>
      <c r="C941" s="317"/>
      <c r="D941" s="317"/>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row>
    <row r="942" ht="15.75" customHeight="1">
      <c r="A942" s="324"/>
      <c r="B942" s="319"/>
      <c r="C942" s="317"/>
      <c r="D942" s="317"/>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row>
    <row r="943" ht="15.75" customHeight="1">
      <c r="A943" s="324"/>
      <c r="B943" s="319"/>
      <c r="C943" s="317"/>
      <c r="D943" s="317"/>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row>
    <row r="944" ht="15.75" customHeight="1">
      <c r="A944" s="324"/>
      <c r="B944" s="319"/>
      <c r="C944" s="317"/>
      <c r="D944" s="317"/>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row>
    <row r="945" ht="15.75" customHeight="1">
      <c r="A945" s="324"/>
      <c r="B945" s="319"/>
      <c r="C945" s="317"/>
      <c r="D945" s="317"/>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row>
    <row r="946" ht="15.75" customHeight="1">
      <c r="A946" s="324"/>
      <c r="B946" s="319"/>
      <c r="C946" s="317"/>
      <c r="D946" s="317"/>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row>
    <row r="947" ht="15.75" customHeight="1">
      <c r="A947" s="324"/>
      <c r="B947" s="319"/>
      <c r="C947" s="317"/>
      <c r="D947" s="317"/>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row>
    <row r="948" ht="15.75" customHeight="1">
      <c r="A948" s="324"/>
      <c r="B948" s="319"/>
      <c r="C948" s="317"/>
      <c r="D948" s="317"/>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row>
    <row r="949" ht="15.75" customHeight="1">
      <c r="A949" s="324"/>
      <c r="B949" s="319"/>
      <c r="C949" s="317"/>
      <c r="D949" s="317"/>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row>
    <row r="950" ht="15.75" customHeight="1">
      <c r="A950" s="324"/>
      <c r="B950" s="319"/>
      <c r="C950" s="317"/>
      <c r="D950" s="317"/>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row>
    <row r="951" ht="15.75" customHeight="1">
      <c r="A951" s="324"/>
      <c r="B951" s="319"/>
      <c r="C951" s="317"/>
      <c r="D951" s="317"/>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row>
    <row r="952" ht="15.75" customHeight="1">
      <c r="A952" s="324"/>
      <c r="B952" s="319"/>
      <c r="C952" s="317"/>
      <c r="D952" s="317"/>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row>
    <row r="953" ht="15.75" customHeight="1">
      <c r="A953" s="324"/>
      <c r="B953" s="319"/>
      <c r="C953" s="317"/>
      <c r="D953" s="317"/>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row>
    <row r="954" ht="15.75" customHeight="1">
      <c r="A954" s="324"/>
      <c r="B954" s="319"/>
      <c r="C954" s="317"/>
      <c r="D954" s="317"/>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row>
    <row r="955" ht="15.75" customHeight="1">
      <c r="A955" s="324"/>
      <c r="B955" s="319"/>
      <c r="C955" s="317"/>
      <c r="D955" s="317"/>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row>
    <row r="956" ht="15.75" customHeight="1">
      <c r="A956" s="324"/>
      <c r="B956" s="319"/>
      <c r="C956" s="317"/>
      <c r="D956" s="317"/>
      <c r="E956" s="319"/>
      <c r="F956" s="319"/>
      <c r="G956" s="319"/>
      <c r="H956" s="319"/>
      <c r="I956" s="319"/>
      <c r="J956" s="319"/>
      <c r="K956" s="319"/>
      <c r="L956" s="319"/>
      <c r="M956" s="319"/>
      <c r="N956" s="319"/>
      <c r="O956" s="319"/>
      <c r="P956" s="319"/>
      <c r="Q956" s="319"/>
      <c r="R956" s="319"/>
      <c r="S956" s="319"/>
      <c r="T956" s="319"/>
      <c r="U956" s="319"/>
      <c r="V956" s="319"/>
      <c r="W956" s="319"/>
      <c r="X956" s="319"/>
      <c r="Y956" s="319"/>
      <c r="Z956" s="319"/>
    </row>
    <row r="957" ht="15.75" customHeight="1">
      <c r="A957" s="324"/>
      <c r="B957" s="319"/>
      <c r="C957" s="317"/>
      <c r="D957" s="317"/>
      <c r="E957" s="319"/>
      <c r="F957" s="319"/>
      <c r="G957" s="319"/>
      <c r="H957" s="319"/>
      <c r="I957" s="319"/>
      <c r="J957" s="319"/>
      <c r="K957" s="319"/>
      <c r="L957" s="319"/>
      <c r="M957" s="319"/>
      <c r="N957" s="319"/>
      <c r="O957" s="319"/>
      <c r="P957" s="319"/>
      <c r="Q957" s="319"/>
      <c r="R957" s="319"/>
      <c r="S957" s="319"/>
      <c r="T957" s="319"/>
      <c r="U957" s="319"/>
      <c r="V957" s="319"/>
      <c r="W957" s="319"/>
      <c r="X957" s="319"/>
      <c r="Y957" s="319"/>
      <c r="Z957" s="319"/>
    </row>
    <row r="958" ht="15.75" customHeight="1">
      <c r="A958" s="324"/>
      <c r="B958" s="319"/>
      <c r="C958" s="317"/>
      <c r="D958" s="317"/>
      <c r="E958" s="319"/>
      <c r="F958" s="319"/>
      <c r="G958" s="319"/>
      <c r="H958" s="319"/>
      <c r="I958" s="319"/>
      <c r="J958" s="319"/>
      <c r="K958" s="319"/>
      <c r="L958" s="319"/>
      <c r="M958" s="319"/>
      <c r="N958" s="319"/>
      <c r="O958" s="319"/>
      <c r="P958" s="319"/>
      <c r="Q958" s="319"/>
      <c r="R958" s="319"/>
      <c r="S958" s="319"/>
      <c r="T958" s="319"/>
      <c r="U958" s="319"/>
      <c r="V958" s="319"/>
      <c r="W958" s="319"/>
      <c r="X958" s="319"/>
      <c r="Y958" s="319"/>
      <c r="Z958" s="319"/>
    </row>
    <row r="959" ht="15.75" customHeight="1">
      <c r="A959" s="324"/>
      <c r="B959" s="319"/>
      <c r="C959" s="317"/>
      <c r="D959" s="317"/>
      <c r="E959" s="319"/>
      <c r="F959" s="319"/>
      <c r="G959" s="319"/>
      <c r="H959" s="319"/>
      <c r="I959" s="319"/>
      <c r="J959" s="319"/>
      <c r="K959" s="319"/>
      <c r="L959" s="319"/>
      <c r="M959" s="319"/>
      <c r="N959" s="319"/>
      <c r="O959" s="319"/>
      <c r="P959" s="319"/>
      <c r="Q959" s="319"/>
      <c r="R959" s="319"/>
      <c r="S959" s="319"/>
      <c r="T959" s="319"/>
      <c r="U959" s="319"/>
      <c r="V959" s="319"/>
      <c r="W959" s="319"/>
      <c r="X959" s="319"/>
      <c r="Y959" s="319"/>
      <c r="Z959" s="319"/>
    </row>
    <row r="960" ht="15.75" customHeight="1">
      <c r="A960" s="324"/>
      <c r="B960" s="319"/>
      <c r="C960" s="317"/>
      <c r="D960" s="317"/>
      <c r="E960" s="319"/>
      <c r="F960" s="319"/>
      <c r="G960" s="319"/>
      <c r="H960" s="319"/>
      <c r="I960" s="319"/>
      <c r="J960" s="319"/>
      <c r="K960" s="319"/>
      <c r="L960" s="319"/>
      <c r="M960" s="319"/>
      <c r="N960" s="319"/>
      <c r="O960" s="319"/>
      <c r="P960" s="319"/>
      <c r="Q960" s="319"/>
      <c r="R960" s="319"/>
      <c r="S960" s="319"/>
      <c r="T960" s="319"/>
      <c r="U960" s="319"/>
      <c r="V960" s="319"/>
      <c r="W960" s="319"/>
      <c r="X960" s="319"/>
      <c r="Y960" s="319"/>
      <c r="Z960" s="319"/>
    </row>
    <row r="961" ht="15.75" customHeight="1">
      <c r="A961" s="324"/>
      <c r="B961" s="319"/>
      <c r="C961" s="317"/>
      <c r="D961" s="317"/>
      <c r="E961" s="319"/>
      <c r="F961" s="319"/>
      <c r="G961" s="319"/>
      <c r="H961" s="319"/>
      <c r="I961" s="319"/>
      <c r="J961" s="319"/>
      <c r="K961" s="319"/>
      <c r="L961" s="319"/>
      <c r="M961" s="319"/>
      <c r="N961" s="319"/>
      <c r="O961" s="319"/>
      <c r="P961" s="319"/>
      <c r="Q961" s="319"/>
      <c r="R961" s="319"/>
      <c r="S961" s="319"/>
      <c r="T961" s="319"/>
      <c r="U961" s="319"/>
      <c r="V961" s="319"/>
      <c r="W961" s="319"/>
      <c r="X961" s="319"/>
      <c r="Y961" s="319"/>
      <c r="Z961" s="319"/>
    </row>
    <row r="962" ht="15.75" customHeight="1">
      <c r="A962" s="324"/>
      <c r="B962" s="319"/>
      <c r="C962" s="317"/>
      <c r="D962" s="317"/>
      <c r="E962" s="319"/>
      <c r="F962" s="319"/>
      <c r="G962" s="319"/>
      <c r="H962" s="319"/>
      <c r="I962" s="319"/>
      <c r="J962" s="319"/>
      <c r="K962" s="319"/>
      <c r="L962" s="319"/>
      <c r="M962" s="319"/>
      <c r="N962" s="319"/>
      <c r="O962" s="319"/>
      <c r="P962" s="319"/>
      <c r="Q962" s="319"/>
      <c r="R962" s="319"/>
      <c r="S962" s="319"/>
      <c r="T962" s="319"/>
      <c r="U962" s="319"/>
      <c r="V962" s="319"/>
      <c r="W962" s="319"/>
      <c r="X962" s="319"/>
      <c r="Y962" s="319"/>
      <c r="Z962" s="319"/>
    </row>
    <row r="963" ht="15.75" customHeight="1">
      <c r="A963" s="324"/>
      <c r="B963" s="319"/>
      <c r="C963" s="317"/>
      <c r="D963" s="317"/>
      <c r="E963" s="319"/>
      <c r="F963" s="319"/>
      <c r="G963" s="319"/>
      <c r="H963" s="319"/>
      <c r="I963" s="319"/>
      <c r="J963" s="319"/>
      <c r="K963" s="319"/>
      <c r="L963" s="319"/>
      <c r="M963" s="319"/>
      <c r="N963" s="319"/>
      <c r="O963" s="319"/>
      <c r="P963" s="319"/>
      <c r="Q963" s="319"/>
      <c r="R963" s="319"/>
      <c r="S963" s="319"/>
      <c r="T963" s="319"/>
      <c r="U963" s="319"/>
      <c r="V963" s="319"/>
      <c r="W963" s="319"/>
      <c r="X963" s="319"/>
      <c r="Y963" s="319"/>
      <c r="Z963" s="319"/>
    </row>
    <row r="964" ht="15.75" customHeight="1">
      <c r="A964" s="324"/>
      <c r="B964" s="319"/>
      <c r="C964" s="317"/>
      <c r="D964" s="317"/>
      <c r="E964" s="319"/>
      <c r="F964" s="319"/>
      <c r="G964" s="319"/>
      <c r="H964" s="319"/>
      <c r="I964" s="319"/>
      <c r="J964" s="319"/>
      <c r="K964" s="319"/>
      <c r="L964" s="319"/>
      <c r="M964" s="319"/>
      <c r="N964" s="319"/>
      <c r="O964" s="319"/>
      <c r="P964" s="319"/>
      <c r="Q964" s="319"/>
      <c r="R964" s="319"/>
      <c r="S964" s="319"/>
      <c r="T964" s="319"/>
      <c r="U964" s="319"/>
      <c r="V964" s="319"/>
      <c r="W964" s="319"/>
      <c r="X964" s="319"/>
      <c r="Y964" s="319"/>
      <c r="Z964" s="319"/>
    </row>
    <row r="965" ht="15.75" customHeight="1">
      <c r="A965" s="324"/>
      <c r="B965" s="319"/>
      <c r="C965" s="317"/>
      <c r="D965" s="317"/>
      <c r="E965" s="319"/>
      <c r="F965" s="319"/>
      <c r="G965" s="319"/>
      <c r="H965" s="319"/>
      <c r="I965" s="319"/>
      <c r="J965" s="319"/>
      <c r="K965" s="319"/>
      <c r="L965" s="319"/>
      <c r="M965" s="319"/>
      <c r="N965" s="319"/>
      <c r="O965" s="319"/>
      <c r="P965" s="319"/>
      <c r="Q965" s="319"/>
      <c r="R965" s="319"/>
      <c r="S965" s="319"/>
      <c r="T965" s="319"/>
      <c r="U965" s="319"/>
      <c r="V965" s="319"/>
      <c r="W965" s="319"/>
      <c r="X965" s="319"/>
      <c r="Y965" s="319"/>
      <c r="Z965" s="319"/>
    </row>
    <row r="966" ht="15.75" customHeight="1">
      <c r="A966" s="324"/>
      <c r="B966" s="319"/>
      <c r="C966" s="317"/>
      <c r="D966" s="317"/>
      <c r="E966" s="319"/>
      <c r="F966" s="319"/>
      <c r="G966" s="319"/>
      <c r="H966" s="319"/>
      <c r="I966" s="319"/>
      <c r="J966" s="319"/>
      <c r="K966" s="319"/>
      <c r="L966" s="319"/>
      <c r="M966" s="319"/>
      <c r="N966" s="319"/>
      <c r="O966" s="319"/>
      <c r="P966" s="319"/>
      <c r="Q966" s="319"/>
      <c r="R966" s="319"/>
      <c r="S966" s="319"/>
      <c r="T966" s="319"/>
      <c r="U966" s="319"/>
      <c r="V966" s="319"/>
      <c r="W966" s="319"/>
      <c r="X966" s="319"/>
      <c r="Y966" s="319"/>
      <c r="Z966" s="319"/>
    </row>
    <row r="967" ht="15.75" customHeight="1">
      <c r="A967" s="324"/>
      <c r="B967" s="319"/>
      <c r="C967" s="317"/>
      <c r="D967" s="317"/>
      <c r="E967" s="319"/>
      <c r="F967" s="319"/>
      <c r="G967" s="319"/>
      <c r="H967" s="319"/>
      <c r="I967" s="319"/>
      <c r="J967" s="319"/>
      <c r="K967" s="319"/>
      <c r="L967" s="319"/>
      <c r="M967" s="319"/>
      <c r="N967" s="319"/>
      <c r="O967" s="319"/>
      <c r="P967" s="319"/>
      <c r="Q967" s="319"/>
      <c r="R967" s="319"/>
      <c r="S967" s="319"/>
      <c r="T967" s="319"/>
      <c r="U967" s="319"/>
      <c r="V967" s="319"/>
      <c r="W967" s="319"/>
      <c r="X967" s="319"/>
      <c r="Y967" s="319"/>
      <c r="Z967" s="319"/>
    </row>
    <row r="968" ht="15.75" customHeight="1">
      <c r="A968" s="324"/>
      <c r="B968" s="319"/>
      <c r="C968" s="317"/>
      <c r="D968" s="317"/>
      <c r="E968" s="319"/>
      <c r="F968" s="319"/>
      <c r="G968" s="319"/>
      <c r="H968" s="319"/>
      <c r="I968" s="319"/>
      <c r="J968" s="319"/>
      <c r="K968" s="319"/>
      <c r="L968" s="319"/>
      <c r="M968" s="319"/>
      <c r="N968" s="319"/>
      <c r="O968" s="319"/>
      <c r="P968" s="319"/>
      <c r="Q968" s="319"/>
      <c r="R968" s="319"/>
      <c r="S968" s="319"/>
      <c r="T968" s="319"/>
      <c r="U968" s="319"/>
      <c r="V968" s="319"/>
      <c r="W968" s="319"/>
      <c r="X968" s="319"/>
      <c r="Y968" s="319"/>
      <c r="Z968" s="319"/>
    </row>
    <row r="969" ht="15.75" customHeight="1">
      <c r="A969" s="324"/>
      <c r="B969" s="319"/>
      <c r="C969" s="317"/>
      <c r="D969" s="317"/>
      <c r="E969" s="319"/>
      <c r="F969" s="319"/>
      <c r="G969" s="319"/>
      <c r="H969" s="319"/>
      <c r="I969" s="319"/>
      <c r="J969" s="319"/>
      <c r="K969" s="319"/>
      <c r="L969" s="319"/>
      <c r="M969" s="319"/>
      <c r="N969" s="319"/>
      <c r="O969" s="319"/>
      <c r="P969" s="319"/>
      <c r="Q969" s="319"/>
      <c r="R969" s="319"/>
      <c r="S969" s="319"/>
      <c r="T969" s="319"/>
      <c r="U969" s="319"/>
      <c r="V969" s="319"/>
      <c r="W969" s="319"/>
      <c r="X969" s="319"/>
      <c r="Y969" s="319"/>
      <c r="Z969" s="319"/>
    </row>
    <row r="970" ht="15.75" customHeight="1">
      <c r="A970" s="324"/>
      <c r="B970" s="319"/>
      <c r="C970" s="317"/>
      <c r="D970" s="317"/>
      <c r="E970" s="319"/>
      <c r="F970" s="319"/>
      <c r="G970" s="319"/>
      <c r="H970" s="319"/>
      <c r="I970" s="319"/>
      <c r="J970" s="319"/>
      <c r="K970" s="319"/>
      <c r="L970" s="319"/>
      <c r="M970" s="319"/>
      <c r="N970" s="319"/>
      <c r="O970" s="319"/>
      <c r="P970" s="319"/>
      <c r="Q970" s="319"/>
      <c r="R970" s="319"/>
      <c r="S970" s="319"/>
      <c r="T970" s="319"/>
      <c r="U970" s="319"/>
      <c r="V970" s="319"/>
      <c r="W970" s="319"/>
      <c r="X970" s="319"/>
      <c r="Y970" s="319"/>
      <c r="Z970" s="319"/>
    </row>
    <row r="971" ht="15.75" customHeight="1">
      <c r="A971" s="324"/>
      <c r="B971" s="319"/>
      <c r="C971" s="317"/>
      <c r="D971" s="317"/>
      <c r="E971" s="319"/>
      <c r="F971" s="319"/>
      <c r="G971" s="319"/>
      <c r="H971" s="319"/>
      <c r="I971" s="319"/>
      <c r="J971" s="319"/>
      <c r="K971" s="319"/>
      <c r="L971" s="319"/>
      <c r="M971" s="319"/>
      <c r="N971" s="319"/>
      <c r="O971" s="319"/>
      <c r="P971" s="319"/>
      <c r="Q971" s="319"/>
      <c r="R971" s="319"/>
      <c r="S971" s="319"/>
      <c r="T971" s="319"/>
      <c r="U971" s="319"/>
      <c r="V971" s="319"/>
      <c r="W971" s="319"/>
      <c r="X971" s="319"/>
      <c r="Y971" s="319"/>
      <c r="Z971" s="319"/>
    </row>
    <row r="972" ht="15.75" customHeight="1">
      <c r="A972" s="324"/>
      <c r="B972" s="319"/>
      <c r="C972" s="317"/>
      <c r="D972" s="317"/>
      <c r="E972" s="319"/>
      <c r="F972" s="319"/>
      <c r="G972" s="319"/>
      <c r="H972" s="319"/>
      <c r="I972" s="319"/>
      <c r="J972" s="319"/>
      <c r="K972" s="319"/>
      <c r="L972" s="319"/>
      <c r="M972" s="319"/>
      <c r="N972" s="319"/>
      <c r="O972" s="319"/>
      <c r="P972" s="319"/>
      <c r="Q972" s="319"/>
      <c r="R972" s="319"/>
      <c r="S972" s="319"/>
      <c r="T972" s="319"/>
      <c r="U972" s="319"/>
      <c r="V972" s="319"/>
      <c r="W972" s="319"/>
      <c r="X972" s="319"/>
      <c r="Y972" s="319"/>
      <c r="Z972" s="319"/>
    </row>
    <row r="973" ht="15.75" customHeight="1">
      <c r="A973" s="324"/>
      <c r="B973" s="319"/>
      <c r="C973" s="317"/>
      <c r="D973" s="317"/>
      <c r="E973" s="319"/>
      <c r="F973" s="319"/>
      <c r="G973" s="319"/>
      <c r="H973" s="319"/>
      <c r="I973" s="319"/>
      <c r="J973" s="319"/>
      <c r="K973" s="319"/>
      <c r="L973" s="319"/>
      <c r="M973" s="319"/>
      <c r="N973" s="319"/>
      <c r="O973" s="319"/>
      <c r="P973" s="319"/>
      <c r="Q973" s="319"/>
      <c r="R973" s="319"/>
      <c r="S973" s="319"/>
      <c r="T973" s="319"/>
      <c r="U973" s="319"/>
      <c r="V973" s="319"/>
      <c r="W973" s="319"/>
      <c r="X973" s="319"/>
      <c r="Y973" s="319"/>
      <c r="Z973" s="319"/>
    </row>
    <row r="974" ht="15.75" customHeight="1">
      <c r="A974" s="324"/>
      <c r="B974" s="319"/>
      <c r="C974" s="317"/>
      <c r="D974" s="317"/>
      <c r="E974" s="319"/>
      <c r="F974" s="319"/>
      <c r="G974" s="319"/>
      <c r="H974" s="319"/>
      <c r="I974" s="319"/>
      <c r="J974" s="319"/>
      <c r="K974" s="319"/>
      <c r="L974" s="319"/>
      <c r="M974" s="319"/>
      <c r="N974" s="319"/>
      <c r="O974" s="319"/>
      <c r="P974" s="319"/>
      <c r="Q974" s="319"/>
      <c r="R974" s="319"/>
      <c r="S974" s="319"/>
      <c r="T974" s="319"/>
      <c r="U974" s="319"/>
      <c r="V974" s="319"/>
      <c r="W974" s="319"/>
      <c r="X974" s="319"/>
      <c r="Y974" s="319"/>
      <c r="Z974" s="319"/>
    </row>
    <row r="975" ht="15.75" customHeight="1">
      <c r="A975" s="324"/>
      <c r="B975" s="319"/>
      <c r="C975" s="317"/>
      <c r="D975" s="317"/>
      <c r="E975" s="319"/>
      <c r="F975" s="319"/>
      <c r="G975" s="319"/>
      <c r="H975" s="319"/>
      <c r="I975" s="319"/>
      <c r="J975" s="319"/>
      <c r="K975" s="319"/>
      <c r="L975" s="319"/>
      <c r="M975" s="319"/>
      <c r="N975" s="319"/>
      <c r="O975" s="319"/>
      <c r="P975" s="319"/>
      <c r="Q975" s="319"/>
      <c r="R975" s="319"/>
      <c r="S975" s="319"/>
      <c r="T975" s="319"/>
      <c r="U975" s="319"/>
      <c r="V975" s="319"/>
      <c r="W975" s="319"/>
      <c r="X975" s="319"/>
      <c r="Y975" s="319"/>
      <c r="Z975" s="319"/>
    </row>
    <row r="976" ht="15.75" customHeight="1">
      <c r="A976" s="324"/>
      <c r="B976" s="319"/>
      <c r="C976" s="317"/>
      <c r="D976" s="317"/>
      <c r="E976" s="319"/>
      <c r="F976" s="319"/>
      <c r="G976" s="319"/>
      <c r="H976" s="319"/>
      <c r="I976" s="319"/>
      <c r="J976" s="319"/>
      <c r="K976" s="319"/>
      <c r="L976" s="319"/>
      <c r="M976" s="319"/>
      <c r="N976" s="319"/>
      <c r="O976" s="319"/>
      <c r="P976" s="319"/>
      <c r="Q976" s="319"/>
      <c r="R976" s="319"/>
      <c r="S976" s="319"/>
      <c r="T976" s="319"/>
      <c r="U976" s="319"/>
      <c r="V976" s="319"/>
      <c r="W976" s="319"/>
      <c r="X976" s="319"/>
      <c r="Y976" s="319"/>
      <c r="Z976" s="319"/>
    </row>
    <row r="977" ht="15.75" customHeight="1">
      <c r="A977" s="324"/>
      <c r="B977" s="319"/>
      <c r="C977" s="317"/>
      <c r="D977" s="317"/>
      <c r="E977" s="319"/>
      <c r="F977" s="319"/>
      <c r="G977" s="319"/>
      <c r="H977" s="319"/>
      <c r="I977" s="319"/>
      <c r="J977" s="319"/>
      <c r="K977" s="319"/>
      <c r="L977" s="319"/>
      <c r="M977" s="319"/>
      <c r="N977" s="319"/>
      <c r="O977" s="319"/>
      <c r="P977" s="319"/>
      <c r="Q977" s="319"/>
      <c r="R977" s="319"/>
      <c r="S977" s="319"/>
      <c r="T977" s="319"/>
      <c r="U977" s="319"/>
      <c r="V977" s="319"/>
      <c r="W977" s="319"/>
      <c r="X977" s="319"/>
      <c r="Y977" s="319"/>
      <c r="Z977" s="319"/>
    </row>
    <row r="978" ht="15.75" customHeight="1">
      <c r="A978" s="324"/>
      <c r="B978" s="319"/>
      <c r="C978" s="317"/>
      <c r="D978" s="317"/>
      <c r="E978" s="319"/>
      <c r="F978" s="319"/>
      <c r="G978" s="319"/>
      <c r="H978" s="319"/>
      <c r="I978" s="319"/>
      <c r="J978" s="319"/>
      <c r="K978" s="319"/>
      <c r="L978" s="319"/>
      <c r="M978" s="319"/>
      <c r="N978" s="319"/>
      <c r="O978" s="319"/>
      <c r="P978" s="319"/>
      <c r="Q978" s="319"/>
      <c r="R978" s="319"/>
      <c r="S978" s="319"/>
      <c r="T978" s="319"/>
      <c r="U978" s="319"/>
      <c r="V978" s="319"/>
      <c r="W978" s="319"/>
      <c r="X978" s="319"/>
      <c r="Y978" s="319"/>
      <c r="Z978" s="319"/>
    </row>
    <row r="979" ht="15.75" customHeight="1">
      <c r="A979" s="324"/>
      <c r="B979" s="319"/>
      <c r="C979" s="317"/>
      <c r="D979" s="317"/>
      <c r="E979" s="319"/>
      <c r="F979" s="319"/>
      <c r="G979" s="319"/>
      <c r="H979" s="319"/>
      <c r="I979" s="319"/>
      <c r="J979" s="319"/>
      <c r="K979" s="319"/>
      <c r="L979" s="319"/>
      <c r="M979" s="319"/>
      <c r="N979" s="319"/>
      <c r="O979" s="319"/>
      <c r="P979" s="319"/>
      <c r="Q979" s="319"/>
      <c r="R979" s="319"/>
      <c r="S979" s="319"/>
      <c r="T979" s="319"/>
      <c r="U979" s="319"/>
      <c r="V979" s="319"/>
      <c r="W979" s="319"/>
      <c r="X979" s="319"/>
      <c r="Y979" s="319"/>
      <c r="Z979" s="319"/>
    </row>
    <row r="980" ht="15.75" customHeight="1">
      <c r="A980" s="324"/>
      <c r="B980" s="319"/>
      <c r="C980" s="317"/>
      <c r="D980" s="317"/>
      <c r="E980" s="319"/>
      <c r="F980" s="319"/>
      <c r="G980" s="319"/>
      <c r="H980" s="319"/>
      <c r="I980" s="319"/>
      <c r="J980" s="319"/>
      <c r="K980" s="319"/>
      <c r="L980" s="319"/>
      <c r="M980" s="319"/>
      <c r="N980" s="319"/>
      <c r="O980" s="319"/>
      <c r="P980" s="319"/>
      <c r="Q980" s="319"/>
      <c r="R980" s="319"/>
      <c r="S980" s="319"/>
      <c r="T980" s="319"/>
      <c r="U980" s="319"/>
      <c r="V980" s="319"/>
      <c r="W980" s="319"/>
      <c r="X980" s="319"/>
      <c r="Y980" s="319"/>
      <c r="Z980" s="319"/>
    </row>
    <row r="981" ht="15.75" customHeight="1">
      <c r="A981" s="324"/>
      <c r="B981" s="319"/>
      <c r="C981" s="317"/>
      <c r="D981" s="317"/>
      <c r="E981" s="319"/>
      <c r="F981" s="319"/>
      <c r="G981" s="319"/>
      <c r="H981" s="319"/>
      <c r="I981" s="319"/>
      <c r="J981" s="319"/>
      <c r="K981" s="319"/>
      <c r="L981" s="319"/>
      <c r="M981" s="319"/>
      <c r="N981" s="319"/>
      <c r="O981" s="319"/>
      <c r="P981" s="319"/>
      <c r="Q981" s="319"/>
      <c r="R981" s="319"/>
      <c r="S981" s="319"/>
      <c r="T981" s="319"/>
      <c r="U981" s="319"/>
      <c r="V981" s="319"/>
      <c r="W981" s="319"/>
      <c r="X981" s="319"/>
      <c r="Y981" s="319"/>
      <c r="Z981" s="319"/>
    </row>
    <row r="982" ht="15.75" customHeight="1">
      <c r="A982" s="324"/>
      <c r="B982" s="319"/>
      <c r="C982" s="317"/>
      <c r="D982" s="317"/>
      <c r="E982" s="319"/>
      <c r="F982" s="319"/>
      <c r="G982" s="319"/>
      <c r="H982" s="319"/>
      <c r="I982" s="319"/>
      <c r="J982" s="319"/>
      <c r="K982" s="319"/>
      <c r="L982" s="319"/>
      <c r="M982" s="319"/>
      <c r="N982" s="319"/>
      <c r="O982" s="319"/>
      <c r="P982" s="319"/>
      <c r="Q982" s="319"/>
      <c r="R982" s="319"/>
      <c r="S982" s="319"/>
      <c r="T982" s="319"/>
      <c r="U982" s="319"/>
      <c r="V982" s="319"/>
      <c r="W982" s="319"/>
      <c r="X982" s="319"/>
      <c r="Y982" s="319"/>
      <c r="Z982" s="319"/>
    </row>
    <row r="983" ht="15.75" customHeight="1">
      <c r="A983" s="324"/>
      <c r="B983" s="319"/>
      <c r="C983" s="317"/>
      <c r="D983" s="317"/>
      <c r="E983" s="319"/>
      <c r="F983" s="319"/>
      <c r="G983" s="319"/>
      <c r="H983" s="319"/>
      <c r="I983" s="319"/>
      <c r="J983" s="319"/>
      <c r="K983" s="319"/>
      <c r="L983" s="319"/>
      <c r="M983" s="319"/>
      <c r="N983" s="319"/>
      <c r="O983" s="319"/>
      <c r="P983" s="319"/>
      <c r="Q983" s="319"/>
      <c r="R983" s="319"/>
      <c r="S983" s="319"/>
      <c r="T983" s="319"/>
      <c r="U983" s="319"/>
      <c r="V983" s="319"/>
      <c r="W983" s="319"/>
      <c r="X983" s="319"/>
      <c r="Y983" s="319"/>
      <c r="Z983" s="319"/>
    </row>
    <row r="984" ht="15.75" customHeight="1">
      <c r="A984" s="324"/>
      <c r="B984" s="319"/>
      <c r="C984" s="317"/>
      <c r="D984" s="317"/>
      <c r="E984" s="319"/>
      <c r="F984" s="319"/>
      <c r="G984" s="319"/>
      <c r="H984" s="319"/>
      <c r="I984" s="319"/>
      <c r="J984" s="319"/>
      <c r="K984" s="319"/>
      <c r="L984" s="319"/>
      <c r="M984" s="319"/>
      <c r="N984" s="319"/>
      <c r="O984" s="319"/>
      <c r="P984" s="319"/>
      <c r="Q984" s="319"/>
      <c r="R984" s="319"/>
      <c r="S984" s="319"/>
      <c r="T984" s="319"/>
      <c r="U984" s="319"/>
      <c r="V984" s="319"/>
      <c r="W984" s="319"/>
      <c r="X984" s="319"/>
      <c r="Y984" s="319"/>
      <c r="Z984" s="319"/>
    </row>
    <row r="985" ht="15.75" customHeight="1">
      <c r="A985" s="324"/>
      <c r="B985" s="319"/>
      <c r="C985" s="317"/>
      <c r="D985" s="317"/>
      <c r="E985" s="319"/>
      <c r="F985" s="319"/>
      <c r="G985" s="319"/>
      <c r="H985" s="319"/>
      <c r="I985" s="319"/>
      <c r="J985" s="319"/>
      <c r="K985" s="319"/>
      <c r="L985" s="319"/>
      <c r="M985" s="319"/>
      <c r="N985" s="319"/>
      <c r="O985" s="319"/>
      <c r="P985" s="319"/>
      <c r="Q985" s="319"/>
      <c r="R985" s="319"/>
      <c r="S985" s="319"/>
      <c r="T985" s="319"/>
      <c r="U985" s="319"/>
      <c r="V985" s="319"/>
      <c r="W985" s="319"/>
      <c r="X985" s="319"/>
      <c r="Y985" s="319"/>
      <c r="Z985" s="319"/>
    </row>
    <row r="986" ht="15.75" customHeight="1">
      <c r="A986" s="324"/>
      <c r="B986" s="319"/>
      <c r="C986" s="317"/>
      <c r="D986" s="317"/>
      <c r="E986" s="319"/>
      <c r="F986" s="319"/>
      <c r="G986" s="319"/>
      <c r="H986" s="319"/>
      <c r="I986" s="319"/>
      <c r="J986" s="319"/>
      <c r="K986" s="319"/>
      <c r="L986" s="319"/>
      <c r="M986" s="319"/>
      <c r="N986" s="319"/>
      <c r="O986" s="319"/>
      <c r="P986" s="319"/>
      <c r="Q986" s="319"/>
      <c r="R986" s="319"/>
      <c r="S986" s="319"/>
      <c r="T986" s="319"/>
      <c r="U986" s="319"/>
      <c r="V986" s="319"/>
      <c r="W986" s="319"/>
      <c r="X986" s="319"/>
      <c r="Y986" s="319"/>
      <c r="Z986" s="319"/>
    </row>
    <row r="987" ht="15.75" customHeight="1">
      <c r="A987" s="324"/>
      <c r="B987" s="319"/>
      <c r="C987" s="317"/>
      <c r="D987" s="317"/>
      <c r="E987" s="319"/>
      <c r="F987" s="319"/>
      <c r="G987" s="319"/>
      <c r="H987" s="319"/>
      <c r="I987" s="319"/>
      <c r="J987" s="319"/>
      <c r="K987" s="319"/>
      <c r="L987" s="319"/>
      <c r="M987" s="319"/>
      <c r="N987" s="319"/>
      <c r="O987" s="319"/>
      <c r="P987" s="319"/>
      <c r="Q987" s="319"/>
      <c r="R987" s="319"/>
      <c r="S987" s="319"/>
      <c r="T987" s="319"/>
      <c r="U987" s="319"/>
      <c r="V987" s="319"/>
      <c r="W987" s="319"/>
      <c r="X987" s="319"/>
      <c r="Y987" s="319"/>
      <c r="Z987" s="319"/>
    </row>
    <row r="988" ht="15.75" customHeight="1">
      <c r="A988" s="324"/>
      <c r="B988" s="319"/>
      <c r="C988" s="317"/>
      <c r="D988" s="317"/>
      <c r="E988" s="319"/>
      <c r="F988" s="319"/>
      <c r="G988" s="319"/>
      <c r="H988" s="319"/>
      <c r="I988" s="319"/>
      <c r="J988" s="319"/>
      <c r="K988" s="319"/>
      <c r="L988" s="319"/>
      <c r="M988" s="319"/>
      <c r="N988" s="319"/>
      <c r="O988" s="319"/>
      <c r="P988" s="319"/>
      <c r="Q988" s="319"/>
      <c r="R988" s="319"/>
      <c r="S988" s="319"/>
      <c r="T988" s="319"/>
      <c r="U988" s="319"/>
      <c r="V988" s="319"/>
      <c r="W988" s="319"/>
      <c r="X988" s="319"/>
      <c r="Y988" s="319"/>
      <c r="Z988" s="319"/>
    </row>
    <row r="989" ht="15.75" customHeight="1">
      <c r="A989" s="324"/>
      <c r="B989" s="319"/>
      <c r="C989" s="317"/>
      <c r="D989" s="317"/>
      <c r="E989" s="319"/>
      <c r="F989" s="319"/>
      <c r="G989" s="319"/>
      <c r="H989" s="319"/>
      <c r="I989" s="319"/>
      <c r="J989" s="319"/>
      <c r="K989" s="319"/>
      <c r="L989" s="319"/>
      <c r="M989" s="319"/>
      <c r="N989" s="319"/>
      <c r="O989" s="319"/>
      <c r="P989" s="319"/>
      <c r="Q989" s="319"/>
      <c r="R989" s="319"/>
      <c r="S989" s="319"/>
      <c r="T989" s="319"/>
      <c r="U989" s="319"/>
      <c r="V989" s="319"/>
      <c r="W989" s="319"/>
      <c r="X989" s="319"/>
      <c r="Y989" s="319"/>
      <c r="Z989" s="319"/>
    </row>
    <row r="990" ht="15.75" customHeight="1">
      <c r="A990" s="324"/>
      <c r="B990" s="319"/>
      <c r="C990" s="317"/>
      <c r="D990" s="317"/>
      <c r="E990" s="319"/>
      <c r="F990" s="319"/>
      <c r="G990" s="319"/>
      <c r="H990" s="319"/>
      <c r="I990" s="319"/>
      <c r="J990" s="319"/>
      <c r="K990" s="319"/>
      <c r="L990" s="319"/>
      <c r="M990" s="319"/>
      <c r="N990" s="319"/>
      <c r="O990" s="319"/>
      <c r="P990" s="319"/>
      <c r="Q990" s="319"/>
      <c r="R990" s="319"/>
      <c r="S990" s="319"/>
      <c r="T990" s="319"/>
      <c r="U990" s="319"/>
      <c r="V990" s="319"/>
      <c r="W990" s="319"/>
      <c r="X990" s="319"/>
      <c r="Y990" s="319"/>
      <c r="Z990" s="319"/>
    </row>
    <row r="991" ht="15.75" customHeight="1">
      <c r="A991" s="324"/>
      <c r="B991" s="319"/>
      <c r="C991" s="317"/>
      <c r="D991" s="317"/>
      <c r="E991" s="319"/>
      <c r="F991" s="319"/>
      <c r="G991" s="319"/>
      <c r="H991" s="319"/>
      <c r="I991" s="319"/>
      <c r="J991" s="319"/>
      <c r="K991" s="319"/>
      <c r="L991" s="319"/>
      <c r="M991" s="319"/>
      <c r="N991" s="319"/>
      <c r="O991" s="319"/>
      <c r="P991" s="319"/>
      <c r="Q991" s="319"/>
      <c r="R991" s="319"/>
      <c r="S991" s="319"/>
      <c r="T991" s="319"/>
      <c r="U991" s="319"/>
      <c r="V991" s="319"/>
      <c r="W991" s="319"/>
      <c r="X991" s="319"/>
      <c r="Y991" s="319"/>
      <c r="Z991" s="319"/>
    </row>
    <row r="992" ht="15.75" customHeight="1">
      <c r="A992" s="324"/>
      <c r="B992" s="319"/>
      <c r="C992" s="317"/>
      <c r="D992" s="317"/>
      <c r="E992" s="319"/>
      <c r="F992" s="319"/>
      <c r="G992" s="319"/>
      <c r="H992" s="319"/>
      <c r="I992" s="319"/>
      <c r="J992" s="319"/>
      <c r="K992" s="319"/>
      <c r="L992" s="319"/>
      <c r="M992" s="319"/>
      <c r="N992" s="319"/>
      <c r="O992" s="319"/>
      <c r="P992" s="319"/>
      <c r="Q992" s="319"/>
      <c r="R992" s="319"/>
      <c r="S992" s="319"/>
      <c r="T992" s="319"/>
      <c r="U992" s="319"/>
      <c r="V992" s="319"/>
      <c r="W992" s="319"/>
      <c r="X992" s="319"/>
      <c r="Y992" s="319"/>
      <c r="Z992" s="319"/>
    </row>
    <row r="993" ht="15.75" customHeight="1">
      <c r="A993" s="324"/>
      <c r="B993" s="319"/>
      <c r="C993" s="317"/>
      <c r="D993" s="317"/>
      <c r="E993" s="319"/>
      <c r="F993" s="319"/>
      <c r="G993" s="319"/>
      <c r="H993" s="319"/>
      <c r="I993" s="319"/>
      <c r="J993" s="319"/>
      <c r="K993" s="319"/>
      <c r="L993" s="319"/>
      <c r="M993" s="319"/>
      <c r="N993" s="319"/>
      <c r="O993" s="319"/>
      <c r="P993" s="319"/>
      <c r="Q993" s="319"/>
      <c r="R993" s="319"/>
      <c r="S993" s="319"/>
      <c r="T993" s="319"/>
      <c r="U993" s="319"/>
      <c r="V993" s="319"/>
      <c r="W993" s="319"/>
      <c r="X993" s="319"/>
      <c r="Y993" s="319"/>
      <c r="Z993" s="319"/>
    </row>
    <row r="994" ht="15.75" customHeight="1">
      <c r="A994" s="324"/>
      <c r="B994" s="319"/>
      <c r="C994" s="317"/>
      <c r="D994" s="317"/>
      <c r="E994" s="319"/>
      <c r="F994" s="319"/>
      <c r="G994" s="319"/>
      <c r="H994" s="319"/>
      <c r="I994" s="319"/>
      <c r="J994" s="319"/>
      <c r="K994" s="319"/>
      <c r="L994" s="319"/>
      <c r="M994" s="319"/>
      <c r="N994" s="319"/>
      <c r="O994" s="319"/>
      <c r="P994" s="319"/>
      <c r="Q994" s="319"/>
      <c r="R994" s="319"/>
      <c r="S994" s="319"/>
      <c r="T994" s="319"/>
      <c r="U994" s="319"/>
      <c r="V994" s="319"/>
      <c r="W994" s="319"/>
      <c r="X994" s="319"/>
      <c r="Y994" s="319"/>
      <c r="Z994" s="319"/>
    </row>
    <row r="995" ht="15.75" customHeight="1">
      <c r="A995" s="324"/>
      <c r="B995" s="319"/>
      <c r="C995" s="317"/>
      <c r="D995" s="317"/>
      <c r="E995" s="319"/>
      <c r="F995" s="319"/>
      <c r="G995" s="319"/>
      <c r="H995" s="319"/>
      <c r="I995" s="319"/>
      <c r="J995" s="319"/>
      <c r="K995" s="319"/>
      <c r="L995" s="319"/>
      <c r="M995" s="319"/>
      <c r="N995" s="319"/>
      <c r="O995" s="319"/>
      <c r="P995" s="319"/>
      <c r="Q995" s="319"/>
      <c r="R995" s="319"/>
      <c r="S995" s="319"/>
      <c r="T995" s="319"/>
      <c r="U995" s="319"/>
      <c r="V995" s="319"/>
      <c r="W995" s="319"/>
      <c r="X995" s="319"/>
      <c r="Y995" s="319"/>
      <c r="Z995" s="319"/>
    </row>
    <row r="996" ht="15.75" customHeight="1">
      <c r="A996" s="324"/>
      <c r="B996" s="319"/>
      <c r="C996" s="317"/>
      <c r="D996" s="317"/>
      <c r="E996" s="319"/>
      <c r="F996" s="319"/>
      <c r="G996" s="319"/>
      <c r="H996" s="319"/>
      <c r="I996" s="319"/>
      <c r="J996" s="319"/>
      <c r="K996" s="319"/>
      <c r="L996" s="319"/>
      <c r="M996" s="319"/>
      <c r="N996" s="319"/>
      <c r="O996" s="319"/>
      <c r="P996" s="319"/>
      <c r="Q996" s="319"/>
      <c r="R996" s="319"/>
      <c r="S996" s="319"/>
      <c r="T996" s="319"/>
      <c r="U996" s="319"/>
      <c r="V996" s="319"/>
      <c r="W996" s="319"/>
      <c r="X996" s="319"/>
      <c r="Y996" s="319"/>
      <c r="Z996" s="319"/>
    </row>
    <row r="997" ht="15.75" customHeight="1">
      <c r="A997" s="324"/>
      <c r="B997" s="319"/>
      <c r="C997" s="317"/>
      <c r="D997" s="317"/>
      <c r="E997" s="319"/>
      <c r="F997" s="319"/>
      <c r="G997" s="319"/>
      <c r="H997" s="319"/>
      <c r="I997" s="319"/>
      <c r="J997" s="319"/>
      <c r="K997" s="319"/>
      <c r="L997" s="319"/>
      <c r="M997" s="319"/>
      <c r="N997" s="319"/>
      <c r="O997" s="319"/>
      <c r="P997" s="319"/>
      <c r="Q997" s="319"/>
      <c r="R997" s="319"/>
      <c r="S997" s="319"/>
      <c r="T997" s="319"/>
      <c r="U997" s="319"/>
      <c r="V997" s="319"/>
      <c r="W997" s="319"/>
      <c r="X997" s="319"/>
      <c r="Y997" s="319"/>
      <c r="Z997" s="319"/>
    </row>
    <row r="998" ht="15.75" customHeight="1">
      <c r="A998" s="324"/>
      <c r="B998" s="319"/>
      <c r="C998" s="317"/>
      <c r="D998" s="317"/>
      <c r="E998" s="319"/>
      <c r="F998" s="319"/>
      <c r="G998" s="319"/>
      <c r="H998" s="319"/>
      <c r="I998" s="319"/>
      <c r="J998" s="319"/>
      <c r="K998" s="319"/>
      <c r="L998" s="319"/>
      <c r="M998" s="319"/>
      <c r="N998" s="319"/>
      <c r="O998" s="319"/>
      <c r="P998" s="319"/>
      <c r="Q998" s="319"/>
      <c r="R998" s="319"/>
      <c r="S998" s="319"/>
      <c r="T998" s="319"/>
      <c r="U998" s="319"/>
      <c r="V998" s="319"/>
      <c r="W998" s="319"/>
      <c r="X998" s="319"/>
      <c r="Y998" s="319"/>
      <c r="Z998" s="319"/>
    </row>
    <row r="999" ht="15.75" customHeight="1">
      <c r="A999" s="324"/>
      <c r="B999" s="319"/>
      <c r="C999" s="317"/>
      <c r="D999" s="317"/>
      <c r="E999" s="319"/>
      <c r="F999" s="319"/>
      <c r="G999" s="319"/>
      <c r="H999" s="319"/>
      <c r="I999" s="319"/>
      <c r="J999" s="319"/>
      <c r="K999" s="319"/>
      <c r="L999" s="319"/>
      <c r="M999" s="319"/>
      <c r="N999" s="319"/>
      <c r="O999" s="319"/>
      <c r="P999" s="319"/>
      <c r="Q999" s="319"/>
      <c r="R999" s="319"/>
      <c r="S999" s="319"/>
      <c r="T999" s="319"/>
      <c r="U999" s="319"/>
      <c r="V999" s="319"/>
      <c r="W999" s="319"/>
      <c r="X999" s="319"/>
      <c r="Y999" s="319"/>
      <c r="Z999" s="319"/>
    </row>
    <row r="1000" ht="15.75" customHeight="1">
      <c r="A1000" s="324"/>
      <c r="B1000" s="319"/>
      <c r="C1000" s="317"/>
      <c r="D1000" s="317"/>
      <c r="E1000" s="319"/>
      <c r="F1000" s="319"/>
      <c r="G1000" s="319"/>
      <c r="H1000" s="319"/>
      <c r="I1000" s="319"/>
      <c r="J1000" s="319"/>
      <c r="K1000" s="319"/>
      <c r="L1000" s="319"/>
      <c r="M1000" s="319"/>
      <c r="N1000" s="319"/>
      <c r="O1000" s="319"/>
      <c r="P1000" s="319"/>
      <c r="Q1000" s="319"/>
      <c r="R1000" s="319"/>
      <c r="S1000" s="319"/>
      <c r="T1000" s="319"/>
      <c r="U1000" s="319"/>
      <c r="V1000" s="319"/>
      <c r="W1000" s="319"/>
      <c r="X1000" s="319"/>
      <c r="Y1000" s="319"/>
      <c r="Z1000" s="319"/>
    </row>
  </sheetData>
  <autoFilter ref="$A$1:$E$50"/>
  <printOptions/>
  <pageMargins bottom="0.75" footer="0.0" header="0.0" left="0.7" right="0.7" top="0.75"/>
  <pageSetup orientation="landscape"/>
  <headerFooter>
    <oddFooter>&amp;C_x000D_#000000 SBI Card Restricted</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75"/>
    <col customWidth="1" min="2" max="2" width="20.38"/>
    <col customWidth="1" min="3" max="3" width="52.0"/>
    <col customWidth="1" min="4" max="6" width="17.75"/>
    <col customWidth="1" min="7" max="7" width="88.63"/>
    <col customWidth="1" min="8" max="8" width="22.75"/>
    <col customWidth="1" min="9" max="9" width="50.38"/>
    <col customWidth="1" min="10" max="26" width="8.63"/>
  </cols>
  <sheetData>
    <row r="1">
      <c r="A1" s="5" t="s">
        <v>4483</v>
      </c>
      <c r="B1" s="5" t="s">
        <v>4484</v>
      </c>
      <c r="C1" s="5" t="s">
        <v>4485</v>
      </c>
      <c r="D1" s="5" t="s">
        <v>4486</v>
      </c>
      <c r="E1" s="5" t="s">
        <v>4487</v>
      </c>
      <c r="F1" s="5" t="s">
        <v>275</v>
      </c>
      <c r="G1" s="26" t="s">
        <v>4488</v>
      </c>
      <c r="H1" s="26" t="s">
        <v>900</v>
      </c>
      <c r="I1" s="5" t="s">
        <v>901</v>
      </c>
    </row>
    <row r="2" ht="50.25" customHeight="1">
      <c r="A2" s="7" t="s">
        <v>4489</v>
      </c>
      <c r="B2" s="7" t="s">
        <v>4490</v>
      </c>
      <c r="C2" s="47" t="s">
        <v>4491</v>
      </c>
      <c r="D2" s="325" t="s">
        <v>559</v>
      </c>
      <c r="E2" s="325" t="s">
        <v>559</v>
      </c>
      <c r="F2" s="130">
        <v>46298.0</v>
      </c>
      <c r="G2" s="326" t="s">
        <v>4492</v>
      </c>
      <c r="H2" s="327"/>
      <c r="I2" s="328" t="s">
        <v>4493</v>
      </c>
    </row>
    <row r="3" ht="61.5" customHeight="1">
      <c r="A3" s="7" t="s">
        <v>4489</v>
      </c>
      <c r="B3" s="7" t="s">
        <v>4494</v>
      </c>
      <c r="C3" s="47" t="s">
        <v>4495</v>
      </c>
      <c r="D3" s="325" t="s">
        <v>559</v>
      </c>
      <c r="E3" s="325" t="s">
        <v>559</v>
      </c>
      <c r="F3" s="130">
        <v>46298.0</v>
      </c>
      <c r="G3" s="326" t="s">
        <v>4496</v>
      </c>
      <c r="H3" s="327"/>
      <c r="I3" s="328"/>
    </row>
    <row r="4" ht="64.5" customHeight="1">
      <c r="A4" s="7" t="s">
        <v>4489</v>
      </c>
      <c r="B4" s="7" t="s">
        <v>4497</v>
      </c>
      <c r="C4" s="47" t="s">
        <v>4498</v>
      </c>
      <c r="D4" s="325" t="s">
        <v>559</v>
      </c>
      <c r="E4" s="325" t="s">
        <v>559</v>
      </c>
      <c r="F4" s="130">
        <v>46298.0</v>
      </c>
      <c r="G4" s="326" t="s">
        <v>4499</v>
      </c>
      <c r="H4" s="327"/>
      <c r="I4" s="328"/>
    </row>
    <row r="5" ht="64.5" customHeight="1">
      <c r="A5" s="7" t="s">
        <v>4489</v>
      </c>
      <c r="B5" s="7" t="s">
        <v>4500</v>
      </c>
      <c r="C5" s="47" t="s">
        <v>4501</v>
      </c>
      <c r="D5" s="325" t="s">
        <v>559</v>
      </c>
      <c r="E5" s="325" t="s">
        <v>559</v>
      </c>
      <c r="F5" s="130">
        <v>46298.0</v>
      </c>
      <c r="G5" s="326" t="s">
        <v>4502</v>
      </c>
      <c r="H5" s="327"/>
      <c r="I5" s="121"/>
    </row>
    <row r="6" ht="61.5" customHeight="1">
      <c r="A6" s="7" t="s">
        <v>4489</v>
      </c>
      <c r="B6" s="7" t="s">
        <v>4503</v>
      </c>
      <c r="C6" s="47" t="s">
        <v>4504</v>
      </c>
      <c r="D6" s="325" t="s">
        <v>559</v>
      </c>
      <c r="E6" s="325" t="s">
        <v>559</v>
      </c>
      <c r="F6" s="130">
        <v>46298.0</v>
      </c>
      <c r="G6" s="326" t="s">
        <v>4505</v>
      </c>
      <c r="H6" s="327"/>
      <c r="I6" s="121"/>
    </row>
    <row r="7">
      <c r="A7" s="7" t="s">
        <v>4489</v>
      </c>
      <c r="B7" s="7" t="s">
        <v>4506</v>
      </c>
      <c r="C7" s="33" t="s">
        <v>579</v>
      </c>
      <c r="D7" s="325" t="s">
        <v>559</v>
      </c>
      <c r="E7" s="325" t="s">
        <v>559</v>
      </c>
      <c r="F7" s="130" t="s">
        <v>4507</v>
      </c>
      <c r="G7" s="326" t="s">
        <v>4508</v>
      </c>
      <c r="H7" s="327"/>
      <c r="I7" s="121"/>
    </row>
    <row r="8" ht="46.5" customHeight="1">
      <c r="A8" s="7" t="s">
        <v>4489</v>
      </c>
      <c r="B8" s="7" t="s">
        <v>4509</v>
      </c>
      <c r="C8" s="47" t="s">
        <v>4510</v>
      </c>
      <c r="D8" s="325" t="s">
        <v>559</v>
      </c>
      <c r="E8" s="325" t="s">
        <v>559</v>
      </c>
      <c r="F8" s="130" t="s">
        <v>2581</v>
      </c>
      <c r="G8" s="326" t="s">
        <v>4511</v>
      </c>
      <c r="H8" s="327"/>
      <c r="I8" s="121" t="s">
        <v>4512</v>
      </c>
    </row>
    <row r="9" ht="33.0" customHeight="1">
      <c r="A9" s="7" t="s">
        <v>4489</v>
      </c>
      <c r="B9" s="7" t="s">
        <v>4513</v>
      </c>
      <c r="C9" s="47" t="s">
        <v>4514</v>
      </c>
      <c r="D9" s="325" t="s">
        <v>559</v>
      </c>
      <c r="E9" s="325" t="s">
        <v>559</v>
      </c>
      <c r="F9" s="7" t="s">
        <v>1034</v>
      </c>
      <c r="G9" s="326"/>
      <c r="H9" s="327"/>
      <c r="I9" s="20"/>
    </row>
    <row r="10" ht="108.0" customHeight="1">
      <c r="A10" s="7" t="s">
        <v>4515</v>
      </c>
      <c r="B10" s="7" t="s">
        <v>4516</v>
      </c>
      <c r="C10" s="47" t="s">
        <v>4517</v>
      </c>
      <c r="D10" s="325" t="s">
        <v>559</v>
      </c>
      <c r="E10" s="325" t="s">
        <v>559</v>
      </c>
      <c r="F10" s="130" t="s">
        <v>4507</v>
      </c>
      <c r="G10" s="326" t="s">
        <v>4518</v>
      </c>
      <c r="H10" s="327"/>
      <c r="I10" s="328" t="s">
        <v>4519</v>
      </c>
    </row>
    <row r="11" ht="215.25" customHeight="1">
      <c r="A11" s="7" t="s">
        <v>4515</v>
      </c>
      <c r="B11" s="7" t="s">
        <v>4490</v>
      </c>
      <c r="C11" s="47" t="s">
        <v>4520</v>
      </c>
      <c r="D11" s="325" t="s">
        <v>559</v>
      </c>
      <c r="E11" s="325" t="s">
        <v>559</v>
      </c>
      <c r="F11" s="130">
        <v>46359.0</v>
      </c>
      <c r="G11" s="326" t="s">
        <v>4521</v>
      </c>
      <c r="H11" s="327" t="s">
        <v>1029</v>
      </c>
      <c r="I11" s="329" t="s">
        <v>4522</v>
      </c>
    </row>
    <row r="12" ht="113.25" customHeight="1">
      <c r="A12" s="7" t="s">
        <v>4515</v>
      </c>
      <c r="B12" s="7" t="s">
        <v>4523</v>
      </c>
      <c r="C12" s="47" t="s">
        <v>4524</v>
      </c>
      <c r="D12" s="325" t="s">
        <v>559</v>
      </c>
      <c r="E12" s="325" t="s">
        <v>559</v>
      </c>
      <c r="F12" s="130">
        <v>46298.0</v>
      </c>
      <c r="G12" s="326" t="s">
        <v>4525</v>
      </c>
      <c r="H12" s="327"/>
      <c r="I12" s="121"/>
    </row>
    <row r="13" ht="171.75" customHeight="1">
      <c r="A13" s="7" t="s">
        <v>4515</v>
      </c>
      <c r="B13" s="7" t="s">
        <v>4526</v>
      </c>
      <c r="C13" s="47" t="s">
        <v>4527</v>
      </c>
      <c r="D13" s="325" t="s">
        <v>559</v>
      </c>
      <c r="E13" s="325" t="s">
        <v>559</v>
      </c>
      <c r="F13" s="130">
        <v>46298.0</v>
      </c>
      <c r="G13" s="326" t="s">
        <v>4528</v>
      </c>
      <c r="H13" s="327"/>
      <c r="I13" s="328" t="s">
        <v>4529</v>
      </c>
    </row>
    <row r="14" ht="96.0" customHeight="1">
      <c r="A14" s="7" t="s">
        <v>4515</v>
      </c>
      <c r="B14" s="7" t="s">
        <v>4530</v>
      </c>
      <c r="C14" s="47" t="s">
        <v>4531</v>
      </c>
      <c r="D14" s="325" t="s">
        <v>559</v>
      </c>
      <c r="E14" s="325" t="s">
        <v>559</v>
      </c>
      <c r="F14" s="130">
        <v>46298.0</v>
      </c>
      <c r="G14" s="326" t="s">
        <v>4532</v>
      </c>
      <c r="H14" s="327" t="s">
        <v>1029</v>
      </c>
      <c r="I14" s="329" t="s">
        <v>4533</v>
      </c>
    </row>
    <row r="15" ht="198.0" customHeight="1">
      <c r="A15" s="7" t="s">
        <v>4515</v>
      </c>
      <c r="B15" s="7" t="s">
        <v>4534</v>
      </c>
      <c r="C15" s="47" t="s">
        <v>4535</v>
      </c>
      <c r="D15" s="325" t="s">
        <v>559</v>
      </c>
      <c r="E15" s="325" t="s">
        <v>559</v>
      </c>
      <c r="F15" s="130" t="s">
        <v>2581</v>
      </c>
      <c r="G15" s="326" t="s">
        <v>4536</v>
      </c>
      <c r="H15" s="330"/>
      <c r="I15" s="331"/>
    </row>
    <row r="16" ht="259.5" customHeight="1">
      <c r="A16" s="7" t="s">
        <v>4515</v>
      </c>
      <c r="B16" s="7" t="s">
        <v>4537</v>
      </c>
      <c r="C16" s="47" t="s">
        <v>4538</v>
      </c>
      <c r="D16" s="325" t="s">
        <v>559</v>
      </c>
      <c r="E16" s="325" t="s">
        <v>559</v>
      </c>
      <c r="F16" s="130">
        <v>46298.0</v>
      </c>
      <c r="G16" s="326" t="s">
        <v>4539</v>
      </c>
      <c r="H16" s="327"/>
      <c r="I16" s="121"/>
    </row>
    <row r="17">
      <c r="A17" s="7" t="s">
        <v>4515</v>
      </c>
      <c r="B17" s="7" t="s">
        <v>4540</v>
      </c>
      <c r="C17" s="47" t="s">
        <v>4541</v>
      </c>
      <c r="D17" s="325" t="s">
        <v>559</v>
      </c>
      <c r="E17" s="325" t="s">
        <v>559</v>
      </c>
      <c r="F17" s="130">
        <v>46298.0</v>
      </c>
      <c r="G17" s="326" t="s">
        <v>4542</v>
      </c>
      <c r="H17" s="327"/>
      <c r="I17" s="121"/>
    </row>
    <row r="18" ht="111.0" customHeight="1">
      <c r="A18" s="7" t="s">
        <v>4543</v>
      </c>
      <c r="B18" s="7" t="s">
        <v>4530</v>
      </c>
      <c r="C18" s="47" t="s">
        <v>4544</v>
      </c>
      <c r="D18" s="325" t="s">
        <v>559</v>
      </c>
      <c r="E18" s="325" t="s">
        <v>559</v>
      </c>
      <c r="F18" s="130">
        <v>46298.0</v>
      </c>
      <c r="G18" s="326" t="s">
        <v>4545</v>
      </c>
      <c r="H18" s="327"/>
      <c r="I18" s="121"/>
    </row>
    <row r="19">
      <c r="A19" s="7" t="s">
        <v>4543</v>
      </c>
      <c r="B19" s="7" t="s">
        <v>4546</v>
      </c>
      <c r="C19" s="47" t="s">
        <v>4547</v>
      </c>
      <c r="D19" s="325" t="s">
        <v>559</v>
      </c>
      <c r="E19" s="325" t="s">
        <v>559</v>
      </c>
      <c r="F19" s="130">
        <v>46298.0</v>
      </c>
      <c r="G19" s="326" t="s">
        <v>4548</v>
      </c>
      <c r="H19" s="327"/>
      <c r="I19" s="121"/>
    </row>
    <row r="20" ht="45.75" customHeight="1">
      <c r="A20" s="7" t="s">
        <v>4543</v>
      </c>
      <c r="B20" s="7" t="s">
        <v>4549</v>
      </c>
      <c r="C20" s="47" t="s">
        <v>4550</v>
      </c>
      <c r="D20" s="325" t="s">
        <v>559</v>
      </c>
      <c r="E20" s="325" t="s">
        <v>559</v>
      </c>
      <c r="F20" s="130" t="s">
        <v>2581</v>
      </c>
      <c r="G20" s="326" t="s">
        <v>4551</v>
      </c>
      <c r="H20" s="327"/>
      <c r="I20" s="121"/>
    </row>
    <row r="21" ht="15.75" customHeight="1">
      <c r="A21" s="7" t="s">
        <v>4543</v>
      </c>
      <c r="B21" s="7" t="s">
        <v>4552</v>
      </c>
      <c r="C21" s="47" t="s">
        <v>4553</v>
      </c>
      <c r="D21" s="325" t="s">
        <v>559</v>
      </c>
      <c r="E21" s="325" t="s">
        <v>559</v>
      </c>
      <c r="F21" s="130" t="s">
        <v>2581</v>
      </c>
      <c r="G21" s="326" t="s">
        <v>4554</v>
      </c>
      <c r="H21" s="332"/>
      <c r="I21" s="333"/>
    </row>
    <row r="22" ht="198.75" customHeight="1">
      <c r="A22" s="7" t="s">
        <v>4543</v>
      </c>
      <c r="B22" s="7" t="s">
        <v>4555</v>
      </c>
      <c r="C22" s="47" t="s">
        <v>4556</v>
      </c>
      <c r="D22" s="325" t="s">
        <v>559</v>
      </c>
      <c r="E22" s="325" t="s">
        <v>559</v>
      </c>
      <c r="F22" s="130" t="s">
        <v>2581</v>
      </c>
      <c r="G22" s="326" t="s">
        <v>4557</v>
      </c>
      <c r="H22" s="327" t="s">
        <v>1029</v>
      </c>
      <c r="I22" s="329" t="s">
        <v>4558</v>
      </c>
    </row>
    <row r="23" ht="15.75" customHeight="1">
      <c r="A23" s="7" t="s">
        <v>4543</v>
      </c>
      <c r="B23" s="7" t="s">
        <v>4559</v>
      </c>
      <c r="C23" s="47" t="s">
        <v>4560</v>
      </c>
      <c r="D23" s="325" t="s">
        <v>559</v>
      </c>
      <c r="E23" s="325" t="s">
        <v>559</v>
      </c>
      <c r="F23" s="7" t="s">
        <v>2581</v>
      </c>
      <c r="G23" s="326" t="s">
        <v>4561</v>
      </c>
      <c r="H23" s="327"/>
      <c r="I23" s="121"/>
    </row>
    <row r="24" ht="15.75" customHeight="1">
      <c r="A24" s="7" t="s">
        <v>4543</v>
      </c>
      <c r="B24" s="7" t="s">
        <v>4562</v>
      </c>
      <c r="C24" s="47" t="s">
        <v>4563</v>
      </c>
      <c r="D24" s="325" t="s">
        <v>559</v>
      </c>
      <c r="E24" s="325" t="s">
        <v>559</v>
      </c>
      <c r="F24" s="130" t="s">
        <v>2581</v>
      </c>
      <c r="G24" s="326" t="s">
        <v>4564</v>
      </c>
      <c r="H24" s="327"/>
      <c r="I24" s="328"/>
    </row>
    <row r="25" ht="15.75" customHeight="1">
      <c r="A25" s="7" t="s">
        <v>4543</v>
      </c>
      <c r="B25" s="7" t="s">
        <v>4565</v>
      </c>
      <c r="C25" s="47" t="s">
        <v>579</v>
      </c>
      <c r="D25" s="325" t="s">
        <v>559</v>
      </c>
      <c r="E25" s="325" t="s">
        <v>559</v>
      </c>
      <c r="F25" s="7" t="s">
        <v>2581</v>
      </c>
      <c r="G25" s="326" t="s">
        <v>4566</v>
      </c>
      <c r="H25" s="327"/>
      <c r="I25" s="328"/>
    </row>
    <row r="26" ht="15.75" customHeight="1">
      <c r="A26" s="7" t="s">
        <v>4543</v>
      </c>
      <c r="B26" s="7" t="s">
        <v>4567</v>
      </c>
      <c r="C26" s="47" t="s">
        <v>4568</v>
      </c>
      <c r="D26" s="325" t="s">
        <v>559</v>
      </c>
      <c r="E26" s="325" t="s">
        <v>559</v>
      </c>
      <c r="F26" s="7" t="s">
        <v>2581</v>
      </c>
      <c r="G26" s="326" t="s">
        <v>4569</v>
      </c>
      <c r="H26" s="327"/>
      <c r="I26" s="121"/>
    </row>
    <row r="27" ht="231.75" customHeight="1">
      <c r="A27" s="7" t="s">
        <v>4570</v>
      </c>
      <c r="B27" s="7" t="s">
        <v>4571</v>
      </c>
      <c r="C27" s="47" t="s">
        <v>4572</v>
      </c>
      <c r="D27" s="325" t="s">
        <v>559</v>
      </c>
      <c r="E27" s="325" t="s">
        <v>559</v>
      </c>
      <c r="F27" s="130" t="s">
        <v>701</v>
      </c>
      <c r="G27" s="326" t="s">
        <v>4573</v>
      </c>
      <c r="H27" s="327"/>
      <c r="I27" s="121" t="s">
        <v>4574</v>
      </c>
    </row>
    <row r="28" ht="15.75" customHeight="1">
      <c r="A28" s="7" t="s">
        <v>4570</v>
      </c>
      <c r="B28" s="7" t="s">
        <v>4575</v>
      </c>
      <c r="C28" s="47" t="s">
        <v>4576</v>
      </c>
      <c r="D28" s="325" t="s">
        <v>559</v>
      </c>
      <c r="E28" s="325" t="s">
        <v>559</v>
      </c>
      <c r="F28" s="130" t="s">
        <v>2581</v>
      </c>
      <c r="G28" s="326" t="s">
        <v>4577</v>
      </c>
      <c r="H28" s="327"/>
      <c r="I28" s="121"/>
    </row>
    <row r="29" ht="78.75" customHeight="1">
      <c r="A29" s="7" t="s">
        <v>4570</v>
      </c>
      <c r="B29" s="7" t="s">
        <v>4578</v>
      </c>
      <c r="C29" s="47" t="s">
        <v>4579</v>
      </c>
      <c r="D29" s="325" t="s">
        <v>559</v>
      </c>
      <c r="E29" s="325" t="s">
        <v>559</v>
      </c>
      <c r="F29" s="130" t="s">
        <v>701</v>
      </c>
      <c r="G29" s="326" t="s">
        <v>4580</v>
      </c>
      <c r="H29" s="327"/>
      <c r="I29" s="121" t="s">
        <v>4574</v>
      </c>
    </row>
    <row r="30" ht="15.75" customHeight="1">
      <c r="A30" s="7" t="s">
        <v>4570</v>
      </c>
      <c r="B30" s="7" t="s">
        <v>4581</v>
      </c>
      <c r="C30" s="47" t="s">
        <v>4582</v>
      </c>
      <c r="D30" s="325" t="s">
        <v>559</v>
      </c>
      <c r="E30" s="325" t="s">
        <v>559</v>
      </c>
      <c r="F30" s="130" t="s">
        <v>701</v>
      </c>
      <c r="G30" s="326" t="s">
        <v>4583</v>
      </c>
      <c r="H30" s="327"/>
      <c r="I30" s="121" t="s">
        <v>4574</v>
      </c>
    </row>
    <row r="31" ht="214.5" customHeight="1">
      <c r="A31" s="7" t="s">
        <v>4584</v>
      </c>
      <c r="B31" s="7" t="s">
        <v>4585</v>
      </c>
      <c r="C31" s="47" t="s">
        <v>4586</v>
      </c>
      <c r="D31" s="325" t="s">
        <v>559</v>
      </c>
      <c r="E31" s="325" t="s">
        <v>559</v>
      </c>
      <c r="F31" s="130">
        <v>46298.0</v>
      </c>
      <c r="G31" s="326" t="s">
        <v>4587</v>
      </c>
      <c r="H31" s="327"/>
      <c r="I31" s="328" t="s">
        <v>4588</v>
      </c>
    </row>
    <row r="32" ht="15.75" customHeight="1">
      <c r="A32" s="7" t="s">
        <v>4584</v>
      </c>
      <c r="B32" s="7" t="s">
        <v>4589</v>
      </c>
      <c r="C32" s="32" t="s">
        <v>584</v>
      </c>
      <c r="D32" s="325" t="s">
        <v>559</v>
      </c>
      <c r="E32" s="325" t="s">
        <v>559</v>
      </c>
      <c r="F32" s="130">
        <v>46055.0</v>
      </c>
      <c r="G32" s="326"/>
      <c r="H32" s="327"/>
      <c r="I32" s="121"/>
    </row>
    <row r="33" ht="240.75" customHeight="1">
      <c r="A33" s="7" t="s">
        <v>4584</v>
      </c>
      <c r="B33" s="7" t="s">
        <v>4590</v>
      </c>
      <c r="C33" s="47" t="s">
        <v>4591</v>
      </c>
      <c r="D33" s="325" t="s">
        <v>559</v>
      </c>
      <c r="E33" s="325" t="s">
        <v>559</v>
      </c>
      <c r="F33" s="130" t="s">
        <v>2581</v>
      </c>
      <c r="G33" s="326" t="s">
        <v>4592</v>
      </c>
      <c r="H33" s="327"/>
      <c r="I33" s="121"/>
    </row>
    <row r="34" ht="105.75" customHeight="1">
      <c r="A34" s="7" t="s">
        <v>4584</v>
      </c>
      <c r="B34" s="7" t="s">
        <v>4593</v>
      </c>
      <c r="C34" s="47" t="s">
        <v>4594</v>
      </c>
      <c r="D34" s="325" t="s">
        <v>559</v>
      </c>
      <c r="E34" s="325" t="s">
        <v>559</v>
      </c>
      <c r="F34" s="130">
        <v>46298.0</v>
      </c>
      <c r="G34" s="326" t="s">
        <v>4595</v>
      </c>
      <c r="H34" s="327"/>
      <c r="I34" s="121"/>
    </row>
    <row r="35" ht="80.25" customHeight="1">
      <c r="A35" s="7" t="s">
        <v>4584</v>
      </c>
      <c r="B35" s="7" t="s">
        <v>4596</v>
      </c>
      <c r="C35" s="47" t="s">
        <v>4579</v>
      </c>
      <c r="D35" s="325" t="s">
        <v>559</v>
      </c>
      <c r="E35" s="325" t="s">
        <v>559</v>
      </c>
      <c r="F35" s="130">
        <v>46298.0</v>
      </c>
      <c r="G35" s="326" t="s">
        <v>4597</v>
      </c>
      <c r="H35" s="327"/>
      <c r="I35" s="121"/>
    </row>
    <row r="36" ht="15.75" customHeight="1">
      <c r="A36" s="7" t="s">
        <v>4584</v>
      </c>
      <c r="B36" s="7" t="s">
        <v>4598</v>
      </c>
      <c r="C36" s="47" t="s">
        <v>4582</v>
      </c>
      <c r="D36" s="325" t="s">
        <v>559</v>
      </c>
      <c r="E36" s="325" t="s">
        <v>559</v>
      </c>
      <c r="F36" s="130">
        <v>46298.0</v>
      </c>
      <c r="G36" s="326" t="s">
        <v>4599</v>
      </c>
      <c r="H36" s="327"/>
      <c r="I36" s="121"/>
    </row>
    <row r="37" ht="15.75" customHeight="1">
      <c r="A37" s="2"/>
      <c r="B37" s="62"/>
      <c r="C37" s="45"/>
      <c r="D37" s="2"/>
      <c r="E37" s="2"/>
      <c r="F37" s="2"/>
      <c r="G37" s="324"/>
      <c r="H37" s="334"/>
      <c r="I37" s="335"/>
    </row>
    <row r="38" ht="15.75" customHeight="1">
      <c r="A38" s="2"/>
      <c r="B38" s="62"/>
      <c r="C38" s="45"/>
      <c r="D38" s="2"/>
      <c r="E38" s="2"/>
      <c r="F38" s="2"/>
      <c r="G38" s="324"/>
      <c r="H38" s="334"/>
      <c r="I38" s="335"/>
    </row>
    <row r="39" ht="15.75" customHeight="1">
      <c r="A39" s="2"/>
      <c r="B39" s="62"/>
      <c r="C39" s="45"/>
      <c r="D39" s="2"/>
      <c r="E39" s="2"/>
      <c r="F39" s="2"/>
      <c r="G39" s="324"/>
      <c r="H39" s="334"/>
      <c r="I39" s="335"/>
    </row>
    <row r="40" ht="15.75" customHeight="1">
      <c r="A40" s="2"/>
      <c r="B40" s="62"/>
      <c r="C40" s="45"/>
      <c r="D40" s="2"/>
      <c r="E40" s="2"/>
      <c r="F40" s="2"/>
      <c r="G40" s="324"/>
      <c r="H40" s="334"/>
      <c r="I40" s="335"/>
    </row>
    <row r="41" ht="15.75" customHeight="1">
      <c r="A41" s="2"/>
      <c r="B41" s="62"/>
      <c r="C41" s="45"/>
      <c r="D41" s="2"/>
      <c r="E41" s="2"/>
      <c r="F41" s="2"/>
      <c r="G41" s="324"/>
      <c r="H41" s="334"/>
      <c r="I41" s="335"/>
    </row>
    <row r="42" ht="15.75" customHeight="1">
      <c r="A42" s="2"/>
      <c r="B42" s="62"/>
      <c r="C42" s="45"/>
      <c r="D42" s="2"/>
      <c r="E42" s="2"/>
      <c r="F42" s="2"/>
      <c r="G42" s="324"/>
      <c r="H42" s="334"/>
      <c r="I42" s="335"/>
    </row>
    <row r="43" ht="15.75" customHeight="1">
      <c r="A43" s="2"/>
      <c r="B43" s="62"/>
      <c r="C43" s="45"/>
      <c r="D43" s="2"/>
      <c r="E43" s="2"/>
      <c r="F43" s="2"/>
      <c r="G43" s="324"/>
      <c r="H43" s="334"/>
      <c r="I43" s="335"/>
    </row>
    <row r="44" ht="15.75" customHeight="1">
      <c r="A44" s="2"/>
      <c r="B44" s="62"/>
      <c r="C44" s="45"/>
      <c r="D44" s="2"/>
      <c r="E44" s="2"/>
      <c r="F44" s="2"/>
      <c r="G44" s="324"/>
      <c r="H44" s="334"/>
      <c r="I44" s="335"/>
    </row>
    <row r="45" ht="15.75" customHeight="1">
      <c r="A45" s="2"/>
      <c r="B45" s="62"/>
      <c r="C45" s="45"/>
      <c r="D45" s="2"/>
      <c r="E45" s="2"/>
      <c r="F45" s="2"/>
      <c r="G45" s="324"/>
      <c r="H45" s="334"/>
      <c r="I45" s="335"/>
    </row>
    <row r="46" ht="15.75" customHeight="1">
      <c r="A46" s="2"/>
      <c r="B46" s="62"/>
      <c r="C46" s="45"/>
      <c r="D46" s="2"/>
      <c r="E46" s="2"/>
      <c r="F46" s="2"/>
      <c r="G46" s="324"/>
      <c r="H46" s="334"/>
      <c r="I46" s="335"/>
    </row>
    <row r="47" ht="15.75" customHeight="1">
      <c r="A47" s="2"/>
      <c r="B47" s="62"/>
      <c r="C47" s="45"/>
      <c r="D47" s="2"/>
      <c r="E47" s="2"/>
      <c r="F47" s="2"/>
      <c r="G47" s="324"/>
      <c r="H47" s="334"/>
      <c r="I47" s="335"/>
    </row>
    <row r="48" ht="15.75" customHeight="1">
      <c r="A48" s="2"/>
      <c r="B48" s="62"/>
      <c r="C48" s="45"/>
      <c r="D48" s="2"/>
      <c r="E48" s="2"/>
      <c r="F48" s="2"/>
      <c r="G48" s="324"/>
      <c r="H48" s="334"/>
      <c r="I48" s="335"/>
    </row>
    <row r="49" ht="15.75" customHeight="1">
      <c r="A49" s="2"/>
      <c r="B49" s="62"/>
      <c r="C49" s="45"/>
      <c r="D49" s="2"/>
      <c r="E49" s="2"/>
      <c r="F49" s="2"/>
      <c r="G49" s="324"/>
      <c r="H49" s="334"/>
      <c r="I49" s="335"/>
    </row>
    <row r="50" ht="15.75" customHeight="1">
      <c r="A50" s="2"/>
      <c r="B50" s="62"/>
      <c r="C50" s="45"/>
      <c r="D50" s="2"/>
      <c r="E50" s="2"/>
      <c r="F50" s="2"/>
      <c r="G50" s="324"/>
      <c r="H50" s="334"/>
      <c r="I50" s="336"/>
    </row>
    <row r="51" ht="15.75" customHeight="1">
      <c r="A51" s="2"/>
      <c r="B51" s="62"/>
      <c r="C51" s="45"/>
      <c r="D51" s="2"/>
      <c r="E51" s="2"/>
      <c r="F51" s="2"/>
      <c r="G51" s="324"/>
      <c r="H51" s="334"/>
      <c r="I51" s="336"/>
    </row>
    <row r="52" ht="15.75" customHeight="1">
      <c r="A52" s="2"/>
      <c r="B52" s="62"/>
      <c r="C52" s="45"/>
      <c r="D52" s="2"/>
      <c r="E52" s="2"/>
      <c r="F52" s="2"/>
      <c r="G52" s="324"/>
      <c r="H52" s="334"/>
      <c r="I52" s="335"/>
    </row>
    <row r="53" ht="15.75" customHeight="1">
      <c r="A53" s="2"/>
      <c r="B53" s="62"/>
      <c r="C53" s="45"/>
      <c r="D53" s="2"/>
      <c r="E53" s="2"/>
      <c r="F53" s="2"/>
      <c r="G53" s="324"/>
      <c r="H53" s="334"/>
      <c r="I53" s="335"/>
    </row>
    <row r="54" ht="15.75" customHeight="1">
      <c r="A54" s="2"/>
      <c r="B54" s="62"/>
      <c r="C54" s="45"/>
      <c r="D54" s="2"/>
      <c r="E54" s="2"/>
      <c r="F54" s="2"/>
      <c r="G54" s="324"/>
      <c r="H54" s="334"/>
      <c r="I54" s="335"/>
    </row>
    <row r="55" ht="15.75" customHeight="1">
      <c r="A55" s="2"/>
      <c r="B55" s="62"/>
      <c r="C55" s="45"/>
      <c r="D55" s="2"/>
      <c r="E55" s="2"/>
      <c r="F55" s="2"/>
      <c r="G55" s="324"/>
      <c r="H55" s="334"/>
      <c r="I55" s="335"/>
    </row>
    <row r="56" ht="15.75" customHeight="1">
      <c r="A56" s="2"/>
      <c r="B56" s="62"/>
      <c r="C56" s="45"/>
      <c r="D56" s="2"/>
      <c r="E56" s="2"/>
      <c r="F56" s="2"/>
      <c r="G56" s="324"/>
      <c r="H56" s="334"/>
      <c r="I56" s="335"/>
    </row>
    <row r="57" ht="15.75" customHeight="1">
      <c r="A57" s="2"/>
      <c r="B57" s="62"/>
      <c r="C57" s="45"/>
      <c r="D57" s="2"/>
      <c r="E57" s="2"/>
      <c r="F57" s="2"/>
      <c r="G57" s="324"/>
      <c r="H57" s="334"/>
      <c r="I57" s="335"/>
    </row>
    <row r="58" ht="15.75" customHeight="1">
      <c r="A58" s="2"/>
      <c r="B58" s="62"/>
      <c r="C58" s="45"/>
      <c r="D58" s="2"/>
      <c r="E58" s="2"/>
      <c r="F58" s="2"/>
      <c r="G58" s="324"/>
      <c r="H58" s="334"/>
      <c r="I58" s="335"/>
    </row>
    <row r="59" ht="15.75" customHeight="1">
      <c r="A59" s="2"/>
      <c r="B59" s="62"/>
      <c r="C59" s="45"/>
      <c r="D59" s="2"/>
      <c r="E59" s="2"/>
      <c r="F59" s="2"/>
      <c r="G59" s="324"/>
      <c r="H59" s="334"/>
      <c r="I59" s="335"/>
    </row>
    <row r="60" ht="15.75" customHeight="1">
      <c r="A60" s="2"/>
      <c r="B60" s="62"/>
      <c r="C60" s="45"/>
      <c r="D60" s="2"/>
      <c r="E60" s="2"/>
      <c r="F60" s="2"/>
      <c r="G60" s="324"/>
      <c r="H60" s="334"/>
      <c r="I60" s="335"/>
    </row>
    <row r="61" ht="15.75" customHeight="1">
      <c r="A61" s="2"/>
      <c r="B61" s="62"/>
      <c r="C61" s="45"/>
      <c r="D61" s="2"/>
      <c r="E61" s="2"/>
      <c r="F61" s="2"/>
      <c r="G61" s="324"/>
      <c r="H61" s="334"/>
      <c r="I61" s="335"/>
    </row>
    <row r="62" ht="15.75" customHeight="1">
      <c r="A62" s="2"/>
      <c r="B62" s="62"/>
      <c r="C62" s="45"/>
      <c r="D62" s="2"/>
      <c r="E62" s="2"/>
      <c r="F62" s="2"/>
      <c r="G62" s="324"/>
      <c r="H62" s="334"/>
      <c r="I62" s="335"/>
    </row>
    <row r="63" ht="15.75" customHeight="1">
      <c r="A63" s="2"/>
      <c r="B63" s="62"/>
      <c r="C63" s="45"/>
      <c r="D63" s="2"/>
      <c r="E63" s="2"/>
      <c r="F63" s="2"/>
      <c r="G63" s="324"/>
      <c r="H63" s="334"/>
      <c r="I63" s="335"/>
    </row>
    <row r="64" ht="15.75" customHeight="1">
      <c r="A64" s="2"/>
      <c r="B64" s="62"/>
      <c r="C64" s="45"/>
      <c r="D64" s="2"/>
      <c r="E64" s="2"/>
      <c r="F64" s="2"/>
      <c r="G64" s="324"/>
      <c r="H64" s="334"/>
      <c r="I64" s="335"/>
    </row>
    <row r="65" ht="15.75" customHeight="1">
      <c r="A65" s="2"/>
      <c r="B65" s="62"/>
      <c r="C65" s="45"/>
      <c r="D65" s="2"/>
      <c r="E65" s="2"/>
      <c r="F65" s="2"/>
      <c r="G65" s="324"/>
      <c r="H65" s="334"/>
      <c r="I65" s="335"/>
    </row>
    <row r="66" ht="15.75" customHeight="1">
      <c r="A66" s="2"/>
      <c r="B66" s="62"/>
      <c r="C66" s="45"/>
      <c r="D66" s="2"/>
      <c r="E66" s="2"/>
      <c r="F66" s="2"/>
      <c r="G66" s="324"/>
      <c r="H66" s="334"/>
      <c r="I66" s="62"/>
    </row>
    <row r="67" ht="15.75" customHeight="1">
      <c r="A67" s="2"/>
      <c r="B67" s="62"/>
      <c r="C67" s="45"/>
      <c r="D67" s="2"/>
      <c r="E67" s="2"/>
      <c r="F67" s="2"/>
      <c r="G67" s="324"/>
      <c r="H67" s="334"/>
      <c r="I67" s="62"/>
    </row>
    <row r="68" ht="15.75" customHeight="1">
      <c r="A68" s="2"/>
      <c r="B68" s="62"/>
      <c r="C68" s="45"/>
      <c r="D68" s="2"/>
      <c r="E68" s="2"/>
      <c r="F68" s="2"/>
      <c r="G68" s="324"/>
      <c r="H68" s="334"/>
      <c r="I68" s="62"/>
    </row>
    <row r="69" ht="15.75" customHeight="1">
      <c r="A69" s="2"/>
      <c r="B69" s="62"/>
      <c r="C69" s="45"/>
      <c r="D69" s="2"/>
      <c r="E69" s="2"/>
      <c r="F69" s="2"/>
      <c r="G69" s="324"/>
      <c r="H69" s="334"/>
      <c r="I69" s="62"/>
    </row>
    <row r="70" ht="15.75" customHeight="1">
      <c r="A70" s="2"/>
      <c r="B70" s="62"/>
      <c r="C70" s="45"/>
      <c r="D70" s="2"/>
      <c r="E70" s="2"/>
      <c r="F70" s="2"/>
      <c r="G70" s="324"/>
      <c r="H70" s="334"/>
      <c r="I70" s="62"/>
    </row>
    <row r="71" ht="15.75" customHeight="1">
      <c r="A71" s="2"/>
      <c r="B71" s="62"/>
      <c r="C71" s="45"/>
      <c r="D71" s="2"/>
      <c r="E71" s="2"/>
      <c r="F71" s="2"/>
      <c r="G71" s="324"/>
      <c r="H71" s="334"/>
      <c r="I71" s="62"/>
    </row>
    <row r="72" ht="15.75" customHeight="1">
      <c r="A72" s="2"/>
      <c r="B72" s="62"/>
      <c r="C72" s="45"/>
      <c r="D72" s="2"/>
      <c r="E72" s="2"/>
      <c r="F72" s="2"/>
      <c r="G72" s="324"/>
      <c r="H72" s="334"/>
      <c r="I72" s="62"/>
    </row>
    <row r="73" ht="15.75" customHeight="1">
      <c r="A73" s="2"/>
      <c r="B73" s="62"/>
      <c r="C73" s="45"/>
      <c r="D73" s="2"/>
      <c r="E73" s="2"/>
      <c r="F73" s="2"/>
      <c r="G73" s="324"/>
      <c r="H73" s="334"/>
      <c r="I73" s="62"/>
    </row>
    <row r="74" ht="15.75" customHeight="1">
      <c r="A74" s="2"/>
      <c r="B74" s="62"/>
      <c r="C74" s="45"/>
      <c r="D74" s="2"/>
      <c r="E74" s="2"/>
      <c r="F74" s="2"/>
      <c r="G74" s="324"/>
      <c r="H74" s="334"/>
      <c r="I74" s="62"/>
    </row>
    <row r="75" ht="15.75" customHeight="1">
      <c r="A75" s="2"/>
      <c r="B75" s="62"/>
      <c r="C75" s="45"/>
      <c r="D75" s="2"/>
      <c r="E75" s="2"/>
      <c r="F75" s="2"/>
      <c r="G75" s="324"/>
      <c r="H75" s="334"/>
      <c r="I75" s="62"/>
    </row>
    <row r="76" ht="15.75" customHeight="1">
      <c r="A76" s="2"/>
      <c r="B76" s="62"/>
      <c r="C76" s="45"/>
      <c r="D76" s="2"/>
      <c r="E76" s="2"/>
      <c r="F76" s="2"/>
      <c r="G76" s="324"/>
      <c r="H76" s="334"/>
      <c r="I76" s="62"/>
    </row>
    <row r="77" ht="15.75" customHeight="1">
      <c r="A77" s="2"/>
      <c r="B77" s="62"/>
      <c r="C77" s="45"/>
      <c r="D77" s="2"/>
      <c r="E77" s="2"/>
      <c r="F77" s="2"/>
      <c r="G77" s="324"/>
      <c r="H77" s="334"/>
      <c r="I77" s="62"/>
    </row>
    <row r="78" ht="15.75" customHeight="1">
      <c r="A78" s="2"/>
      <c r="B78" s="62"/>
      <c r="C78" s="45"/>
      <c r="D78" s="2"/>
      <c r="E78" s="2"/>
      <c r="F78" s="2"/>
      <c r="G78" s="324"/>
      <c r="H78" s="334"/>
      <c r="I78" s="62"/>
    </row>
    <row r="79" ht="15.75" customHeight="1">
      <c r="A79" s="2"/>
      <c r="B79" s="62"/>
      <c r="C79" s="45"/>
      <c r="D79" s="2"/>
      <c r="E79" s="2"/>
      <c r="F79" s="2"/>
      <c r="G79" s="324"/>
      <c r="H79" s="334"/>
      <c r="I79" s="62"/>
    </row>
    <row r="80" ht="15.75" customHeight="1">
      <c r="A80" s="2"/>
      <c r="B80" s="62"/>
      <c r="C80" s="45"/>
      <c r="D80" s="2"/>
      <c r="E80" s="2"/>
      <c r="F80" s="2"/>
      <c r="G80" s="324"/>
      <c r="H80" s="334"/>
      <c r="I80" s="62"/>
    </row>
    <row r="81" ht="15.75" customHeight="1">
      <c r="A81" s="2"/>
      <c r="B81" s="62"/>
      <c r="C81" s="45"/>
      <c r="D81" s="2"/>
      <c r="E81" s="2"/>
      <c r="F81" s="2"/>
      <c r="G81" s="324"/>
      <c r="H81" s="334"/>
      <c r="I81" s="62"/>
    </row>
    <row r="82" ht="15.75" customHeight="1">
      <c r="A82" s="2"/>
      <c r="B82" s="62"/>
      <c r="C82" s="45"/>
      <c r="D82" s="2"/>
      <c r="E82" s="2"/>
      <c r="F82" s="2"/>
      <c r="G82" s="324"/>
      <c r="H82" s="334"/>
      <c r="I82" s="62"/>
    </row>
    <row r="83" ht="15.75" customHeight="1">
      <c r="A83" s="2"/>
      <c r="B83" s="62"/>
      <c r="C83" s="45"/>
      <c r="D83" s="2"/>
      <c r="E83" s="2"/>
      <c r="F83" s="2"/>
      <c r="G83" s="324"/>
      <c r="H83" s="334"/>
      <c r="I83" s="62"/>
    </row>
    <row r="84" ht="15.75" customHeight="1">
      <c r="A84" s="2"/>
      <c r="B84" s="62"/>
      <c r="C84" s="45"/>
      <c r="D84" s="2"/>
      <c r="E84" s="2"/>
      <c r="F84" s="2"/>
      <c r="G84" s="324"/>
      <c r="H84" s="334"/>
      <c r="I84" s="62"/>
    </row>
    <row r="85" ht="15.75" customHeight="1">
      <c r="A85" s="2"/>
      <c r="B85" s="62"/>
      <c r="C85" s="45"/>
      <c r="D85" s="2"/>
      <c r="E85" s="2"/>
      <c r="F85" s="2"/>
      <c r="G85" s="324"/>
      <c r="H85" s="334"/>
      <c r="I85" s="62"/>
    </row>
    <row r="86" ht="15.75" customHeight="1">
      <c r="A86" s="2"/>
      <c r="B86" s="62"/>
      <c r="C86" s="45"/>
      <c r="D86" s="2"/>
      <c r="E86" s="2"/>
      <c r="F86" s="2"/>
      <c r="G86" s="324"/>
      <c r="H86" s="334"/>
      <c r="I86" s="62"/>
    </row>
    <row r="87" ht="15.75" customHeight="1">
      <c r="A87" s="2"/>
      <c r="B87" s="62"/>
      <c r="C87" s="45"/>
      <c r="D87" s="2"/>
      <c r="E87" s="2"/>
      <c r="F87" s="2"/>
      <c r="G87" s="324"/>
      <c r="H87" s="334"/>
      <c r="I87" s="62"/>
    </row>
    <row r="88" ht="15.75" customHeight="1">
      <c r="A88" s="2"/>
      <c r="B88" s="62"/>
      <c r="C88" s="45"/>
      <c r="D88" s="2"/>
      <c r="E88" s="2"/>
      <c r="F88" s="2"/>
      <c r="G88" s="324"/>
      <c r="H88" s="334"/>
      <c r="I88" s="62"/>
    </row>
    <row r="89" ht="15.75" customHeight="1">
      <c r="A89" s="2"/>
      <c r="B89" s="62"/>
      <c r="C89" s="45"/>
      <c r="D89" s="2"/>
      <c r="E89" s="2"/>
      <c r="F89" s="2"/>
      <c r="G89" s="324"/>
      <c r="H89" s="334"/>
      <c r="I89" s="62"/>
    </row>
    <row r="90" ht="15.75" customHeight="1">
      <c r="A90" s="2"/>
      <c r="B90" s="62"/>
      <c r="C90" s="45"/>
      <c r="D90" s="2"/>
      <c r="E90" s="2"/>
      <c r="F90" s="2"/>
      <c r="G90" s="324"/>
      <c r="H90" s="334"/>
      <c r="I90" s="62"/>
    </row>
    <row r="91" ht="15.75" customHeight="1">
      <c r="A91" s="2"/>
      <c r="B91" s="62"/>
      <c r="C91" s="45"/>
      <c r="D91" s="2"/>
      <c r="E91" s="2"/>
      <c r="F91" s="2"/>
      <c r="G91" s="324"/>
      <c r="H91" s="334"/>
      <c r="I91" s="62"/>
    </row>
    <row r="92" ht="15.75" customHeight="1">
      <c r="A92" s="2"/>
      <c r="B92" s="62"/>
      <c r="C92" s="45"/>
      <c r="D92" s="2"/>
      <c r="E92" s="2"/>
      <c r="F92" s="2"/>
      <c r="G92" s="324"/>
      <c r="H92" s="334"/>
      <c r="I92" s="62"/>
    </row>
    <row r="93" ht="15.75" customHeight="1">
      <c r="A93" s="2"/>
      <c r="B93" s="62"/>
      <c r="C93" s="45"/>
      <c r="D93" s="2"/>
      <c r="E93" s="2"/>
      <c r="F93" s="2"/>
      <c r="G93" s="324"/>
      <c r="H93" s="334"/>
      <c r="I93" s="62"/>
    </row>
    <row r="94" ht="15.75" customHeight="1">
      <c r="A94" s="2"/>
      <c r="B94" s="62"/>
      <c r="C94" s="45"/>
      <c r="D94" s="2"/>
      <c r="E94" s="2"/>
      <c r="F94" s="2"/>
      <c r="G94" s="324"/>
      <c r="H94" s="334"/>
      <c r="I94" s="62"/>
    </row>
    <row r="95" ht="15.75" customHeight="1">
      <c r="A95" s="2"/>
      <c r="B95" s="62"/>
      <c r="C95" s="45"/>
      <c r="D95" s="2"/>
      <c r="E95" s="2"/>
      <c r="F95" s="2"/>
      <c r="G95" s="324"/>
      <c r="H95" s="334"/>
      <c r="I95" s="62"/>
    </row>
    <row r="96" ht="15.75" customHeight="1">
      <c r="A96" s="2"/>
      <c r="B96" s="62"/>
      <c r="C96" s="45"/>
      <c r="D96" s="2"/>
      <c r="E96" s="2"/>
      <c r="F96" s="2"/>
      <c r="G96" s="324"/>
      <c r="H96" s="334"/>
      <c r="I96" s="62"/>
    </row>
    <row r="97" ht="15.75" customHeight="1">
      <c r="A97" s="2"/>
      <c r="B97" s="62"/>
      <c r="C97" s="45"/>
      <c r="D97" s="2"/>
      <c r="E97" s="2"/>
      <c r="F97" s="2"/>
      <c r="G97" s="324"/>
      <c r="H97" s="334"/>
      <c r="I97" s="62"/>
    </row>
    <row r="98" ht="15.75" customHeight="1">
      <c r="A98" s="2"/>
      <c r="B98" s="62"/>
      <c r="C98" s="45"/>
      <c r="D98" s="2"/>
      <c r="E98" s="2"/>
      <c r="F98" s="2"/>
      <c r="G98" s="324"/>
      <c r="H98" s="334"/>
      <c r="I98" s="62"/>
    </row>
    <row r="99" ht="15.75" customHeight="1">
      <c r="A99" s="2"/>
      <c r="B99" s="62"/>
      <c r="C99" s="45"/>
      <c r="D99" s="2"/>
      <c r="E99" s="2"/>
      <c r="F99" s="2"/>
      <c r="G99" s="324"/>
      <c r="H99" s="334"/>
      <c r="I99" s="62"/>
    </row>
    <row r="100" ht="15.75" customHeight="1">
      <c r="A100" s="2"/>
      <c r="B100" s="62"/>
      <c r="C100" s="45"/>
      <c r="D100" s="2"/>
      <c r="E100" s="2"/>
      <c r="F100" s="2"/>
      <c r="G100" s="324"/>
      <c r="H100" s="334"/>
      <c r="I100" s="62"/>
    </row>
    <row r="101" ht="15.75" customHeight="1">
      <c r="A101" s="2"/>
      <c r="B101" s="62"/>
      <c r="C101" s="45"/>
      <c r="D101" s="2"/>
      <c r="E101" s="2"/>
      <c r="F101" s="2"/>
      <c r="G101" s="324"/>
      <c r="H101" s="334"/>
      <c r="I101" s="62"/>
    </row>
    <row r="102" ht="15.75" customHeight="1">
      <c r="A102" s="2"/>
      <c r="B102" s="62"/>
      <c r="C102" s="45"/>
      <c r="D102" s="2"/>
      <c r="E102" s="2"/>
      <c r="F102" s="2"/>
      <c r="G102" s="324"/>
      <c r="H102" s="334"/>
      <c r="I102" s="62"/>
    </row>
    <row r="103" ht="15.75" customHeight="1">
      <c r="A103" s="2"/>
      <c r="B103" s="62"/>
      <c r="C103" s="45"/>
      <c r="D103" s="2"/>
      <c r="E103" s="2"/>
      <c r="F103" s="2"/>
      <c r="G103" s="324"/>
      <c r="H103" s="334"/>
      <c r="I103" s="62"/>
    </row>
    <row r="104" ht="15.75" customHeight="1">
      <c r="A104" s="2"/>
      <c r="B104" s="62"/>
      <c r="C104" s="45"/>
      <c r="D104" s="2"/>
      <c r="E104" s="2"/>
      <c r="F104" s="2"/>
      <c r="G104" s="324"/>
      <c r="H104" s="334"/>
      <c r="I104" s="62"/>
    </row>
    <row r="105" ht="15.75" customHeight="1">
      <c r="A105" s="2"/>
      <c r="B105" s="62"/>
      <c r="C105" s="45"/>
      <c r="D105" s="2"/>
      <c r="E105" s="2"/>
      <c r="F105" s="2"/>
      <c r="G105" s="324"/>
      <c r="H105" s="334"/>
      <c r="I105" s="62"/>
    </row>
    <row r="106" ht="15.75" customHeight="1">
      <c r="A106" s="2"/>
      <c r="B106" s="62"/>
      <c r="C106" s="45"/>
      <c r="D106" s="2"/>
      <c r="E106" s="2"/>
      <c r="F106" s="2"/>
      <c r="G106" s="324"/>
      <c r="H106" s="334"/>
      <c r="I106" s="62"/>
    </row>
    <row r="107" ht="15.75" customHeight="1">
      <c r="A107" s="2"/>
      <c r="B107" s="62"/>
      <c r="C107" s="45"/>
      <c r="D107" s="2"/>
      <c r="E107" s="2"/>
      <c r="F107" s="2"/>
      <c r="G107" s="324"/>
      <c r="H107" s="334"/>
      <c r="I107" s="62"/>
    </row>
    <row r="108" ht="15.75" customHeight="1">
      <c r="A108" s="2"/>
      <c r="B108" s="62"/>
      <c r="C108" s="45"/>
      <c r="D108" s="2"/>
      <c r="E108" s="2"/>
      <c r="F108" s="2"/>
      <c r="G108" s="324"/>
      <c r="H108" s="334"/>
      <c r="I108" s="62"/>
    </row>
    <row r="109" ht="15.75" customHeight="1">
      <c r="A109" s="2"/>
      <c r="B109" s="62"/>
      <c r="C109" s="45"/>
      <c r="D109" s="2"/>
      <c r="E109" s="2"/>
      <c r="F109" s="2"/>
      <c r="G109" s="324"/>
      <c r="H109" s="334"/>
      <c r="I109" s="62"/>
    </row>
    <row r="110" ht="15.75" customHeight="1">
      <c r="A110" s="2"/>
      <c r="B110" s="62"/>
      <c r="C110" s="45"/>
      <c r="D110" s="2"/>
      <c r="E110" s="2"/>
      <c r="F110" s="2"/>
      <c r="G110" s="324"/>
      <c r="H110" s="334"/>
      <c r="I110" s="62"/>
    </row>
    <row r="111" ht="15.75" customHeight="1">
      <c r="A111" s="2"/>
      <c r="B111" s="62"/>
      <c r="C111" s="45"/>
      <c r="D111" s="2"/>
      <c r="E111" s="2"/>
      <c r="F111" s="2"/>
      <c r="G111" s="324"/>
      <c r="H111" s="334"/>
      <c r="I111" s="62"/>
    </row>
    <row r="112" ht="15.75" customHeight="1">
      <c r="A112" s="2"/>
      <c r="B112" s="62"/>
      <c r="C112" s="45"/>
      <c r="D112" s="2"/>
      <c r="E112" s="2"/>
      <c r="F112" s="2"/>
      <c r="G112" s="324"/>
      <c r="H112" s="334"/>
      <c r="I112" s="62"/>
    </row>
    <row r="113" ht="15.75" customHeight="1">
      <c r="A113" s="2"/>
      <c r="B113" s="62"/>
      <c r="C113" s="45"/>
      <c r="D113" s="2"/>
      <c r="E113" s="2"/>
      <c r="F113" s="2"/>
      <c r="G113" s="324"/>
      <c r="H113" s="334"/>
      <c r="I113" s="62"/>
    </row>
    <row r="114" ht="15.75" customHeight="1">
      <c r="A114" s="2"/>
      <c r="B114" s="62"/>
      <c r="C114" s="45"/>
      <c r="D114" s="2"/>
      <c r="E114" s="2"/>
      <c r="F114" s="2"/>
      <c r="G114" s="324"/>
      <c r="H114" s="334"/>
      <c r="I114" s="62"/>
    </row>
    <row r="115" ht="15.75" customHeight="1">
      <c r="A115" s="2"/>
      <c r="B115" s="62"/>
      <c r="C115" s="45"/>
      <c r="D115" s="2"/>
      <c r="E115" s="2"/>
      <c r="F115" s="2"/>
      <c r="G115" s="324"/>
      <c r="H115" s="334"/>
      <c r="I115" s="62"/>
    </row>
    <row r="116" ht="15.75" customHeight="1">
      <c r="A116" s="2"/>
      <c r="B116" s="62"/>
      <c r="C116" s="45"/>
      <c r="D116" s="2"/>
      <c r="E116" s="2"/>
      <c r="F116" s="2"/>
      <c r="G116" s="324"/>
      <c r="H116" s="334"/>
      <c r="I116" s="62"/>
    </row>
    <row r="117" ht="15.75" customHeight="1">
      <c r="A117" s="2"/>
      <c r="B117" s="62"/>
      <c r="C117" s="45"/>
      <c r="D117" s="2"/>
      <c r="E117" s="2"/>
      <c r="F117" s="2"/>
      <c r="G117" s="324"/>
      <c r="H117" s="334"/>
      <c r="I117" s="62"/>
    </row>
    <row r="118" ht="15.75" customHeight="1">
      <c r="A118" s="2"/>
      <c r="B118" s="62"/>
      <c r="C118" s="45"/>
      <c r="D118" s="2"/>
      <c r="E118" s="2"/>
      <c r="F118" s="2"/>
      <c r="G118" s="324"/>
      <c r="H118" s="334"/>
      <c r="I118" s="62"/>
    </row>
    <row r="119" ht="15.75" customHeight="1">
      <c r="A119" s="2"/>
      <c r="B119" s="62"/>
      <c r="C119" s="45"/>
      <c r="D119" s="2"/>
      <c r="E119" s="2"/>
      <c r="F119" s="2"/>
      <c r="G119" s="324"/>
      <c r="H119" s="334"/>
      <c r="I119" s="62"/>
    </row>
    <row r="120" ht="15.75" customHeight="1">
      <c r="A120" s="2"/>
      <c r="B120" s="62"/>
      <c r="C120" s="45"/>
      <c r="D120" s="2"/>
      <c r="E120" s="2"/>
      <c r="F120" s="2"/>
      <c r="G120" s="324"/>
      <c r="H120" s="334"/>
      <c r="I120" s="62"/>
    </row>
    <row r="121" ht="15.75" customHeight="1">
      <c r="A121" s="2"/>
      <c r="B121" s="62"/>
      <c r="C121" s="45"/>
      <c r="D121" s="2"/>
      <c r="E121" s="2"/>
      <c r="F121" s="2"/>
      <c r="G121" s="324"/>
      <c r="H121" s="334"/>
      <c r="I121" s="62"/>
    </row>
    <row r="122" ht="15.75" customHeight="1">
      <c r="A122" s="2"/>
      <c r="B122" s="62"/>
      <c r="C122" s="45"/>
      <c r="D122" s="2"/>
      <c r="E122" s="2"/>
      <c r="F122" s="2"/>
      <c r="G122" s="324"/>
      <c r="H122" s="334"/>
      <c r="I122" s="62"/>
    </row>
    <row r="123" ht="15.75" customHeight="1">
      <c r="A123" s="2"/>
      <c r="B123" s="62"/>
      <c r="C123" s="45"/>
      <c r="D123" s="2"/>
      <c r="E123" s="2"/>
      <c r="F123" s="2"/>
      <c r="G123" s="324"/>
      <c r="H123" s="334"/>
      <c r="I123" s="62"/>
    </row>
    <row r="124" ht="15.75" customHeight="1">
      <c r="A124" s="2"/>
      <c r="B124" s="62"/>
      <c r="C124" s="45"/>
      <c r="D124" s="2"/>
      <c r="E124" s="2"/>
      <c r="F124" s="2"/>
      <c r="G124" s="324"/>
      <c r="H124" s="334"/>
      <c r="I124" s="62"/>
    </row>
    <row r="125" ht="15.75" customHeight="1">
      <c r="A125" s="2"/>
      <c r="B125" s="62"/>
      <c r="C125" s="45"/>
      <c r="D125" s="2"/>
      <c r="E125" s="2"/>
      <c r="F125" s="2"/>
      <c r="G125" s="324"/>
      <c r="H125" s="334"/>
      <c r="I125" s="62"/>
    </row>
    <row r="126" ht="15.75" customHeight="1">
      <c r="A126" s="2"/>
      <c r="B126" s="62"/>
      <c r="C126" s="45"/>
      <c r="D126" s="2"/>
      <c r="E126" s="2"/>
      <c r="F126" s="2"/>
      <c r="G126" s="324"/>
      <c r="H126" s="334"/>
      <c r="I126" s="62"/>
    </row>
    <row r="127" ht="15.75" customHeight="1">
      <c r="A127" s="2"/>
      <c r="B127" s="62"/>
      <c r="C127" s="45"/>
      <c r="D127" s="2"/>
      <c r="E127" s="2"/>
      <c r="F127" s="2"/>
      <c r="G127" s="324"/>
      <c r="H127" s="334"/>
      <c r="I127" s="62"/>
    </row>
    <row r="128" ht="15.75" customHeight="1">
      <c r="A128" s="2"/>
      <c r="B128" s="62"/>
      <c r="C128" s="45"/>
      <c r="D128" s="2"/>
      <c r="E128" s="2"/>
      <c r="F128" s="2"/>
      <c r="G128" s="324"/>
      <c r="H128" s="334"/>
      <c r="I128" s="62"/>
    </row>
    <row r="129" ht="15.75" customHeight="1">
      <c r="A129" s="2"/>
      <c r="B129" s="62"/>
      <c r="C129" s="45"/>
      <c r="D129" s="2"/>
      <c r="E129" s="2"/>
      <c r="F129" s="2"/>
      <c r="G129" s="324"/>
      <c r="H129" s="334"/>
      <c r="I129" s="62"/>
    </row>
    <row r="130" ht="15.75" customHeight="1">
      <c r="A130" s="2"/>
      <c r="B130" s="62"/>
      <c r="C130" s="45"/>
      <c r="D130" s="2"/>
      <c r="E130" s="2"/>
      <c r="F130" s="2"/>
      <c r="G130" s="324"/>
      <c r="H130" s="334"/>
      <c r="I130" s="62"/>
    </row>
    <row r="131" ht="15.75" customHeight="1">
      <c r="A131" s="2"/>
      <c r="B131" s="62"/>
      <c r="C131" s="45"/>
      <c r="D131" s="2"/>
      <c r="E131" s="2"/>
      <c r="F131" s="2"/>
      <c r="G131" s="324"/>
      <c r="H131" s="334"/>
      <c r="I131" s="62"/>
    </row>
    <row r="132" ht="15.75" customHeight="1">
      <c r="A132" s="2"/>
      <c r="B132" s="62"/>
      <c r="C132" s="45"/>
      <c r="D132" s="2"/>
      <c r="E132" s="2"/>
      <c r="F132" s="2"/>
      <c r="G132" s="324"/>
      <c r="H132" s="334"/>
      <c r="I132" s="62"/>
    </row>
    <row r="133" ht="15.75" customHeight="1">
      <c r="A133" s="2"/>
      <c r="B133" s="62"/>
      <c r="C133" s="45"/>
      <c r="D133" s="2"/>
      <c r="E133" s="2"/>
      <c r="F133" s="2"/>
      <c r="G133" s="324"/>
      <c r="H133" s="334"/>
      <c r="I133" s="62"/>
    </row>
    <row r="134" ht="15.75" customHeight="1">
      <c r="A134" s="2"/>
      <c r="B134" s="62"/>
      <c r="C134" s="45"/>
      <c r="D134" s="2"/>
      <c r="E134" s="2"/>
      <c r="F134" s="2"/>
      <c r="G134" s="324"/>
      <c r="H134" s="334"/>
      <c r="I134" s="62"/>
    </row>
    <row r="135" ht="15.75" customHeight="1">
      <c r="A135" s="2"/>
      <c r="B135" s="62"/>
      <c r="C135" s="45"/>
      <c r="D135" s="2"/>
      <c r="E135" s="2"/>
      <c r="F135" s="2"/>
      <c r="G135" s="324"/>
      <c r="H135" s="334"/>
      <c r="I135" s="62"/>
    </row>
    <row r="136" ht="15.75" customHeight="1">
      <c r="A136" s="2"/>
      <c r="B136" s="62"/>
      <c r="C136" s="45"/>
      <c r="D136" s="2"/>
      <c r="E136" s="2"/>
      <c r="F136" s="2"/>
      <c r="G136" s="324"/>
      <c r="H136" s="334"/>
      <c r="I136" s="62"/>
    </row>
    <row r="137" ht="15.75" customHeight="1">
      <c r="A137" s="2"/>
      <c r="B137" s="62"/>
      <c r="C137" s="45"/>
      <c r="D137" s="2"/>
      <c r="E137" s="2"/>
      <c r="F137" s="2"/>
      <c r="G137" s="324"/>
      <c r="H137" s="334"/>
      <c r="I137" s="62"/>
    </row>
    <row r="138" ht="15.75" customHeight="1">
      <c r="A138" s="2"/>
      <c r="B138" s="62"/>
      <c r="C138" s="45"/>
      <c r="D138" s="2"/>
      <c r="E138" s="2"/>
      <c r="F138" s="2"/>
      <c r="G138" s="324"/>
      <c r="H138" s="334"/>
      <c r="I138" s="62"/>
    </row>
    <row r="139" ht="15.75" customHeight="1">
      <c r="A139" s="2"/>
      <c r="B139" s="62"/>
      <c r="C139" s="45"/>
      <c r="D139" s="2"/>
      <c r="E139" s="2"/>
      <c r="F139" s="2"/>
      <c r="G139" s="324"/>
      <c r="H139" s="334"/>
      <c r="I139" s="62"/>
    </row>
    <row r="140" ht="15.75" customHeight="1">
      <c r="A140" s="2"/>
      <c r="B140" s="62"/>
      <c r="C140" s="45"/>
      <c r="D140" s="2"/>
      <c r="E140" s="2"/>
      <c r="F140" s="2"/>
      <c r="G140" s="324"/>
      <c r="H140" s="334"/>
      <c r="I140" s="62"/>
    </row>
    <row r="141" ht="15.75" customHeight="1">
      <c r="A141" s="2"/>
      <c r="B141" s="62"/>
      <c r="C141" s="45"/>
      <c r="D141" s="2"/>
      <c r="E141" s="2"/>
      <c r="F141" s="2"/>
      <c r="G141" s="324"/>
      <c r="H141" s="334"/>
      <c r="I141" s="62"/>
    </row>
    <row r="142" ht="15.75" customHeight="1">
      <c r="A142" s="2"/>
      <c r="B142" s="62"/>
      <c r="C142" s="45"/>
      <c r="D142" s="2"/>
      <c r="E142" s="2"/>
      <c r="F142" s="2"/>
      <c r="G142" s="324"/>
      <c r="H142" s="334"/>
      <c r="I142" s="62"/>
    </row>
    <row r="143" ht="15.75" customHeight="1">
      <c r="A143" s="2"/>
      <c r="B143" s="62"/>
      <c r="C143" s="45"/>
      <c r="D143" s="2"/>
      <c r="E143" s="2"/>
      <c r="F143" s="2"/>
      <c r="G143" s="324"/>
      <c r="H143" s="334"/>
      <c r="I143" s="62"/>
    </row>
    <row r="144" ht="15.75" customHeight="1">
      <c r="A144" s="2"/>
      <c r="B144" s="62"/>
      <c r="C144" s="45"/>
      <c r="D144" s="2"/>
      <c r="E144" s="2"/>
      <c r="F144" s="2"/>
      <c r="G144" s="324"/>
      <c r="H144" s="334"/>
      <c r="I144" s="62"/>
    </row>
    <row r="145" ht="15.75" customHeight="1">
      <c r="A145" s="2"/>
      <c r="B145" s="62"/>
      <c r="C145" s="45"/>
      <c r="D145" s="2"/>
      <c r="E145" s="2"/>
      <c r="F145" s="2"/>
      <c r="G145" s="324"/>
      <c r="H145" s="334"/>
      <c r="I145" s="62"/>
    </row>
    <row r="146" ht="15.75" customHeight="1">
      <c r="A146" s="2"/>
      <c r="B146" s="62"/>
      <c r="C146" s="45"/>
      <c r="D146" s="2"/>
      <c r="E146" s="2"/>
      <c r="F146" s="2"/>
      <c r="G146" s="324"/>
      <c r="H146" s="334"/>
      <c r="I146" s="62"/>
    </row>
    <row r="147" ht="15.75" customHeight="1">
      <c r="A147" s="2"/>
      <c r="B147" s="62"/>
      <c r="C147" s="45"/>
      <c r="D147" s="2"/>
      <c r="E147" s="2"/>
      <c r="F147" s="2"/>
      <c r="G147" s="324"/>
      <c r="H147" s="334"/>
      <c r="I147" s="62"/>
    </row>
    <row r="148" ht="15.75" customHeight="1">
      <c r="A148" s="2"/>
      <c r="B148" s="62"/>
      <c r="C148" s="45"/>
      <c r="D148" s="2"/>
      <c r="E148" s="2"/>
      <c r="F148" s="2"/>
      <c r="G148" s="324"/>
      <c r="H148" s="334"/>
      <c r="I148" s="62"/>
    </row>
    <row r="149" ht="15.75" customHeight="1">
      <c r="A149" s="2"/>
      <c r="B149" s="62"/>
      <c r="C149" s="45"/>
      <c r="D149" s="2"/>
      <c r="E149" s="2"/>
      <c r="F149" s="2"/>
      <c r="G149" s="324"/>
      <c r="H149" s="334"/>
      <c r="I149" s="62"/>
    </row>
    <row r="150" ht="15.75" customHeight="1">
      <c r="A150" s="2"/>
      <c r="B150" s="62"/>
      <c r="C150" s="45"/>
      <c r="D150" s="2"/>
      <c r="E150" s="2"/>
      <c r="F150" s="2"/>
      <c r="G150" s="324"/>
      <c r="H150" s="334"/>
      <c r="I150" s="62"/>
    </row>
    <row r="151" ht="15.75" customHeight="1">
      <c r="A151" s="2"/>
      <c r="B151" s="62"/>
      <c r="C151" s="45"/>
      <c r="D151" s="2"/>
      <c r="E151" s="2"/>
      <c r="F151" s="2"/>
      <c r="G151" s="324"/>
      <c r="H151" s="334"/>
      <c r="I151" s="62"/>
    </row>
    <row r="152" ht="15.75" customHeight="1">
      <c r="A152" s="2"/>
      <c r="B152" s="62"/>
      <c r="C152" s="45"/>
      <c r="D152" s="2"/>
      <c r="E152" s="2"/>
      <c r="F152" s="2"/>
      <c r="G152" s="324"/>
      <c r="H152" s="334"/>
      <c r="I152" s="62"/>
    </row>
    <row r="153" ht="15.75" customHeight="1">
      <c r="A153" s="2"/>
      <c r="B153" s="62"/>
      <c r="C153" s="45"/>
      <c r="D153" s="2"/>
      <c r="E153" s="2"/>
      <c r="F153" s="2"/>
      <c r="G153" s="324"/>
      <c r="H153" s="334"/>
      <c r="I153" s="62"/>
    </row>
    <row r="154" ht="15.75" customHeight="1">
      <c r="A154" s="2"/>
      <c r="B154" s="62"/>
      <c r="C154" s="45"/>
      <c r="D154" s="2"/>
      <c r="E154" s="2"/>
      <c r="F154" s="2"/>
      <c r="G154" s="324"/>
      <c r="H154" s="334"/>
      <c r="I154" s="62"/>
    </row>
    <row r="155" ht="15.75" customHeight="1">
      <c r="A155" s="2"/>
      <c r="B155" s="62"/>
      <c r="C155" s="45"/>
      <c r="D155" s="2"/>
      <c r="E155" s="2"/>
      <c r="F155" s="2"/>
      <c r="G155" s="324"/>
      <c r="H155" s="334"/>
      <c r="I155" s="62"/>
    </row>
    <row r="156" ht="15.75" customHeight="1">
      <c r="A156" s="2"/>
      <c r="B156" s="62"/>
      <c r="C156" s="45"/>
      <c r="D156" s="2"/>
      <c r="E156" s="2"/>
      <c r="F156" s="2"/>
      <c r="G156" s="324"/>
      <c r="H156" s="334"/>
      <c r="I156" s="62"/>
    </row>
    <row r="157" ht="15.75" customHeight="1">
      <c r="A157" s="2"/>
      <c r="B157" s="62"/>
      <c r="C157" s="45"/>
      <c r="D157" s="2"/>
      <c r="E157" s="2"/>
      <c r="F157" s="2"/>
      <c r="G157" s="324"/>
      <c r="H157" s="334"/>
      <c r="I157" s="62"/>
    </row>
    <row r="158" ht="15.75" customHeight="1">
      <c r="A158" s="2"/>
      <c r="B158" s="62"/>
      <c r="C158" s="45"/>
      <c r="D158" s="2"/>
      <c r="E158" s="2"/>
      <c r="F158" s="2"/>
      <c r="G158" s="324"/>
      <c r="H158" s="334"/>
      <c r="I158" s="62"/>
    </row>
    <row r="159" ht="15.75" customHeight="1">
      <c r="A159" s="2"/>
      <c r="B159" s="62"/>
      <c r="C159" s="45"/>
      <c r="D159" s="2"/>
      <c r="E159" s="2"/>
      <c r="F159" s="2"/>
      <c r="G159" s="324"/>
      <c r="H159" s="334"/>
      <c r="I159" s="62"/>
    </row>
    <row r="160" ht="15.75" customHeight="1">
      <c r="A160" s="2"/>
      <c r="B160" s="62"/>
      <c r="C160" s="45"/>
      <c r="D160" s="2"/>
      <c r="E160" s="2"/>
      <c r="F160" s="2"/>
      <c r="G160" s="324"/>
      <c r="H160" s="334"/>
      <c r="I160" s="62"/>
    </row>
    <row r="161" ht="15.75" customHeight="1">
      <c r="A161" s="2"/>
      <c r="B161" s="62"/>
      <c r="C161" s="45"/>
      <c r="D161" s="2"/>
      <c r="E161" s="2"/>
      <c r="F161" s="2"/>
      <c r="G161" s="324"/>
      <c r="H161" s="334"/>
      <c r="I161" s="62"/>
    </row>
    <row r="162" ht="15.75" customHeight="1">
      <c r="A162" s="2"/>
      <c r="B162" s="62"/>
      <c r="C162" s="45"/>
      <c r="D162" s="2"/>
      <c r="E162" s="2"/>
      <c r="F162" s="2"/>
      <c r="G162" s="324"/>
      <c r="H162" s="334"/>
      <c r="I162" s="62"/>
    </row>
    <row r="163" ht="15.75" customHeight="1">
      <c r="A163" s="2"/>
      <c r="B163" s="62"/>
      <c r="C163" s="45"/>
      <c r="D163" s="2"/>
      <c r="E163" s="2"/>
      <c r="F163" s="2"/>
      <c r="G163" s="324"/>
      <c r="H163" s="334"/>
      <c r="I163" s="62"/>
    </row>
    <row r="164" ht="15.75" customHeight="1">
      <c r="A164" s="2"/>
      <c r="B164" s="62"/>
      <c r="C164" s="45"/>
      <c r="D164" s="2"/>
      <c r="E164" s="2"/>
      <c r="F164" s="2"/>
      <c r="G164" s="324"/>
      <c r="H164" s="334"/>
      <c r="I164" s="62"/>
    </row>
    <row r="165" ht="15.75" customHeight="1">
      <c r="A165" s="2"/>
      <c r="B165" s="62"/>
      <c r="C165" s="45"/>
      <c r="D165" s="2"/>
      <c r="E165" s="2"/>
      <c r="F165" s="2"/>
      <c r="G165" s="324"/>
      <c r="H165" s="334"/>
      <c r="I165" s="62"/>
    </row>
    <row r="166" ht="15.75" customHeight="1">
      <c r="A166" s="2"/>
      <c r="B166" s="62"/>
      <c r="C166" s="45"/>
      <c r="D166" s="2"/>
      <c r="E166" s="2"/>
      <c r="F166" s="2"/>
      <c r="G166" s="324"/>
      <c r="H166" s="334"/>
      <c r="I166" s="62"/>
    </row>
    <row r="167" ht="15.75" customHeight="1">
      <c r="A167" s="2"/>
      <c r="B167" s="62"/>
      <c r="C167" s="45"/>
      <c r="D167" s="2"/>
      <c r="E167" s="2"/>
      <c r="F167" s="2"/>
      <c r="G167" s="324"/>
      <c r="H167" s="334"/>
      <c r="I167" s="62"/>
    </row>
    <row r="168" ht="15.75" customHeight="1">
      <c r="A168" s="2"/>
      <c r="B168" s="62"/>
      <c r="C168" s="45"/>
      <c r="D168" s="2"/>
      <c r="E168" s="2"/>
      <c r="F168" s="2"/>
      <c r="G168" s="324"/>
      <c r="H168" s="334"/>
      <c r="I168" s="62"/>
    </row>
    <row r="169" ht="15.75" customHeight="1">
      <c r="A169" s="2"/>
      <c r="B169" s="62"/>
      <c r="C169" s="45"/>
      <c r="D169" s="2"/>
      <c r="E169" s="2"/>
      <c r="F169" s="2"/>
      <c r="G169" s="324"/>
      <c r="H169" s="334"/>
      <c r="I169" s="62"/>
    </row>
    <row r="170" ht="15.75" customHeight="1">
      <c r="A170" s="2"/>
      <c r="B170" s="62"/>
      <c r="C170" s="45"/>
      <c r="D170" s="2"/>
      <c r="E170" s="2"/>
      <c r="F170" s="2"/>
      <c r="G170" s="324"/>
      <c r="H170" s="334"/>
      <c r="I170" s="62"/>
    </row>
    <row r="171" ht="15.75" customHeight="1">
      <c r="A171" s="2"/>
      <c r="B171" s="62"/>
      <c r="C171" s="45"/>
      <c r="D171" s="2"/>
      <c r="E171" s="2"/>
      <c r="F171" s="2"/>
      <c r="G171" s="324"/>
      <c r="H171" s="334"/>
      <c r="I171" s="62"/>
    </row>
    <row r="172" ht="15.75" customHeight="1">
      <c r="A172" s="2"/>
      <c r="B172" s="62"/>
      <c r="C172" s="45"/>
      <c r="D172" s="2"/>
      <c r="E172" s="2"/>
      <c r="F172" s="2"/>
      <c r="G172" s="324"/>
      <c r="H172" s="334"/>
      <c r="I172" s="62"/>
    </row>
    <row r="173" ht="15.75" customHeight="1">
      <c r="A173" s="2"/>
      <c r="B173" s="62"/>
      <c r="C173" s="45"/>
      <c r="D173" s="2"/>
      <c r="E173" s="2"/>
      <c r="F173" s="2"/>
      <c r="G173" s="324"/>
      <c r="H173" s="334"/>
      <c r="I173" s="62"/>
    </row>
    <row r="174" ht="15.75" customHeight="1">
      <c r="A174" s="2"/>
      <c r="B174" s="62"/>
      <c r="C174" s="45"/>
      <c r="D174" s="2"/>
      <c r="E174" s="2"/>
      <c r="F174" s="2"/>
      <c r="G174" s="324"/>
      <c r="H174" s="334"/>
      <c r="I174" s="62"/>
    </row>
    <row r="175" ht="15.75" customHeight="1">
      <c r="A175" s="2"/>
      <c r="B175" s="62"/>
      <c r="C175" s="45"/>
      <c r="D175" s="2"/>
      <c r="E175" s="2"/>
      <c r="F175" s="2"/>
      <c r="G175" s="324"/>
      <c r="H175" s="334"/>
      <c r="I175" s="62"/>
    </row>
    <row r="176" ht="15.75" customHeight="1">
      <c r="A176" s="2"/>
      <c r="B176" s="62"/>
      <c r="C176" s="45"/>
      <c r="D176" s="2"/>
      <c r="E176" s="2"/>
      <c r="F176" s="2"/>
      <c r="G176" s="324"/>
      <c r="H176" s="334"/>
      <c r="I176" s="62"/>
    </row>
    <row r="177" ht="15.75" customHeight="1">
      <c r="A177" s="2"/>
      <c r="B177" s="62"/>
      <c r="C177" s="45"/>
      <c r="D177" s="2"/>
      <c r="E177" s="2"/>
      <c r="F177" s="2"/>
      <c r="G177" s="324"/>
      <c r="H177" s="334"/>
      <c r="I177" s="62"/>
    </row>
    <row r="178" ht="15.75" customHeight="1">
      <c r="A178" s="2"/>
      <c r="B178" s="62"/>
      <c r="C178" s="45"/>
      <c r="D178" s="2"/>
      <c r="E178" s="2"/>
      <c r="F178" s="2"/>
      <c r="G178" s="324"/>
      <c r="H178" s="334"/>
      <c r="I178" s="62"/>
    </row>
    <row r="179" ht="15.75" customHeight="1">
      <c r="A179" s="2"/>
      <c r="B179" s="62"/>
      <c r="C179" s="45"/>
      <c r="D179" s="2"/>
      <c r="E179" s="2"/>
      <c r="F179" s="2"/>
      <c r="G179" s="324"/>
      <c r="H179" s="334"/>
      <c r="I179" s="62"/>
    </row>
    <row r="180" ht="15.75" customHeight="1">
      <c r="A180" s="2"/>
      <c r="B180" s="62"/>
      <c r="C180" s="45"/>
      <c r="D180" s="2"/>
      <c r="E180" s="2"/>
      <c r="F180" s="2"/>
      <c r="G180" s="324"/>
      <c r="H180" s="334"/>
      <c r="I180" s="62"/>
    </row>
    <row r="181" ht="15.75" customHeight="1">
      <c r="A181" s="2"/>
      <c r="B181" s="62"/>
      <c r="C181" s="45"/>
      <c r="D181" s="2"/>
      <c r="E181" s="2"/>
      <c r="F181" s="2"/>
      <c r="G181" s="324"/>
      <c r="H181" s="334"/>
      <c r="I181" s="62"/>
    </row>
    <row r="182" ht="15.75" customHeight="1">
      <c r="A182" s="2"/>
      <c r="B182" s="62"/>
      <c r="C182" s="45"/>
      <c r="D182" s="2"/>
      <c r="E182" s="2"/>
      <c r="F182" s="2"/>
      <c r="G182" s="324"/>
      <c r="H182" s="334"/>
      <c r="I182" s="62"/>
    </row>
    <row r="183" ht="15.75" customHeight="1">
      <c r="A183" s="2"/>
      <c r="B183" s="62"/>
      <c r="C183" s="45"/>
      <c r="D183" s="2"/>
      <c r="E183" s="2"/>
      <c r="F183" s="2"/>
      <c r="G183" s="324"/>
      <c r="H183" s="334"/>
      <c r="I183" s="62"/>
    </row>
    <row r="184" ht="15.75" customHeight="1">
      <c r="A184" s="2"/>
      <c r="B184" s="62"/>
      <c r="C184" s="45"/>
      <c r="D184" s="2"/>
      <c r="E184" s="2"/>
      <c r="F184" s="2"/>
      <c r="G184" s="324"/>
      <c r="H184" s="334"/>
      <c r="I184" s="62"/>
    </row>
    <row r="185" ht="15.75" customHeight="1">
      <c r="A185" s="2"/>
      <c r="B185" s="62"/>
      <c r="C185" s="45"/>
      <c r="D185" s="2"/>
      <c r="E185" s="2"/>
      <c r="F185" s="2"/>
      <c r="G185" s="324"/>
      <c r="H185" s="334"/>
      <c r="I185" s="62"/>
    </row>
    <row r="186" ht="15.75" customHeight="1">
      <c r="A186" s="2"/>
      <c r="B186" s="62"/>
      <c r="C186" s="45"/>
      <c r="D186" s="2"/>
      <c r="E186" s="2"/>
      <c r="F186" s="2"/>
      <c r="G186" s="324"/>
      <c r="H186" s="334"/>
      <c r="I186" s="62"/>
    </row>
    <row r="187" ht="15.75" customHeight="1">
      <c r="A187" s="2"/>
      <c r="B187" s="62"/>
      <c r="C187" s="45"/>
      <c r="D187" s="2"/>
      <c r="E187" s="2"/>
      <c r="F187" s="2"/>
      <c r="G187" s="324"/>
      <c r="H187" s="334"/>
      <c r="I187" s="62"/>
    </row>
    <row r="188" ht="15.75" customHeight="1">
      <c r="A188" s="2"/>
      <c r="B188" s="62"/>
      <c r="C188" s="45"/>
      <c r="D188" s="2"/>
      <c r="E188" s="2"/>
      <c r="F188" s="2"/>
      <c r="G188" s="324"/>
      <c r="H188" s="334"/>
      <c r="I188" s="62"/>
    </row>
    <row r="189" ht="15.75" customHeight="1">
      <c r="A189" s="2"/>
      <c r="B189" s="62"/>
      <c r="C189" s="45"/>
      <c r="D189" s="2"/>
      <c r="E189" s="2"/>
      <c r="F189" s="2"/>
      <c r="G189" s="324"/>
      <c r="H189" s="334"/>
      <c r="I189" s="62"/>
    </row>
    <row r="190" ht="15.75" customHeight="1">
      <c r="A190" s="2"/>
      <c r="B190" s="62"/>
      <c r="C190" s="45"/>
      <c r="D190" s="2"/>
      <c r="E190" s="2"/>
      <c r="F190" s="2"/>
      <c r="G190" s="324"/>
      <c r="H190" s="334"/>
      <c r="I190" s="62"/>
    </row>
    <row r="191" ht="15.75" customHeight="1">
      <c r="A191" s="2"/>
      <c r="B191" s="62"/>
      <c r="C191" s="45"/>
      <c r="D191" s="2"/>
      <c r="E191" s="2"/>
      <c r="F191" s="2"/>
      <c r="G191" s="324"/>
      <c r="H191" s="334"/>
      <c r="I191" s="62"/>
    </row>
    <row r="192" ht="15.75" customHeight="1">
      <c r="A192" s="2"/>
      <c r="B192" s="62"/>
      <c r="C192" s="45"/>
      <c r="D192" s="2"/>
      <c r="E192" s="2"/>
      <c r="F192" s="2"/>
      <c r="G192" s="324"/>
      <c r="H192" s="334"/>
      <c r="I192" s="62"/>
    </row>
    <row r="193" ht="15.75" customHeight="1">
      <c r="A193" s="2"/>
      <c r="B193" s="62"/>
      <c r="C193" s="45"/>
      <c r="D193" s="2"/>
      <c r="E193" s="2"/>
      <c r="F193" s="2"/>
      <c r="G193" s="324"/>
      <c r="H193" s="334"/>
      <c r="I193" s="62"/>
    </row>
    <row r="194" ht="15.75" customHeight="1">
      <c r="A194" s="2"/>
      <c r="B194" s="62"/>
      <c r="C194" s="45"/>
      <c r="D194" s="2"/>
      <c r="E194" s="2"/>
      <c r="F194" s="2"/>
      <c r="G194" s="324"/>
      <c r="H194" s="334"/>
      <c r="I194" s="62"/>
    </row>
    <row r="195" ht="15.75" customHeight="1">
      <c r="A195" s="2"/>
      <c r="B195" s="62"/>
      <c r="C195" s="45"/>
      <c r="D195" s="2"/>
      <c r="E195" s="2"/>
      <c r="F195" s="2"/>
      <c r="G195" s="324"/>
      <c r="H195" s="334"/>
      <c r="I195" s="62"/>
    </row>
    <row r="196" ht="15.75" customHeight="1">
      <c r="A196" s="2"/>
      <c r="B196" s="62"/>
      <c r="C196" s="45"/>
      <c r="D196" s="2"/>
      <c r="E196" s="2"/>
      <c r="F196" s="2"/>
      <c r="G196" s="324"/>
      <c r="H196" s="334"/>
      <c r="I196" s="62"/>
    </row>
    <row r="197" ht="15.75" customHeight="1">
      <c r="A197" s="2"/>
      <c r="B197" s="62"/>
      <c r="C197" s="45"/>
      <c r="D197" s="2"/>
      <c r="E197" s="2"/>
      <c r="F197" s="2"/>
      <c r="G197" s="324"/>
      <c r="H197" s="334"/>
      <c r="I197" s="62"/>
    </row>
    <row r="198" ht="15.75" customHeight="1">
      <c r="A198" s="2"/>
      <c r="B198" s="62"/>
      <c r="C198" s="45"/>
      <c r="D198" s="2"/>
      <c r="E198" s="2"/>
      <c r="F198" s="2"/>
      <c r="G198" s="324"/>
      <c r="H198" s="334"/>
      <c r="I198" s="62"/>
    </row>
    <row r="199" ht="15.75" customHeight="1">
      <c r="A199" s="2"/>
      <c r="B199" s="62"/>
      <c r="C199" s="45"/>
      <c r="D199" s="2"/>
      <c r="E199" s="2"/>
      <c r="F199" s="2"/>
      <c r="G199" s="324"/>
      <c r="H199" s="334"/>
      <c r="I199" s="62"/>
    </row>
    <row r="200" ht="15.75" customHeight="1">
      <c r="A200" s="2"/>
      <c r="B200" s="62"/>
      <c r="C200" s="45"/>
      <c r="D200" s="2"/>
      <c r="E200" s="2"/>
      <c r="F200" s="2"/>
      <c r="G200" s="324"/>
      <c r="H200" s="334"/>
      <c r="I200" s="62"/>
    </row>
    <row r="201" ht="15.75" customHeight="1">
      <c r="A201" s="2"/>
      <c r="B201" s="62"/>
      <c r="C201" s="45"/>
      <c r="D201" s="2"/>
      <c r="E201" s="2"/>
      <c r="F201" s="2"/>
      <c r="G201" s="324"/>
      <c r="H201" s="334"/>
      <c r="I201" s="62"/>
    </row>
    <row r="202" ht="15.75" customHeight="1">
      <c r="A202" s="2"/>
      <c r="B202" s="62"/>
      <c r="C202" s="45"/>
      <c r="D202" s="2"/>
      <c r="E202" s="2"/>
      <c r="F202" s="2"/>
      <c r="G202" s="324"/>
      <c r="H202" s="334"/>
      <c r="I202" s="62"/>
    </row>
    <row r="203" ht="15.75" customHeight="1">
      <c r="A203" s="2"/>
      <c r="B203" s="62"/>
      <c r="C203" s="45"/>
      <c r="D203" s="2"/>
      <c r="E203" s="2"/>
      <c r="F203" s="2"/>
      <c r="G203" s="324"/>
      <c r="H203" s="334"/>
      <c r="I203" s="62"/>
    </row>
    <row r="204" ht="15.75" customHeight="1">
      <c r="A204" s="2"/>
      <c r="B204" s="62"/>
      <c r="C204" s="45"/>
      <c r="D204" s="2"/>
      <c r="E204" s="2"/>
      <c r="F204" s="2"/>
      <c r="G204" s="324"/>
      <c r="H204" s="334"/>
      <c r="I204" s="62"/>
    </row>
    <row r="205" ht="15.75" customHeight="1">
      <c r="A205" s="2"/>
      <c r="B205" s="62"/>
      <c r="C205" s="45"/>
      <c r="D205" s="2"/>
      <c r="E205" s="2"/>
      <c r="F205" s="2"/>
      <c r="G205" s="324"/>
      <c r="H205" s="334"/>
      <c r="I205" s="62"/>
    </row>
    <row r="206" ht="15.75" customHeight="1">
      <c r="A206" s="2"/>
      <c r="B206" s="62"/>
      <c r="C206" s="45"/>
      <c r="D206" s="2"/>
      <c r="E206" s="2"/>
      <c r="F206" s="2"/>
      <c r="G206" s="324"/>
      <c r="H206" s="334"/>
      <c r="I206" s="62"/>
    </row>
    <row r="207" ht="15.75" customHeight="1">
      <c r="A207" s="2"/>
      <c r="B207" s="62"/>
      <c r="C207" s="45"/>
      <c r="D207" s="2"/>
      <c r="E207" s="2"/>
      <c r="F207" s="2"/>
      <c r="G207" s="324"/>
      <c r="H207" s="334"/>
      <c r="I207" s="62"/>
    </row>
    <row r="208" ht="15.75" customHeight="1">
      <c r="A208" s="2"/>
      <c r="B208" s="62"/>
      <c r="C208" s="45"/>
      <c r="D208" s="2"/>
      <c r="E208" s="2"/>
      <c r="F208" s="2"/>
      <c r="G208" s="324"/>
      <c r="H208" s="334"/>
      <c r="I208" s="62"/>
    </row>
    <row r="209" ht="15.75" customHeight="1">
      <c r="A209" s="2"/>
      <c r="B209" s="62"/>
      <c r="C209" s="45"/>
      <c r="D209" s="2"/>
      <c r="E209" s="2"/>
      <c r="F209" s="2"/>
      <c r="G209" s="324"/>
      <c r="H209" s="334"/>
      <c r="I209" s="62"/>
    </row>
    <row r="210" ht="15.75" customHeight="1">
      <c r="A210" s="2"/>
      <c r="B210" s="62"/>
      <c r="C210" s="45"/>
      <c r="D210" s="2"/>
      <c r="E210" s="2"/>
      <c r="F210" s="2"/>
      <c r="G210" s="324"/>
      <c r="H210" s="334"/>
      <c r="I210" s="62"/>
    </row>
    <row r="211" ht="15.75" customHeight="1">
      <c r="A211" s="2"/>
      <c r="B211" s="62"/>
      <c r="C211" s="45"/>
      <c r="D211" s="2"/>
      <c r="E211" s="2"/>
      <c r="F211" s="2"/>
      <c r="G211" s="324"/>
      <c r="H211" s="334"/>
      <c r="I211" s="62"/>
    </row>
    <row r="212" ht="15.75" customHeight="1">
      <c r="A212" s="2"/>
      <c r="B212" s="62"/>
      <c r="C212" s="45"/>
      <c r="D212" s="2"/>
      <c r="E212" s="2"/>
      <c r="F212" s="2"/>
      <c r="G212" s="324"/>
      <c r="H212" s="334"/>
      <c r="I212" s="62"/>
    </row>
    <row r="213" ht="15.75" customHeight="1">
      <c r="A213" s="2"/>
      <c r="B213" s="62"/>
      <c r="C213" s="45"/>
      <c r="D213" s="2"/>
      <c r="E213" s="2"/>
      <c r="F213" s="2"/>
      <c r="G213" s="324"/>
      <c r="H213" s="334"/>
      <c r="I213" s="62"/>
    </row>
    <row r="214" ht="15.75" customHeight="1">
      <c r="A214" s="2"/>
      <c r="B214" s="62"/>
      <c r="C214" s="45"/>
      <c r="D214" s="2"/>
      <c r="E214" s="2"/>
      <c r="F214" s="2"/>
      <c r="G214" s="324"/>
      <c r="H214" s="334"/>
      <c r="I214" s="62"/>
    </row>
    <row r="215" ht="15.75" customHeight="1">
      <c r="A215" s="2"/>
      <c r="B215" s="62"/>
      <c r="C215" s="45"/>
      <c r="D215" s="2"/>
      <c r="E215" s="2"/>
      <c r="F215" s="2"/>
      <c r="G215" s="324"/>
      <c r="H215" s="334"/>
      <c r="I215" s="62"/>
    </row>
    <row r="216" ht="15.75" customHeight="1">
      <c r="A216" s="2"/>
      <c r="B216" s="62"/>
      <c r="C216" s="45"/>
      <c r="D216" s="2"/>
      <c r="E216" s="2"/>
      <c r="F216" s="2"/>
      <c r="G216" s="324"/>
      <c r="H216" s="334"/>
      <c r="I216" s="62"/>
    </row>
    <row r="217" ht="15.75" customHeight="1">
      <c r="A217" s="2"/>
      <c r="B217" s="62"/>
      <c r="C217" s="45"/>
      <c r="D217" s="2"/>
      <c r="E217" s="2"/>
      <c r="F217" s="2"/>
      <c r="G217" s="324"/>
      <c r="H217" s="334"/>
      <c r="I217" s="62"/>
    </row>
    <row r="218" ht="15.75" customHeight="1">
      <c r="A218" s="2"/>
      <c r="B218" s="62"/>
      <c r="C218" s="45"/>
      <c r="D218" s="2"/>
      <c r="E218" s="2"/>
      <c r="F218" s="2"/>
      <c r="G218" s="324"/>
      <c r="H218" s="334"/>
      <c r="I218" s="62"/>
    </row>
    <row r="219" ht="15.75" customHeight="1">
      <c r="A219" s="2"/>
      <c r="B219" s="62"/>
      <c r="C219" s="45"/>
      <c r="D219" s="2"/>
      <c r="E219" s="2"/>
      <c r="F219" s="2"/>
      <c r="G219" s="324"/>
      <c r="H219" s="334"/>
      <c r="I219" s="62"/>
    </row>
    <row r="220" ht="15.75" customHeight="1">
      <c r="A220" s="2"/>
      <c r="B220" s="62"/>
      <c r="C220" s="45"/>
      <c r="D220" s="2"/>
      <c r="E220" s="2"/>
      <c r="F220" s="2"/>
      <c r="G220" s="324"/>
      <c r="H220" s="334"/>
      <c r="I220" s="62"/>
    </row>
    <row r="221" ht="15.75" customHeight="1">
      <c r="A221" s="2"/>
      <c r="B221" s="62"/>
      <c r="C221" s="45"/>
      <c r="D221" s="2"/>
      <c r="E221" s="2"/>
      <c r="F221" s="2"/>
      <c r="G221" s="324"/>
      <c r="H221" s="334"/>
      <c r="I221" s="62"/>
    </row>
    <row r="222" ht="15.75" customHeight="1">
      <c r="A222" s="2"/>
      <c r="B222" s="62"/>
      <c r="C222" s="45"/>
      <c r="D222" s="2"/>
      <c r="E222" s="2"/>
      <c r="F222" s="2"/>
      <c r="G222" s="324"/>
      <c r="H222" s="334"/>
      <c r="I222" s="62"/>
    </row>
    <row r="223" ht="15.75" customHeight="1">
      <c r="A223" s="2"/>
      <c r="B223" s="62"/>
      <c r="C223" s="45"/>
      <c r="D223" s="2"/>
      <c r="E223" s="2"/>
      <c r="F223" s="2"/>
      <c r="G223" s="324"/>
      <c r="H223" s="334"/>
      <c r="I223" s="62"/>
    </row>
    <row r="224" ht="15.75" customHeight="1">
      <c r="A224" s="2"/>
      <c r="B224" s="62"/>
      <c r="C224" s="45"/>
      <c r="D224" s="2"/>
      <c r="E224" s="2"/>
      <c r="F224" s="2"/>
      <c r="G224" s="324"/>
      <c r="H224" s="334"/>
      <c r="I224" s="62"/>
    </row>
    <row r="225" ht="15.75" customHeight="1">
      <c r="A225" s="2"/>
      <c r="B225" s="62"/>
      <c r="C225" s="45"/>
      <c r="D225" s="2"/>
      <c r="E225" s="2"/>
      <c r="F225" s="2"/>
      <c r="G225" s="324"/>
      <c r="H225" s="334"/>
      <c r="I225" s="62"/>
    </row>
    <row r="226" ht="15.75" customHeight="1">
      <c r="A226" s="2"/>
      <c r="B226" s="62"/>
      <c r="C226" s="45"/>
      <c r="D226" s="2"/>
      <c r="E226" s="2"/>
      <c r="F226" s="2"/>
      <c r="G226" s="324"/>
      <c r="H226" s="334"/>
      <c r="I226" s="62"/>
    </row>
    <row r="227" ht="15.75" customHeight="1">
      <c r="A227" s="2"/>
      <c r="B227" s="62"/>
      <c r="C227" s="45"/>
      <c r="D227" s="2"/>
      <c r="E227" s="2"/>
      <c r="F227" s="2"/>
      <c r="G227" s="324"/>
      <c r="H227" s="334"/>
      <c r="I227" s="62"/>
    </row>
    <row r="228" ht="15.75" customHeight="1">
      <c r="A228" s="2"/>
      <c r="B228" s="62"/>
      <c r="C228" s="45"/>
      <c r="D228" s="2"/>
      <c r="E228" s="2"/>
      <c r="F228" s="2"/>
      <c r="G228" s="324"/>
      <c r="H228" s="334"/>
      <c r="I228" s="62"/>
    </row>
    <row r="229" ht="15.75" customHeight="1">
      <c r="A229" s="2"/>
      <c r="B229" s="62"/>
      <c r="C229" s="45"/>
      <c r="D229" s="2"/>
      <c r="E229" s="2"/>
      <c r="F229" s="2"/>
      <c r="G229" s="324"/>
      <c r="H229" s="334"/>
      <c r="I229" s="62"/>
    </row>
    <row r="230" ht="15.75" customHeight="1">
      <c r="A230" s="2"/>
      <c r="B230" s="62"/>
      <c r="C230" s="45"/>
      <c r="D230" s="2"/>
      <c r="E230" s="2"/>
      <c r="F230" s="2"/>
      <c r="G230" s="324"/>
      <c r="H230" s="334"/>
      <c r="I230" s="62"/>
    </row>
    <row r="231" ht="15.75" customHeight="1">
      <c r="A231" s="2"/>
      <c r="B231" s="62"/>
      <c r="C231" s="45"/>
      <c r="D231" s="2"/>
      <c r="E231" s="2"/>
      <c r="F231" s="2"/>
      <c r="G231" s="324"/>
      <c r="H231" s="334"/>
      <c r="I231" s="62"/>
    </row>
    <row r="232" ht="15.75" customHeight="1">
      <c r="A232" s="2"/>
      <c r="B232" s="62"/>
      <c r="C232" s="45"/>
      <c r="D232" s="2"/>
      <c r="E232" s="2"/>
      <c r="F232" s="2"/>
      <c r="G232" s="324"/>
      <c r="H232" s="334"/>
      <c r="I232" s="62"/>
    </row>
    <row r="233" ht="15.75" customHeight="1">
      <c r="A233" s="2"/>
      <c r="B233" s="62"/>
      <c r="C233" s="45"/>
      <c r="D233" s="2"/>
      <c r="E233" s="2"/>
      <c r="F233" s="2"/>
      <c r="G233" s="324"/>
      <c r="H233" s="334"/>
      <c r="I233" s="62"/>
    </row>
    <row r="234" ht="15.75" customHeight="1">
      <c r="A234" s="2"/>
      <c r="B234" s="62"/>
      <c r="C234" s="45"/>
      <c r="D234" s="2"/>
      <c r="E234" s="2"/>
      <c r="F234" s="2"/>
      <c r="G234" s="324"/>
      <c r="H234" s="334"/>
      <c r="I234" s="62"/>
    </row>
    <row r="235" ht="15.75" customHeight="1">
      <c r="A235" s="2"/>
      <c r="B235" s="62"/>
      <c r="C235" s="45"/>
      <c r="D235" s="2"/>
      <c r="E235" s="2"/>
      <c r="F235" s="2"/>
      <c r="G235" s="324"/>
      <c r="H235" s="334"/>
      <c r="I235" s="62"/>
    </row>
    <row r="236" ht="15.75" customHeight="1">
      <c r="A236" s="2"/>
      <c r="B236" s="62"/>
      <c r="C236" s="45"/>
      <c r="D236" s="2"/>
      <c r="E236" s="2"/>
      <c r="F236" s="2"/>
      <c r="G236" s="324"/>
      <c r="H236" s="334"/>
      <c r="I236" s="62"/>
    </row>
    <row r="237" ht="15.75" customHeight="1">
      <c r="A237" s="2"/>
      <c r="B237" s="62"/>
      <c r="C237" s="45"/>
      <c r="D237" s="2"/>
      <c r="E237" s="2"/>
      <c r="F237" s="2"/>
      <c r="G237" s="324"/>
      <c r="H237" s="334"/>
      <c r="I237" s="62"/>
    </row>
    <row r="238" ht="15.75" customHeight="1">
      <c r="A238" s="2"/>
      <c r="B238" s="62"/>
      <c r="C238" s="45"/>
      <c r="D238" s="2"/>
      <c r="E238" s="2"/>
      <c r="F238" s="2"/>
      <c r="G238" s="324"/>
      <c r="H238" s="334"/>
      <c r="I238" s="62"/>
    </row>
    <row r="239" ht="15.75" customHeight="1">
      <c r="A239" s="2"/>
      <c r="B239" s="62"/>
      <c r="C239" s="45"/>
      <c r="D239" s="2"/>
      <c r="E239" s="2"/>
      <c r="F239" s="2"/>
      <c r="G239" s="324"/>
      <c r="H239" s="334"/>
      <c r="I239" s="62"/>
    </row>
    <row r="240" ht="15.75" customHeight="1">
      <c r="A240" s="2"/>
      <c r="B240" s="62"/>
      <c r="C240" s="45"/>
      <c r="D240" s="2"/>
      <c r="E240" s="2"/>
      <c r="F240" s="2"/>
      <c r="G240" s="324"/>
      <c r="H240" s="334"/>
      <c r="I240" s="62"/>
    </row>
    <row r="241" ht="15.75" customHeight="1">
      <c r="A241" s="2"/>
      <c r="B241" s="62"/>
      <c r="C241" s="45"/>
      <c r="D241" s="2"/>
      <c r="E241" s="2"/>
      <c r="F241" s="2"/>
      <c r="G241" s="324"/>
      <c r="H241" s="334"/>
      <c r="I241" s="62"/>
    </row>
    <row r="242" ht="15.75" customHeight="1">
      <c r="A242" s="2"/>
      <c r="B242" s="62"/>
      <c r="C242" s="45"/>
      <c r="D242" s="2"/>
      <c r="E242" s="2"/>
      <c r="F242" s="2"/>
      <c r="G242" s="324"/>
      <c r="H242" s="334"/>
      <c r="I242" s="62"/>
    </row>
    <row r="243" ht="15.75" customHeight="1">
      <c r="A243" s="2"/>
      <c r="B243" s="62"/>
      <c r="C243" s="45"/>
      <c r="D243" s="2"/>
      <c r="E243" s="2"/>
      <c r="F243" s="2"/>
      <c r="G243" s="324"/>
      <c r="H243" s="334"/>
      <c r="I243" s="62"/>
    </row>
    <row r="244" ht="15.75" customHeight="1">
      <c r="A244" s="2"/>
      <c r="B244" s="62"/>
      <c r="C244" s="45"/>
      <c r="D244" s="2"/>
      <c r="E244" s="2"/>
      <c r="F244" s="2"/>
      <c r="G244" s="324"/>
      <c r="H244" s="334"/>
      <c r="I244" s="62"/>
    </row>
    <row r="245" ht="15.75" customHeight="1">
      <c r="A245" s="2"/>
      <c r="B245" s="62"/>
      <c r="C245" s="45"/>
      <c r="D245" s="2"/>
      <c r="E245" s="2"/>
      <c r="F245" s="2"/>
      <c r="G245" s="324"/>
      <c r="H245" s="334"/>
      <c r="I245" s="62"/>
    </row>
    <row r="246" ht="15.75" customHeight="1">
      <c r="A246" s="2"/>
      <c r="B246" s="62"/>
      <c r="C246" s="45"/>
      <c r="D246" s="2"/>
      <c r="E246" s="2"/>
      <c r="F246" s="2"/>
      <c r="G246" s="324"/>
      <c r="H246" s="334"/>
      <c r="I246" s="62"/>
    </row>
    <row r="247" ht="15.75" customHeight="1">
      <c r="A247" s="2"/>
      <c r="B247" s="62"/>
      <c r="C247" s="45"/>
      <c r="D247" s="2"/>
      <c r="E247" s="2"/>
      <c r="F247" s="2"/>
      <c r="G247" s="324"/>
      <c r="H247" s="334"/>
      <c r="I247" s="62"/>
    </row>
    <row r="248" ht="15.75" customHeight="1">
      <c r="A248" s="2"/>
      <c r="B248" s="62"/>
      <c r="C248" s="45"/>
      <c r="D248" s="2"/>
      <c r="E248" s="2"/>
      <c r="F248" s="2"/>
      <c r="G248" s="324"/>
      <c r="H248" s="334"/>
      <c r="I248" s="62"/>
    </row>
    <row r="249" ht="15.75" customHeight="1">
      <c r="A249" s="2"/>
      <c r="B249" s="62"/>
      <c r="C249" s="45"/>
      <c r="D249" s="2"/>
      <c r="E249" s="2"/>
      <c r="F249" s="2"/>
      <c r="G249" s="324"/>
      <c r="H249" s="334"/>
      <c r="I249" s="62"/>
    </row>
    <row r="250" ht="15.75" customHeight="1">
      <c r="A250" s="2"/>
      <c r="B250" s="62"/>
      <c r="C250" s="45"/>
      <c r="D250" s="2"/>
      <c r="E250" s="2"/>
      <c r="F250" s="2"/>
      <c r="G250" s="324"/>
      <c r="H250" s="334"/>
      <c r="I250" s="62"/>
    </row>
    <row r="251" ht="15.75" customHeight="1">
      <c r="A251" s="2"/>
      <c r="B251" s="62"/>
      <c r="C251" s="45"/>
      <c r="D251" s="2"/>
      <c r="E251" s="2"/>
      <c r="F251" s="2"/>
      <c r="G251" s="324"/>
      <c r="H251" s="334"/>
      <c r="I251" s="62"/>
    </row>
    <row r="252" ht="15.75" customHeight="1">
      <c r="A252" s="2"/>
      <c r="B252" s="62"/>
      <c r="C252" s="45"/>
      <c r="D252" s="2"/>
      <c r="E252" s="2"/>
      <c r="F252" s="2"/>
      <c r="G252" s="324"/>
      <c r="H252" s="334"/>
      <c r="I252" s="62"/>
    </row>
    <row r="253" ht="15.75" customHeight="1">
      <c r="A253" s="2"/>
      <c r="B253" s="62"/>
      <c r="C253" s="45"/>
      <c r="D253" s="2"/>
      <c r="E253" s="2"/>
      <c r="F253" s="2"/>
      <c r="G253" s="324"/>
      <c r="H253" s="334"/>
      <c r="I253" s="62"/>
    </row>
    <row r="254" ht="15.75" customHeight="1">
      <c r="A254" s="2"/>
      <c r="B254" s="62"/>
      <c r="C254" s="45"/>
      <c r="D254" s="2"/>
      <c r="E254" s="2"/>
      <c r="F254" s="2"/>
      <c r="G254" s="324"/>
      <c r="H254" s="334"/>
      <c r="I254" s="62"/>
    </row>
    <row r="255" ht="15.75" customHeight="1">
      <c r="A255" s="2"/>
      <c r="B255" s="62"/>
      <c r="C255" s="45"/>
      <c r="D255" s="2"/>
      <c r="E255" s="2"/>
      <c r="F255" s="2"/>
      <c r="G255" s="324"/>
      <c r="H255" s="334"/>
      <c r="I255" s="62"/>
    </row>
    <row r="256" ht="15.75" customHeight="1">
      <c r="A256" s="2"/>
      <c r="B256" s="62"/>
      <c r="C256" s="45"/>
      <c r="D256" s="2"/>
      <c r="E256" s="2"/>
      <c r="F256" s="2"/>
      <c r="G256" s="324"/>
      <c r="H256" s="334"/>
      <c r="I256" s="62"/>
    </row>
    <row r="257" ht="15.75" customHeight="1">
      <c r="A257" s="2"/>
      <c r="B257" s="62"/>
      <c r="C257" s="45"/>
      <c r="D257" s="2"/>
      <c r="E257" s="2"/>
      <c r="F257" s="2"/>
      <c r="G257" s="324"/>
      <c r="H257" s="334"/>
      <c r="I257" s="62"/>
    </row>
    <row r="258" ht="15.75" customHeight="1">
      <c r="A258" s="2"/>
      <c r="B258" s="62"/>
      <c r="C258" s="45"/>
      <c r="D258" s="2"/>
      <c r="E258" s="2"/>
      <c r="F258" s="2"/>
      <c r="G258" s="324"/>
      <c r="H258" s="334"/>
      <c r="I258" s="62"/>
    </row>
    <row r="259" ht="15.75" customHeight="1">
      <c r="A259" s="2"/>
      <c r="B259" s="62"/>
      <c r="C259" s="45"/>
      <c r="D259" s="2"/>
      <c r="E259" s="2"/>
      <c r="F259" s="2"/>
      <c r="G259" s="324"/>
      <c r="H259" s="334"/>
      <c r="I259" s="62"/>
    </row>
    <row r="260" ht="15.75" customHeight="1">
      <c r="A260" s="2"/>
      <c r="B260" s="62"/>
      <c r="C260" s="45"/>
      <c r="D260" s="2"/>
      <c r="E260" s="2"/>
      <c r="F260" s="2"/>
      <c r="G260" s="324"/>
      <c r="H260" s="334"/>
      <c r="I260" s="62"/>
    </row>
    <row r="261" ht="15.75" customHeight="1">
      <c r="A261" s="2"/>
      <c r="B261" s="62"/>
      <c r="C261" s="45"/>
      <c r="D261" s="2"/>
      <c r="E261" s="2"/>
      <c r="F261" s="2"/>
      <c r="G261" s="324"/>
      <c r="H261" s="334"/>
      <c r="I261" s="62"/>
    </row>
    <row r="262" ht="15.75" customHeight="1">
      <c r="A262" s="2"/>
      <c r="B262" s="62"/>
      <c r="C262" s="45"/>
      <c r="D262" s="2"/>
      <c r="E262" s="2"/>
      <c r="F262" s="2"/>
      <c r="G262" s="324"/>
      <c r="H262" s="334"/>
      <c r="I262" s="62"/>
    </row>
    <row r="263" ht="15.75" customHeight="1">
      <c r="A263" s="2"/>
      <c r="B263" s="62"/>
      <c r="C263" s="45"/>
      <c r="D263" s="2"/>
      <c r="E263" s="2"/>
      <c r="F263" s="2"/>
      <c r="G263" s="324"/>
      <c r="H263" s="334"/>
      <c r="I263" s="62"/>
    </row>
    <row r="264" ht="15.75" customHeight="1">
      <c r="A264" s="2"/>
      <c r="B264" s="62"/>
      <c r="C264" s="45"/>
      <c r="D264" s="2"/>
      <c r="E264" s="2"/>
      <c r="F264" s="2"/>
      <c r="G264" s="324"/>
      <c r="H264" s="334"/>
      <c r="I264" s="62"/>
    </row>
    <row r="265" ht="15.75" customHeight="1">
      <c r="A265" s="2"/>
      <c r="B265" s="62"/>
      <c r="C265" s="45"/>
      <c r="D265" s="2"/>
      <c r="E265" s="2"/>
      <c r="F265" s="2"/>
      <c r="G265" s="324"/>
      <c r="H265" s="334"/>
      <c r="I265" s="62"/>
    </row>
    <row r="266" ht="15.75" customHeight="1">
      <c r="A266" s="2"/>
      <c r="B266" s="62"/>
      <c r="C266" s="45"/>
      <c r="D266" s="2"/>
      <c r="E266" s="2"/>
      <c r="F266" s="2"/>
      <c r="G266" s="324"/>
      <c r="H266" s="334"/>
      <c r="I266" s="62"/>
    </row>
    <row r="267" ht="15.75" customHeight="1">
      <c r="A267" s="2"/>
      <c r="B267" s="62"/>
      <c r="C267" s="45"/>
      <c r="D267" s="2"/>
      <c r="E267" s="2"/>
      <c r="F267" s="2"/>
      <c r="G267" s="324"/>
      <c r="H267" s="334"/>
      <c r="I267" s="62"/>
    </row>
    <row r="268" ht="15.75" customHeight="1">
      <c r="A268" s="2"/>
      <c r="B268" s="62"/>
      <c r="C268" s="45"/>
      <c r="D268" s="2"/>
      <c r="E268" s="2"/>
      <c r="F268" s="2"/>
      <c r="G268" s="324"/>
      <c r="H268" s="334"/>
      <c r="I268" s="62"/>
    </row>
    <row r="269" ht="15.75" customHeight="1">
      <c r="A269" s="2"/>
      <c r="B269" s="62"/>
      <c r="C269" s="45"/>
      <c r="D269" s="2"/>
      <c r="E269" s="2"/>
      <c r="F269" s="2"/>
      <c r="G269" s="324"/>
      <c r="H269" s="334"/>
      <c r="I269" s="62"/>
    </row>
    <row r="270" ht="15.75" customHeight="1">
      <c r="A270" s="2"/>
      <c r="B270" s="62"/>
      <c r="C270" s="45"/>
      <c r="D270" s="2"/>
      <c r="E270" s="2"/>
      <c r="F270" s="2"/>
      <c r="G270" s="324"/>
      <c r="H270" s="334"/>
      <c r="I270" s="62"/>
    </row>
    <row r="271" ht="15.75" customHeight="1">
      <c r="A271" s="2"/>
      <c r="B271" s="62"/>
      <c r="C271" s="45"/>
      <c r="D271" s="2"/>
      <c r="E271" s="2"/>
      <c r="F271" s="2"/>
      <c r="G271" s="324"/>
      <c r="H271" s="334"/>
      <c r="I271" s="62"/>
    </row>
    <row r="272" ht="15.75" customHeight="1">
      <c r="A272" s="2"/>
      <c r="B272" s="62"/>
      <c r="C272" s="45"/>
      <c r="D272" s="2"/>
      <c r="E272" s="2"/>
      <c r="F272" s="2"/>
      <c r="G272" s="324"/>
      <c r="H272" s="334"/>
      <c r="I272" s="62"/>
    </row>
    <row r="273" ht="15.75" customHeight="1">
      <c r="A273" s="2"/>
      <c r="B273" s="62"/>
      <c r="C273" s="45"/>
      <c r="D273" s="2"/>
      <c r="E273" s="2"/>
      <c r="F273" s="2"/>
      <c r="G273" s="324"/>
      <c r="H273" s="334"/>
      <c r="I273" s="62"/>
    </row>
    <row r="274" ht="15.75" customHeight="1">
      <c r="A274" s="2"/>
      <c r="B274" s="62"/>
      <c r="C274" s="45"/>
      <c r="D274" s="2"/>
      <c r="E274" s="2"/>
      <c r="F274" s="2"/>
      <c r="G274" s="324"/>
      <c r="H274" s="334"/>
      <c r="I274" s="62"/>
    </row>
    <row r="275" ht="15.75" customHeight="1">
      <c r="A275" s="2"/>
      <c r="B275" s="62"/>
      <c r="C275" s="45"/>
      <c r="D275" s="2"/>
      <c r="E275" s="2"/>
      <c r="F275" s="2"/>
      <c r="G275" s="324"/>
      <c r="H275" s="334"/>
      <c r="I275" s="62"/>
    </row>
    <row r="276" ht="15.75" customHeight="1">
      <c r="A276" s="2"/>
      <c r="B276" s="62"/>
      <c r="C276" s="45"/>
      <c r="D276" s="2"/>
      <c r="E276" s="2"/>
      <c r="F276" s="2"/>
      <c r="G276" s="324"/>
      <c r="H276" s="334"/>
      <c r="I276" s="62"/>
    </row>
    <row r="277" ht="15.75" customHeight="1">
      <c r="A277" s="2"/>
      <c r="B277" s="62"/>
      <c r="C277" s="45"/>
      <c r="D277" s="2"/>
      <c r="E277" s="2"/>
      <c r="F277" s="2"/>
      <c r="G277" s="324"/>
      <c r="H277" s="334"/>
      <c r="I277" s="62"/>
    </row>
    <row r="278" ht="15.75" customHeight="1">
      <c r="A278" s="2"/>
      <c r="B278" s="62"/>
      <c r="C278" s="45"/>
      <c r="D278" s="2"/>
      <c r="E278" s="2"/>
      <c r="F278" s="2"/>
      <c r="G278" s="324"/>
      <c r="H278" s="334"/>
      <c r="I278" s="62"/>
    </row>
    <row r="279" ht="15.75" customHeight="1">
      <c r="A279" s="2"/>
      <c r="B279" s="62"/>
      <c r="C279" s="45"/>
      <c r="D279" s="2"/>
      <c r="E279" s="2"/>
      <c r="F279" s="2"/>
      <c r="G279" s="324"/>
      <c r="H279" s="334"/>
      <c r="I279" s="62"/>
    </row>
    <row r="280" ht="15.75" customHeight="1">
      <c r="A280" s="2"/>
      <c r="B280" s="62"/>
      <c r="C280" s="45"/>
      <c r="D280" s="2"/>
      <c r="E280" s="2"/>
      <c r="F280" s="2"/>
      <c r="G280" s="324"/>
      <c r="H280" s="334"/>
      <c r="I280" s="62"/>
    </row>
    <row r="281" ht="15.75" customHeight="1">
      <c r="A281" s="2"/>
      <c r="B281" s="62"/>
      <c r="C281" s="45"/>
      <c r="D281" s="2"/>
      <c r="E281" s="2"/>
      <c r="F281" s="2"/>
      <c r="G281" s="324"/>
      <c r="H281" s="334"/>
      <c r="I281" s="62"/>
    </row>
    <row r="282" ht="15.75" customHeight="1">
      <c r="A282" s="2"/>
      <c r="B282" s="62"/>
      <c r="C282" s="45"/>
      <c r="D282" s="2"/>
      <c r="E282" s="2"/>
      <c r="F282" s="2"/>
      <c r="G282" s="324"/>
      <c r="H282" s="334"/>
      <c r="I282" s="62"/>
    </row>
    <row r="283" ht="15.75" customHeight="1">
      <c r="A283" s="2"/>
      <c r="B283" s="62"/>
      <c r="C283" s="45"/>
      <c r="D283" s="2"/>
      <c r="E283" s="2"/>
      <c r="F283" s="2"/>
      <c r="G283" s="324"/>
      <c r="H283" s="334"/>
      <c r="I283" s="62"/>
    </row>
    <row r="284" ht="15.75" customHeight="1">
      <c r="A284" s="2"/>
      <c r="B284" s="62"/>
      <c r="C284" s="45"/>
      <c r="D284" s="2"/>
      <c r="E284" s="2"/>
      <c r="F284" s="2"/>
      <c r="G284" s="324"/>
      <c r="H284" s="334"/>
      <c r="I284" s="62"/>
    </row>
    <row r="285" ht="15.75" customHeight="1">
      <c r="A285" s="2"/>
      <c r="B285" s="62"/>
      <c r="C285" s="45"/>
      <c r="D285" s="2"/>
      <c r="E285" s="2"/>
      <c r="F285" s="2"/>
      <c r="G285" s="324"/>
      <c r="H285" s="334"/>
      <c r="I285" s="62"/>
    </row>
    <row r="286" ht="15.75" customHeight="1">
      <c r="A286" s="2"/>
      <c r="B286" s="62"/>
      <c r="C286" s="45"/>
      <c r="D286" s="2"/>
      <c r="E286" s="2"/>
      <c r="F286" s="2"/>
      <c r="G286" s="324"/>
      <c r="H286" s="334"/>
      <c r="I286" s="62"/>
    </row>
    <row r="287" ht="15.75" customHeight="1">
      <c r="A287" s="2"/>
      <c r="B287" s="62"/>
      <c r="C287" s="45"/>
      <c r="D287" s="2"/>
      <c r="E287" s="2"/>
      <c r="F287" s="2"/>
      <c r="G287" s="324"/>
      <c r="H287" s="334"/>
      <c r="I287" s="62"/>
    </row>
    <row r="288" ht="15.75" customHeight="1">
      <c r="A288" s="2"/>
      <c r="B288" s="62"/>
      <c r="C288" s="45"/>
      <c r="D288" s="2"/>
      <c r="E288" s="2"/>
      <c r="F288" s="2"/>
      <c r="G288" s="324"/>
      <c r="H288" s="334"/>
      <c r="I288" s="62"/>
    </row>
    <row r="289" ht="15.75" customHeight="1">
      <c r="A289" s="2"/>
      <c r="B289" s="62"/>
      <c r="C289" s="45"/>
      <c r="D289" s="2"/>
      <c r="E289" s="2"/>
      <c r="F289" s="2"/>
      <c r="G289" s="324"/>
      <c r="H289" s="334"/>
      <c r="I289" s="62"/>
    </row>
    <row r="290" ht="15.75" customHeight="1">
      <c r="A290" s="2"/>
      <c r="B290" s="62"/>
      <c r="C290" s="45"/>
      <c r="D290" s="2"/>
      <c r="E290" s="2"/>
      <c r="F290" s="2"/>
      <c r="G290" s="324"/>
      <c r="H290" s="334"/>
      <c r="I290" s="62"/>
    </row>
    <row r="291" ht="15.75" customHeight="1">
      <c r="A291" s="2"/>
      <c r="B291" s="62"/>
      <c r="C291" s="45"/>
      <c r="D291" s="2"/>
      <c r="E291" s="2"/>
      <c r="F291" s="2"/>
      <c r="G291" s="324"/>
      <c r="H291" s="334"/>
      <c r="I291" s="62"/>
    </row>
    <row r="292" ht="15.75" customHeight="1">
      <c r="A292" s="2"/>
      <c r="B292" s="62"/>
      <c r="C292" s="45"/>
      <c r="D292" s="2"/>
      <c r="E292" s="2"/>
      <c r="F292" s="2"/>
      <c r="G292" s="324"/>
      <c r="H292" s="334"/>
      <c r="I292" s="62"/>
    </row>
    <row r="293" ht="15.75" customHeight="1">
      <c r="A293" s="2"/>
      <c r="B293" s="62"/>
      <c r="C293" s="45"/>
      <c r="D293" s="2"/>
      <c r="E293" s="2"/>
      <c r="F293" s="2"/>
      <c r="G293" s="324"/>
      <c r="H293" s="334"/>
      <c r="I293" s="62"/>
    </row>
    <row r="294" ht="15.75" customHeight="1">
      <c r="A294" s="2"/>
      <c r="B294" s="62"/>
      <c r="C294" s="45"/>
      <c r="D294" s="2"/>
      <c r="E294" s="2"/>
      <c r="F294" s="2"/>
      <c r="G294" s="324"/>
      <c r="H294" s="334"/>
      <c r="I294" s="62"/>
    </row>
    <row r="295" ht="15.75" customHeight="1">
      <c r="A295" s="2"/>
      <c r="B295" s="62"/>
      <c r="C295" s="45"/>
      <c r="D295" s="2"/>
      <c r="E295" s="2"/>
      <c r="F295" s="2"/>
      <c r="G295" s="324"/>
      <c r="H295" s="334"/>
      <c r="I295" s="62"/>
    </row>
    <row r="296" ht="15.75" customHeight="1">
      <c r="A296" s="2"/>
      <c r="B296" s="62"/>
      <c r="C296" s="45"/>
      <c r="D296" s="2"/>
      <c r="E296" s="2"/>
      <c r="F296" s="2"/>
      <c r="G296" s="324"/>
      <c r="H296" s="334"/>
      <c r="I296" s="62"/>
    </row>
    <row r="297" ht="15.75" customHeight="1">
      <c r="A297" s="2"/>
      <c r="B297" s="62"/>
      <c r="C297" s="45"/>
      <c r="D297" s="2"/>
      <c r="E297" s="2"/>
      <c r="F297" s="2"/>
      <c r="G297" s="324"/>
      <c r="H297" s="334"/>
      <c r="I297" s="62"/>
    </row>
    <row r="298" ht="15.75" customHeight="1">
      <c r="A298" s="2"/>
      <c r="B298" s="62"/>
      <c r="C298" s="45"/>
      <c r="D298" s="2"/>
      <c r="E298" s="2"/>
      <c r="F298" s="2"/>
      <c r="G298" s="324"/>
      <c r="H298" s="334"/>
      <c r="I298" s="62"/>
    </row>
    <row r="299" ht="15.75" customHeight="1">
      <c r="A299" s="2"/>
      <c r="B299" s="62"/>
      <c r="C299" s="45"/>
      <c r="D299" s="2"/>
      <c r="E299" s="2"/>
      <c r="F299" s="2"/>
      <c r="G299" s="324"/>
      <c r="H299" s="334"/>
      <c r="I299" s="62"/>
    </row>
    <row r="300" ht="15.75" customHeight="1">
      <c r="A300" s="2"/>
      <c r="B300" s="62"/>
      <c r="C300" s="45"/>
      <c r="D300" s="2"/>
      <c r="E300" s="2"/>
      <c r="F300" s="2"/>
      <c r="G300" s="324"/>
      <c r="H300" s="334"/>
      <c r="I300" s="62"/>
    </row>
    <row r="301" ht="15.75" customHeight="1">
      <c r="A301" s="2"/>
      <c r="B301" s="62"/>
      <c r="C301" s="45"/>
      <c r="D301" s="2"/>
      <c r="E301" s="2"/>
      <c r="F301" s="2"/>
      <c r="G301" s="324"/>
      <c r="H301" s="334"/>
      <c r="I301" s="62"/>
    </row>
    <row r="302" ht="15.75" customHeight="1">
      <c r="A302" s="2"/>
      <c r="B302" s="62"/>
      <c r="C302" s="45"/>
      <c r="D302" s="2"/>
      <c r="E302" s="2"/>
      <c r="F302" s="2"/>
      <c r="G302" s="324"/>
      <c r="H302" s="334"/>
      <c r="I302" s="62"/>
    </row>
    <row r="303" ht="15.75" customHeight="1">
      <c r="A303" s="2"/>
      <c r="B303" s="62"/>
      <c r="C303" s="45"/>
      <c r="D303" s="2"/>
      <c r="E303" s="2"/>
      <c r="F303" s="2"/>
      <c r="G303" s="324"/>
      <c r="H303" s="334"/>
      <c r="I303" s="62"/>
    </row>
    <row r="304" ht="15.75" customHeight="1">
      <c r="A304" s="2"/>
      <c r="B304" s="62"/>
      <c r="C304" s="45"/>
      <c r="D304" s="2"/>
      <c r="E304" s="2"/>
      <c r="F304" s="2"/>
      <c r="G304" s="324"/>
      <c r="H304" s="334"/>
      <c r="I304" s="62"/>
    </row>
    <row r="305" ht="15.75" customHeight="1">
      <c r="A305" s="2"/>
      <c r="B305" s="62"/>
      <c r="C305" s="45"/>
      <c r="D305" s="2"/>
      <c r="E305" s="2"/>
      <c r="F305" s="2"/>
      <c r="G305" s="324"/>
      <c r="H305" s="334"/>
      <c r="I305" s="62"/>
    </row>
    <row r="306" ht="15.75" customHeight="1">
      <c r="A306" s="2"/>
      <c r="B306" s="62"/>
      <c r="C306" s="45"/>
      <c r="D306" s="2"/>
      <c r="E306" s="2"/>
      <c r="F306" s="2"/>
      <c r="G306" s="324"/>
      <c r="H306" s="334"/>
      <c r="I306" s="62"/>
    </row>
    <row r="307" ht="15.75" customHeight="1">
      <c r="A307" s="2"/>
      <c r="B307" s="62"/>
      <c r="C307" s="45"/>
      <c r="D307" s="2"/>
      <c r="E307" s="2"/>
      <c r="F307" s="2"/>
      <c r="G307" s="324"/>
      <c r="H307" s="334"/>
      <c r="I307" s="62"/>
    </row>
    <row r="308" ht="15.75" customHeight="1">
      <c r="A308" s="2"/>
      <c r="B308" s="62"/>
      <c r="C308" s="45"/>
      <c r="D308" s="2"/>
      <c r="E308" s="2"/>
      <c r="F308" s="2"/>
      <c r="G308" s="324"/>
      <c r="H308" s="334"/>
      <c r="I308" s="62"/>
    </row>
    <row r="309" ht="15.75" customHeight="1">
      <c r="A309" s="2"/>
      <c r="B309" s="62"/>
      <c r="C309" s="45"/>
      <c r="D309" s="2"/>
      <c r="E309" s="2"/>
      <c r="F309" s="2"/>
      <c r="G309" s="324"/>
      <c r="H309" s="334"/>
      <c r="I309" s="62"/>
    </row>
    <row r="310" ht="15.75" customHeight="1">
      <c r="A310" s="2"/>
      <c r="B310" s="62"/>
      <c r="C310" s="45"/>
      <c r="D310" s="2"/>
      <c r="E310" s="2"/>
      <c r="F310" s="2"/>
      <c r="G310" s="324"/>
      <c r="H310" s="334"/>
      <c r="I310" s="62"/>
    </row>
    <row r="311" ht="15.75" customHeight="1">
      <c r="A311" s="2"/>
      <c r="B311" s="62"/>
      <c r="C311" s="45"/>
      <c r="D311" s="2"/>
      <c r="E311" s="2"/>
      <c r="F311" s="2"/>
      <c r="G311" s="324"/>
      <c r="H311" s="334"/>
      <c r="I311" s="62"/>
    </row>
    <row r="312" ht="15.75" customHeight="1">
      <c r="A312" s="2"/>
      <c r="B312" s="62"/>
      <c r="C312" s="45"/>
      <c r="D312" s="2"/>
      <c r="E312" s="2"/>
      <c r="F312" s="2"/>
      <c r="G312" s="324"/>
      <c r="H312" s="334"/>
      <c r="I312" s="62"/>
    </row>
    <row r="313" ht="15.75" customHeight="1">
      <c r="A313" s="2"/>
      <c r="B313" s="62"/>
      <c r="C313" s="45"/>
      <c r="D313" s="2"/>
      <c r="E313" s="2"/>
      <c r="F313" s="2"/>
      <c r="G313" s="324"/>
      <c r="H313" s="334"/>
      <c r="I313" s="62"/>
    </row>
    <row r="314" ht="15.75" customHeight="1">
      <c r="A314" s="2"/>
      <c r="B314" s="62"/>
      <c r="C314" s="45"/>
      <c r="D314" s="2"/>
      <c r="E314" s="2"/>
      <c r="F314" s="2"/>
      <c r="G314" s="324"/>
      <c r="H314" s="334"/>
      <c r="I314" s="62"/>
    </row>
    <row r="315" ht="15.75" customHeight="1">
      <c r="A315" s="2"/>
      <c r="B315" s="62"/>
      <c r="C315" s="45"/>
      <c r="D315" s="2"/>
      <c r="E315" s="2"/>
      <c r="F315" s="2"/>
      <c r="G315" s="324"/>
      <c r="H315" s="334"/>
      <c r="I315" s="62"/>
    </row>
    <row r="316" ht="15.75" customHeight="1">
      <c r="A316" s="2"/>
      <c r="B316" s="62"/>
      <c r="C316" s="45"/>
      <c r="D316" s="2"/>
      <c r="E316" s="2"/>
      <c r="F316" s="2"/>
      <c r="G316" s="324"/>
      <c r="H316" s="334"/>
      <c r="I316" s="62"/>
    </row>
    <row r="317" ht="15.75" customHeight="1">
      <c r="A317" s="2"/>
      <c r="B317" s="62"/>
      <c r="C317" s="45"/>
      <c r="D317" s="2"/>
      <c r="E317" s="2"/>
      <c r="F317" s="2"/>
      <c r="G317" s="324"/>
      <c r="H317" s="334"/>
      <c r="I317" s="62"/>
    </row>
    <row r="318" ht="15.75" customHeight="1">
      <c r="A318" s="2"/>
      <c r="B318" s="62"/>
      <c r="C318" s="45"/>
      <c r="D318" s="2"/>
      <c r="E318" s="2"/>
      <c r="F318" s="2"/>
      <c r="G318" s="324"/>
      <c r="H318" s="334"/>
      <c r="I318" s="62"/>
    </row>
    <row r="319" ht="15.75" customHeight="1">
      <c r="A319" s="2"/>
      <c r="B319" s="62"/>
      <c r="C319" s="45"/>
      <c r="D319" s="2"/>
      <c r="E319" s="2"/>
      <c r="F319" s="2"/>
      <c r="G319" s="324"/>
      <c r="H319" s="334"/>
      <c r="I319" s="62"/>
    </row>
    <row r="320" ht="15.75" customHeight="1">
      <c r="A320" s="2"/>
      <c r="B320" s="62"/>
      <c r="C320" s="45"/>
      <c r="D320" s="2"/>
      <c r="E320" s="2"/>
      <c r="F320" s="2"/>
      <c r="G320" s="324"/>
      <c r="H320" s="334"/>
      <c r="I320" s="62"/>
    </row>
    <row r="321" ht="15.75" customHeight="1">
      <c r="A321" s="2"/>
      <c r="B321" s="62"/>
      <c r="C321" s="45"/>
      <c r="D321" s="2"/>
      <c r="E321" s="2"/>
      <c r="F321" s="2"/>
      <c r="G321" s="324"/>
      <c r="H321" s="334"/>
      <c r="I321" s="62"/>
    </row>
    <row r="322" ht="15.75" customHeight="1">
      <c r="A322" s="2"/>
      <c r="B322" s="62"/>
      <c r="C322" s="45"/>
      <c r="D322" s="2"/>
      <c r="E322" s="2"/>
      <c r="F322" s="2"/>
      <c r="G322" s="324"/>
      <c r="H322" s="334"/>
      <c r="I322" s="62"/>
    </row>
    <row r="323" ht="15.75" customHeight="1">
      <c r="A323" s="2"/>
      <c r="B323" s="62"/>
      <c r="C323" s="45"/>
      <c r="D323" s="2"/>
      <c r="E323" s="2"/>
      <c r="F323" s="2"/>
      <c r="G323" s="324"/>
      <c r="H323" s="334"/>
      <c r="I323" s="62"/>
    </row>
    <row r="324" ht="15.75" customHeight="1">
      <c r="A324" s="2"/>
      <c r="B324" s="62"/>
      <c r="C324" s="45"/>
      <c r="D324" s="2"/>
      <c r="E324" s="2"/>
      <c r="F324" s="2"/>
      <c r="G324" s="324"/>
      <c r="H324" s="334"/>
      <c r="I324" s="62"/>
    </row>
    <row r="325" ht="15.75" customHeight="1">
      <c r="A325" s="2"/>
      <c r="B325" s="62"/>
      <c r="C325" s="45"/>
      <c r="D325" s="2"/>
      <c r="E325" s="2"/>
      <c r="F325" s="2"/>
      <c r="G325" s="324"/>
      <c r="H325" s="334"/>
      <c r="I325" s="62"/>
    </row>
    <row r="326" ht="15.75" customHeight="1">
      <c r="A326" s="2"/>
      <c r="B326" s="62"/>
      <c r="C326" s="45"/>
      <c r="D326" s="2"/>
      <c r="E326" s="2"/>
      <c r="F326" s="2"/>
      <c r="G326" s="324"/>
      <c r="H326" s="334"/>
      <c r="I326" s="62"/>
    </row>
    <row r="327" ht="15.75" customHeight="1">
      <c r="A327" s="2"/>
      <c r="B327" s="62"/>
      <c r="C327" s="45"/>
      <c r="D327" s="2"/>
      <c r="E327" s="2"/>
      <c r="F327" s="2"/>
      <c r="G327" s="324"/>
      <c r="H327" s="334"/>
      <c r="I327" s="62"/>
    </row>
    <row r="328" ht="15.75" customHeight="1">
      <c r="A328" s="2"/>
      <c r="B328" s="62"/>
      <c r="C328" s="45"/>
      <c r="D328" s="2"/>
      <c r="E328" s="2"/>
      <c r="F328" s="2"/>
      <c r="G328" s="324"/>
      <c r="H328" s="334"/>
      <c r="I328" s="62"/>
    </row>
    <row r="329" ht="15.75" customHeight="1">
      <c r="A329" s="2"/>
      <c r="B329" s="62"/>
      <c r="C329" s="45"/>
      <c r="D329" s="2"/>
      <c r="E329" s="2"/>
      <c r="F329" s="2"/>
      <c r="G329" s="324"/>
      <c r="H329" s="334"/>
      <c r="I329" s="62"/>
    </row>
    <row r="330" ht="15.75" customHeight="1">
      <c r="A330" s="2"/>
      <c r="B330" s="62"/>
      <c r="C330" s="45"/>
      <c r="D330" s="2"/>
      <c r="E330" s="2"/>
      <c r="F330" s="2"/>
      <c r="G330" s="324"/>
      <c r="H330" s="334"/>
      <c r="I330" s="62"/>
    </row>
    <row r="331" ht="15.75" customHeight="1">
      <c r="A331" s="2"/>
      <c r="B331" s="62"/>
      <c r="C331" s="45"/>
      <c r="D331" s="2"/>
      <c r="E331" s="2"/>
      <c r="F331" s="2"/>
      <c r="G331" s="324"/>
      <c r="H331" s="334"/>
      <c r="I331" s="62"/>
    </row>
    <row r="332" ht="15.75" customHeight="1">
      <c r="A332" s="2"/>
      <c r="B332" s="62"/>
      <c r="C332" s="45"/>
      <c r="D332" s="2"/>
      <c r="E332" s="2"/>
      <c r="F332" s="2"/>
      <c r="G332" s="324"/>
      <c r="H332" s="334"/>
      <c r="I332" s="62"/>
    </row>
    <row r="333" ht="15.75" customHeight="1">
      <c r="A333" s="2"/>
      <c r="B333" s="62"/>
      <c r="C333" s="45"/>
      <c r="D333" s="2"/>
      <c r="E333" s="2"/>
      <c r="F333" s="2"/>
      <c r="G333" s="324"/>
      <c r="H333" s="334"/>
      <c r="I333" s="62"/>
    </row>
    <row r="334" ht="15.75" customHeight="1">
      <c r="A334" s="2"/>
      <c r="B334" s="62"/>
      <c r="C334" s="45"/>
      <c r="D334" s="2"/>
      <c r="E334" s="2"/>
      <c r="F334" s="2"/>
      <c r="G334" s="324"/>
      <c r="H334" s="334"/>
      <c r="I334" s="62"/>
    </row>
    <row r="335" ht="15.75" customHeight="1">
      <c r="A335" s="2"/>
      <c r="B335" s="62"/>
      <c r="C335" s="45"/>
      <c r="D335" s="2"/>
      <c r="E335" s="2"/>
      <c r="F335" s="2"/>
      <c r="G335" s="324"/>
      <c r="H335" s="334"/>
      <c r="I335" s="62"/>
    </row>
    <row r="336" ht="15.75" customHeight="1">
      <c r="A336" s="2"/>
      <c r="B336" s="62"/>
      <c r="C336" s="45"/>
      <c r="D336" s="2"/>
      <c r="E336" s="2"/>
      <c r="F336" s="2"/>
      <c r="G336" s="324"/>
      <c r="H336" s="334"/>
      <c r="I336" s="62"/>
    </row>
    <row r="337" ht="15.75" customHeight="1">
      <c r="A337" s="2"/>
      <c r="B337" s="62"/>
      <c r="C337" s="45"/>
      <c r="D337" s="2"/>
      <c r="E337" s="2"/>
      <c r="F337" s="2"/>
      <c r="G337" s="324"/>
      <c r="H337" s="334"/>
      <c r="I337" s="62"/>
    </row>
    <row r="338" ht="15.75" customHeight="1">
      <c r="A338" s="2"/>
      <c r="B338" s="62"/>
      <c r="C338" s="45"/>
      <c r="D338" s="2"/>
      <c r="E338" s="2"/>
      <c r="F338" s="2"/>
      <c r="G338" s="324"/>
      <c r="H338" s="334"/>
      <c r="I338" s="62"/>
    </row>
    <row r="339" ht="15.75" customHeight="1">
      <c r="A339" s="2"/>
      <c r="B339" s="62"/>
      <c r="C339" s="45"/>
      <c r="D339" s="2"/>
      <c r="E339" s="2"/>
      <c r="F339" s="2"/>
      <c r="G339" s="324"/>
      <c r="H339" s="334"/>
      <c r="I339" s="62"/>
    </row>
    <row r="340" ht="15.75" customHeight="1">
      <c r="A340" s="2"/>
      <c r="B340" s="62"/>
      <c r="C340" s="45"/>
      <c r="D340" s="2"/>
      <c r="E340" s="2"/>
      <c r="F340" s="2"/>
      <c r="G340" s="324"/>
      <c r="H340" s="334"/>
      <c r="I340" s="62"/>
    </row>
    <row r="341" ht="15.75" customHeight="1">
      <c r="A341" s="2"/>
      <c r="B341" s="62"/>
      <c r="C341" s="45"/>
      <c r="D341" s="2"/>
      <c r="E341" s="2"/>
      <c r="F341" s="2"/>
      <c r="G341" s="324"/>
      <c r="H341" s="334"/>
      <c r="I341" s="62"/>
    </row>
    <row r="342" ht="15.75" customHeight="1">
      <c r="A342" s="2"/>
      <c r="B342" s="62"/>
      <c r="C342" s="45"/>
      <c r="D342" s="2"/>
      <c r="E342" s="2"/>
      <c r="F342" s="2"/>
      <c r="G342" s="324"/>
      <c r="H342" s="334"/>
      <c r="I342" s="62"/>
    </row>
    <row r="343" ht="15.75" customHeight="1">
      <c r="A343" s="2"/>
      <c r="B343" s="62"/>
      <c r="C343" s="45"/>
      <c r="D343" s="2"/>
      <c r="E343" s="2"/>
      <c r="F343" s="2"/>
      <c r="G343" s="324"/>
      <c r="H343" s="334"/>
      <c r="I343" s="62"/>
    </row>
    <row r="344" ht="15.75" customHeight="1">
      <c r="A344" s="2"/>
      <c r="B344" s="62"/>
      <c r="C344" s="45"/>
      <c r="D344" s="2"/>
      <c r="E344" s="2"/>
      <c r="F344" s="2"/>
      <c r="G344" s="324"/>
      <c r="H344" s="334"/>
      <c r="I344" s="62"/>
    </row>
    <row r="345" ht="15.75" customHeight="1">
      <c r="A345" s="2"/>
      <c r="B345" s="62"/>
      <c r="C345" s="45"/>
      <c r="D345" s="2"/>
      <c r="E345" s="2"/>
      <c r="F345" s="2"/>
      <c r="G345" s="324"/>
      <c r="H345" s="334"/>
      <c r="I345" s="62"/>
    </row>
    <row r="346" ht="15.75" customHeight="1">
      <c r="A346" s="2"/>
      <c r="B346" s="62"/>
      <c r="C346" s="45"/>
      <c r="D346" s="2"/>
      <c r="E346" s="2"/>
      <c r="F346" s="2"/>
      <c r="G346" s="324"/>
      <c r="H346" s="334"/>
      <c r="I346" s="62"/>
    </row>
    <row r="347" ht="15.75" customHeight="1">
      <c r="A347" s="2"/>
      <c r="B347" s="62"/>
      <c r="C347" s="45"/>
      <c r="D347" s="2"/>
      <c r="E347" s="2"/>
      <c r="F347" s="2"/>
      <c r="G347" s="324"/>
      <c r="H347" s="334"/>
      <c r="I347" s="62"/>
    </row>
    <row r="348" ht="15.75" customHeight="1">
      <c r="A348" s="2"/>
      <c r="B348" s="62"/>
      <c r="C348" s="45"/>
      <c r="D348" s="2"/>
      <c r="E348" s="2"/>
      <c r="F348" s="2"/>
      <c r="G348" s="324"/>
      <c r="H348" s="334"/>
      <c r="I348" s="62"/>
    </row>
    <row r="349" ht="15.75" customHeight="1">
      <c r="A349" s="2"/>
      <c r="B349" s="62"/>
      <c r="C349" s="45"/>
      <c r="D349" s="2"/>
      <c r="E349" s="2"/>
      <c r="F349" s="2"/>
      <c r="G349" s="324"/>
      <c r="H349" s="334"/>
      <c r="I349" s="62"/>
    </row>
    <row r="350" ht="15.75" customHeight="1">
      <c r="A350" s="2"/>
      <c r="B350" s="62"/>
      <c r="C350" s="45"/>
      <c r="D350" s="2"/>
      <c r="E350" s="2"/>
      <c r="F350" s="2"/>
      <c r="G350" s="324"/>
      <c r="H350" s="334"/>
      <c r="I350" s="62"/>
    </row>
    <row r="351" ht="15.75" customHeight="1">
      <c r="A351" s="2"/>
      <c r="B351" s="62"/>
      <c r="C351" s="45"/>
      <c r="D351" s="2"/>
      <c r="E351" s="2"/>
      <c r="F351" s="2"/>
      <c r="G351" s="324"/>
      <c r="H351" s="334"/>
      <c r="I351" s="62"/>
    </row>
    <row r="352" ht="15.75" customHeight="1">
      <c r="A352" s="2"/>
      <c r="B352" s="62"/>
      <c r="C352" s="45"/>
      <c r="D352" s="2"/>
      <c r="E352" s="2"/>
      <c r="F352" s="2"/>
      <c r="G352" s="324"/>
      <c r="H352" s="334"/>
      <c r="I352" s="62"/>
    </row>
    <row r="353" ht="15.75" customHeight="1">
      <c r="A353" s="2"/>
      <c r="B353" s="62"/>
      <c r="C353" s="45"/>
      <c r="D353" s="2"/>
      <c r="E353" s="2"/>
      <c r="F353" s="2"/>
      <c r="G353" s="324"/>
      <c r="H353" s="334"/>
      <c r="I353" s="62"/>
    </row>
    <row r="354" ht="15.75" customHeight="1">
      <c r="A354" s="2"/>
      <c r="B354" s="62"/>
      <c r="C354" s="45"/>
      <c r="D354" s="2"/>
      <c r="E354" s="2"/>
      <c r="F354" s="2"/>
      <c r="G354" s="324"/>
      <c r="H354" s="334"/>
      <c r="I354" s="62"/>
    </row>
    <row r="355" ht="15.75" customHeight="1">
      <c r="A355" s="2"/>
      <c r="B355" s="62"/>
      <c r="C355" s="45"/>
      <c r="D355" s="2"/>
      <c r="E355" s="2"/>
      <c r="F355" s="2"/>
      <c r="G355" s="324"/>
      <c r="H355" s="334"/>
      <c r="I355" s="62"/>
    </row>
    <row r="356" ht="15.75" customHeight="1">
      <c r="A356" s="2"/>
      <c r="B356" s="62"/>
      <c r="C356" s="45"/>
      <c r="D356" s="2"/>
      <c r="E356" s="2"/>
      <c r="F356" s="2"/>
      <c r="G356" s="324"/>
      <c r="H356" s="334"/>
      <c r="I356" s="62"/>
    </row>
    <row r="357" ht="15.75" customHeight="1">
      <c r="A357" s="2"/>
      <c r="B357" s="62"/>
      <c r="C357" s="45"/>
      <c r="D357" s="2"/>
      <c r="E357" s="2"/>
      <c r="F357" s="2"/>
      <c r="G357" s="324"/>
      <c r="H357" s="334"/>
      <c r="I357" s="62"/>
    </row>
    <row r="358" ht="15.75" customHeight="1">
      <c r="A358" s="2"/>
      <c r="B358" s="62"/>
      <c r="C358" s="45"/>
      <c r="D358" s="2"/>
      <c r="E358" s="2"/>
      <c r="F358" s="2"/>
      <c r="G358" s="324"/>
      <c r="H358" s="334"/>
      <c r="I358" s="62"/>
    </row>
    <row r="359" ht="15.75" customHeight="1">
      <c r="A359" s="2"/>
      <c r="B359" s="62"/>
      <c r="C359" s="45"/>
      <c r="D359" s="2"/>
      <c r="E359" s="2"/>
      <c r="F359" s="2"/>
      <c r="G359" s="324"/>
      <c r="H359" s="334"/>
      <c r="I359" s="62"/>
    </row>
    <row r="360" ht="15.75" customHeight="1">
      <c r="A360" s="2"/>
      <c r="B360" s="62"/>
      <c r="C360" s="45"/>
      <c r="D360" s="2"/>
      <c r="E360" s="2"/>
      <c r="F360" s="2"/>
      <c r="G360" s="324"/>
      <c r="H360" s="334"/>
      <c r="I360" s="62"/>
    </row>
    <row r="361" ht="15.75" customHeight="1">
      <c r="A361" s="2"/>
      <c r="B361" s="62"/>
      <c r="C361" s="45"/>
      <c r="D361" s="2"/>
      <c r="E361" s="2"/>
      <c r="F361" s="2"/>
      <c r="G361" s="324"/>
      <c r="H361" s="334"/>
      <c r="I361" s="62"/>
    </row>
    <row r="362" ht="15.75" customHeight="1">
      <c r="A362" s="2"/>
      <c r="B362" s="62"/>
      <c r="C362" s="45"/>
      <c r="D362" s="2"/>
      <c r="E362" s="2"/>
      <c r="F362" s="2"/>
      <c r="G362" s="324"/>
      <c r="H362" s="334"/>
      <c r="I362" s="62"/>
    </row>
    <row r="363" ht="15.75" customHeight="1">
      <c r="A363" s="2"/>
      <c r="B363" s="62"/>
      <c r="C363" s="45"/>
      <c r="D363" s="2"/>
      <c r="E363" s="2"/>
      <c r="F363" s="2"/>
      <c r="G363" s="324"/>
      <c r="H363" s="334"/>
      <c r="I363" s="62"/>
    </row>
    <row r="364" ht="15.75" customHeight="1">
      <c r="A364" s="2"/>
      <c r="B364" s="62"/>
      <c r="C364" s="45"/>
      <c r="D364" s="2"/>
      <c r="E364" s="2"/>
      <c r="F364" s="2"/>
      <c r="G364" s="324"/>
      <c r="H364" s="334"/>
      <c r="I364" s="62"/>
    </row>
    <row r="365" ht="15.75" customHeight="1">
      <c r="A365" s="2"/>
      <c r="B365" s="62"/>
      <c r="C365" s="45"/>
      <c r="D365" s="2"/>
      <c r="E365" s="2"/>
      <c r="F365" s="2"/>
      <c r="G365" s="324"/>
      <c r="H365" s="334"/>
      <c r="I365" s="62"/>
    </row>
    <row r="366" ht="15.75" customHeight="1">
      <c r="A366" s="2"/>
      <c r="B366" s="62"/>
      <c r="C366" s="45"/>
      <c r="D366" s="2"/>
      <c r="E366" s="2"/>
      <c r="F366" s="2"/>
      <c r="G366" s="324"/>
      <c r="H366" s="334"/>
      <c r="I366" s="62"/>
    </row>
    <row r="367" ht="15.75" customHeight="1">
      <c r="A367" s="2"/>
      <c r="B367" s="62"/>
      <c r="C367" s="45"/>
      <c r="D367" s="2"/>
      <c r="E367" s="2"/>
      <c r="F367" s="2"/>
      <c r="G367" s="324"/>
      <c r="H367" s="334"/>
      <c r="I367" s="62"/>
    </row>
    <row r="368" ht="15.75" customHeight="1">
      <c r="A368" s="2"/>
      <c r="B368" s="62"/>
      <c r="C368" s="45"/>
      <c r="D368" s="2"/>
      <c r="E368" s="2"/>
      <c r="F368" s="2"/>
      <c r="G368" s="324"/>
      <c r="H368" s="334"/>
      <c r="I368" s="62"/>
    </row>
    <row r="369" ht="15.75" customHeight="1">
      <c r="A369" s="2"/>
      <c r="B369" s="62"/>
      <c r="C369" s="45"/>
      <c r="D369" s="2"/>
      <c r="E369" s="2"/>
      <c r="F369" s="2"/>
      <c r="G369" s="324"/>
      <c r="H369" s="334"/>
      <c r="I369" s="62"/>
    </row>
    <row r="370" ht="15.75" customHeight="1">
      <c r="A370" s="2"/>
      <c r="B370" s="62"/>
      <c r="C370" s="45"/>
      <c r="D370" s="2"/>
      <c r="E370" s="2"/>
      <c r="F370" s="2"/>
      <c r="G370" s="324"/>
      <c r="H370" s="334"/>
      <c r="I370" s="62"/>
    </row>
    <row r="371" ht="15.75" customHeight="1">
      <c r="A371" s="2"/>
      <c r="B371" s="62"/>
      <c r="C371" s="45"/>
      <c r="D371" s="2"/>
      <c r="E371" s="2"/>
      <c r="F371" s="2"/>
      <c r="G371" s="324"/>
      <c r="H371" s="334"/>
      <c r="I371" s="62"/>
    </row>
    <row r="372" ht="15.75" customHeight="1">
      <c r="A372" s="2"/>
      <c r="B372" s="62"/>
      <c r="C372" s="45"/>
      <c r="D372" s="2"/>
      <c r="E372" s="2"/>
      <c r="F372" s="2"/>
      <c r="G372" s="324"/>
      <c r="H372" s="334"/>
      <c r="I372" s="62"/>
    </row>
    <row r="373" ht="15.75" customHeight="1">
      <c r="A373" s="2"/>
      <c r="B373" s="62"/>
      <c r="C373" s="45"/>
      <c r="D373" s="2"/>
      <c r="E373" s="2"/>
      <c r="F373" s="2"/>
      <c r="G373" s="324"/>
      <c r="H373" s="334"/>
      <c r="I373" s="62"/>
    </row>
    <row r="374" ht="15.75" customHeight="1">
      <c r="A374" s="2"/>
      <c r="B374" s="62"/>
      <c r="C374" s="45"/>
      <c r="D374" s="2"/>
      <c r="E374" s="2"/>
      <c r="F374" s="2"/>
      <c r="G374" s="324"/>
      <c r="H374" s="334"/>
      <c r="I374" s="62"/>
    </row>
    <row r="375" ht="15.75" customHeight="1">
      <c r="A375" s="2"/>
      <c r="B375" s="62"/>
      <c r="C375" s="45"/>
      <c r="D375" s="2"/>
      <c r="E375" s="2"/>
      <c r="F375" s="2"/>
      <c r="G375" s="324"/>
      <c r="H375" s="334"/>
      <c r="I375" s="62"/>
    </row>
    <row r="376" ht="15.75" customHeight="1">
      <c r="A376" s="2"/>
      <c r="B376" s="62"/>
      <c r="C376" s="45"/>
      <c r="D376" s="2"/>
      <c r="E376" s="2"/>
      <c r="F376" s="2"/>
      <c r="G376" s="324"/>
      <c r="H376" s="334"/>
      <c r="I376" s="62"/>
    </row>
    <row r="377" ht="15.75" customHeight="1">
      <c r="A377" s="2"/>
      <c r="B377" s="62"/>
      <c r="C377" s="45"/>
      <c r="D377" s="2"/>
      <c r="E377" s="2"/>
      <c r="F377" s="2"/>
      <c r="G377" s="324"/>
      <c r="H377" s="334"/>
      <c r="I377" s="62"/>
    </row>
    <row r="378" ht="15.75" customHeight="1">
      <c r="A378" s="2"/>
      <c r="B378" s="62"/>
      <c r="C378" s="45"/>
      <c r="D378" s="2"/>
      <c r="E378" s="2"/>
      <c r="F378" s="2"/>
      <c r="G378" s="324"/>
      <c r="H378" s="334"/>
      <c r="I378" s="62"/>
    </row>
    <row r="379" ht="15.75" customHeight="1">
      <c r="A379" s="2"/>
      <c r="B379" s="62"/>
      <c r="C379" s="45"/>
      <c r="D379" s="2"/>
      <c r="E379" s="2"/>
      <c r="F379" s="2"/>
      <c r="G379" s="324"/>
      <c r="H379" s="334"/>
      <c r="I379" s="62"/>
    </row>
    <row r="380" ht="15.75" customHeight="1">
      <c r="A380" s="2"/>
      <c r="B380" s="62"/>
      <c r="C380" s="45"/>
      <c r="D380" s="2"/>
      <c r="E380" s="2"/>
      <c r="F380" s="2"/>
      <c r="G380" s="324"/>
      <c r="H380" s="334"/>
      <c r="I380" s="62"/>
    </row>
    <row r="381" ht="15.75" customHeight="1">
      <c r="A381" s="2"/>
      <c r="B381" s="62"/>
      <c r="C381" s="45"/>
      <c r="D381" s="2"/>
      <c r="E381" s="2"/>
      <c r="F381" s="2"/>
      <c r="G381" s="324"/>
      <c r="H381" s="334"/>
      <c r="I381" s="62"/>
    </row>
    <row r="382" ht="15.75" customHeight="1">
      <c r="A382" s="2"/>
      <c r="B382" s="62"/>
      <c r="C382" s="45"/>
      <c r="D382" s="2"/>
      <c r="E382" s="2"/>
      <c r="F382" s="2"/>
      <c r="G382" s="324"/>
      <c r="H382" s="334"/>
      <c r="I382" s="62"/>
    </row>
    <row r="383" ht="15.75" customHeight="1">
      <c r="A383" s="2"/>
      <c r="B383" s="62"/>
      <c r="C383" s="45"/>
      <c r="D383" s="2"/>
      <c r="E383" s="2"/>
      <c r="F383" s="2"/>
      <c r="G383" s="324"/>
      <c r="H383" s="334"/>
      <c r="I383" s="62"/>
    </row>
    <row r="384" ht="15.75" customHeight="1">
      <c r="A384" s="2"/>
      <c r="B384" s="62"/>
      <c r="C384" s="45"/>
      <c r="D384" s="2"/>
      <c r="E384" s="2"/>
      <c r="F384" s="2"/>
      <c r="G384" s="324"/>
      <c r="H384" s="334"/>
      <c r="I384" s="62"/>
    </row>
    <row r="385" ht="15.75" customHeight="1">
      <c r="A385" s="2"/>
      <c r="B385" s="62"/>
      <c r="C385" s="45"/>
      <c r="D385" s="2"/>
      <c r="E385" s="2"/>
      <c r="F385" s="2"/>
      <c r="G385" s="324"/>
      <c r="H385" s="334"/>
      <c r="I385" s="62"/>
    </row>
    <row r="386" ht="15.75" customHeight="1">
      <c r="A386" s="2"/>
      <c r="B386" s="62"/>
      <c r="C386" s="45"/>
      <c r="D386" s="2"/>
      <c r="E386" s="2"/>
      <c r="F386" s="2"/>
      <c r="G386" s="324"/>
      <c r="H386" s="334"/>
      <c r="I386" s="62"/>
    </row>
    <row r="387" ht="15.75" customHeight="1">
      <c r="A387" s="2"/>
      <c r="B387" s="62"/>
      <c r="C387" s="45"/>
      <c r="D387" s="2"/>
      <c r="E387" s="2"/>
      <c r="F387" s="2"/>
      <c r="G387" s="324"/>
      <c r="H387" s="334"/>
      <c r="I387" s="62"/>
    </row>
    <row r="388" ht="15.75" customHeight="1">
      <c r="A388" s="2"/>
      <c r="B388" s="62"/>
      <c r="C388" s="45"/>
      <c r="D388" s="2"/>
      <c r="E388" s="2"/>
      <c r="F388" s="2"/>
      <c r="G388" s="324"/>
      <c r="H388" s="334"/>
      <c r="I388" s="62"/>
    </row>
    <row r="389" ht="15.75" customHeight="1">
      <c r="A389" s="2"/>
      <c r="B389" s="62"/>
      <c r="C389" s="45"/>
      <c r="D389" s="2"/>
      <c r="E389" s="2"/>
      <c r="F389" s="2"/>
      <c r="G389" s="324"/>
      <c r="H389" s="334"/>
      <c r="I389" s="62"/>
    </row>
    <row r="390" ht="15.75" customHeight="1">
      <c r="A390" s="2"/>
      <c r="B390" s="62"/>
      <c r="C390" s="45"/>
      <c r="D390" s="2"/>
      <c r="E390" s="2"/>
      <c r="F390" s="2"/>
      <c r="G390" s="324"/>
      <c r="H390" s="334"/>
      <c r="I390" s="62"/>
    </row>
    <row r="391" ht="15.75" customHeight="1">
      <c r="A391" s="2"/>
      <c r="B391" s="62"/>
      <c r="C391" s="45"/>
      <c r="D391" s="2"/>
      <c r="E391" s="2"/>
      <c r="F391" s="2"/>
      <c r="G391" s="324"/>
      <c r="H391" s="334"/>
      <c r="I391" s="62"/>
    </row>
    <row r="392" ht="15.75" customHeight="1">
      <c r="A392" s="2"/>
      <c r="B392" s="62"/>
      <c r="C392" s="45"/>
      <c r="D392" s="2"/>
      <c r="E392" s="2"/>
      <c r="F392" s="2"/>
      <c r="G392" s="324"/>
      <c r="H392" s="334"/>
      <c r="I392" s="62"/>
    </row>
    <row r="393" ht="15.75" customHeight="1">
      <c r="A393" s="2"/>
      <c r="B393" s="62"/>
      <c r="C393" s="45"/>
      <c r="D393" s="2"/>
      <c r="E393" s="2"/>
      <c r="F393" s="2"/>
      <c r="G393" s="324"/>
      <c r="H393" s="334"/>
      <c r="I393" s="62"/>
    </row>
    <row r="394" ht="15.75" customHeight="1">
      <c r="A394" s="2"/>
      <c r="B394" s="62"/>
      <c r="C394" s="45"/>
      <c r="D394" s="2"/>
      <c r="E394" s="2"/>
      <c r="F394" s="2"/>
      <c r="G394" s="324"/>
      <c r="H394" s="334"/>
      <c r="I394" s="62"/>
    </row>
    <row r="395" ht="15.75" customHeight="1">
      <c r="A395" s="2"/>
      <c r="B395" s="62"/>
      <c r="C395" s="45"/>
      <c r="D395" s="2"/>
      <c r="E395" s="2"/>
      <c r="F395" s="2"/>
      <c r="G395" s="324"/>
      <c r="H395" s="334"/>
      <c r="I395" s="62"/>
    </row>
    <row r="396" ht="15.75" customHeight="1">
      <c r="A396" s="2"/>
      <c r="B396" s="62"/>
      <c r="C396" s="45"/>
      <c r="D396" s="2"/>
      <c r="E396" s="2"/>
      <c r="F396" s="2"/>
      <c r="G396" s="324"/>
      <c r="H396" s="334"/>
      <c r="I396" s="62"/>
    </row>
    <row r="397" ht="15.75" customHeight="1">
      <c r="A397" s="2"/>
      <c r="B397" s="62"/>
      <c r="C397" s="45"/>
      <c r="D397" s="2"/>
      <c r="E397" s="2"/>
      <c r="F397" s="2"/>
      <c r="G397" s="324"/>
      <c r="H397" s="334"/>
      <c r="I397" s="62"/>
    </row>
    <row r="398" ht="15.75" customHeight="1">
      <c r="A398" s="2"/>
      <c r="B398" s="62"/>
      <c r="C398" s="45"/>
      <c r="D398" s="2"/>
      <c r="E398" s="2"/>
      <c r="F398" s="2"/>
      <c r="G398" s="324"/>
      <c r="H398" s="334"/>
      <c r="I398" s="62"/>
    </row>
    <row r="399" ht="15.75" customHeight="1">
      <c r="A399" s="2"/>
      <c r="B399" s="62"/>
      <c r="C399" s="45"/>
      <c r="D399" s="2"/>
      <c r="E399" s="2"/>
      <c r="F399" s="2"/>
      <c r="G399" s="324"/>
      <c r="H399" s="334"/>
      <c r="I399" s="62"/>
    </row>
    <row r="400" ht="15.75" customHeight="1">
      <c r="A400" s="2"/>
      <c r="B400" s="62"/>
      <c r="C400" s="45"/>
      <c r="D400" s="2"/>
      <c r="E400" s="2"/>
      <c r="F400" s="2"/>
      <c r="G400" s="324"/>
      <c r="H400" s="334"/>
      <c r="I400" s="62"/>
    </row>
    <row r="401" ht="15.75" customHeight="1">
      <c r="A401" s="2"/>
      <c r="B401" s="62"/>
      <c r="C401" s="45"/>
      <c r="D401" s="2"/>
      <c r="E401" s="2"/>
      <c r="F401" s="2"/>
      <c r="G401" s="324"/>
      <c r="H401" s="334"/>
      <c r="I401" s="62"/>
    </row>
    <row r="402" ht="15.75" customHeight="1">
      <c r="A402" s="2"/>
      <c r="B402" s="62"/>
      <c r="C402" s="45"/>
      <c r="D402" s="2"/>
      <c r="E402" s="2"/>
      <c r="F402" s="2"/>
      <c r="G402" s="324"/>
      <c r="H402" s="334"/>
      <c r="I402" s="62"/>
    </row>
    <row r="403" ht="15.75" customHeight="1">
      <c r="A403" s="2"/>
      <c r="B403" s="62"/>
      <c r="C403" s="45"/>
      <c r="D403" s="2"/>
      <c r="E403" s="2"/>
      <c r="F403" s="2"/>
      <c r="G403" s="324"/>
      <c r="H403" s="334"/>
      <c r="I403" s="62"/>
    </row>
    <row r="404" ht="15.75" customHeight="1">
      <c r="A404" s="2"/>
      <c r="B404" s="62"/>
      <c r="C404" s="45"/>
      <c r="D404" s="2"/>
      <c r="E404" s="2"/>
      <c r="F404" s="2"/>
      <c r="G404" s="324"/>
      <c r="H404" s="334"/>
      <c r="I404" s="62"/>
    </row>
    <row r="405" ht="15.75" customHeight="1">
      <c r="A405" s="2"/>
      <c r="B405" s="62"/>
      <c r="C405" s="45"/>
      <c r="D405" s="2"/>
      <c r="E405" s="2"/>
      <c r="F405" s="2"/>
      <c r="G405" s="324"/>
      <c r="H405" s="334"/>
      <c r="I405" s="62"/>
    </row>
    <row r="406" ht="15.75" customHeight="1">
      <c r="A406" s="2"/>
      <c r="B406" s="62"/>
      <c r="C406" s="45"/>
      <c r="D406" s="2"/>
      <c r="E406" s="2"/>
      <c r="F406" s="2"/>
      <c r="G406" s="324"/>
      <c r="H406" s="334"/>
      <c r="I406" s="62"/>
    </row>
    <row r="407" ht="15.75" customHeight="1">
      <c r="A407" s="2"/>
      <c r="B407" s="62"/>
      <c r="C407" s="45"/>
      <c r="D407" s="2"/>
      <c r="E407" s="2"/>
      <c r="F407" s="2"/>
      <c r="G407" s="324"/>
      <c r="H407" s="334"/>
      <c r="I407" s="62"/>
    </row>
    <row r="408" ht="15.75" customHeight="1">
      <c r="A408" s="2"/>
      <c r="B408" s="62"/>
      <c r="C408" s="45"/>
      <c r="D408" s="2"/>
      <c r="E408" s="2"/>
      <c r="F408" s="2"/>
      <c r="G408" s="324"/>
      <c r="H408" s="334"/>
      <c r="I408" s="62"/>
    </row>
    <row r="409" ht="15.75" customHeight="1">
      <c r="A409" s="2"/>
      <c r="B409" s="62"/>
      <c r="C409" s="45"/>
      <c r="D409" s="2"/>
      <c r="E409" s="2"/>
      <c r="F409" s="2"/>
      <c r="G409" s="324"/>
      <c r="H409" s="334"/>
      <c r="I409" s="62"/>
    </row>
    <row r="410" ht="15.75" customHeight="1">
      <c r="A410" s="2"/>
      <c r="B410" s="62"/>
      <c r="C410" s="45"/>
      <c r="D410" s="2"/>
      <c r="E410" s="2"/>
      <c r="F410" s="2"/>
      <c r="G410" s="324"/>
      <c r="H410" s="334"/>
      <c r="I410" s="62"/>
    </row>
    <row r="411" ht="15.75" customHeight="1">
      <c r="A411" s="2"/>
      <c r="B411" s="62"/>
      <c r="C411" s="45"/>
      <c r="D411" s="2"/>
      <c r="E411" s="2"/>
      <c r="F411" s="2"/>
      <c r="G411" s="324"/>
      <c r="H411" s="334"/>
      <c r="I411" s="62"/>
    </row>
    <row r="412" ht="15.75" customHeight="1">
      <c r="A412" s="2"/>
      <c r="B412" s="62"/>
      <c r="C412" s="45"/>
      <c r="D412" s="2"/>
      <c r="E412" s="2"/>
      <c r="F412" s="2"/>
      <c r="G412" s="324"/>
      <c r="H412" s="334"/>
      <c r="I412" s="62"/>
    </row>
    <row r="413" ht="15.75" customHeight="1">
      <c r="A413" s="2"/>
      <c r="B413" s="62"/>
      <c r="C413" s="45"/>
      <c r="D413" s="2"/>
      <c r="E413" s="2"/>
      <c r="F413" s="2"/>
      <c r="G413" s="324"/>
      <c r="H413" s="334"/>
      <c r="I413" s="62"/>
    </row>
    <row r="414" ht="15.75" customHeight="1">
      <c r="A414" s="2"/>
      <c r="B414" s="62"/>
      <c r="C414" s="45"/>
      <c r="D414" s="2"/>
      <c r="E414" s="2"/>
      <c r="F414" s="2"/>
      <c r="G414" s="324"/>
      <c r="H414" s="334"/>
      <c r="I414" s="62"/>
    </row>
    <row r="415" ht="15.75" customHeight="1">
      <c r="A415" s="2"/>
      <c r="B415" s="62"/>
      <c r="C415" s="45"/>
      <c r="D415" s="2"/>
      <c r="E415" s="2"/>
      <c r="F415" s="2"/>
      <c r="G415" s="324"/>
      <c r="H415" s="334"/>
      <c r="I415" s="62"/>
    </row>
    <row r="416" ht="15.75" customHeight="1">
      <c r="A416" s="2"/>
      <c r="B416" s="62"/>
      <c r="C416" s="45"/>
      <c r="D416" s="2"/>
      <c r="E416" s="2"/>
      <c r="F416" s="2"/>
      <c r="G416" s="324"/>
      <c r="H416" s="334"/>
      <c r="I416" s="62"/>
    </row>
    <row r="417" ht="15.75" customHeight="1">
      <c r="A417" s="2"/>
      <c r="B417" s="62"/>
      <c r="C417" s="45"/>
      <c r="D417" s="2"/>
      <c r="E417" s="2"/>
      <c r="F417" s="2"/>
      <c r="G417" s="324"/>
      <c r="H417" s="334"/>
      <c r="I417" s="62"/>
    </row>
    <row r="418" ht="15.75" customHeight="1">
      <c r="A418" s="2"/>
      <c r="B418" s="62"/>
      <c r="C418" s="45"/>
      <c r="D418" s="2"/>
      <c r="E418" s="2"/>
      <c r="F418" s="2"/>
      <c r="G418" s="324"/>
      <c r="H418" s="334"/>
      <c r="I418" s="62"/>
    </row>
    <row r="419" ht="15.75" customHeight="1">
      <c r="A419" s="2"/>
      <c r="B419" s="62"/>
      <c r="C419" s="45"/>
      <c r="D419" s="2"/>
      <c r="E419" s="2"/>
      <c r="F419" s="2"/>
      <c r="G419" s="324"/>
      <c r="H419" s="334"/>
      <c r="I419" s="62"/>
    </row>
    <row r="420" ht="15.75" customHeight="1">
      <c r="A420" s="2"/>
      <c r="B420" s="62"/>
      <c r="C420" s="45"/>
      <c r="D420" s="2"/>
      <c r="E420" s="2"/>
      <c r="F420" s="2"/>
      <c r="G420" s="324"/>
      <c r="H420" s="334"/>
      <c r="I420" s="62"/>
    </row>
    <row r="421" ht="15.75" customHeight="1">
      <c r="A421" s="2"/>
      <c r="B421" s="62"/>
      <c r="C421" s="45"/>
      <c r="D421" s="2"/>
      <c r="E421" s="2"/>
      <c r="F421" s="2"/>
      <c r="G421" s="324"/>
      <c r="H421" s="334"/>
      <c r="I421" s="62"/>
    </row>
    <row r="422" ht="15.75" customHeight="1">
      <c r="A422" s="2"/>
      <c r="B422" s="62"/>
      <c r="C422" s="45"/>
      <c r="D422" s="2"/>
      <c r="E422" s="2"/>
      <c r="F422" s="2"/>
      <c r="G422" s="324"/>
      <c r="H422" s="334"/>
      <c r="I422" s="62"/>
    </row>
    <row r="423" ht="15.75" customHeight="1">
      <c r="A423" s="2"/>
      <c r="B423" s="62"/>
      <c r="C423" s="45"/>
      <c r="D423" s="2"/>
      <c r="E423" s="2"/>
      <c r="F423" s="2"/>
      <c r="G423" s="324"/>
      <c r="H423" s="334"/>
      <c r="I423" s="62"/>
    </row>
    <row r="424" ht="15.75" customHeight="1">
      <c r="A424" s="2"/>
      <c r="B424" s="62"/>
      <c r="C424" s="45"/>
      <c r="D424" s="2"/>
      <c r="E424" s="2"/>
      <c r="F424" s="2"/>
      <c r="G424" s="324"/>
      <c r="H424" s="334"/>
      <c r="I424" s="62"/>
    </row>
    <row r="425" ht="15.75" customHeight="1">
      <c r="A425" s="2"/>
      <c r="B425" s="62"/>
      <c r="C425" s="45"/>
      <c r="D425" s="2"/>
      <c r="E425" s="2"/>
      <c r="F425" s="2"/>
      <c r="G425" s="324"/>
      <c r="H425" s="334"/>
      <c r="I425" s="62"/>
    </row>
    <row r="426" ht="15.75" customHeight="1">
      <c r="A426" s="2"/>
      <c r="B426" s="62"/>
      <c r="C426" s="45"/>
      <c r="D426" s="2"/>
      <c r="E426" s="2"/>
      <c r="F426" s="2"/>
      <c r="G426" s="324"/>
      <c r="H426" s="334"/>
      <c r="I426" s="62"/>
    </row>
    <row r="427" ht="15.75" customHeight="1">
      <c r="A427" s="2"/>
      <c r="B427" s="62"/>
      <c r="C427" s="45"/>
      <c r="D427" s="2"/>
      <c r="E427" s="2"/>
      <c r="F427" s="2"/>
      <c r="G427" s="324"/>
      <c r="H427" s="334"/>
      <c r="I427" s="62"/>
    </row>
    <row r="428" ht="15.75" customHeight="1">
      <c r="A428" s="2"/>
      <c r="B428" s="62"/>
      <c r="C428" s="45"/>
      <c r="D428" s="2"/>
      <c r="E428" s="2"/>
      <c r="F428" s="2"/>
      <c r="G428" s="324"/>
      <c r="H428" s="334"/>
      <c r="I428" s="62"/>
    </row>
    <row r="429" ht="15.75" customHeight="1">
      <c r="A429" s="2"/>
      <c r="B429" s="62"/>
      <c r="C429" s="45"/>
      <c r="D429" s="2"/>
      <c r="E429" s="2"/>
      <c r="F429" s="2"/>
      <c r="G429" s="324"/>
      <c r="H429" s="334"/>
      <c r="I429" s="62"/>
    </row>
    <row r="430" ht="15.75" customHeight="1">
      <c r="A430" s="2"/>
      <c r="B430" s="62"/>
      <c r="C430" s="45"/>
      <c r="D430" s="2"/>
      <c r="E430" s="2"/>
      <c r="F430" s="2"/>
      <c r="G430" s="324"/>
      <c r="H430" s="334"/>
      <c r="I430" s="62"/>
    </row>
    <row r="431" ht="15.75" customHeight="1">
      <c r="A431" s="2"/>
      <c r="B431" s="62"/>
      <c r="C431" s="45"/>
      <c r="D431" s="2"/>
      <c r="E431" s="2"/>
      <c r="F431" s="2"/>
      <c r="G431" s="324"/>
      <c r="H431" s="334"/>
      <c r="I431" s="62"/>
    </row>
    <row r="432" ht="15.75" customHeight="1">
      <c r="A432" s="2"/>
      <c r="B432" s="62"/>
      <c r="C432" s="45"/>
      <c r="D432" s="2"/>
      <c r="E432" s="2"/>
      <c r="F432" s="2"/>
      <c r="G432" s="324"/>
      <c r="H432" s="334"/>
      <c r="I432" s="62"/>
    </row>
    <row r="433" ht="15.75" customHeight="1">
      <c r="A433" s="2"/>
      <c r="B433" s="62"/>
      <c r="C433" s="45"/>
      <c r="D433" s="2"/>
      <c r="E433" s="2"/>
      <c r="F433" s="2"/>
      <c r="G433" s="324"/>
      <c r="H433" s="334"/>
      <c r="I433" s="62"/>
    </row>
    <row r="434" ht="15.75" customHeight="1">
      <c r="A434" s="2"/>
      <c r="B434" s="62"/>
      <c r="C434" s="45"/>
      <c r="D434" s="2"/>
      <c r="E434" s="2"/>
      <c r="F434" s="2"/>
      <c r="G434" s="324"/>
      <c r="H434" s="334"/>
      <c r="I434" s="62"/>
    </row>
    <row r="435" ht="15.75" customHeight="1">
      <c r="A435" s="2"/>
      <c r="B435" s="62"/>
      <c r="C435" s="45"/>
      <c r="D435" s="2"/>
      <c r="E435" s="2"/>
      <c r="F435" s="2"/>
      <c r="G435" s="324"/>
      <c r="H435" s="334"/>
      <c r="I435" s="62"/>
    </row>
    <row r="436" ht="15.75" customHeight="1">
      <c r="A436" s="2"/>
      <c r="B436" s="62"/>
      <c r="C436" s="45"/>
      <c r="D436" s="2"/>
      <c r="E436" s="2"/>
      <c r="F436" s="2"/>
      <c r="G436" s="324"/>
      <c r="H436" s="334"/>
      <c r="I436" s="62"/>
    </row>
    <row r="437" ht="15.75" customHeight="1">
      <c r="A437" s="2"/>
      <c r="B437" s="62"/>
      <c r="C437" s="45"/>
      <c r="D437" s="2"/>
      <c r="E437" s="2"/>
      <c r="F437" s="2"/>
      <c r="G437" s="324"/>
      <c r="H437" s="334"/>
      <c r="I437" s="62"/>
    </row>
    <row r="438" ht="15.75" customHeight="1">
      <c r="A438" s="2"/>
      <c r="B438" s="62"/>
      <c r="C438" s="45"/>
      <c r="D438" s="2"/>
      <c r="E438" s="2"/>
      <c r="F438" s="2"/>
      <c r="G438" s="324"/>
      <c r="H438" s="334"/>
      <c r="I438" s="62"/>
    </row>
    <row r="439" ht="15.75" customHeight="1">
      <c r="A439" s="2"/>
      <c r="B439" s="62"/>
      <c r="C439" s="45"/>
      <c r="D439" s="2"/>
      <c r="E439" s="2"/>
      <c r="F439" s="2"/>
      <c r="G439" s="324"/>
      <c r="H439" s="334"/>
      <c r="I439" s="62"/>
    </row>
    <row r="440" ht="15.75" customHeight="1">
      <c r="A440" s="2"/>
      <c r="B440" s="62"/>
      <c r="C440" s="45"/>
      <c r="D440" s="2"/>
      <c r="E440" s="2"/>
      <c r="F440" s="2"/>
      <c r="G440" s="324"/>
      <c r="H440" s="334"/>
      <c r="I440" s="62"/>
    </row>
    <row r="441" ht="15.75" customHeight="1">
      <c r="A441" s="2"/>
      <c r="B441" s="62"/>
      <c r="C441" s="45"/>
      <c r="D441" s="2"/>
      <c r="E441" s="2"/>
      <c r="F441" s="2"/>
      <c r="G441" s="324"/>
      <c r="H441" s="334"/>
      <c r="I441" s="62"/>
    </row>
    <row r="442" ht="15.75" customHeight="1">
      <c r="A442" s="2"/>
      <c r="B442" s="62"/>
      <c r="C442" s="45"/>
      <c r="D442" s="2"/>
      <c r="E442" s="2"/>
      <c r="F442" s="2"/>
      <c r="G442" s="324"/>
      <c r="H442" s="334"/>
      <c r="I442" s="62"/>
    </row>
    <row r="443" ht="15.75" customHeight="1">
      <c r="A443" s="2"/>
      <c r="B443" s="62"/>
      <c r="C443" s="45"/>
      <c r="D443" s="2"/>
      <c r="E443" s="2"/>
      <c r="F443" s="2"/>
      <c r="G443" s="324"/>
      <c r="H443" s="334"/>
      <c r="I443" s="62"/>
    </row>
    <row r="444" ht="15.75" customHeight="1">
      <c r="A444" s="2"/>
      <c r="B444" s="62"/>
      <c r="C444" s="45"/>
      <c r="D444" s="2"/>
      <c r="E444" s="2"/>
      <c r="F444" s="2"/>
      <c r="G444" s="324"/>
      <c r="H444" s="334"/>
      <c r="I444" s="62"/>
    </row>
    <row r="445" ht="15.75" customHeight="1">
      <c r="A445" s="2"/>
      <c r="B445" s="62"/>
      <c r="C445" s="45"/>
      <c r="D445" s="2"/>
      <c r="E445" s="2"/>
      <c r="F445" s="2"/>
      <c r="G445" s="324"/>
      <c r="H445" s="334"/>
      <c r="I445" s="62"/>
    </row>
    <row r="446" ht="15.75" customHeight="1">
      <c r="A446" s="2"/>
      <c r="B446" s="62"/>
      <c r="C446" s="45"/>
      <c r="D446" s="2"/>
      <c r="E446" s="2"/>
      <c r="F446" s="2"/>
      <c r="G446" s="324"/>
      <c r="H446" s="334"/>
      <c r="I446" s="62"/>
    </row>
    <row r="447" ht="15.75" customHeight="1">
      <c r="A447" s="2"/>
      <c r="B447" s="62"/>
      <c r="C447" s="45"/>
      <c r="D447" s="2"/>
      <c r="E447" s="2"/>
      <c r="F447" s="2"/>
      <c r="G447" s="324"/>
      <c r="H447" s="334"/>
      <c r="I447" s="62"/>
    </row>
    <row r="448" ht="15.75" customHeight="1">
      <c r="A448" s="2"/>
      <c r="B448" s="62"/>
      <c r="C448" s="45"/>
      <c r="D448" s="2"/>
      <c r="E448" s="2"/>
      <c r="F448" s="2"/>
      <c r="G448" s="324"/>
      <c r="H448" s="334"/>
      <c r="I448" s="62"/>
    </row>
    <row r="449" ht="15.75" customHeight="1">
      <c r="A449" s="2"/>
      <c r="B449" s="62"/>
      <c r="C449" s="45"/>
      <c r="D449" s="2"/>
      <c r="E449" s="2"/>
      <c r="F449" s="2"/>
      <c r="G449" s="324"/>
      <c r="H449" s="334"/>
      <c r="I449" s="62"/>
    </row>
    <row r="450" ht="15.75" customHeight="1">
      <c r="A450" s="2"/>
      <c r="B450" s="62"/>
      <c r="C450" s="45"/>
      <c r="D450" s="2"/>
      <c r="E450" s="2"/>
      <c r="F450" s="2"/>
      <c r="G450" s="324"/>
      <c r="H450" s="334"/>
      <c r="I450" s="62"/>
    </row>
    <row r="451" ht="15.75" customHeight="1">
      <c r="A451" s="2"/>
      <c r="B451" s="62"/>
      <c r="C451" s="45"/>
      <c r="D451" s="2"/>
      <c r="E451" s="2"/>
      <c r="F451" s="2"/>
      <c r="G451" s="324"/>
      <c r="H451" s="334"/>
      <c r="I451" s="62"/>
    </row>
    <row r="452" ht="15.75" customHeight="1">
      <c r="A452" s="2"/>
      <c r="B452" s="62"/>
      <c r="C452" s="45"/>
      <c r="D452" s="2"/>
      <c r="E452" s="2"/>
      <c r="F452" s="2"/>
      <c r="G452" s="324"/>
      <c r="H452" s="334"/>
      <c r="I452" s="62"/>
    </row>
    <row r="453" ht="15.75" customHeight="1">
      <c r="A453" s="2"/>
      <c r="B453" s="62"/>
      <c r="C453" s="45"/>
      <c r="D453" s="2"/>
      <c r="E453" s="2"/>
      <c r="F453" s="2"/>
      <c r="G453" s="324"/>
      <c r="H453" s="334"/>
      <c r="I453" s="62"/>
    </row>
    <row r="454" ht="15.75" customHeight="1">
      <c r="A454" s="2"/>
      <c r="B454" s="62"/>
      <c r="C454" s="45"/>
      <c r="D454" s="2"/>
      <c r="E454" s="2"/>
      <c r="F454" s="2"/>
      <c r="G454" s="324"/>
      <c r="H454" s="334"/>
      <c r="I454" s="62"/>
    </row>
    <row r="455" ht="15.75" customHeight="1">
      <c r="A455" s="2"/>
      <c r="B455" s="62"/>
      <c r="C455" s="45"/>
      <c r="D455" s="2"/>
      <c r="E455" s="2"/>
      <c r="F455" s="2"/>
      <c r="G455" s="324"/>
      <c r="H455" s="334"/>
      <c r="I455" s="62"/>
    </row>
    <row r="456" ht="15.75" customHeight="1">
      <c r="A456" s="2"/>
      <c r="B456" s="62"/>
      <c r="C456" s="45"/>
      <c r="D456" s="2"/>
      <c r="E456" s="2"/>
      <c r="F456" s="2"/>
      <c r="G456" s="324"/>
      <c r="H456" s="334"/>
      <c r="I456" s="62"/>
    </row>
    <row r="457" ht="15.75" customHeight="1">
      <c r="A457" s="2"/>
      <c r="B457" s="62"/>
      <c r="C457" s="45"/>
      <c r="D457" s="2"/>
      <c r="E457" s="2"/>
      <c r="F457" s="2"/>
      <c r="G457" s="324"/>
      <c r="H457" s="334"/>
      <c r="I457" s="62"/>
    </row>
    <row r="458" ht="15.75" customHeight="1">
      <c r="A458" s="2"/>
      <c r="B458" s="62"/>
      <c r="C458" s="45"/>
      <c r="D458" s="2"/>
      <c r="E458" s="2"/>
      <c r="F458" s="2"/>
      <c r="G458" s="324"/>
      <c r="H458" s="334"/>
      <c r="I458" s="62"/>
    </row>
    <row r="459" ht="15.75" customHeight="1">
      <c r="A459" s="2"/>
      <c r="B459" s="62"/>
      <c r="C459" s="45"/>
      <c r="D459" s="2"/>
      <c r="E459" s="2"/>
      <c r="F459" s="2"/>
      <c r="G459" s="324"/>
      <c r="H459" s="334"/>
      <c r="I459" s="62"/>
    </row>
    <row r="460" ht="15.75" customHeight="1">
      <c r="A460" s="2"/>
      <c r="B460" s="62"/>
      <c r="C460" s="45"/>
      <c r="D460" s="2"/>
      <c r="E460" s="2"/>
      <c r="F460" s="2"/>
      <c r="G460" s="324"/>
      <c r="H460" s="334"/>
      <c r="I460" s="62"/>
    </row>
    <row r="461" ht="15.75" customHeight="1">
      <c r="A461" s="2"/>
      <c r="B461" s="62"/>
      <c r="C461" s="45"/>
      <c r="D461" s="2"/>
      <c r="E461" s="2"/>
      <c r="F461" s="2"/>
      <c r="G461" s="324"/>
      <c r="H461" s="334"/>
      <c r="I461" s="62"/>
    </row>
    <row r="462" ht="15.75" customHeight="1">
      <c r="A462" s="2"/>
      <c r="B462" s="62"/>
      <c r="C462" s="45"/>
      <c r="D462" s="2"/>
      <c r="E462" s="2"/>
      <c r="F462" s="2"/>
      <c r="G462" s="324"/>
      <c r="H462" s="334"/>
      <c r="I462" s="62"/>
    </row>
    <row r="463" ht="15.75" customHeight="1">
      <c r="A463" s="2"/>
      <c r="B463" s="62"/>
      <c r="C463" s="45"/>
      <c r="D463" s="2"/>
      <c r="E463" s="2"/>
      <c r="F463" s="2"/>
      <c r="G463" s="324"/>
      <c r="H463" s="334"/>
      <c r="I463" s="62"/>
    </row>
    <row r="464" ht="15.75" customHeight="1">
      <c r="A464" s="2"/>
      <c r="B464" s="62"/>
      <c r="C464" s="45"/>
      <c r="D464" s="2"/>
      <c r="E464" s="2"/>
      <c r="F464" s="2"/>
      <c r="G464" s="324"/>
      <c r="H464" s="334"/>
      <c r="I464" s="62"/>
    </row>
    <row r="465" ht="15.75" customHeight="1">
      <c r="A465" s="2"/>
      <c r="B465" s="62"/>
      <c r="C465" s="45"/>
      <c r="D465" s="2"/>
      <c r="E465" s="2"/>
      <c r="F465" s="2"/>
      <c r="G465" s="324"/>
      <c r="H465" s="334"/>
      <c r="I465" s="62"/>
    </row>
    <row r="466" ht="15.75" customHeight="1">
      <c r="A466" s="2"/>
      <c r="B466" s="62"/>
      <c r="C466" s="45"/>
      <c r="D466" s="2"/>
      <c r="E466" s="2"/>
      <c r="F466" s="2"/>
      <c r="G466" s="324"/>
      <c r="H466" s="334"/>
      <c r="I466" s="62"/>
    </row>
    <row r="467" ht="15.75" customHeight="1">
      <c r="A467" s="2"/>
      <c r="B467" s="62"/>
      <c r="C467" s="45"/>
      <c r="D467" s="2"/>
      <c r="E467" s="2"/>
      <c r="F467" s="2"/>
      <c r="G467" s="324"/>
      <c r="H467" s="334"/>
      <c r="I467" s="62"/>
    </row>
    <row r="468" ht="15.75" customHeight="1">
      <c r="A468" s="2"/>
      <c r="B468" s="62"/>
      <c r="C468" s="45"/>
      <c r="D468" s="2"/>
      <c r="E468" s="2"/>
      <c r="F468" s="2"/>
      <c r="G468" s="324"/>
      <c r="H468" s="334"/>
      <c r="I468" s="62"/>
    </row>
    <row r="469" ht="15.75" customHeight="1">
      <c r="A469" s="2"/>
      <c r="B469" s="62"/>
      <c r="C469" s="45"/>
      <c r="D469" s="2"/>
      <c r="E469" s="2"/>
      <c r="F469" s="2"/>
      <c r="G469" s="324"/>
      <c r="H469" s="334"/>
      <c r="I469" s="62"/>
    </row>
    <row r="470" ht="15.75" customHeight="1">
      <c r="A470" s="2"/>
      <c r="B470" s="62"/>
      <c r="C470" s="45"/>
      <c r="D470" s="2"/>
      <c r="E470" s="2"/>
      <c r="F470" s="2"/>
      <c r="G470" s="324"/>
      <c r="H470" s="334"/>
      <c r="I470" s="62"/>
    </row>
    <row r="471" ht="15.75" customHeight="1">
      <c r="A471" s="2"/>
      <c r="B471" s="62"/>
      <c r="C471" s="45"/>
      <c r="D471" s="2"/>
      <c r="E471" s="2"/>
      <c r="F471" s="2"/>
      <c r="G471" s="324"/>
      <c r="H471" s="334"/>
      <c r="I471" s="62"/>
    </row>
    <row r="472" ht="15.75" customHeight="1">
      <c r="A472" s="2"/>
      <c r="B472" s="62"/>
      <c r="C472" s="45"/>
      <c r="D472" s="2"/>
      <c r="E472" s="2"/>
      <c r="F472" s="2"/>
      <c r="G472" s="324"/>
      <c r="H472" s="334"/>
      <c r="I472" s="62"/>
    </row>
    <row r="473" ht="15.75" customHeight="1">
      <c r="A473" s="2"/>
      <c r="B473" s="62"/>
      <c r="C473" s="45"/>
      <c r="D473" s="2"/>
      <c r="E473" s="2"/>
      <c r="F473" s="2"/>
      <c r="G473" s="324"/>
      <c r="H473" s="334"/>
      <c r="I473" s="62"/>
    </row>
    <row r="474" ht="15.75" customHeight="1">
      <c r="A474" s="2"/>
      <c r="B474" s="62"/>
      <c r="C474" s="45"/>
      <c r="D474" s="2"/>
      <c r="E474" s="2"/>
      <c r="F474" s="2"/>
      <c r="G474" s="324"/>
      <c r="H474" s="334"/>
      <c r="I474" s="62"/>
    </row>
    <row r="475" ht="15.75" customHeight="1">
      <c r="A475" s="2"/>
      <c r="B475" s="62"/>
      <c r="C475" s="45"/>
      <c r="D475" s="2"/>
      <c r="E475" s="2"/>
      <c r="F475" s="2"/>
      <c r="G475" s="324"/>
      <c r="H475" s="334"/>
      <c r="I475" s="62"/>
    </row>
    <row r="476" ht="15.75" customHeight="1">
      <c r="A476" s="2"/>
      <c r="B476" s="62"/>
      <c r="C476" s="45"/>
      <c r="D476" s="2"/>
      <c r="E476" s="2"/>
      <c r="F476" s="2"/>
      <c r="G476" s="324"/>
      <c r="H476" s="334"/>
      <c r="I476" s="62"/>
    </row>
    <row r="477" ht="15.75" customHeight="1">
      <c r="A477" s="2"/>
      <c r="B477" s="62"/>
      <c r="C477" s="45"/>
      <c r="D477" s="2"/>
      <c r="E477" s="2"/>
      <c r="F477" s="2"/>
      <c r="G477" s="324"/>
      <c r="H477" s="334"/>
      <c r="I477" s="62"/>
    </row>
    <row r="478" ht="15.75" customHeight="1">
      <c r="A478" s="2"/>
      <c r="B478" s="62"/>
      <c r="C478" s="45"/>
      <c r="D478" s="2"/>
      <c r="E478" s="2"/>
      <c r="F478" s="2"/>
      <c r="G478" s="324"/>
      <c r="H478" s="334"/>
      <c r="I478" s="62"/>
    </row>
    <row r="479" ht="15.75" customHeight="1">
      <c r="A479" s="2"/>
      <c r="B479" s="62"/>
      <c r="C479" s="45"/>
      <c r="D479" s="2"/>
      <c r="E479" s="2"/>
      <c r="F479" s="2"/>
      <c r="G479" s="324"/>
      <c r="H479" s="334"/>
      <c r="I479" s="62"/>
    </row>
    <row r="480" ht="15.75" customHeight="1">
      <c r="A480" s="2"/>
      <c r="B480" s="62"/>
      <c r="C480" s="45"/>
      <c r="D480" s="2"/>
      <c r="E480" s="2"/>
      <c r="F480" s="2"/>
      <c r="G480" s="324"/>
      <c r="H480" s="334"/>
      <c r="I480" s="62"/>
    </row>
    <row r="481" ht="15.75" customHeight="1">
      <c r="A481" s="2"/>
      <c r="B481" s="62"/>
      <c r="C481" s="45"/>
      <c r="D481" s="2"/>
      <c r="E481" s="2"/>
      <c r="F481" s="2"/>
      <c r="G481" s="324"/>
      <c r="H481" s="334"/>
      <c r="I481" s="62"/>
    </row>
    <row r="482" ht="15.75" customHeight="1">
      <c r="A482" s="2"/>
      <c r="B482" s="62"/>
      <c r="C482" s="45"/>
      <c r="D482" s="2"/>
      <c r="E482" s="2"/>
      <c r="F482" s="2"/>
      <c r="G482" s="324"/>
      <c r="H482" s="334"/>
      <c r="I482" s="62"/>
    </row>
    <row r="483" ht="15.75" customHeight="1">
      <c r="A483" s="2"/>
      <c r="B483" s="62"/>
      <c r="C483" s="45"/>
      <c r="D483" s="2"/>
      <c r="E483" s="2"/>
      <c r="F483" s="2"/>
      <c r="G483" s="324"/>
      <c r="H483" s="334"/>
      <c r="I483" s="62"/>
    </row>
    <row r="484" ht="15.75" customHeight="1">
      <c r="A484" s="2"/>
      <c r="B484" s="62"/>
      <c r="C484" s="45"/>
      <c r="D484" s="2"/>
      <c r="E484" s="2"/>
      <c r="F484" s="2"/>
      <c r="G484" s="324"/>
      <c r="H484" s="334"/>
      <c r="I484" s="62"/>
    </row>
    <row r="485" ht="15.75" customHeight="1">
      <c r="A485" s="2"/>
      <c r="B485" s="62"/>
      <c r="C485" s="45"/>
      <c r="D485" s="2"/>
      <c r="E485" s="2"/>
      <c r="F485" s="2"/>
      <c r="G485" s="324"/>
      <c r="H485" s="334"/>
      <c r="I485" s="62"/>
    </row>
    <row r="486" ht="15.75" customHeight="1">
      <c r="A486" s="2"/>
      <c r="B486" s="62"/>
      <c r="C486" s="45"/>
      <c r="D486" s="2"/>
      <c r="E486" s="2"/>
      <c r="F486" s="2"/>
      <c r="G486" s="324"/>
      <c r="H486" s="334"/>
      <c r="I486" s="62"/>
    </row>
    <row r="487" ht="15.75" customHeight="1">
      <c r="A487" s="2"/>
      <c r="B487" s="62"/>
      <c r="C487" s="45"/>
      <c r="D487" s="2"/>
      <c r="E487" s="2"/>
      <c r="F487" s="2"/>
      <c r="G487" s="324"/>
      <c r="H487" s="334"/>
      <c r="I487" s="62"/>
    </row>
    <row r="488" ht="15.75" customHeight="1">
      <c r="A488" s="2"/>
      <c r="B488" s="62"/>
      <c r="C488" s="45"/>
      <c r="D488" s="2"/>
      <c r="E488" s="2"/>
      <c r="F488" s="2"/>
      <c r="G488" s="324"/>
      <c r="H488" s="334"/>
      <c r="I488" s="62"/>
    </row>
    <row r="489" ht="15.75" customHeight="1">
      <c r="A489" s="2"/>
      <c r="B489" s="62"/>
      <c r="C489" s="45"/>
      <c r="D489" s="2"/>
      <c r="E489" s="2"/>
      <c r="F489" s="2"/>
      <c r="G489" s="324"/>
      <c r="H489" s="334"/>
      <c r="I489" s="62"/>
    </row>
    <row r="490" ht="15.75" customHeight="1">
      <c r="A490" s="2"/>
      <c r="B490" s="62"/>
      <c r="C490" s="45"/>
      <c r="D490" s="2"/>
      <c r="E490" s="2"/>
      <c r="F490" s="2"/>
      <c r="G490" s="324"/>
      <c r="H490" s="334"/>
      <c r="I490" s="62"/>
    </row>
    <row r="491" ht="15.75" customHeight="1">
      <c r="A491" s="2"/>
      <c r="B491" s="62"/>
      <c r="C491" s="45"/>
      <c r="D491" s="2"/>
      <c r="E491" s="2"/>
      <c r="F491" s="2"/>
      <c r="G491" s="324"/>
      <c r="H491" s="334"/>
      <c r="I491" s="62"/>
    </row>
    <row r="492" ht="15.75" customHeight="1">
      <c r="A492" s="2"/>
      <c r="B492" s="62"/>
      <c r="C492" s="45"/>
      <c r="D492" s="2"/>
      <c r="E492" s="2"/>
      <c r="F492" s="2"/>
      <c r="G492" s="324"/>
      <c r="H492" s="334"/>
      <c r="I492" s="62"/>
    </row>
    <row r="493" ht="15.75" customHeight="1">
      <c r="A493" s="2"/>
      <c r="B493" s="62"/>
      <c r="C493" s="45"/>
      <c r="D493" s="2"/>
      <c r="E493" s="2"/>
      <c r="F493" s="2"/>
      <c r="G493" s="324"/>
      <c r="H493" s="334"/>
      <c r="I493" s="62"/>
    </row>
    <row r="494" ht="15.75" customHeight="1">
      <c r="A494" s="2"/>
      <c r="B494" s="62"/>
      <c r="C494" s="45"/>
      <c r="D494" s="2"/>
      <c r="E494" s="2"/>
      <c r="F494" s="2"/>
      <c r="G494" s="324"/>
      <c r="H494" s="334"/>
      <c r="I494" s="62"/>
    </row>
    <row r="495" ht="15.75" customHeight="1">
      <c r="A495" s="2"/>
      <c r="B495" s="62"/>
      <c r="C495" s="45"/>
      <c r="D495" s="2"/>
      <c r="E495" s="2"/>
      <c r="F495" s="2"/>
      <c r="G495" s="324"/>
      <c r="H495" s="334"/>
      <c r="I495" s="62"/>
    </row>
    <row r="496" ht="15.75" customHeight="1">
      <c r="A496" s="2"/>
      <c r="B496" s="62"/>
      <c r="C496" s="45"/>
      <c r="D496" s="2"/>
      <c r="E496" s="2"/>
      <c r="F496" s="2"/>
      <c r="G496" s="324"/>
      <c r="H496" s="334"/>
      <c r="I496" s="62"/>
    </row>
    <row r="497" ht="15.75" customHeight="1">
      <c r="A497" s="2"/>
      <c r="B497" s="62"/>
      <c r="C497" s="45"/>
      <c r="D497" s="2"/>
      <c r="E497" s="2"/>
      <c r="F497" s="2"/>
      <c r="G497" s="324"/>
      <c r="H497" s="334"/>
      <c r="I497" s="62"/>
    </row>
    <row r="498" ht="15.75" customHeight="1">
      <c r="A498" s="2"/>
      <c r="B498" s="62"/>
      <c r="C498" s="45"/>
      <c r="D498" s="2"/>
      <c r="E498" s="2"/>
      <c r="F498" s="2"/>
      <c r="G498" s="324"/>
      <c r="H498" s="334"/>
      <c r="I498" s="62"/>
    </row>
    <row r="499" ht="15.75" customHeight="1">
      <c r="A499" s="2"/>
      <c r="B499" s="62"/>
      <c r="C499" s="45"/>
      <c r="D499" s="2"/>
      <c r="E499" s="2"/>
      <c r="F499" s="2"/>
      <c r="G499" s="324"/>
      <c r="H499" s="334"/>
      <c r="I499" s="62"/>
    </row>
    <row r="500" ht="15.75" customHeight="1">
      <c r="A500" s="2"/>
      <c r="B500" s="62"/>
      <c r="C500" s="45"/>
      <c r="D500" s="2"/>
      <c r="E500" s="2"/>
      <c r="F500" s="2"/>
      <c r="G500" s="324"/>
      <c r="H500" s="334"/>
      <c r="I500" s="62"/>
    </row>
    <row r="501" ht="15.75" customHeight="1">
      <c r="A501" s="2"/>
      <c r="B501" s="62"/>
      <c r="C501" s="45"/>
      <c r="D501" s="2"/>
      <c r="E501" s="2"/>
      <c r="F501" s="2"/>
      <c r="G501" s="324"/>
      <c r="H501" s="334"/>
      <c r="I501" s="62"/>
    </row>
    <row r="502" ht="15.75" customHeight="1">
      <c r="A502" s="2"/>
      <c r="B502" s="62"/>
      <c r="C502" s="45"/>
      <c r="D502" s="2"/>
      <c r="E502" s="2"/>
      <c r="F502" s="2"/>
      <c r="G502" s="324"/>
      <c r="H502" s="334"/>
      <c r="I502" s="62"/>
    </row>
    <row r="503" ht="15.75" customHeight="1">
      <c r="A503" s="2"/>
      <c r="B503" s="62"/>
      <c r="C503" s="45"/>
      <c r="D503" s="2"/>
      <c r="E503" s="2"/>
      <c r="F503" s="2"/>
      <c r="G503" s="324"/>
      <c r="H503" s="334"/>
      <c r="I503" s="62"/>
    </row>
    <row r="504" ht="15.75" customHeight="1">
      <c r="A504" s="2"/>
      <c r="B504" s="62"/>
      <c r="C504" s="45"/>
      <c r="D504" s="2"/>
      <c r="E504" s="2"/>
      <c r="F504" s="2"/>
      <c r="G504" s="324"/>
      <c r="H504" s="334"/>
      <c r="I504" s="62"/>
    </row>
    <row r="505" ht="15.75" customHeight="1">
      <c r="A505" s="2"/>
      <c r="B505" s="62"/>
      <c r="C505" s="45"/>
      <c r="D505" s="2"/>
      <c r="E505" s="2"/>
      <c r="F505" s="2"/>
      <c r="G505" s="324"/>
      <c r="H505" s="334"/>
      <c r="I505" s="62"/>
    </row>
    <row r="506" ht="15.75" customHeight="1">
      <c r="A506" s="2"/>
      <c r="B506" s="62"/>
      <c r="C506" s="45"/>
      <c r="D506" s="2"/>
      <c r="E506" s="2"/>
      <c r="F506" s="2"/>
      <c r="G506" s="324"/>
      <c r="H506" s="334"/>
      <c r="I506" s="62"/>
    </row>
    <row r="507" ht="15.75" customHeight="1">
      <c r="A507" s="2"/>
      <c r="B507" s="62"/>
      <c r="C507" s="45"/>
      <c r="D507" s="2"/>
      <c r="E507" s="2"/>
      <c r="F507" s="2"/>
      <c r="G507" s="324"/>
      <c r="H507" s="334"/>
      <c r="I507" s="62"/>
    </row>
    <row r="508" ht="15.75" customHeight="1">
      <c r="A508" s="2"/>
      <c r="B508" s="62"/>
      <c r="C508" s="45"/>
      <c r="D508" s="2"/>
      <c r="E508" s="2"/>
      <c r="F508" s="2"/>
      <c r="G508" s="324"/>
      <c r="H508" s="334"/>
      <c r="I508" s="62"/>
    </row>
    <row r="509" ht="15.75" customHeight="1">
      <c r="A509" s="2"/>
      <c r="B509" s="62"/>
      <c r="C509" s="45"/>
      <c r="D509" s="2"/>
      <c r="E509" s="2"/>
      <c r="F509" s="2"/>
      <c r="G509" s="324"/>
      <c r="H509" s="334"/>
      <c r="I509" s="62"/>
    </row>
    <row r="510" ht="15.75" customHeight="1">
      <c r="A510" s="2"/>
      <c r="B510" s="62"/>
      <c r="C510" s="45"/>
      <c r="D510" s="2"/>
      <c r="E510" s="2"/>
      <c r="F510" s="2"/>
      <c r="G510" s="324"/>
      <c r="H510" s="334"/>
      <c r="I510" s="62"/>
    </row>
    <row r="511" ht="15.75" customHeight="1">
      <c r="A511" s="2"/>
      <c r="B511" s="62"/>
      <c r="C511" s="45"/>
      <c r="D511" s="2"/>
      <c r="E511" s="2"/>
      <c r="F511" s="2"/>
      <c r="G511" s="324"/>
      <c r="H511" s="334"/>
      <c r="I511" s="62"/>
    </row>
    <row r="512" ht="15.75" customHeight="1">
      <c r="A512" s="2"/>
      <c r="B512" s="62"/>
      <c r="C512" s="45"/>
      <c r="D512" s="2"/>
      <c r="E512" s="2"/>
      <c r="F512" s="2"/>
      <c r="G512" s="324"/>
      <c r="H512" s="334"/>
      <c r="I512" s="62"/>
    </row>
    <row r="513" ht="15.75" customHeight="1">
      <c r="A513" s="2"/>
      <c r="B513" s="62"/>
      <c r="C513" s="45"/>
      <c r="D513" s="2"/>
      <c r="E513" s="2"/>
      <c r="F513" s="2"/>
      <c r="G513" s="324"/>
      <c r="H513" s="334"/>
      <c r="I513" s="62"/>
    </row>
    <row r="514" ht="15.75" customHeight="1">
      <c r="A514" s="2"/>
      <c r="B514" s="62"/>
      <c r="C514" s="45"/>
      <c r="D514" s="2"/>
      <c r="E514" s="2"/>
      <c r="F514" s="2"/>
      <c r="G514" s="324"/>
      <c r="H514" s="334"/>
      <c r="I514" s="62"/>
    </row>
    <row r="515" ht="15.75" customHeight="1">
      <c r="A515" s="2"/>
      <c r="B515" s="62"/>
      <c r="C515" s="45"/>
      <c r="D515" s="2"/>
      <c r="E515" s="2"/>
      <c r="F515" s="2"/>
      <c r="G515" s="324"/>
      <c r="H515" s="334"/>
      <c r="I515" s="62"/>
    </row>
    <row r="516" ht="15.75" customHeight="1">
      <c r="A516" s="2"/>
      <c r="B516" s="62"/>
      <c r="C516" s="45"/>
      <c r="D516" s="2"/>
      <c r="E516" s="2"/>
      <c r="F516" s="2"/>
      <c r="G516" s="324"/>
      <c r="H516" s="334"/>
      <c r="I516" s="62"/>
    </row>
    <row r="517" ht="15.75" customHeight="1">
      <c r="A517" s="2"/>
      <c r="B517" s="62"/>
      <c r="C517" s="45"/>
      <c r="D517" s="2"/>
      <c r="E517" s="2"/>
      <c r="F517" s="2"/>
      <c r="G517" s="324"/>
      <c r="H517" s="334"/>
      <c r="I517" s="62"/>
    </row>
    <row r="518" ht="15.75" customHeight="1">
      <c r="A518" s="2"/>
      <c r="B518" s="62"/>
      <c r="C518" s="45"/>
      <c r="D518" s="2"/>
      <c r="E518" s="2"/>
      <c r="F518" s="2"/>
      <c r="G518" s="324"/>
      <c r="H518" s="334"/>
      <c r="I518" s="62"/>
    </row>
    <row r="519" ht="15.75" customHeight="1">
      <c r="A519" s="2"/>
      <c r="B519" s="62"/>
      <c r="C519" s="45"/>
      <c r="D519" s="2"/>
      <c r="E519" s="2"/>
      <c r="F519" s="2"/>
      <c r="G519" s="324"/>
      <c r="H519" s="334"/>
      <c r="I519" s="62"/>
    </row>
    <row r="520" ht="15.75" customHeight="1">
      <c r="A520" s="2"/>
      <c r="B520" s="62"/>
      <c r="C520" s="45"/>
      <c r="D520" s="2"/>
      <c r="E520" s="2"/>
      <c r="F520" s="2"/>
      <c r="G520" s="324"/>
      <c r="H520" s="334"/>
      <c r="I520" s="62"/>
    </row>
    <row r="521" ht="15.75" customHeight="1">
      <c r="A521" s="2"/>
      <c r="B521" s="62"/>
      <c r="C521" s="45"/>
      <c r="D521" s="2"/>
      <c r="E521" s="2"/>
      <c r="F521" s="2"/>
      <c r="G521" s="324"/>
      <c r="H521" s="334"/>
      <c r="I521" s="62"/>
    </row>
    <row r="522" ht="15.75" customHeight="1">
      <c r="A522" s="2"/>
      <c r="B522" s="62"/>
      <c r="C522" s="45"/>
      <c r="D522" s="2"/>
      <c r="E522" s="2"/>
      <c r="F522" s="2"/>
      <c r="G522" s="324"/>
      <c r="H522" s="334"/>
      <c r="I522" s="62"/>
    </row>
    <row r="523" ht="15.75" customHeight="1">
      <c r="A523" s="2"/>
      <c r="B523" s="62"/>
      <c r="C523" s="45"/>
      <c r="D523" s="2"/>
      <c r="E523" s="2"/>
      <c r="F523" s="2"/>
      <c r="G523" s="324"/>
      <c r="H523" s="334"/>
      <c r="I523" s="62"/>
    </row>
    <row r="524" ht="15.75" customHeight="1">
      <c r="A524" s="2"/>
      <c r="B524" s="62"/>
      <c r="C524" s="45"/>
      <c r="D524" s="2"/>
      <c r="E524" s="2"/>
      <c r="F524" s="2"/>
      <c r="G524" s="324"/>
      <c r="H524" s="334"/>
      <c r="I524" s="62"/>
    </row>
    <row r="525" ht="15.75" customHeight="1">
      <c r="A525" s="2"/>
      <c r="B525" s="62"/>
      <c r="C525" s="45"/>
      <c r="D525" s="2"/>
      <c r="E525" s="2"/>
      <c r="F525" s="2"/>
      <c r="G525" s="324"/>
      <c r="H525" s="334"/>
      <c r="I525" s="62"/>
    </row>
    <row r="526" ht="15.75" customHeight="1">
      <c r="A526" s="2"/>
      <c r="B526" s="62"/>
      <c r="C526" s="45"/>
      <c r="D526" s="2"/>
      <c r="E526" s="2"/>
      <c r="F526" s="2"/>
      <c r="G526" s="324"/>
      <c r="H526" s="334"/>
      <c r="I526" s="62"/>
    </row>
    <row r="527" ht="15.75" customHeight="1">
      <c r="A527" s="2"/>
      <c r="B527" s="62"/>
      <c r="C527" s="45"/>
      <c r="D527" s="2"/>
      <c r="E527" s="2"/>
      <c r="F527" s="2"/>
      <c r="G527" s="324"/>
      <c r="H527" s="334"/>
      <c r="I527" s="62"/>
    </row>
    <row r="528" ht="15.75" customHeight="1">
      <c r="A528" s="2"/>
      <c r="B528" s="62"/>
      <c r="C528" s="45"/>
      <c r="D528" s="2"/>
      <c r="E528" s="2"/>
      <c r="F528" s="2"/>
      <c r="G528" s="324"/>
      <c r="H528" s="334"/>
      <c r="I528" s="62"/>
    </row>
    <row r="529" ht="15.75" customHeight="1">
      <c r="A529" s="2"/>
      <c r="B529" s="62"/>
      <c r="C529" s="45"/>
      <c r="D529" s="2"/>
      <c r="E529" s="2"/>
      <c r="F529" s="2"/>
      <c r="G529" s="324"/>
      <c r="H529" s="334"/>
      <c r="I529" s="62"/>
    </row>
    <row r="530" ht="15.75" customHeight="1">
      <c r="A530" s="2"/>
      <c r="B530" s="62"/>
      <c r="C530" s="45"/>
      <c r="D530" s="2"/>
      <c r="E530" s="2"/>
      <c r="F530" s="2"/>
      <c r="G530" s="324"/>
      <c r="H530" s="334"/>
      <c r="I530" s="62"/>
    </row>
    <row r="531" ht="15.75" customHeight="1">
      <c r="A531" s="2"/>
      <c r="B531" s="62"/>
      <c r="C531" s="45"/>
      <c r="D531" s="2"/>
      <c r="E531" s="2"/>
      <c r="F531" s="2"/>
      <c r="G531" s="324"/>
      <c r="H531" s="334"/>
      <c r="I531" s="62"/>
    </row>
    <row r="532" ht="15.75" customHeight="1">
      <c r="A532" s="2"/>
      <c r="B532" s="62"/>
      <c r="C532" s="45"/>
      <c r="D532" s="2"/>
      <c r="E532" s="2"/>
      <c r="F532" s="2"/>
      <c r="G532" s="324"/>
      <c r="H532" s="334"/>
      <c r="I532" s="62"/>
    </row>
    <row r="533" ht="15.75" customHeight="1">
      <c r="A533" s="2"/>
      <c r="B533" s="62"/>
      <c r="C533" s="45"/>
      <c r="D533" s="2"/>
      <c r="E533" s="2"/>
      <c r="F533" s="2"/>
      <c r="G533" s="324"/>
      <c r="H533" s="334"/>
      <c r="I533" s="62"/>
    </row>
    <row r="534" ht="15.75" customHeight="1">
      <c r="A534" s="2"/>
      <c r="B534" s="62"/>
      <c r="C534" s="45"/>
      <c r="D534" s="2"/>
      <c r="E534" s="2"/>
      <c r="F534" s="2"/>
      <c r="G534" s="324"/>
      <c r="H534" s="334"/>
      <c r="I534" s="62"/>
    </row>
    <row r="535" ht="15.75" customHeight="1">
      <c r="A535" s="2"/>
      <c r="B535" s="62"/>
      <c r="C535" s="45"/>
      <c r="D535" s="2"/>
      <c r="E535" s="2"/>
      <c r="F535" s="2"/>
      <c r="G535" s="324"/>
      <c r="H535" s="334"/>
      <c r="I535" s="62"/>
    </row>
    <row r="536" ht="15.75" customHeight="1">
      <c r="A536" s="2"/>
      <c r="B536" s="62"/>
      <c r="C536" s="45"/>
      <c r="D536" s="2"/>
      <c r="E536" s="2"/>
      <c r="F536" s="2"/>
      <c r="G536" s="324"/>
      <c r="H536" s="334"/>
      <c r="I536" s="62"/>
    </row>
    <row r="537" ht="15.75" customHeight="1">
      <c r="A537" s="2"/>
      <c r="B537" s="62"/>
      <c r="C537" s="45"/>
      <c r="D537" s="2"/>
      <c r="E537" s="2"/>
      <c r="F537" s="2"/>
      <c r="G537" s="324"/>
      <c r="H537" s="334"/>
      <c r="I537" s="62"/>
    </row>
    <row r="538" ht="15.75" customHeight="1">
      <c r="A538" s="2"/>
      <c r="B538" s="62"/>
      <c r="C538" s="45"/>
      <c r="D538" s="2"/>
      <c r="E538" s="2"/>
      <c r="F538" s="2"/>
      <c r="G538" s="324"/>
      <c r="H538" s="334"/>
      <c r="I538" s="62"/>
    </row>
    <row r="539" ht="15.75" customHeight="1">
      <c r="A539" s="2"/>
      <c r="B539" s="62"/>
      <c r="C539" s="45"/>
      <c r="D539" s="2"/>
      <c r="E539" s="2"/>
      <c r="F539" s="2"/>
      <c r="G539" s="324"/>
      <c r="H539" s="334"/>
      <c r="I539" s="62"/>
    </row>
    <row r="540" ht="15.75" customHeight="1">
      <c r="A540" s="2"/>
      <c r="B540" s="62"/>
      <c r="C540" s="45"/>
      <c r="D540" s="2"/>
      <c r="E540" s="2"/>
      <c r="F540" s="2"/>
      <c r="G540" s="324"/>
      <c r="H540" s="334"/>
      <c r="I540" s="62"/>
    </row>
    <row r="541" ht="15.75" customHeight="1">
      <c r="A541" s="2"/>
      <c r="B541" s="62"/>
      <c r="C541" s="45"/>
      <c r="D541" s="2"/>
      <c r="E541" s="2"/>
      <c r="F541" s="2"/>
      <c r="G541" s="324"/>
      <c r="H541" s="334"/>
      <c r="I541" s="62"/>
    </row>
    <row r="542" ht="15.75" customHeight="1">
      <c r="A542" s="2"/>
      <c r="B542" s="62"/>
      <c r="C542" s="45"/>
      <c r="D542" s="2"/>
      <c r="E542" s="2"/>
      <c r="F542" s="2"/>
      <c r="G542" s="324"/>
      <c r="H542" s="334"/>
      <c r="I542" s="62"/>
    </row>
    <row r="543" ht="15.75" customHeight="1">
      <c r="A543" s="2"/>
      <c r="B543" s="62"/>
      <c r="C543" s="45"/>
      <c r="D543" s="2"/>
      <c r="E543" s="2"/>
      <c r="F543" s="2"/>
      <c r="G543" s="324"/>
      <c r="H543" s="334"/>
      <c r="I543" s="62"/>
    </row>
    <row r="544" ht="15.75" customHeight="1">
      <c r="A544" s="2"/>
      <c r="B544" s="62"/>
      <c r="C544" s="45"/>
      <c r="D544" s="2"/>
      <c r="E544" s="2"/>
      <c r="F544" s="2"/>
      <c r="G544" s="324"/>
      <c r="H544" s="334"/>
      <c r="I544" s="62"/>
    </row>
    <row r="545" ht="15.75" customHeight="1">
      <c r="A545" s="2"/>
      <c r="B545" s="62"/>
      <c r="C545" s="45"/>
      <c r="D545" s="2"/>
      <c r="E545" s="2"/>
      <c r="F545" s="2"/>
      <c r="G545" s="324"/>
      <c r="H545" s="334"/>
      <c r="I545" s="62"/>
    </row>
    <row r="546" ht="15.75" customHeight="1">
      <c r="A546" s="2"/>
      <c r="B546" s="62"/>
      <c r="C546" s="45"/>
      <c r="D546" s="2"/>
      <c r="E546" s="2"/>
      <c r="F546" s="2"/>
      <c r="G546" s="324"/>
      <c r="H546" s="334"/>
      <c r="I546" s="62"/>
    </row>
    <row r="547" ht="15.75" customHeight="1">
      <c r="A547" s="2"/>
      <c r="B547" s="62"/>
      <c r="C547" s="45"/>
      <c r="D547" s="2"/>
      <c r="E547" s="2"/>
      <c r="F547" s="2"/>
      <c r="G547" s="324"/>
      <c r="H547" s="334"/>
      <c r="I547" s="62"/>
    </row>
    <row r="548" ht="15.75" customHeight="1">
      <c r="A548" s="2"/>
      <c r="B548" s="62"/>
      <c r="C548" s="45"/>
      <c r="D548" s="2"/>
      <c r="E548" s="2"/>
      <c r="F548" s="2"/>
      <c r="G548" s="324"/>
      <c r="H548" s="334"/>
      <c r="I548" s="62"/>
    </row>
    <row r="549" ht="15.75" customHeight="1">
      <c r="A549" s="2"/>
      <c r="B549" s="62"/>
      <c r="C549" s="45"/>
      <c r="D549" s="2"/>
      <c r="E549" s="2"/>
      <c r="F549" s="2"/>
      <c r="G549" s="324"/>
      <c r="H549" s="334"/>
      <c r="I549" s="62"/>
    </row>
    <row r="550" ht="15.75" customHeight="1">
      <c r="A550" s="2"/>
      <c r="B550" s="62"/>
      <c r="C550" s="45"/>
      <c r="D550" s="2"/>
      <c r="E550" s="2"/>
      <c r="F550" s="2"/>
      <c r="G550" s="324"/>
      <c r="H550" s="334"/>
      <c r="I550" s="62"/>
    </row>
    <row r="551" ht="15.75" customHeight="1">
      <c r="A551" s="2"/>
      <c r="B551" s="62"/>
      <c r="C551" s="45"/>
      <c r="D551" s="2"/>
      <c r="E551" s="2"/>
      <c r="F551" s="2"/>
      <c r="G551" s="324"/>
      <c r="H551" s="334"/>
      <c r="I551" s="62"/>
    </row>
    <row r="552" ht="15.75" customHeight="1">
      <c r="A552" s="2"/>
      <c r="B552" s="62"/>
      <c r="C552" s="45"/>
      <c r="D552" s="2"/>
      <c r="E552" s="2"/>
      <c r="F552" s="2"/>
      <c r="G552" s="324"/>
      <c r="H552" s="334"/>
      <c r="I552" s="62"/>
    </row>
    <row r="553" ht="15.75" customHeight="1">
      <c r="A553" s="2"/>
      <c r="B553" s="62"/>
      <c r="C553" s="45"/>
      <c r="D553" s="2"/>
      <c r="E553" s="2"/>
      <c r="F553" s="2"/>
      <c r="G553" s="324"/>
      <c r="H553" s="334"/>
      <c r="I553" s="62"/>
    </row>
    <row r="554" ht="15.75" customHeight="1">
      <c r="A554" s="2"/>
      <c r="B554" s="62"/>
      <c r="C554" s="45"/>
      <c r="D554" s="2"/>
      <c r="E554" s="2"/>
      <c r="F554" s="2"/>
      <c r="G554" s="324"/>
      <c r="H554" s="334"/>
      <c r="I554" s="62"/>
    </row>
    <row r="555" ht="15.75" customHeight="1">
      <c r="A555" s="2"/>
      <c r="B555" s="62"/>
      <c r="C555" s="45"/>
      <c r="D555" s="2"/>
      <c r="E555" s="2"/>
      <c r="F555" s="2"/>
      <c r="G555" s="324"/>
      <c r="H555" s="334"/>
      <c r="I555" s="62"/>
    </row>
    <row r="556" ht="15.75" customHeight="1">
      <c r="A556" s="2"/>
      <c r="B556" s="62"/>
      <c r="C556" s="45"/>
      <c r="D556" s="2"/>
      <c r="E556" s="2"/>
      <c r="F556" s="2"/>
      <c r="G556" s="324"/>
      <c r="H556" s="334"/>
      <c r="I556" s="62"/>
    </row>
    <row r="557" ht="15.75" customHeight="1">
      <c r="A557" s="2"/>
      <c r="B557" s="62"/>
      <c r="C557" s="45"/>
      <c r="D557" s="2"/>
      <c r="E557" s="2"/>
      <c r="F557" s="2"/>
      <c r="G557" s="324"/>
      <c r="H557" s="334"/>
      <c r="I557" s="62"/>
    </row>
    <row r="558" ht="15.75" customHeight="1">
      <c r="A558" s="2"/>
      <c r="B558" s="62"/>
      <c r="C558" s="45"/>
      <c r="D558" s="2"/>
      <c r="E558" s="2"/>
      <c r="F558" s="2"/>
      <c r="G558" s="324"/>
      <c r="H558" s="334"/>
      <c r="I558" s="62"/>
    </row>
    <row r="559" ht="15.75" customHeight="1">
      <c r="A559" s="2"/>
      <c r="B559" s="62"/>
      <c r="C559" s="45"/>
      <c r="D559" s="2"/>
      <c r="E559" s="2"/>
      <c r="F559" s="2"/>
      <c r="G559" s="324"/>
      <c r="H559" s="334"/>
      <c r="I559" s="62"/>
    </row>
    <row r="560" ht="15.75" customHeight="1">
      <c r="A560" s="2"/>
      <c r="B560" s="62"/>
      <c r="C560" s="45"/>
      <c r="D560" s="2"/>
      <c r="E560" s="2"/>
      <c r="F560" s="2"/>
      <c r="G560" s="324"/>
      <c r="H560" s="334"/>
      <c r="I560" s="62"/>
    </row>
    <row r="561" ht="15.75" customHeight="1">
      <c r="A561" s="2"/>
      <c r="B561" s="62"/>
      <c r="C561" s="45"/>
      <c r="D561" s="2"/>
      <c r="E561" s="2"/>
      <c r="F561" s="2"/>
      <c r="G561" s="324"/>
      <c r="H561" s="334"/>
      <c r="I561" s="62"/>
    </row>
    <row r="562" ht="15.75" customHeight="1">
      <c r="A562" s="2"/>
      <c r="B562" s="62"/>
      <c r="C562" s="45"/>
      <c r="D562" s="2"/>
      <c r="E562" s="2"/>
      <c r="F562" s="2"/>
      <c r="G562" s="324"/>
      <c r="H562" s="334"/>
      <c r="I562" s="62"/>
    </row>
    <row r="563" ht="15.75" customHeight="1">
      <c r="A563" s="2"/>
      <c r="B563" s="62"/>
      <c r="C563" s="45"/>
      <c r="D563" s="2"/>
      <c r="E563" s="2"/>
      <c r="F563" s="2"/>
      <c r="G563" s="324"/>
      <c r="H563" s="334"/>
      <c r="I563" s="62"/>
    </row>
    <row r="564" ht="15.75" customHeight="1">
      <c r="A564" s="2"/>
      <c r="B564" s="62"/>
      <c r="C564" s="45"/>
      <c r="D564" s="2"/>
      <c r="E564" s="2"/>
      <c r="F564" s="2"/>
      <c r="G564" s="324"/>
      <c r="H564" s="334"/>
      <c r="I564" s="62"/>
    </row>
    <row r="565" ht="15.75" customHeight="1">
      <c r="A565" s="2"/>
      <c r="B565" s="62"/>
      <c r="C565" s="45"/>
      <c r="D565" s="2"/>
      <c r="E565" s="2"/>
      <c r="F565" s="2"/>
      <c r="G565" s="324"/>
      <c r="H565" s="334"/>
      <c r="I565" s="62"/>
    </row>
    <row r="566" ht="15.75" customHeight="1">
      <c r="A566" s="2"/>
      <c r="B566" s="62"/>
      <c r="C566" s="45"/>
      <c r="D566" s="2"/>
      <c r="E566" s="2"/>
      <c r="F566" s="2"/>
      <c r="G566" s="324"/>
      <c r="H566" s="334"/>
      <c r="I566" s="62"/>
    </row>
    <row r="567" ht="15.75" customHeight="1">
      <c r="A567" s="2"/>
      <c r="B567" s="62"/>
      <c r="C567" s="45"/>
      <c r="D567" s="2"/>
      <c r="E567" s="2"/>
      <c r="F567" s="2"/>
      <c r="G567" s="324"/>
      <c r="H567" s="334"/>
      <c r="I567" s="62"/>
    </row>
    <row r="568" ht="15.75" customHeight="1">
      <c r="A568" s="2"/>
      <c r="B568" s="62"/>
      <c r="C568" s="45"/>
      <c r="D568" s="2"/>
      <c r="E568" s="2"/>
      <c r="F568" s="2"/>
      <c r="G568" s="324"/>
      <c r="H568" s="334"/>
      <c r="I568" s="62"/>
    </row>
    <row r="569" ht="15.75" customHeight="1">
      <c r="A569" s="2"/>
      <c r="B569" s="62"/>
      <c r="C569" s="45"/>
      <c r="D569" s="2"/>
      <c r="E569" s="2"/>
      <c r="F569" s="2"/>
      <c r="G569" s="324"/>
      <c r="H569" s="334"/>
      <c r="I569" s="62"/>
    </row>
    <row r="570" ht="15.75" customHeight="1">
      <c r="A570" s="2"/>
      <c r="B570" s="62"/>
      <c r="C570" s="45"/>
      <c r="D570" s="2"/>
      <c r="E570" s="2"/>
      <c r="F570" s="2"/>
      <c r="G570" s="324"/>
      <c r="H570" s="334"/>
      <c r="I570" s="62"/>
    </row>
    <row r="571" ht="15.75" customHeight="1">
      <c r="A571" s="2"/>
      <c r="B571" s="62"/>
      <c r="C571" s="45"/>
      <c r="D571" s="2"/>
      <c r="E571" s="2"/>
      <c r="F571" s="2"/>
      <c r="G571" s="324"/>
      <c r="H571" s="334"/>
      <c r="I571" s="62"/>
    </row>
    <row r="572" ht="15.75" customHeight="1">
      <c r="A572" s="2"/>
      <c r="B572" s="62"/>
      <c r="C572" s="45"/>
      <c r="D572" s="2"/>
      <c r="E572" s="2"/>
      <c r="F572" s="2"/>
      <c r="G572" s="324"/>
      <c r="H572" s="334"/>
      <c r="I572" s="62"/>
    </row>
    <row r="573" ht="15.75" customHeight="1">
      <c r="A573" s="2"/>
      <c r="B573" s="62"/>
      <c r="C573" s="45"/>
      <c r="D573" s="2"/>
      <c r="E573" s="2"/>
      <c r="F573" s="2"/>
      <c r="G573" s="324"/>
      <c r="H573" s="334"/>
      <c r="I573" s="62"/>
    </row>
    <row r="574" ht="15.75" customHeight="1">
      <c r="A574" s="2"/>
      <c r="B574" s="62"/>
      <c r="C574" s="45"/>
      <c r="D574" s="2"/>
      <c r="E574" s="2"/>
      <c r="F574" s="2"/>
      <c r="G574" s="324"/>
      <c r="H574" s="334"/>
      <c r="I574" s="62"/>
    </row>
    <row r="575" ht="15.75" customHeight="1">
      <c r="A575" s="2"/>
      <c r="B575" s="62"/>
      <c r="C575" s="45"/>
      <c r="D575" s="2"/>
      <c r="E575" s="2"/>
      <c r="F575" s="2"/>
      <c r="G575" s="324"/>
      <c r="H575" s="334"/>
      <c r="I575" s="62"/>
    </row>
    <row r="576" ht="15.75" customHeight="1">
      <c r="A576" s="2"/>
      <c r="B576" s="62"/>
      <c r="C576" s="45"/>
      <c r="D576" s="2"/>
      <c r="E576" s="2"/>
      <c r="F576" s="2"/>
      <c r="G576" s="324"/>
      <c r="H576" s="334"/>
      <c r="I576" s="62"/>
    </row>
    <row r="577" ht="15.75" customHeight="1">
      <c r="A577" s="2"/>
      <c r="B577" s="62"/>
      <c r="C577" s="45"/>
      <c r="D577" s="2"/>
      <c r="E577" s="2"/>
      <c r="F577" s="2"/>
      <c r="G577" s="324"/>
      <c r="H577" s="334"/>
      <c r="I577" s="62"/>
    </row>
    <row r="578" ht="15.75" customHeight="1">
      <c r="A578" s="2"/>
      <c r="B578" s="62"/>
      <c r="C578" s="45"/>
      <c r="D578" s="2"/>
      <c r="E578" s="2"/>
      <c r="F578" s="2"/>
      <c r="G578" s="324"/>
      <c r="H578" s="334"/>
      <c r="I578" s="62"/>
    </row>
    <row r="579" ht="15.75" customHeight="1">
      <c r="A579" s="2"/>
      <c r="B579" s="62"/>
      <c r="C579" s="45"/>
      <c r="D579" s="2"/>
      <c r="E579" s="2"/>
      <c r="F579" s="2"/>
      <c r="G579" s="324"/>
      <c r="H579" s="334"/>
      <c r="I579" s="62"/>
    </row>
    <row r="580" ht="15.75" customHeight="1">
      <c r="A580" s="2"/>
      <c r="B580" s="62"/>
      <c r="C580" s="45"/>
      <c r="D580" s="2"/>
      <c r="E580" s="2"/>
      <c r="F580" s="2"/>
      <c r="G580" s="324"/>
      <c r="H580" s="334"/>
      <c r="I580" s="62"/>
    </row>
    <row r="581" ht="15.75" customHeight="1">
      <c r="A581" s="2"/>
      <c r="B581" s="62"/>
      <c r="C581" s="45"/>
      <c r="D581" s="2"/>
      <c r="E581" s="2"/>
      <c r="F581" s="2"/>
      <c r="G581" s="324"/>
      <c r="H581" s="334"/>
      <c r="I581" s="62"/>
    </row>
    <row r="582" ht="15.75" customHeight="1">
      <c r="A582" s="2"/>
      <c r="B582" s="62"/>
      <c r="C582" s="45"/>
      <c r="D582" s="2"/>
      <c r="E582" s="2"/>
      <c r="F582" s="2"/>
      <c r="G582" s="324"/>
      <c r="H582" s="334"/>
      <c r="I582" s="62"/>
    </row>
    <row r="583" ht="15.75" customHeight="1">
      <c r="A583" s="2"/>
      <c r="B583" s="62"/>
      <c r="C583" s="45"/>
      <c r="D583" s="2"/>
      <c r="E583" s="2"/>
      <c r="F583" s="2"/>
      <c r="G583" s="324"/>
      <c r="H583" s="334"/>
      <c r="I583" s="62"/>
    </row>
    <row r="584" ht="15.75" customHeight="1">
      <c r="A584" s="2"/>
      <c r="B584" s="62"/>
      <c r="C584" s="45"/>
      <c r="D584" s="2"/>
      <c r="E584" s="2"/>
      <c r="F584" s="2"/>
      <c r="G584" s="324"/>
      <c r="H584" s="334"/>
      <c r="I584" s="62"/>
    </row>
    <row r="585" ht="15.75" customHeight="1">
      <c r="A585" s="2"/>
      <c r="B585" s="62"/>
      <c r="C585" s="45"/>
      <c r="D585" s="2"/>
      <c r="E585" s="2"/>
      <c r="F585" s="2"/>
      <c r="G585" s="324"/>
      <c r="H585" s="334"/>
      <c r="I585" s="62"/>
    </row>
    <row r="586" ht="15.75" customHeight="1">
      <c r="A586" s="2"/>
      <c r="B586" s="62"/>
      <c r="C586" s="45"/>
      <c r="D586" s="2"/>
      <c r="E586" s="2"/>
      <c r="F586" s="2"/>
      <c r="G586" s="324"/>
      <c r="H586" s="334"/>
      <c r="I586" s="62"/>
    </row>
    <row r="587" ht="15.75" customHeight="1">
      <c r="A587" s="2"/>
      <c r="B587" s="62"/>
      <c r="C587" s="45"/>
      <c r="D587" s="2"/>
      <c r="E587" s="2"/>
      <c r="F587" s="2"/>
      <c r="G587" s="324"/>
      <c r="H587" s="334"/>
      <c r="I587" s="62"/>
    </row>
    <row r="588" ht="15.75" customHeight="1">
      <c r="A588" s="2"/>
      <c r="B588" s="62"/>
      <c r="C588" s="45"/>
      <c r="D588" s="2"/>
      <c r="E588" s="2"/>
      <c r="F588" s="2"/>
      <c r="G588" s="324"/>
      <c r="H588" s="334"/>
      <c r="I588" s="62"/>
    </row>
    <row r="589" ht="15.75" customHeight="1">
      <c r="A589" s="2"/>
      <c r="B589" s="62"/>
      <c r="C589" s="45"/>
      <c r="D589" s="2"/>
      <c r="E589" s="2"/>
      <c r="F589" s="2"/>
      <c r="G589" s="324"/>
      <c r="H589" s="334"/>
      <c r="I589" s="62"/>
    </row>
    <row r="590" ht="15.75" customHeight="1">
      <c r="A590" s="2"/>
      <c r="B590" s="62"/>
      <c r="C590" s="45"/>
      <c r="D590" s="2"/>
      <c r="E590" s="2"/>
      <c r="F590" s="2"/>
      <c r="G590" s="324"/>
      <c r="H590" s="334"/>
      <c r="I590" s="62"/>
    </row>
    <row r="591" ht="15.75" customHeight="1">
      <c r="A591" s="2"/>
      <c r="B591" s="62"/>
      <c r="C591" s="45"/>
      <c r="D591" s="2"/>
      <c r="E591" s="2"/>
      <c r="F591" s="2"/>
      <c r="G591" s="324"/>
      <c r="H591" s="334"/>
      <c r="I591" s="62"/>
    </row>
    <row r="592" ht="15.75" customHeight="1">
      <c r="A592" s="2"/>
      <c r="B592" s="62"/>
      <c r="C592" s="45"/>
      <c r="D592" s="2"/>
      <c r="E592" s="2"/>
      <c r="F592" s="2"/>
      <c r="G592" s="324"/>
      <c r="H592" s="334"/>
      <c r="I592" s="62"/>
    </row>
    <row r="593" ht="15.75" customHeight="1">
      <c r="A593" s="2"/>
      <c r="B593" s="62"/>
      <c r="C593" s="45"/>
      <c r="D593" s="2"/>
      <c r="E593" s="2"/>
      <c r="F593" s="2"/>
      <c r="G593" s="324"/>
      <c r="H593" s="334"/>
      <c r="I593" s="62"/>
    </row>
    <row r="594" ht="15.75" customHeight="1">
      <c r="A594" s="2"/>
      <c r="B594" s="62"/>
      <c r="C594" s="45"/>
      <c r="D594" s="2"/>
      <c r="E594" s="2"/>
      <c r="F594" s="2"/>
      <c r="G594" s="324"/>
      <c r="H594" s="334"/>
      <c r="I594" s="62"/>
    </row>
    <row r="595" ht="15.75" customHeight="1">
      <c r="A595" s="2"/>
      <c r="B595" s="62"/>
      <c r="C595" s="45"/>
      <c r="D595" s="2"/>
      <c r="E595" s="2"/>
      <c r="F595" s="2"/>
      <c r="G595" s="324"/>
      <c r="H595" s="334"/>
      <c r="I595" s="62"/>
    </row>
    <row r="596" ht="15.75" customHeight="1">
      <c r="A596" s="2"/>
      <c r="B596" s="62"/>
      <c r="C596" s="45"/>
      <c r="D596" s="2"/>
      <c r="E596" s="2"/>
      <c r="F596" s="2"/>
      <c r="G596" s="324"/>
      <c r="H596" s="334"/>
      <c r="I596" s="62"/>
    </row>
    <row r="597" ht="15.75" customHeight="1">
      <c r="A597" s="2"/>
      <c r="B597" s="62"/>
      <c r="C597" s="45"/>
      <c r="D597" s="2"/>
      <c r="E597" s="2"/>
      <c r="F597" s="2"/>
      <c r="G597" s="324"/>
      <c r="H597" s="334"/>
      <c r="I597" s="62"/>
    </row>
    <row r="598" ht="15.75" customHeight="1">
      <c r="A598" s="2"/>
      <c r="B598" s="62"/>
      <c r="C598" s="45"/>
      <c r="D598" s="2"/>
      <c r="E598" s="2"/>
      <c r="F598" s="2"/>
      <c r="G598" s="324"/>
      <c r="H598" s="334"/>
      <c r="I598" s="62"/>
    </row>
    <row r="599" ht="15.75" customHeight="1">
      <c r="A599" s="2"/>
      <c r="B599" s="62"/>
      <c r="C599" s="45"/>
      <c r="D599" s="2"/>
      <c r="E599" s="2"/>
      <c r="F599" s="2"/>
      <c r="G599" s="324"/>
      <c r="H599" s="334"/>
      <c r="I599" s="62"/>
    </row>
    <row r="600" ht="15.75" customHeight="1">
      <c r="A600" s="2"/>
      <c r="B600" s="62"/>
      <c r="C600" s="45"/>
      <c r="D600" s="2"/>
      <c r="E600" s="2"/>
      <c r="F600" s="2"/>
      <c r="G600" s="324"/>
      <c r="H600" s="334"/>
      <c r="I600" s="62"/>
    </row>
    <row r="601" ht="15.75" customHeight="1">
      <c r="A601" s="2"/>
      <c r="B601" s="62"/>
      <c r="C601" s="45"/>
      <c r="D601" s="2"/>
      <c r="E601" s="2"/>
      <c r="F601" s="2"/>
      <c r="G601" s="324"/>
      <c r="H601" s="334"/>
      <c r="I601" s="62"/>
    </row>
    <row r="602" ht="15.75" customHeight="1">
      <c r="A602" s="2"/>
      <c r="B602" s="62"/>
      <c r="C602" s="45"/>
      <c r="D602" s="2"/>
      <c r="E602" s="2"/>
      <c r="F602" s="2"/>
      <c r="G602" s="324"/>
      <c r="H602" s="334"/>
      <c r="I602" s="62"/>
    </row>
    <row r="603" ht="15.75" customHeight="1">
      <c r="A603" s="2"/>
      <c r="B603" s="62"/>
      <c r="C603" s="45"/>
      <c r="D603" s="2"/>
      <c r="E603" s="2"/>
      <c r="F603" s="2"/>
      <c r="G603" s="324"/>
      <c r="H603" s="334"/>
      <c r="I603" s="62"/>
    </row>
    <row r="604" ht="15.75" customHeight="1">
      <c r="A604" s="2"/>
      <c r="B604" s="62"/>
      <c r="C604" s="45"/>
      <c r="D604" s="2"/>
      <c r="E604" s="2"/>
      <c r="F604" s="2"/>
      <c r="G604" s="324"/>
      <c r="H604" s="334"/>
      <c r="I604" s="62"/>
    </row>
    <row r="605" ht="15.75" customHeight="1">
      <c r="A605" s="2"/>
      <c r="B605" s="62"/>
      <c r="C605" s="45"/>
      <c r="D605" s="2"/>
      <c r="E605" s="2"/>
      <c r="F605" s="2"/>
      <c r="G605" s="324"/>
      <c r="H605" s="334"/>
      <c r="I605" s="62"/>
    </row>
    <row r="606" ht="15.75" customHeight="1">
      <c r="A606" s="2"/>
      <c r="B606" s="62"/>
      <c r="C606" s="45"/>
      <c r="D606" s="2"/>
      <c r="E606" s="2"/>
      <c r="F606" s="2"/>
      <c r="G606" s="324"/>
      <c r="H606" s="334"/>
      <c r="I606" s="62"/>
    </row>
    <row r="607" ht="15.75" customHeight="1">
      <c r="A607" s="2"/>
      <c r="B607" s="62"/>
      <c r="C607" s="45"/>
      <c r="D607" s="2"/>
      <c r="E607" s="2"/>
      <c r="F607" s="2"/>
      <c r="G607" s="324"/>
      <c r="H607" s="334"/>
      <c r="I607" s="62"/>
    </row>
    <row r="608" ht="15.75" customHeight="1">
      <c r="A608" s="2"/>
      <c r="B608" s="62"/>
      <c r="C608" s="45"/>
      <c r="D608" s="2"/>
      <c r="E608" s="2"/>
      <c r="F608" s="2"/>
      <c r="G608" s="324"/>
      <c r="H608" s="334"/>
      <c r="I608" s="62"/>
    </row>
    <row r="609" ht="15.75" customHeight="1">
      <c r="A609" s="2"/>
      <c r="B609" s="62"/>
      <c r="C609" s="45"/>
      <c r="D609" s="2"/>
      <c r="E609" s="2"/>
      <c r="F609" s="2"/>
      <c r="G609" s="324"/>
      <c r="H609" s="334"/>
      <c r="I609" s="62"/>
    </row>
    <row r="610" ht="15.75" customHeight="1">
      <c r="A610" s="2"/>
      <c r="B610" s="62"/>
      <c r="C610" s="45"/>
      <c r="D610" s="2"/>
      <c r="E610" s="2"/>
      <c r="F610" s="2"/>
      <c r="G610" s="324"/>
      <c r="H610" s="334"/>
      <c r="I610" s="62"/>
    </row>
    <row r="611" ht="15.75" customHeight="1">
      <c r="A611" s="2"/>
      <c r="B611" s="62"/>
      <c r="C611" s="45"/>
      <c r="D611" s="2"/>
      <c r="E611" s="2"/>
      <c r="F611" s="2"/>
      <c r="G611" s="324"/>
      <c r="H611" s="334"/>
      <c r="I611" s="62"/>
    </row>
    <row r="612" ht="15.75" customHeight="1">
      <c r="A612" s="2"/>
      <c r="B612" s="62"/>
      <c r="C612" s="45"/>
      <c r="D612" s="2"/>
      <c r="E612" s="2"/>
      <c r="F612" s="2"/>
      <c r="G612" s="324"/>
      <c r="H612" s="334"/>
      <c r="I612" s="62"/>
    </row>
    <row r="613" ht="15.75" customHeight="1">
      <c r="A613" s="2"/>
      <c r="B613" s="62"/>
      <c r="C613" s="45"/>
      <c r="D613" s="2"/>
      <c r="E613" s="2"/>
      <c r="F613" s="2"/>
      <c r="G613" s="324"/>
      <c r="H613" s="334"/>
      <c r="I613" s="62"/>
    </row>
    <row r="614" ht="15.75" customHeight="1">
      <c r="A614" s="2"/>
      <c r="B614" s="62"/>
      <c r="C614" s="45"/>
      <c r="D614" s="2"/>
      <c r="E614" s="2"/>
      <c r="F614" s="2"/>
      <c r="G614" s="324"/>
      <c r="H614" s="334"/>
      <c r="I614" s="62"/>
    </row>
    <row r="615" ht="15.75" customHeight="1">
      <c r="A615" s="2"/>
      <c r="B615" s="62"/>
      <c r="C615" s="45"/>
      <c r="D615" s="2"/>
      <c r="E615" s="2"/>
      <c r="F615" s="2"/>
      <c r="G615" s="324"/>
      <c r="H615" s="334"/>
      <c r="I615" s="62"/>
    </row>
    <row r="616" ht="15.75" customHeight="1">
      <c r="A616" s="2"/>
      <c r="B616" s="62"/>
      <c r="C616" s="45"/>
      <c r="D616" s="2"/>
      <c r="E616" s="2"/>
      <c r="F616" s="2"/>
      <c r="G616" s="324"/>
      <c r="H616" s="334"/>
      <c r="I616" s="62"/>
    </row>
    <row r="617" ht="15.75" customHeight="1">
      <c r="A617" s="2"/>
      <c r="B617" s="62"/>
      <c r="C617" s="45"/>
      <c r="D617" s="2"/>
      <c r="E617" s="2"/>
      <c r="F617" s="2"/>
      <c r="G617" s="324"/>
      <c r="H617" s="334"/>
      <c r="I617" s="62"/>
    </row>
    <row r="618" ht="15.75" customHeight="1">
      <c r="A618" s="2"/>
      <c r="B618" s="62"/>
      <c r="C618" s="45"/>
      <c r="D618" s="2"/>
      <c r="E618" s="2"/>
      <c r="F618" s="2"/>
      <c r="G618" s="324"/>
      <c r="H618" s="334"/>
      <c r="I618" s="62"/>
    </row>
    <row r="619" ht="15.75" customHeight="1">
      <c r="A619" s="2"/>
      <c r="B619" s="62"/>
      <c r="C619" s="45"/>
      <c r="D619" s="2"/>
      <c r="E619" s="2"/>
      <c r="F619" s="2"/>
      <c r="G619" s="324"/>
      <c r="H619" s="334"/>
      <c r="I619" s="62"/>
    </row>
    <row r="620" ht="15.75" customHeight="1">
      <c r="A620" s="2"/>
      <c r="B620" s="62"/>
      <c r="C620" s="45"/>
      <c r="D620" s="2"/>
      <c r="E620" s="2"/>
      <c r="F620" s="2"/>
      <c r="G620" s="324"/>
      <c r="H620" s="334"/>
      <c r="I620" s="62"/>
    </row>
    <row r="621" ht="15.75" customHeight="1">
      <c r="A621" s="2"/>
      <c r="B621" s="62"/>
      <c r="C621" s="45"/>
      <c r="D621" s="2"/>
      <c r="E621" s="2"/>
      <c r="F621" s="2"/>
      <c r="G621" s="324"/>
      <c r="H621" s="334"/>
      <c r="I621" s="62"/>
    </row>
    <row r="622" ht="15.75" customHeight="1">
      <c r="A622" s="2"/>
      <c r="B622" s="62"/>
      <c r="C622" s="45"/>
      <c r="D622" s="2"/>
      <c r="E622" s="2"/>
      <c r="F622" s="2"/>
      <c r="G622" s="324"/>
      <c r="H622" s="334"/>
      <c r="I622" s="62"/>
    </row>
    <row r="623" ht="15.75" customHeight="1">
      <c r="A623" s="2"/>
      <c r="B623" s="62"/>
      <c r="C623" s="45"/>
      <c r="D623" s="2"/>
      <c r="E623" s="2"/>
      <c r="F623" s="2"/>
      <c r="G623" s="324"/>
      <c r="H623" s="334"/>
      <c r="I623" s="62"/>
    </row>
    <row r="624" ht="15.75" customHeight="1">
      <c r="A624" s="2"/>
      <c r="B624" s="62"/>
      <c r="C624" s="45"/>
      <c r="D624" s="2"/>
      <c r="E624" s="2"/>
      <c r="F624" s="2"/>
      <c r="G624" s="324"/>
      <c r="H624" s="334"/>
      <c r="I624" s="62"/>
    </row>
    <row r="625" ht="15.75" customHeight="1">
      <c r="A625" s="2"/>
      <c r="B625" s="62"/>
      <c r="C625" s="45"/>
      <c r="D625" s="2"/>
      <c r="E625" s="2"/>
      <c r="F625" s="2"/>
      <c r="G625" s="324"/>
      <c r="H625" s="334"/>
      <c r="I625" s="62"/>
    </row>
    <row r="626" ht="15.75" customHeight="1">
      <c r="A626" s="2"/>
      <c r="B626" s="62"/>
      <c r="C626" s="45"/>
      <c r="D626" s="2"/>
      <c r="E626" s="2"/>
      <c r="F626" s="2"/>
      <c r="G626" s="324"/>
      <c r="H626" s="334"/>
      <c r="I626" s="62"/>
    </row>
    <row r="627" ht="15.75" customHeight="1">
      <c r="A627" s="2"/>
      <c r="B627" s="62"/>
      <c r="C627" s="45"/>
      <c r="D627" s="2"/>
      <c r="E627" s="2"/>
      <c r="F627" s="2"/>
      <c r="G627" s="324"/>
      <c r="H627" s="334"/>
      <c r="I627" s="62"/>
    </row>
    <row r="628" ht="15.75" customHeight="1">
      <c r="A628" s="2"/>
      <c r="B628" s="62"/>
      <c r="C628" s="45"/>
      <c r="D628" s="2"/>
      <c r="E628" s="2"/>
      <c r="F628" s="2"/>
      <c r="G628" s="324"/>
      <c r="H628" s="334"/>
      <c r="I628" s="62"/>
    </row>
    <row r="629" ht="15.75" customHeight="1">
      <c r="A629" s="2"/>
      <c r="B629" s="62"/>
      <c r="C629" s="45"/>
      <c r="D629" s="2"/>
      <c r="E629" s="2"/>
      <c r="F629" s="2"/>
      <c r="G629" s="324"/>
      <c r="H629" s="334"/>
      <c r="I629" s="62"/>
    </row>
    <row r="630" ht="15.75" customHeight="1">
      <c r="A630" s="2"/>
      <c r="B630" s="62"/>
      <c r="C630" s="45"/>
      <c r="D630" s="2"/>
      <c r="E630" s="2"/>
      <c r="F630" s="2"/>
      <c r="G630" s="324"/>
      <c r="H630" s="334"/>
      <c r="I630" s="62"/>
    </row>
    <row r="631" ht="15.75" customHeight="1">
      <c r="A631" s="2"/>
      <c r="B631" s="62"/>
      <c r="C631" s="45"/>
      <c r="D631" s="2"/>
      <c r="E631" s="2"/>
      <c r="F631" s="2"/>
      <c r="G631" s="324"/>
      <c r="H631" s="334"/>
      <c r="I631" s="62"/>
    </row>
    <row r="632" ht="15.75" customHeight="1">
      <c r="A632" s="2"/>
      <c r="B632" s="62"/>
      <c r="C632" s="45"/>
      <c r="D632" s="2"/>
      <c r="E632" s="2"/>
      <c r="F632" s="2"/>
      <c r="G632" s="324"/>
      <c r="H632" s="334"/>
      <c r="I632" s="62"/>
    </row>
    <row r="633" ht="15.75" customHeight="1">
      <c r="A633" s="2"/>
      <c r="B633" s="62"/>
      <c r="C633" s="45"/>
      <c r="D633" s="2"/>
      <c r="E633" s="2"/>
      <c r="F633" s="2"/>
      <c r="G633" s="324"/>
      <c r="H633" s="334"/>
      <c r="I633" s="62"/>
    </row>
    <row r="634" ht="15.75" customHeight="1">
      <c r="A634" s="2"/>
      <c r="B634" s="62"/>
      <c r="C634" s="45"/>
      <c r="D634" s="2"/>
      <c r="E634" s="2"/>
      <c r="F634" s="2"/>
      <c r="G634" s="324"/>
      <c r="H634" s="334"/>
      <c r="I634" s="62"/>
    </row>
    <row r="635" ht="15.75" customHeight="1">
      <c r="A635" s="2"/>
      <c r="B635" s="62"/>
      <c r="C635" s="45"/>
      <c r="D635" s="2"/>
      <c r="E635" s="2"/>
      <c r="F635" s="2"/>
      <c r="G635" s="324"/>
      <c r="H635" s="334"/>
      <c r="I635" s="62"/>
    </row>
    <row r="636" ht="15.75" customHeight="1">
      <c r="A636" s="2"/>
      <c r="B636" s="62"/>
      <c r="C636" s="45"/>
      <c r="D636" s="2"/>
      <c r="E636" s="2"/>
      <c r="F636" s="2"/>
      <c r="G636" s="324"/>
      <c r="H636" s="334"/>
      <c r="I636" s="62"/>
    </row>
    <row r="637" ht="15.75" customHeight="1">
      <c r="A637" s="2"/>
      <c r="B637" s="62"/>
      <c r="C637" s="45"/>
      <c r="D637" s="2"/>
      <c r="E637" s="2"/>
      <c r="F637" s="2"/>
      <c r="G637" s="324"/>
      <c r="H637" s="334"/>
      <c r="I637" s="62"/>
    </row>
    <row r="638" ht="15.75" customHeight="1">
      <c r="A638" s="2"/>
      <c r="B638" s="62"/>
      <c r="C638" s="45"/>
      <c r="D638" s="2"/>
      <c r="E638" s="2"/>
      <c r="F638" s="2"/>
      <c r="G638" s="324"/>
      <c r="H638" s="334"/>
      <c r="I638" s="62"/>
    </row>
    <row r="639" ht="15.75" customHeight="1">
      <c r="A639" s="2"/>
      <c r="B639" s="62"/>
      <c r="C639" s="45"/>
      <c r="D639" s="2"/>
      <c r="E639" s="2"/>
      <c r="F639" s="2"/>
      <c r="G639" s="324"/>
      <c r="H639" s="334"/>
      <c r="I639" s="62"/>
    </row>
    <row r="640" ht="15.75" customHeight="1">
      <c r="A640" s="2"/>
      <c r="B640" s="62"/>
      <c r="C640" s="45"/>
      <c r="D640" s="2"/>
      <c r="E640" s="2"/>
      <c r="F640" s="2"/>
      <c r="G640" s="324"/>
      <c r="H640" s="334"/>
      <c r="I640" s="62"/>
    </row>
    <row r="641" ht="15.75" customHeight="1">
      <c r="A641" s="2"/>
      <c r="B641" s="62"/>
      <c r="C641" s="45"/>
      <c r="D641" s="2"/>
      <c r="E641" s="2"/>
      <c r="F641" s="2"/>
      <c r="G641" s="324"/>
      <c r="H641" s="334"/>
      <c r="I641" s="62"/>
    </row>
    <row r="642" ht="15.75" customHeight="1">
      <c r="A642" s="2"/>
      <c r="B642" s="62"/>
      <c r="C642" s="45"/>
      <c r="D642" s="2"/>
      <c r="E642" s="2"/>
      <c r="F642" s="2"/>
      <c r="G642" s="324"/>
      <c r="H642" s="334"/>
      <c r="I642" s="62"/>
    </row>
    <row r="643" ht="15.75" customHeight="1">
      <c r="A643" s="2"/>
      <c r="B643" s="62"/>
      <c r="C643" s="45"/>
      <c r="D643" s="2"/>
      <c r="E643" s="2"/>
      <c r="F643" s="2"/>
      <c r="G643" s="324"/>
      <c r="H643" s="334"/>
      <c r="I643" s="62"/>
    </row>
    <row r="644" ht="15.75" customHeight="1">
      <c r="A644" s="2"/>
      <c r="B644" s="62"/>
      <c r="C644" s="45"/>
      <c r="D644" s="2"/>
      <c r="E644" s="2"/>
      <c r="F644" s="2"/>
      <c r="G644" s="324"/>
      <c r="H644" s="334"/>
      <c r="I644" s="62"/>
    </row>
    <row r="645" ht="15.75" customHeight="1">
      <c r="A645" s="2"/>
      <c r="B645" s="62"/>
      <c r="C645" s="45"/>
      <c r="D645" s="2"/>
      <c r="E645" s="2"/>
      <c r="F645" s="2"/>
      <c r="G645" s="324"/>
      <c r="H645" s="334"/>
      <c r="I645" s="62"/>
    </row>
    <row r="646" ht="15.75" customHeight="1">
      <c r="A646" s="2"/>
      <c r="B646" s="62"/>
      <c r="C646" s="45"/>
      <c r="D646" s="2"/>
      <c r="E646" s="2"/>
      <c r="F646" s="2"/>
      <c r="G646" s="324"/>
      <c r="H646" s="334"/>
      <c r="I646" s="62"/>
    </row>
    <row r="647" ht="15.75" customHeight="1">
      <c r="A647" s="2"/>
      <c r="B647" s="62"/>
      <c r="C647" s="45"/>
      <c r="D647" s="2"/>
      <c r="E647" s="2"/>
      <c r="F647" s="2"/>
      <c r="G647" s="324"/>
      <c r="H647" s="334"/>
      <c r="I647" s="62"/>
    </row>
    <row r="648" ht="15.75" customHeight="1">
      <c r="A648" s="2"/>
      <c r="B648" s="62"/>
      <c r="C648" s="45"/>
      <c r="D648" s="2"/>
      <c r="E648" s="2"/>
      <c r="F648" s="2"/>
      <c r="G648" s="324"/>
      <c r="H648" s="334"/>
      <c r="I648" s="62"/>
    </row>
    <row r="649" ht="15.75" customHeight="1">
      <c r="A649" s="2"/>
      <c r="B649" s="62"/>
      <c r="C649" s="45"/>
      <c r="D649" s="2"/>
      <c r="E649" s="2"/>
      <c r="F649" s="2"/>
      <c r="G649" s="324"/>
      <c r="H649" s="334"/>
      <c r="I649" s="62"/>
    </row>
    <row r="650" ht="15.75" customHeight="1">
      <c r="A650" s="2"/>
      <c r="B650" s="62"/>
      <c r="C650" s="45"/>
      <c r="D650" s="2"/>
      <c r="E650" s="2"/>
      <c r="F650" s="2"/>
      <c r="G650" s="324"/>
      <c r="H650" s="334"/>
      <c r="I650" s="62"/>
    </row>
    <row r="651" ht="15.75" customHeight="1">
      <c r="A651" s="2"/>
      <c r="B651" s="62"/>
      <c r="C651" s="45"/>
      <c r="D651" s="2"/>
      <c r="E651" s="2"/>
      <c r="F651" s="2"/>
      <c r="G651" s="324"/>
      <c r="H651" s="334"/>
      <c r="I651" s="62"/>
    </row>
    <row r="652" ht="15.75" customHeight="1">
      <c r="A652" s="2"/>
      <c r="B652" s="62"/>
      <c r="C652" s="45"/>
      <c r="D652" s="2"/>
      <c r="E652" s="2"/>
      <c r="F652" s="2"/>
      <c r="G652" s="324"/>
      <c r="H652" s="334"/>
      <c r="I652" s="62"/>
    </row>
    <row r="653" ht="15.75" customHeight="1">
      <c r="A653" s="2"/>
      <c r="B653" s="62"/>
      <c r="C653" s="45"/>
      <c r="D653" s="2"/>
      <c r="E653" s="2"/>
      <c r="F653" s="2"/>
      <c r="G653" s="324"/>
      <c r="H653" s="334"/>
      <c r="I653" s="62"/>
    </row>
    <row r="654" ht="15.75" customHeight="1">
      <c r="A654" s="2"/>
      <c r="B654" s="62"/>
      <c r="C654" s="45"/>
      <c r="D654" s="2"/>
      <c r="E654" s="2"/>
      <c r="F654" s="2"/>
      <c r="G654" s="324"/>
      <c r="H654" s="334"/>
      <c r="I654" s="62"/>
    </row>
    <row r="655" ht="15.75" customHeight="1">
      <c r="A655" s="2"/>
      <c r="B655" s="62"/>
      <c r="C655" s="45"/>
      <c r="D655" s="2"/>
      <c r="E655" s="2"/>
      <c r="F655" s="2"/>
      <c r="G655" s="324"/>
      <c r="H655" s="334"/>
      <c r="I655" s="62"/>
    </row>
    <row r="656" ht="15.75" customHeight="1">
      <c r="A656" s="2"/>
      <c r="B656" s="62"/>
      <c r="C656" s="45"/>
      <c r="D656" s="2"/>
      <c r="E656" s="2"/>
      <c r="F656" s="2"/>
      <c r="G656" s="324"/>
      <c r="H656" s="334"/>
      <c r="I656" s="62"/>
    </row>
    <row r="657" ht="15.75" customHeight="1">
      <c r="A657" s="2"/>
      <c r="B657" s="62"/>
      <c r="C657" s="45"/>
      <c r="D657" s="2"/>
      <c r="E657" s="2"/>
      <c r="F657" s="2"/>
      <c r="G657" s="324"/>
      <c r="H657" s="334"/>
      <c r="I657" s="62"/>
    </row>
    <row r="658" ht="15.75" customHeight="1">
      <c r="A658" s="2"/>
      <c r="B658" s="62"/>
      <c r="C658" s="45"/>
      <c r="D658" s="2"/>
      <c r="E658" s="2"/>
      <c r="F658" s="2"/>
      <c r="G658" s="324"/>
      <c r="H658" s="334"/>
      <c r="I658" s="62"/>
    </row>
    <row r="659" ht="15.75" customHeight="1">
      <c r="A659" s="2"/>
      <c r="B659" s="62"/>
      <c r="C659" s="45"/>
      <c r="D659" s="2"/>
      <c r="E659" s="2"/>
      <c r="F659" s="2"/>
      <c r="G659" s="324"/>
      <c r="H659" s="334"/>
      <c r="I659" s="62"/>
    </row>
    <row r="660" ht="15.75" customHeight="1">
      <c r="A660" s="2"/>
      <c r="B660" s="62"/>
      <c r="C660" s="45"/>
      <c r="D660" s="2"/>
      <c r="E660" s="2"/>
      <c r="F660" s="2"/>
      <c r="G660" s="324"/>
      <c r="H660" s="334"/>
      <c r="I660" s="62"/>
    </row>
    <row r="661" ht="15.75" customHeight="1">
      <c r="A661" s="2"/>
      <c r="B661" s="62"/>
      <c r="C661" s="45"/>
      <c r="D661" s="2"/>
      <c r="E661" s="2"/>
      <c r="F661" s="2"/>
      <c r="G661" s="324"/>
      <c r="H661" s="334"/>
      <c r="I661" s="62"/>
    </row>
    <row r="662" ht="15.75" customHeight="1">
      <c r="A662" s="2"/>
      <c r="B662" s="62"/>
      <c r="C662" s="45"/>
      <c r="D662" s="2"/>
      <c r="E662" s="2"/>
      <c r="F662" s="2"/>
      <c r="G662" s="324"/>
      <c r="H662" s="334"/>
      <c r="I662" s="62"/>
    </row>
    <row r="663" ht="15.75" customHeight="1">
      <c r="A663" s="2"/>
      <c r="B663" s="62"/>
      <c r="C663" s="45"/>
      <c r="D663" s="2"/>
      <c r="E663" s="2"/>
      <c r="F663" s="2"/>
      <c r="G663" s="324"/>
      <c r="H663" s="334"/>
      <c r="I663" s="62"/>
    </row>
    <row r="664" ht="15.75" customHeight="1">
      <c r="A664" s="2"/>
      <c r="B664" s="62"/>
      <c r="C664" s="45"/>
      <c r="D664" s="2"/>
      <c r="E664" s="2"/>
      <c r="F664" s="2"/>
      <c r="G664" s="324"/>
      <c r="H664" s="334"/>
      <c r="I664" s="62"/>
    </row>
    <row r="665" ht="15.75" customHeight="1">
      <c r="A665" s="2"/>
      <c r="B665" s="62"/>
      <c r="C665" s="45"/>
      <c r="D665" s="2"/>
      <c r="E665" s="2"/>
      <c r="F665" s="2"/>
      <c r="G665" s="324"/>
      <c r="H665" s="334"/>
      <c r="I665" s="62"/>
    </row>
    <row r="666" ht="15.75" customHeight="1">
      <c r="A666" s="2"/>
      <c r="B666" s="62"/>
      <c r="C666" s="45"/>
      <c r="D666" s="2"/>
      <c r="E666" s="2"/>
      <c r="F666" s="2"/>
      <c r="G666" s="324"/>
      <c r="H666" s="334"/>
      <c r="I666" s="62"/>
    </row>
    <row r="667" ht="15.75" customHeight="1">
      <c r="A667" s="2"/>
      <c r="B667" s="62"/>
      <c r="C667" s="45"/>
      <c r="D667" s="2"/>
      <c r="E667" s="2"/>
      <c r="F667" s="2"/>
      <c r="G667" s="324"/>
      <c r="H667" s="334"/>
      <c r="I667" s="62"/>
    </row>
    <row r="668" ht="15.75" customHeight="1">
      <c r="A668" s="2"/>
      <c r="B668" s="62"/>
      <c r="C668" s="45"/>
      <c r="D668" s="2"/>
      <c r="E668" s="2"/>
      <c r="F668" s="2"/>
      <c r="G668" s="324"/>
      <c r="H668" s="334"/>
      <c r="I668" s="62"/>
    </row>
    <row r="669" ht="15.75" customHeight="1">
      <c r="A669" s="2"/>
      <c r="B669" s="62"/>
      <c r="C669" s="45"/>
      <c r="D669" s="2"/>
      <c r="E669" s="2"/>
      <c r="F669" s="2"/>
      <c r="G669" s="324"/>
      <c r="H669" s="334"/>
      <c r="I669" s="62"/>
    </row>
    <row r="670" ht="15.75" customHeight="1">
      <c r="A670" s="2"/>
      <c r="B670" s="62"/>
      <c r="C670" s="45"/>
      <c r="D670" s="2"/>
      <c r="E670" s="2"/>
      <c r="F670" s="2"/>
      <c r="G670" s="324"/>
      <c r="H670" s="334"/>
      <c r="I670" s="62"/>
    </row>
    <row r="671" ht="15.75" customHeight="1">
      <c r="A671" s="2"/>
      <c r="B671" s="62"/>
      <c r="C671" s="45"/>
      <c r="D671" s="2"/>
      <c r="E671" s="2"/>
      <c r="F671" s="2"/>
      <c r="G671" s="324"/>
      <c r="H671" s="334"/>
      <c r="I671" s="62"/>
    </row>
    <row r="672" ht="15.75" customHeight="1">
      <c r="A672" s="2"/>
      <c r="B672" s="62"/>
      <c r="C672" s="45"/>
      <c r="D672" s="2"/>
      <c r="E672" s="2"/>
      <c r="F672" s="2"/>
      <c r="G672" s="324"/>
      <c r="H672" s="334"/>
      <c r="I672" s="62"/>
    </row>
    <row r="673" ht="15.75" customHeight="1">
      <c r="A673" s="2"/>
      <c r="B673" s="62"/>
      <c r="C673" s="45"/>
      <c r="D673" s="2"/>
      <c r="E673" s="2"/>
      <c r="F673" s="2"/>
      <c r="G673" s="324"/>
      <c r="H673" s="334"/>
      <c r="I673" s="62"/>
    </row>
    <row r="674" ht="15.75" customHeight="1">
      <c r="A674" s="2"/>
      <c r="B674" s="62"/>
      <c r="C674" s="45"/>
      <c r="D674" s="2"/>
      <c r="E674" s="2"/>
      <c r="F674" s="2"/>
      <c r="G674" s="324"/>
      <c r="H674" s="334"/>
      <c r="I674" s="62"/>
    </row>
    <row r="675" ht="15.75" customHeight="1">
      <c r="A675" s="2"/>
      <c r="B675" s="62"/>
      <c r="C675" s="45"/>
      <c r="D675" s="2"/>
      <c r="E675" s="2"/>
      <c r="F675" s="2"/>
      <c r="G675" s="324"/>
      <c r="H675" s="334"/>
      <c r="I675" s="62"/>
    </row>
    <row r="676" ht="15.75" customHeight="1">
      <c r="A676" s="2"/>
      <c r="B676" s="62"/>
      <c r="C676" s="45"/>
      <c r="D676" s="2"/>
      <c r="E676" s="2"/>
      <c r="F676" s="2"/>
      <c r="G676" s="324"/>
      <c r="H676" s="334"/>
      <c r="I676" s="62"/>
    </row>
    <row r="677" ht="15.75" customHeight="1">
      <c r="A677" s="2"/>
      <c r="B677" s="62"/>
      <c r="C677" s="45"/>
      <c r="D677" s="2"/>
      <c r="E677" s="2"/>
      <c r="F677" s="2"/>
      <c r="G677" s="324"/>
      <c r="H677" s="334"/>
      <c r="I677" s="62"/>
    </row>
    <row r="678" ht="15.75" customHeight="1">
      <c r="A678" s="2"/>
      <c r="B678" s="62"/>
      <c r="C678" s="45"/>
      <c r="D678" s="2"/>
      <c r="E678" s="2"/>
      <c r="F678" s="2"/>
      <c r="G678" s="324"/>
      <c r="H678" s="334"/>
      <c r="I678" s="62"/>
    </row>
    <row r="679" ht="15.75" customHeight="1">
      <c r="A679" s="2"/>
      <c r="B679" s="62"/>
      <c r="C679" s="45"/>
      <c r="D679" s="2"/>
      <c r="E679" s="2"/>
      <c r="F679" s="2"/>
      <c r="G679" s="324"/>
      <c r="H679" s="334"/>
      <c r="I679" s="62"/>
    </row>
    <row r="680" ht="15.75" customHeight="1">
      <c r="A680" s="2"/>
      <c r="B680" s="62"/>
      <c r="C680" s="45"/>
      <c r="D680" s="2"/>
      <c r="E680" s="2"/>
      <c r="F680" s="2"/>
      <c r="G680" s="324"/>
      <c r="H680" s="334"/>
      <c r="I680" s="62"/>
    </row>
    <row r="681" ht="15.75" customHeight="1">
      <c r="A681" s="2"/>
      <c r="B681" s="62"/>
      <c r="C681" s="45"/>
      <c r="D681" s="2"/>
      <c r="E681" s="2"/>
      <c r="F681" s="2"/>
      <c r="G681" s="324"/>
      <c r="H681" s="334"/>
      <c r="I681" s="62"/>
    </row>
    <row r="682" ht="15.75" customHeight="1">
      <c r="A682" s="2"/>
      <c r="B682" s="62"/>
      <c r="C682" s="45"/>
      <c r="D682" s="2"/>
      <c r="E682" s="2"/>
      <c r="F682" s="2"/>
      <c r="G682" s="324"/>
      <c r="H682" s="334"/>
      <c r="I682" s="62"/>
    </row>
    <row r="683" ht="15.75" customHeight="1">
      <c r="A683" s="2"/>
      <c r="B683" s="62"/>
      <c r="C683" s="45"/>
      <c r="D683" s="2"/>
      <c r="E683" s="2"/>
      <c r="F683" s="2"/>
      <c r="G683" s="324"/>
      <c r="H683" s="334"/>
      <c r="I683" s="62"/>
    </row>
    <row r="684" ht="15.75" customHeight="1">
      <c r="A684" s="2"/>
      <c r="B684" s="62"/>
      <c r="C684" s="45"/>
      <c r="D684" s="2"/>
      <c r="E684" s="2"/>
      <c r="F684" s="2"/>
      <c r="G684" s="324"/>
      <c r="H684" s="334"/>
      <c r="I684" s="62"/>
    </row>
    <row r="685" ht="15.75" customHeight="1">
      <c r="A685" s="2"/>
      <c r="B685" s="62"/>
      <c r="C685" s="45"/>
      <c r="D685" s="2"/>
      <c r="E685" s="2"/>
      <c r="F685" s="2"/>
      <c r="G685" s="324"/>
      <c r="H685" s="334"/>
      <c r="I685" s="62"/>
    </row>
    <row r="686" ht="15.75" customHeight="1">
      <c r="A686" s="2"/>
      <c r="B686" s="62"/>
      <c r="C686" s="45"/>
      <c r="D686" s="2"/>
      <c r="E686" s="2"/>
      <c r="F686" s="2"/>
      <c r="G686" s="324"/>
      <c r="H686" s="334"/>
      <c r="I686" s="62"/>
    </row>
    <row r="687" ht="15.75" customHeight="1">
      <c r="A687" s="2"/>
      <c r="B687" s="62"/>
      <c r="C687" s="45"/>
      <c r="D687" s="2"/>
      <c r="E687" s="2"/>
      <c r="F687" s="2"/>
      <c r="G687" s="324"/>
      <c r="H687" s="334"/>
      <c r="I687" s="62"/>
    </row>
    <row r="688" ht="15.75" customHeight="1">
      <c r="A688" s="2"/>
      <c r="B688" s="62"/>
      <c r="C688" s="45"/>
      <c r="D688" s="2"/>
      <c r="E688" s="2"/>
      <c r="F688" s="2"/>
      <c r="G688" s="324"/>
      <c r="H688" s="334"/>
      <c r="I688" s="62"/>
    </row>
    <row r="689" ht="15.75" customHeight="1">
      <c r="A689" s="2"/>
      <c r="B689" s="62"/>
      <c r="C689" s="45"/>
      <c r="D689" s="2"/>
      <c r="E689" s="2"/>
      <c r="F689" s="2"/>
      <c r="G689" s="324"/>
      <c r="H689" s="334"/>
      <c r="I689" s="62"/>
    </row>
    <row r="690" ht="15.75" customHeight="1">
      <c r="A690" s="2"/>
      <c r="B690" s="62"/>
      <c r="C690" s="45"/>
      <c r="D690" s="2"/>
      <c r="E690" s="2"/>
      <c r="F690" s="2"/>
      <c r="G690" s="324"/>
      <c r="H690" s="334"/>
      <c r="I690" s="62"/>
    </row>
    <row r="691" ht="15.75" customHeight="1">
      <c r="A691" s="2"/>
      <c r="B691" s="62"/>
      <c r="C691" s="45"/>
      <c r="D691" s="2"/>
      <c r="E691" s="2"/>
      <c r="F691" s="2"/>
      <c r="G691" s="324"/>
      <c r="H691" s="334"/>
      <c r="I691" s="62"/>
    </row>
    <row r="692" ht="15.75" customHeight="1">
      <c r="A692" s="2"/>
      <c r="B692" s="62"/>
      <c r="C692" s="45"/>
      <c r="D692" s="2"/>
      <c r="E692" s="2"/>
      <c r="F692" s="2"/>
      <c r="G692" s="324"/>
      <c r="H692" s="334"/>
      <c r="I692" s="62"/>
    </row>
    <row r="693" ht="15.75" customHeight="1">
      <c r="A693" s="2"/>
      <c r="B693" s="62"/>
      <c r="C693" s="45"/>
      <c r="D693" s="2"/>
      <c r="E693" s="2"/>
      <c r="F693" s="2"/>
      <c r="G693" s="324"/>
      <c r="H693" s="334"/>
      <c r="I693" s="62"/>
    </row>
    <row r="694" ht="15.75" customHeight="1">
      <c r="A694" s="2"/>
      <c r="B694" s="62"/>
      <c r="C694" s="45"/>
      <c r="D694" s="2"/>
      <c r="E694" s="2"/>
      <c r="F694" s="2"/>
      <c r="G694" s="324"/>
      <c r="H694" s="334"/>
      <c r="I694" s="62"/>
    </row>
    <row r="695" ht="15.75" customHeight="1">
      <c r="A695" s="2"/>
      <c r="B695" s="62"/>
      <c r="C695" s="45"/>
      <c r="D695" s="2"/>
      <c r="E695" s="2"/>
      <c r="F695" s="2"/>
      <c r="G695" s="324"/>
      <c r="H695" s="334"/>
      <c r="I695" s="62"/>
    </row>
    <row r="696" ht="15.75" customHeight="1">
      <c r="A696" s="2"/>
      <c r="B696" s="62"/>
      <c r="C696" s="45"/>
      <c r="D696" s="2"/>
      <c r="E696" s="2"/>
      <c r="F696" s="2"/>
      <c r="G696" s="324"/>
      <c r="H696" s="334"/>
      <c r="I696" s="62"/>
    </row>
    <row r="697" ht="15.75" customHeight="1">
      <c r="A697" s="2"/>
      <c r="B697" s="62"/>
      <c r="C697" s="45"/>
      <c r="D697" s="2"/>
      <c r="E697" s="2"/>
      <c r="F697" s="2"/>
      <c r="G697" s="324"/>
      <c r="H697" s="334"/>
      <c r="I697" s="62"/>
    </row>
    <row r="698" ht="15.75" customHeight="1">
      <c r="A698" s="2"/>
      <c r="B698" s="62"/>
      <c r="C698" s="45"/>
      <c r="D698" s="2"/>
      <c r="E698" s="2"/>
      <c r="F698" s="2"/>
      <c r="G698" s="324"/>
      <c r="H698" s="334"/>
      <c r="I698" s="62"/>
    </row>
    <row r="699" ht="15.75" customHeight="1">
      <c r="A699" s="2"/>
      <c r="B699" s="62"/>
      <c r="C699" s="45"/>
      <c r="D699" s="2"/>
      <c r="E699" s="2"/>
      <c r="F699" s="2"/>
      <c r="G699" s="324"/>
      <c r="H699" s="334"/>
      <c r="I699" s="62"/>
    </row>
    <row r="700" ht="15.75" customHeight="1">
      <c r="A700" s="2"/>
      <c r="B700" s="62"/>
      <c r="C700" s="45"/>
      <c r="D700" s="2"/>
      <c r="E700" s="2"/>
      <c r="F700" s="2"/>
      <c r="G700" s="324"/>
      <c r="H700" s="334"/>
      <c r="I700" s="62"/>
    </row>
    <row r="701" ht="15.75" customHeight="1">
      <c r="A701" s="2"/>
      <c r="B701" s="62"/>
      <c r="C701" s="45"/>
      <c r="D701" s="2"/>
      <c r="E701" s="2"/>
      <c r="F701" s="2"/>
      <c r="G701" s="324"/>
      <c r="H701" s="334"/>
      <c r="I701" s="62"/>
    </row>
    <row r="702" ht="15.75" customHeight="1">
      <c r="A702" s="2"/>
      <c r="B702" s="62"/>
      <c r="C702" s="45"/>
      <c r="D702" s="2"/>
      <c r="E702" s="2"/>
      <c r="F702" s="2"/>
      <c r="G702" s="324"/>
      <c r="H702" s="334"/>
      <c r="I702" s="62"/>
    </row>
    <row r="703" ht="15.75" customHeight="1">
      <c r="A703" s="2"/>
      <c r="B703" s="62"/>
      <c r="C703" s="45"/>
      <c r="D703" s="2"/>
      <c r="E703" s="2"/>
      <c r="F703" s="2"/>
      <c r="G703" s="324"/>
      <c r="H703" s="334"/>
      <c r="I703" s="62"/>
    </row>
    <row r="704" ht="15.75" customHeight="1">
      <c r="A704" s="2"/>
      <c r="B704" s="62"/>
      <c r="C704" s="45"/>
      <c r="D704" s="2"/>
      <c r="E704" s="2"/>
      <c r="F704" s="2"/>
      <c r="G704" s="324"/>
      <c r="H704" s="334"/>
      <c r="I704" s="62"/>
    </row>
    <row r="705" ht="15.75" customHeight="1">
      <c r="A705" s="2"/>
      <c r="B705" s="62"/>
      <c r="C705" s="45"/>
      <c r="D705" s="2"/>
      <c r="E705" s="2"/>
      <c r="F705" s="2"/>
      <c r="G705" s="324"/>
      <c r="H705" s="334"/>
      <c r="I705" s="62"/>
    </row>
    <row r="706" ht="15.75" customHeight="1">
      <c r="A706" s="2"/>
      <c r="B706" s="62"/>
      <c r="C706" s="45"/>
      <c r="D706" s="2"/>
      <c r="E706" s="2"/>
      <c r="F706" s="2"/>
      <c r="G706" s="324"/>
      <c r="H706" s="334"/>
      <c r="I706" s="62"/>
    </row>
    <row r="707" ht="15.75" customHeight="1">
      <c r="A707" s="2"/>
      <c r="B707" s="62"/>
      <c r="C707" s="45"/>
      <c r="D707" s="2"/>
      <c r="E707" s="2"/>
      <c r="F707" s="2"/>
      <c r="G707" s="324"/>
      <c r="H707" s="334"/>
      <c r="I707" s="62"/>
    </row>
    <row r="708" ht="15.75" customHeight="1">
      <c r="A708" s="2"/>
      <c r="B708" s="62"/>
      <c r="C708" s="45"/>
      <c r="D708" s="2"/>
      <c r="E708" s="2"/>
      <c r="F708" s="2"/>
      <c r="G708" s="324"/>
      <c r="H708" s="334"/>
      <c r="I708" s="62"/>
    </row>
    <row r="709" ht="15.75" customHeight="1">
      <c r="A709" s="2"/>
      <c r="B709" s="62"/>
      <c r="C709" s="45"/>
      <c r="D709" s="2"/>
      <c r="E709" s="2"/>
      <c r="F709" s="2"/>
      <c r="G709" s="324"/>
      <c r="H709" s="334"/>
      <c r="I709" s="62"/>
    </row>
    <row r="710" ht="15.75" customHeight="1">
      <c r="A710" s="2"/>
      <c r="B710" s="62"/>
      <c r="C710" s="45"/>
      <c r="D710" s="2"/>
      <c r="E710" s="2"/>
      <c r="F710" s="2"/>
      <c r="G710" s="324"/>
      <c r="H710" s="334"/>
      <c r="I710" s="62"/>
    </row>
    <row r="711" ht="15.75" customHeight="1">
      <c r="A711" s="2"/>
      <c r="B711" s="62"/>
      <c r="C711" s="45"/>
      <c r="D711" s="2"/>
      <c r="E711" s="2"/>
      <c r="F711" s="2"/>
      <c r="G711" s="324"/>
      <c r="H711" s="334"/>
      <c r="I711" s="62"/>
    </row>
    <row r="712" ht="15.75" customHeight="1">
      <c r="A712" s="2"/>
      <c r="B712" s="62"/>
      <c r="C712" s="45"/>
      <c r="D712" s="2"/>
      <c r="E712" s="2"/>
      <c r="F712" s="2"/>
      <c r="G712" s="324"/>
      <c r="H712" s="334"/>
      <c r="I712" s="62"/>
    </row>
    <row r="713" ht="15.75" customHeight="1">
      <c r="A713" s="2"/>
      <c r="B713" s="62"/>
      <c r="C713" s="45"/>
      <c r="D713" s="2"/>
      <c r="E713" s="2"/>
      <c r="F713" s="2"/>
      <c r="G713" s="324"/>
      <c r="H713" s="334"/>
      <c r="I713" s="62"/>
    </row>
    <row r="714" ht="15.75" customHeight="1">
      <c r="A714" s="2"/>
      <c r="B714" s="62"/>
      <c r="C714" s="45"/>
      <c r="D714" s="2"/>
      <c r="E714" s="2"/>
      <c r="F714" s="2"/>
      <c r="G714" s="324"/>
      <c r="H714" s="334"/>
      <c r="I714" s="62"/>
    </row>
    <row r="715" ht="15.75" customHeight="1">
      <c r="A715" s="2"/>
      <c r="B715" s="62"/>
      <c r="C715" s="45"/>
      <c r="D715" s="2"/>
      <c r="E715" s="2"/>
      <c r="F715" s="2"/>
      <c r="G715" s="324"/>
      <c r="H715" s="334"/>
      <c r="I715" s="62"/>
    </row>
    <row r="716" ht="15.75" customHeight="1">
      <c r="A716" s="2"/>
      <c r="B716" s="62"/>
      <c r="C716" s="45"/>
      <c r="D716" s="2"/>
      <c r="E716" s="2"/>
      <c r="F716" s="2"/>
      <c r="G716" s="324"/>
      <c r="H716" s="334"/>
      <c r="I716" s="62"/>
    </row>
    <row r="717" ht="15.75" customHeight="1">
      <c r="A717" s="2"/>
      <c r="B717" s="62"/>
      <c r="C717" s="45"/>
      <c r="D717" s="2"/>
      <c r="E717" s="2"/>
      <c r="F717" s="2"/>
      <c r="G717" s="324"/>
      <c r="H717" s="334"/>
      <c r="I717" s="62"/>
    </row>
    <row r="718" ht="15.75" customHeight="1">
      <c r="A718" s="2"/>
      <c r="B718" s="62"/>
      <c r="C718" s="45"/>
      <c r="D718" s="2"/>
      <c r="E718" s="2"/>
      <c r="F718" s="2"/>
      <c r="G718" s="324"/>
      <c r="H718" s="334"/>
      <c r="I718" s="62"/>
    </row>
    <row r="719" ht="15.75" customHeight="1">
      <c r="A719" s="2"/>
      <c r="B719" s="62"/>
      <c r="C719" s="45"/>
      <c r="D719" s="2"/>
      <c r="E719" s="2"/>
      <c r="F719" s="2"/>
      <c r="G719" s="324"/>
      <c r="H719" s="334"/>
      <c r="I719" s="62"/>
    </row>
    <row r="720" ht="15.75" customHeight="1">
      <c r="A720" s="2"/>
      <c r="B720" s="62"/>
      <c r="C720" s="45"/>
      <c r="D720" s="2"/>
      <c r="E720" s="2"/>
      <c r="F720" s="2"/>
      <c r="G720" s="324"/>
      <c r="H720" s="334"/>
      <c r="I720" s="62"/>
    </row>
    <row r="721" ht="15.75" customHeight="1">
      <c r="A721" s="2"/>
      <c r="B721" s="62"/>
      <c r="C721" s="45"/>
      <c r="D721" s="2"/>
      <c r="E721" s="2"/>
      <c r="F721" s="2"/>
      <c r="G721" s="324"/>
      <c r="H721" s="334"/>
      <c r="I721" s="62"/>
    </row>
    <row r="722" ht="15.75" customHeight="1">
      <c r="A722" s="2"/>
      <c r="B722" s="62"/>
      <c r="C722" s="45"/>
      <c r="D722" s="2"/>
      <c r="E722" s="2"/>
      <c r="F722" s="2"/>
      <c r="G722" s="324"/>
      <c r="H722" s="334"/>
      <c r="I722" s="62"/>
    </row>
    <row r="723" ht="15.75" customHeight="1">
      <c r="A723" s="2"/>
      <c r="B723" s="62"/>
      <c r="C723" s="45"/>
      <c r="D723" s="2"/>
      <c r="E723" s="2"/>
      <c r="F723" s="2"/>
      <c r="G723" s="324"/>
      <c r="H723" s="334"/>
      <c r="I723" s="62"/>
    </row>
    <row r="724" ht="15.75" customHeight="1">
      <c r="A724" s="2"/>
      <c r="B724" s="62"/>
      <c r="C724" s="45"/>
      <c r="D724" s="2"/>
      <c r="E724" s="2"/>
      <c r="F724" s="2"/>
      <c r="G724" s="324"/>
      <c r="H724" s="334"/>
      <c r="I724" s="62"/>
    </row>
    <row r="725" ht="15.75" customHeight="1">
      <c r="A725" s="2"/>
      <c r="B725" s="62"/>
      <c r="C725" s="45"/>
      <c r="D725" s="2"/>
      <c r="E725" s="2"/>
      <c r="F725" s="2"/>
      <c r="G725" s="324"/>
      <c r="H725" s="334"/>
      <c r="I725" s="62"/>
    </row>
    <row r="726" ht="15.75" customHeight="1">
      <c r="A726" s="2"/>
      <c r="B726" s="62"/>
      <c r="C726" s="45"/>
      <c r="D726" s="2"/>
      <c r="E726" s="2"/>
      <c r="F726" s="2"/>
      <c r="G726" s="324"/>
      <c r="H726" s="334"/>
      <c r="I726" s="62"/>
    </row>
    <row r="727" ht="15.75" customHeight="1">
      <c r="A727" s="2"/>
      <c r="B727" s="62"/>
      <c r="C727" s="45"/>
      <c r="D727" s="2"/>
      <c r="E727" s="2"/>
      <c r="F727" s="2"/>
      <c r="G727" s="324"/>
      <c r="H727" s="334"/>
      <c r="I727" s="62"/>
    </row>
    <row r="728" ht="15.75" customHeight="1">
      <c r="A728" s="2"/>
      <c r="B728" s="62"/>
      <c r="C728" s="45"/>
      <c r="D728" s="2"/>
      <c r="E728" s="2"/>
      <c r="F728" s="2"/>
      <c r="G728" s="324"/>
      <c r="H728" s="334"/>
      <c r="I728" s="62"/>
    </row>
    <row r="729" ht="15.75" customHeight="1">
      <c r="A729" s="2"/>
      <c r="B729" s="62"/>
      <c r="C729" s="45"/>
      <c r="D729" s="2"/>
      <c r="E729" s="2"/>
      <c r="F729" s="2"/>
      <c r="G729" s="324"/>
      <c r="H729" s="334"/>
      <c r="I729" s="62"/>
    </row>
    <row r="730" ht="15.75" customHeight="1">
      <c r="A730" s="2"/>
      <c r="B730" s="62"/>
      <c r="C730" s="45"/>
      <c r="D730" s="2"/>
      <c r="E730" s="2"/>
      <c r="F730" s="2"/>
      <c r="G730" s="324"/>
      <c r="H730" s="334"/>
      <c r="I730" s="62"/>
    </row>
    <row r="731" ht="15.75" customHeight="1">
      <c r="A731" s="2"/>
      <c r="B731" s="62"/>
      <c r="C731" s="45"/>
      <c r="D731" s="2"/>
      <c r="E731" s="2"/>
      <c r="F731" s="2"/>
      <c r="G731" s="324"/>
      <c r="H731" s="334"/>
      <c r="I731" s="62"/>
    </row>
    <row r="732" ht="15.75" customHeight="1">
      <c r="A732" s="2"/>
      <c r="B732" s="62"/>
      <c r="C732" s="45"/>
      <c r="D732" s="2"/>
      <c r="E732" s="2"/>
      <c r="F732" s="2"/>
      <c r="G732" s="324"/>
      <c r="H732" s="334"/>
      <c r="I732" s="62"/>
    </row>
    <row r="733" ht="15.75" customHeight="1">
      <c r="A733" s="2"/>
      <c r="B733" s="62"/>
      <c r="C733" s="45"/>
      <c r="D733" s="2"/>
      <c r="E733" s="2"/>
      <c r="F733" s="2"/>
      <c r="G733" s="324"/>
      <c r="H733" s="334"/>
      <c r="I733" s="62"/>
    </row>
    <row r="734" ht="15.75" customHeight="1">
      <c r="A734" s="2"/>
      <c r="B734" s="62"/>
      <c r="C734" s="45"/>
      <c r="D734" s="2"/>
      <c r="E734" s="2"/>
      <c r="F734" s="2"/>
      <c r="G734" s="324"/>
      <c r="H734" s="334"/>
      <c r="I734" s="62"/>
    </row>
    <row r="735" ht="15.75" customHeight="1">
      <c r="A735" s="2"/>
      <c r="B735" s="62"/>
      <c r="C735" s="45"/>
      <c r="D735" s="2"/>
      <c r="E735" s="2"/>
      <c r="F735" s="2"/>
      <c r="G735" s="324"/>
      <c r="H735" s="334"/>
      <c r="I735" s="62"/>
    </row>
    <row r="736" ht="15.75" customHeight="1">
      <c r="A736" s="2"/>
      <c r="B736" s="62"/>
      <c r="C736" s="45"/>
      <c r="D736" s="2"/>
      <c r="E736" s="2"/>
      <c r="F736" s="2"/>
      <c r="G736" s="324"/>
      <c r="H736" s="334"/>
      <c r="I736" s="62"/>
    </row>
    <row r="737" ht="15.75" customHeight="1">
      <c r="A737" s="2"/>
      <c r="B737" s="62"/>
      <c r="C737" s="45"/>
      <c r="D737" s="2"/>
      <c r="E737" s="2"/>
      <c r="F737" s="2"/>
      <c r="G737" s="324"/>
      <c r="H737" s="334"/>
      <c r="I737" s="62"/>
    </row>
    <row r="738" ht="15.75" customHeight="1">
      <c r="A738" s="2"/>
      <c r="B738" s="62"/>
      <c r="C738" s="45"/>
      <c r="D738" s="2"/>
      <c r="E738" s="2"/>
      <c r="F738" s="2"/>
      <c r="G738" s="324"/>
      <c r="H738" s="334"/>
      <c r="I738" s="62"/>
    </row>
    <row r="739" ht="15.75" customHeight="1">
      <c r="A739" s="2"/>
      <c r="B739" s="62"/>
      <c r="C739" s="45"/>
      <c r="D739" s="2"/>
      <c r="E739" s="2"/>
      <c r="F739" s="2"/>
      <c r="G739" s="324"/>
      <c r="H739" s="334"/>
      <c r="I739" s="62"/>
    </row>
    <row r="740" ht="15.75" customHeight="1">
      <c r="A740" s="2"/>
      <c r="B740" s="62"/>
      <c r="C740" s="45"/>
      <c r="D740" s="2"/>
      <c r="E740" s="2"/>
      <c r="F740" s="2"/>
      <c r="G740" s="324"/>
      <c r="H740" s="334"/>
      <c r="I740" s="62"/>
    </row>
    <row r="741" ht="15.75" customHeight="1">
      <c r="A741" s="2"/>
      <c r="B741" s="62"/>
      <c r="C741" s="45"/>
      <c r="D741" s="2"/>
      <c r="E741" s="2"/>
      <c r="F741" s="2"/>
      <c r="G741" s="324"/>
      <c r="H741" s="334"/>
      <c r="I741" s="62"/>
    </row>
    <row r="742" ht="15.75" customHeight="1">
      <c r="A742" s="2"/>
      <c r="B742" s="62"/>
      <c r="C742" s="45"/>
      <c r="D742" s="2"/>
      <c r="E742" s="2"/>
      <c r="F742" s="2"/>
      <c r="G742" s="324"/>
      <c r="H742" s="334"/>
      <c r="I742" s="62"/>
    </row>
    <row r="743" ht="15.75" customHeight="1">
      <c r="A743" s="2"/>
      <c r="B743" s="62"/>
      <c r="C743" s="45"/>
      <c r="D743" s="2"/>
      <c r="E743" s="2"/>
      <c r="F743" s="2"/>
      <c r="G743" s="324"/>
      <c r="H743" s="334"/>
      <c r="I743" s="62"/>
    </row>
    <row r="744" ht="15.75" customHeight="1">
      <c r="A744" s="2"/>
      <c r="B744" s="62"/>
      <c r="C744" s="45"/>
      <c r="D744" s="2"/>
      <c r="E744" s="2"/>
      <c r="F744" s="2"/>
      <c r="G744" s="324"/>
      <c r="H744" s="334"/>
      <c r="I744" s="62"/>
    </row>
    <row r="745" ht="15.75" customHeight="1">
      <c r="A745" s="2"/>
      <c r="B745" s="62"/>
      <c r="C745" s="45"/>
      <c r="D745" s="2"/>
      <c r="E745" s="2"/>
      <c r="F745" s="2"/>
      <c r="G745" s="324"/>
      <c r="H745" s="334"/>
      <c r="I745" s="62"/>
    </row>
    <row r="746" ht="15.75" customHeight="1">
      <c r="A746" s="2"/>
      <c r="B746" s="62"/>
      <c r="C746" s="45"/>
      <c r="D746" s="2"/>
      <c r="E746" s="2"/>
      <c r="F746" s="2"/>
      <c r="G746" s="324"/>
      <c r="H746" s="334"/>
      <c r="I746" s="62"/>
    </row>
    <row r="747" ht="15.75" customHeight="1">
      <c r="A747" s="2"/>
      <c r="B747" s="62"/>
      <c r="C747" s="45"/>
      <c r="D747" s="2"/>
      <c r="E747" s="2"/>
      <c r="F747" s="2"/>
      <c r="G747" s="324"/>
      <c r="H747" s="334"/>
      <c r="I747" s="62"/>
    </row>
    <row r="748" ht="15.75" customHeight="1">
      <c r="A748" s="2"/>
      <c r="B748" s="62"/>
      <c r="C748" s="45"/>
      <c r="D748" s="2"/>
      <c r="E748" s="2"/>
      <c r="F748" s="2"/>
      <c r="G748" s="324"/>
      <c r="H748" s="334"/>
      <c r="I748" s="62"/>
    </row>
    <row r="749" ht="15.75" customHeight="1">
      <c r="A749" s="2"/>
      <c r="B749" s="62"/>
      <c r="C749" s="45"/>
      <c r="D749" s="2"/>
      <c r="E749" s="2"/>
      <c r="F749" s="2"/>
      <c r="G749" s="324"/>
      <c r="H749" s="334"/>
      <c r="I749" s="62"/>
    </row>
    <row r="750" ht="15.75" customHeight="1">
      <c r="A750" s="2"/>
      <c r="B750" s="62"/>
      <c r="C750" s="45"/>
      <c r="D750" s="2"/>
      <c r="E750" s="2"/>
      <c r="F750" s="2"/>
      <c r="G750" s="324"/>
      <c r="H750" s="334"/>
      <c r="I750" s="62"/>
    </row>
    <row r="751" ht="15.75" customHeight="1">
      <c r="A751" s="2"/>
      <c r="B751" s="62"/>
      <c r="C751" s="45"/>
      <c r="D751" s="2"/>
      <c r="E751" s="2"/>
      <c r="F751" s="2"/>
      <c r="G751" s="324"/>
      <c r="H751" s="334"/>
      <c r="I751" s="62"/>
    </row>
    <row r="752" ht="15.75" customHeight="1">
      <c r="A752" s="2"/>
      <c r="B752" s="62"/>
      <c r="C752" s="45"/>
      <c r="D752" s="2"/>
      <c r="E752" s="2"/>
      <c r="F752" s="2"/>
      <c r="G752" s="324"/>
      <c r="H752" s="334"/>
      <c r="I752" s="62"/>
    </row>
    <row r="753" ht="15.75" customHeight="1">
      <c r="A753" s="2"/>
      <c r="B753" s="62"/>
      <c r="C753" s="45"/>
      <c r="D753" s="2"/>
      <c r="E753" s="2"/>
      <c r="F753" s="2"/>
      <c r="G753" s="324"/>
      <c r="H753" s="334"/>
      <c r="I753" s="62"/>
    </row>
    <row r="754" ht="15.75" customHeight="1">
      <c r="A754" s="2"/>
      <c r="B754" s="62"/>
      <c r="C754" s="45"/>
      <c r="D754" s="2"/>
      <c r="E754" s="2"/>
      <c r="F754" s="2"/>
      <c r="G754" s="324"/>
      <c r="H754" s="334"/>
      <c r="I754" s="62"/>
    </row>
    <row r="755" ht="15.75" customHeight="1">
      <c r="A755" s="2"/>
      <c r="B755" s="62"/>
      <c r="C755" s="45"/>
      <c r="D755" s="2"/>
      <c r="E755" s="2"/>
      <c r="F755" s="2"/>
      <c r="G755" s="324"/>
      <c r="H755" s="334"/>
      <c r="I755" s="62"/>
    </row>
    <row r="756" ht="15.75" customHeight="1">
      <c r="A756" s="2"/>
      <c r="B756" s="62"/>
      <c r="C756" s="45"/>
      <c r="D756" s="2"/>
      <c r="E756" s="2"/>
      <c r="F756" s="2"/>
      <c r="G756" s="324"/>
      <c r="H756" s="334"/>
      <c r="I756" s="62"/>
    </row>
    <row r="757" ht="15.75" customHeight="1">
      <c r="A757" s="2"/>
      <c r="B757" s="62"/>
      <c r="C757" s="45"/>
      <c r="D757" s="2"/>
      <c r="E757" s="2"/>
      <c r="F757" s="2"/>
      <c r="G757" s="324"/>
      <c r="H757" s="334"/>
      <c r="I757" s="62"/>
    </row>
    <row r="758" ht="15.75" customHeight="1">
      <c r="A758" s="2"/>
      <c r="B758" s="62"/>
      <c r="C758" s="45"/>
      <c r="D758" s="2"/>
      <c r="E758" s="2"/>
      <c r="F758" s="2"/>
      <c r="G758" s="324"/>
      <c r="H758" s="334"/>
      <c r="I758" s="62"/>
    </row>
    <row r="759" ht="15.75" customHeight="1">
      <c r="A759" s="2"/>
      <c r="B759" s="62"/>
      <c r="C759" s="45"/>
      <c r="D759" s="2"/>
      <c r="E759" s="2"/>
      <c r="F759" s="2"/>
      <c r="G759" s="324"/>
      <c r="H759" s="334"/>
      <c r="I759" s="62"/>
    </row>
    <row r="760" ht="15.75" customHeight="1">
      <c r="A760" s="2"/>
      <c r="B760" s="62"/>
      <c r="C760" s="45"/>
      <c r="D760" s="2"/>
      <c r="E760" s="2"/>
      <c r="F760" s="2"/>
      <c r="G760" s="324"/>
      <c r="H760" s="334"/>
      <c r="I760" s="62"/>
    </row>
    <row r="761" ht="15.75" customHeight="1">
      <c r="A761" s="2"/>
      <c r="B761" s="62"/>
      <c r="C761" s="45"/>
      <c r="D761" s="2"/>
      <c r="E761" s="2"/>
      <c r="F761" s="2"/>
      <c r="G761" s="324"/>
      <c r="H761" s="334"/>
      <c r="I761" s="62"/>
    </row>
    <row r="762" ht="15.75" customHeight="1">
      <c r="A762" s="2"/>
      <c r="B762" s="62"/>
      <c r="C762" s="45"/>
      <c r="D762" s="2"/>
      <c r="E762" s="2"/>
      <c r="F762" s="2"/>
      <c r="G762" s="324"/>
      <c r="H762" s="334"/>
      <c r="I762" s="62"/>
    </row>
    <row r="763" ht="15.75" customHeight="1">
      <c r="A763" s="2"/>
      <c r="B763" s="62"/>
      <c r="C763" s="45"/>
      <c r="D763" s="2"/>
      <c r="E763" s="2"/>
      <c r="F763" s="2"/>
      <c r="G763" s="324"/>
      <c r="H763" s="334"/>
      <c r="I763" s="62"/>
    </row>
    <row r="764" ht="15.75" customHeight="1">
      <c r="A764" s="2"/>
      <c r="B764" s="62"/>
      <c r="C764" s="45"/>
      <c r="D764" s="2"/>
      <c r="E764" s="2"/>
      <c r="F764" s="2"/>
      <c r="G764" s="324"/>
      <c r="H764" s="334"/>
      <c r="I764" s="62"/>
    </row>
    <row r="765" ht="15.75" customHeight="1">
      <c r="A765" s="2"/>
      <c r="B765" s="62"/>
      <c r="C765" s="45"/>
      <c r="D765" s="2"/>
      <c r="E765" s="2"/>
      <c r="F765" s="2"/>
      <c r="G765" s="324"/>
      <c r="H765" s="334"/>
      <c r="I765" s="62"/>
    </row>
    <row r="766" ht="15.75" customHeight="1">
      <c r="A766" s="2"/>
      <c r="B766" s="62"/>
      <c r="C766" s="45"/>
      <c r="D766" s="2"/>
      <c r="E766" s="2"/>
      <c r="F766" s="2"/>
      <c r="G766" s="324"/>
      <c r="H766" s="334"/>
      <c r="I766" s="62"/>
    </row>
    <row r="767" ht="15.75" customHeight="1">
      <c r="A767" s="2"/>
      <c r="B767" s="62"/>
      <c r="C767" s="45"/>
      <c r="D767" s="2"/>
      <c r="E767" s="2"/>
      <c r="F767" s="2"/>
      <c r="G767" s="324"/>
      <c r="H767" s="334"/>
      <c r="I767" s="62"/>
    </row>
    <row r="768" ht="15.75" customHeight="1">
      <c r="A768" s="2"/>
      <c r="B768" s="62"/>
      <c r="C768" s="45"/>
      <c r="D768" s="2"/>
      <c r="E768" s="2"/>
      <c r="F768" s="2"/>
      <c r="G768" s="324"/>
      <c r="H768" s="334"/>
      <c r="I768" s="62"/>
    </row>
    <row r="769" ht="15.75" customHeight="1">
      <c r="A769" s="2"/>
      <c r="B769" s="62"/>
      <c r="C769" s="45"/>
      <c r="D769" s="2"/>
      <c r="E769" s="2"/>
      <c r="F769" s="2"/>
      <c r="G769" s="324"/>
      <c r="H769" s="334"/>
      <c r="I769" s="62"/>
    </row>
    <row r="770" ht="15.75" customHeight="1">
      <c r="A770" s="2"/>
      <c r="B770" s="62"/>
      <c r="C770" s="45"/>
      <c r="D770" s="2"/>
      <c r="E770" s="2"/>
      <c r="F770" s="2"/>
      <c r="G770" s="324"/>
      <c r="H770" s="334"/>
      <c r="I770" s="62"/>
    </row>
    <row r="771" ht="15.75" customHeight="1">
      <c r="A771" s="2"/>
      <c r="B771" s="62"/>
      <c r="C771" s="45"/>
      <c r="D771" s="2"/>
      <c r="E771" s="2"/>
      <c r="F771" s="2"/>
      <c r="G771" s="324"/>
      <c r="H771" s="334"/>
      <c r="I771" s="62"/>
    </row>
    <row r="772" ht="15.75" customHeight="1">
      <c r="A772" s="2"/>
      <c r="B772" s="62"/>
      <c r="C772" s="45"/>
      <c r="D772" s="2"/>
      <c r="E772" s="2"/>
      <c r="F772" s="2"/>
      <c r="G772" s="324"/>
      <c r="H772" s="334"/>
      <c r="I772" s="62"/>
    </row>
    <row r="773" ht="15.75" customHeight="1">
      <c r="A773" s="2"/>
      <c r="B773" s="62"/>
      <c r="C773" s="45"/>
      <c r="D773" s="2"/>
      <c r="E773" s="2"/>
      <c r="F773" s="2"/>
      <c r="G773" s="324"/>
      <c r="H773" s="334"/>
      <c r="I773" s="62"/>
    </row>
    <row r="774" ht="15.75" customHeight="1">
      <c r="A774" s="2"/>
      <c r="B774" s="62"/>
      <c r="C774" s="45"/>
      <c r="D774" s="2"/>
      <c r="E774" s="2"/>
      <c r="F774" s="2"/>
      <c r="G774" s="324"/>
      <c r="H774" s="334"/>
      <c r="I774" s="62"/>
    </row>
    <row r="775" ht="15.75" customHeight="1">
      <c r="A775" s="2"/>
      <c r="B775" s="62"/>
      <c r="C775" s="45"/>
      <c r="D775" s="2"/>
      <c r="E775" s="2"/>
      <c r="F775" s="2"/>
      <c r="G775" s="324"/>
      <c r="H775" s="334"/>
      <c r="I775" s="62"/>
    </row>
    <row r="776" ht="15.75" customHeight="1">
      <c r="A776" s="2"/>
      <c r="B776" s="62"/>
      <c r="C776" s="45"/>
      <c r="D776" s="2"/>
      <c r="E776" s="2"/>
      <c r="F776" s="2"/>
      <c r="G776" s="324"/>
      <c r="H776" s="334"/>
      <c r="I776" s="62"/>
    </row>
    <row r="777" ht="15.75" customHeight="1">
      <c r="A777" s="2"/>
      <c r="B777" s="62"/>
      <c r="C777" s="45"/>
      <c r="D777" s="2"/>
      <c r="E777" s="2"/>
      <c r="F777" s="2"/>
      <c r="G777" s="324"/>
      <c r="H777" s="334"/>
      <c r="I777" s="62"/>
    </row>
    <row r="778" ht="15.75" customHeight="1">
      <c r="A778" s="2"/>
      <c r="B778" s="62"/>
      <c r="C778" s="45"/>
      <c r="D778" s="2"/>
      <c r="E778" s="2"/>
      <c r="F778" s="2"/>
      <c r="G778" s="324"/>
      <c r="H778" s="334"/>
      <c r="I778" s="62"/>
    </row>
    <row r="779" ht="15.75" customHeight="1">
      <c r="A779" s="2"/>
      <c r="B779" s="62"/>
      <c r="C779" s="45"/>
      <c r="D779" s="2"/>
      <c r="E779" s="2"/>
      <c r="F779" s="2"/>
      <c r="G779" s="324"/>
      <c r="H779" s="334"/>
      <c r="I779" s="62"/>
    </row>
    <row r="780" ht="15.75" customHeight="1">
      <c r="A780" s="2"/>
      <c r="B780" s="62"/>
      <c r="C780" s="45"/>
      <c r="D780" s="2"/>
      <c r="E780" s="2"/>
      <c r="F780" s="2"/>
      <c r="G780" s="324"/>
      <c r="H780" s="334"/>
      <c r="I780" s="62"/>
    </row>
    <row r="781" ht="15.75" customHeight="1">
      <c r="A781" s="2"/>
      <c r="B781" s="62"/>
      <c r="C781" s="45"/>
      <c r="D781" s="2"/>
      <c r="E781" s="2"/>
      <c r="F781" s="2"/>
      <c r="G781" s="324"/>
      <c r="H781" s="334"/>
      <c r="I781" s="62"/>
    </row>
    <row r="782" ht="15.75" customHeight="1">
      <c r="A782" s="2"/>
      <c r="B782" s="62"/>
      <c r="C782" s="45"/>
      <c r="D782" s="2"/>
      <c r="E782" s="2"/>
      <c r="F782" s="2"/>
      <c r="G782" s="324"/>
      <c r="H782" s="334"/>
      <c r="I782" s="62"/>
    </row>
    <row r="783" ht="15.75" customHeight="1">
      <c r="A783" s="2"/>
      <c r="B783" s="62"/>
      <c r="C783" s="45"/>
      <c r="D783" s="2"/>
      <c r="E783" s="2"/>
      <c r="F783" s="2"/>
      <c r="G783" s="324"/>
      <c r="H783" s="334"/>
      <c r="I783" s="62"/>
    </row>
    <row r="784" ht="15.75" customHeight="1">
      <c r="A784" s="2"/>
      <c r="B784" s="62"/>
      <c r="C784" s="45"/>
      <c r="D784" s="2"/>
      <c r="E784" s="2"/>
      <c r="F784" s="2"/>
      <c r="G784" s="324"/>
      <c r="H784" s="334"/>
      <c r="I784" s="62"/>
    </row>
    <row r="785" ht="15.75" customHeight="1">
      <c r="A785" s="2"/>
      <c r="B785" s="62"/>
      <c r="C785" s="45"/>
      <c r="D785" s="2"/>
      <c r="E785" s="2"/>
      <c r="F785" s="2"/>
      <c r="G785" s="324"/>
      <c r="H785" s="334"/>
      <c r="I785" s="62"/>
    </row>
    <row r="786" ht="15.75" customHeight="1">
      <c r="A786" s="2"/>
      <c r="B786" s="62"/>
      <c r="C786" s="45"/>
      <c r="D786" s="2"/>
      <c r="E786" s="2"/>
      <c r="F786" s="2"/>
      <c r="G786" s="324"/>
      <c r="H786" s="334"/>
      <c r="I786" s="62"/>
    </row>
    <row r="787" ht="15.75" customHeight="1">
      <c r="A787" s="2"/>
      <c r="B787" s="62"/>
      <c r="C787" s="45"/>
      <c r="D787" s="2"/>
      <c r="E787" s="2"/>
      <c r="F787" s="2"/>
      <c r="G787" s="324"/>
      <c r="H787" s="334"/>
      <c r="I787" s="62"/>
    </row>
    <row r="788" ht="15.75" customHeight="1">
      <c r="A788" s="2"/>
      <c r="B788" s="62"/>
      <c r="C788" s="45"/>
      <c r="D788" s="2"/>
      <c r="E788" s="2"/>
      <c r="F788" s="2"/>
      <c r="G788" s="324"/>
      <c r="H788" s="334"/>
      <c r="I788" s="62"/>
    </row>
    <row r="789" ht="15.75" customHeight="1">
      <c r="A789" s="2"/>
      <c r="B789" s="62"/>
      <c r="C789" s="45"/>
      <c r="D789" s="2"/>
      <c r="E789" s="2"/>
      <c r="F789" s="2"/>
      <c r="G789" s="324"/>
      <c r="H789" s="334"/>
      <c r="I789" s="62"/>
    </row>
    <row r="790" ht="15.75" customHeight="1">
      <c r="A790" s="2"/>
      <c r="B790" s="62"/>
      <c r="C790" s="45"/>
      <c r="D790" s="2"/>
      <c r="E790" s="2"/>
      <c r="F790" s="2"/>
      <c r="G790" s="324"/>
      <c r="H790" s="334"/>
      <c r="I790" s="62"/>
    </row>
    <row r="791" ht="15.75" customHeight="1">
      <c r="A791" s="2"/>
      <c r="B791" s="62"/>
      <c r="C791" s="45"/>
      <c r="D791" s="2"/>
      <c r="E791" s="2"/>
      <c r="F791" s="2"/>
      <c r="G791" s="324"/>
      <c r="H791" s="334"/>
      <c r="I791" s="62"/>
    </row>
    <row r="792" ht="15.75" customHeight="1">
      <c r="A792" s="2"/>
      <c r="B792" s="62"/>
      <c r="C792" s="45"/>
      <c r="D792" s="2"/>
      <c r="E792" s="2"/>
      <c r="F792" s="2"/>
      <c r="G792" s="324"/>
      <c r="H792" s="334"/>
      <c r="I792" s="62"/>
    </row>
    <row r="793" ht="15.75" customHeight="1">
      <c r="A793" s="2"/>
      <c r="B793" s="62"/>
      <c r="C793" s="45"/>
      <c r="D793" s="2"/>
      <c r="E793" s="2"/>
      <c r="F793" s="2"/>
      <c r="G793" s="324"/>
      <c r="H793" s="334"/>
      <c r="I793" s="62"/>
    </row>
    <row r="794" ht="15.75" customHeight="1">
      <c r="A794" s="2"/>
      <c r="B794" s="62"/>
      <c r="C794" s="45"/>
      <c r="D794" s="2"/>
      <c r="E794" s="2"/>
      <c r="F794" s="2"/>
      <c r="G794" s="324"/>
      <c r="H794" s="334"/>
      <c r="I794" s="62"/>
    </row>
    <row r="795" ht="15.75" customHeight="1">
      <c r="A795" s="2"/>
      <c r="B795" s="62"/>
      <c r="C795" s="45"/>
      <c r="D795" s="2"/>
      <c r="E795" s="2"/>
      <c r="F795" s="2"/>
      <c r="G795" s="324"/>
      <c r="H795" s="334"/>
      <c r="I795" s="62"/>
    </row>
    <row r="796" ht="15.75" customHeight="1">
      <c r="A796" s="2"/>
      <c r="B796" s="62"/>
      <c r="C796" s="45"/>
      <c r="D796" s="2"/>
      <c r="E796" s="2"/>
      <c r="F796" s="2"/>
      <c r="G796" s="324"/>
      <c r="H796" s="334"/>
      <c r="I796" s="62"/>
    </row>
    <row r="797" ht="15.75" customHeight="1">
      <c r="A797" s="2"/>
      <c r="B797" s="62"/>
      <c r="C797" s="45"/>
      <c r="D797" s="2"/>
      <c r="E797" s="2"/>
      <c r="F797" s="2"/>
      <c r="G797" s="324"/>
      <c r="H797" s="334"/>
      <c r="I797" s="62"/>
    </row>
    <row r="798" ht="15.75" customHeight="1">
      <c r="A798" s="2"/>
      <c r="B798" s="62"/>
      <c r="C798" s="45"/>
      <c r="D798" s="2"/>
      <c r="E798" s="2"/>
      <c r="F798" s="2"/>
      <c r="G798" s="324"/>
      <c r="H798" s="334"/>
      <c r="I798" s="62"/>
    </row>
    <row r="799" ht="15.75" customHeight="1">
      <c r="A799" s="2"/>
      <c r="B799" s="62"/>
      <c r="C799" s="45"/>
      <c r="D799" s="2"/>
      <c r="E799" s="2"/>
      <c r="F799" s="2"/>
      <c r="G799" s="324"/>
      <c r="H799" s="334"/>
      <c r="I799" s="62"/>
    </row>
    <row r="800" ht="15.75" customHeight="1">
      <c r="A800" s="2"/>
      <c r="B800" s="62"/>
      <c r="C800" s="45"/>
      <c r="D800" s="2"/>
      <c r="E800" s="2"/>
      <c r="F800" s="2"/>
      <c r="G800" s="324"/>
      <c r="H800" s="334"/>
      <c r="I800" s="62"/>
    </row>
    <row r="801" ht="15.75" customHeight="1">
      <c r="A801" s="2"/>
      <c r="B801" s="62"/>
      <c r="C801" s="45"/>
      <c r="D801" s="2"/>
      <c r="E801" s="2"/>
      <c r="F801" s="2"/>
      <c r="G801" s="324"/>
      <c r="H801" s="334"/>
      <c r="I801" s="62"/>
    </row>
    <row r="802" ht="15.75" customHeight="1">
      <c r="A802" s="2"/>
      <c r="B802" s="62"/>
      <c r="C802" s="45"/>
      <c r="D802" s="2"/>
      <c r="E802" s="2"/>
      <c r="F802" s="2"/>
      <c r="G802" s="324"/>
      <c r="H802" s="334"/>
      <c r="I802" s="62"/>
    </row>
    <row r="803" ht="15.75" customHeight="1">
      <c r="A803" s="2"/>
      <c r="B803" s="62"/>
      <c r="C803" s="45"/>
      <c r="D803" s="2"/>
      <c r="E803" s="2"/>
      <c r="F803" s="2"/>
      <c r="G803" s="324"/>
      <c r="H803" s="334"/>
      <c r="I803" s="62"/>
    </row>
    <row r="804" ht="15.75" customHeight="1">
      <c r="A804" s="2"/>
      <c r="B804" s="62"/>
      <c r="C804" s="45"/>
      <c r="D804" s="2"/>
      <c r="E804" s="2"/>
      <c r="F804" s="2"/>
      <c r="G804" s="324"/>
      <c r="H804" s="334"/>
      <c r="I804" s="62"/>
    </row>
    <row r="805" ht="15.75" customHeight="1">
      <c r="A805" s="2"/>
      <c r="B805" s="62"/>
      <c r="C805" s="45"/>
      <c r="D805" s="2"/>
      <c r="E805" s="2"/>
      <c r="F805" s="2"/>
      <c r="G805" s="324"/>
      <c r="H805" s="334"/>
      <c r="I805" s="62"/>
    </row>
    <row r="806" ht="15.75" customHeight="1">
      <c r="A806" s="2"/>
      <c r="B806" s="62"/>
      <c r="C806" s="45"/>
      <c r="D806" s="2"/>
      <c r="E806" s="2"/>
      <c r="F806" s="2"/>
      <c r="G806" s="324"/>
      <c r="H806" s="334"/>
      <c r="I806" s="62"/>
    </row>
    <row r="807" ht="15.75" customHeight="1">
      <c r="A807" s="2"/>
      <c r="B807" s="62"/>
      <c r="C807" s="45"/>
      <c r="D807" s="2"/>
      <c r="E807" s="2"/>
      <c r="F807" s="2"/>
      <c r="G807" s="324"/>
      <c r="H807" s="334"/>
      <c r="I807" s="62"/>
    </row>
    <row r="808" ht="15.75" customHeight="1">
      <c r="A808" s="2"/>
      <c r="B808" s="62"/>
      <c r="C808" s="45"/>
      <c r="D808" s="2"/>
      <c r="E808" s="2"/>
      <c r="F808" s="2"/>
      <c r="G808" s="324"/>
      <c r="H808" s="334"/>
      <c r="I808" s="62"/>
    </row>
    <row r="809" ht="15.75" customHeight="1">
      <c r="A809" s="2"/>
      <c r="B809" s="62"/>
      <c r="C809" s="45"/>
      <c r="D809" s="2"/>
      <c r="E809" s="2"/>
      <c r="F809" s="2"/>
      <c r="G809" s="324"/>
      <c r="H809" s="334"/>
      <c r="I809" s="62"/>
    </row>
    <row r="810" ht="15.75" customHeight="1">
      <c r="A810" s="2"/>
      <c r="B810" s="62"/>
      <c r="C810" s="45"/>
      <c r="D810" s="2"/>
      <c r="E810" s="2"/>
      <c r="F810" s="2"/>
      <c r="G810" s="324"/>
      <c r="H810" s="334"/>
      <c r="I810" s="62"/>
    </row>
    <row r="811" ht="15.75" customHeight="1">
      <c r="A811" s="2"/>
      <c r="B811" s="62"/>
      <c r="C811" s="45"/>
      <c r="D811" s="2"/>
      <c r="E811" s="2"/>
      <c r="F811" s="2"/>
      <c r="G811" s="324"/>
      <c r="H811" s="334"/>
      <c r="I811" s="62"/>
    </row>
    <row r="812" ht="15.75" customHeight="1">
      <c r="A812" s="2"/>
      <c r="B812" s="62"/>
      <c r="C812" s="45"/>
      <c r="D812" s="2"/>
      <c r="E812" s="2"/>
      <c r="F812" s="2"/>
      <c r="G812" s="324"/>
      <c r="H812" s="334"/>
      <c r="I812" s="62"/>
    </row>
    <row r="813" ht="15.75" customHeight="1">
      <c r="A813" s="2"/>
      <c r="B813" s="62"/>
      <c r="C813" s="45"/>
      <c r="D813" s="2"/>
      <c r="E813" s="2"/>
      <c r="F813" s="2"/>
      <c r="G813" s="324"/>
      <c r="H813" s="334"/>
      <c r="I813" s="62"/>
    </row>
    <row r="814" ht="15.75" customHeight="1">
      <c r="A814" s="2"/>
      <c r="B814" s="62"/>
      <c r="C814" s="45"/>
      <c r="D814" s="2"/>
      <c r="E814" s="2"/>
      <c r="F814" s="2"/>
      <c r="G814" s="324"/>
      <c r="H814" s="334"/>
      <c r="I814" s="62"/>
    </row>
    <row r="815" ht="15.75" customHeight="1">
      <c r="A815" s="2"/>
      <c r="B815" s="62"/>
      <c r="C815" s="45"/>
      <c r="D815" s="2"/>
      <c r="E815" s="2"/>
      <c r="F815" s="2"/>
      <c r="G815" s="324"/>
      <c r="H815" s="334"/>
      <c r="I815" s="62"/>
    </row>
    <row r="816" ht="15.75" customHeight="1">
      <c r="A816" s="2"/>
      <c r="B816" s="62"/>
      <c r="C816" s="45"/>
      <c r="D816" s="2"/>
      <c r="E816" s="2"/>
      <c r="F816" s="2"/>
      <c r="G816" s="324"/>
      <c r="H816" s="334"/>
      <c r="I816" s="62"/>
    </row>
    <row r="817" ht="15.75" customHeight="1">
      <c r="A817" s="2"/>
      <c r="B817" s="62"/>
      <c r="C817" s="45"/>
      <c r="D817" s="2"/>
      <c r="E817" s="2"/>
      <c r="F817" s="2"/>
      <c r="G817" s="324"/>
      <c r="H817" s="334"/>
      <c r="I817" s="62"/>
    </row>
    <row r="818" ht="15.75" customHeight="1">
      <c r="A818" s="2"/>
      <c r="B818" s="62"/>
      <c r="C818" s="45"/>
      <c r="D818" s="2"/>
      <c r="E818" s="2"/>
      <c r="F818" s="2"/>
      <c r="G818" s="324"/>
      <c r="H818" s="334"/>
      <c r="I818" s="62"/>
    </row>
    <row r="819" ht="15.75" customHeight="1">
      <c r="A819" s="2"/>
      <c r="B819" s="62"/>
      <c r="C819" s="45"/>
      <c r="D819" s="2"/>
      <c r="E819" s="2"/>
      <c r="F819" s="2"/>
      <c r="G819" s="324"/>
      <c r="H819" s="334"/>
      <c r="I819" s="62"/>
    </row>
    <row r="820" ht="15.75" customHeight="1">
      <c r="A820" s="2"/>
      <c r="B820" s="62"/>
      <c r="C820" s="45"/>
      <c r="D820" s="2"/>
      <c r="E820" s="2"/>
      <c r="F820" s="2"/>
      <c r="G820" s="324"/>
      <c r="H820" s="334"/>
      <c r="I820" s="62"/>
    </row>
    <row r="821" ht="15.75" customHeight="1">
      <c r="A821" s="2"/>
      <c r="B821" s="62"/>
      <c r="C821" s="45"/>
      <c r="D821" s="2"/>
      <c r="E821" s="2"/>
      <c r="F821" s="2"/>
      <c r="G821" s="324"/>
      <c r="H821" s="334"/>
      <c r="I821" s="62"/>
    </row>
    <row r="822" ht="15.75" customHeight="1">
      <c r="A822" s="2"/>
      <c r="B822" s="62"/>
      <c r="C822" s="45"/>
      <c r="D822" s="2"/>
      <c r="E822" s="2"/>
      <c r="F822" s="2"/>
      <c r="G822" s="324"/>
      <c r="H822" s="334"/>
      <c r="I822" s="62"/>
    </row>
    <row r="823" ht="15.75" customHeight="1">
      <c r="A823" s="2"/>
      <c r="B823" s="62"/>
      <c r="C823" s="45"/>
      <c r="D823" s="2"/>
      <c r="E823" s="2"/>
      <c r="F823" s="2"/>
      <c r="G823" s="324"/>
      <c r="H823" s="334"/>
      <c r="I823" s="62"/>
    </row>
    <row r="824" ht="15.75" customHeight="1">
      <c r="A824" s="2"/>
      <c r="B824" s="62"/>
      <c r="C824" s="45"/>
      <c r="D824" s="2"/>
      <c r="E824" s="2"/>
      <c r="F824" s="2"/>
      <c r="G824" s="324"/>
      <c r="H824" s="334"/>
      <c r="I824" s="62"/>
    </row>
    <row r="825" ht="15.75" customHeight="1">
      <c r="A825" s="2"/>
      <c r="B825" s="62"/>
      <c r="C825" s="45"/>
      <c r="D825" s="2"/>
      <c r="E825" s="2"/>
      <c r="F825" s="2"/>
      <c r="G825" s="324"/>
      <c r="H825" s="334"/>
      <c r="I825" s="62"/>
    </row>
    <row r="826" ht="15.75" customHeight="1">
      <c r="A826" s="2"/>
      <c r="B826" s="62"/>
      <c r="C826" s="45"/>
      <c r="D826" s="2"/>
      <c r="E826" s="2"/>
      <c r="F826" s="2"/>
      <c r="G826" s="324"/>
      <c r="H826" s="334"/>
      <c r="I826" s="62"/>
    </row>
    <row r="827" ht="15.75" customHeight="1">
      <c r="A827" s="2"/>
      <c r="B827" s="62"/>
      <c r="C827" s="45"/>
      <c r="D827" s="2"/>
      <c r="E827" s="2"/>
      <c r="F827" s="2"/>
      <c r="G827" s="324"/>
      <c r="H827" s="334"/>
      <c r="I827" s="62"/>
    </row>
    <row r="828" ht="15.75" customHeight="1">
      <c r="A828" s="2"/>
      <c r="B828" s="62"/>
      <c r="C828" s="45"/>
      <c r="D828" s="2"/>
      <c r="E828" s="2"/>
      <c r="F828" s="2"/>
      <c r="G828" s="324"/>
      <c r="H828" s="334"/>
      <c r="I828" s="62"/>
    </row>
    <row r="829" ht="15.75" customHeight="1">
      <c r="A829" s="2"/>
      <c r="B829" s="62"/>
      <c r="C829" s="45"/>
      <c r="D829" s="2"/>
      <c r="E829" s="2"/>
      <c r="F829" s="2"/>
      <c r="G829" s="324"/>
      <c r="H829" s="334"/>
      <c r="I829" s="62"/>
    </row>
    <row r="830" ht="15.75" customHeight="1">
      <c r="A830" s="2"/>
      <c r="B830" s="62"/>
      <c r="C830" s="45"/>
      <c r="D830" s="2"/>
      <c r="E830" s="2"/>
      <c r="F830" s="2"/>
      <c r="G830" s="324"/>
      <c r="H830" s="334"/>
      <c r="I830" s="62"/>
    </row>
    <row r="831" ht="15.75" customHeight="1">
      <c r="A831" s="2"/>
      <c r="B831" s="62"/>
      <c r="C831" s="45"/>
      <c r="D831" s="2"/>
      <c r="E831" s="2"/>
      <c r="F831" s="2"/>
      <c r="G831" s="324"/>
      <c r="H831" s="334"/>
      <c r="I831" s="62"/>
    </row>
    <row r="832" ht="15.75" customHeight="1">
      <c r="A832" s="2"/>
      <c r="B832" s="62"/>
      <c r="C832" s="45"/>
      <c r="D832" s="2"/>
      <c r="E832" s="2"/>
      <c r="F832" s="2"/>
      <c r="G832" s="324"/>
      <c r="H832" s="334"/>
      <c r="I832" s="62"/>
    </row>
    <row r="833" ht="15.75" customHeight="1">
      <c r="A833" s="2"/>
      <c r="B833" s="62"/>
      <c r="C833" s="45"/>
      <c r="D833" s="2"/>
      <c r="E833" s="2"/>
      <c r="F833" s="2"/>
      <c r="G833" s="324"/>
      <c r="H833" s="334"/>
      <c r="I833" s="62"/>
    </row>
    <row r="834" ht="15.75" customHeight="1">
      <c r="A834" s="2"/>
      <c r="B834" s="62"/>
      <c r="C834" s="45"/>
      <c r="D834" s="2"/>
      <c r="E834" s="2"/>
      <c r="F834" s="2"/>
      <c r="G834" s="324"/>
      <c r="H834" s="334"/>
      <c r="I834" s="62"/>
    </row>
    <row r="835" ht="15.75" customHeight="1">
      <c r="A835" s="2"/>
      <c r="B835" s="62"/>
      <c r="C835" s="45"/>
      <c r="D835" s="2"/>
      <c r="E835" s="2"/>
      <c r="F835" s="2"/>
      <c r="G835" s="324"/>
      <c r="H835" s="334"/>
      <c r="I835" s="62"/>
    </row>
    <row r="836" ht="15.75" customHeight="1">
      <c r="A836" s="2"/>
      <c r="B836" s="62"/>
      <c r="C836" s="45"/>
      <c r="D836" s="2"/>
      <c r="E836" s="2"/>
      <c r="F836" s="2"/>
      <c r="G836" s="324"/>
      <c r="H836" s="334"/>
      <c r="I836" s="62"/>
    </row>
    <row r="837" ht="15.75" customHeight="1">
      <c r="A837" s="2"/>
      <c r="B837" s="62"/>
      <c r="C837" s="45"/>
      <c r="D837" s="2"/>
      <c r="E837" s="2"/>
      <c r="F837" s="2"/>
      <c r="G837" s="324"/>
      <c r="H837" s="334"/>
      <c r="I837" s="62"/>
    </row>
    <row r="838" ht="15.75" customHeight="1">
      <c r="A838" s="2"/>
      <c r="B838" s="62"/>
      <c r="C838" s="45"/>
      <c r="D838" s="2"/>
      <c r="E838" s="2"/>
      <c r="F838" s="2"/>
      <c r="G838" s="324"/>
      <c r="H838" s="334"/>
      <c r="I838" s="62"/>
    </row>
    <row r="839" ht="15.75" customHeight="1">
      <c r="A839" s="2"/>
      <c r="B839" s="62"/>
      <c r="C839" s="45"/>
      <c r="D839" s="2"/>
      <c r="E839" s="2"/>
      <c r="F839" s="2"/>
      <c r="G839" s="324"/>
      <c r="H839" s="334"/>
      <c r="I839" s="62"/>
    </row>
    <row r="840" ht="15.75" customHeight="1">
      <c r="A840" s="2"/>
      <c r="B840" s="62"/>
      <c r="C840" s="45"/>
      <c r="D840" s="2"/>
      <c r="E840" s="2"/>
      <c r="F840" s="2"/>
      <c r="G840" s="324"/>
      <c r="H840" s="334"/>
      <c r="I840" s="62"/>
    </row>
    <row r="841" ht="15.75" customHeight="1">
      <c r="A841" s="2"/>
      <c r="B841" s="62"/>
      <c r="C841" s="45"/>
      <c r="D841" s="2"/>
      <c r="E841" s="2"/>
      <c r="F841" s="2"/>
      <c r="G841" s="324"/>
      <c r="H841" s="334"/>
      <c r="I841" s="62"/>
    </row>
    <row r="842" ht="15.75" customHeight="1">
      <c r="A842" s="2"/>
      <c r="B842" s="62"/>
      <c r="C842" s="45"/>
      <c r="D842" s="2"/>
      <c r="E842" s="2"/>
      <c r="F842" s="2"/>
      <c r="G842" s="324"/>
      <c r="H842" s="334"/>
      <c r="I842" s="62"/>
    </row>
    <row r="843" ht="15.75" customHeight="1">
      <c r="A843" s="2"/>
      <c r="B843" s="62"/>
      <c r="C843" s="45"/>
      <c r="D843" s="2"/>
      <c r="E843" s="2"/>
      <c r="F843" s="2"/>
      <c r="G843" s="324"/>
      <c r="H843" s="334"/>
      <c r="I843" s="62"/>
    </row>
    <row r="844" ht="15.75" customHeight="1">
      <c r="A844" s="2"/>
      <c r="B844" s="62"/>
      <c r="C844" s="45"/>
      <c r="D844" s="2"/>
      <c r="E844" s="2"/>
      <c r="F844" s="2"/>
      <c r="G844" s="324"/>
      <c r="H844" s="334"/>
      <c r="I844" s="62"/>
    </row>
    <row r="845" ht="15.75" customHeight="1">
      <c r="A845" s="2"/>
      <c r="B845" s="62"/>
      <c r="C845" s="45"/>
      <c r="D845" s="2"/>
      <c r="E845" s="2"/>
      <c r="F845" s="2"/>
      <c r="G845" s="324"/>
      <c r="H845" s="334"/>
      <c r="I845" s="62"/>
    </row>
    <row r="846" ht="15.75" customHeight="1">
      <c r="A846" s="2"/>
      <c r="B846" s="62"/>
      <c r="C846" s="45"/>
      <c r="D846" s="2"/>
      <c r="E846" s="2"/>
      <c r="F846" s="2"/>
      <c r="G846" s="324"/>
      <c r="H846" s="334"/>
      <c r="I846" s="62"/>
    </row>
    <row r="847" ht="15.75" customHeight="1">
      <c r="A847" s="2"/>
      <c r="B847" s="62"/>
      <c r="C847" s="45"/>
      <c r="D847" s="2"/>
      <c r="E847" s="2"/>
      <c r="F847" s="2"/>
      <c r="G847" s="324"/>
      <c r="H847" s="334"/>
      <c r="I847" s="62"/>
    </row>
    <row r="848" ht="15.75" customHeight="1">
      <c r="A848" s="2"/>
      <c r="B848" s="62"/>
      <c r="C848" s="45"/>
      <c r="D848" s="2"/>
      <c r="E848" s="2"/>
      <c r="F848" s="2"/>
      <c r="G848" s="324"/>
      <c r="H848" s="334"/>
      <c r="I848" s="62"/>
    </row>
    <row r="849" ht="15.75" customHeight="1">
      <c r="A849" s="2"/>
      <c r="B849" s="62"/>
      <c r="C849" s="45"/>
      <c r="D849" s="2"/>
      <c r="E849" s="2"/>
      <c r="F849" s="2"/>
      <c r="G849" s="324"/>
      <c r="H849" s="334"/>
      <c r="I849" s="62"/>
    </row>
    <row r="850" ht="15.75" customHeight="1">
      <c r="A850" s="2"/>
      <c r="B850" s="62"/>
      <c r="C850" s="45"/>
      <c r="D850" s="2"/>
      <c r="E850" s="2"/>
      <c r="F850" s="2"/>
      <c r="G850" s="324"/>
      <c r="H850" s="334"/>
      <c r="I850" s="62"/>
    </row>
    <row r="851" ht="15.75" customHeight="1">
      <c r="A851" s="2"/>
      <c r="B851" s="62"/>
      <c r="C851" s="45"/>
      <c r="D851" s="2"/>
      <c r="E851" s="2"/>
      <c r="F851" s="2"/>
      <c r="G851" s="324"/>
      <c r="H851" s="334"/>
      <c r="I851" s="62"/>
    </row>
    <row r="852" ht="15.75" customHeight="1">
      <c r="A852" s="2"/>
      <c r="B852" s="62"/>
      <c r="C852" s="45"/>
      <c r="D852" s="2"/>
      <c r="E852" s="2"/>
      <c r="F852" s="2"/>
      <c r="G852" s="324"/>
      <c r="H852" s="334"/>
      <c r="I852" s="62"/>
    </row>
    <row r="853" ht="15.75" customHeight="1">
      <c r="A853" s="2"/>
      <c r="B853" s="62"/>
      <c r="C853" s="45"/>
      <c r="D853" s="2"/>
      <c r="E853" s="2"/>
      <c r="F853" s="2"/>
      <c r="G853" s="324"/>
      <c r="H853" s="334"/>
      <c r="I853" s="62"/>
    </row>
    <row r="854" ht="15.75" customHeight="1">
      <c r="A854" s="2"/>
      <c r="B854" s="62"/>
      <c r="C854" s="45"/>
      <c r="D854" s="2"/>
      <c r="E854" s="2"/>
      <c r="F854" s="2"/>
      <c r="G854" s="324"/>
      <c r="H854" s="334"/>
      <c r="I854" s="62"/>
    </row>
    <row r="855" ht="15.75" customHeight="1">
      <c r="A855" s="2"/>
      <c r="B855" s="62"/>
      <c r="C855" s="45"/>
      <c r="D855" s="2"/>
      <c r="E855" s="2"/>
      <c r="F855" s="2"/>
      <c r="G855" s="324"/>
      <c r="H855" s="334"/>
      <c r="I855" s="62"/>
    </row>
    <row r="856" ht="15.75" customHeight="1">
      <c r="A856" s="2"/>
      <c r="B856" s="62"/>
      <c r="C856" s="45"/>
      <c r="D856" s="2"/>
      <c r="E856" s="2"/>
      <c r="F856" s="2"/>
      <c r="G856" s="324"/>
      <c r="H856" s="334"/>
      <c r="I856" s="62"/>
    </row>
    <row r="857" ht="15.75" customHeight="1">
      <c r="A857" s="2"/>
      <c r="B857" s="62"/>
      <c r="C857" s="45"/>
      <c r="D857" s="2"/>
      <c r="E857" s="2"/>
      <c r="F857" s="2"/>
      <c r="G857" s="324"/>
      <c r="H857" s="334"/>
      <c r="I857" s="62"/>
    </row>
    <row r="858" ht="15.75" customHeight="1">
      <c r="A858" s="2"/>
      <c r="B858" s="62"/>
      <c r="C858" s="45"/>
      <c r="D858" s="2"/>
      <c r="E858" s="2"/>
      <c r="F858" s="2"/>
      <c r="G858" s="324"/>
      <c r="H858" s="334"/>
      <c r="I858" s="62"/>
    </row>
    <row r="859" ht="15.75" customHeight="1">
      <c r="A859" s="2"/>
      <c r="B859" s="62"/>
      <c r="C859" s="45"/>
      <c r="D859" s="2"/>
      <c r="E859" s="2"/>
      <c r="F859" s="2"/>
      <c r="G859" s="324"/>
      <c r="H859" s="334"/>
      <c r="I859" s="62"/>
    </row>
    <row r="860" ht="15.75" customHeight="1">
      <c r="A860" s="2"/>
      <c r="B860" s="62"/>
      <c r="C860" s="45"/>
      <c r="D860" s="2"/>
      <c r="E860" s="2"/>
      <c r="F860" s="2"/>
      <c r="G860" s="324"/>
      <c r="H860" s="334"/>
      <c r="I860" s="62"/>
    </row>
    <row r="861" ht="15.75" customHeight="1">
      <c r="A861" s="2"/>
      <c r="B861" s="62"/>
      <c r="C861" s="45"/>
      <c r="D861" s="2"/>
      <c r="E861" s="2"/>
      <c r="F861" s="2"/>
      <c r="G861" s="324"/>
      <c r="H861" s="334"/>
      <c r="I861" s="62"/>
    </row>
    <row r="862" ht="15.75" customHeight="1">
      <c r="A862" s="2"/>
      <c r="B862" s="62"/>
      <c r="C862" s="45"/>
      <c r="D862" s="2"/>
      <c r="E862" s="2"/>
      <c r="F862" s="2"/>
      <c r="G862" s="324"/>
      <c r="H862" s="334"/>
      <c r="I862" s="62"/>
    </row>
    <row r="863" ht="15.75" customHeight="1">
      <c r="A863" s="2"/>
      <c r="B863" s="62"/>
      <c r="C863" s="45"/>
      <c r="D863" s="2"/>
      <c r="E863" s="2"/>
      <c r="F863" s="2"/>
      <c r="G863" s="324"/>
      <c r="H863" s="334"/>
      <c r="I863" s="62"/>
    </row>
    <row r="864" ht="15.75" customHeight="1">
      <c r="A864" s="2"/>
      <c r="B864" s="62"/>
      <c r="C864" s="45"/>
      <c r="D864" s="2"/>
      <c r="E864" s="2"/>
      <c r="F864" s="2"/>
      <c r="G864" s="324"/>
      <c r="H864" s="334"/>
      <c r="I864" s="62"/>
    </row>
    <row r="865" ht="15.75" customHeight="1">
      <c r="A865" s="2"/>
      <c r="B865" s="62"/>
      <c r="C865" s="45"/>
      <c r="D865" s="2"/>
      <c r="E865" s="2"/>
      <c r="F865" s="2"/>
      <c r="G865" s="324"/>
      <c r="H865" s="334"/>
      <c r="I865" s="62"/>
    </row>
    <row r="866" ht="15.75" customHeight="1">
      <c r="A866" s="2"/>
      <c r="B866" s="62"/>
      <c r="C866" s="45"/>
      <c r="D866" s="2"/>
      <c r="E866" s="2"/>
      <c r="F866" s="2"/>
      <c r="G866" s="324"/>
      <c r="H866" s="334"/>
      <c r="I866" s="62"/>
    </row>
    <row r="867" ht="15.75" customHeight="1">
      <c r="A867" s="2"/>
      <c r="B867" s="62"/>
      <c r="C867" s="45"/>
      <c r="D867" s="2"/>
      <c r="E867" s="2"/>
      <c r="F867" s="2"/>
      <c r="G867" s="324"/>
      <c r="H867" s="334"/>
      <c r="I867" s="62"/>
    </row>
    <row r="868" ht="15.75" customHeight="1">
      <c r="A868" s="2"/>
      <c r="B868" s="62"/>
      <c r="C868" s="45"/>
      <c r="D868" s="2"/>
      <c r="E868" s="2"/>
      <c r="F868" s="2"/>
      <c r="G868" s="324"/>
      <c r="H868" s="334"/>
      <c r="I868" s="62"/>
    </row>
    <row r="869" ht="15.75" customHeight="1">
      <c r="A869" s="2"/>
      <c r="B869" s="62"/>
      <c r="C869" s="45"/>
      <c r="D869" s="2"/>
      <c r="E869" s="2"/>
      <c r="F869" s="2"/>
      <c r="G869" s="324"/>
      <c r="H869" s="334"/>
      <c r="I869" s="62"/>
    </row>
    <row r="870" ht="15.75" customHeight="1">
      <c r="A870" s="2"/>
      <c r="B870" s="62"/>
      <c r="C870" s="45"/>
      <c r="D870" s="2"/>
      <c r="E870" s="2"/>
      <c r="F870" s="2"/>
      <c r="G870" s="324"/>
      <c r="H870" s="334"/>
      <c r="I870" s="62"/>
    </row>
    <row r="871" ht="15.75" customHeight="1">
      <c r="A871" s="2"/>
      <c r="B871" s="62"/>
      <c r="C871" s="45"/>
      <c r="D871" s="2"/>
      <c r="E871" s="2"/>
      <c r="F871" s="2"/>
      <c r="G871" s="324"/>
      <c r="H871" s="334"/>
      <c r="I871" s="62"/>
    </row>
    <row r="872" ht="15.75" customHeight="1">
      <c r="A872" s="2"/>
      <c r="B872" s="62"/>
      <c r="C872" s="45"/>
      <c r="D872" s="2"/>
      <c r="E872" s="2"/>
      <c r="F872" s="2"/>
      <c r="G872" s="324"/>
      <c r="H872" s="334"/>
      <c r="I872" s="62"/>
    </row>
    <row r="873" ht="15.75" customHeight="1">
      <c r="A873" s="2"/>
      <c r="B873" s="62"/>
      <c r="C873" s="45"/>
      <c r="D873" s="2"/>
      <c r="E873" s="2"/>
      <c r="F873" s="2"/>
      <c r="G873" s="324"/>
      <c r="H873" s="334"/>
      <c r="I873" s="62"/>
    </row>
    <row r="874" ht="15.75" customHeight="1">
      <c r="A874" s="2"/>
      <c r="B874" s="62"/>
      <c r="C874" s="45"/>
      <c r="D874" s="2"/>
      <c r="E874" s="2"/>
      <c r="F874" s="2"/>
      <c r="G874" s="324"/>
      <c r="H874" s="334"/>
      <c r="I874" s="62"/>
    </row>
    <row r="875" ht="15.75" customHeight="1">
      <c r="A875" s="2"/>
      <c r="B875" s="62"/>
      <c r="C875" s="45"/>
      <c r="D875" s="2"/>
      <c r="E875" s="2"/>
      <c r="F875" s="2"/>
      <c r="G875" s="324"/>
      <c r="H875" s="334"/>
      <c r="I875" s="62"/>
    </row>
    <row r="876" ht="15.75" customHeight="1">
      <c r="A876" s="2"/>
      <c r="B876" s="62"/>
      <c r="C876" s="45"/>
      <c r="D876" s="2"/>
      <c r="E876" s="2"/>
      <c r="F876" s="2"/>
      <c r="G876" s="324"/>
      <c r="H876" s="334"/>
      <c r="I876" s="62"/>
    </row>
    <row r="877" ht="15.75" customHeight="1">
      <c r="A877" s="2"/>
      <c r="B877" s="62"/>
      <c r="C877" s="45"/>
      <c r="D877" s="2"/>
      <c r="E877" s="2"/>
      <c r="F877" s="2"/>
      <c r="G877" s="324"/>
      <c r="H877" s="334"/>
      <c r="I877" s="62"/>
    </row>
    <row r="878" ht="15.75" customHeight="1">
      <c r="A878" s="2"/>
      <c r="B878" s="62"/>
      <c r="C878" s="45"/>
      <c r="D878" s="2"/>
      <c r="E878" s="2"/>
      <c r="F878" s="2"/>
      <c r="G878" s="324"/>
      <c r="H878" s="334"/>
      <c r="I878" s="62"/>
    </row>
    <row r="879" ht="15.75" customHeight="1">
      <c r="A879" s="2"/>
      <c r="B879" s="62"/>
      <c r="C879" s="45"/>
      <c r="D879" s="2"/>
      <c r="E879" s="2"/>
      <c r="F879" s="2"/>
      <c r="G879" s="324"/>
      <c r="H879" s="334"/>
      <c r="I879" s="62"/>
    </row>
    <row r="880" ht="15.75" customHeight="1">
      <c r="A880" s="2"/>
      <c r="B880" s="62"/>
      <c r="C880" s="45"/>
      <c r="D880" s="2"/>
      <c r="E880" s="2"/>
      <c r="F880" s="2"/>
      <c r="G880" s="324"/>
      <c r="H880" s="334"/>
      <c r="I880" s="62"/>
    </row>
    <row r="881" ht="15.75" customHeight="1">
      <c r="A881" s="2"/>
      <c r="B881" s="62"/>
      <c r="C881" s="45"/>
      <c r="D881" s="2"/>
      <c r="E881" s="2"/>
      <c r="F881" s="2"/>
      <c r="G881" s="324"/>
      <c r="H881" s="334"/>
      <c r="I881" s="62"/>
    </row>
    <row r="882" ht="15.75" customHeight="1">
      <c r="A882" s="2"/>
      <c r="B882" s="62"/>
      <c r="C882" s="45"/>
      <c r="D882" s="2"/>
      <c r="E882" s="2"/>
      <c r="F882" s="2"/>
      <c r="G882" s="324"/>
      <c r="H882" s="334"/>
      <c r="I882" s="62"/>
    </row>
    <row r="883" ht="15.75" customHeight="1">
      <c r="A883" s="2"/>
      <c r="B883" s="62"/>
      <c r="C883" s="45"/>
      <c r="D883" s="2"/>
      <c r="E883" s="2"/>
      <c r="F883" s="2"/>
      <c r="G883" s="324"/>
      <c r="H883" s="334"/>
      <c r="I883" s="62"/>
    </row>
    <row r="884" ht="15.75" customHeight="1">
      <c r="A884" s="2"/>
      <c r="B884" s="62"/>
      <c r="C884" s="45"/>
      <c r="D884" s="2"/>
      <c r="E884" s="2"/>
      <c r="F884" s="2"/>
      <c r="G884" s="324"/>
      <c r="H884" s="334"/>
      <c r="I884" s="62"/>
    </row>
    <row r="885" ht="15.75" customHeight="1">
      <c r="A885" s="2"/>
      <c r="B885" s="62"/>
      <c r="C885" s="45"/>
      <c r="D885" s="2"/>
      <c r="E885" s="2"/>
      <c r="F885" s="2"/>
      <c r="G885" s="324"/>
      <c r="H885" s="334"/>
      <c r="I885" s="62"/>
    </row>
    <row r="886" ht="15.75" customHeight="1">
      <c r="A886" s="2"/>
      <c r="B886" s="62"/>
      <c r="C886" s="45"/>
      <c r="D886" s="2"/>
      <c r="E886" s="2"/>
      <c r="F886" s="2"/>
      <c r="G886" s="324"/>
      <c r="H886" s="334"/>
      <c r="I886" s="62"/>
    </row>
    <row r="887" ht="15.75" customHeight="1">
      <c r="A887" s="2"/>
      <c r="B887" s="62"/>
      <c r="C887" s="45"/>
      <c r="D887" s="2"/>
      <c r="E887" s="2"/>
      <c r="F887" s="2"/>
      <c r="G887" s="324"/>
      <c r="H887" s="334"/>
      <c r="I887" s="62"/>
    </row>
    <row r="888" ht="15.75" customHeight="1">
      <c r="A888" s="2"/>
      <c r="B888" s="62"/>
      <c r="C888" s="45"/>
      <c r="D888" s="2"/>
      <c r="E888" s="2"/>
      <c r="F888" s="2"/>
      <c r="G888" s="324"/>
      <c r="H888" s="334"/>
      <c r="I888" s="62"/>
    </row>
    <row r="889" ht="15.75" customHeight="1">
      <c r="A889" s="2"/>
      <c r="B889" s="62"/>
      <c r="C889" s="45"/>
      <c r="D889" s="2"/>
      <c r="E889" s="2"/>
      <c r="F889" s="2"/>
      <c r="G889" s="324"/>
      <c r="H889" s="334"/>
      <c r="I889" s="62"/>
    </row>
    <row r="890" ht="15.75" customHeight="1">
      <c r="A890" s="2"/>
      <c r="B890" s="62"/>
      <c r="C890" s="45"/>
      <c r="D890" s="2"/>
      <c r="E890" s="2"/>
      <c r="F890" s="2"/>
      <c r="G890" s="324"/>
      <c r="H890" s="334"/>
      <c r="I890" s="62"/>
    </row>
    <row r="891" ht="15.75" customHeight="1">
      <c r="A891" s="2"/>
      <c r="B891" s="62"/>
      <c r="C891" s="45"/>
      <c r="D891" s="2"/>
      <c r="E891" s="2"/>
      <c r="F891" s="2"/>
      <c r="G891" s="324"/>
      <c r="H891" s="334"/>
      <c r="I891" s="62"/>
    </row>
    <row r="892" ht="15.75" customHeight="1">
      <c r="A892" s="2"/>
      <c r="B892" s="62"/>
      <c r="C892" s="45"/>
      <c r="D892" s="2"/>
      <c r="E892" s="2"/>
      <c r="F892" s="2"/>
      <c r="G892" s="324"/>
      <c r="H892" s="334"/>
      <c r="I892" s="62"/>
    </row>
    <row r="893" ht="15.75" customHeight="1">
      <c r="A893" s="2"/>
      <c r="B893" s="62"/>
      <c r="C893" s="45"/>
      <c r="D893" s="2"/>
      <c r="E893" s="2"/>
      <c r="F893" s="2"/>
      <c r="G893" s="324"/>
      <c r="H893" s="334"/>
      <c r="I893" s="62"/>
    </row>
    <row r="894" ht="15.75" customHeight="1">
      <c r="A894" s="2"/>
      <c r="B894" s="62"/>
      <c r="C894" s="45"/>
      <c r="D894" s="2"/>
      <c r="E894" s="2"/>
      <c r="F894" s="2"/>
      <c r="G894" s="324"/>
      <c r="H894" s="334"/>
      <c r="I894" s="62"/>
    </row>
    <row r="895" ht="15.75" customHeight="1">
      <c r="A895" s="2"/>
      <c r="B895" s="62"/>
      <c r="C895" s="45"/>
      <c r="D895" s="2"/>
      <c r="E895" s="2"/>
      <c r="F895" s="2"/>
      <c r="G895" s="324"/>
      <c r="H895" s="334"/>
      <c r="I895" s="62"/>
    </row>
    <row r="896" ht="15.75" customHeight="1">
      <c r="A896" s="2"/>
      <c r="B896" s="62"/>
      <c r="C896" s="45"/>
      <c r="D896" s="2"/>
      <c r="E896" s="2"/>
      <c r="F896" s="2"/>
      <c r="G896" s="324"/>
      <c r="H896" s="334"/>
      <c r="I896" s="62"/>
    </row>
    <row r="897" ht="15.75" customHeight="1">
      <c r="A897" s="2"/>
      <c r="B897" s="62"/>
      <c r="C897" s="45"/>
      <c r="D897" s="2"/>
      <c r="E897" s="2"/>
      <c r="F897" s="2"/>
      <c r="G897" s="324"/>
      <c r="H897" s="334"/>
      <c r="I897" s="62"/>
    </row>
    <row r="898" ht="15.75" customHeight="1">
      <c r="A898" s="2"/>
      <c r="B898" s="62"/>
      <c r="C898" s="45"/>
      <c r="D898" s="2"/>
      <c r="E898" s="2"/>
      <c r="F898" s="2"/>
      <c r="G898" s="324"/>
      <c r="H898" s="334"/>
      <c r="I898" s="62"/>
    </row>
    <row r="899" ht="15.75" customHeight="1">
      <c r="A899" s="2"/>
      <c r="B899" s="62"/>
      <c r="C899" s="45"/>
      <c r="D899" s="2"/>
      <c r="E899" s="2"/>
      <c r="F899" s="2"/>
      <c r="G899" s="324"/>
      <c r="H899" s="334"/>
      <c r="I899" s="62"/>
    </row>
    <row r="900" ht="15.75" customHeight="1">
      <c r="A900" s="2"/>
      <c r="B900" s="62"/>
      <c r="C900" s="45"/>
      <c r="D900" s="2"/>
      <c r="E900" s="2"/>
      <c r="F900" s="2"/>
      <c r="G900" s="324"/>
      <c r="H900" s="334"/>
      <c r="I900" s="62"/>
    </row>
    <row r="901" ht="15.75" customHeight="1">
      <c r="A901" s="2"/>
      <c r="B901" s="62"/>
      <c r="C901" s="45"/>
      <c r="D901" s="2"/>
      <c r="E901" s="2"/>
      <c r="F901" s="2"/>
      <c r="G901" s="324"/>
      <c r="H901" s="334"/>
      <c r="I901" s="62"/>
    </row>
    <row r="902" ht="15.75" customHeight="1">
      <c r="A902" s="2"/>
      <c r="B902" s="62"/>
      <c r="C902" s="45"/>
      <c r="D902" s="2"/>
      <c r="E902" s="2"/>
      <c r="F902" s="2"/>
      <c r="G902" s="324"/>
      <c r="H902" s="334"/>
      <c r="I902" s="62"/>
    </row>
    <row r="903" ht="15.75" customHeight="1">
      <c r="A903" s="2"/>
      <c r="B903" s="62"/>
      <c r="C903" s="45"/>
      <c r="D903" s="2"/>
      <c r="E903" s="2"/>
      <c r="F903" s="2"/>
      <c r="G903" s="324"/>
      <c r="H903" s="334"/>
      <c r="I903" s="62"/>
    </row>
    <row r="904" ht="15.75" customHeight="1">
      <c r="A904" s="2"/>
      <c r="B904" s="62"/>
      <c r="C904" s="45"/>
      <c r="D904" s="2"/>
      <c r="E904" s="2"/>
      <c r="F904" s="2"/>
      <c r="G904" s="324"/>
      <c r="H904" s="334"/>
      <c r="I904" s="62"/>
    </row>
    <row r="905" ht="15.75" customHeight="1">
      <c r="A905" s="2"/>
      <c r="B905" s="62"/>
      <c r="C905" s="45"/>
      <c r="D905" s="2"/>
      <c r="E905" s="2"/>
      <c r="F905" s="2"/>
      <c r="G905" s="324"/>
      <c r="H905" s="334"/>
      <c r="I905" s="62"/>
    </row>
    <row r="906" ht="15.75" customHeight="1">
      <c r="A906" s="2"/>
      <c r="B906" s="62"/>
      <c r="C906" s="45"/>
      <c r="D906" s="2"/>
      <c r="E906" s="2"/>
      <c r="F906" s="2"/>
      <c r="G906" s="324"/>
      <c r="H906" s="334"/>
      <c r="I906" s="62"/>
    </row>
    <row r="907" ht="15.75" customHeight="1">
      <c r="A907" s="2"/>
      <c r="B907" s="62"/>
      <c r="C907" s="45"/>
      <c r="D907" s="2"/>
      <c r="E907" s="2"/>
      <c r="F907" s="2"/>
      <c r="G907" s="324"/>
      <c r="H907" s="334"/>
      <c r="I907" s="62"/>
    </row>
    <row r="908" ht="15.75" customHeight="1">
      <c r="A908" s="2"/>
      <c r="B908" s="62"/>
      <c r="C908" s="45"/>
      <c r="D908" s="2"/>
      <c r="E908" s="2"/>
      <c r="F908" s="2"/>
      <c r="G908" s="324"/>
      <c r="H908" s="334"/>
      <c r="I908" s="62"/>
    </row>
    <row r="909" ht="15.75" customHeight="1">
      <c r="A909" s="2"/>
      <c r="B909" s="62"/>
      <c r="C909" s="45"/>
      <c r="D909" s="2"/>
      <c r="E909" s="2"/>
      <c r="F909" s="2"/>
      <c r="G909" s="324"/>
      <c r="H909" s="334"/>
      <c r="I909" s="62"/>
    </row>
    <row r="910" ht="15.75" customHeight="1">
      <c r="A910" s="2"/>
      <c r="B910" s="62"/>
      <c r="C910" s="45"/>
      <c r="D910" s="2"/>
      <c r="E910" s="2"/>
      <c r="F910" s="2"/>
      <c r="G910" s="324"/>
      <c r="H910" s="334"/>
      <c r="I910" s="62"/>
    </row>
    <row r="911" ht="15.75" customHeight="1">
      <c r="A911" s="2"/>
      <c r="B911" s="62"/>
      <c r="C911" s="45"/>
      <c r="D911" s="2"/>
      <c r="E911" s="2"/>
      <c r="F911" s="2"/>
      <c r="G911" s="324"/>
      <c r="H911" s="334"/>
      <c r="I911" s="62"/>
    </row>
    <row r="912" ht="15.75" customHeight="1">
      <c r="A912" s="2"/>
      <c r="B912" s="62"/>
      <c r="C912" s="45"/>
      <c r="D912" s="2"/>
      <c r="E912" s="2"/>
      <c r="F912" s="2"/>
      <c r="G912" s="324"/>
      <c r="H912" s="334"/>
      <c r="I912" s="62"/>
    </row>
    <row r="913" ht="15.75" customHeight="1">
      <c r="A913" s="2"/>
      <c r="B913" s="62"/>
      <c r="C913" s="45"/>
      <c r="D913" s="2"/>
      <c r="E913" s="2"/>
      <c r="F913" s="2"/>
      <c r="G913" s="324"/>
      <c r="H913" s="334"/>
      <c r="I913" s="62"/>
    </row>
    <row r="914" ht="15.75" customHeight="1">
      <c r="A914" s="2"/>
      <c r="B914" s="62"/>
      <c r="C914" s="45"/>
      <c r="D914" s="2"/>
      <c r="E914" s="2"/>
      <c r="F914" s="2"/>
      <c r="G914" s="324"/>
      <c r="H914" s="334"/>
      <c r="I914" s="62"/>
    </row>
    <row r="915" ht="15.75" customHeight="1">
      <c r="A915" s="2"/>
      <c r="B915" s="62"/>
      <c r="C915" s="45"/>
      <c r="D915" s="2"/>
      <c r="E915" s="2"/>
      <c r="F915" s="2"/>
      <c r="G915" s="324"/>
      <c r="H915" s="334"/>
      <c r="I915" s="62"/>
    </row>
    <row r="916" ht="15.75" customHeight="1">
      <c r="A916" s="2"/>
      <c r="B916" s="62"/>
      <c r="C916" s="45"/>
      <c r="D916" s="2"/>
      <c r="E916" s="2"/>
      <c r="F916" s="2"/>
      <c r="G916" s="324"/>
      <c r="H916" s="334"/>
      <c r="I916" s="62"/>
    </row>
    <row r="917" ht="15.75" customHeight="1">
      <c r="A917" s="2"/>
      <c r="B917" s="62"/>
      <c r="C917" s="45"/>
      <c r="D917" s="2"/>
      <c r="E917" s="2"/>
      <c r="F917" s="2"/>
      <c r="G917" s="324"/>
      <c r="H917" s="334"/>
      <c r="I917" s="62"/>
    </row>
    <row r="918" ht="15.75" customHeight="1">
      <c r="A918" s="2"/>
      <c r="B918" s="62"/>
      <c r="C918" s="45"/>
      <c r="D918" s="2"/>
      <c r="E918" s="2"/>
      <c r="F918" s="2"/>
      <c r="G918" s="324"/>
      <c r="H918" s="334"/>
      <c r="I918" s="62"/>
    </row>
    <row r="919" ht="15.75" customHeight="1">
      <c r="A919" s="2"/>
      <c r="B919" s="62"/>
      <c r="C919" s="45"/>
      <c r="D919" s="2"/>
      <c r="E919" s="2"/>
      <c r="F919" s="2"/>
      <c r="G919" s="324"/>
      <c r="H919" s="334"/>
      <c r="I919" s="62"/>
    </row>
    <row r="920" ht="15.75" customHeight="1">
      <c r="A920" s="2"/>
      <c r="B920" s="62"/>
      <c r="C920" s="45"/>
      <c r="D920" s="2"/>
      <c r="E920" s="2"/>
      <c r="F920" s="2"/>
      <c r="G920" s="324"/>
      <c r="H920" s="334"/>
      <c r="I920" s="62"/>
    </row>
    <row r="921" ht="15.75" customHeight="1">
      <c r="A921" s="2"/>
      <c r="B921" s="62"/>
      <c r="C921" s="45"/>
      <c r="D921" s="2"/>
      <c r="E921" s="2"/>
      <c r="F921" s="2"/>
      <c r="G921" s="324"/>
      <c r="H921" s="334"/>
      <c r="I921" s="62"/>
    </row>
    <row r="922" ht="15.75" customHeight="1">
      <c r="A922" s="2"/>
      <c r="B922" s="62"/>
      <c r="C922" s="45"/>
      <c r="D922" s="2"/>
      <c r="E922" s="2"/>
      <c r="F922" s="2"/>
      <c r="G922" s="324"/>
      <c r="H922" s="334"/>
      <c r="I922" s="62"/>
    </row>
    <row r="923" ht="15.75" customHeight="1">
      <c r="A923" s="2"/>
      <c r="B923" s="62"/>
      <c r="C923" s="45"/>
      <c r="D923" s="2"/>
      <c r="E923" s="2"/>
      <c r="F923" s="2"/>
      <c r="G923" s="324"/>
      <c r="H923" s="334"/>
      <c r="I923" s="62"/>
    </row>
    <row r="924" ht="15.75" customHeight="1">
      <c r="A924" s="2"/>
      <c r="B924" s="62"/>
      <c r="C924" s="45"/>
      <c r="D924" s="2"/>
      <c r="E924" s="2"/>
      <c r="F924" s="2"/>
      <c r="G924" s="324"/>
      <c r="H924" s="334"/>
      <c r="I924" s="62"/>
    </row>
    <row r="925" ht="15.75" customHeight="1">
      <c r="A925" s="2"/>
      <c r="B925" s="62"/>
      <c r="C925" s="45"/>
      <c r="D925" s="2"/>
      <c r="E925" s="2"/>
      <c r="F925" s="2"/>
      <c r="G925" s="324"/>
      <c r="H925" s="334"/>
      <c r="I925" s="62"/>
    </row>
    <row r="926" ht="15.75" customHeight="1">
      <c r="A926" s="2"/>
      <c r="B926" s="62"/>
      <c r="C926" s="45"/>
      <c r="D926" s="2"/>
      <c r="E926" s="2"/>
      <c r="F926" s="2"/>
      <c r="G926" s="324"/>
      <c r="H926" s="334"/>
      <c r="I926" s="62"/>
    </row>
    <row r="927" ht="15.75" customHeight="1">
      <c r="A927" s="2"/>
      <c r="B927" s="62"/>
      <c r="C927" s="45"/>
      <c r="D927" s="2"/>
      <c r="E927" s="2"/>
      <c r="F927" s="2"/>
      <c r="G927" s="324"/>
      <c r="H927" s="334"/>
      <c r="I927" s="62"/>
    </row>
    <row r="928" ht="15.75" customHeight="1">
      <c r="A928" s="2"/>
      <c r="B928" s="62"/>
      <c r="C928" s="45"/>
      <c r="D928" s="2"/>
      <c r="E928" s="2"/>
      <c r="F928" s="2"/>
      <c r="G928" s="324"/>
      <c r="H928" s="334"/>
      <c r="I928" s="62"/>
    </row>
    <row r="929" ht="15.75" customHeight="1">
      <c r="A929" s="2"/>
      <c r="B929" s="62"/>
      <c r="C929" s="45"/>
      <c r="D929" s="2"/>
      <c r="E929" s="2"/>
      <c r="F929" s="2"/>
      <c r="G929" s="324"/>
      <c r="H929" s="334"/>
      <c r="I929" s="62"/>
    </row>
    <row r="930" ht="15.75" customHeight="1">
      <c r="A930" s="2"/>
      <c r="B930" s="62"/>
      <c r="C930" s="45"/>
      <c r="D930" s="2"/>
      <c r="E930" s="2"/>
      <c r="F930" s="2"/>
      <c r="G930" s="324"/>
      <c r="H930" s="334"/>
      <c r="I930" s="62"/>
    </row>
    <row r="931" ht="15.75" customHeight="1">
      <c r="A931" s="2"/>
      <c r="B931" s="62"/>
      <c r="C931" s="45"/>
      <c r="D931" s="2"/>
      <c r="E931" s="2"/>
      <c r="F931" s="2"/>
      <c r="G931" s="324"/>
      <c r="H931" s="334"/>
      <c r="I931" s="62"/>
    </row>
    <row r="932" ht="15.75" customHeight="1">
      <c r="A932" s="2"/>
      <c r="B932" s="62"/>
      <c r="C932" s="45"/>
      <c r="D932" s="2"/>
      <c r="E932" s="2"/>
      <c r="F932" s="2"/>
      <c r="G932" s="324"/>
      <c r="H932" s="334"/>
      <c r="I932" s="62"/>
    </row>
    <row r="933" ht="15.75" customHeight="1">
      <c r="A933" s="2"/>
      <c r="B933" s="62"/>
      <c r="C933" s="45"/>
      <c r="D933" s="2"/>
      <c r="E933" s="2"/>
      <c r="F933" s="2"/>
      <c r="G933" s="324"/>
      <c r="H933" s="334"/>
      <c r="I933" s="62"/>
    </row>
    <row r="934" ht="15.75" customHeight="1">
      <c r="A934" s="2"/>
      <c r="B934" s="62"/>
      <c r="C934" s="45"/>
      <c r="D934" s="2"/>
      <c r="E934" s="2"/>
      <c r="F934" s="2"/>
      <c r="G934" s="324"/>
      <c r="H934" s="334"/>
      <c r="I934" s="62"/>
    </row>
    <row r="935" ht="15.75" customHeight="1">
      <c r="A935" s="2"/>
      <c r="B935" s="62"/>
      <c r="C935" s="45"/>
      <c r="D935" s="2"/>
      <c r="E935" s="2"/>
      <c r="F935" s="2"/>
      <c r="G935" s="324"/>
      <c r="H935" s="334"/>
      <c r="I935" s="62"/>
    </row>
    <row r="936" ht="15.75" customHeight="1">
      <c r="A936" s="2"/>
      <c r="B936" s="62"/>
      <c r="C936" s="45"/>
      <c r="D936" s="2"/>
      <c r="E936" s="2"/>
      <c r="F936" s="2"/>
      <c r="G936" s="324"/>
      <c r="H936" s="334"/>
      <c r="I936" s="62"/>
    </row>
    <row r="937" ht="15.75" customHeight="1">
      <c r="A937" s="2"/>
      <c r="B937" s="62"/>
      <c r="C937" s="45"/>
      <c r="D937" s="2"/>
      <c r="E937" s="2"/>
      <c r="F937" s="2"/>
      <c r="G937" s="324"/>
      <c r="H937" s="334"/>
      <c r="I937" s="62"/>
    </row>
    <row r="938" ht="15.75" customHeight="1">
      <c r="A938" s="2"/>
      <c r="B938" s="62"/>
      <c r="C938" s="45"/>
      <c r="D938" s="2"/>
      <c r="E938" s="2"/>
      <c r="F938" s="2"/>
      <c r="G938" s="324"/>
      <c r="H938" s="334"/>
      <c r="I938" s="62"/>
    </row>
    <row r="939" ht="15.75" customHeight="1">
      <c r="A939" s="2"/>
      <c r="B939" s="62"/>
      <c r="C939" s="45"/>
      <c r="D939" s="2"/>
      <c r="E939" s="2"/>
      <c r="F939" s="2"/>
      <c r="G939" s="324"/>
      <c r="H939" s="334"/>
      <c r="I939" s="62"/>
    </row>
    <row r="940" ht="15.75" customHeight="1">
      <c r="A940" s="2"/>
      <c r="B940" s="62"/>
      <c r="C940" s="45"/>
      <c r="D940" s="2"/>
      <c r="E940" s="2"/>
      <c r="F940" s="2"/>
      <c r="G940" s="324"/>
      <c r="H940" s="334"/>
      <c r="I940" s="62"/>
    </row>
    <row r="941" ht="15.75" customHeight="1">
      <c r="A941" s="2"/>
      <c r="B941" s="62"/>
      <c r="C941" s="45"/>
      <c r="D941" s="2"/>
      <c r="E941" s="2"/>
      <c r="F941" s="2"/>
      <c r="G941" s="324"/>
      <c r="H941" s="334"/>
      <c r="I941" s="62"/>
    </row>
    <row r="942" ht="15.75" customHeight="1">
      <c r="A942" s="2"/>
      <c r="B942" s="62"/>
      <c r="C942" s="45"/>
      <c r="D942" s="2"/>
      <c r="E942" s="2"/>
      <c r="F942" s="2"/>
      <c r="G942" s="324"/>
      <c r="H942" s="334"/>
      <c r="I942" s="62"/>
    </row>
    <row r="943" ht="15.75" customHeight="1">
      <c r="A943" s="2"/>
      <c r="B943" s="62"/>
      <c r="C943" s="45"/>
      <c r="D943" s="2"/>
      <c r="E943" s="2"/>
      <c r="F943" s="2"/>
      <c r="G943" s="324"/>
      <c r="H943" s="334"/>
      <c r="I943" s="62"/>
    </row>
    <row r="944" ht="15.75" customHeight="1">
      <c r="A944" s="2"/>
      <c r="B944" s="62"/>
      <c r="C944" s="45"/>
      <c r="D944" s="2"/>
      <c r="E944" s="2"/>
      <c r="F944" s="2"/>
      <c r="G944" s="324"/>
      <c r="H944" s="334"/>
      <c r="I944" s="62"/>
    </row>
    <row r="945" ht="15.75" customHeight="1">
      <c r="A945" s="2"/>
      <c r="B945" s="62"/>
      <c r="C945" s="45"/>
      <c r="D945" s="2"/>
      <c r="E945" s="2"/>
      <c r="F945" s="2"/>
      <c r="G945" s="324"/>
      <c r="H945" s="334"/>
      <c r="I945" s="62"/>
    </row>
    <row r="946" ht="15.75" customHeight="1">
      <c r="A946" s="2"/>
      <c r="B946" s="62"/>
      <c r="C946" s="45"/>
      <c r="D946" s="2"/>
      <c r="E946" s="2"/>
      <c r="F946" s="2"/>
      <c r="G946" s="324"/>
      <c r="H946" s="334"/>
      <c r="I946" s="62"/>
    </row>
    <row r="947" ht="15.75" customHeight="1">
      <c r="A947" s="2"/>
      <c r="B947" s="62"/>
      <c r="C947" s="45"/>
      <c r="D947" s="2"/>
      <c r="E947" s="2"/>
      <c r="F947" s="2"/>
      <c r="G947" s="324"/>
      <c r="H947" s="334"/>
      <c r="I947" s="62"/>
    </row>
    <row r="948" ht="15.75" customHeight="1">
      <c r="A948" s="2"/>
      <c r="B948" s="62"/>
      <c r="C948" s="45"/>
      <c r="D948" s="2"/>
      <c r="E948" s="2"/>
      <c r="F948" s="2"/>
      <c r="G948" s="324"/>
      <c r="H948" s="334"/>
      <c r="I948" s="62"/>
    </row>
    <row r="949" ht="15.75" customHeight="1">
      <c r="A949" s="2"/>
      <c r="B949" s="62"/>
      <c r="C949" s="45"/>
      <c r="D949" s="2"/>
      <c r="E949" s="2"/>
      <c r="F949" s="2"/>
      <c r="G949" s="324"/>
      <c r="H949" s="334"/>
      <c r="I949" s="62"/>
    </row>
    <row r="950" ht="15.75" customHeight="1">
      <c r="A950" s="2"/>
      <c r="B950" s="62"/>
      <c r="C950" s="45"/>
      <c r="D950" s="2"/>
      <c r="E950" s="2"/>
      <c r="F950" s="2"/>
      <c r="G950" s="324"/>
      <c r="H950" s="334"/>
      <c r="I950" s="62"/>
    </row>
    <row r="951" ht="15.75" customHeight="1">
      <c r="A951" s="2"/>
      <c r="B951" s="62"/>
      <c r="C951" s="45"/>
      <c r="D951" s="2"/>
      <c r="E951" s="2"/>
      <c r="F951" s="2"/>
      <c r="G951" s="324"/>
      <c r="H951" s="334"/>
      <c r="I951" s="62"/>
    </row>
    <row r="952" ht="15.75" customHeight="1">
      <c r="A952" s="2"/>
      <c r="B952" s="62"/>
      <c r="C952" s="45"/>
      <c r="D952" s="2"/>
      <c r="E952" s="2"/>
      <c r="F952" s="2"/>
      <c r="G952" s="324"/>
      <c r="H952" s="334"/>
      <c r="I952" s="62"/>
    </row>
    <row r="953" ht="15.75" customHeight="1">
      <c r="A953" s="2"/>
      <c r="B953" s="62"/>
      <c r="C953" s="45"/>
      <c r="D953" s="2"/>
      <c r="E953" s="2"/>
      <c r="F953" s="2"/>
      <c r="G953" s="324"/>
      <c r="H953" s="334"/>
      <c r="I953" s="62"/>
    </row>
    <row r="954" ht="15.75" customHeight="1">
      <c r="A954" s="2"/>
      <c r="B954" s="62"/>
      <c r="C954" s="45"/>
      <c r="D954" s="2"/>
      <c r="E954" s="2"/>
      <c r="F954" s="2"/>
      <c r="G954" s="324"/>
      <c r="H954" s="334"/>
      <c r="I954" s="62"/>
    </row>
    <row r="955" ht="15.75" customHeight="1">
      <c r="A955" s="2"/>
      <c r="B955" s="62"/>
      <c r="C955" s="45"/>
      <c r="D955" s="2"/>
      <c r="E955" s="2"/>
      <c r="F955" s="2"/>
      <c r="G955" s="324"/>
      <c r="H955" s="334"/>
      <c r="I955" s="62"/>
    </row>
    <row r="956" ht="15.75" customHeight="1">
      <c r="A956" s="2"/>
      <c r="B956" s="62"/>
      <c r="C956" s="45"/>
      <c r="D956" s="2"/>
      <c r="E956" s="2"/>
      <c r="F956" s="2"/>
      <c r="G956" s="324"/>
      <c r="H956" s="334"/>
      <c r="I956" s="62"/>
    </row>
    <row r="957" ht="15.75" customHeight="1">
      <c r="A957" s="2"/>
      <c r="B957" s="62"/>
      <c r="C957" s="45"/>
      <c r="D957" s="2"/>
      <c r="E957" s="2"/>
      <c r="F957" s="2"/>
      <c r="G957" s="324"/>
      <c r="H957" s="334"/>
      <c r="I957" s="62"/>
    </row>
    <row r="958" ht="15.75" customHeight="1">
      <c r="A958" s="2"/>
      <c r="B958" s="62"/>
      <c r="C958" s="45"/>
      <c r="D958" s="2"/>
      <c r="E958" s="2"/>
      <c r="F958" s="2"/>
      <c r="G958" s="324"/>
      <c r="H958" s="334"/>
      <c r="I958" s="62"/>
    </row>
    <row r="959" ht="15.75" customHeight="1">
      <c r="A959" s="2"/>
      <c r="B959" s="62"/>
      <c r="C959" s="45"/>
      <c r="D959" s="2"/>
      <c r="E959" s="2"/>
      <c r="F959" s="2"/>
      <c r="G959" s="324"/>
      <c r="H959" s="334"/>
      <c r="I959" s="62"/>
    </row>
    <row r="960" ht="15.75" customHeight="1">
      <c r="A960" s="2"/>
      <c r="B960" s="62"/>
      <c r="C960" s="45"/>
      <c r="D960" s="2"/>
      <c r="E960" s="2"/>
      <c r="F960" s="2"/>
      <c r="G960" s="324"/>
      <c r="H960" s="334"/>
      <c r="I960" s="62"/>
    </row>
    <row r="961" ht="15.75" customHeight="1">
      <c r="A961" s="2"/>
      <c r="B961" s="62"/>
      <c r="C961" s="45"/>
      <c r="D961" s="2"/>
      <c r="E961" s="2"/>
      <c r="F961" s="2"/>
      <c r="G961" s="324"/>
      <c r="H961" s="334"/>
      <c r="I961" s="62"/>
    </row>
    <row r="962" ht="15.75" customHeight="1">
      <c r="A962" s="2"/>
      <c r="B962" s="62"/>
      <c r="C962" s="45"/>
      <c r="D962" s="2"/>
      <c r="E962" s="2"/>
      <c r="F962" s="2"/>
      <c r="G962" s="324"/>
      <c r="H962" s="334"/>
      <c r="I962" s="62"/>
    </row>
    <row r="963" ht="15.75" customHeight="1">
      <c r="A963" s="2"/>
      <c r="B963" s="62"/>
      <c r="C963" s="45"/>
      <c r="D963" s="2"/>
      <c r="E963" s="2"/>
      <c r="F963" s="2"/>
      <c r="G963" s="324"/>
      <c r="H963" s="334"/>
      <c r="I963" s="62"/>
    </row>
    <row r="964" ht="15.75" customHeight="1">
      <c r="A964" s="2"/>
      <c r="B964" s="62"/>
      <c r="C964" s="45"/>
      <c r="D964" s="2"/>
      <c r="E964" s="2"/>
      <c r="F964" s="2"/>
      <c r="G964" s="324"/>
      <c r="H964" s="334"/>
      <c r="I964" s="62"/>
    </row>
    <row r="965" ht="15.75" customHeight="1">
      <c r="A965" s="2"/>
      <c r="B965" s="62"/>
      <c r="C965" s="45"/>
      <c r="D965" s="2"/>
      <c r="E965" s="2"/>
      <c r="F965" s="2"/>
      <c r="G965" s="324"/>
      <c r="H965" s="334"/>
      <c r="I965" s="62"/>
    </row>
    <row r="966" ht="15.75" customHeight="1">
      <c r="A966" s="2"/>
      <c r="B966" s="62"/>
      <c r="C966" s="45"/>
      <c r="D966" s="2"/>
      <c r="E966" s="2"/>
      <c r="F966" s="2"/>
      <c r="G966" s="324"/>
      <c r="H966" s="334"/>
      <c r="I966" s="62"/>
    </row>
    <row r="967" ht="15.75" customHeight="1">
      <c r="A967" s="2"/>
      <c r="B967" s="62"/>
      <c r="C967" s="45"/>
      <c r="D967" s="2"/>
      <c r="E967" s="2"/>
      <c r="F967" s="2"/>
      <c r="G967" s="324"/>
      <c r="H967" s="334"/>
      <c r="I967" s="62"/>
    </row>
    <row r="968" ht="15.75" customHeight="1">
      <c r="A968" s="2"/>
      <c r="B968" s="62"/>
      <c r="C968" s="45"/>
      <c r="D968" s="2"/>
      <c r="E968" s="2"/>
      <c r="F968" s="2"/>
      <c r="G968" s="324"/>
      <c r="H968" s="334"/>
      <c r="I968" s="62"/>
    </row>
    <row r="969" ht="15.75" customHeight="1">
      <c r="A969" s="2"/>
      <c r="B969" s="62"/>
      <c r="C969" s="45"/>
      <c r="D969" s="2"/>
      <c r="E969" s="2"/>
      <c r="F969" s="2"/>
      <c r="G969" s="324"/>
      <c r="H969" s="334"/>
      <c r="I969" s="62"/>
    </row>
    <row r="970" ht="15.75" customHeight="1">
      <c r="A970" s="2"/>
      <c r="B970" s="62"/>
      <c r="C970" s="45"/>
      <c r="D970" s="2"/>
      <c r="E970" s="2"/>
      <c r="F970" s="2"/>
      <c r="G970" s="324"/>
      <c r="H970" s="334"/>
      <c r="I970" s="62"/>
    </row>
    <row r="971" ht="15.75" customHeight="1">
      <c r="A971" s="2"/>
      <c r="B971" s="62"/>
      <c r="C971" s="45"/>
      <c r="D971" s="2"/>
      <c r="E971" s="2"/>
      <c r="F971" s="2"/>
      <c r="G971" s="324"/>
      <c r="H971" s="334"/>
      <c r="I971" s="62"/>
    </row>
    <row r="972" ht="15.75" customHeight="1">
      <c r="A972" s="2"/>
      <c r="B972" s="62"/>
      <c r="C972" s="45"/>
      <c r="D972" s="2"/>
      <c r="E972" s="2"/>
      <c r="F972" s="2"/>
      <c r="G972" s="324"/>
      <c r="H972" s="334"/>
      <c r="I972" s="62"/>
    </row>
    <row r="973" ht="15.75" customHeight="1">
      <c r="A973" s="2"/>
      <c r="B973" s="62"/>
      <c r="C973" s="45"/>
      <c r="D973" s="2"/>
      <c r="E973" s="2"/>
      <c r="F973" s="2"/>
      <c r="G973" s="324"/>
      <c r="H973" s="334"/>
      <c r="I973" s="62"/>
    </row>
    <row r="974" ht="15.75" customHeight="1">
      <c r="A974" s="2"/>
      <c r="B974" s="62"/>
      <c r="C974" s="45"/>
      <c r="D974" s="2"/>
      <c r="E974" s="2"/>
      <c r="F974" s="2"/>
      <c r="G974" s="324"/>
      <c r="H974" s="334"/>
      <c r="I974" s="62"/>
    </row>
    <row r="975" ht="15.75" customHeight="1">
      <c r="A975" s="2"/>
      <c r="B975" s="62"/>
      <c r="C975" s="45"/>
      <c r="D975" s="2"/>
      <c r="E975" s="2"/>
      <c r="F975" s="2"/>
      <c r="G975" s="324"/>
      <c r="H975" s="334"/>
      <c r="I975" s="62"/>
    </row>
    <row r="976" ht="15.75" customHeight="1">
      <c r="A976" s="2"/>
      <c r="B976" s="62"/>
      <c r="C976" s="45"/>
      <c r="D976" s="2"/>
      <c r="E976" s="2"/>
      <c r="F976" s="2"/>
      <c r="G976" s="324"/>
      <c r="H976" s="334"/>
      <c r="I976" s="62"/>
    </row>
    <row r="977" ht="15.75" customHeight="1">
      <c r="A977" s="2"/>
      <c r="B977" s="62"/>
      <c r="C977" s="45"/>
      <c r="D977" s="2"/>
      <c r="E977" s="2"/>
      <c r="F977" s="2"/>
      <c r="G977" s="324"/>
      <c r="H977" s="334"/>
      <c r="I977" s="62"/>
    </row>
    <row r="978" ht="15.75" customHeight="1">
      <c r="A978" s="2"/>
      <c r="B978" s="62"/>
      <c r="C978" s="45"/>
      <c r="D978" s="2"/>
      <c r="E978" s="2"/>
      <c r="F978" s="2"/>
      <c r="G978" s="324"/>
      <c r="H978" s="334"/>
      <c r="I978" s="62"/>
    </row>
    <row r="979" ht="15.75" customHeight="1">
      <c r="A979" s="2"/>
      <c r="B979" s="62"/>
      <c r="C979" s="45"/>
      <c r="D979" s="2"/>
      <c r="E979" s="2"/>
      <c r="F979" s="2"/>
      <c r="G979" s="324"/>
      <c r="H979" s="334"/>
      <c r="I979" s="62"/>
    </row>
    <row r="980" ht="15.75" customHeight="1">
      <c r="A980" s="2"/>
      <c r="B980" s="62"/>
      <c r="C980" s="45"/>
      <c r="D980" s="2"/>
      <c r="E980" s="2"/>
      <c r="F980" s="2"/>
      <c r="G980" s="324"/>
      <c r="H980" s="334"/>
      <c r="I980" s="62"/>
    </row>
    <row r="981" ht="15.75" customHeight="1">
      <c r="A981" s="2"/>
      <c r="B981" s="62"/>
      <c r="C981" s="45"/>
      <c r="D981" s="2"/>
      <c r="E981" s="2"/>
      <c r="F981" s="2"/>
      <c r="G981" s="324"/>
      <c r="H981" s="334"/>
      <c r="I981" s="62"/>
    </row>
    <row r="982" ht="15.75" customHeight="1">
      <c r="A982" s="2"/>
      <c r="B982" s="62"/>
      <c r="C982" s="45"/>
      <c r="D982" s="2"/>
      <c r="E982" s="2"/>
      <c r="F982" s="2"/>
      <c r="G982" s="324"/>
      <c r="H982" s="334"/>
      <c r="I982" s="62"/>
    </row>
    <row r="983" ht="15.75" customHeight="1">
      <c r="A983" s="2"/>
      <c r="B983" s="62"/>
      <c r="C983" s="45"/>
      <c r="D983" s="2"/>
      <c r="E983" s="2"/>
      <c r="F983" s="2"/>
      <c r="G983" s="324"/>
      <c r="H983" s="334"/>
      <c r="I983" s="62"/>
    </row>
    <row r="984" ht="15.75" customHeight="1">
      <c r="A984" s="2"/>
      <c r="B984" s="62"/>
      <c r="C984" s="45"/>
      <c r="D984" s="2"/>
      <c r="E984" s="2"/>
      <c r="F984" s="2"/>
      <c r="G984" s="324"/>
      <c r="H984" s="334"/>
      <c r="I984" s="62"/>
    </row>
    <row r="985" ht="15.75" customHeight="1">
      <c r="A985" s="2"/>
      <c r="B985" s="62"/>
      <c r="C985" s="45"/>
      <c r="D985" s="2"/>
      <c r="E985" s="2"/>
      <c r="F985" s="2"/>
      <c r="G985" s="324"/>
      <c r="H985" s="334"/>
      <c r="I985" s="62"/>
    </row>
    <row r="986" ht="15.75" customHeight="1">
      <c r="A986" s="2"/>
      <c r="B986" s="62"/>
      <c r="C986" s="45"/>
      <c r="D986" s="2"/>
      <c r="E986" s="2"/>
      <c r="F986" s="2"/>
      <c r="G986" s="324"/>
      <c r="H986" s="334"/>
      <c r="I986" s="62"/>
    </row>
    <row r="987" ht="15.75" customHeight="1">
      <c r="A987" s="2"/>
      <c r="B987" s="62"/>
      <c r="C987" s="45"/>
      <c r="D987" s="2"/>
      <c r="E987" s="2"/>
      <c r="F987" s="2"/>
      <c r="G987" s="324"/>
      <c r="H987" s="334"/>
      <c r="I987" s="62"/>
    </row>
    <row r="988" ht="15.75" customHeight="1">
      <c r="A988" s="2"/>
      <c r="B988" s="62"/>
      <c r="C988" s="45"/>
      <c r="D988" s="2"/>
      <c r="E988" s="2"/>
      <c r="F988" s="2"/>
      <c r="G988" s="324"/>
      <c r="H988" s="334"/>
      <c r="I988" s="62"/>
    </row>
    <row r="989" ht="15.75" customHeight="1">
      <c r="A989" s="2"/>
      <c r="B989" s="62"/>
      <c r="C989" s="45"/>
      <c r="D989" s="2"/>
      <c r="E989" s="2"/>
      <c r="F989" s="2"/>
      <c r="G989" s="324"/>
      <c r="H989" s="334"/>
      <c r="I989" s="62"/>
    </row>
    <row r="990" ht="15.75" customHeight="1">
      <c r="A990" s="2"/>
      <c r="B990" s="62"/>
      <c r="C990" s="45"/>
      <c r="D990" s="2"/>
      <c r="E990" s="2"/>
      <c r="F990" s="2"/>
      <c r="G990" s="324"/>
      <c r="H990" s="334"/>
      <c r="I990" s="62"/>
    </row>
    <row r="991" ht="15.75" customHeight="1">
      <c r="A991" s="2"/>
      <c r="B991" s="62"/>
      <c r="C991" s="45"/>
      <c r="D991" s="2"/>
      <c r="E991" s="2"/>
      <c r="F991" s="2"/>
      <c r="G991" s="324"/>
      <c r="H991" s="334"/>
      <c r="I991" s="62"/>
    </row>
    <row r="992" ht="15.75" customHeight="1">
      <c r="A992" s="2"/>
      <c r="B992" s="62"/>
      <c r="C992" s="45"/>
      <c r="D992" s="2"/>
      <c r="E992" s="2"/>
      <c r="F992" s="2"/>
      <c r="G992" s="324"/>
      <c r="H992" s="334"/>
      <c r="I992" s="62"/>
    </row>
    <row r="993" ht="15.75" customHeight="1">
      <c r="A993" s="2"/>
      <c r="B993" s="62"/>
      <c r="C993" s="45"/>
      <c r="D993" s="2"/>
      <c r="E993" s="2"/>
      <c r="F993" s="2"/>
      <c r="G993" s="324"/>
      <c r="H993" s="334"/>
      <c r="I993" s="62"/>
    </row>
    <row r="994" ht="15.75" customHeight="1">
      <c r="A994" s="2"/>
      <c r="B994" s="62"/>
      <c r="C994" s="45"/>
      <c r="D994" s="2"/>
      <c r="E994" s="2"/>
      <c r="F994" s="2"/>
      <c r="G994" s="324"/>
      <c r="H994" s="334"/>
      <c r="I994" s="62"/>
    </row>
    <row r="995" ht="15.75" customHeight="1">
      <c r="A995" s="2"/>
      <c r="B995" s="62"/>
      <c r="C995" s="45"/>
      <c r="D995" s="2"/>
      <c r="E995" s="2"/>
      <c r="F995" s="2"/>
      <c r="G995" s="324"/>
      <c r="H995" s="334"/>
      <c r="I995" s="62"/>
    </row>
    <row r="996" ht="15.75" customHeight="1">
      <c r="A996" s="2"/>
      <c r="B996" s="62"/>
      <c r="C996" s="45"/>
      <c r="D996" s="2"/>
      <c r="E996" s="2"/>
      <c r="F996" s="2"/>
      <c r="G996" s="324"/>
      <c r="H996" s="334"/>
      <c r="I996" s="62"/>
    </row>
    <row r="997" ht="15.75" customHeight="1">
      <c r="A997" s="2"/>
      <c r="B997" s="62"/>
      <c r="C997" s="45"/>
      <c r="D997" s="2"/>
      <c r="E997" s="2"/>
      <c r="F997" s="2"/>
      <c r="G997" s="324"/>
      <c r="H997" s="334"/>
      <c r="I997" s="62"/>
    </row>
    <row r="998" ht="15.75" customHeight="1">
      <c r="A998" s="2"/>
      <c r="B998" s="62"/>
      <c r="C998" s="45"/>
      <c r="D998" s="2"/>
      <c r="E998" s="2"/>
      <c r="F998" s="2"/>
      <c r="G998" s="324"/>
      <c r="H998" s="334"/>
      <c r="I998" s="62"/>
    </row>
    <row r="999" ht="15.75" customHeight="1">
      <c r="A999" s="2"/>
      <c r="B999" s="62"/>
      <c r="C999" s="45"/>
      <c r="D999" s="2"/>
      <c r="E999" s="2"/>
      <c r="F999" s="2"/>
      <c r="G999" s="324"/>
      <c r="H999" s="334"/>
      <c r="I999" s="62"/>
    </row>
    <row r="1000" ht="15.75" customHeight="1">
      <c r="A1000" s="2"/>
      <c r="B1000" s="62"/>
      <c r="C1000" s="45"/>
      <c r="D1000" s="2"/>
      <c r="E1000" s="2"/>
      <c r="F1000" s="2"/>
      <c r="G1000" s="324"/>
      <c r="H1000" s="334"/>
      <c r="I1000" s="62"/>
    </row>
  </sheetData>
  <autoFilter ref="$A$1:$I$36"/>
  <dataValidations>
    <dataValidation type="list" allowBlank="1" showErrorMessage="1" sqref="H2:H1000">
      <formula1>"Fixed,In Progress,Need Discussion,Rejected,Duplicate"</formula1>
    </dataValidation>
  </dataValidations>
  <printOptions/>
  <pageMargins bottom="0.75" footer="0.0" header="0.0" left="0.7" right="0.7" top="0.75"/>
  <pageSetup orientation="landscape"/>
  <headerFooter>
    <oddFooter>&amp;C_x000D_#000000 SBI Card Restricted</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12.13"/>
    <col customWidth="1" min="3" max="3" width="9.13"/>
    <col customWidth="1" min="4" max="4" width="16.13"/>
    <col customWidth="1" min="5" max="5" width="24.63"/>
    <col customWidth="1" min="6" max="7" width="9.13"/>
    <col customWidth="1" min="8" max="8" width="25.88"/>
    <col customWidth="1" min="9" max="9" width="35.25"/>
    <col customWidth="1" min="10" max="10" width="63.38"/>
    <col customWidth="1" min="11" max="11" width="49.0"/>
    <col customWidth="1" min="12" max="12" width="37.13"/>
    <col customWidth="1" min="13" max="13" width="13.0"/>
    <col customWidth="1" min="14" max="14" width="17.25"/>
    <col customWidth="1" min="15" max="15" width="15.75"/>
    <col customWidth="1" min="16" max="16" width="14.88"/>
    <col customWidth="1" min="17" max="17" width="15.0"/>
    <col customWidth="1" min="18" max="18" width="17.25"/>
    <col customWidth="1" min="19" max="19" width="28.38"/>
    <col customWidth="1" min="20" max="20" width="16.25"/>
    <col customWidth="1" min="21" max="26" width="8.63"/>
  </cols>
  <sheetData>
    <row r="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71" t="s">
        <v>904</v>
      </c>
    </row>
    <row r="2">
      <c r="A2" s="179" t="s">
        <v>1234</v>
      </c>
      <c r="B2" s="240" t="s">
        <v>1140</v>
      </c>
      <c r="C2" s="179" t="s">
        <v>747</v>
      </c>
      <c r="D2" s="179" t="s">
        <v>907</v>
      </c>
      <c r="E2" s="179" t="s">
        <v>1004</v>
      </c>
      <c r="F2" s="180" t="s">
        <v>39</v>
      </c>
      <c r="G2" s="180" t="s">
        <v>12</v>
      </c>
      <c r="H2" s="179" t="s">
        <v>1110</v>
      </c>
      <c r="I2" s="181" t="s">
        <v>1235</v>
      </c>
      <c r="J2" s="181" t="s">
        <v>1236</v>
      </c>
      <c r="K2" s="183" t="s">
        <v>1237</v>
      </c>
      <c r="L2" s="337" t="s">
        <v>39</v>
      </c>
      <c r="M2" s="180" t="s">
        <v>913</v>
      </c>
      <c r="N2" s="179" t="s">
        <v>753</v>
      </c>
      <c r="O2" s="338"/>
      <c r="P2" s="339"/>
      <c r="Q2" s="179" t="s">
        <v>4</v>
      </c>
      <c r="R2" s="340">
        <v>46267.0</v>
      </c>
      <c r="S2" s="182" t="s">
        <v>1238</v>
      </c>
      <c r="T2" s="180" t="s">
        <v>1029</v>
      </c>
      <c r="U2" s="258"/>
      <c r="V2" s="258"/>
      <c r="W2" s="258"/>
      <c r="X2" s="258"/>
      <c r="Y2" s="258"/>
      <c r="Z2" s="258"/>
    </row>
    <row r="3">
      <c r="A3" s="179" t="s">
        <v>3511</v>
      </c>
      <c r="B3" s="179" t="s">
        <v>1011</v>
      </c>
      <c r="C3" s="179" t="s">
        <v>747</v>
      </c>
      <c r="D3" s="179" t="s">
        <v>907</v>
      </c>
      <c r="E3" s="179" t="s">
        <v>829</v>
      </c>
      <c r="F3" s="179" t="s">
        <v>12</v>
      </c>
      <c r="G3" s="179" t="s">
        <v>1800</v>
      </c>
      <c r="H3" s="341" t="s">
        <v>176</v>
      </c>
      <c r="I3" s="182" t="s">
        <v>3512</v>
      </c>
      <c r="J3" s="182" t="s">
        <v>3513</v>
      </c>
      <c r="K3" s="183" t="s">
        <v>3514</v>
      </c>
      <c r="L3" s="182" t="s">
        <v>39</v>
      </c>
      <c r="M3" s="179" t="s">
        <v>39</v>
      </c>
      <c r="N3" s="179" t="s">
        <v>913</v>
      </c>
      <c r="O3" s="179" t="s">
        <v>753</v>
      </c>
      <c r="P3" s="179"/>
      <c r="Q3" s="179"/>
      <c r="R3" s="179" t="s">
        <v>4</v>
      </c>
      <c r="S3" s="179" t="s">
        <v>3175</v>
      </c>
      <c r="T3" s="241" t="s">
        <v>3515</v>
      </c>
      <c r="U3" s="258"/>
      <c r="V3" s="258"/>
      <c r="W3" s="258"/>
      <c r="X3" s="258"/>
      <c r="Y3" s="258"/>
      <c r="Z3" s="258"/>
    </row>
    <row r="4">
      <c r="A4" s="7" t="s">
        <v>4081</v>
      </c>
      <c r="B4" s="7" t="s">
        <v>1160</v>
      </c>
      <c r="C4" s="7" t="s">
        <v>747</v>
      </c>
      <c r="D4" s="7" t="s">
        <v>907</v>
      </c>
      <c r="E4" s="7" t="s">
        <v>829</v>
      </c>
      <c r="F4" s="7" t="s">
        <v>6</v>
      </c>
      <c r="G4" s="7" t="s">
        <v>2303</v>
      </c>
      <c r="H4" s="88" t="s">
        <v>4082</v>
      </c>
      <c r="I4" s="33" t="s">
        <v>4083</v>
      </c>
      <c r="J4" s="33" t="s">
        <v>4084</v>
      </c>
      <c r="K4" s="58" t="s">
        <v>4085</v>
      </c>
      <c r="L4" s="58" t="s">
        <v>4086</v>
      </c>
      <c r="M4" s="7" t="s">
        <v>39</v>
      </c>
      <c r="N4" s="7" t="s">
        <v>913</v>
      </c>
      <c r="O4" s="7" t="s">
        <v>753</v>
      </c>
      <c r="P4" s="7" t="s">
        <v>3008</v>
      </c>
      <c r="Q4" s="33" t="s">
        <v>3009</v>
      </c>
      <c r="R4" s="7" t="s">
        <v>4</v>
      </c>
      <c r="S4" s="7" t="s">
        <v>1279</v>
      </c>
      <c r="T4" s="32" t="s">
        <v>4087</v>
      </c>
    </row>
    <row r="5">
      <c r="A5" s="179" t="s">
        <v>2503</v>
      </c>
      <c r="B5" s="240">
        <v>46145.0</v>
      </c>
      <c r="C5" s="179" t="s">
        <v>747</v>
      </c>
      <c r="D5" s="179" t="s">
        <v>907</v>
      </c>
      <c r="E5" s="179" t="s">
        <v>829</v>
      </c>
      <c r="F5" s="179" t="s">
        <v>39</v>
      </c>
      <c r="G5" s="179" t="s">
        <v>6</v>
      </c>
      <c r="H5" s="179" t="s">
        <v>908</v>
      </c>
      <c r="I5" s="182" t="s">
        <v>2499</v>
      </c>
      <c r="J5" s="182" t="s">
        <v>2500</v>
      </c>
      <c r="K5" s="183" t="s">
        <v>2501</v>
      </c>
      <c r="L5" s="182" t="s">
        <v>39</v>
      </c>
      <c r="M5" s="179" t="s">
        <v>913</v>
      </c>
      <c r="N5" s="179" t="s">
        <v>753</v>
      </c>
      <c r="O5" s="179"/>
      <c r="P5" s="182"/>
      <c r="Q5" s="179" t="s">
        <v>4</v>
      </c>
      <c r="R5" s="179"/>
      <c r="S5" s="241"/>
      <c r="T5" s="260"/>
      <c r="U5" s="258"/>
      <c r="V5" s="258"/>
      <c r="W5" s="258"/>
      <c r="X5" s="258"/>
      <c r="Y5" s="258"/>
      <c r="Z5" s="258"/>
    </row>
    <row r="6">
      <c r="A6" s="179" t="s">
        <v>1745</v>
      </c>
      <c r="B6" s="179" t="s">
        <v>1565</v>
      </c>
      <c r="C6" s="179" t="s">
        <v>755</v>
      </c>
      <c r="D6" s="179" t="s">
        <v>907</v>
      </c>
      <c r="E6" s="179" t="s">
        <v>1575</v>
      </c>
      <c r="F6" s="179" t="s">
        <v>39</v>
      </c>
      <c r="G6" s="179" t="s">
        <v>12</v>
      </c>
      <c r="H6" s="179" t="s">
        <v>1172</v>
      </c>
      <c r="I6" s="182" t="s">
        <v>1746</v>
      </c>
      <c r="J6" s="182" t="s">
        <v>1747</v>
      </c>
      <c r="K6" s="182" t="s">
        <v>1748</v>
      </c>
      <c r="L6" s="182"/>
      <c r="M6" s="179" t="s">
        <v>913</v>
      </c>
      <c r="N6" s="179" t="s">
        <v>1749</v>
      </c>
      <c r="O6" s="179"/>
      <c r="P6" s="182"/>
      <c r="Q6" s="179" t="s">
        <v>4</v>
      </c>
      <c r="R6" s="240">
        <v>46176.0</v>
      </c>
      <c r="S6" s="187" t="s">
        <v>1750</v>
      </c>
      <c r="T6" s="179"/>
      <c r="U6" s="258"/>
      <c r="V6" s="258"/>
      <c r="W6" s="258"/>
      <c r="X6" s="258"/>
      <c r="Y6" s="258"/>
      <c r="Z6" s="258"/>
    </row>
    <row r="7">
      <c r="A7" s="7" t="s">
        <v>4314</v>
      </c>
      <c r="B7" s="7" t="s">
        <v>3175</v>
      </c>
      <c r="C7" s="7" t="s">
        <v>747</v>
      </c>
      <c r="D7" s="7" t="s">
        <v>907</v>
      </c>
      <c r="E7" s="7" t="s">
        <v>829</v>
      </c>
      <c r="F7" s="7" t="s">
        <v>6</v>
      </c>
      <c r="G7" s="7" t="s">
        <v>2303</v>
      </c>
      <c r="H7" s="7" t="s">
        <v>70</v>
      </c>
      <c r="I7" s="33" t="s">
        <v>2989</v>
      </c>
      <c r="J7" s="33" t="s">
        <v>4315</v>
      </c>
      <c r="K7" s="58" t="s">
        <v>4316</v>
      </c>
      <c r="L7" s="33" t="s">
        <v>39</v>
      </c>
      <c r="M7" s="7" t="s">
        <v>39</v>
      </c>
      <c r="N7" s="7" t="s">
        <v>913</v>
      </c>
      <c r="O7" s="7" t="s">
        <v>1749</v>
      </c>
      <c r="P7" s="7"/>
      <c r="Q7" s="33"/>
      <c r="R7" s="7" t="s">
        <v>4</v>
      </c>
      <c r="S7" s="7"/>
      <c r="T7" s="32"/>
      <c r="U7" s="12"/>
    </row>
    <row r="8">
      <c r="H8" s="88"/>
    </row>
    <row r="9">
      <c r="H9" s="88"/>
    </row>
    <row r="10">
      <c r="H10" s="88"/>
    </row>
    <row r="11">
      <c r="H11" s="88"/>
    </row>
    <row r="12">
      <c r="H12" s="88"/>
    </row>
    <row r="13">
      <c r="H13" s="88"/>
    </row>
    <row r="14">
      <c r="H14" s="88"/>
    </row>
    <row r="15">
      <c r="H15" s="88"/>
    </row>
    <row r="16">
      <c r="H16" s="88"/>
    </row>
    <row r="17">
      <c r="H17" s="88"/>
    </row>
    <row r="18">
      <c r="H18" s="88"/>
    </row>
    <row r="19">
      <c r="H19" s="88"/>
    </row>
    <row r="20">
      <c r="H20" s="88"/>
    </row>
    <row r="21" ht="15.75" customHeight="1">
      <c r="H21" s="88"/>
    </row>
    <row r="22" ht="15.75" customHeight="1">
      <c r="H22" s="88"/>
    </row>
    <row r="23" ht="15.75" customHeight="1">
      <c r="H23" s="88"/>
    </row>
    <row r="24" ht="15.75" customHeight="1">
      <c r="H24" s="88"/>
    </row>
    <row r="25" ht="15.75" customHeight="1">
      <c r="H25" s="88"/>
    </row>
    <row r="26" ht="15.75" customHeight="1">
      <c r="H26" s="88"/>
    </row>
    <row r="27" ht="15.75" customHeight="1">
      <c r="H27" s="88"/>
    </row>
    <row r="28" ht="15.75" customHeight="1">
      <c r="H28" s="88"/>
    </row>
    <row r="29" ht="15.75" customHeight="1">
      <c r="H29" s="88"/>
    </row>
    <row r="30" ht="15.75" customHeight="1">
      <c r="H30" s="88"/>
    </row>
    <row r="31" ht="15.75" customHeight="1">
      <c r="H31" s="88"/>
    </row>
    <row r="32" ht="15.75" customHeight="1">
      <c r="H32" s="88"/>
    </row>
    <row r="33" ht="15.75" customHeight="1">
      <c r="H33" s="88"/>
    </row>
    <row r="34" ht="15.75" customHeight="1">
      <c r="H34" s="88"/>
    </row>
    <row r="35" ht="15.75" customHeight="1">
      <c r="H35" s="88"/>
    </row>
    <row r="36" ht="15.75" customHeight="1">
      <c r="H36" s="88"/>
    </row>
    <row r="37" ht="15.75" customHeight="1">
      <c r="H37" s="88"/>
    </row>
    <row r="38" ht="15.75" customHeight="1">
      <c r="H38" s="88"/>
    </row>
    <row r="39" ht="15.75" customHeight="1">
      <c r="H39" s="88"/>
    </row>
    <row r="40" ht="15.75" customHeight="1">
      <c r="H40" s="88"/>
    </row>
    <row r="41" ht="15.75" customHeight="1">
      <c r="H41" s="88"/>
    </row>
    <row r="42" ht="15.75" customHeight="1">
      <c r="H42" s="88"/>
    </row>
    <row r="43" ht="15.75" customHeight="1">
      <c r="H43" s="88"/>
    </row>
    <row r="44" ht="15.75" customHeight="1">
      <c r="H44" s="88"/>
    </row>
    <row r="45" ht="15.75" customHeight="1">
      <c r="H45" s="88"/>
    </row>
    <row r="46" ht="15.75" customHeight="1">
      <c r="H46" s="88"/>
    </row>
    <row r="47" ht="15.75" customHeight="1">
      <c r="H47" s="88"/>
    </row>
    <row r="48" ht="15.75" customHeight="1">
      <c r="H48" s="88"/>
    </row>
    <row r="49" ht="15.75" customHeight="1">
      <c r="H49" s="88"/>
    </row>
    <row r="50" ht="15.75" customHeight="1">
      <c r="H50" s="88"/>
    </row>
    <row r="51" ht="15.75" customHeight="1">
      <c r="H51" s="88"/>
    </row>
    <row r="52" ht="15.75" customHeight="1">
      <c r="H52" s="88"/>
    </row>
    <row r="53" ht="15.75" customHeight="1">
      <c r="H53" s="88"/>
    </row>
    <row r="54" ht="15.75" customHeight="1">
      <c r="H54" s="88"/>
    </row>
    <row r="55" ht="15.75" customHeight="1">
      <c r="H55" s="88"/>
    </row>
    <row r="56" ht="15.75" customHeight="1">
      <c r="H56" s="88"/>
    </row>
    <row r="57" ht="15.75" customHeight="1">
      <c r="H57" s="88"/>
    </row>
    <row r="58" ht="15.75" customHeight="1">
      <c r="H58" s="88"/>
    </row>
    <row r="59" ht="15.75" customHeight="1">
      <c r="H59" s="88"/>
    </row>
    <row r="60" ht="15.75" customHeight="1">
      <c r="H60" s="88"/>
    </row>
    <row r="61" ht="15.75" customHeight="1">
      <c r="H61" s="88"/>
    </row>
    <row r="62" ht="15.75" customHeight="1">
      <c r="H62" s="88"/>
    </row>
    <row r="63" ht="15.75" customHeight="1">
      <c r="H63" s="88"/>
    </row>
    <row r="64" ht="15.75" customHeight="1">
      <c r="H64" s="88"/>
    </row>
    <row r="65" ht="15.75" customHeight="1">
      <c r="H65" s="88"/>
    </row>
    <row r="66" ht="15.75" customHeight="1">
      <c r="H66" s="88"/>
    </row>
    <row r="67" ht="15.75" customHeight="1">
      <c r="H67" s="88"/>
    </row>
    <row r="68" ht="15.75" customHeight="1">
      <c r="H68" s="88"/>
    </row>
    <row r="69" ht="15.75" customHeight="1">
      <c r="H69" s="88"/>
    </row>
    <row r="70" ht="15.75" customHeight="1">
      <c r="H70" s="88"/>
    </row>
    <row r="71" ht="15.75" customHeight="1">
      <c r="H71" s="88"/>
    </row>
    <row r="72" ht="15.75" customHeight="1">
      <c r="H72" s="88"/>
    </row>
    <row r="73" ht="15.75" customHeight="1">
      <c r="H73" s="88"/>
    </row>
    <row r="74" ht="15.75" customHeight="1">
      <c r="H74" s="88"/>
    </row>
    <row r="75" ht="15.75" customHeight="1">
      <c r="H75" s="88"/>
    </row>
    <row r="76" ht="15.75" customHeight="1">
      <c r="H76" s="88"/>
    </row>
    <row r="77" ht="15.75" customHeight="1">
      <c r="H77" s="88"/>
    </row>
    <row r="78" ht="15.75" customHeight="1">
      <c r="H78" s="88"/>
    </row>
    <row r="79" ht="15.75" customHeight="1">
      <c r="H79" s="88"/>
    </row>
    <row r="80" ht="15.75" customHeight="1">
      <c r="H80" s="88"/>
    </row>
    <row r="81" ht="15.75" customHeight="1">
      <c r="H81" s="88"/>
    </row>
    <row r="82" ht="15.75" customHeight="1">
      <c r="H82" s="88"/>
    </row>
    <row r="83" ht="15.75" customHeight="1">
      <c r="H83" s="88"/>
    </row>
    <row r="84" ht="15.75" customHeight="1">
      <c r="H84" s="88"/>
    </row>
    <row r="85" ht="15.75" customHeight="1">
      <c r="H85" s="88"/>
    </row>
    <row r="86" ht="15.75" customHeight="1">
      <c r="H86" s="88"/>
    </row>
    <row r="87" ht="15.75" customHeight="1">
      <c r="H87" s="88"/>
    </row>
    <row r="88" ht="15.75" customHeight="1">
      <c r="H88" s="88"/>
    </row>
    <row r="89" ht="15.75" customHeight="1">
      <c r="H89" s="88"/>
    </row>
    <row r="90" ht="15.75" customHeight="1">
      <c r="H90" s="88"/>
    </row>
    <row r="91" ht="15.75" customHeight="1">
      <c r="H91" s="88"/>
    </row>
    <row r="92" ht="15.75" customHeight="1">
      <c r="H92" s="88"/>
    </row>
    <row r="93" ht="15.75" customHeight="1">
      <c r="H93" s="88"/>
    </row>
    <row r="94" ht="15.75" customHeight="1">
      <c r="H94" s="88"/>
    </row>
    <row r="95" ht="15.75" customHeight="1">
      <c r="H95" s="88"/>
    </row>
    <row r="96" ht="15.75" customHeight="1">
      <c r="H96" s="88"/>
    </row>
    <row r="97" ht="15.75" customHeight="1">
      <c r="H97" s="88"/>
    </row>
    <row r="98" ht="15.75" customHeight="1">
      <c r="H98" s="88"/>
    </row>
    <row r="99" ht="15.75" customHeight="1">
      <c r="H99" s="88"/>
    </row>
    <row r="100" ht="15.75" customHeight="1">
      <c r="H100" s="88"/>
    </row>
    <row r="101" ht="15.75" customHeight="1">
      <c r="H101" s="88"/>
    </row>
    <row r="102" ht="15.75" customHeight="1">
      <c r="H102" s="88"/>
    </row>
    <row r="103" ht="15.75" customHeight="1">
      <c r="H103" s="88"/>
    </row>
    <row r="104" ht="15.75" customHeight="1">
      <c r="H104" s="88"/>
    </row>
    <row r="105" ht="15.75" customHeight="1">
      <c r="H105" s="88"/>
    </row>
    <row r="106" ht="15.75" customHeight="1">
      <c r="H106" s="88"/>
    </row>
    <row r="107" ht="15.75" customHeight="1">
      <c r="H107" s="88"/>
    </row>
    <row r="108" ht="15.75" customHeight="1">
      <c r="H108" s="88"/>
    </row>
    <row r="109" ht="15.75" customHeight="1">
      <c r="H109" s="88"/>
    </row>
    <row r="110" ht="15.75" customHeight="1">
      <c r="H110" s="88"/>
    </row>
    <row r="111" ht="15.75" customHeight="1">
      <c r="H111" s="88"/>
    </row>
    <row r="112" ht="15.75" customHeight="1">
      <c r="H112" s="88"/>
    </row>
    <row r="113" ht="15.75" customHeight="1">
      <c r="H113" s="88"/>
    </row>
    <row r="114" ht="15.75" customHeight="1">
      <c r="H114" s="88"/>
    </row>
    <row r="115" ht="15.75" customHeight="1">
      <c r="H115" s="88"/>
    </row>
    <row r="116" ht="15.75" customHeight="1">
      <c r="H116" s="88"/>
    </row>
    <row r="117" ht="15.75" customHeight="1">
      <c r="H117" s="88"/>
    </row>
    <row r="118" ht="15.75" customHeight="1">
      <c r="H118" s="88"/>
    </row>
    <row r="119" ht="15.75" customHeight="1">
      <c r="H119" s="88"/>
    </row>
    <row r="120" ht="15.75" customHeight="1">
      <c r="H120" s="88"/>
    </row>
    <row r="121" ht="15.75" customHeight="1">
      <c r="H121" s="88"/>
    </row>
    <row r="122" ht="15.75" customHeight="1">
      <c r="H122" s="88"/>
    </row>
    <row r="123" ht="15.75" customHeight="1">
      <c r="H123" s="88"/>
    </row>
    <row r="124" ht="15.75" customHeight="1">
      <c r="H124" s="88"/>
    </row>
    <row r="125" ht="15.75" customHeight="1">
      <c r="H125" s="88"/>
    </row>
    <row r="126" ht="15.75" customHeight="1">
      <c r="H126" s="88"/>
    </row>
    <row r="127" ht="15.75" customHeight="1">
      <c r="H127" s="88"/>
    </row>
    <row r="128" ht="15.75" customHeight="1">
      <c r="H128" s="88"/>
    </row>
    <row r="129" ht="15.75" customHeight="1">
      <c r="H129" s="88"/>
    </row>
    <row r="130" ht="15.75" customHeight="1">
      <c r="H130" s="88"/>
    </row>
    <row r="131" ht="15.75" customHeight="1">
      <c r="H131" s="88"/>
    </row>
    <row r="132" ht="15.75" customHeight="1">
      <c r="H132" s="88"/>
    </row>
    <row r="133" ht="15.75" customHeight="1">
      <c r="H133" s="88"/>
    </row>
    <row r="134" ht="15.75" customHeight="1">
      <c r="H134" s="88"/>
    </row>
    <row r="135" ht="15.75" customHeight="1">
      <c r="H135" s="88"/>
    </row>
    <row r="136" ht="15.75" customHeight="1">
      <c r="H136" s="88"/>
    </row>
    <row r="137" ht="15.75" customHeight="1">
      <c r="H137" s="88"/>
    </row>
    <row r="138" ht="15.75" customHeight="1">
      <c r="H138" s="88"/>
    </row>
    <row r="139" ht="15.75" customHeight="1">
      <c r="H139" s="88"/>
    </row>
    <row r="140" ht="15.75" customHeight="1">
      <c r="H140" s="88"/>
    </row>
    <row r="141" ht="15.75" customHeight="1">
      <c r="H141" s="88"/>
    </row>
    <row r="142" ht="15.75" customHeight="1">
      <c r="H142" s="88"/>
    </row>
    <row r="143" ht="15.75" customHeight="1">
      <c r="H143" s="88"/>
    </row>
    <row r="144" ht="15.75" customHeight="1">
      <c r="H144" s="88"/>
    </row>
    <row r="145" ht="15.75" customHeight="1">
      <c r="H145" s="88"/>
    </row>
    <row r="146" ht="15.75" customHeight="1">
      <c r="H146" s="88"/>
    </row>
    <row r="147" ht="15.75" customHeight="1">
      <c r="H147" s="88"/>
    </row>
    <row r="148" ht="15.75" customHeight="1">
      <c r="H148" s="88"/>
    </row>
    <row r="149" ht="15.75" customHeight="1">
      <c r="H149" s="88"/>
    </row>
    <row r="150" ht="15.75" customHeight="1">
      <c r="H150" s="88"/>
    </row>
    <row r="151" ht="15.75" customHeight="1">
      <c r="H151" s="88"/>
    </row>
    <row r="152" ht="15.75" customHeight="1">
      <c r="H152" s="88"/>
    </row>
    <row r="153" ht="15.75" customHeight="1">
      <c r="H153" s="88"/>
    </row>
    <row r="154" ht="15.75" customHeight="1">
      <c r="H154" s="88"/>
    </row>
    <row r="155" ht="15.75" customHeight="1">
      <c r="H155" s="88"/>
    </row>
    <row r="156" ht="15.75" customHeight="1">
      <c r="H156" s="88"/>
    </row>
    <row r="157" ht="15.75" customHeight="1">
      <c r="H157" s="88"/>
    </row>
    <row r="158" ht="15.75" customHeight="1">
      <c r="H158" s="88"/>
    </row>
    <row r="159" ht="15.75" customHeight="1">
      <c r="H159" s="88"/>
    </row>
    <row r="160" ht="15.75" customHeight="1">
      <c r="H160" s="88"/>
    </row>
    <row r="161" ht="15.75" customHeight="1">
      <c r="H161" s="88"/>
    </row>
    <row r="162" ht="15.75" customHeight="1">
      <c r="H162" s="88"/>
    </row>
    <row r="163" ht="15.75" customHeight="1">
      <c r="H163" s="88"/>
    </row>
    <row r="164" ht="15.75" customHeight="1">
      <c r="H164" s="88"/>
    </row>
    <row r="165" ht="15.75" customHeight="1">
      <c r="H165" s="88"/>
    </row>
    <row r="166" ht="15.75" customHeight="1">
      <c r="H166" s="88"/>
    </row>
    <row r="167" ht="15.75" customHeight="1">
      <c r="H167" s="88"/>
    </row>
    <row r="168" ht="15.75" customHeight="1">
      <c r="H168" s="88"/>
    </row>
    <row r="169" ht="15.75" customHeight="1">
      <c r="H169" s="88"/>
    </row>
    <row r="170" ht="15.75" customHeight="1">
      <c r="H170" s="88"/>
    </row>
    <row r="171" ht="15.75" customHeight="1">
      <c r="H171" s="88"/>
    </row>
    <row r="172" ht="15.75" customHeight="1">
      <c r="H172" s="88"/>
    </row>
    <row r="173" ht="15.75" customHeight="1">
      <c r="H173" s="88"/>
    </row>
    <row r="174" ht="15.75" customHeight="1">
      <c r="H174" s="88"/>
    </row>
    <row r="175" ht="15.75" customHeight="1">
      <c r="H175" s="88"/>
    </row>
    <row r="176" ht="15.75" customHeight="1">
      <c r="H176" s="88"/>
    </row>
    <row r="177" ht="15.75" customHeight="1">
      <c r="H177" s="88"/>
    </row>
    <row r="178" ht="15.75" customHeight="1">
      <c r="H178" s="88"/>
    </row>
    <row r="179" ht="15.75" customHeight="1">
      <c r="H179" s="88"/>
    </row>
    <row r="180" ht="15.75" customHeight="1">
      <c r="H180" s="88"/>
    </row>
    <row r="181" ht="15.75" customHeight="1">
      <c r="H181" s="88"/>
    </row>
    <row r="182" ht="15.75" customHeight="1">
      <c r="H182" s="88"/>
    </row>
    <row r="183" ht="15.75" customHeight="1">
      <c r="H183" s="88"/>
    </row>
    <row r="184" ht="15.75" customHeight="1">
      <c r="H184" s="88"/>
    </row>
    <row r="185" ht="15.75" customHeight="1">
      <c r="H185" s="88"/>
    </row>
    <row r="186" ht="15.75" customHeight="1">
      <c r="H186" s="88"/>
    </row>
    <row r="187" ht="15.75" customHeight="1">
      <c r="H187" s="88"/>
    </row>
    <row r="188" ht="15.75" customHeight="1">
      <c r="H188" s="88"/>
    </row>
    <row r="189" ht="15.75" customHeight="1">
      <c r="H189" s="88"/>
    </row>
    <row r="190" ht="15.75" customHeight="1">
      <c r="H190" s="88"/>
    </row>
    <row r="191" ht="15.75" customHeight="1">
      <c r="H191" s="88"/>
    </row>
    <row r="192" ht="15.75" customHeight="1">
      <c r="H192" s="88"/>
    </row>
    <row r="193" ht="15.75" customHeight="1">
      <c r="H193" s="88"/>
    </row>
    <row r="194" ht="15.75" customHeight="1">
      <c r="H194" s="88"/>
    </row>
    <row r="195" ht="15.75" customHeight="1">
      <c r="H195" s="88"/>
    </row>
    <row r="196" ht="15.75" customHeight="1">
      <c r="H196" s="88"/>
    </row>
    <row r="197" ht="15.75" customHeight="1">
      <c r="H197" s="88"/>
    </row>
    <row r="198" ht="15.75" customHeight="1">
      <c r="H198" s="88"/>
    </row>
    <row r="199" ht="15.75" customHeight="1">
      <c r="H199" s="88"/>
    </row>
    <row r="200" ht="15.75" customHeight="1">
      <c r="H200" s="88"/>
    </row>
    <row r="201" ht="15.75" customHeight="1">
      <c r="H201" s="88"/>
    </row>
    <row r="202" ht="15.75" customHeight="1">
      <c r="H202" s="88"/>
    </row>
    <row r="203" ht="15.75" customHeight="1">
      <c r="H203" s="88"/>
    </row>
    <row r="204" ht="15.75" customHeight="1">
      <c r="H204" s="88"/>
    </row>
    <row r="205" ht="15.75" customHeight="1">
      <c r="H205" s="88"/>
    </row>
    <row r="206" ht="15.75" customHeight="1">
      <c r="H206" s="88"/>
    </row>
    <row r="207" ht="15.75" customHeight="1">
      <c r="H207" s="88"/>
    </row>
    <row r="208" ht="15.75" customHeight="1">
      <c r="H208" s="88"/>
    </row>
    <row r="209" ht="15.75" customHeight="1">
      <c r="H209" s="88"/>
    </row>
    <row r="210" ht="15.75" customHeight="1">
      <c r="H210" s="88"/>
    </row>
    <row r="211" ht="15.75" customHeight="1">
      <c r="H211" s="88"/>
    </row>
    <row r="212" ht="15.75" customHeight="1">
      <c r="H212" s="88"/>
    </row>
    <row r="213" ht="15.75" customHeight="1">
      <c r="H213" s="88"/>
    </row>
    <row r="214" ht="15.75" customHeight="1">
      <c r="H214" s="88"/>
    </row>
    <row r="215" ht="15.75" customHeight="1">
      <c r="H215" s="88"/>
    </row>
    <row r="216" ht="15.75" customHeight="1">
      <c r="H216" s="88"/>
    </row>
    <row r="217" ht="15.75" customHeight="1">
      <c r="H217" s="88"/>
    </row>
    <row r="218" ht="15.75" customHeight="1">
      <c r="H218" s="88"/>
    </row>
    <row r="219" ht="15.75" customHeight="1">
      <c r="H219" s="88"/>
    </row>
    <row r="220" ht="15.75" customHeight="1">
      <c r="H220" s="88"/>
    </row>
    <row r="221" ht="15.75" customHeight="1">
      <c r="H221" s="88"/>
    </row>
    <row r="222" ht="15.75" customHeight="1">
      <c r="H222" s="88"/>
    </row>
    <row r="223" ht="15.75" customHeight="1">
      <c r="H223" s="88"/>
    </row>
    <row r="224" ht="15.75" customHeight="1">
      <c r="H224" s="88"/>
    </row>
    <row r="225" ht="15.75" customHeight="1">
      <c r="H225" s="88"/>
    </row>
    <row r="226" ht="15.75" customHeight="1">
      <c r="H226" s="88"/>
    </row>
    <row r="227" ht="15.75" customHeight="1">
      <c r="H227" s="88"/>
    </row>
    <row r="228" ht="15.75" customHeight="1">
      <c r="H228" s="88"/>
    </row>
    <row r="229" ht="15.75" customHeight="1">
      <c r="H229" s="88"/>
    </row>
    <row r="230" ht="15.75" customHeight="1">
      <c r="H230" s="88"/>
    </row>
    <row r="231" ht="15.75" customHeight="1">
      <c r="H231" s="88"/>
    </row>
    <row r="232" ht="15.75" customHeight="1">
      <c r="H232" s="88"/>
    </row>
    <row r="233" ht="15.75" customHeight="1">
      <c r="H233" s="88"/>
    </row>
    <row r="234" ht="15.75" customHeight="1">
      <c r="H234" s="88"/>
    </row>
    <row r="235" ht="15.75" customHeight="1">
      <c r="H235" s="88"/>
    </row>
    <row r="236" ht="15.75" customHeight="1">
      <c r="H236" s="88"/>
    </row>
    <row r="237" ht="15.75" customHeight="1">
      <c r="H237" s="88"/>
    </row>
    <row r="238" ht="15.75" customHeight="1">
      <c r="H238" s="88"/>
    </row>
    <row r="239" ht="15.75" customHeight="1">
      <c r="H239" s="88"/>
    </row>
    <row r="240" ht="15.75" customHeight="1">
      <c r="H240" s="88"/>
    </row>
    <row r="241" ht="15.75" customHeight="1">
      <c r="H241" s="88"/>
    </row>
    <row r="242" ht="15.75" customHeight="1">
      <c r="H242" s="88"/>
    </row>
    <row r="243" ht="15.75" customHeight="1">
      <c r="H243" s="88"/>
    </row>
    <row r="244" ht="15.75" customHeight="1">
      <c r="H244" s="88"/>
    </row>
    <row r="245" ht="15.75" customHeight="1">
      <c r="H245" s="88"/>
    </row>
    <row r="246" ht="15.75" customHeight="1">
      <c r="H246" s="88"/>
    </row>
    <row r="247" ht="15.75" customHeight="1">
      <c r="H247" s="88"/>
    </row>
    <row r="248" ht="15.75" customHeight="1">
      <c r="H248" s="88"/>
    </row>
    <row r="249" ht="15.75" customHeight="1">
      <c r="H249" s="88"/>
    </row>
    <row r="250" ht="15.75" customHeight="1">
      <c r="H250" s="88"/>
    </row>
    <row r="251" ht="15.75" customHeight="1">
      <c r="H251" s="88"/>
    </row>
    <row r="252" ht="15.75" customHeight="1">
      <c r="H252" s="88"/>
    </row>
    <row r="253" ht="15.75" customHeight="1">
      <c r="H253" s="88"/>
    </row>
    <row r="254" ht="15.75" customHeight="1">
      <c r="H254" s="88"/>
    </row>
    <row r="255" ht="15.75" customHeight="1">
      <c r="H255" s="88"/>
    </row>
    <row r="256" ht="15.75" customHeight="1">
      <c r="H256" s="88"/>
    </row>
    <row r="257" ht="15.75" customHeight="1">
      <c r="H257" s="88"/>
    </row>
    <row r="258" ht="15.75" customHeight="1">
      <c r="H258" s="88"/>
    </row>
    <row r="259" ht="15.75" customHeight="1">
      <c r="H259" s="88"/>
    </row>
    <row r="260" ht="15.75" customHeight="1">
      <c r="H260" s="88"/>
    </row>
    <row r="261" ht="15.75" customHeight="1">
      <c r="H261" s="88"/>
    </row>
    <row r="262" ht="15.75" customHeight="1">
      <c r="H262" s="88"/>
    </row>
    <row r="263" ht="15.75" customHeight="1">
      <c r="H263" s="88"/>
    </row>
    <row r="264" ht="15.75" customHeight="1">
      <c r="H264" s="88"/>
    </row>
    <row r="265" ht="15.75" customHeight="1">
      <c r="H265" s="88"/>
    </row>
    <row r="266" ht="15.75" customHeight="1">
      <c r="H266" s="88"/>
    </row>
    <row r="267" ht="15.75" customHeight="1">
      <c r="H267" s="88"/>
    </row>
    <row r="268" ht="15.75" customHeight="1">
      <c r="H268" s="88"/>
    </row>
    <row r="269" ht="15.75" customHeight="1">
      <c r="H269" s="88"/>
    </row>
    <row r="270" ht="15.75" customHeight="1">
      <c r="H270" s="88"/>
    </row>
    <row r="271" ht="15.75" customHeight="1">
      <c r="H271" s="88"/>
    </row>
    <row r="272" ht="15.75" customHeight="1">
      <c r="H272" s="88"/>
    </row>
    <row r="273" ht="15.75" customHeight="1">
      <c r="H273" s="88"/>
    </row>
    <row r="274" ht="15.75" customHeight="1">
      <c r="H274" s="88"/>
    </row>
    <row r="275" ht="15.75" customHeight="1">
      <c r="H275" s="88"/>
    </row>
    <row r="276" ht="15.75" customHeight="1">
      <c r="H276" s="88"/>
    </row>
    <row r="277" ht="15.75" customHeight="1">
      <c r="H277" s="88"/>
    </row>
    <row r="278" ht="15.75" customHeight="1">
      <c r="H278" s="88"/>
    </row>
    <row r="279" ht="15.75" customHeight="1">
      <c r="H279" s="88"/>
    </row>
    <row r="280" ht="15.75" customHeight="1">
      <c r="H280" s="88"/>
    </row>
    <row r="281" ht="15.75" customHeight="1">
      <c r="H281" s="88"/>
    </row>
    <row r="282" ht="15.75" customHeight="1">
      <c r="H282" s="88"/>
    </row>
    <row r="283" ht="15.75" customHeight="1">
      <c r="H283" s="88"/>
    </row>
    <row r="284" ht="15.75" customHeight="1">
      <c r="H284" s="88"/>
    </row>
    <row r="285" ht="15.75" customHeight="1">
      <c r="H285" s="88"/>
    </row>
    <row r="286" ht="15.75" customHeight="1">
      <c r="H286" s="88"/>
    </row>
    <row r="287" ht="15.75" customHeight="1">
      <c r="H287" s="88"/>
    </row>
    <row r="288" ht="15.75" customHeight="1">
      <c r="H288" s="88"/>
    </row>
    <row r="289" ht="15.75" customHeight="1">
      <c r="H289" s="88"/>
    </row>
    <row r="290" ht="15.75" customHeight="1">
      <c r="H290" s="88"/>
    </row>
    <row r="291" ht="15.75" customHeight="1">
      <c r="H291" s="88"/>
    </row>
    <row r="292" ht="15.75" customHeight="1">
      <c r="H292" s="88"/>
    </row>
    <row r="293" ht="15.75" customHeight="1">
      <c r="H293" s="88"/>
    </row>
    <row r="294" ht="15.75" customHeight="1">
      <c r="H294" s="88"/>
    </row>
    <row r="295" ht="15.75" customHeight="1">
      <c r="H295" s="88"/>
    </row>
    <row r="296" ht="15.75" customHeight="1">
      <c r="H296" s="88"/>
    </row>
    <row r="297" ht="15.75" customHeight="1">
      <c r="H297" s="88"/>
    </row>
    <row r="298" ht="15.75" customHeight="1">
      <c r="H298" s="88"/>
    </row>
    <row r="299" ht="15.75" customHeight="1">
      <c r="H299" s="88"/>
    </row>
    <row r="300" ht="15.75" customHeight="1">
      <c r="H300" s="88"/>
    </row>
    <row r="301" ht="15.75" customHeight="1">
      <c r="H301" s="88"/>
    </row>
    <row r="302" ht="15.75" customHeight="1">
      <c r="H302" s="88"/>
    </row>
    <row r="303" ht="15.75" customHeight="1">
      <c r="H303" s="88"/>
    </row>
    <row r="304" ht="15.75" customHeight="1">
      <c r="H304" s="88"/>
    </row>
    <row r="305" ht="15.75" customHeight="1">
      <c r="H305" s="88"/>
    </row>
    <row r="306" ht="15.75" customHeight="1">
      <c r="H306" s="88"/>
    </row>
    <row r="307" ht="15.75" customHeight="1">
      <c r="H307" s="88"/>
    </row>
    <row r="308" ht="15.75" customHeight="1">
      <c r="H308" s="88"/>
    </row>
    <row r="309" ht="15.75" customHeight="1">
      <c r="H309" s="88"/>
    </row>
    <row r="310" ht="15.75" customHeight="1">
      <c r="H310" s="88"/>
    </row>
    <row r="311" ht="15.75" customHeight="1">
      <c r="H311" s="88"/>
    </row>
    <row r="312" ht="15.75" customHeight="1">
      <c r="H312" s="88"/>
    </row>
    <row r="313" ht="15.75" customHeight="1">
      <c r="H313" s="88"/>
    </row>
    <row r="314" ht="15.75" customHeight="1">
      <c r="H314" s="88"/>
    </row>
    <row r="315" ht="15.75" customHeight="1">
      <c r="H315" s="88"/>
    </row>
    <row r="316" ht="15.75" customHeight="1">
      <c r="H316" s="88"/>
    </row>
    <row r="317" ht="15.75" customHeight="1">
      <c r="H317" s="88"/>
    </row>
    <row r="318" ht="15.75" customHeight="1">
      <c r="H318" s="88"/>
    </row>
    <row r="319" ht="15.75" customHeight="1">
      <c r="H319" s="88"/>
    </row>
    <row r="320" ht="15.75" customHeight="1">
      <c r="H320" s="88"/>
    </row>
    <row r="321" ht="15.75" customHeight="1">
      <c r="H321" s="88"/>
    </row>
    <row r="322" ht="15.75" customHeight="1">
      <c r="H322" s="88"/>
    </row>
    <row r="323" ht="15.75" customHeight="1">
      <c r="H323" s="88"/>
    </row>
    <row r="324" ht="15.75" customHeight="1">
      <c r="H324" s="88"/>
    </row>
    <row r="325" ht="15.75" customHeight="1">
      <c r="H325" s="88"/>
    </row>
    <row r="326" ht="15.75" customHeight="1">
      <c r="H326" s="88"/>
    </row>
    <row r="327" ht="15.75" customHeight="1">
      <c r="H327" s="88"/>
    </row>
    <row r="328" ht="15.75" customHeight="1">
      <c r="H328" s="88"/>
    </row>
    <row r="329" ht="15.75" customHeight="1">
      <c r="H329" s="88"/>
    </row>
    <row r="330" ht="15.75" customHeight="1">
      <c r="H330" s="88"/>
    </row>
    <row r="331" ht="15.75" customHeight="1">
      <c r="H331" s="88"/>
    </row>
    <row r="332" ht="15.75" customHeight="1">
      <c r="H332" s="88"/>
    </row>
    <row r="333" ht="15.75" customHeight="1">
      <c r="H333" s="88"/>
    </row>
    <row r="334" ht="15.75" customHeight="1">
      <c r="H334" s="88"/>
    </row>
    <row r="335" ht="15.75" customHeight="1">
      <c r="H335" s="88"/>
    </row>
    <row r="336" ht="15.75" customHeight="1">
      <c r="H336" s="88"/>
    </row>
    <row r="337" ht="15.75" customHeight="1">
      <c r="H337" s="88"/>
    </row>
    <row r="338" ht="15.75" customHeight="1">
      <c r="H338" s="88"/>
    </row>
    <row r="339" ht="15.75" customHeight="1">
      <c r="H339" s="88"/>
    </row>
    <row r="340" ht="15.75" customHeight="1">
      <c r="H340" s="88"/>
    </row>
    <row r="341" ht="15.75" customHeight="1">
      <c r="H341" s="88"/>
    </row>
    <row r="342" ht="15.75" customHeight="1">
      <c r="H342" s="88"/>
    </row>
    <row r="343" ht="15.75" customHeight="1">
      <c r="H343" s="88"/>
    </row>
    <row r="344" ht="15.75" customHeight="1">
      <c r="H344" s="88"/>
    </row>
    <row r="345" ht="15.75" customHeight="1">
      <c r="H345" s="88"/>
    </row>
    <row r="346" ht="15.75" customHeight="1">
      <c r="H346" s="88"/>
    </row>
    <row r="347" ht="15.75" customHeight="1">
      <c r="H347" s="88"/>
    </row>
    <row r="348" ht="15.75" customHeight="1">
      <c r="H348" s="88"/>
    </row>
    <row r="349" ht="15.75" customHeight="1">
      <c r="H349" s="88"/>
    </row>
    <row r="350" ht="15.75" customHeight="1">
      <c r="H350" s="88"/>
    </row>
    <row r="351" ht="15.75" customHeight="1">
      <c r="H351" s="88"/>
    </row>
    <row r="352" ht="15.75" customHeight="1">
      <c r="H352" s="88"/>
    </row>
    <row r="353" ht="15.75" customHeight="1">
      <c r="H353" s="88"/>
    </row>
    <row r="354" ht="15.75" customHeight="1">
      <c r="H354" s="88"/>
    </row>
    <row r="355" ht="15.75" customHeight="1">
      <c r="H355" s="88"/>
    </row>
    <row r="356" ht="15.75" customHeight="1">
      <c r="H356" s="88"/>
    </row>
    <row r="357" ht="15.75" customHeight="1">
      <c r="H357" s="88"/>
    </row>
    <row r="358" ht="15.75" customHeight="1">
      <c r="H358" s="88"/>
    </row>
    <row r="359" ht="15.75" customHeight="1">
      <c r="H359" s="88"/>
    </row>
    <row r="360" ht="15.75" customHeight="1">
      <c r="H360" s="88"/>
    </row>
    <row r="361" ht="15.75" customHeight="1">
      <c r="H361" s="88"/>
    </row>
    <row r="362" ht="15.75" customHeight="1">
      <c r="H362" s="88"/>
    </row>
    <row r="363" ht="15.75" customHeight="1">
      <c r="H363" s="88"/>
    </row>
    <row r="364" ht="15.75" customHeight="1">
      <c r="H364" s="88"/>
    </row>
    <row r="365" ht="15.75" customHeight="1">
      <c r="H365" s="88"/>
    </row>
    <row r="366" ht="15.75" customHeight="1">
      <c r="H366" s="88"/>
    </row>
    <row r="367" ht="15.75" customHeight="1">
      <c r="H367" s="88"/>
    </row>
    <row r="368" ht="15.75" customHeight="1">
      <c r="H368" s="88"/>
    </row>
    <row r="369" ht="15.75" customHeight="1">
      <c r="H369" s="88"/>
    </row>
    <row r="370" ht="15.75" customHeight="1">
      <c r="H370" s="88"/>
    </row>
    <row r="371" ht="15.75" customHeight="1">
      <c r="H371" s="88"/>
    </row>
    <row r="372" ht="15.75" customHeight="1">
      <c r="H372" s="88"/>
    </row>
    <row r="373" ht="15.75" customHeight="1">
      <c r="H373" s="88"/>
    </row>
    <row r="374" ht="15.75" customHeight="1">
      <c r="H374" s="88"/>
    </row>
    <row r="375" ht="15.75" customHeight="1">
      <c r="H375" s="88"/>
    </row>
    <row r="376" ht="15.75" customHeight="1">
      <c r="H376" s="88"/>
    </row>
    <row r="377" ht="15.75" customHeight="1">
      <c r="H377" s="88"/>
    </row>
    <row r="378" ht="15.75" customHeight="1">
      <c r="H378" s="88"/>
    </row>
    <row r="379" ht="15.75" customHeight="1">
      <c r="H379" s="88"/>
    </row>
    <row r="380" ht="15.75" customHeight="1">
      <c r="H380" s="88"/>
    </row>
    <row r="381" ht="15.75" customHeight="1">
      <c r="H381" s="88"/>
    </row>
    <row r="382" ht="15.75" customHeight="1">
      <c r="H382" s="88"/>
    </row>
    <row r="383" ht="15.75" customHeight="1">
      <c r="H383" s="88"/>
    </row>
    <row r="384" ht="15.75" customHeight="1">
      <c r="H384" s="88"/>
    </row>
    <row r="385" ht="15.75" customHeight="1">
      <c r="H385" s="88"/>
    </row>
    <row r="386" ht="15.75" customHeight="1">
      <c r="H386" s="88"/>
    </row>
    <row r="387" ht="15.75" customHeight="1">
      <c r="H387" s="88"/>
    </row>
    <row r="388" ht="15.75" customHeight="1">
      <c r="H388" s="88"/>
    </row>
    <row r="389" ht="15.75" customHeight="1">
      <c r="H389" s="88"/>
    </row>
    <row r="390" ht="15.75" customHeight="1">
      <c r="H390" s="88"/>
    </row>
    <row r="391" ht="15.75" customHeight="1">
      <c r="H391" s="88"/>
    </row>
    <row r="392" ht="15.75" customHeight="1">
      <c r="H392" s="88"/>
    </row>
    <row r="393" ht="15.75" customHeight="1">
      <c r="H393" s="88"/>
    </row>
    <row r="394" ht="15.75" customHeight="1">
      <c r="H394" s="88"/>
    </row>
    <row r="395" ht="15.75" customHeight="1">
      <c r="H395" s="88"/>
    </row>
    <row r="396" ht="15.75" customHeight="1">
      <c r="H396" s="88"/>
    </row>
    <row r="397" ht="15.75" customHeight="1">
      <c r="H397" s="88"/>
    </row>
    <row r="398" ht="15.75" customHeight="1">
      <c r="H398" s="88"/>
    </row>
    <row r="399" ht="15.75" customHeight="1">
      <c r="H399" s="88"/>
    </row>
    <row r="400" ht="15.75" customHeight="1">
      <c r="H400" s="88"/>
    </row>
    <row r="401" ht="15.75" customHeight="1">
      <c r="H401" s="88"/>
    </row>
    <row r="402" ht="15.75" customHeight="1">
      <c r="H402" s="88"/>
    </row>
    <row r="403" ht="15.75" customHeight="1">
      <c r="H403" s="88"/>
    </row>
    <row r="404" ht="15.75" customHeight="1">
      <c r="H404" s="88"/>
    </row>
    <row r="405" ht="15.75" customHeight="1">
      <c r="H405" s="88"/>
    </row>
    <row r="406" ht="15.75" customHeight="1">
      <c r="H406" s="88"/>
    </row>
    <row r="407" ht="15.75" customHeight="1">
      <c r="H407" s="88"/>
    </row>
    <row r="408" ht="15.75" customHeight="1">
      <c r="H408" s="88"/>
    </row>
    <row r="409" ht="15.75" customHeight="1">
      <c r="H409" s="88"/>
    </row>
    <row r="410" ht="15.75" customHeight="1">
      <c r="H410" s="88"/>
    </row>
    <row r="411" ht="15.75" customHeight="1">
      <c r="H411" s="88"/>
    </row>
    <row r="412" ht="15.75" customHeight="1">
      <c r="H412" s="88"/>
    </row>
    <row r="413" ht="15.75" customHeight="1">
      <c r="H413" s="88"/>
    </row>
    <row r="414" ht="15.75" customHeight="1">
      <c r="H414" s="88"/>
    </row>
    <row r="415" ht="15.75" customHeight="1">
      <c r="H415" s="88"/>
    </row>
    <row r="416" ht="15.75" customHeight="1">
      <c r="H416" s="88"/>
    </row>
    <row r="417" ht="15.75" customHeight="1">
      <c r="H417" s="88"/>
    </row>
    <row r="418" ht="15.75" customHeight="1">
      <c r="H418" s="88"/>
    </row>
    <row r="419" ht="15.75" customHeight="1">
      <c r="H419" s="88"/>
    </row>
    <row r="420" ht="15.75" customHeight="1">
      <c r="H420" s="88"/>
    </row>
    <row r="421" ht="15.75" customHeight="1">
      <c r="H421" s="88"/>
    </row>
    <row r="422" ht="15.75" customHeight="1">
      <c r="H422" s="88"/>
    </row>
    <row r="423" ht="15.75" customHeight="1">
      <c r="H423" s="88"/>
    </row>
    <row r="424" ht="15.75" customHeight="1">
      <c r="H424" s="88"/>
    </row>
    <row r="425" ht="15.75" customHeight="1">
      <c r="H425" s="88"/>
    </row>
    <row r="426" ht="15.75" customHeight="1">
      <c r="H426" s="88"/>
    </row>
    <row r="427" ht="15.75" customHeight="1">
      <c r="H427" s="88"/>
    </row>
    <row r="428" ht="15.75" customHeight="1">
      <c r="H428" s="88"/>
    </row>
    <row r="429" ht="15.75" customHeight="1">
      <c r="H429" s="88"/>
    </row>
    <row r="430" ht="15.75" customHeight="1">
      <c r="H430" s="88"/>
    </row>
    <row r="431" ht="15.75" customHeight="1">
      <c r="H431" s="88"/>
    </row>
    <row r="432" ht="15.75" customHeight="1">
      <c r="H432" s="88"/>
    </row>
    <row r="433" ht="15.75" customHeight="1">
      <c r="H433" s="88"/>
    </row>
    <row r="434" ht="15.75" customHeight="1">
      <c r="H434" s="88"/>
    </row>
    <row r="435" ht="15.75" customHeight="1">
      <c r="H435" s="88"/>
    </row>
    <row r="436" ht="15.75" customHeight="1">
      <c r="H436" s="88"/>
    </row>
    <row r="437" ht="15.75" customHeight="1">
      <c r="H437" s="88"/>
    </row>
    <row r="438" ht="15.75" customHeight="1">
      <c r="H438" s="88"/>
    </row>
    <row r="439" ht="15.75" customHeight="1">
      <c r="H439" s="88"/>
    </row>
    <row r="440" ht="15.75" customHeight="1">
      <c r="H440" s="88"/>
    </row>
    <row r="441" ht="15.75" customHeight="1">
      <c r="H441" s="88"/>
    </row>
    <row r="442" ht="15.75" customHeight="1">
      <c r="H442" s="88"/>
    </row>
    <row r="443" ht="15.75" customHeight="1">
      <c r="H443" s="88"/>
    </row>
    <row r="444" ht="15.75" customHeight="1">
      <c r="H444" s="88"/>
    </row>
    <row r="445" ht="15.75" customHeight="1">
      <c r="H445" s="88"/>
    </row>
    <row r="446" ht="15.75" customHeight="1">
      <c r="H446" s="88"/>
    </row>
    <row r="447" ht="15.75" customHeight="1">
      <c r="H447" s="88"/>
    </row>
    <row r="448" ht="15.75" customHeight="1">
      <c r="H448" s="88"/>
    </row>
    <row r="449" ht="15.75" customHeight="1">
      <c r="H449" s="88"/>
    </row>
    <row r="450" ht="15.75" customHeight="1">
      <c r="H450" s="88"/>
    </row>
    <row r="451" ht="15.75" customHeight="1">
      <c r="H451" s="88"/>
    </row>
    <row r="452" ht="15.75" customHeight="1">
      <c r="H452" s="88"/>
    </row>
    <row r="453" ht="15.75" customHeight="1">
      <c r="H453" s="88"/>
    </row>
    <row r="454" ht="15.75" customHeight="1">
      <c r="H454" s="88"/>
    </row>
    <row r="455" ht="15.75" customHeight="1">
      <c r="H455" s="88"/>
    </row>
    <row r="456" ht="15.75" customHeight="1">
      <c r="H456" s="88"/>
    </row>
    <row r="457" ht="15.75" customHeight="1">
      <c r="H457" s="88"/>
    </row>
    <row r="458" ht="15.75" customHeight="1">
      <c r="H458" s="88"/>
    </row>
    <row r="459" ht="15.75" customHeight="1">
      <c r="H459" s="88"/>
    </row>
    <row r="460" ht="15.75" customHeight="1">
      <c r="H460" s="88"/>
    </row>
    <row r="461" ht="15.75" customHeight="1">
      <c r="H461" s="88"/>
    </row>
    <row r="462" ht="15.75" customHeight="1">
      <c r="H462" s="88"/>
    </row>
    <row r="463" ht="15.75" customHeight="1">
      <c r="H463" s="88"/>
    </row>
    <row r="464" ht="15.75" customHeight="1">
      <c r="H464" s="88"/>
    </row>
    <row r="465" ht="15.75" customHeight="1">
      <c r="H465" s="88"/>
    </row>
    <row r="466" ht="15.75" customHeight="1">
      <c r="H466" s="88"/>
    </row>
    <row r="467" ht="15.75" customHeight="1">
      <c r="H467" s="88"/>
    </row>
    <row r="468" ht="15.75" customHeight="1">
      <c r="H468" s="88"/>
    </row>
    <row r="469" ht="15.75" customHeight="1">
      <c r="H469" s="88"/>
    </row>
    <row r="470" ht="15.75" customHeight="1">
      <c r="H470" s="88"/>
    </row>
    <row r="471" ht="15.75" customHeight="1">
      <c r="H471" s="88"/>
    </row>
    <row r="472" ht="15.75" customHeight="1">
      <c r="H472" s="88"/>
    </row>
    <row r="473" ht="15.75" customHeight="1">
      <c r="H473" s="88"/>
    </row>
    <row r="474" ht="15.75" customHeight="1">
      <c r="H474" s="88"/>
    </row>
    <row r="475" ht="15.75" customHeight="1">
      <c r="H475" s="88"/>
    </row>
    <row r="476" ht="15.75" customHeight="1">
      <c r="H476" s="88"/>
    </row>
    <row r="477" ht="15.75" customHeight="1">
      <c r="H477" s="88"/>
    </row>
    <row r="478" ht="15.75" customHeight="1">
      <c r="H478" s="88"/>
    </row>
    <row r="479" ht="15.75" customHeight="1">
      <c r="H479" s="88"/>
    </row>
    <row r="480" ht="15.75" customHeight="1">
      <c r="H480" s="88"/>
    </row>
    <row r="481" ht="15.75" customHeight="1">
      <c r="H481" s="88"/>
    </row>
    <row r="482" ht="15.75" customHeight="1">
      <c r="H482" s="88"/>
    </row>
    <row r="483" ht="15.75" customHeight="1">
      <c r="H483" s="88"/>
    </row>
    <row r="484" ht="15.75" customHeight="1">
      <c r="H484" s="88"/>
    </row>
    <row r="485" ht="15.75" customHeight="1">
      <c r="H485" s="88"/>
    </row>
    <row r="486" ht="15.75" customHeight="1">
      <c r="H486" s="88"/>
    </row>
    <row r="487" ht="15.75" customHeight="1">
      <c r="H487" s="88"/>
    </row>
    <row r="488" ht="15.75" customHeight="1">
      <c r="H488" s="88"/>
    </row>
    <row r="489" ht="15.75" customHeight="1">
      <c r="H489" s="88"/>
    </row>
    <row r="490" ht="15.75" customHeight="1">
      <c r="H490" s="88"/>
    </row>
    <row r="491" ht="15.75" customHeight="1">
      <c r="H491" s="88"/>
    </row>
    <row r="492" ht="15.75" customHeight="1">
      <c r="H492" s="88"/>
    </row>
    <row r="493" ht="15.75" customHeight="1">
      <c r="H493" s="88"/>
    </row>
    <row r="494" ht="15.75" customHeight="1">
      <c r="H494" s="88"/>
    </row>
    <row r="495" ht="15.75" customHeight="1">
      <c r="H495" s="88"/>
    </row>
    <row r="496" ht="15.75" customHeight="1">
      <c r="H496" s="88"/>
    </row>
    <row r="497" ht="15.75" customHeight="1">
      <c r="H497" s="88"/>
    </row>
    <row r="498" ht="15.75" customHeight="1">
      <c r="H498" s="88"/>
    </row>
    <row r="499" ht="15.75" customHeight="1">
      <c r="H499" s="88"/>
    </row>
    <row r="500" ht="15.75" customHeight="1">
      <c r="H500" s="88"/>
    </row>
    <row r="501" ht="15.75" customHeight="1">
      <c r="H501" s="88"/>
    </row>
    <row r="502" ht="15.75" customHeight="1">
      <c r="H502" s="88"/>
    </row>
    <row r="503" ht="15.75" customHeight="1">
      <c r="H503" s="88"/>
    </row>
    <row r="504" ht="15.75" customHeight="1">
      <c r="H504" s="88"/>
    </row>
    <row r="505" ht="15.75" customHeight="1">
      <c r="H505" s="88"/>
    </row>
    <row r="506" ht="15.75" customHeight="1">
      <c r="H506" s="88"/>
    </row>
    <row r="507" ht="15.75" customHeight="1">
      <c r="H507" s="88"/>
    </row>
    <row r="508" ht="15.75" customHeight="1">
      <c r="H508" s="88"/>
    </row>
    <row r="509" ht="15.75" customHeight="1">
      <c r="H509" s="88"/>
    </row>
    <row r="510" ht="15.75" customHeight="1">
      <c r="H510" s="88"/>
    </row>
    <row r="511" ht="15.75" customHeight="1">
      <c r="H511" s="88"/>
    </row>
    <row r="512" ht="15.75" customHeight="1">
      <c r="H512" s="88"/>
    </row>
    <row r="513" ht="15.75" customHeight="1">
      <c r="H513" s="88"/>
    </row>
    <row r="514" ht="15.75" customHeight="1">
      <c r="H514" s="88"/>
    </row>
    <row r="515" ht="15.75" customHeight="1">
      <c r="H515" s="88"/>
    </row>
    <row r="516" ht="15.75" customHeight="1">
      <c r="H516" s="88"/>
    </row>
    <row r="517" ht="15.75" customHeight="1">
      <c r="H517" s="88"/>
    </row>
    <row r="518" ht="15.75" customHeight="1">
      <c r="H518" s="88"/>
    </row>
    <row r="519" ht="15.75" customHeight="1">
      <c r="H519" s="88"/>
    </row>
    <row r="520" ht="15.75" customHeight="1">
      <c r="H520" s="88"/>
    </row>
    <row r="521" ht="15.75" customHeight="1">
      <c r="H521" s="88"/>
    </row>
    <row r="522" ht="15.75" customHeight="1">
      <c r="H522" s="88"/>
    </row>
    <row r="523" ht="15.75" customHeight="1">
      <c r="H523" s="88"/>
    </row>
    <row r="524" ht="15.75" customHeight="1">
      <c r="H524" s="88"/>
    </row>
    <row r="525" ht="15.75" customHeight="1">
      <c r="H525" s="88"/>
    </row>
    <row r="526" ht="15.75" customHeight="1">
      <c r="H526" s="88"/>
    </row>
    <row r="527" ht="15.75" customHeight="1">
      <c r="H527" s="88"/>
    </row>
    <row r="528" ht="15.75" customHeight="1">
      <c r="H528" s="88"/>
    </row>
    <row r="529" ht="15.75" customHeight="1">
      <c r="H529" s="88"/>
    </row>
    <row r="530" ht="15.75" customHeight="1">
      <c r="H530" s="88"/>
    </row>
    <row r="531" ht="15.75" customHeight="1">
      <c r="H531" s="88"/>
    </row>
    <row r="532" ht="15.75" customHeight="1">
      <c r="H532" s="88"/>
    </row>
    <row r="533" ht="15.75" customHeight="1">
      <c r="H533" s="88"/>
    </row>
    <row r="534" ht="15.75" customHeight="1">
      <c r="H534" s="88"/>
    </row>
    <row r="535" ht="15.75" customHeight="1">
      <c r="H535" s="88"/>
    </row>
    <row r="536" ht="15.75" customHeight="1">
      <c r="H536" s="88"/>
    </row>
    <row r="537" ht="15.75" customHeight="1">
      <c r="H537" s="88"/>
    </row>
    <row r="538" ht="15.75" customHeight="1">
      <c r="H538" s="88"/>
    </row>
    <row r="539" ht="15.75" customHeight="1">
      <c r="H539" s="88"/>
    </row>
    <row r="540" ht="15.75" customHeight="1">
      <c r="H540" s="88"/>
    </row>
    <row r="541" ht="15.75" customHeight="1">
      <c r="H541" s="88"/>
    </row>
    <row r="542" ht="15.75" customHeight="1">
      <c r="H542" s="88"/>
    </row>
    <row r="543" ht="15.75" customHeight="1">
      <c r="H543" s="88"/>
    </row>
    <row r="544" ht="15.75" customHeight="1">
      <c r="H544" s="88"/>
    </row>
    <row r="545" ht="15.75" customHeight="1">
      <c r="H545" s="88"/>
    </row>
    <row r="546" ht="15.75" customHeight="1">
      <c r="H546" s="88"/>
    </row>
    <row r="547" ht="15.75" customHeight="1">
      <c r="H547" s="88"/>
    </row>
    <row r="548" ht="15.75" customHeight="1">
      <c r="H548" s="88"/>
    </row>
    <row r="549" ht="15.75" customHeight="1">
      <c r="H549" s="88"/>
    </row>
    <row r="550" ht="15.75" customHeight="1">
      <c r="H550" s="88"/>
    </row>
    <row r="551" ht="15.75" customHeight="1">
      <c r="H551" s="88"/>
    </row>
    <row r="552" ht="15.75" customHeight="1">
      <c r="H552" s="88"/>
    </row>
    <row r="553" ht="15.75" customHeight="1">
      <c r="H553" s="88"/>
    </row>
    <row r="554" ht="15.75" customHeight="1">
      <c r="H554" s="88"/>
    </row>
    <row r="555" ht="15.75" customHeight="1">
      <c r="H555" s="88"/>
    </row>
    <row r="556" ht="15.75" customHeight="1">
      <c r="H556" s="88"/>
    </row>
    <row r="557" ht="15.75" customHeight="1">
      <c r="H557" s="88"/>
    </row>
    <row r="558" ht="15.75" customHeight="1">
      <c r="H558" s="88"/>
    </row>
    <row r="559" ht="15.75" customHeight="1">
      <c r="H559" s="88"/>
    </row>
    <row r="560" ht="15.75" customHeight="1">
      <c r="H560" s="88"/>
    </row>
    <row r="561" ht="15.75" customHeight="1">
      <c r="H561" s="88"/>
    </row>
    <row r="562" ht="15.75" customHeight="1">
      <c r="H562" s="88"/>
    </row>
    <row r="563" ht="15.75" customHeight="1">
      <c r="H563" s="88"/>
    </row>
    <row r="564" ht="15.75" customHeight="1">
      <c r="H564" s="88"/>
    </row>
    <row r="565" ht="15.75" customHeight="1">
      <c r="H565" s="88"/>
    </row>
    <row r="566" ht="15.75" customHeight="1">
      <c r="H566" s="88"/>
    </row>
    <row r="567" ht="15.75" customHeight="1">
      <c r="H567" s="88"/>
    </row>
    <row r="568" ht="15.75" customHeight="1">
      <c r="H568" s="88"/>
    </row>
    <row r="569" ht="15.75" customHeight="1">
      <c r="H569" s="88"/>
    </row>
    <row r="570" ht="15.75" customHeight="1">
      <c r="H570" s="88"/>
    </row>
    <row r="571" ht="15.75" customHeight="1">
      <c r="H571" s="88"/>
    </row>
    <row r="572" ht="15.75" customHeight="1">
      <c r="H572" s="88"/>
    </row>
    <row r="573" ht="15.75" customHeight="1">
      <c r="H573" s="88"/>
    </row>
    <row r="574" ht="15.75" customHeight="1">
      <c r="H574" s="88"/>
    </row>
    <row r="575" ht="15.75" customHeight="1">
      <c r="H575" s="88"/>
    </row>
    <row r="576" ht="15.75" customHeight="1">
      <c r="H576" s="88"/>
    </row>
    <row r="577" ht="15.75" customHeight="1">
      <c r="H577" s="88"/>
    </row>
    <row r="578" ht="15.75" customHeight="1">
      <c r="H578" s="88"/>
    </row>
    <row r="579" ht="15.75" customHeight="1">
      <c r="H579" s="88"/>
    </row>
    <row r="580" ht="15.75" customHeight="1">
      <c r="H580" s="88"/>
    </row>
    <row r="581" ht="15.75" customHeight="1">
      <c r="H581" s="88"/>
    </row>
    <row r="582" ht="15.75" customHeight="1">
      <c r="H582" s="88"/>
    </row>
    <row r="583" ht="15.75" customHeight="1">
      <c r="H583" s="88"/>
    </row>
    <row r="584" ht="15.75" customHeight="1">
      <c r="H584" s="88"/>
    </row>
    <row r="585" ht="15.75" customHeight="1">
      <c r="H585" s="88"/>
    </row>
    <row r="586" ht="15.75" customHeight="1">
      <c r="H586" s="88"/>
    </row>
    <row r="587" ht="15.75" customHeight="1">
      <c r="H587" s="88"/>
    </row>
    <row r="588" ht="15.75" customHeight="1">
      <c r="H588" s="88"/>
    </row>
    <row r="589" ht="15.75" customHeight="1">
      <c r="H589" s="88"/>
    </row>
    <row r="590" ht="15.75" customHeight="1">
      <c r="H590" s="88"/>
    </row>
    <row r="591" ht="15.75" customHeight="1">
      <c r="H591" s="88"/>
    </row>
    <row r="592" ht="15.75" customHeight="1">
      <c r="H592" s="88"/>
    </row>
    <row r="593" ht="15.75" customHeight="1">
      <c r="H593" s="88"/>
    </row>
    <row r="594" ht="15.75" customHeight="1">
      <c r="H594" s="88"/>
    </row>
    <row r="595" ht="15.75" customHeight="1">
      <c r="H595" s="88"/>
    </row>
    <row r="596" ht="15.75" customHeight="1">
      <c r="H596" s="88"/>
    </row>
    <row r="597" ht="15.75" customHeight="1">
      <c r="H597" s="88"/>
    </row>
    <row r="598" ht="15.75" customHeight="1">
      <c r="H598" s="88"/>
    </row>
    <row r="599" ht="15.75" customHeight="1">
      <c r="H599" s="88"/>
    </row>
    <row r="600" ht="15.75" customHeight="1">
      <c r="H600" s="88"/>
    </row>
    <row r="601" ht="15.75" customHeight="1">
      <c r="H601" s="88"/>
    </row>
    <row r="602" ht="15.75" customHeight="1">
      <c r="H602" s="88"/>
    </row>
    <row r="603" ht="15.75" customHeight="1">
      <c r="H603" s="88"/>
    </row>
    <row r="604" ht="15.75" customHeight="1">
      <c r="H604" s="88"/>
    </row>
    <row r="605" ht="15.75" customHeight="1">
      <c r="H605" s="88"/>
    </row>
    <row r="606" ht="15.75" customHeight="1">
      <c r="H606" s="88"/>
    </row>
    <row r="607" ht="15.75" customHeight="1">
      <c r="H607" s="88"/>
    </row>
    <row r="608" ht="15.75" customHeight="1">
      <c r="H608" s="88"/>
    </row>
    <row r="609" ht="15.75" customHeight="1">
      <c r="H609" s="88"/>
    </row>
    <row r="610" ht="15.75" customHeight="1">
      <c r="H610" s="88"/>
    </row>
    <row r="611" ht="15.75" customHeight="1">
      <c r="H611" s="88"/>
    </row>
    <row r="612" ht="15.75" customHeight="1">
      <c r="H612" s="88"/>
    </row>
    <row r="613" ht="15.75" customHeight="1">
      <c r="H613" s="88"/>
    </row>
    <row r="614" ht="15.75" customHeight="1">
      <c r="H614" s="88"/>
    </row>
    <row r="615" ht="15.75" customHeight="1">
      <c r="H615" s="88"/>
    </row>
    <row r="616" ht="15.75" customHeight="1">
      <c r="H616" s="88"/>
    </row>
    <row r="617" ht="15.75" customHeight="1">
      <c r="H617" s="88"/>
    </row>
    <row r="618" ht="15.75" customHeight="1">
      <c r="H618" s="88"/>
    </row>
    <row r="619" ht="15.75" customHeight="1">
      <c r="H619" s="88"/>
    </row>
    <row r="620" ht="15.75" customHeight="1">
      <c r="H620" s="88"/>
    </row>
    <row r="621" ht="15.75" customHeight="1">
      <c r="H621" s="88"/>
    </row>
    <row r="622" ht="15.75" customHeight="1">
      <c r="H622" s="88"/>
    </row>
    <row r="623" ht="15.75" customHeight="1">
      <c r="H623" s="88"/>
    </row>
    <row r="624" ht="15.75" customHeight="1">
      <c r="H624" s="88"/>
    </row>
    <row r="625" ht="15.75" customHeight="1">
      <c r="H625" s="88"/>
    </row>
    <row r="626" ht="15.75" customHeight="1">
      <c r="H626" s="88"/>
    </row>
    <row r="627" ht="15.75" customHeight="1">
      <c r="H627" s="88"/>
    </row>
    <row r="628" ht="15.75" customHeight="1">
      <c r="H628" s="88"/>
    </row>
    <row r="629" ht="15.75" customHeight="1">
      <c r="H629" s="88"/>
    </row>
    <row r="630" ht="15.75" customHeight="1">
      <c r="H630" s="88"/>
    </row>
    <row r="631" ht="15.75" customHeight="1">
      <c r="H631" s="88"/>
    </row>
    <row r="632" ht="15.75" customHeight="1">
      <c r="H632" s="88"/>
    </row>
    <row r="633" ht="15.75" customHeight="1">
      <c r="H633" s="88"/>
    </row>
    <row r="634" ht="15.75" customHeight="1">
      <c r="H634" s="88"/>
    </row>
    <row r="635" ht="15.75" customHeight="1">
      <c r="H635" s="88"/>
    </row>
    <row r="636" ht="15.75" customHeight="1">
      <c r="H636" s="88"/>
    </row>
    <row r="637" ht="15.75" customHeight="1">
      <c r="H637" s="88"/>
    </row>
    <row r="638" ht="15.75" customHeight="1">
      <c r="H638" s="88"/>
    </row>
    <row r="639" ht="15.75" customHeight="1">
      <c r="H639" s="88"/>
    </row>
    <row r="640" ht="15.75" customHeight="1">
      <c r="H640" s="88"/>
    </row>
    <row r="641" ht="15.75" customHeight="1">
      <c r="H641" s="88"/>
    </row>
    <row r="642" ht="15.75" customHeight="1">
      <c r="H642" s="88"/>
    </row>
    <row r="643" ht="15.75" customHeight="1">
      <c r="H643" s="88"/>
    </row>
    <row r="644" ht="15.75" customHeight="1">
      <c r="H644" s="88"/>
    </row>
    <row r="645" ht="15.75" customHeight="1">
      <c r="H645" s="88"/>
    </row>
    <row r="646" ht="15.75" customHeight="1">
      <c r="H646" s="88"/>
    </row>
    <row r="647" ht="15.75" customHeight="1">
      <c r="H647" s="88"/>
    </row>
    <row r="648" ht="15.75" customHeight="1">
      <c r="H648" s="88"/>
    </row>
    <row r="649" ht="15.75" customHeight="1">
      <c r="H649" s="88"/>
    </row>
    <row r="650" ht="15.75" customHeight="1">
      <c r="H650" s="88"/>
    </row>
    <row r="651" ht="15.75" customHeight="1">
      <c r="H651" s="88"/>
    </row>
    <row r="652" ht="15.75" customHeight="1">
      <c r="H652" s="88"/>
    </row>
    <row r="653" ht="15.75" customHeight="1">
      <c r="H653" s="88"/>
    </row>
    <row r="654" ht="15.75" customHeight="1">
      <c r="H654" s="88"/>
    </row>
    <row r="655" ht="15.75" customHeight="1">
      <c r="H655" s="88"/>
    </row>
    <row r="656" ht="15.75" customHeight="1">
      <c r="H656" s="88"/>
    </row>
    <row r="657" ht="15.75" customHeight="1">
      <c r="H657" s="88"/>
    </row>
    <row r="658" ht="15.75" customHeight="1">
      <c r="H658" s="88"/>
    </row>
    <row r="659" ht="15.75" customHeight="1">
      <c r="H659" s="88"/>
    </row>
    <row r="660" ht="15.75" customHeight="1">
      <c r="H660" s="88"/>
    </row>
    <row r="661" ht="15.75" customHeight="1">
      <c r="H661" s="88"/>
    </row>
    <row r="662" ht="15.75" customHeight="1">
      <c r="H662" s="88"/>
    </row>
    <row r="663" ht="15.75" customHeight="1">
      <c r="H663" s="88"/>
    </row>
    <row r="664" ht="15.75" customHeight="1">
      <c r="H664" s="88"/>
    </row>
    <row r="665" ht="15.75" customHeight="1">
      <c r="H665" s="88"/>
    </row>
    <row r="666" ht="15.75" customHeight="1">
      <c r="H666" s="88"/>
    </row>
    <row r="667" ht="15.75" customHeight="1">
      <c r="H667" s="88"/>
    </row>
    <row r="668" ht="15.75" customHeight="1">
      <c r="H668" s="88"/>
    </row>
    <row r="669" ht="15.75" customHeight="1">
      <c r="H669" s="88"/>
    </row>
    <row r="670" ht="15.75" customHeight="1">
      <c r="H670" s="88"/>
    </row>
    <row r="671" ht="15.75" customHeight="1">
      <c r="H671" s="88"/>
    </row>
    <row r="672" ht="15.75" customHeight="1">
      <c r="H672" s="88"/>
    </row>
    <row r="673" ht="15.75" customHeight="1">
      <c r="H673" s="88"/>
    </row>
    <row r="674" ht="15.75" customHeight="1">
      <c r="H674" s="88"/>
    </row>
    <row r="675" ht="15.75" customHeight="1">
      <c r="H675" s="88"/>
    </row>
    <row r="676" ht="15.75" customHeight="1">
      <c r="H676" s="88"/>
    </row>
    <row r="677" ht="15.75" customHeight="1">
      <c r="H677" s="88"/>
    </row>
    <row r="678" ht="15.75" customHeight="1">
      <c r="H678" s="88"/>
    </row>
    <row r="679" ht="15.75" customHeight="1">
      <c r="H679" s="88"/>
    </row>
    <row r="680" ht="15.75" customHeight="1">
      <c r="H680" s="88"/>
    </row>
    <row r="681" ht="15.75" customHeight="1">
      <c r="H681" s="88"/>
    </row>
    <row r="682" ht="15.75" customHeight="1">
      <c r="H682" s="88"/>
    </row>
    <row r="683" ht="15.75" customHeight="1">
      <c r="H683" s="88"/>
    </row>
    <row r="684" ht="15.75" customHeight="1">
      <c r="H684" s="88"/>
    </row>
    <row r="685" ht="15.75" customHeight="1">
      <c r="H685" s="88"/>
    </row>
    <row r="686" ht="15.75" customHeight="1">
      <c r="H686" s="88"/>
    </row>
    <row r="687" ht="15.75" customHeight="1">
      <c r="H687" s="88"/>
    </row>
    <row r="688" ht="15.75" customHeight="1">
      <c r="H688" s="88"/>
    </row>
    <row r="689" ht="15.75" customHeight="1">
      <c r="H689" s="88"/>
    </row>
    <row r="690" ht="15.75" customHeight="1">
      <c r="H690" s="88"/>
    </row>
    <row r="691" ht="15.75" customHeight="1">
      <c r="H691" s="88"/>
    </row>
    <row r="692" ht="15.75" customHeight="1">
      <c r="H692" s="88"/>
    </row>
    <row r="693" ht="15.75" customHeight="1">
      <c r="H693" s="88"/>
    </row>
    <row r="694" ht="15.75" customHeight="1">
      <c r="H694" s="88"/>
    </row>
    <row r="695" ht="15.75" customHeight="1">
      <c r="H695" s="88"/>
    </row>
    <row r="696" ht="15.75" customHeight="1">
      <c r="H696" s="88"/>
    </row>
    <row r="697" ht="15.75" customHeight="1">
      <c r="H697" s="88"/>
    </row>
    <row r="698" ht="15.75" customHeight="1">
      <c r="H698" s="88"/>
    </row>
    <row r="699" ht="15.75" customHeight="1">
      <c r="H699" s="88"/>
    </row>
    <row r="700" ht="15.75" customHeight="1">
      <c r="H700" s="88"/>
    </row>
    <row r="701" ht="15.75" customHeight="1">
      <c r="H701" s="88"/>
    </row>
    <row r="702" ht="15.75" customHeight="1">
      <c r="H702" s="88"/>
    </row>
    <row r="703" ht="15.75" customHeight="1">
      <c r="H703" s="88"/>
    </row>
    <row r="704" ht="15.75" customHeight="1">
      <c r="H704" s="88"/>
    </row>
    <row r="705" ht="15.75" customHeight="1">
      <c r="H705" s="88"/>
    </row>
    <row r="706" ht="15.75" customHeight="1">
      <c r="H706" s="88"/>
    </row>
    <row r="707" ht="15.75" customHeight="1">
      <c r="H707" s="88"/>
    </row>
    <row r="708" ht="15.75" customHeight="1">
      <c r="H708" s="88"/>
    </row>
    <row r="709" ht="15.75" customHeight="1">
      <c r="H709" s="88"/>
    </row>
    <row r="710" ht="15.75" customHeight="1">
      <c r="H710" s="88"/>
    </row>
    <row r="711" ht="15.75" customHeight="1">
      <c r="H711" s="88"/>
    </row>
    <row r="712" ht="15.75" customHeight="1">
      <c r="H712" s="88"/>
    </row>
    <row r="713" ht="15.75" customHeight="1">
      <c r="H713" s="88"/>
    </row>
    <row r="714" ht="15.75" customHeight="1">
      <c r="H714" s="88"/>
    </row>
    <row r="715" ht="15.75" customHeight="1">
      <c r="H715" s="88"/>
    </row>
    <row r="716" ht="15.75" customHeight="1">
      <c r="H716" s="88"/>
    </row>
    <row r="717" ht="15.75" customHeight="1">
      <c r="H717" s="88"/>
    </row>
    <row r="718" ht="15.75" customHeight="1">
      <c r="H718" s="88"/>
    </row>
    <row r="719" ht="15.75" customHeight="1">
      <c r="H719" s="88"/>
    </row>
    <row r="720" ht="15.75" customHeight="1">
      <c r="H720" s="88"/>
    </row>
    <row r="721" ht="15.75" customHeight="1">
      <c r="H721" s="88"/>
    </row>
    <row r="722" ht="15.75" customHeight="1">
      <c r="H722" s="88"/>
    </row>
    <row r="723" ht="15.75" customHeight="1">
      <c r="H723" s="88"/>
    </row>
    <row r="724" ht="15.75" customHeight="1">
      <c r="H724" s="88"/>
    </row>
    <row r="725" ht="15.75" customHeight="1">
      <c r="H725" s="88"/>
    </row>
    <row r="726" ht="15.75" customHeight="1">
      <c r="H726" s="88"/>
    </row>
    <row r="727" ht="15.75" customHeight="1">
      <c r="H727" s="88"/>
    </row>
    <row r="728" ht="15.75" customHeight="1">
      <c r="H728" s="88"/>
    </row>
    <row r="729" ht="15.75" customHeight="1">
      <c r="H729" s="88"/>
    </row>
    <row r="730" ht="15.75" customHeight="1">
      <c r="H730" s="88"/>
    </row>
    <row r="731" ht="15.75" customHeight="1">
      <c r="H731" s="88"/>
    </row>
    <row r="732" ht="15.75" customHeight="1">
      <c r="H732" s="88"/>
    </row>
    <row r="733" ht="15.75" customHeight="1">
      <c r="H733" s="88"/>
    </row>
    <row r="734" ht="15.75" customHeight="1">
      <c r="H734" s="88"/>
    </row>
    <row r="735" ht="15.75" customHeight="1">
      <c r="H735" s="88"/>
    </row>
    <row r="736" ht="15.75" customHeight="1">
      <c r="H736" s="88"/>
    </row>
    <row r="737" ht="15.75" customHeight="1">
      <c r="H737" s="88"/>
    </row>
    <row r="738" ht="15.75" customHeight="1">
      <c r="H738" s="88"/>
    </row>
    <row r="739" ht="15.75" customHeight="1">
      <c r="H739" s="88"/>
    </row>
    <row r="740" ht="15.75" customHeight="1">
      <c r="H740" s="88"/>
    </row>
    <row r="741" ht="15.75" customHeight="1">
      <c r="H741" s="88"/>
    </row>
    <row r="742" ht="15.75" customHeight="1">
      <c r="H742" s="88"/>
    </row>
    <row r="743" ht="15.75" customHeight="1">
      <c r="H743" s="88"/>
    </row>
    <row r="744" ht="15.75" customHeight="1">
      <c r="H744" s="88"/>
    </row>
    <row r="745" ht="15.75" customHeight="1">
      <c r="H745" s="88"/>
    </row>
    <row r="746" ht="15.75" customHeight="1">
      <c r="H746" s="88"/>
    </row>
    <row r="747" ht="15.75" customHeight="1">
      <c r="H747" s="88"/>
    </row>
    <row r="748" ht="15.75" customHeight="1">
      <c r="H748" s="88"/>
    </row>
    <row r="749" ht="15.75" customHeight="1">
      <c r="H749" s="88"/>
    </row>
    <row r="750" ht="15.75" customHeight="1">
      <c r="H750" s="88"/>
    </row>
    <row r="751" ht="15.75" customHeight="1">
      <c r="H751" s="88"/>
    </row>
    <row r="752" ht="15.75" customHeight="1">
      <c r="H752" s="88"/>
    </row>
    <row r="753" ht="15.75" customHeight="1">
      <c r="H753" s="88"/>
    </row>
    <row r="754" ht="15.75" customHeight="1">
      <c r="H754" s="88"/>
    </row>
    <row r="755" ht="15.75" customHeight="1">
      <c r="H755" s="88"/>
    </row>
    <row r="756" ht="15.75" customHeight="1">
      <c r="H756" s="88"/>
    </row>
    <row r="757" ht="15.75" customHeight="1">
      <c r="H757" s="88"/>
    </row>
    <row r="758" ht="15.75" customHeight="1">
      <c r="H758" s="88"/>
    </row>
    <row r="759" ht="15.75" customHeight="1">
      <c r="H759" s="88"/>
    </row>
    <row r="760" ht="15.75" customHeight="1">
      <c r="H760" s="88"/>
    </row>
    <row r="761" ht="15.75" customHeight="1">
      <c r="H761" s="88"/>
    </row>
    <row r="762" ht="15.75" customHeight="1">
      <c r="H762" s="88"/>
    </row>
    <row r="763" ht="15.75" customHeight="1">
      <c r="H763" s="88"/>
    </row>
    <row r="764" ht="15.75" customHeight="1">
      <c r="H764" s="88"/>
    </row>
    <row r="765" ht="15.75" customHeight="1">
      <c r="H765" s="88"/>
    </row>
    <row r="766" ht="15.75" customHeight="1">
      <c r="H766" s="88"/>
    </row>
    <row r="767" ht="15.75" customHeight="1">
      <c r="H767" s="88"/>
    </row>
    <row r="768" ht="15.75" customHeight="1">
      <c r="H768" s="88"/>
    </row>
    <row r="769" ht="15.75" customHeight="1">
      <c r="H769" s="88"/>
    </row>
    <row r="770" ht="15.75" customHeight="1">
      <c r="H770" s="88"/>
    </row>
    <row r="771" ht="15.75" customHeight="1">
      <c r="H771" s="88"/>
    </row>
    <row r="772" ht="15.75" customHeight="1">
      <c r="H772" s="88"/>
    </row>
    <row r="773" ht="15.75" customHeight="1">
      <c r="H773" s="88"/>
    </row>
    <row r="774" ht="15.75" customHeight="1">
      <c r="H774" s="88"/>
    </row>
    <row r="775" ht="15.75" customHeight="1">
      <c r="H775" s="88"/>
    </row>
    <row r="776" ht="15.75" customHeight="1">
      <c r="H776" s="88"/>
    </row>
    <row r="777" ht="15.75" customHeight="1">
      <c r="H777" s="88"/>
    </row>
    <row r="778" ht="15.75" customHeight="1">
      <c r="H778" s="88"/>
    </row>
    <row r="779" ht="15.75" customHeight="1">
      <c r="H779" s="88"/>
    </row>
    <row r="780" ht="15.75" customHeight="1">
      <c r="H780" s="88"/>
    </row>
    <row r="781" ht="15.75" customHeight="1">
      <c r="H781" s="88"/>
    </row>
    <row r="782" ht="15.75" customHeight="1">
      <c r="H782" s="88"/>
    </row>
    <row r="783" ht="15.75" customHeight="1">
      <c r="H783" s="88"/>
    </row>
    <row r="784" ht="15.75" customHeight="1">
      <c r="H784" s="88"/>
    </row>
    <row r="785" ht="15.75" customHeight="1">
      <c r="H785" s="88"/>
    </row>
    <row r="786" ht="15.75" customHeight="1">
      <c r="H786" s="88"/>
    </row>
    <row r="787" ht="15.75" customHeight="1">
      <c r="H787" s="88"/>
    </row>
    <row r="788" ht="15.75" customHeight="1">
      <c r="H788" s="88"/>
    </row>
    <row r="789" ht="15.75" customHeight="1">
      <c r="H789" s="88"/>
    </row>
    <row r="790" ht="15.75" customHeight="1">
      <c r="H790" s="88"/>
    </row>
    <row r="791" ht="15.75" customHeight="1">
      <c r="H791" s="88"/>
    </row>
    <row r="792" ht="15.75" customHeight="1">
      <c r="H792" s="88"/>
    </row>
    <row r="793" ht="15.75" customHeight="1">
      <c r="H793" s="88"/>
    </row>
    <row r="794" ht="15.75" customHeight="1">
      <c r="H794" s="88"/>
    </row>
    <row r="795" ht="15.75" customHeight="1">
      <c r="H795" s="88"/>
    </row>
    <row r="796" ht="15.75" customHeight="1">
      <c r="H796" s="88"/>
    </row>
    <row r="797" ht="15.75" customHeight="1">
      <c r="H797" s="88"/>
    </row>
    <row r="798" ht="15.75" customHeight="1">
      <c r="H798" s="88"/>
    </row>
    <row r="799" ht="15.75" customHeight="1">
      <c r="H799" s="88"/>
    </row>
    <row r="800" ht="15.75" customHeight="1">
      <c r="H800" s="88"/>
    </row>
    <row r="801" ht="15.75" customHeight="1">
      <c r="H801" s="88"/>
    </row>
    <row r="802" ht="15.75" customHeight="1">
      <c r="H802" s="88"/>
    </row>
    <row r="803" ht="15.75" customHeight="1">
      <c r="H803" s="88"/>
    </row>
    <row r="804" ht="15.75" customHeight="1">
      <c r="H804" s="88"/>
    </row>
    <row r="805" ht="15.75" customHeight="1">
      <c r="H805" s="88"/>
    </row>
    <row r="806" ht="15.75" customHeight="1">
      <c r="H806" s="88"/>
    </row>
    <row r="807" ht="15.75" customHeight="1">
      <c r="H807" s="88"/>
    </row>
    <row r="808" ht="15.75" customHeight="1">
      <c r="H808" s="88"/>
    </row>
    <row r="809" ht="15.75" customHeight="1">
      <c r="H809" s="88"/>
    </row>
    <row r="810" ht="15.75" customHeight="1">
      <c r="H810" s="88"/>
    </row>
    <row r="811" ht="15.75" customHeight="1">
      <c r="H811" s="88"/>
    </row>
    <row r="812" ht="15.75" customHeight="1">
      <c r="H812" s="88"/>
    </row>
    <row r="813" ht="15.75" customHeight="1">
      <c r="H813" s="88"/>
    </row>
    <row r="814" ht="15.75" customHeight="1">
      <c r="H814" s="88"/>
    </row>
    <row r="815" ht="15.75" customHeight="1">
      <c r="H815" s="88"/>
    </row>
    <row r="816" ht="15.75" customHeight="1">
      <c r="H816" s="88"/>
    </row>
    <row r="817" ht="15.75" customHeight="1">
      <c r="H817" s="88"/>
    </row>
    <row r="818" ht="15.75" customHeight="1">
      <c r="H818" s="88"/>
    </row>
    <row r="819" ht="15.75" customHeight="1">
      <c r="H819" s="88"/>
    </row>
    <row r="820" ht="15.75" customHeight="1">
      <c r="H820" s="88"/>
    </row>
    <row r="821" ht="15.75" customHeight="1">
      <c r="H821" s="88"/>
    </row>
    <row r="822" ht="15.75" customHeight="1">
      <c r="H822" s="88"/>
    </row>
    <row r="823" ht="15.75" customHeight="1">
      <c r="H823" s="88"/>
    </row>
    <row r="824" ht="15.75" customHeight="1">
      <c r="H824" s="88"/>
    </row>
    <row r="825" ht="15.75" customHeight="1">
      <c r="H825" s="88"/>
    </row>
    <row r="826" ht="15.75" customHeight="1">
      <c r="H826" s="88"/>
    </row>
    <row r="827" ht="15.75" customHeight="1">
      <c r="H827" s="88"/>
    </row>
    <row r="828" ht="15.75" customHeight="1">
      <c r="H828" s="88"/>
    </row>
    <row r="829" ht="15.75" customHeight="1">
      <c r="H829" s="88"/>
    </row>
    <row r="830" ht="15.75" customHeight="1">
      <c r="H830" s="88"/>
    </row>
    <row r="831" ht="15.75" customHeight="1">
      <c r="H831" s="88"/>
    </row>
    <row r="832" ht="15.75" customHeight="1">
      <c r="H832" s="88"/>
    </row>
    <row r="833" ht="15.75" customHeight="1">
      <c r="H833" s="88"/>
    </row>
    <row r="834" ht="15.75" customHeight="1">
      <c r="H834" s="88"/>
    </row>
    <row r="835" ht="15.75" customHeight="1">
      <c r="H835" s="88"/>
    </row>
    <row r="836" ht="15.75" customHeight="1">
      <c r="H836" s="88"/>
    </row>
    <row r="837" ht="15.75" customHeight="1">
      <c r="H837" s="88"/>
    </row>
    <row r="838" ht="15.75" customHeight="1">
      <c r="H838" s="88"/>
    </row>
    <row r="839" ht="15.75" customHeight="1">
      <c r="H839" s="88"/>
    </row>
    <row r="840" ht="15.75" customHeight="1">
      <c r="H840" s="88"/>
    </row>
    <row r="841" ht="15.75" customHeight="1">
      <c r="H841" s="88"/>
    </row>
    <row r="842" ht="15.75" customHeight="1">
      <c r="H842" s="88"/>
    </row>
    <row r="843" ht="15.75" customHeight="1">
      <c r="H843" s="88"/>
    </row>
    <row r="844" ht="15.75" customHeight="1">
      <c r="H844" s="88"/>
    </row>
    <row r="845" ht="15.75" customHeight="1">
      <c r="H845" s="88"/>
    </row>
    <row r="846" ht="15.75" customHeight="1">
      <c r="H846" s="88"/>
    </row>
    <row r="847" ht="15.75" customHeight="1">
      <c r="H847" s="88"/>
    </row>
    <row r="848" ht="15.75" customHeight="1">
      <c r="H848" s="88"/>
    </row>
    <row r="849" ht="15.75" customHeight="1">
      <c r="H849" s="88"/>
    </row>
    <row r="850" ht="15.75" customHeight="1">
      <c r="H850" s="88"/>
    </row>
    <row r="851" ht="15.75" customHeight="1">
      <c r="H851" s="88"/>
    </row>
    <row r="852" ht="15.75" customHeight="1">
      <c r="H852" s="88"/>
    </row>
    <row r="853" ht="15.75" customHeight="1">
      <c r="H853" s="88"/>
    </row>
    <row r="854" ht="15.75" customHeight="1">
      <c r="H854" s="88"/>
    </row>
    <row r="855" ht="15.75" customHeight="1">
      <c r="H855" s="88"/>
    </row>
    <row r="856" ht="15.75" customHeight="1">
      <c r="H856" s="88"/>
    </row>
    <row r="857" ht="15.75" customHeight="1">
      <c r="H857" s="88"/>
    </row>
    <row r="858" ht="15.75" customHeight="1">
      <c r="H858" s="88"/>
    </row>
    <row r="859" ht="15.75" customHeight="1">
      <c r="H859" s="88"/>
    </row>
    <row r="860" ht="15.75" customHeight="1">
      <c r="H860" s="88"/>
    </row>
    <row r="861" ht="15.75" customHeight="1">
      <c r="H861" s="88"/>
    </row>
    <row r="862" ht="15.75" customHeight="1">
      <c r="H862" s="88"/>
    </row>
    <row r="863" ht="15.75" customHeight="1">
      <c r="H863" s="88"/>
    </row>
    <row r="864" ht="15.75" customHeight="1">
      <c r="H864" s="88"/>
    </row>
    <row r="865" ht="15.75" customHeight="1">
      <c r="H865" s="88"/>
    </row>
    <row r="866" ht="15.75" customHeight="1">
      <c r="H866" s="88"/>
    </row>
    <row r="867" ht="15.75" customHeight="1">
      <c r="H867" s="88"/>
    </row>
    <row r="868" ht="15.75" customHeight="1">
      <c r="H868" s="88"/>
    </row>
    <row r="869" ht="15.75" customHeight="1">
      <c r="H869" s="88"/>
    </row>
    <row r="870" ht="15.75" customHeight="1">
      <c r="H870" s="88"/>
    </row>
    <row r="871" ht="15.75" customHeight="1">
      <c r="H871" s="88"/>
    </row>
    <row r="872" ht="15.75" customHeight="1">
      <c r="H872" s="88"/>
    </row>
    <row r="873" ht="15.75" customHeight="1">
      <c r="H873" s="88"/>
    </row>
    <row r="874" ht="15.75" customHeight="1">
      <c r="H874" s="88"/>
    </row>
    <row r="875" ht="15.75" customHeight="1">
      <c r="H875" s="88"/>
    </row>
    <row r="876" ht="15.75" customHeight="1">
      <c r="H876" s="88"/>
    </row>
    <row r="877" ht="15.75" customHeight="1">
      <c r="H877" s="88"/>
    </row>
    <row r="878" ht="15.75" customHeight="1">
      <c r="H878" s="88"/>
    </row>
    <row r="879" ht="15.75" customHeight="1">
      <c r="H879" s="88"/>
    </row>
    <row r="880" ht="15.75" customHeight="1">
      <c r="H880" s="88"/>
    </row>
    <row r="881" ht="15.75" customHeight="1">
      <c r="H881" s="88"/>
    </row>
    <row r="882" ht="15.75" customHeight="1">
      <c r="H882" s="88"/>
    </row>
    <row r="883" ht="15.75" customHeight="1">
      <c r="H883" s="88"/>
    </row>
    <row r="884" ht="15.75" customHeight="1">
      <c r="H884" s="88"/>
    </row>
    <row r="885" ht="15.75" customHeight="1">
      <c r="H885" s="88"/>
    </row>
    <row r="886" ht="15.75" customHeight="1">
      <c r="H886" s="88"/>
    </row>
    <row r="887" ht="15.75" customHeight="1">
      <c r="H887" s="88"/>
    </row>
    <row r="888" ht="15.75" customHeight="1">
      <c r="H888" s="88"/>
    </row>
    <row r="889" ht="15.75" customHeight="1">
      <c r="H889" s="88"/>
    </row>
    <row r="890" ht="15.75" customHeight="1">
      <c r="H890" s="88"/>
    </row>
    <row r="891" ht="15.75" customHeight="1">
      <c r="H891" s="88"/>
    </row>
    <row r="892" ht="15.75" customHeight="1">
      <c r="H892" s="88"/>
    </row>
    <row r="893" ht="15.75" customHeight="1">
      <c r="H893" s="88"/>
    </row>
    <row r="894" ht="15.75" customHeight="1">
      <c r="H894" s="88"/>
    </row>
    <row r="895" ht="15.75" customHeight="1">
      <c r="H895" s="88"/>
    </row>
    <row r="896" ht="15.75" customHeight="1">
      <c r="H896" s="88"/>
    </row>
    <row r="897" ht="15.75" customHeight="1">
      <c r="H897" s="88"/>
    </row>
    <row r="898" ht="15.75" customHeight="1">
      <c r="H898" s="88"/>
    </row>
    <row r="899" ht="15.75" customHeight="1">
      <c r="H899" s="88"/>
    </row>
    <row r="900" ht="15.75" customHeight="1">
      <c r="H900" s="88"/>
    </row>
    <row r="901" ht="15.75" customHeight="1">
      <c r="H901" s="88"/>
    </row>
    <row r="902" ht="15.75" customHeight="1">
      <c r="H902" s="88"/>
    </row>
    <row r="903" ht="15.75" customHeight="1">
      <c r="H903" s="88"/>
    </row>
    <row r="904" ht="15.75" customHeight="1">
      <c r="H904" s="88"/>
    </row>
    <row r="905" ht="15.75" customHeight="1">
      <c r="H905" s="88"/>
    </row>
    <row r="906" ht="15.75" customHeight="1">
      <c r="H906" s="88"/>
    </row>
    <row r="907" ht="15.75" customHeight="1">
      <c r="H907" s="88"/>
    </row>
    <row r="908" ht="15.75" customHeight="1">
      <c r="H908" s="88"/>
    </row>
    <row r="909" ht="15.75" customHeight="1">
      <c r="H909" s="88"/>
    </row>
    <row r="910" ht="15.75" customHeight="1">
      <c r="H910" s="88"/>
    </row>
    <row r="911" ht="15.75" customHeight="1">
      <c r="H911" s="88"/>
    </row>
    <row r="912" ht="15.75" customHeight="1">
      <c r="H912" s="88"/>
    </row>
    <row r="913" ht="15.75" customHeight="1">
      <c r="H913" s="88"/>
    </row>
    <row r="914" ht="15.75" customHeight="1">
      <c r="H914" s="88"/>
    </row>
    <row r="915" ht="15.75" customHeight="1">
      <c r="H915" s="88"/>
    </row>
    <row r="916" ht="15.75" customHeight="1">
      <c r="H916" s="88"/>
    </row>
    <row r="917" ht="15.75" customHeight="1">
      <c r="H917" s="88"/>
    </row>
    <row r="918" ht="15.75" customHeight="1">
      <c r="H918" s="88"/>
    </row>
    <row r="919" ht="15.75" customHeight="1">
      <c r="H919" s="88"/>
    </row>
    <row r="920" ht="15.75" customHeight="1">
      <c r="H920" s="88"/>
    </row>
    <row r="921" ht="15.75" customHeight="1">
      <c r="H921" s="88"/>
    </row>
    <row r="922" ht="15.75" customHeight="1">
      <c r="H922" s="88"/>
    </row>
    <row r="923" ht="15.75" customHeight="1">
      <c r="H923" s="88"/>
    </row>
    <row r="924" ht="15.75" customHeight="1">
      <c r="H924" s="88"/>
    </row>
    <row r="925" ht="15.75" customHeight="1">
      <c r="H925" s="88"/>
    </row>
    <row r="926" ht="15.75" customHeight="1">
      <c r="H926" s="88"/>
    </row>
    <row r="927" ht="15.75" customHeight="1">
      <c r="H927" s="88"/>
    </row>
    <row r="928" ht="15.75" customHeight="1">
      <c r="H928" s="88"/>
    </row>
    <row r="929" ht="15.75" customHeight="1">
      <c r="H929" s="88"/>
    </row>
    <row r="930" ht="15.75" customHeight="1">
      <c r="H930" s="88"/>
    </row>
    <row r="931" ht="15.75" customHeight="1">
      <c r="H931" s="88"/>
    </row>
    <row r="932" ht="15.75" customHeight="1">
      <c r="H932" s="88"/>
    </row>
    <row r="933" ht="15.75" customHeight="1">
      <c r="H933" s="88"/>
    </row>
    <row r="934" ht="15.75" customHeight="1">
      <c r="H934" s="88"/>
    </row>
    <row r="935" ht="15.75" customHeight="1">
      <c r="H935" s="88"/>
    </row>
    <row r="936" ht="15.75" customHeight="1">
      <c r="H936" s="88"/>
    </row>
    <row r="937" ht="15.75" customHeight="1">
      <c r="H937" s="88"/>
    </row>
    <row r="938" ht="15.75" customHeight="1">
      <c r="H938" s="88"/>
    </row>
    <row r="939" ht="15.75" customHeight="1">
      <c r="H939" s="88"/>
    </row>
    <row r="940" ht="15.75" customHeight="1">
      <c r="H940" s="88"/>
    </row>
    <row r="941" ht="15.75" customHeight="1">
      <c r="H941" s="88"/>
    </row>
    <row r="942" ht="15.75" customHeight="1">
      <c r="H942" s="88"/>
    </row>
    <row r="943" ht="15.75" customHeight="1">
      <c r="H943" s="88"/>
    </row>
    <row r="944" ht="15.75" customHeight="1">
      <c r="H944" s="88"/>
    </row>
    <row r="945" ht="15.75" customHeight="1">
      <c r="H945" s="88"/>
    </row>
    <row r="946" ht="15.75" customHeight="1">
      <c r="H946" s="88"/>
    </row>
    <row r="947" ht="15.75" customHeight="1">
      <c r="H947" s="88"/>
    </row>
    <row r="948" ht="15.75" customHeight="1">
      <c r="H948" s="88"/>
    </row>
    <row r="949" ht="15.75" customHeight="1">
      <c r="H949" s="88"/>
    </row>
    <row r="950" ht="15.75" customHeight="1">
      <c r="H950" s="88"/>
    </row>
    <row r="951" ht="15.75" customHeight="1">
      <c r="H951" s="88"/>
    </row>
    <row r="952" ht="15.75" customHeight="1">
      <c r="H952" s="88"/>
    </row>
    <row r="953" ht="15.75" customHeight="1">
      <c r="H953" s="88"/>
    </row>
    <row r="954" ht="15.75" customHeight="1">
      <c r="H954" s="88"/>
    </row>
    <row r="955" ht="15.75" customHeight="1">
      <c r="H955" s="88"/>
    </row>
    <row r="956" ht="15.75" customHeight="1">
      <c r="H956" s="88"/>
    </row>
    <row r="957" ht="15.75" customHeight="1">
      <c r="H957" s="88"/>
    </row>
    <row r="958" ht="15.75" customHeight="1">
      <c r="H958" s="88"/>
    </row>
    <row r="959" ht="15.75" customHeight="1">
      <c r="H959" s="88"/>
    </row>
    <row r="960" ht="15.75" customHeight="1">
      <c r="H960" s="88"/>
    </row>
    <row r="961" ht="15.75" customHeight="1">
      <c r="H961" s="88"/>
    </row>
    <row r="962" ht="15.75" customHeight="1">
      <c r="H962" s="88"/>
    </row>
    <row r="963" ht="15.75" customHeight="1">
      <c r="H963" s="88"/>
    </row>
    <row r="964" ht="15.75" customHeight="1">
      <c r="H964" s="88"/>
    </row>
    <row r="965" ht="15.75" customHeight="1">
      <c r="H965" s="88"/>
    </row>
    <row r="966" ht="15.75" customHeight="1">
      <c r="H966" s="88"/>
    </row>
    <row r="967" ht="15.75" customHeight="1">
      <c r="H967" s="88"/>
    </row>
    <row r="968" ht="15.75" customHeight="1">
      <c r="H968" s="88"/>
    </row>
    <row r="969" ht="15.75" customHeight="1">
      <c r="H969" s="88"/>
    </row>
    <row r="970" ht="15.75" customHeight="1">
      <c r="H970" s="88"/>
    </row>
    <row r="971" ht="15.75" customHeight="1">
      <c r="H971" s="88"/>
    </row>
    <row r="972" ht="15.75" customHeight="1">
      <c r="H972" s="88"/>
    </row>
    <row r="973" ht="15.75" customHeight="1">
      <c r="H973" s="88"/>
    </row>
    <row r="974" ht="15.75" customHeight="1">
      <c r="H974" s="88"/>
    </row>
    <row r="975" ht="15.75" customHeight="1">
      <c r="H975" s="88"/>
    </row>
    <row r="976" ht="15.75" customHeight="1">
      <c r="H976" s="88"/>
    </row>
    <row r="977" ht="15.75" customHeight="1">
      <c r="H977" s="88"/>
    </row>
    <row r="978" ht="15.75" customHeight="1">
      <c r="H978" s="88"/>
    </row>
    <row r="979" ht="15.75" customHeight="1">
      <c r="H979" s="88"/>
    </row>
    <row r="980" ht="15.75" customHeight="1">
      <c r="H980" s="88"/>
    </row>
    <row r="981" ht="15.75" customHeight="1">
      <c r="H981" s="88"/>
    </row>
    <row r="982" ht="15.75" customHeight="1">
      <c r="H982" s="88"/>
    </row>
    <row r="983" ht="15.75" customHeight="1">
      <c r="H983" s="88"/>
    </row>
    <row r="984" ht="15.75" customHeight="1">
      <c r="H984" s="88"/>
    </row>
    <row r="985" ht="15.75" customHeight="1">
      <c r="H985" s="88"/>
    </row>
    <row r="986" ht="15.75" customHeight="1">
      <c r="H986" s="88"/>
    </row>
    <row r="987" ht="15.75" customHeight="1">
      <c r="H987" s="88"/>
    </row>
    <row r="988" ht="15.75" customHeight="1">
      <c r="H988" s="88"/>
    </row>
    <row r="989" ht="15.75" customHeight="1">
      <c r="H989" s="88"/>
    </row>
    <row r="990" ht="15.75" customHeight="1">
      <c r="H990" s="88"/>
    </row>
    <row r="991" ht="15.75" customHeight="1">
      <c r="H991" s="88"/>
    </row>
    <row r="992" ht="15.75" customHeight="1">
      <c r="H992" s="88"/>
    </row>
    <row r="993" ht="15.75" customHeight="1">
      <c r="H993" s="88"/>
    </row>
    <row r="994" ht="15.75" customHeight="1">
      <c r="H994" s="88"/>
    </row>
    <row r="995" ht="15.75" customHeight="1">
      <c r="H995" s="88"/>
    </row>
    <row r="996" ht="15.75" customHeight="1">
      <c r="H996" s="88"/>
    </row>
    <row r="997" ht="15.75" customHeight="1">
      <c r="H997" s="88"/>
    </row>
    <row r="998" ht="15.75" customHeight="1">
      <c r="H998" s="88"/>
    </row>
    <row r="999" ht="15.75" customHeight="1">
      <c r="H999" s="88"/>
    </row>
    <row r="1000" ht="15.75" customHeight="1">
      <c r="H1000" s="88"/>
    </row>
  </sheetData>
  <autoFilter ref="$A$1:$T$1"/>
  <dataValidations>
    <dataValidation type="list" allowBlank="1" showErrorMessage="1" sqref="C2:C7">
      <formula1>"P0,P1,P2,P3"</formula1>
    </dataValidation>
    <dataValidation type="list" allowBlank="1" showErrorMessage="1" sqref="N3:N4 N7">
      <formula1>"Sampreet"</formula1>
    </dataValidation>
    <dataValidation type="list" allowBlank="1" showErrorMessage="1" sqref="P3:P4">
      <formula1>"Fixed,In-Progress,Need-Discussion,Duplicate,Rejected,Blocked"</formula1>
    </dataValidation>
    <dataValidation type="list" allowBlank="1" showErrorMessage="1" sqref="G2 F3:F4 G5:G6 F7">
      <formula1>"PVT,UAT,HTML/CSS"</formula1>
    </dataValidation>
    <dataValidation type="list" allowBlank="1" showErrorMessage="1" sqref="Q2 R3:R4 T3:T4 R7 T7">
      <formula1>"Open,Hold,Resolved,Reopened,Need Discussion"</formula1>
    </dataValidation>
    <dataValidation type="list" allowBlank="1" showErrorMessage="1" sqref="T2 T5:T6 U7">
      <formula1>"Fixed,Pending,Reopen"</formula1>
    </dataValidation>
    <dataValidation type="list" allowBlank="1" showErrorMessage="1" sqref="P2 O5:O6 P7">
      <formula1>"Fixed,In Progress,Need Discussion"</formula1>
    </dataValidation>
    <dataValidation type="list" allowBlank="1" showErrorMessage="1" sqref="Q5:Q6">
      <formula1>"Open,Resolved,Hold,Reopened,Need Discussion"</formula1>
    </dataValidation>
  </dataValidations>
  <hyperlinks>
    <hyperlink r:id="rId1" ref="K2"/>
    <hyperlink r:id="rId2" ref="H3"/>
    <hyperlink r:id="rId3" ref="K3"/>
    <hyperlink r:id="rId4" ref="K4"/>
    <hyperlink r:id="rId5" ref="L4"/>
    <hyperlink r:id="rId6" ref="K5"/>
    <hyperlink r:id="rId7" ref="K7"/>
  </hyperlinks>
  <printOptions/>
  <pageMargins bottom="0.75" footer="0.0" header="0.0" left="0.7" right="0.7" top="0.75"/>
  <pageSetup orientation="landscape"/>
  <drawing r:id="rId8"/>
</worksheet>
</file>